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1 - ECAR CONSTRUCCIONES\2- PROYECTOS_OBRAS\Valdiviezo &amp; D\Loteo Roque\2.4. CRONOGRAMAS\2.4. PLANIFICACION\"/>
    </mc:Choice>
  </mc:AlternateContent>
  <xr:revisionPtr revIDLastSave="0" documentId="13_ncr:1_{D7D1DE04-1E2C-4D83-B099-AC09642C67D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0_Dashboard" sheetId="1" r:id="rId1"/>
    <sheet name="01_Estado_Actual" sheetId="2" r:id="rId2"/>
    <sheet name="02_Para_Programar" sheetId="3" r:id="rId3"/>
    <sheet name="03_Planificacion" sheetId="4" r:id="rId4"/>
    <sheet name="04_Orden_Diaria" sheetId="5" r:id="rId5"/>
    <sheet name="05_Parte_Diario" sheetId="6" r:id="rId6"/>
    <sheet name="06_Control_Semanal" sheetId="7" r:id="rId7"/>
    <sheet name="07_Base_Tecnica" sheetId="8" r:id="rId8"/>
  </sheets>
  <definedNames>
    <definedName name="_xlnm._FilterDatabase" localSheetId="2" hidden="1">'02_Para_Programar'!$A$4:$N$304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2" i="7" l="1"/>
  <c r="F262" i="7"/>
  <c r="E262" i="7"/>
  <c r="D262" i="7"/>
  <c r="C262" i="7"/>
  <c r="B262" i="7"/>
  <c r="H262" i="7" s="1"/>
  <c r="G261" i="7"/>
  <c r="F261" i="7"/>
  <c r="E261" i="7"/>
  <c r="D261" i="7"/>
  <c r="C261" i="7"/>
  <c r="B261" i="7"/>
  <c r="H261" i="7" s="1"/>
  <c r="G260" i="7"/>
  <c r="F260" i="7"/>
  <c r="E260" i="7"/>
  <c r="D260" i="7"/>
  <c r="C260" i="7"/>
  <c r="B260" i="7"/>
  <c r="H260" i="7" s="1"/>
  <c r="G259" i="7"/>
  <c r="F259" i="7"/>
  <c r="E259" i="7"/>
  <c r="D259" i="7"/>
  <c r="C259" i="7"/>
  <c r="B259" i="7"/>
  <c r="H259" i="7" s="1"/>
  <c r="G258" i="7"/>
  <c r="F258" i="7"/>
  <c r="E258" i="7"/>
  <c r="D258" i="7"/>
  <c r="C258" i="7"/>
  <c r="B258" i="7"/>
  <c r="G257" i="7"/>
  <c r="F257" i="7"/>
  <c r="E257" i="7"/>
  <c r="D257" i="7"/>
  <c r="C257" i="7"/>
  <c r="B257" i="7"/>
  <c r="H257" i="7" s="1"/>
  <c r="G256" i="7"/>
  <c r="F256" i="7"/>
  <c r="E256" i="7"/>
  <c r="D256" i="7"/>
  <c r="C256" i="7"/>
  <c r="B256" i="7"/>
  <c r="H256" i="7" s="1"/>
  <c r="G255" i="7"/>
  <c r="F255" i="7"/>
  <c r="E255" i="7"/>
  <c r="D255" i="7"/>
  <c r="C255" i="7"/>
  <c r="B255" i="7"/>
  <c r="H255" i="7" s="1"/>
  <c r="G254" i="7"/>
  <c r="F254" i="7"/>
  <c r="E254" i="7"/>
  <c r="D254" i="7"/>
  <c r="C254" i="7"/>
  <c r="B254" i="7"/>
  <c r="H254" i="7" s="1"/>
  <c r="G253" i="7"/>
  <c r="F253" i="7"/>
  <c r="E253" i="7"/>
  <c r="D253" i="7"/>
  <c r="C253" i="7"/>
  <c r="B253" i="7"/>
  <c r="H253" i="7" s="1"/>
  <c r="G252" i="7"/>
  <c r="F252" i="7"/>
  <c r="E252" i="7"/>
  <c r="D252" i="7"/>
  <c r="C252" i="7"/>
  <c r="B252" i="7"/>
  <c r="H252" i="7" s="1"/>
  <c r="G251" i="7"/>
  <c r="F251" i="7"/>
  <c r="E251" i="7"/>
  <c r="D251" i="7"/>
  <c r="C251" i="7"/>
  <c r="B251" i="7"/>
  <c r="H251" i="7" s="1"/>
  <c r="G250" i="7"/>
  <c r="F250" i="7"/>
  <c r="E250" i="7"/>
  <c r="D250" i="7"/>
  <c r="C250" i="7"/>
  <c r="B250" i="7"/>
  <c r="G249" i="7"/>
  <c r="F249" i="7"/>
  <c r="E249" i="7"/>
  <c r="D249" i="7"/>
  <c r="C249" i="7"/>
  <c r="B249" i="7"/>
  <c r="G248" i="7"/>
  <c r="F248" i="7"/>
  <c r="E248" i="7"/>
  <c r="D248" i="7"/>
  <c r="C248" i="7"/>
  <c r="B248" i="7"/>
  <c r="H248" i="7" s="1"/>
  <c r="G247" i="7"/>
  <c r="F247" i="7"/>
  <c r="E247" i="7"/>
  <c r="D247" i="7"/>
  <c r="C247" i="7"/>
  <c r="B247" i="7"/>
  <c r="H247" i="7" s="1"/>
  <c r="G246" i="7"/>
  <c r="F246" i="7"/>
  <c r="E246" i="7"/>
  <c r="D246" i="7"/>
  <c r="C246" i="7"/>
  <c r="B246" i="7"/>
  <c r="H246" i="7" s="1"/>
  <c r="G245" i="7"/>
  <c r="F245" i="7"/>
  <c r="E245" i="7"/>
  <c r="D245" i="7"/>
  <c r="C245" i="7"/>
  <c r="B245" i="7"/>
  <c r="H245" i="7" s="1"/>
  <c r="G244" i="7"/>
  <c r="F244" i="7"/>
  <c r="E244" i="7"/>
  <c r="D244" i="7"/>
  <c r="C244" i="7"/>
  <c r="B244" i="7"/>
  <c r="H244" i="7" s="1"/>
  <c r="G243" i="7"/>
  <c r="F243" i="7"/>
  <c r="E243" i="7"/>
  <c r="D243" i="7"/>
  <c r="C243" i="7"/>
  <c r="B243" i="7"/>
  <c r="H243" i="7" s="1"/>
  <c r="G242" i="7"/>
  <c r="F242" i="7"/>
  <c r="E242" i="7"/>
  <c r="D242" i="7"/>
  <c r="C242" i="7"/>
  <c r="B242" i="7"/>
  <c r="G241" i="7"/>
  <c r="F241" i="7"/>
  <c r="E241" i="7"/>
  <c r="D241" i="7"/>
  <c r="C241" i="7"/>
  <c r="B241" i="7"/>
  <c r="G240" i="7"/>
  <c r="F240" i="7"/>
  <c r="E240" i="7"/>
  <c r="D240" i="7"/>
  <c r="C240" i="7"/>
  <c r="B240" i="7"/>
  <c r="H240" i="7" s="1"/>
  <c r="G239" i="7"/>
  <c r="F239" i="7"/>
  <c r="E239" i="7"/>
  <c r="D239" i="7"/>
  <c r="C239" i="7"/>
  <c r="B239" i="7"/>
  <c r="H239" i="7" s="1"/>
  <c r="G238" i="7"/>
  <c r="F238" i="7"/>
  <c r="E238" i="7"/>
  <c r="D238" i="7"/>
  <c r="C238" i="7"/>
  <c r="B238" i="7"/>
  <c r="H238" i="7" s="1"/>
  <c r="G237" i="7"/>
  <c r="F237" i="7"/>
  <c r="E237" i="7"/>
  <c r="D237" i="7"/>
  <c r="C237" i="7"/>
  <c r="B237" i="7"/>
  <c r="H237" i="7" s="1"/>
  <c r="G236" i="7"/>
  <c r="F236" i="7"/>
  <c r="E236" i="7"/>
  <c r="D236" i="7"/>
  <c r="C236" i="7"/>
  <c r="B236" i="7"/>
  <c r="H236" i="7" s="1"/>
  <c r="G235" i="7"/>
  <c r="F235" i="7"/>
  <c r="E235" i="7"/>
  <c r="D235" i="7"/>
  <c r="C235" i="7"/>
  <c r="B235" i="7"/>
  <c r="H235" i="7" s="1"/>
  <c r="G234" i="7"/>
  <c r="F234" i="7"/>
  <c r="E234" i="7"/>
  <c r="D234" i="7"/>
  <c r="C234" i="7"/>
  <c r="B234" i="7"/>
  <c r="G233" i="7"/>
  <c r="F233" i="7"/>
  <c r="E233" i="7"/>
  <c r="D233" i="7"/>
  <c r="C233" i="7"/>
  <c r="B233" i="7"/>
  <c r="G232" i="7"/>
  <c r="F232" i="7"/>
  <c r="E232" i="7"/>
  <c r="D232" i="7"/>
  <c r="C232" i="7"/>
  <c r="B232" i="7"/>
  <c r="H232" i="7" s="1"/>
  <c r="G231" i="7"/>
  <c r="F231" i="7"/>
  <c r="E231" i="7"/>
  <c r="D231" i="7"/>
  <c r="C231" i="7"/>
  <c r="B231" i="7"/>
  <c r="H231" i="7" s="1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G104" i="6"/>
  <c r="I104" i="6" s="1"/>
  <c r="F104" i="6"/>
  <c r="E104" i="6"/>
  <c r="D104" i="6"/>
  <c r="C104" i="6"/>
  <c r="A104" i="6"/>
  <c r="G103" i="6"/>
  <c r="I103" i="6" s="1"/>
  <c r="F103" i="6"/>
  <c r="E103" i="6"/>
  <c r="D103" i="6"/>
  <c r="C103" i="6"/>
  <c r="A103" i="6"/>
  <c r="G102" i="6"/>
  <c r="I102" i="6" s="1"/>
  <c r="F102" i="6"/>
  <c r="E102" i="6"/>
  <c r="D102" i="6"/>
  <c r="C102" i="6"/>
  <c r="A102" i="6"/>
  <c r="G101" i="6"/>
  <c r="I101" i="6" s="1"/>
  <c r="F101" i="6"/>
  <c r="E101" i="6"/>
  <c r="D101" i="6"/>
  <c r="C101" i="6"/>
  <c r="A101" i="6"/>
  <c r="I100" i="6"/>
  <c r="G100" i="6"/>
  <c r="F100" i="6"/>
  <c r="E100" i="6"/>
  <c r="D100" i="6"/>
  <c r="C100" i="6"/>
  <c r="A100" i="6"/>
  <c r="G99" i="6"/>
  <c r="I99" i="6" s="1"/>
  <c r="F99" i="6"/>
  <c r="E99" i="6"/>
  <c r="D99" i="6"/>
  <c r="C99" i="6"/>
  <c r="A99" i="6"/>
  <c r="G98" i="6"/>
  <c r="I98" i="6" s="1"/>
  <c r="F98" i="6"/>
  <c r="E98" i="6"/>
  <c r="D98" i="6"/>
  <c r="C98" i="6"/>
  <c r="A98" i="6"/>
  <c r="I97" i="6"/>
  <c r="G97" i="6"/>
  <c r="F97" i="6"/>
  <c r="E97" i="6"/>
  <c r="D97" i="6"/>
  <c r="C97" i="6"/>
  <c r="A97" i="6"/>
  <c r="G96" i="6"/>
  <c r="I96" i="6" s="1"/>
  <c r="F96" i="6"/>
  <c r="E96" i="6"/>
  <c r="D96" i="6"/>
  <c r="C96" i="6"/>
  <c r="A96" i="6"/>
  <c r="G95" i="6"/>
  <c r="I95" i="6" s="1"/>
  <c r="F95" i="6"/>
  <c r="E95" i="6"/>
  <c r="D95" i="6"/>
  <c r="C95" i="6"/>
  <c r="A95" i="6"/>
  <c r="I94" i="6"/>
  <c r="G94" i="6"/>
  <c r="F94" i="6"/>
  <c r="E94" i="6"/>
  <c r="D94" i="6"/>
  <c r="C94" i="6"/>
  <c r="A94" i="6"/>
  <c r="G93" i="6"/>
  <c r="I93" i="6" s="1"/>
  <c r="F93" i="6"/>
  <c r="E93" i="6"/>
  <c r="D93" i="6"/>
  <c r="C93" i="6"/>
  <c r="A93" i="6"/>
  <c r="I92" i="6"/>
  <c r="G92" i="6"/>
  <c r="F92" i="6"/>
  <c r="E92" i="6"/>
  <c r="D92" i="6"/>
  <c r="C92" i="6"/>
  <c r="A92" i="6"/>
  <c r="G91" i="6"/>
  <c r="I91" i="6" s="1"/>
  <c r="F91" i="6"/>
  <c r="E91" i="6"/>
  <c r="D91" i="6"/>
  <c r="C91" i="6"/>
  <c r="A91" i="6"/>
  <c r="G90" i="6"/>
  <c r="I90" i="6" s="1"/>
  <c r="F90" i="6"/>
  <c r="E90" i="6"/>
  <c r="D90" i="6"/>
  <c r="C90" i="6"/>
  <c r="A90" i="6"/>
  <c r="I89" i="6"/>
  <c r="G89" i="6"/>
  <c r="F89" i="6"/>
  <c r="E89" i="6"/>
  <c r="D89" i="6"/>
  <c r="C89" i="6"/>
  <c r="A89" i="6"/>
  <c r="G88" i="6"/>
  <c r="I88" i="6" s="1"/>
  <c r="F88" i="6"/>
  <c r="E88" i="6"/>
  <c r="D88" i="6"/>
  <c r="C88" i="6"/>
  <c r="A88" i="6"/>
  <c r="G87" i="6"/>
  <c r="I87" i="6" s="1"/>
  <c r="F87" i="6"/>
  <c r="E87" i="6"/>
  <c r="D87" i="6"/>
  <c r="C87" i="6"/>
  <c r="A87" i="6"/>
  <c r="I86" i="6"/>
  <c r="G86" i="6"/>
  <c r="F86" i="6"/>
  <c r="E86" i="6"/>
  <c r="D86" i="6"/>
  <c r="C86" i="6"/>
  <c r="A86" i="6"/>
  <c r="G85" i="6"/>
  <c r="I85" i="6" s="1"/>
  <c r="F85" i="6"/>
  <c r="E85" i="6"/>
  <c r="D85" i="6"/>
  <c r="C85" i="6"/>
  <c r="A85" i="6"/>
  <c r="I84" i="6"/>
  <c r="G84" i="6"/>
  <c r="F84" i="6"/>
  <c r="E84" i="6"/>
  <c r="D84" i="6"/>
  <c r="C84" i="6"/>
  <c r="A84" i="6"/>
  <c r="G83" i="6"/>
  <c r="I83" i="6" s="1"/>
  <c r="F83" i="6"/>
  <c r="E83" i="6"/>
  <c r="D83" i="6"/>
  <c r="C83" i="6"/>
  <c r="A83" i="6"/>
  <c r="G82" i="6"/>
  <c r="I82" i="6" s="1"/>
  <c r="F82" i="6"/>
  <c r="E82" i="6"/>
  <c r="D82" i="6"/>
  <c r="C82" i="6"/>
  <c r="A82" i="6"/>
  <c r="I81" i="6"/>
  <c r="G81" i="6"/>
  <c r="F81" i="6"/>
  <c r="E81" i="6"/>
  <c r="D81" i="6"/>
  <c r="C81" i="6"/>
  <c r="A81" i="6"/>
  <c r="G80" i="6"/>
  <c r="I80" i="6" s="1"/>
  <c r="F80" i="6"/>
  <c r="E80" i="6"/>
  <c r="D80" i="6"/>
  <c r="C80" i="6"/>
  <c r="A80" i="6"/>
  <c r="G79" i="6"/>
  <c r="I79" i="6" s="1"/>
  <c r="F79" i="6"/>
  <c r="E79" i="6"/>
  <c r="D79" i="6"/>
  <c r="C79" i="6"/>
  <c r="A79" i="6"/>
  <c r="I78" i="6"/>
  <c r="G78" i="6"/>
  <c r="F78" i="6"/>
  <c r="E78" i="6"/>
  <c r="D78" i="6"/>
  <c r="C78" i="6"/>
  <c r="A78" i="6"/>
  <c r="G77" i="6"/>
  <c r="I77" i="6" s="1"/>
  <c r="F77" i="6"/>
  <c r="E77" i="6"/>
  <c r="D77" i="6"/>
  <c r="C77" i="6"/>
  <c r="A77" i="6"/>
  <c r="I76" i="6"/>
  <c r="G76" i="6"/>
  <c r="F76" i="6"/>
  <c r="E76" i="6"/>
  <c r="D76" i="6"/>
  <c r="C76" i="6"/>
  <c r="A76" i="6"/>
  <c r="G75" i="6"/>
  <c r="I75" i="6" s="1"/>
  <c r="F75" i="6"/>
  <c r="E75" i="6"/>
  <c r="D75" i="6"/>
  <c r="C75" i="6"/>
  <c r="A75" i="6"/>
  <c r="G74" i="6"/>
  <c r="I74" i="6" s="1"/>
  <c r="F74" i="6"/>
  <c r="E74" i="6"/>
  <c r="D74" i="6"/>
  <c r="C74" i="6"/>
  <c r="A74" i="6"/>
  <c r="I73" i="6"/>
  <c r="G73" i="6"/>
  <c r="F73" i="6"/>
  <c r="E73" i="6"/>
  <c r="D73" i="6"/>
  <c r="C73" i="6"/>
  <c r="A73" i="6"/>
  <c r="G72" i="6"/>
  <c r="I72" i="6" s="1"/>
  <c r="F72" i="6"/>
  <c r="E72" i="6"/>
  <c r="D72" i="6"/>
  <c r="C72" i="6"/>
  <c r="A72" i="6"/>
  <c r="G71" i="6"/>
  <c r="I71" i="6" s="1"/>
  <c r="F71" i="6"/>
  <c r="E71" i="6"/>
  <c r="D71" i="6"/>
  <c r="C71" i="6"/>
  <c r="A71" i="6"/>
  <c r="I70" i="6"/>
  <c r="G70" i="6"/>
  <c r="F70" i="6"/>
  <c r="E70" i="6"/>
  <c r="D70" i="6"/>
  <c r="C70" i="6"/>
  <c r="A70" i="6"/>
  <c r="G69" i="6"/>
  <c r="I69" i="6" s="1"/>
  <c r="F69" i="6"/>
  <c r="E69" i="6"/>
  <c r="D69" i="6"/>
  <c r="C69" i="6"/>
  <c r="A69" i="6"/>
  <c r="I68" i="6"/>
  <c r="G68" i="6"/>
  <c r="F68" i="6"/>
  <c r="E68" i="6"/>
  <c r="D68" i="6"/>
  <c r="C68" i="6"/>
  <c r="A68" i="6"/>
  <c r="G67" i="6"/>
  <c r="I67" i="6" s="1"/>
  <c r="F67" i="6"/>
  <c r="E67" i="6"/>
  <c r="D67" i="6"/>
  <c r="C67" i="6"/>
  <c r="A67" i="6"/>
  <c r="G66" i="6"/>
  <c r="I66" i="6" s="1"/>
  <c r="F66" i="6"/>
  <c r="E66" i="6"/>
  <c r="D66" i="6"/>
  <c r="C66" i="6"/>
  <c r="A66" i="6"/>
  <c r="I65" i="6"/>
  <c r="G65" i="6"/>
  <c r="F65" i="6"/>
  <c r="E65" i="6"/>
  <c r="D65" i="6"/>
  <c r="C65" i="6"/>
  <c r="A65" i="6"/>
  <c r="G64" i="6"/>
  <c r="I64" i="6" s="1"/>
  <c r="F64" i="6"/>
  <c r="E64" i="6"/>
  <c r="D64" i="6"/>
  <c r="C64" i="6"/>
  <c r="A64" i="6"/>
  <c r="G63" i="6"/>
  <c r="I63" i="6" s="1"/>
  <c r="F63" i="6"/>
  <c r="E63" i="6"/>
  <c r="D63" i="6"/>
  <c r="C63" i="6"/>
  <c r="A63" i="6"/>
  <c r="I62" i="6"/>
  <c r="G62" i="6"/>
  <c r="F62" i="6"/>
  <c r="E62" i="6"/>
  <c r="D62" i="6"/>
  <c r="C62" i="6"/>
  <c r="A62" i="6"/>
  <c r="G61" i="6"/>
  <c r="I61" i="6" s="1"/>
  <c r="F61" i="6"/>
  <c r="E61" i="6"/>
  <c r="D61" i="6"/>
  <c r="C61" i="6"/>
  <c r="A61" i="6"/>
  <c r="I60" i="6"/>
  <c r="G60" i="6"/>
  <c r="F60" i="6"/>
  <c r="E60" i="6"/>
  <c r="D60" i="6"/>
  <c r="C60" i="6"/>
  <c r="A60" i="6"/>
  <c r="G59" i="6"/>
  <c r="I59" i="6" s="1"/>
  <c r="F59" i="6"/>
  <c r="E59" i="6"/>
  <c r="D59" i="6"/>
  <c r="C59" i="6"/>
  <c r="A59" i="6"/>
  <c r="G58" i="6"/>
  <c r="I58" i="6" s="1"/>
  <c r="F58" i="6"/>
  <c r="E58" i="6"/>
  <c r="D58" i="6"/>
  <c r="C58" i="6"/>
  <c r="A58" i="6"/>
  <c r="I57" i="6"/>
  <c r="G57" i="6"/>
  <c r="F57" i="6"/>
  <c r="E57" i="6"/>
  <c r="D57" i="6"/>
  <c r="C57" i="6"/>
  <c r="A57" i="6"/>
  <c r="G56" i="6"/>
  <c r="I56" i="6" s="1"/>
  <c r="F56" i="6"/>
  <c r="E56" i="6"/>
  <c r="D56" i="6"/>
  <c r="C56" i="6"/>
  <c r="A56" i="6"/>
  <c r="G55" i="6"/>
  <c r="I55" i="6" s="1"/>
  <c r="F55" i="6"/>
  <c r="E55" i="6"/>
  <c r="D55" i="6"/>
  <c r="C55" i="6"/>
  <c r="A55" i="6"/>
  <c r="I54" i="6"/>
  <c r="G54" i="6"/>
  <c r="F54" i="6"/>
  <c r="E54" i="6"/>
  <c r="D54" i="6"/>
  <c r="C54" i="6"/>
  <c r="A54" i="6"/>
  <c r="G53" i="6"/>
  <c r="I53" i="6" s="1"/>
  <c r="F53" i="6"/>
  <c r="E53" i="6"/>
  <c r="D53" i="6"/>
  <c r="C53" i="6"/>
  <c r="A53" i="6"/>
  <c r="I52" i="6"/>
  <c r="G52" i="6"/>
  <c r="F52" i="6"/>
  <c r="E52" i="6"/>
  <c r="D52" i="6"/>
  <c r="C52" i="6"/>
  <c r="A52" i="6"/>
  <c r="G51" i="6"/>
  <c r="I51" i="6" s="1"/>
  <c r="F51" i="6"/>
  <c r="E51" i="6"/>
  <c r="D51" i="6"/>
  <c r="C51" i="6"/>
  <c r="A51" i="6"/>
  <c r="G50" i="6"/>
  <c r="I50" i="6" s="1"/>
  <c r="F50" i="6"/>
  <c r="E50" i="6"/>
  <c r="D50" i="6"/>
  <c r="C50" i="6"/>
  <c r="A50" i="6"/>
  <c r="I49" i="6"/>
  <c r="G49" i="6"/>
  <c r="F49" i="6"/>
  <c r="E49" i="6"/>
  <c r="D49" i="6"/>
  <c r="C49" i="6"/>
  <c r="A49" i="6"/>
  <c r="G48" i="6"/>
  <c r="I48" i="6" s="1"/>
  <c r="F48" i="6"/>
  <c r="E48" i="6"/>
  <c r="D48" i="6"/>
  <c r="C48" i="6"/>
  <c r="A48" i="6"/>
  <c r="G47" i="6"/>
  <c r="I47" i="6" s="1"/>
  <c r="F47" i="6"/>
  <c r="E47" i="6"/>
  <c r="D47" i="6"/>
  <c r="C47" i="6"/>
  <c r="A47" i="6"/>
  <c r="I46" i="6"/>
  <c r="G46" i="6"/>
  <c r="F46" i="6"/>
  <c r="E46" i="6"/>
  <c r="D46" i="6"/>
  <c r="C46" i="6"/>
  <c r="A46" i="6"/>
  <c r="G45" i="6"/>
  <c r="I45" i="6" s="1"/>
  <c r="F45" i="6"/>
  <c r="E45" i="6"/>
  <c r="D45" i="6"/>
  <c r="C45" i="6"/>
  <c r="A45" i="6"/>
  <c r="I44" i="6"/>
  <c r="G44" i="6"/>
  <c r="F44" i="6"/>
  <c r="E44" i="6"/>
  <c r="D44" i="6"/>
  <c r="C44" i="6"/>
  <c r="A44" i="6"/>
  <c r="G43" i="6"/>
  <c r="I43" i="6" s="1"/>
  <c r="F43" i="6"/>
  <c r="E43" i="6"/>
  <c r="D43" i="6"/>
  <c r="C43" i="6"/>
  <c r="A43" i="6"/>
  <c r="G42" i="6"/>
  <c r="I42" i="6" s="1"/>
  <c r="F42" i="6"/>
  <c r="E42" i="6"/>
  <c r="D42" i="6"/>
  <c r="C42" i="6"/>
  <c r="A42" i="6"/>
  <c r="I41" i="6"/>
  <c r="G41" i="6"/>
  <c r="F41" i="6"/>
  <c r="E41" i="6"/>
  <c r="D41" i="6"/>
  <c r="C41" i="6"/>
  <c r="A41" i="6"/>
  <c r="G40" i="6"/>
  <c r="I40" i="6" s="1"/>
  <c r="F40" i="6"/>
  <c r="E40" i="6"/>
  <c r="D40" i="6"/>
  <c r="C40" i="6"/>
  <c r="A40" i="6"/>
  <c r="G39" i="6"/>
  <c r="I39" i="6" s="1"/>
  <c r="F39" i="6"/>
  <c r="E39" i="6"/>
  <c r="D39" i="6"/>
  <c r="C39" i="6"/>
  <c r="A39" i="6"/>
  <c r="I38" i="6"/>
  <c r="G38" i="6"/>
  <c r="F38" i="6"/>
  <c r="E38" i="6"/>
  <c r="D38" i="6"/>
  <c r="C38" i="6"/>
  <c r="A38" i="6"/>
  <c r="G37" i="6"/>
  <c r="I37" i="6" s="1"/>
  <c r="F37" i="6"/>
  <c r="E37" i="6"/>
  <c r="D37" i="6"/>
  <c r="C37" i="6"/>
  <c r="A37" i="6"/>
  <c r="I36" i="6"/>
  <c r="G36" i="6"/>
  <c r="F36" i="6"/>
  <c r="E36" i="6"/>
  <c r="D36" i="6"/>
  <c r="C36" i="6"/>
  <c r="A36" i="6"/>
  <c r="G35" i="6"/>
  <c r="I35" i="6" s="1"/>
  <c r="F35" i="6"/>
  <c r="E35" i="6"/>
  <c r="D35" i="6"/>
  <c r="C35" i="6"/>
  <c r="A35" i="6"/>
  <c r="G34" i="6"/>
  <c r="I34" i="6" s="1"/>
  <c r="F34" i="6"/>
  <c r="E34" i="6"/>
  <c r="D34" i="6"/>
  <c r="C34" i="6"/>
  <c r="A34" i="6"/>
  <c r="I33" i="6"/>
  <c r="G33" i="6"/>
  <c r="F33" i="6"/>
  <c r="E33" i="6"/>
  <c r="D33" i="6"/>
  <c r="C33" i="6"/>
  <c r="A33" i="6"/>
  <c r="G32" i="6"/>
  <c r="I32" i="6" s="1"/>
  <c r="F32" i="6"/>
  <c r="E32" i="6"/>
  <c r="D32" i="6"/>
  <c r="C32" i="6"/>
  <c r="A32" i="6"/>
  <c r="G31" i="6"/>
  <c r="I31" i="6" s="1"/>
  <c r="F31" i="6"/>
  <c r="E31" i="6"/>
  <c r="D31" i="6"/>
  <c r="C31" i="6"/>
  <c r="A31" i="6"/>
  <c r="I30" i="6"/>
  <c r="G30" i="6"/>
  <c r="F30" i="6"/>
  <c r="E30" i="6"/>
  <c r="D30" i="6"/>
  <c r="C30" i="6"/>
  <c r="A30" i="6"/>
  <c r="G29" i="6"/>
  <c r="I29" i="6" s="1"/>
  <c r="F29" i="6"/>
  <c r="E29" i="6"/>
  <c r="D29" i="6"/>
  <c r="C29" i="6"/>
  <c r="A29" i="6"/>
  <c r="I28" i="6"/>
  <c r="G28" i="6"/>
  <c r="F28" i="6"/>
  <c r="E28" i="6"/>
  <c r="D28" i="6"/>
  <c r="C28" i="6"/>
  <c r="A28" i="6"/>
  <c r="G27" i="6"/>
  <c r="I27" i="6" s="1"/>
  <c r="F27" i="6"/>
  <c r="E27" i="6"/>
  <c r="D27" i="6"/>
  <c r="C27" i="6"/>
  <c r="A27" i="6"/>
  <c r="G26" i="6"/>
  <c r="I26" i="6" s="1"/>
  <c r="F26" i="6"/>
  <c r="E26" i="6"/>
  <c r="D26" i="6"/>
  <c r="C26" i="6"/>
  <c r="A26" i="6"/>
  <c r="I25" i="6"/>
  <c r="G25" i="6"/>
  <c r="F25" i="6"/>
  <c r="E25" i="6"/>
  <c r="D25" i="6"/>
  <c r="C25" i="6"/>
  <c r="A25" i="6"/>
  <c r="G24" i="6"/>
  <c r="I24" i="6" s="1"/>
  <c r="F24" i="6"/>
  <c r="E24" i="6"/>
  <c r="D24" i="6"/>
  <c r="C24" i="6"/>
  <c r="A24" i="6"/>
  <c r="G23" i="6"/>
  <c r="I23" i="6" s="1"/>
  <c r="F23" i="6"/>
  <c r="E23" i="6"/>
  <c r="D23" i="6"/>
  <c r="C23" i="6"/>
  <c r="A23" i="6"/>
  <c r="I22" i="6"/>
  <c r="G22" i="6"/>
  <c r="F22" i="6"/>
  <c r="E22" i="6"/>
  <c r="D22" i="6"/>
  <c r="C22" i="6"/>
  <c r="A22" i="6"/>
  <c r="G21" i="6"/>
  <c r="I21" i="6" s="1"/>
  <c r="F21" i="6"/>
  <c r="E21" i="6"/>
  <c r="D21" i="6"/>
  <c r="C21" i="6"/>
  <c r="A21" i="6"/>
  <c r="I20" i="6"/>
  <c r="G20" i="6"/>
  <c r="F20" i="6"/>
  <c r="E20" i="6"/>
  <c r="D20" i="6"/>
  <c r="C20" i="6"/>
  <c r="A20" i="6"/>
  <c r="G19" i="6"/>
  <c r="I19" i="6" s="1"/>
  <c r="F19" i="6"/>
  <c r="E19" i="6"/>
  <c r="D19" i="6"/>
  <c r="C19" i="6"/>
  <c r="A19" i="6"/>
  <c r="G18" i="6"/>
  <c r="I18" i="6" s="1"/>
  <c r="F18" i="6"/>
  <c r="E18" i="6"/>
  <c r="D18" i="6"/>
  <c r="C18" i="6"/>
  <c r="A18" i="6"/>
  <c r="I17" i="6"/>
  <c r="G17" i="6"/>
  <c r="F17" i="6"/>
  <c r="E17" i="6"/>
  <c r="D17" i="6"/>
  <c r="C17" i="6"/>
  <c r="A17" i="6"/>
  <c r="G16" i="6"/>
  <c r="I16" i="6" s="1"/>
  <c r="F16" i="6"/>
  <c r="E16" i="6"/>
  <c r="D16" i="6"/>
  <c r="C16" i="6"/>
  <c r="A16" i="6"/>
  <c r="G15" i="6"/>
  <c r="I15" i="6" s="1"/>
  <c r="F15" i="6"/>
  <c r="E15" i="6"/>
  <c r="D15" i="6"/>
  <c r="C15" i="6"/>
  <c r="A15" i="6"/>
  <c r="I14" i="6"/>
  <c r="G14" i="6"/>
  <c r="F14" i="6"/>
  <c r="E14" i="6"/>
  <c r="D14" i="6"/>
  <c r="C14" i="6"/>
  <c r="A14" i="6"/>
  <c r="G13" i="6"/>
  <c r="I13" i="6" s="1"/>
  <c r="F13" i="6"/>
  <c r="E13" i="6"/>
  <c r="D13" i="6"/>
  <c r="C13" i="6"/>
  <c r="A13" i="6"/>
  <c r="I12" i="6"/>
  <c r="G12" i="6"/>
  <c r="F12" i="6"/>
  <c r="E12" i="6"/>
  <c r="D12" i="6"/>
  <c r="C12" i="6"/>
  <c r="A12" i="6"/>
  <c r="G11" i="6"/>
  <c r="I11" i="6" s="1"/>
  <c r="F11" i="6"/>
  <c r="E11" i="6"/>
  <c r="D11" i="6"/>
  <c r="C11" i="6"/>
  <c r="A11" i="6"/>
  <c r="G10" i="6"/>
  <c r="I10" i="6" s="1"/>
  <c r="F10" i="6"/>
  <c r="E10" i="6"/>
  <c r="D10" i="6"/>
  <c r="C10" i="6"/>
  <c r="A10" i="6"/>
  <c r="I9" i="6"/>
  <c r="G9" i="6"/>
  <c r="F9" i="6"/>
  <c r="E9" i="6"/>
  <c r="D9" i="6"/>
  <c r="C9" i="6"/>
  <c r="A9" i="6"/>
  <c r="G8" i="6"/>
  <c r="I8" i="6" s="1"/>
  <c r="F8" i="6"/>
  <c r="E8" i="6"/>
  <c r="D8" i="6"/>
  <c r="C8" i="6"/>
  <c r="A8" i="6"/>
  <c r="G7" i="6"/>
  <c r="I7" i="6" s="1"/>
  <c r="F7" i="6"/>
  <c r="E7" i="6"/>
  <c r="D7" i="6"/>
  <c r="C7" i="6"/>
  <c r="A7" i="6"/>
  <c r="I6" i="6"/>
  <c r="G6" i="6"/>
  <c r="F6" i="6"/>
  <c r="E6" i="6"/>
  <c r="H6" i="1" s="1"/>
  <c r="D6" i="6"/>
  <c r="F446" i="2" s="1"/>
  <c r="H446" i="2" s="1"/>
  <c r="C6" i="6"/>
  <c r="A6" i="6"/>
  <c r="G5" i="6"/>
  <c r="I5" i="6" s="1"/>
  <c r="F5" i="6"/>
  <c r="E5" i="6"/>
  <c r="D5" i="6"/>
  <c r="C5" i="6"/>
  <c r="A5" i="6"/>
  <c r="M44" i="5"/>
  <c r="L44" i="5"/>
  <c r="K44" i="5"/>
  <c r="J44" i="5"/>
  <c r="I44" i="5"/>
  <c r="H44" i="5"/>
  <c r="G44" i="5"/>
  <c r="F44" i="5"/>
  <c r="E44" i="5"/>
  <c r="D44" i="5"/>
  <c r="B44" i="5"/>
  <c r="A44" i="5"/>
  <c r="M43" i="5"/>
  <c r="L43" i="5"/>
  <c r="K43" i="5"/>
  <c r="J43" i="5"/>
  <c r="I43" i="5"/>
  <c r="H43" i="5"/>
  <c r="G43" i="5"/>
  <c r="F43" i="5"/>
  <c r="E43" i="5"/>
  <c r="D43" i="5"/>
  <c r="B43" i="5"/>
  <c r="A43" i="5"/>
  <c r="M42" i="5"/>
  <c r="L42" i="5"/>
  <c r="K42" i="5"/>
  <c r="J42" i="5"/>
  <c r="I42" i="5"/>
  <c r="H42" i="5"/>
  <c r="G42" i="5"/>
  <c r="F42" i="5"/>
  <c r="E42" i="5"/>
  <c r="D42" i="5"/>
  <c r="B42" i="5"/>
  <c r="A42" i="5"/>
  <c r="M41" i="5"/>
  <c r="L41" i="5"/>
  <c r="K41" i="5"/>
  <c r="J41" i="5"/>
  <c r="I41" i="5"/>
  <c r="H41" i="5"/>
  <c r="G41" i="5"/>
  <c r="F41" i="5"/>
  <c r="E41" i="5"/>
  <c r="D41" i="5"/>
  <c r="B41" i="5"/>
  <c r="A41" i="5"/>
  <c r="M40" i="5"/>
  <c r="L40" i="5"/>
  <c r="K40" i="5"/>
  <c r="J40" i="5"/>
  <c r="I40" i="5"/>
  <c r="H40" i="5"/>
  <c r="G40" i="5"/>
  <c r="F40" i="5"/>
  <c r="E40" i="5"/>
  <c r="D40" i="5"/>
  <c r="B40" i="5"/>
  <c r="A40" i="5"/>
  <c r="M39" i="5"/>
  <c r="L39" i="5"/>
  <c r="K39" i="5"/>
  <c r="J39" i="5"/>
  <c r="I39" i="5"/>
  <c r="H39" i="5"/>
  <c r="G39" i="5"/>
  <c r="F39" i="5"/>
  <c r="E39" i="5"/>
  <c r="D39" i="5"/>
  <c r="B39" i="5"/>
  <c r="A39" i="5"/>
  <c r="M38" i="5"/>
  <c r="L38" i="5"/>
  <c r="K38" i="5"/>
  <c r="J38" i="5"/>
  <c r="I38" i="5"/>
  <c r="H38" i="5"/>
  <c r="G38" i="5"/>
  <c r="F38" i="5"/>
  <c r="E38" i="5"/>
  <c r="D38" i="5"/>
  <c r="B38" i="5"/>
  <c r="A38" i="5"/>
  <c r="M37" i="5"/>
  <c r="L37" i="5"/>
  <c r="K37" i="5"/>
  <c r="J37" i="5"/>
  <c r="I37" i="5"/>
  <c r="H37" i="5"/>
  <c r="G37" i="5"/>
  <c r="F37" i="5"/>
  <c r="E37" i="5"/>
  <c r="D37" i="5"/>
  <c r="B37" i="5"/>
  <c r="A37" i="5"/>
  <c r="M36" i="5"/>
  <c r="L36" i="5"/>
  <c r="K36" i="5"/>
  <c r="J36" i="5"/>
  <c r="I36" i="5"/>
  <c r="H36" i="5"/>
  <c r="G36" i="5"/>
  <c r="F36" i="5"/>
  <c r="E36" i="5"/>
  <c r="D36" i="5"/>
  <c r="B36" i="5"/>
  <c r="A36" i="5"/>
  <c r="M35" i="5"/>
  <c r="L35" i="5"/>
  <c r="K35" i="5"/>
  <c r="J35" i="5"/>
  <c r="I35" i="5"/>
  <c r="H35" i="5"/>
  <c r="G35" i="5"/>
  <c r="F35" i="5"/>
  <c r="E35" i="5"/>
  <c r="D35" i="5"/>
  <c r="B35" i="5"/>
  <c r="A35" i="5"/>
  <c r="M34" i="5"/>
  <c r="L34" i="5"/>
  <c r="K34" i="5"/>
  <c r="J34" i="5"/>
  <c r="I34" i="5"/>
  <c r="H34" i="5"/>
  <c r="G34" i="5"/>
  <c r="F34" i="5"/>
  <c r="E34" i="5"/>
  <c r="D34" i="5"/>
  <c r="B34" i="5"/>
  <c r="A34" i="5"/>
  <c r="M33" i="5"/>
  <c r="L33" i="5"/>
  <c r="K33" i="5"/>
  <c r="J33" i="5"/>
  <c r="I33" i="5"/>
  <c r="H33" i="5"/>
  <c r="G33" i="5"/>
  <c r="F33" i="5"/>
  <c r="E33" i="5"/>
  <c r="D33" i="5"/>
  <c r="B33" i="5"/>
  <c r="A33" i="5"/>
  <c r="M32" i="5"/>
  <c r="L32" i="5"/>
  <c r="K32" i="5"/>
  <c r="J32" i="5"/>
  <c r="I32" i="5"/>
  <c r="H32" i="5"/>
  <c r="G32" i="5"/>
  <c r="F32" i="5"/>
  <c r="E32" i="5"/>
  <c r="D32" i="5"/>
  <c r="B32" i="5"/>
  <c r="A32" i="5"/>
  <c r="M31" i="5"/>
  <c r="L31" i="5"/>
  <c r="K31" i="5"/>
  <c r="J31" i="5"/>
  <c r="I31" i="5"/>
  <c r="H31" i="5"/>
  <c r="G31" i="5"/>
  <c r="F31" i="5"/>
  <c r="E31" i="5"/>
  <c r="D31" i="5"/>
  <c r="B31" i="5"/>
  <c r="A31" i="5"/>
  <c r="M30" i="5"/>
  <c r="L30" i="5"/>
  <c r="K30" i="5"/>
  <c r="J30" i="5"/>
  <c r="I30" i="5"/>
  <c r="H30" i="5"/>
  <c r="G30" i="5"/>
  <c r="F30" i="5"/>
  <c r="E30" i="5"/>
  <c r="D30" i="5"/>
  <c r="B30" i="5"/>
  <c r="A30" i="5"/>
  <c r="M29" i="5"/>
  <c r="L29" i="5"/>
  <c r="K29" i="5"/>
  <c r="J29" i="5"/>
  <c r="I29" i="5"/>
  <c r="H29" i="5"/>
  <c r="G29" i="5"/>
  <c r="F29" i="5"/>
  <c r="E29" i="5"/>
  <c r="D29" i="5"/>
  <c r="B29" i="5"/>
  <c r="A29" i="5"/>
  <c r="M28" i="5"/>
  <c r="L28" i="5"/>
  <c r="K28" i="5"/>
  <c r="J28" i="5"/>
  <c r="I28" i="5"/>
  <c r="H28" i="5"/>
  <c r="G28" i="5"/>
  <c r="F28" i="5"/>
  <c r="E28" i="5"/>
  <c r="D28" i="5"/>
  <c r="B28" i="5"/>
  <c r="A28" i="5"/>
  <c r="M27" i="5"/>
  <c r="L27" i="5"/>
  <c r="K27" i="5"/>
  <c r="J27" i="5"/>
  <c r="I27" i="5"/>
  <c r="H27" i="5"/>
  <c r="G27" i="5"/>
  <c r="F27" i="5"/>
  <c r="E27" i="5"/>
  <c r="D27" i="5"/>
  <c r="B27" i="5"/>
  <c r="A27" i="5"/>
  <c r="M26" i="5"/>
  <c r="L26" i="5"/>
  <c r="K26" i="5"/>
  <c r="J26" i="5"/>
  <c r="I26" i="5"/>
  <c r="H26" i="5"/>
  <c r="G26" i="5"/>
  <c r="F26" i="5"/>
  <c r="E26" i="5"/>
  <c r="D26" i="5"/>
  <c r="B26" i="5"/>
  <c r="A26" i="5"/>
  <c r="M25" i="5"/>
  <c r="L25" i="5"/>
  <c r="K25" i="5"/>
  <c r="J25" i="5"/>
  <c r="I25" i="5"/>
  <c r="H25" i="5"/>
  <c r="G25" i="5"/>
  <c r="F25" i="5"/>
  <c r="E25" i="5"/>
  <c r="D25" i="5"/>
  <c r="B25" i="5"/>
  <c r="A25" i="5"/>
  <c r="M24" i="5"/>
  <c r="L24" i="5"/>
  <c r="K24" i="5"/>
  <c r="J24" i="5"/>
  <c r="I24" i="5"/>
  <c r="H24" i="5"/>
  <c r="G24" i="5"/>
  <c r="F24" i="5"/>
  <c r="E24" i="5"/>
  <c r="D24" i="5"/>
  <c r="B24" i="5"/>
  <c r="A24" i="5"/>
  <c r="M23" i="5"/>
  <c r="L23" i="5"/>
  <c r="K23" i="5"/>
  <c r="J23" i="5"/>
  <c r="I23" i="5"/>
  <c r="H23" i="5"/>
  <c r="G23" i="5"/>
  <c r="F23" i="5"/>
  <c r="E23" i="5"/>
  <c r="D23" i="5"/>
  <c r="B23" i="5"/>
  <c r="A23" i="5"/>
  <c r="M22" i="5"/>
  <c r="L22" i="5"/>
  <c r="K22" i="5"/>
  <c r="J22" i="5"/>
  <c r="I22" i="5"/>
  <c r="H22" i="5"/>
  <c r="G22" i="5"/>
  <c r="F22" i="5"/>
  <c r="E22" i="5"/>
  <c r="D22" i="5"/>
  <c r="B22" i="5"/>
  <c r="A22" i="5"/>
  <c r="M21" i="5"/>
  <c r="L21" i="5"/>
  <c r="K21" i="5"/>
  <c r="J21" i="5"/>
  <c r="I21" i="5"/>
  <c r="H21" i="5"/>
  <c r="G21" i="5"/>
  <c r="F21" i="5"/>
  <c r="E21" i="5"/>
  <c r="D21" i="5"/>
  <c r="B21" i="5"/>
  <c r="A21" i="5"/>
  <c r="M20" i="5"/>
  <c r="L20" i="5"/>
  <c r="K20" i="5"/>
  <c r="J20" i="5"/>
  <c r="I20" i="5"/>
  <c r="H20" i="5"/>
  <c r="G20" i="5"/>
  <c r="F20" i="5"/>
  <c r="E20" i="5"/>
  <c r="D20" i="5"/>
  <c r="B20" i="5"/>
  <c r="A20" i="5"/>
  <c r="M19" i="5"/>
  <c r="L19" i="5"/>
  <c r="K19" i="5"/>
  <c r="J19" i="5"/>
  <c r="I19" i="5"/>
  <c r="H19" i="5"/>
  <c r="G19" i="5"/>
  <c r="F19" i="5"/>
  <c r="E19" i="5"/>
  <c r="D19" i="5"/>
  <c r="B19" i="5"/>
  <c r="A19" i="5"/>
  <c r="M18" i="5"/>
  <c r="L18" i="5"/>
  <c r="K18" i="5"/>
  <c r="J18" i="5"/>
  <c r="I18" i="5"/>
  <c r="H18" i="5"/>
  <c r="G18" i="5"/>
  <c r="F18" i="5"/>
  <c r="E18" i="5"/>
  <c r="D18" i="5"/>
  <c r="B18" i="5"/>
  <c r="A18" i="5"/>
  <c r="M17" i="5"/>
  <c r="L17" i="5"/>
  <c r="K17" i="5"/>
  <c r="J17" i="5"/>
  <c r="I17" i="5"/>
  <c r="H17" i="5"/>
  <c r="G17" i="5"/>
  <c r="F17" i="5"/>
  <c r="E17" i="5"/>
  <c r="D17" i="5"/>
  <c r="B17" i="5"/>
  <c r="A17" i="5"/>
  <c r="M16" i="5"/>
  <c r="L16" i="5"/>
  <c r="K16" i="5"/>
  <c r="J16" i="5"/>
  <c r="I16" i="5"/>
  <c r="H16" i="5"/>
  <c r="G16" i="5"/>
  <c r="F16" i="5"/>
  <c r="E16" i="5"/>
  <c r="D16" i="5"/>
  <c r="B16" i="5"/>
  <c r="A16" i="5"/>
  <c r="M15" i="5"/>
  <c r="L15" i="5"/>
  <c r="K15" i="5"/>
  <c r="J15" i="5"/>
  <c r="I15" i="5"/>
  <c r="H15" i="5"/>
  <c r="G15" i="5"/>
  <c r="F15" i="5"/>
  <c r="E15" i="5"/>
  <c r="D15" i="5"/>
  <c r="B15" i="5"/>
  <c r="A15" i="5"/>
  <c r="M14" i="5"/>
  <c r="L14" i="5"/>
  <c r="K14" i="5"/>
  <c r="J14" i="5"/>
  <c r="I14" i="5"/>
  <c r="H14" i="5"/>
  <c r="G14" i="5"/>
  <c r="F14" i="5"/>
  <c r="E14" i="5"/>
  <c r="D14" i="5"/>
  <c r="B14" i="5"/>
  <c r="A14" i="5"/>
  <c r="M13" i="5"/>
  <c r="L13" i="5"/>
  <c r="K13" i="5"/>
  <c r="J13" i="5"/>
  <c r="I13" i="5"/>
  <c r="H13" i="5"/>
  <c r="G13" i="5"/>
  <c r="F13" i="5"/>
  <c r="E13" i="5"/>
  <c r="D13" i="5"/>
  <c r="B13" i="5"/>
  <c r="A13" i="5"/>
  <c r="M12" i="5"/>
  <c r="L12" i="5"/>
  <c r="K12" i="5"/>
  <c r="J12" i="5"/>
  <c r="I12" i="5"/>
  <c r="H12" i="5"/>
  <c r="G12" i="5"/>
  <c r="F12" i="5"/>
  <c r="E12" i="5"/>
  <c r="D12" i="5"/>
  <c r="B12" i="5"/>
  <c r="A12" i="5"/>
  <c r="M11" i="5"/>
  <c r="L11" i="5"/>
  <c r="K11" i="5"/>
  <c r="J11" i="5"/>
  <c r="I11" i="5"/>
  <c r="H11" i="5"/>
  <c r="G11" i="5"/>
  <c r="F11" i="5"/>
  <c r="E11" i="5"/>
  <c r="D11" i="5"/>
  <c r="B11" i="5"/>
  <c r="A11" i="5"/>
  <c r="M10" i="5"/>
  <c r="L10" i="5"/>
  <c r="K10" i="5"/>
  <c r="J10" i="5"/>
  <c r="I10" i="5"/>
  <c r="H10" i="5"/>
  <c r="G10" i="5"/>
  <c r="F10" i="5"/>
  <c r="E10" i="5"/>
  <c r="D10" i="5"/>
  <c r="B10" i="5"/>
  <c r="A10" i="5"/>
  <c r="M9" i="5"/>
  <c r="L9" i="5"/>
  <c r="K9" i="5"/>
  <c r="J9" i="5"/>
  <c r="I9" i="5"/>
  <c r="H9" i="5"/>
  <c r="G9" i="5"/>
  <c r="F9" i="5"/>
  <c r="E9" i="5"/>
  <c r="D9" i="5"/>
  <c r="B9" i="5"/>
  <c r="A9" i="5"/>
  <c r="M8" i="5"/>
  <c r="L8" i="5"/>
  <c r="K8" i="5"/>
  <c r="J8" i="5"/>
  <c r="I8" i="5"/>
  <c r="H8" i="5"/>
  <c r="G8" i="5"/>
  <c r="F8" i="5"/>
  <c r="E8" i="5"/>
  <c r="D8" i="5"/>
  <c r="B8" i="5"/>
  <c r="A8" i="5"/>
  <c r="M7" i="5"/>
  <c r="L7" i="5"/>
  <c r="K7" i="5"/>
  <c r="J7" i="5"/>
  <c r="I7" i="5"/>
  <c r="H7" i="5"/>
  <c r="G7" i="5"/>
  <c r="F7" i="5"/>
  <c r="E7" i="5"/>
  <c r="D7" i="5"/>
  <c r="B7" i="5"/>
  <c r="A7" i="5"/>
  <c r="M6" i="5"/>
  <c r="L6" i="5"/>
  <c r="K6" i="5"/>
  <c r="J6" i="5"/>
  <c r="I6" i="5"/>
  <c r="H6" i="5"/>
  <c r="G6" i="5"/>
  <c r="F6" i="5"/>
  <c r="E6" i="5"/>
  <c r="D6" i="5"/>
  <c r="B6" i="5"/>
  <c r="A6" i="5"/>
  <c r="M5" i="5"/>
  <c r="L5" i="5"/>
  <c r="K5" i="5"/>
  <c r="J5" i="5"/>
  <c r="I5" i="5"/>
  <c r="H5" i="5"/>
  <c r="G5" i="5"/>
  <c r="F5" i="5"/>
  <c r="E5" i="5"/>
  <c r="D5" i="5"/>
  <c r="B5" i="5"/>
  <c r="A5" i="5"/>
  <c r="R138" i="4"/>
  <c r="S138" i="4" s="1"/>
  <c r="P138" i="4"/>
  <c r="Q138" i="4" s="1"/>
  <c r="N138" i="4"/>
  <c r="H138" i="4"/>
  <c r="F138" i="4"/>
  <c r="E138" i="4"/>
  <c r="C138" i="4"/>
  <c r="A138" i="4"/>
  <c r="R137" i="4"/>
  <c r="S137" i="4" s="1"/>
  <c r="P137" i="4"/>
  <c r="Q137" i="4" s="1"/>
  <c r="N137" i="4"/>
  <c r="H137" i="4"/>
  <c r="F137" i="4"/>
  <c r="E137" i="4"/>
  <c r="C137" i="4"/>
  <c r="A137" i="4"/>
  <c r="R136" i="4"/>
  <c r="S136" i="4" s="1"/>
  <c r="P136" i="4"/>
  <c r="Q136" i="4" s="1"/>
  <c r="N136" i="4"/>
  <c r="H136" i="4"/>
  <c r="F136" i="4"/>
  <c r="E136" i="4"/>
  <c r="C136" i="4"/>
  <c r="A136" i="4"/>
  <c r="R135" i="4"/>
  <c r="S135" i="4" s="1"/>
  <c r="N135" i="4"/>
  <c r="H135" i="4"/>
  <c r="F135" i="4"/>
  <c r="E135" i="4"/>
  <c r="C135" i="4"/>
  <c r="A135" i="4"/>
  <c r="P135" i="4" s="1"/>
  <c r="Q135" i="4" s="1"/>
  <c r="R134" i="4"/>
  <c r="S134" i="4" s="1"/>
  <c r="Q134" i="4"/>
  <c r="P134" i="4"/>
  <c r="N134" i="4"/>
  <c r="H134" i="4"/>
  <c r="F134" i="4"/>
  <c r="E134" i="4"/>
  <c r="C134" i="4"/>
  <c r="A134" i="4"/>
  <c r="R133" i="4"/>
  <c r="S133" i="4" s="1"/>
  <c r="P133" i="4"/>
  <c r="Q133" i="4" s="1"/>
  <c r="N133" i="4"/>
  <c r="H133" i="4"/>
  <c r="F133" i="4"/>
  <c r="E133" i="4"/>
  <c r="C133" i="4"/>
  <c r="A133" i="4"/>
  <c r="R132" i="4"/>
  <c r="S132" i="4" s="1"/>
  <c r="P132" i="4"/>
  <c r="Q132" i="4" s="1"/>
  <c r="N132" i="4"/>
  <c r="H132" i="4"/>
  <c r="F132" i="4"/>
  <c r="E132" i="4"/>
  <c r="I856" i="2" s="1"/>
  <c r="J856" i="2" s="1"/>
  <c r="C132" i="4"/>
  <c r="A132" i="4"/>
  <c r="R131" i="4"/>
  <c r="S131" i="4" s="1"/>
  <c r="N131" i="4"/>
  <c r="H131" i="4"/>
  <c r="F131" i="4"/>
  <c r="E131" i="4"/>
  <c r="C131" i="4"/>
  <c r="A131" i="4"/>
  <c r="P131" i="4" s="1"/>
  <c r="Q131" i="4" s="1"/>
  <c r="R130" i="4"/>
  <c r="S130" i="4" s="1"/>
  <c r="P130" i="4"/>
  <c r="Q130" i="4" s="1"/>
  <c r="N130" i="4"/>
  <c r="H130" i="4"/>
  <c r="F130" i="4"/>
  <c r="E130" i="4"/>
  <c r="C130" i="4"/>
  <c r="A130" i="4"/>
  <c r="R129" i="4"/>
  <c r="S129" i="4" s="1"/>
  <c r="P129" i="4"/>
  <c r="Q129" i="4" s="1"/>
  <c r="N129" i="4"/>
  <c r="H129" i="4"/>
  <c r="F129" i="4"/>
  <c r="E129" i="4"/>
  <c r="C129" i="4"/>
  <c r="A129" i="4"/>
  <c r="R128" i="4"/>
  <c r="S128" i="4" s="1"/>
  <c r="P128" i="4"/>
  <c r="Q128" i="4" s="1"/>
  <c r="N128" i="4"/>
  <c r="H128" i="4"/>
  <c r="F128" i="4"/>
  <c r="E128" i="4"/>
  <c r="C128" i="4"/>
  <c r="A128" i="4"/>
  <c r="R127" i="4"/>
  <c r="S127" i="4" s="1"/>
  <c r="N127" i="4"/>
  <c r="H127" i="4"/>
  <c r="F127" i="4"/>
  <c r="E127" i="4"/>
  <c r="C127" i="4"/>
  <c r="A127" i="4"/>
  <c r="P127" i="4" s="1"/>
  <c r="Q127" i="4" s="1"/>
  <c r="R126" i="4"/>
  <c r="S126" i="4" s="1"/>
  <c r="P126" i="4"/>
  <c r="Q126" i="4" s="1"/>
  <c r="N126" i="4"/>
  <c r="H126" i="4"/>
  <c r="F126" i="4"/>
  <c r="E126" i="4"/>
  <c r="C126" i="4"/>
  <c r="A126" i="4"/>
  <c r="R125" i="4"/>
  <c r="S125" i="4" s="1"/>
  <c r="P125" i="4"/>
  <c r="Q125" i="4" s="1"/>
  <c r="N125" i="4"/>
  <c r="H125" i="4"/>
  <c r="F125" i="4"/>
  <c r="E125" i="4"/>
  <c r="C125" i="4"/>
  <c r="A125" i="4"/>
  <c r="R124" i="4"/>
  <c r="S124" i="4" s="1"/>
  <c r="P124" i="4"/>
  <c r="Q124" i="4" s="1"/>
  <c r="N124" i="4"/>
  <c r="H124" i="4"/>
  <c r="F124" i="4"/>
  <c r="E124" i="4"/>
  <c r="C124" i="4"/>
  <c r="A124" i="4"/>
  <c r="R123" i="4"/>
  <c r="S123" i="4" s="1"/>
  <c r="N123" i="4"/>
  <c r="H123" i="4"/>
  <c r="F123" i="4"/>
  <c r="E123" i="4"/>
  <c r="C123" i="4"/>
  <c r="A123" i="4"/>
  <c r="P123" i="4" s="1"/>
  <c r="Q123" i="4" s="1"/>
  <c r="R122" i="4"/>
  <c r="S122" i="4" s="1"/>
  <c r="P122" i="4"/>
  <c r="Q122" i="4" s="1"/>
  <c r="N122" i="4"/>
  <c r="H122" i="4"/>
  <c r="F122" i="4"/>
  <c r="E122" i="4"/>
  <c r="C122" i="4"/>
  <c r="A122" i="4"/>
  <c r="R121" i="4"/>
  <c r="S121" i="4" s="1"/>
  <c r="P121" i="4"/>
  <c r="Q121" i="4" s="1"/>
  <c r="N121" i="4"/>
  <c r="H121" i="4"/>
  <c r="F121" i="4"/>
  <c r="E121" i="4"/>
  <c r="C121" i="4"/>
  <c r="A121" i="4"/>
  <c r="R120" i="4"/>
  <c r="S120" i="4" s="1"/>
  <c r="P120" i="4"/>
  <c r="Q120" i="4" s="1"/>
  <c r="N120" i="4"/>
  <c r="H120" i="4"/>
  <c r="F120" i="4"/>
  <c r="E120" i="4"/>
  <c r="C120" i="4"/>
  <c r="A120" i="4"/>
  <c r="R119" i="4"/>
  <c r="S119" i="4" s="1"/>
  <c r="N119" i="4"/>
  <c r="H119" i="4"/>
  <c r="F119" i="4"/>
  <c r="E119" i="4"/>
  <c r="C119" i="4"/>
  <c r="A119" i="4"/>
  <c r="P119" i="4" s="1"/>
  <c r="Q119" i="4" s="1"/>
  <c r="R118" i="4"/>
  <c r="S118" i="4" s="1"/>
  <c r="P118" i="4"/>
  <c r="Q118" i="4" s="1"/>
  <c r="N118" i="4"/>
  <c r="H118" i="4"/>
  <c r="F118" i="4"/>
  <c r="E118" i="4"/>
  <c r="C118" i="4"/>
  <c r="A118" i="4"/>
  <c r="R117" i="4"/>
  <c r="S117" i="4" s="1"/>
  <c r="P117" i="4"/>
  <c r="Q117" i="4" s="1"/>
  <c r="N117" i="4"/>
  <c r="H117" i="4"/>
  <c r="F117" i="4"/>
  <c r="E117" i="4"/>
  <c r="C117" i="4"/>
  <c r="A117" i="4"/>
  <c r="R116" i="4"/>
  <c r="S116" i="4" s="1"/>
  <c r="P116" i="4"/>
  <c r="Q116" i="4" s="1"/>
  <c r="N116" i="4"/>
  <c r="H116" i="4"/>
  <c r="F116" i="4"/>
  <c r="E116" i="4"/>
  <c r="C116" i="4"/>
  <c r="A116" i="4"/>
  <c r="R115" i="4"/>
  <c r="S115" i="4" s="1"/>
  <c r="N115" i="4"/>
  <c r="H115" i="4"/>
  <c r="F115" i="4"/>
  <c r="E115" i="4"/>
  <c r="C115" i="4"/>
  <c r="A115" i="4"/>
  <c r="P115" i="4" s="1"/>
  <c r="Q115" i="4" s="1"/>
  <c r="R114" i="4"/>
  <c r="S114" i="4" s="1"/>
  <c r="Q114" i="4"/>
  <c r="P114" i="4"/>
  <c r="N114" i="4"/>
  <c r="H114" i="4"/>
  <c r="F114" i="4"/>
  <c r="E114" i="4"/>
  <c r="C114" i="4"/>
  <c r="A114" i="4"/>
  <c r="R113" i="4"/>
  <c r="S113" i="4" s="1"/>
  <c r="P113" i="4"/>
  <c r="Q113" i="4" s="1"/>
  <c r="N113" i="4"/>
  <c r="H113" i="4"/>
  <c r="F113" i="4"/>
  <c r="E113" i="4"/>
  <c r="C113" i="4"/>
  <c r="A113" i="4"/>
  <c r="R112" i="4"/>
  <c r="S112" i="4" s="1"/>
  <c r="P112" i="4"/>
  <c r="Q112" i="4" s="1"/>
  <c r="N112" i="4"/>
  <c r="H112" i="4"/>
  <c r="F112" i="4"/>
  <c r="E112" i="4"/>
  <c r="C112" i="4"/>
  <c r="A112" i="4"/>
  <c r="R111" i="4"/>
  <c r="S111" i="4" s="1"/>
  <c r="N111" i="4"/>
  <c r="H111" i="4"/>
  <c r="F111" i="4"/>
  <c r="E111" i="4"/>
  <c r="C111" i="4"/>
  <c r="A111" i="4"/>
  <c r="P111" i="4" s="1"/>
  <c r="Q111" i="4" s="1"/>
  <c r="R110" i="4"/>
  <c r="S110" i="4" s="1"/>
  <c r="Q110" i="4"/>
  <c r="P110" i="4"/>
  <c r="N110" i="4"/>
  <c r="H110" i="4"/>
  <c r="F110" i="4"/>
  <c r="E110" i="4"/>
  <c r="C110" i="4"/>
  <c r="A110" i="4"/>
  <c r="R109" i="4"/>
  <c r="S109" i="4" s="1"/>
  <c r="P109" i="4"/>
  <c r="Q109" i="4" s="1"/>
  <c r="N109" i="4"/>
  <c r="H109" i="4"/>
  <c r="F109" i="4"/>
  <c r="E109" i="4"/>
  <c r="C109" i="4"/>
  <c r="A109" i="4"/>
  <c r="R108" i="4"/>
  <c r="S108" i="4" s="1"/>
  <c r="P108" i="4"/>
  <c r="Q108" i="4" s="1"/>
  <c r="N108" i="4"/>
  <c r="H108" i="4"/>
  <c r="F108" i="4"/>
  <c r="E108" i="4"/>
  <c r="C108" i="4"/>
  <c r="A108" i="4"/>
  <c r="R107" i="4"/>
  <c r="S107" i="4" s="1"/>
  <c r="N107" i="4"/>
  <c r="H107" i="4"/>
  <c r="F107" i="4"/>
  <c r="E107" i="4"/>
  <c r="C107" i="4"/>
  <c r="A107" i="4"/>
  <c r="P107" i="4" s="1"/>
  <c r="Q107" i="4" s="1"/>
  <c r="R106" i="4"/>
  <c r="S106" i="4" s="1"/>
  <c r="Q106" i="4"/>
  <c r="P106" i="4"/>
  <c r="N106" i="4"/>
  <c r="H106" i="4"/>
  <c r="F106" i="4"/>
  <c r="E106" i="4"/>
  <c r="C106" i="4"/>
  <c r="A106" i="4"/>
  <c r="R105" i="4"/>
  <c r="S105" i="4" s="1"/>
  <c r="P105" i="4"/>
  <c r="Q105" i="4" s="1"/>
  <c r="N105" i="4"/>
  <c r="H105" i="4"/>
  <c r="F105" i="4"/>
  <c r="E105" i="4"/>
  <c r="C105" i="4"/>
  <c r="A105" i="4"/>
  <c r="R104" i="4"/>
  <c r="S104" i="4" s="1"/>
  <c r="P104" i="4"/>
  <c r="Q104" i="4" s="1"/>
  <c r="N104" i="4"/>
  <c r="H104" i="4"/>
  <c r="F104" i="4"/>
  <c r="E104" i="4"/>
  <c r="C104" i="4"/>
  <c r="A104" i="4"/>
  <c r="R103" i="4"/>
  <c r="S103" i="4" s="1"/>
  <c r="N103" i="4"/>
  <c r="H103" i="4"/>
  <c r="F103" i="4"/>
  <c r="E103" i="4"/>
  <c r="C103" i="4"/>
  <c r="A103" i="4"/>
  <c r="P103" i="4" s="1"/>
  <c r="Q103" i="4" s="1"/>
  <c r="R102" i="4"/>
  <c r="S102" i="4" s="1"/>
  <c r="Q102" i="4"/>
  <c r="P102" i="4"/>
  <c r="N102" i="4"/>
  <c r="H102" i="4"/>
  <c r="F102" i="4"/>
  <c r="E102" i="4"/>
  <c r="C102" i="4"/>
  <c r="A102" i="4"/>
  <c r="R101" i="4"/>
  <c r="S101" i="4" s="1"/>
  <c r="P101" i="4"/>
  <c r="Q101" i="4" s="1"/>
  <c r="N101" i="4"/>
  <c r="H101" i="4"/>
  <c r="F101" i="4"/>
  <c r="E101" i="4"/>
  <c r="C101" i="4"/>
  <c r="A101" i="4"/>
  <c r="R100" i="4"/>
  <c r="S100" i="4" s="1"/>
  <c r="P100" i="4"/>
  <c r="Q100" i="4" s="1"/>
  <c r="N100" i="4"/>
  <c r="H100" i="4"/>
  <c r="F100" i="4"/>
  <c r="E100" i="4"/>
  <c r="C100" i="4"/>
  <c r="A100" i="4"/>
  <c r="R99" i="4"/>
  <c r="S99" i="4" s="1"/>
  <c r="Q99" i="4"/>
  <c r="N99" i="4"/>
  <c r="H99" i="4"/>
  <c r="F99" i="4"/>
  <c r="E99" i="4"/>
  <c r="C99" i="4"/>
  <c r="A99" i="4"/>
  <c r="P99" i="4" s="1"/>
  <c r="R84" i="4"/>
  <c r="Q84" i="4"/>
  <c r="P84" i="4"/>
  <c r="O84" i="4"/>
  <c r="E84" i="4"/>
  <c r="G84" i="4" s="1"/>
  <c r="D84" i="4"/>
  <c r="A84" i="4"/>
  <c r="R83" i="4"/>
  <c r="Q83" i="4"/>
  <c r="P83" i="4"/>
  <c r="O83" i="4"/>
  <c r="E83" i="4"/>
  <c r="G83" i="4" s="1"/>
  <c r="D83" i="4"/>
  <c r="A83" i="4"/>
  <c r="R82" i="4"/>
  <c r="Q82" i="4"/>
  <c r="P82" i="4"/>
  <c r="O82" i="4"/>
  <c r="E82" i="4"/>
  <c r="G82" i="4" s="1"/>
  <c r="D82" i="4"/>
  <c r="A82" i="4"/>
  <c r="R81" i="4"/>
  <c r="Q81" i="4"/>
  <c r="P81" i="4"/>
  <c r="O81" i="4"/>
  <c r="E81" i="4"/>
  <c r="G81" i="4" s="1"/>
  <c r="D81" i="4"/>
  <c r="A81" i="4"/>
  <c r="R80" i="4"/>
  <c r="Q80" i="4"/>
  <c r="P80" i="4"/>
  <c r="O80" i="4"/>
  <c r="E80" i="4"/>
  <c r="G80" i="4" s="1"/>
  <c r="D80" i="4"/>
  <c r="A80" i="4"/>
  <c r="R79" i="4"/>
  <c r="Q79" i="4"/>
  <c r="P79" i="4"/>
  <c r="O79" i="4"/>
  <c r="E79" i="4"/>
  <c r="G79" i="4" s="1"/>
  <c r="D79" i="4"/>
  <c r="A79" i="4"/>
  <c r="R78" i="4"/>
  <c r="Q78" i="4"/>
  <c r="P78" i="4"/>
  <c r="O78" i="4"/>
  <c r="E78" i="4"/>
  <c r="G78" i="4" s="1"/>
  <c r="D78" i="4"/>
  <c r="A78" i="4"/>
  <c r="R77" i="4"/>
  <c r="Q77" i="4"/>
  <c r="P77" i="4"/>
  <c r="O77" i="4"/>
  <c r="E77" i="4"/>
  <c r="G77" i="4" s="1"/>
  <c r="D77" i="4"/>
  <c r="A77" i="4"/>
  <c r="R76" i="4"/>
  <c r="Q76" i="4"/>
  <c r="P76" i="4"/>
  <c r="O76" i="4"/>
  <c r="E76" i="4"/>
  <c r="G76" i="4" s="1"/>
  <c r="D76" i="4"/>
  <c r="A76" i="4"/>
  <c r="R75" i="4"/>
  <c r="Q75" i="4"/>
  <c r="P75" i="4"/>
  <c r="O75" i="4"/>
  <c r="E75" i="4"/>
  <c r="G75" i="4" s="1"/>
  <c r="D75" i="4"/>
  <c r="A75" i="4"/>
  <c r="R74" i="4"/>
  <c r="Q74" i="4"/>
  <c r="P74" i="4"/>
  <c r="O74" i="4"/>
  <c r="E74" i="4"/>
  <c r="G74" i="4" s="1"/>
  <c r="D74" i="4"/>
  <c r="A74" i="4"/>
  <c r="R73" i="4"/>
  <c r="Q73" i="4"/>
  <c r="P73" i="4"/>
  <c r="O73" i="4"/>
  <c r="E73" i="4"/>
  <c r="G73" i="4" s="1"/>
  <c r="D73" i="4"/>
  <c r="A73" i="4"/>
  <c r="R72" i="4"/>
  <c r="Q72" i="4"/>
  <c r="P72" i="4"/>
  <c r="O72" i="4"/>
  <c r="E72" i="4"/>
  <c r="G72" i="4" s="1"/>
  <c r="D72" i="4"/>
  <c r="A72" i="4"/>
  <c r="R71" i="4"/>
  <c r="Q71" i="4"/>
  <c r="P71" i="4"/>
  <c r="O71" i="4"/>
  <c r="E71" i="4"/>
  <c r="G71" i="4" s="1"/>
  <c r="D71" i="4"/>
  <c r="A71" i="4"/>
  <c r="R70" i="4"/>
  <c r="Q70" i="4"/>
  <c r="P70" i="4"/>
  <c r="O70" i="4"/>
  <c r="E70" i="4"/>
  <c r="G70" i="4" s="1"/>
  <c r="D70" i="4"/>
  <c r="A70" i="4"/>
  <c r="R69" i="4"/>
  <c r="Q69" i="4"/>
  <c r="P69" i="4"/>
  <c r="O69" i="4"/>
  <c r="E69" i="4"/>
  <c r="G69" i="4" s="1"/>
  <c r="D69" i="4"/>
  <c r="A69" i="4"/>
  <c r="R68" i="4"/>
  <c r="Q68" i="4"/>
  <c r="P68" i="4"/>
  <c r="O68" i="4"/>
  <c r="E68" i="4"/>
  <c r="G68" i="4" s="1"/>
  <c r="D68" i="4"/>
  <c r="A68" i="4"/>
  <c r="R67" i="4"/>
  <c r="Q67" i="4"/>
  <c r="P67" i="4"/>
  <c r="O67" i="4"/>
  <c r="E67" i="4"/>
  <c r="G67" i="4" s="1"/>
  <c r="D67" i="4"/>
  <c r="A67" i="4"/>
  <c r="R66" i="4"/>
  <c r="Q66" i="4"/>
  <c r="P66" i="4"/>
  <c r="O66" i="4"/>
  <c r="E66" i="4"/>
  <c r="G66" i="4" s="1"/>
  <c r="D66" i="4"/>
  <c r="A66" i="4"/>
  <c r="R65" i="4"/>
  <c r="Q65" i="4"/>
  <c r="P65" i="4"/>
  <c r="O65" i="4"/>
  <c r="E65" i="4"/>
  <c r="G65" i="4" s="1"/>
  <c r="D65" i="4"/>
  <c r="A65" i="4"/>
  <c r="R64" i="4"/>
  <c r="Q64" i="4"/>
  <c r="P64" i="4"/>
  <c r="O64" i="4"/>
  <c r="E64" i="4"/>
  <c r="G64" i="4" s="1"/>
  <c r="D64" i="4"/>
  <c r="A64" i="4"/>
  <c r="R63" i="4"/>
  <c r="Q63" i="4"/>
  <c r="P63" i="4"/>
  <c r="O63" i="4"/>
  <c r="E63" i="4"/>
  <c r="G63" i="4" s="1"/>
  <c r="D63" i="4"/>
  <c r="A63" i="4"/>
  <c r="R62" i="4"/>
  <c r="Q62" i="4"/>
  <c r="P62" i="4"/>
  <c r="O62" i="4"/>
  <c r="E62" i="4"/>
  <c r="G62" i="4" s="1"/>
  <c r="D62" i="4"/>
  <c r="A62" i="4"/>
  <c r="R61" i="4"/>
  <c r="Q61" i="4"/>
  <c r="P61" i="4"/>
  <c r="O61" i="4"/>
  <c r="E61" i="4"/>
  <c r="G61" i="4" s="1"/>
  <c r="D61" i="4"/>
  <c r="A61" i="4"/>
  <c r="R60" i="4"/>
  <c r="Q60" i="4"/>
  <c r="P60" i="4"/>
  <c r="O60" i="4"/>
  <c r="E60" i="4"/>
  <c r="G60" i="4" s="1"/>
  <c r="D60" i="4"/>
  <c r="A60" i="4"/>
  <c r="R59" i="4"/>
  <c r="Q59" i="4"/>
  <c r="P59" i="4"/>
  <c r="O59" i="4"/>
  <c r="E59" i="4"/>
  <c r="G59" i="4" s="1"/>
  <c r="D59" i="4"/>
  <c r="A59" i="4"/>
  <c r="R58" i="4"/>
  <c r="Q58" i="4"/>
  <c r="P58" i="4"/>
  <c r="O58" i="4"/>
  <c r="E58" i="4"/>
  <c r="G58" i="4" s="1"/>
  <c r="D58" i="4"/>
  <c r="A58" i="4"/>
  <c r="R57" i="4"/>
  <c r="Q57" i="4"/>
  <c r="P57" i="4"/>
  <c r="O57" i="4"/>
  <c r="E57" i="4"/>
  <c r="G57" i="4" s="1"/>
  <c r="D57" i="4"/>
  <c r="A57" i="4"/>
  <c r="R56" i="4"/>
  <c r="Q56" i="4"/>
  <c r="P56" i="4"/>
  <c r="O56" i="4"/>
  <c r="E56" i="4"/>
  <c r="G56" i="4" s="1"/>
  <c r="D56" i="4"/>
  <c r="A56" i="4"/>
  <c r="R55" i="4"/>
  <c r="Q55" i="4"/>
  <c r="P55" i="4"/>
  <c r="O55" i="4"/>
  <c r="E55" i="4"/>
  <c r="G55" i="4" s="1"/>
  <c r="D55" i="4"/>
  <c r="A55" i="4"/>
  <c r="R54" i="4"/>
  <c r="Q54" i="4"/>
  <c r="P54" i="4"/>
  <c r="O54" i="4"/>
  <c r="E54" i="4"/>
  <c r="G54" i="4" s="1"/>
  <c r="D54" i="4"/>
  <c r="A54" i="4"/>
  <c r="R53" i="4"/>
  <c r="Q53" i="4"/>
  <c r="P53" i="4"/>
  <c r="O53" i="4"/>
  <c r="E53" i="4"/>
  <c r="G53" i="4" s="1"/>
  <c r="D53" i="4"/>
  <c r="A53" i="4"/>
  <c r="R52" i="4"/>
  <c r="Q52" i="4"/>
  <c r="P52" i="4"/>
  <c r="O52" i="4"/>
  <c r="E52" i="4"/>
  <c r="G52" i="4" s="1"/>
  <c r="D52" i="4"/>
  <c r="A52" i="4"/>
  <c r="R51" i="4"/>
  <c r="Q51" i="4"/>
  <c r="P51" i="4"/>
  <c r="O51" i="4"/>
  <c r="E51" i="4"/>
  <c r="G51" i="4" s="1"/>
  <c r="D51" i="4"/>
  <c r="A51" i="4"/>
  <c r="R50" i="4"/>
  <c r="Q50" i="4"/>
  <c r="P50" i="4"/>
  <c r="O50" i="4"/>
  <c r="E50" i="4"/>
  <c r="G50" i="4" s="1"/>
  <c r="D50" i="4"/>
  <c r="A50" i="4"/>
  <c r="R49" i="4"/>
  <c r="Q49" i="4"/>
  <c r="P49" i="4"/>
  <c r="O49" i="4"/>
  <c r="E49" i="4"/>
  <c r="G49" i="4" s="1"/>
  <c r="D49" i="4"/>
  <c r="A49" i="4"/>
  <c r="R48" i="4"/>
  <c r="Q48" i="4"/>
  <c r="P48" i="4"/>
  <c r="O48" i="4"/>
  <c r="E48" i="4"/>
  <c r="G48" i="4" s="1"/>
  <c r="D48" i="4"/>
  <c r="A48" i="4"/>
  <c r="R47" i="4"/>
  <c r="Q47" i="4"/>
  <c r="P47" i="4"/>
  <c r="O47" i="4"/>
  <c r="E47" i="4"/>
  <c r="G47" i="4" s="1"/>
  <c r="D47" i="4"/>
  <c r="A47" i="4"/>
  <c r="R46" i="4"/>
  <c r="Q46" i="4"/>
  <c r="P46" i="4"/>
  <c r="O46" i="4"/>
  <c r="E46" i="4"/>
  <c r="G46" i="4" s="1"/>
  <c r="D46" i="4"/>
  <c r="A46" i="4"/>
  <c r="R45" i="4"/>
  <c r="Q45" i="4"/>
  <c r="P45" i="4"/>
  <c r="O45" i="4"/>
  <c r="E45" i="4"/>
  <c r="G45" i="4" s="1"/>
  <c r="D45" i="4"/>
  <c r="A45" i="4"/>
  <c r="R44" i="4"/>
  <c r="Q44" i="4"/>
  <c r="P44" i="4"/>
  <c r="O44" i="4"/>
  <c r="E44" i="4"/>
  <c r="G44" i="4" s="1"/>
  <c r="D44" i="4"/>
  <c r="A44" i="4"/>
  <c r="R43" i="4"/>
  <c r="Q43" i="4"/>
  <c r="P43" i="4"/>
  <c r="O43" i="4"/>
  <c r="E43" i="4"/>
  <c r="G43" i="4" s="1"/>
  <c r="D43" i="4"/>
  <c r="A43" i="4"/>
  <c r="R42" i="4"/>
  <c r="Q42" i="4"/>
  <c r="P42" i="4"/>
  <c r="O42" i="4"/>
  <c r="E42" i="4"/>
  <c r="G42" i="4" s="1"/>
  <c r="D42" i="4"/>
  <c r="A42" i="4"/>
  <c r="R41" i="4"/>
  <c r="Q41" i="4"/>
  <c r="P41" i="4"/>
  <c r="O41" i="4"/>
  <c r="E41" i="4"/>
  <c r="G41" i="4" s="1"/>
  <c r="D41" i="4"/>
  <c r="A41" i="4"/>
  <c r="R40" i="4"/>
  <c r="Q40" i="4"/>
  <c r="P40" i="4"/>
  <c r="O40" i="4"/>
  <c r="E40" i="4"/>
  <c r="G40" i="4" s="1"/>
  <c r="D40" i="4"/>
  <c r="A40" i="4"/>
  <c r="R39" i="4"/>
  <c r="Q39" i="4"/>
  <c r="P39" i="4"/>
  <c r="O39" i="4"/>
  <c r="E39" i="4"/>
  <c r="G39" i="4" s="1"/>
  <c r="D39" i="4"/>
  <c r="A39" i="4"/>
  <c r="R38" i="4"/>
  <c r="Q38" i="4"/>
  <c r="P38" i="4"/>
  <c r="O38" i="4"/>
  <c r="E38" i="4"/>
  <c r="G38" i="4" s="1"/>
  <c r="D38" i="4"/>
  <c r="A38" i="4"/>
  <c r="R37" i="4"/>
  <c r="Q37" i="4"/>
  <c r="P37" i="4"/>
  <c r="O37" i="4"/>
  <c r="E37" i="4"/>
  <c r="G37" i="4" s="1"/>
  <c r="D37" i="4"/>
  <c r="A37" i="4"/>
  <c r="R36" i="4"/>
  <c r="Q36" i="4"/>
  <c r="P36" i="4"/>
  <c r="O36" i="4"/>
  <c r="E36" i="4"/>
  <c r="G36" i="4" s="1"/>
  <c r="D36" i="4"/>
  <c r="A36" i="4"/>
  <c r="R35" i="4"/>
  <c r="Q35" i="4"/>
  <c r="P35" i="4"/>
  <c r="O35" i="4"/>
  <c r="E35" i="4"/>
  <c r="G35" i="4" s="1"/>
  <c r="D35" i="4"/>
  <c r="A35" i="4"/>
  <c r="R34" i="4"/>
  <c r="Q34" i="4"/>
  <c r="P34" i="4"/>
  <c r="O34" i="4"/>
  <c r="E34" i="4"/>
  <c r="G34" i="4" s="1"/>
  <c r="D34" i="4"/>
  <c r="A34" i="4"/>
  <c r="R33" i="4"/>
  <c r="Q33" i="4"/>
  <c r="P33" i="4"/>
  <c r="O33" i="4"/>
  <c r="E33" i="4"/>
  <c r="G33" i="4" s="1"/>
  <c r="D33" i="4"/>
  <c r="A33" i="4"/>
  <c r="R32" i="4"/>
  <c r="Q32" i="4"/>
  <c r="P32" i="4"/>
  <c r="O32" i="4"/>
  <c r="E32" i="4"/>
  <c r="G32" i="4" s="1"/>
  <c r="D32" i="4"/>
  <c r="A32" i="4"/>
  <c r="R31" i="4"/>
  <c r="Q31" i="4"/>
  <c r="P31" i="4"/>
  <c r="O31" i="4"/>
  <c r="E31" i="4"/>
  <c r="G31" i="4" s="1"/>
  <c r="D31" i="4"/>
  <c r="A31" i="4"/>
  <c r="R30" i="4"/>
  <c r="Q30" i="4"/>
  <c r="P30" i="4"/>
  <c r="O30" i="4"/>
  <c r="E30" i="4"/>
  <c r="G30" i="4" s="1"/>
  <c r="D30" i="4"/>
  <c r="A30" i="4"/>
  <c r="R29" i="4"/>
  <c r="Q29" i="4"/>
  <c r="P29" i="4"/>
  <c r="O29" i="4"/>
  <c r="E29" i="4"/>
  <c r="G29" i="4" s="1"/>
  <c r="D29" i="4"/>
  <c r="A29" i="4"/>
  <c r="R28" i="4"/>
  <c r="Q28" i="4"/>
  <c r="P28" i="4"/>
  <c r="O28" i="4"/>
  <c r="E28" i="4"/>
  <c r="G28" i="4" s="1"/>
  <c r="D28" i="4"/>
  <c r="A28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R27" i="4"/>
  <c r="Q27" i="4"/>
  <c r="P27" i="4"/>
  <c r="O27" i="4"/>
  <c r="E27" i="4"/>
  <c r="G27" i="4" s="1"/>
  <c r="D27" i="4"/>
  <c r="A27" i="4"/>
  <c r="R26" i="4"/>
  <c r="Q26" i="4"/>
  <c r="P26" i="4"/>
  <c r="O26" i="4"/>
  <c r="E26" i="4"/>
  <c r="G26" i="4" s="1"/>
  <c r="D26" i="4"/>
  <c r="A26" i="4"/>
  <c r="R25" i="4"/>
  <c r="Q25" i="4"/>
  <c r="P25" i="4"/>
  <c r="O25" i="4"/>
  <c r="E25" i="4"/>
  <c r="G25" i="4" s="1"/>
  <c r="D25" i="4"/>
  <c r="A25" i="4"/>
  <c r="R24" i="4"/>
  <c r="Q24" i="4"/>
  <c r="P24" i="4"/>
  <c r="O24" i="4"/>
  <c r="E24" i="4"/>
  <c r="G24" i="4" s="1"/>
  <c r="D24" i="4"/>
  <c r="A24" i="4"/>
  <c r="R23" i="4"/>
  <c r="Q23" i="4"/>
  <c r="P23" i="4"/>
  <c r="O23" i="4"/>
  <c r="E23" i="4"/>
  <c r="G23" i="4" s="1"/>
  <c r="D23" i="4"/>
  <c r="A23" i="4"/>
  <c r="R22" i="4"/>
  <c r="Q22" i="4"/>
  <c r="P22" i="4"/>
  <c r="E22" i="4"/>
  <c r="O22" i="4" s="1"/>
  <c r="D22" i="4"/>
  <c r="A22" i="4"/>
  <c r="R21" i="4"/>
  <c r="Q21" i="4"/>
  <c r="P21" i="4"/>
  <c r="E21" i="4"/>
  <c r="O21" i="4" s="1"/>
  <c r="D21" i="4"/>
  <c r="A21" i="4"/>
  <c r="R20" i="4"/>
  <c r="Q20" i="4"/>
  <c r="P20" i="4"/>
  <c r="E20" i="4"/>
  <c r="O20" i="4" s="1"/>
  <c r="D20" i="4"/>
  <c r="A20" i="4"/>
  <c r="R19" i="4"/>
  <c r="Q19" i="4"/>
  <c r="P19" i="4"/>
  <c r="E19" i="4"/>
  <c r="O19" i="4" s="1"/>
  <c r="D19" i="4"/>
  <c r="A19" i="4"/>
  <c r="R18" i="4"/>
  <c r="Q18" i="4"/>
  <c r="P18" i="4"/>
  <c r="E18" i="4"/>
  <c r="O18" i="4" s="1"/>
  <c r="D18" i="4"/>
  <c r="A18" i="4"/>
  <c r="R17" i="4"/>
  <c r="Q17" i="4"/>
  <c r="P17" i="4"/>
  <c r="E17" i="4"/>
  <c r="O17" i="4" s="1"/>
  <c r="D17" i="4"/>
  <c r="A17" i="4"/>
  <c r="R16" i="4"/>
  <c r="Q16" i="4"/>
  <c r="P16" i="4"/>
  <c r="E16" i="4"/>
  <c r="O16" i="4" s="1"/>
  <c r="D16" i="4"/>
  <c r="A16" i="4"/>
  <c r="R15" i="4"/>
  <c r="Q15" i="4"/>
  <c r="P15" i="4"/>
  <c r="E15" i="4"/>
  <c r="O15" i="4" s="1"/>
  <c r="D15" i="4"/>
  <c r="A15" i="4"/>
  <c r="R14" i="4"/>
  <c r="Q14" i="4"/>
  <c r="P14" i="4"/>
  <c r="E14" i="4"/>
  <c r="D14" i="4"/>
  <c r="A14" i="4"/>
  <c r="R13" i="4"/>
  <c r="Q13" i="4"/>
  <c r="P13" i="4"/>
  <c r="E13" i="4"/>
  <c r="G13" i="4" s="1"/>
  <c r="D13" i="4"/>
  <c r="A13" i="4"/>
  <c r="R12" i="4"/>
  <c r="Q12" i="4"/>
  <c r="P12" i="4"/>
  <c r="E12" i="4"/>
  <c r="G12" i="4" s="1"/>
  <c r="D12" i="4"/>
  <c r="A12" i="4"/>
  <c r="R11" i="4"/>
  <c r="Q11" i="4"/>
  <c r="P11" i="4"/>
  <c r="E11" i="4"/>
  <c r="G11" i="4" s="1"/>
  <c r="D11" i="4"/>
  <c r="A11" i="4"/>
  <c r="R10" i="4"/>
  <c r="Q10" i="4"/>
  <c r="P10" i="4"/>
  <c r="E10" i="4"/>
  <c r="D10" i="4"/>
  <c r="A10" i="4"/>
  <c r="R9" i="4"/>
  <c r="Q9" i="4"/>
  <c r="P9" i="4"/>
  <c r="E9" i="4"/>
  <c r="G9" i="4" s="1"/>
  <c r="D9" i="4"/>
  <c r="A9" i="4"/>
  <c r="R8" i="4"/>
  <c r="Q8" i="4"/>
  <c r="P8" i="4"/>
  <c r="E8" i="4"/>
  <c r="G8" i="4" s="1"/>
  <c r="D8" i="4"/>
  <c r="A8" i="4"/>
  <c r="R7" i="4"/>
  <c r="Q7" i="4"/>
  <c r="P7" i="4"/>
  <c r="E7" i="4"/>
  <c r="G7" i="4" s="1"/>
  <c r="D7" i="4"/>
  <c r="A7" i="4"/>
  <c r="R6" i="4"/>
  <c r="Q6" i="4"/>
  <c r="P6" i="4"/>
  <c r="E6" i="4"/>
  <c r="O6" i="4" s="1"/>
  <c r="D6" i="4"/>
  <c r="A6" i="4"/>
  <c r="R5" i="4"/>
  <c r="Q5" i="4"/>
  <c r="P5" i="4"/>
  <c r="E5" i="4"/>
  <c r="D5" i="4"/>
  <c r="A5" i="4"/>
  <c r="N304" i="3"/>
  <c r="A304" i="3"/>
  <c r="N303" i="3"/>
  <c r="A303" i="3"/>
  <c r="N302" i="3"/>
  <c r="A302" i="3"/>
  <c r="N301" i="3"/>
  <c r="A301" i="3"/>
  <c r="N300" i="3"/>
  <c r="A300" i="3"/>
  <c r="N299" i="3"/>
  <c r="A299" i="3"/>
  <c r="N298" i="3"/>
  <c r="A298" i="3"/>
  <c r="N297" i="3"/>
  <c r="A297" i="3"/>
  <c r="N296" i="3"/>
  <c r="A296" i="3"/>
  <c r="N295" i="3"/>
  <c r="A295" i="3"/>
  <c r="N294" i="3"/>
  <c r="A294" i="3"/>
  <c r="N293" i="3"/>
  <c r="A293" i="3"/>
  <c r="N292" i="3"/>
  <c r="A292" i="3"/>
  <c r="N291" i="3"/>
  <c r="A291" i="3"/>
  <c r="N290" i="3"/>
  <c r="A290" i="3"/>
  <c r="N289" i="3"/>
  <c r="A289" i="3"/>
  <c r="N288" i="3"/>
  <c r="A288" i="3"/>
  <c r="N287" i="3"/>
  <c r="A287" i="3"/>
  <c r="N286" i="3"/>
  <c r="A286" i="3"/>
  <c r="N285" i="3"/>
  <c r="A285" i="3"/>
  <c r="N284" i="3"/>
  <c r="A284" i="3"/>
  <c r="N283" i="3"/>
  <c r="A283" i="3"/>
  <c r="N282" i="3"/>
  <c r="A282" i="3"/>
  <c r="N281" i="3"/>
  <c r="A281" i="3"/>
  <c r="N280" i="3"/>
  <c r="A280" i="3"/>
  <c r="N279" i="3"/>
  <c r="A279" i="3"/>
  <c r="N278" i="3"/>
  <c r="A278" i="3"/>
  <c r="N277" i="3"/>
  <c r="A277" i="3"/>
  <c r="N276" i="3"/>
  <c r="A276" i="3"/>
  <c r="N275" i="3"/>
  <c r="A275" i="3"/>
  <c r="N274" i="3"/>
  <c r="A274" i="3"/>
  <c r="N273" i="3"/>
  <c r="A273" i="3"/>
  <c r="N272" i="3"/>
  <c r="A272" i="3"/>
  <c r="N271" i="3"/>
  <c r="A271" i="3"/>
  <c r="N270" i="3"/>
  <c r="A270" i="3"/>
  <c r="N269" i="3"/>
  <c r="A269" i="3"/>
  <c r="N268" i="3"/>
  <c r="A268" i="3"/>
  <c r="N267" i="3"/>
  <c r="A267" i="3"/>
  <c r="N266" i="3"/>
  <c r="A266" i="3"/>
  <c r="N265" i="3"/>
  <c r="A265" i="3"/>
  <c r="N264" i="3"/>
  <c r="A264" i="3"/>
  <c r="N263" i="3"/>
  <c r="A263" i="3"/>
  <c r="N262" i="3"/>
  <c r="A262" i="3"/>
  <c r="N261" i="3"/>
  <c r="A261" i="3"/>
  <c r="N260" i="3"/>
  <c r="A260" i="3"/>
  <c r="N259" i="3"/>
  <c r="A259" i="3"/>
  <c r="N258" i="3"/>
  <c r="A258" i="3"/>
  <c r="N257" i="3"/>
  <c r="A257" i="3"/>
  <c r="N256" i="3"/>
  <c r="A256" i="3"/>
  <c r="N255" i="3"/>
  <c r="A255" i="3"/>
  <c r="N254" i="3"/>
  <c r="A254" i="3"/>
  <c r="N253" i="3"/>
  <c r="A253" i="3"/>
  <c r="N252" i="3"/>
  <c r="A252" i="3"/>
  <c r="N251" i="3"/>
  <c r="A251" i="3"/>
  <c r="N250" i="3"/>
  <c r="A250" i="3"/>
  <c r="N249" i="3"/>
  <c r="A249" i="3"/>
  <c r="N248" i="3"/>
  <c r="A248" i="3"/>
  <c r="N247" i="3"/>
  <c r="A247" i="3"/>
  <c r="N246" i="3"/>
  <c r="A246" i="3"/>
  <c r="N245" i="3"/>
  <c r="A245" i="3"/>
  <c r="N244" i="3"/>
  <c r="A244" i="3"/>
  <c r="N243" i="3"/>
  <c r="A243" i="3"/>
  <c r="N242" i="3"/>
  <c r="A242" i="3"/>
  <c r="N241" i="3"/>
  <c r="A241" i="3"/>
  <c r="N240" i="3"/>
  <c r="A240" i="3"/>
  <c r="N239" i="3"/>
  <c r="A239" i="3"/>
  <c r="N238" i="3"/>
  <c r="A238" i="3"/>
  <c r="N237" i="3"/>
  <c r="A237" i="3"/>
  <c r="N236" i="3"/>
  <c r="A236" i="3"/>
  <c r="N235" i="3"/>
  <c r="A235" i="3"/>
  <c r="N234" i="3"/>
  <c r="A234" i="3"/>
  <c r="N233" i="3"/>
  <c r="A233" i="3"/>
  <c r="N232" i="3"/>
  <c r="A232" i="3"/>
  <c r="N231" i="3"/>
  <c r="A231" i="3"/>
  <c r="N230" i="3"/>
  <c r="A230" i="3"/>
  <c r="N229" i="3"/>
  <c r="A229" i="3"/>
  <c r="N228" i="3"/>
  <c r="A228" i="3"/>
  <c r="N227" i="3"/>
  <c r="A227" i="3"/>
  <c r="N226" i="3"/>
  <c r="A226" i="3"/>
  <c r="N225" i="3"/>
  <c r="A225" i="3"/>
  <c r="N224" i="3"/>
  <c r="A224" i="3"/>
  <c r="K224" i="3" s="1"/>
  <c r="N223" i="3"/>
  <c r="A223" i="3"/>
  <c r="K223" i="3" s="1"/>
  <c r="N222" i="3"/>
  <c r="A222" i="3"/>
  <c r="K222" i="3" s="1"/>
  <c r="N221" i="3"/>
  <c r="A221" i="3"/>
  <c r="K221" i="3" s="1"/>
  <c r="N220" i="3"/>
  <c r="K220" i="3"/>
  <c r="A220" i="3"/>
  <c r="N219" i="3"/>
  <c r="A219" i="3"/>
  <c r="K219" i="3" s="1"/>
  <c r="N218" i="3"/>
  <c r="A218" i="3"/>
  <c r="K218" i="3" s="1"/>
  <c r="N217" i="3"/>
  <c r="A217" i="3"/>
  <c r="K217" i="3" s="1"/>
  <c r="N216" i="3"/>
  <c r="K216" i="3"/>
  <c r="A216" i="3"/>
  <c r="N215" i="3"/>
  <c r="A215" i="3"/>
  <c r="K215" i="3" s="1"/>
  <c r="N214" i="3"/>
  <c r="A214" i="3"/>
  <c r="K214" i="3" s="1"/>
  <c r="N213" i="3"/>
  <c r="A213" i="3"/>
  <c r="K213" i="3" s="1"/>
  <c r="N212" i="3"/>
  <c r="A212" i="3"/>
  <c r="K212" i="3" s="1"/>
  <c r="N211" i="3"/>
  <c r="A211" i="3"/>
  <c r="K211" i="3" s="1"/>
  <c r="N210" i="3"/>
  <c r="A210" i="3"/>
  <c r="K210" i="3" s="1"/>
  <c r="N209" i="3"/>
  <c r="A209" i="3"/>
  <c r="K209" i="3" s="1"/>
  <c r="N208" i="3"/>
  <c r="K208" i="3"/>
  <c r="A208" i="3"/>
  <c r="N207" i="3"/>
  <c r="A207" i="3"/>
  <c r="K207" i="3" s="1"/>
  <c r="N206" i="3"/>
  <c r="K206" i="3"/>
  <c r="A206" i="3"/>
  <c r="N205" i="3"/>
  <c r="A205" i="3"/>
  <c r="K205" i="3" s="1"/>
  <c r="N204" i="3"/>
  <c r="A204" i="3"/>
  <c r="K204" i="3" s="1"/>
  <c r="N203" i="3"/>
  <c r="K203" i="3"/>
  <c r="A203" i="3"/>
  <c r="N202" i="3"/>
  <c r="A202" i="3"/>
  <c r="K202" i="3" s="1"/>
  <c r="N201" i="3"/>
  <c r="A201" i="3"/>
  <c r="K201" i="3" s="1"/>
  <c r="N200" i="3"/>
  <c r="K200" i="3"/>
  <c r="A200" i="3"/>
  <c r="N199" i="3"/>
  <c r="A199" i="3"/>
  <c r="K199" i="3" s="1"/>
  <c r="N198" i="3"/>
  <c r="A198" i="3"/>
  <c r="K198" i="3" s="1"/>
  <c r="N197" i="3"/>
  <c r="A197" i="3"/>
  <c r="K197" i="3" s="1"/>
  <c r="N196" i="3"/>
  <c r="K196" i="3"/>
  <c r="A196" i="3"/>
  <c r="N195" i="3"/>
  <c r="A195" i="3"/>
  <c r="K195" i="3" s="1"/>
  <c r="N194" i="3"/>
  <c r="A194" i="3"/>
  <c r="K194" i="3" s="1"/>
  <c r="N193" i="3"/>
  <c r="A193" i="3"/>
  <c r="K193" i="3" s="1"/>
  <c r="N192" i="3"/>
  <c r="A192" i="3"/>
  <c r="K192" i="3" s="1"/>
  <c r="N191" i="3"/>
  <c r="A191" i="3"/>
  <c r="K191" i="3" s="1"/>
  <c r="N190" i="3"/>
  <c r="K190" i="3"/>
  <c r="A190" i="3"/>
  <c r="N189" i="3"/>
  <c r="A189" i="3"/>
  <c r="K189" i="3" s="1"/>
  <c r="N188" i="3"/>
  <c r="K188" i="3"/>
  <c r="A188" i="3"/>
  <c r="N187" i="3"/>
  <c r="K187" i="3"/>
  <c r="A187" i="3"/>
  <c r="N186" i="3"/>
  <c r="A186" i="3"/>
  <c r="K186" i="3" s="1"/>
  <c r="W1204" i="2"/>
  <c r="P1204" i="2"/>
  <c r="W1203" i="2"/>
  <c r="P1203" i="2"/>
  <c r="W1202" i="2"/>
  <c r="P1202" i="2"/>
  <c r="W1201" i="2"/>
  <c r="P1201" i="2"/>
  <c r="W1200" i="2"/>
  <c r="P1200" i="2"/>
  <c r="W1199" i="2"/>
  <c r="P1199" i="2"/>
  <c r="W1198" i="2"/>
  <c r="P1198" i="2"/>
  <c r="W1197" i="2"/>
  <c r="P1197" i="2"/>
  <c r="W1196" i="2"/>
  <c r="P1196" i="2"/>
  <c r="W1195" i="2"/>
  <c r="P1195" i="2"/>
  <c r="W1194" i="2"/>
  <c r="P1194" i="2"/>
  <c r="W1193" i="2"/>
  <c r="P1193" i="2"/>
  <c r="W1192" i="2"/>
  <c r="P1192" i="2"/>
  <c r="W1191" i="2"/>
  <c r="P1191" i="2"/>
  <c r="W1190" i="2"/>
  <c r="P1190" i="2"/>
  <c r="W1189" i="2"/>
  <c r="P1189" i="2"/>
  <c r="W1188" i="2"/>
  <c r="P1188" i="2"/>
  <c r="W1187" i="2"/>
  <c r="P1187" i="2"/>
  <c r="W1186" i="2"/>
  <c r="P1186" i="2"/>
  <c r="W1185" i="2"/>
  <c r="P1185" i="2"/>
  <c r="W1184" i="2"/>
  <c r="P1184" i="2"/>
  <c r="W1183" i="2"/>
  <c r="P1183" i="2"/>
  <c r="W1182" i="2"/>
  <c r="P1182" i="2"/>
  <c r="W1181" i="2"/>
  <c r="P1181" i="2"/>
  <c r="W1180" i="2"/>
  <c r="P1180" i="2"/>
  <c r="W1179" i="2"/>
  <c r="P1179" i="2"/>
  <c r="W1178" i="2"/>
  <c r="P1178" i="2"/>
  <c r="W1177" i="2"/>
  <c r="P1177" i="2"/>
  <c r="W1176" i="2"/>
  <c r="P1176" i="2"/>
  <c r="W1175" i="2"/>
  <c r="P1175" i="2"/>
  <c r="W1174" i="2"/>
  <c r="P1174" i="2"/>
  <c r="W1173" i="2"/>
  <c r="P1173" i="2"/>
  <c r="W1172" i="2"/>
  <c r="P1172" i="2"/>
  <c r="W1171" i="2"/>
  <c r="P1171" i="2"/>
  <c r="W1170" i="2"/>
  <c r="P1170" i="2"/>
  <c r="W1169" i="2"/>
  <c r="P1169" i="2"/>
  <c r="W1168" i="2"/>
  <c r="P1168" i="2"/>
  <c r="W1167" i="2"/>
  <c r="P1167" i="2"/>
  <c r="W1166" i="2"/>
  <c r="P1166" i="2"/>
  <c r="W1165" i="2"/>
  <c r="P1165" i="2"/>
  <c r="W1164" i="2"/>
  <c r="P1164" i="2"/>
  <c r="W1163" i="2"/>
  <c r="P1163" i="2"/>
  <c r="W1162" i="2"/>
  <c r="P1162" i="2"/>
  <c r="W1161" i="2"/>
  <c r="P1161" i="2"/>
  <c r="W1160" i="2"/>
  <c r="P1160" i="2"/>
  <c r="W1159" i="2"/>
  <c r="P1159" i="2"/>
  <c r="W1158" i="2"/>
  <c r="P1158" i="2"/>
  <c r="W1157" i="2"/>
  <c r="P1157" i="2"/>
  <c r="W1156" i="2"/>
  <c r="P1156" i="2"/>
  <c r="W1155" i="2"/>
  <c r="P1155" i="2"/>
  <c r="W1154" i="2"/>
  <c r="P1154" i="2"/>
  <c r="W1153" i="2"/>
  <c r="P1153" i="2"/>
  <c r="W1152" i="2"/>
  <c r="P1152" i="2"/>
  <c r="W1151" i="2"/>
  <c r="P1151" i="2"/>
  <c r="W1150" i="2"/>
  <c r="P1150" i="2"/>
  <c r="W1149" i="2"/>
  <c r="P1149" i="2"/>
  <c r="W1148" i="2"/>
  <c r="P1148" i="2"/>
  <c r="W1147" i="2"/>
  <c r="P1147" i="2"/>
  <c r="W1146" i="2"/>
  <c r="P1146" i="2"/>
  <c r="W1145" i="2"/>
  <c r="P1145" i="2"/>
  <c r="W1144" i="2"/>
  <c r="P1144" i="2"/>
  <c r="W1143" i="2"/>
  <c r="P1143" i="2"/>
  <c r="W1142" i="2"/>
  <c r="P1142" i="2"/>
  <c r="W1141" i="2"/>
  <c r="P1141" i="2"/>
  <c r="W1140" i="2"/>
  <c r="P1140" i="2"/>
  <c r="W1139" i="2"/>
  <c r="P1139" i="2"/>
  <c r="W1138" i="2"/>
  <c r="P1138" i="2"/>
  <c r="W1137" i="2"/>
  <c r="P1137" i="2"/>
  <c r="W1136" i="2"/>
  <c r="P1136" i="2"/>
  <c r="W1135" i="2"/>
  <c r="P1135" i="2"/>
  <c r="W1134" i="2"/>
  <c r="P1134" i="2"/>
  <c r="W1133" i="2"/>
  <c r="P1133" i="2"/>
  <c r="W1132" i="2"/>
  <c r="P1132" i="2"/>
  <c r="W1131" i="2"/>
  <c r="P1131" i="2"/>
  <c r="W1130" i="2"/>
  <c r="P1130" i="2"/>
  <c r="W1129" i="2"/>
  <c r="P1129" i="2"/>
  <c r="W1128" i="2"/>
  <c r="P1128" i="2"/>
  <c r="W1127" i="2"/>
  <c r="P1127" i="2"/>
  <c r="W1126" i="2"/>
  <c r="P1126" i="2"/>
  <c r="W1125" i="2"/>
  <c r="P1125" i="2"/>
  <c r="W1124" i="2"/>
  <c r="P1124" i="2"/>
  <c r="W1123" i="2"/>
  <c r="P1123" i="2"/>
  <c r="W1122" i="2"/>
  <c r="P1122" i="2"/>
  <c r="W1121" i="2"/>
  <c r="P1121" i="2"/>
  <c r="W1120" i="2"/>
  <c r="P1120" i="2"/>
  <c r="W1119" i="2"/>
  <c r="P1119" i="2"/>
  <c r="W1118" i="2"/>
  <c r="P1118" i="2"/>
  <c r="W1117" i="2"/>
  <c r="P1117" i="2"/>
  <c r="W1116" i="2"/>
  <c r="P1116" i="2"/>
  <c r="W1115" i="2"/>
  <c r="P1115" i="2"/>
  <c r="W1114" i="2"/>
  <c r="P1114" i="2"/>
  <c r="W1113" i="2"/>
  <c r="P1113" i="2"/>
  <c r="W1112" i="2"/>
  <c r="P1112" i="2"/>
  <c r="W1111" i="2"/>
  <c r="P1111" i="2"/>
  <c r="W1110" i="2"/>
  <c r="P1110" i="2"/>
  <c r="W1109" i="2"/>
  <c r="P1109" i="2"/>
  <c r="W1108" i="2"/>
  <c r="P1108" i="2"/>
  <c r="W1107" i="2"/>
  <c r="P1107" i="2"/>
  <c r="W1106" i="2"/>
  <c r="P1106" i="2"/>
  <c r="W1105" i="2"/>
  <c r="P1105" i="2"/>
  <c r="W1104" i="2"/>
  <c r="P1104" i="2"/>
  <c r="W1103" i="2"/>
  <c r="P1103" i="2"/>
  <c r="W1102" i="2"/>
  <c r="P1102" i="2"/>
  <c r="W1101" i="2"/>
  <c r="P1101" i="2"/>
  <c r="W1100" i="2"/>
  <c r="P1100" i="2"/>
  <c r="W1099" i="2"/>
  <c r="P1099" i="2"/>
  <c r="W1098" i="2"/>
  <c r="P1098" i="2"/>
  <c r="W1097" i="2"/>
  <c r="P1097" i="2"/>
  <c r="W1096" i="2"/>
  <c r="P1096" i="2"/>
  <c r="W1095" i="2"/>
  <c r="P1095" i="2"/>
  <c r="W1094" i="2"/>
  <c r="P1094" i="2"/>
  <c r="W1093" i="2"/>
  <c r="P1093" i="2"/>
  <c r="W1092" i="2"/>
  <c r="P1092" i="2"/>
  <c r="W1091" i="2"/>
  <c r="P1091" i="2"/>
  <c r="W1090" i="2"/>
  <c r="P1090" i="2"/>
  <c r="W1089" i="2"/>
  <c r="P1089" i="2"/>
  <c r="W1088" i="2"/>
  <c r="P1088" i="2"/>
  <c r="W1087" i="2"/>
  <c r="P1087" i="2"/>
  <c r="W1086" i="2"/>
  <c r="P1086" i="2"/>
  <c r="W1085" i="2"/>
  <c r="P1085" i="2"/>
  <c r="W1084" i="2"/>
  <c r="P1084" i="2"/>
  <c r="W1083" i="2"/>
  <c r="P1083" i="2"/>
  <c r="W1082" i="2"/>
  <c r="P1082" i="2"/>
  <c r="W1081" i="2"/>
  <c r="P1081" i="2"/>
  <c r="W1080" i="2"/>
  <c r="P1080" i="2"/>
  <c r="W1079" i="2"/>
  <c r="P1079" i="2"/>
  <c r="W1078" i="2"/>
  <c r="P1078" i="2"/>
  <c r="W1077" i="2"/>
  <c r="P1077" i="2"/>
  <c r="W1076" i="2"/>
  <c r="P1076" i="2"/>
  <c r="W1075" i="2"/>
  <c r="P1075" i="2"/>
  <c r="W1074" i="2"/>
  <c r="P1074" i="2"/>
  <c r="W1073" i="2"/>
  <c r="P1073" i="2"/>
  <c r="W1072" i="2"/>
  <c r="P1072" i="2"/>
  <c r="W1071" i="2"/>
  <c r="P1071" i="2"/>
  <c r="W1070" i="2"/>
  <c r="P1070" i="2"/>
  <c r="W1069" i="2"/>
  <c r="P1069" i="2"/>
  <c r="W1068" i="2"/>
  <c r="P1068" i="2"/>
  <c r="W1067" i="2"/>
  <c r="P1067" i="2"/>
  <c r="W1066" i="2"/>
  <c r="P1066" i="2"/>
  <c r="W1065" i="2"/>
  <c r="P1065" i="2"/>
  <c r="W1064" i="2"/>
  <c r="P1064" i="2"/>
  <c r="W1063" i="2"/>
  <c r="P1063" i="2"/>
  <c r="W1062" i="2"/>
  <c r="P1062" i="2"/>
  <c r="W1061" i="2"/>
  <c r="P1061" i="2"/>
  <c r="W1060" i="2"/>
  <c r="P1060" i="2"/>
  <c r="W1059" i="2"/>
  <c r="P1059" i="2"/>
  <c r="W1058" i="2"/>
  <c r="P1058" i="2"/>
  <c r="W1057" i="2"/>
  <c r="P1057" i="2"/>
  <c r="W1056" i="2"/>
  <c r="P1056" i="2"/>
  <c r="W1055" i="2"/>
  <c r="P1055" i="2"/>
  <c r="W1054" i="2"/>
  <c r="P1054" i="2"/>
  <c r="W1053" i="2"/>
  <c r="P1053" i="2"/>
  <c r="W1052" i="2"/>
  <c r="P1052" i="2"/>
  <c r="W1051" i="2"/>
  <c r="P1051" i="2"/>
  <c r="W1050" i="2"/>
  <c r="P1050" i="2"/>
  <c r="W1049" i="2"/>
  <c r="P1049" i="2"/>
  <c r="W1048" i="2"/>
  <c r="P1048" i="2"/>
  <c r="W1047" i="2"/>
  <c r="P1047" i="2"/>
  <c r="W1046" i="2"/>
  <c r="P1046" i="2"/>
  <c r="W1045" i="2"/>
  <c r="P1045" i="2"/>
  <c r="W1044" i="2"/>
  <c r="P1044" i="2"/>
  <c r="W1043" i="2"/>
  <c r="P1043" i="2"/>
  <c r="W1042" i="2"/>
  <c r="P1042" i="2"/>
  <c r="W1041" i="2"/>
  <c r="P1041" i="2"/>
  <c r="W1040" i="2"/>
  <c r="P1040" i="2"/>
  <c r="W1039" i="2"/>
  <c r="P1039" i="2"/>
  <c r="W1038" i="2"/>
  <c r="P1038" i="2"/>
  <c r="W1037" i="2"/>
  <c r="P1037" i="2"/>
  <c r="W1036" i="2"/>
  <c r="P1036" i="2"/>
  <c r="W1035" i="2"/>
  <c r="P1035" i="2"/>
  <c r="W1034" i="2"/>
  <c r="P1034" i="2"/>
  <c r="W1033" i="2"/>
  <c r="P1033" i="2"/>
  <c r="W1032" i="2"/>
  <c r="P1032" i="2"/>
  <c r="W1031" i="2"/>
  <c r="P1031" i="2"/>
  <c r="W1030" i="2"/>
  <c r="P1030" i="2"/>
  <c r="W1029" i="2"/>
  <c r="P1029" i="2"/>
  <c r="W1028" i="2"/>
  <c r="P1028" i="2"/>
  <c r="W1027" i="2"/>
  <c r="P1027" i="2"/>
  <c r="W1026" i="2"/>
  <c r="P1026" i="2"/>
  <c r="W1025" i="2"/>
  <c r="P1025" i="2"/>
  <c r="W1024" i="2"/>
  <c r="P1024" i="2"/>
  <c r="W1023" i="2"/>
  <c r="P1023" i="2"/>
  <c r="W1022" i="2"/>
  <c r="P1022" i="2"/>
  <c r="W1021" i="2"/>
  <c r="P1021" i="2"/>
  <c r="W1020" i="2"/>
  <c r="P1020" i="2"/>
  <c r="W1019" i="2"/>
  <c r="P1019" i="2"/>
  <c r="W1018" i="2"/>
  <c r="P1018" i="2"/>
  <c r="W1017" i="2"/>
  <c r="P1017" i="2"/>
  <c r="W1016" i="2"/>
  <c r="P1016" i="2"/>
  <c r="W1015" i="2"/>
  <c r="P1015" i="2"/>
  <c r="W1014" i="2"/>
  <c r="P1014" i="2"/>
  <c r="W1013" i="2"/>
  <c r="P1013" i="2"/>
  <c r="W1012" i="2"/>
  <c r="P1012" i="2"/>
  <c r="W1011" i="2"/>
  <c r="P1011" i="2"/>
  <c r="W1010" i="2"/>
  <c r="P1010" i="2"/>
  <c r="W1009" i="2"/>
  <c r="P1009" i="2"/>
  <c r="W1008" i="2"/>
  <c r="P1008" i="2"/>
  <c r="W1007" i="2"/>
  <c r="P1007" i="2"/>
  <c r="W1006" i="2"/>
  <c r="P1006" i="2"/>
  <c r="W1005" i="2"/>
  <c r="P1005" i="2"/>
  <c r="W1004" i="2"/>
  <c r="P1004" i="2"/>
  <c r="W1003" i="2"/>
  <c r="P1003" i="2"/>
  <c r="W1002" i="2"/>
  <c r="P1002" i="2"/>
  <c r="W1001" i="2"/>
  <c r="P1001" i="2"/>
  <c r="W1000" i="2"/>
  <c r="P1000" i="2"/>
  <c r="W999" i="2"/>
  <c r="P999" i="2"/>
  <c r="W998" i="2"/>
  <c r="P998" i="2"/>
  <c r="W997" i="2"/>
  <c r="P997" i="2"/>
  <c r="W996" i="2"/>
  <c r="P996" i="2"/>
  <c r="W995" i="2"/>
  <c r="P995" i="2"/>
  <c r="W994" i="2"/>
  <c r="P994" i="2"/>
  <c r="W993" i="2"/>
  <c r="P993" i="2"/>
  <c r="W992" i="2"/>
  <c r="P992" i="2"/>
  <c r="W991" i="2"/>
  <c r="P991" i="2"/>
  <c r="W990" i="2"/>
  <c r="P990" i="2"/>
  <c r="W989" i="2"/>
  <c r="P989" i="2"/>
  <c r="W988" i="2"/>
  <c r="P988" i="2"/>
  <c r="W987" i="2"/>
  <c r="P987" i="2"/>
  <c r="W986" i="2"/>
  <c r="P986" i="2"/>
  <c r="W985" i="2"/>
  <c r="P985" i="2"/>
  <c r="W984" i="2"/>
  <c r="P984" i="2"/>
  <c r="W983" i="2"/>
  <c r="P983" i="2"/>
  <c r="W982" i="2"/>
  <c r="P982" i="2"/>
  <c r="W981" i="2"/>
  <c r="P981" i="2"/>
  <c r="W980" i="2"/>
  <c r="P980" i="2"/>
  <c r="W979" i="2"/>
  <c r="P979" i="2"/>
  <c r="W978" i="2"/>
  <c r="P978" i="2"/>
  <c r="W977" i="2"/>
  <c r="P977" i="2"/>
  <c r="W976" i="2"/>
  <c r="P976" i="2"/>
  <c r="W975" i="2"/>
  <c r="P975" i="2"/>
  <c r="W974" i="2"/>
  <c r="P974" i="2"/>
  <c r="W973" i="2"/>
  <c r="P973" i="2"/>
  <c r="W972" i="2"/>
  <c r="P972" i="2"/>
  <c r="W971" i="2"/>
  <c r="P971" i="2"/>
  <c r="W970" i="2"/>
  <c r="P970" i="2"/>
  <c r="W969" i="2"/>
  <c r="P969" i="2"/>
  <c r="I969" i="2"/>
  <c r="J969" i="2" s="1"/>
  <c r="W968" i="2"/>
  <c r="P968" i="2"/>
  <c r="W967" i="2"/>
  <c r="P967" i="2"/>
  <c r="W966" i="2"/>
  <c r="P966" i="2"/>
  <c r="W965" i="2"/>
  <c r="P965" i="2"/>
  <c r="W964" i="2"/>
  <c r="P964" i="2"/>
  <c r="W963" i="2"/>
  <c r="P963" i="2"/>
  <c r="W962" i="2"/>
  <c r="P962" i="2"/>
  <c r="W961" i="2"/>
  <c r="P961" i="2"/>
  <c r="W960" i="2"/>
  <c r="P960" i="2"/>
  <c r="W959" i="2"/>
  <c r="P959" i="2"/>
  <c r="W958" i="2"/>
  <c r="P958" i="2"/>
  <c r="W957" i="2"/>
  <c r="P957" i="2"/>
  <c r="W956" i="2"/>
  <c r="P956" i="2"/>
  <c r="W955" i="2"/>
  <c r="P955" i="2"/>
  <c r="W954" i="2"/>
  <c r="P954" i="2"/>
  <c r="W953" i="2"/>
  <c r="P953" i="2"/>
  <c r="W952" i="2"/>
  <c r="P952" i="2"/>
  <c r="W951" i="2"/>
  <c r="P951" i="2"/>
  <c r="W950" i="2"/>
  <c r="P950" i="2"/>
  <c r="W949" i="2"/>
  <c r="P949" i="2"/>
  <c r="W948" i="2"/>
  <c r="P948" i="2"/>
  <c r="W947" i="2"/>
  <c r="P947" i="2"/>
  <c r="W946" i="2"/>
  <c r="P946" i="2"/>
  <c r="W945" i="2"/>
  <c r="P945" i="2"/>
  <c r="W944" i="2"/>
  <c r="P944" i="2"/>
  <c r="W943" i="2"/>
  <c r="P943" i="2"/>
  <c r="W942" i="2"/>
  <c r="P942" i="2"/>
  <c r="W941" i="2"/>
  <c r="P941" i="2"/>
  <c r="W940" i="2"/>
  <c r="P940" i="2"/>
  <c r="W939" i="2"/>
  <c r="P939" i="2"/>
  <c r="W938" i="2"/>
  <c r="P938" i="2"/>
  <c r="W937" i="2"/>
  <c r="P937" i="2"/>
  <c r="W936" i="2"/>
  <c r="P936" i="2"/>
  <c r="W935" i="2"/>
  <c r="P935" i="2"/>
  <c r="W934" i="2"/>
  <c r="P934" i="2"/>
  <c r="W933" i="2"/>
  <c r="P933" i="2"/>
  <c r="W932" i="2"/>
  <c r="P932" i="2"/>
  <c r="W931" i="2"/>
  <c r="P931" i="2"/>
  <c r="W930" i="2"/>
  <c r="P930" i="2"/>
  <c r="W929" i="2"/>
  <c r="P929" i="2"/>
  <c r="W928" i="2"/>
  <c r="P928" i="2"/>
  <c r="W927" i="2"/>
  <c r="P927" i="2"/>
  <c r="W926" i="2"/>
  <c r="P926" i="2"/>
  <c r="W925" i="2"/>
  <c r="P925" i="2"/>
  <c r="W924" i="2"/>
  <c r="P924" i="2"/>
  <c r="W923" i="2"/>
  <c r="P923" i="2"/>
  <c r="W922" i="2"/>
  <c r="P922" i="2"/>
  <c r="W921" i="2"/>
  <c r="P921" i="2"/>
  <c r="W920" i="2"/>
  <c r="P920" i="2"/>
  <c r="W919" i="2"/>
  <c r="P919" i="2"/>
  <c r="W918" i="2"/>
  <c r="P918" i="2"/>
  <c r="W917" i="2"/>
  <c r="P917" i="2"/>
  <c r="W916" i="2"/>
  <c r="P916" i="2"/>
  <c r="W915" i="2"/>
  <c r="P915" i="2"/>
  <c r="W914" i="2"/>
  <c r="P914" i="2"/>
  <c r="W913" i="2"/>
  <c r="P913" i="2"/>
  <c r="W912" i="2"/>
  <c r="P912" i="2"/>
  <c r="W911" i="2"/>
  <c r="P911" i="2"/>
  <c r="W910" i="2"/>
  <c r="P910" i="2"/>
  <c r="W909" i="2"/>
  <c r="P909" i="2"/>
  <c r="W908" i="2"/>
  <c r="P908" i="2"/>
  <c r="W907" i="2"/>
  <c r="P907" i="2"/>
  <c r="W906" i="2"/>
  <c r="P906" i="2"/>
  <c r="W905" i="2"/>
  <c r="P905" i="2"/>
  <c r="W904" i="2"/>
  <c r="P904" i="2"/>
  <c r="W903" i="2"/>
  <c r="P903" i="2"/>
  <c r="W902" i="2"/>
  <c r="P902" i="2"/>
  <c r="W901" i="2"/>
  <c r="P901" i="2"/>
  <c r="W900" i="2"/>
  <c r="P900" i="2"/>
  <c r="W899" i="2"/>
  <c r="P899" i="2"/>
  <c r="W898" i="2"/>
  <c r="P898" i="2"/>
  <c r="W897" i="2"/>
  <c r="P897" i="2"/>
  <c r="W896" i="2"/>
  <c r="P896" i="2"/>
  <c r="W895" i="2"/>
  <c r="P895" i="2"/>
  <c r="W894" i="2"/>
  <c r="P894" i="2"/>
  <c r="W893" i="2"/>
  <c r="P893" i="2"/>
  <c r="W892" i="2"/>
  <c r="P892" i="2"/>
  <c r="W891" i="2"/>
  <c r="P891" i="2"/>
  <c r="W890" i="2"/>
  <c r="P890" i="2"/>
  <c r="W889" i="2"/>
  <c r="P889" i="2"/>
  <c r="W888" i="2"/>
  <c r="P888" i="2"/>
  <c r="W887" i="2"/>
  <c r="P887" i="2"/>
  <c r="W886" i="2"/>
  <c r="P886" i="2"/>
  <c r="W885" i="2"/>
  <c r="P885" i="2"/>
  <c r="W884" i="2"/>
  <c r="P884" i="2"/>
  <c r="W883" i="2"/>
  <c r="P883" i="2"/>
  <c r="W882" i="2"/>
  <c r="P882" i="2"/>
  <c r="W881" i="2"/>
  <c r="P881" i="2"/>
  <c r="W880" i="2"/>
  <c r="P880" i="2"/>
  <c r="W879" i="2"/>
  <c r="P879" i="2"/>
  <c r="W878" i="2"/>
  <c r="P878" i="2"/>
  <c r="W877" i="2"/>
  <c r="P877" i="2"/>
  <c r="W876" i="2"/>
  <c r="P876" i="2"/>
  <c r="W875" i="2"/>
  <c r="P875" i="2"/>
  <c r="W874" i="2"/>
  <c r="P874" i="2"/>
  <c r="W873" i="2"/>
  <c r="P873" i="2"/>
  <c r="W872" i="2"/>
  <c r="P872" i="2"/>
  <c r="W871" i="2"/>
  <c r="P871" i="2"/>
  <c r="W870" i="2"/>
  <c r="P870" i="2"/>
  <c r="W869" i="2"/>
  <c r="P869" i="2"/>
  <c r="W868" i="2"/>
  <c r="P868" i="2"/>
  <c r="W867" i="2"/>
  <c r="P867" i="2"/>
  <c r="W866" i="2"/>
  <c r="P866" i="2"/>
  <c r="W865" i="2"/>
  <c r="P865" i="2"/>
  <c r="W864" i="2"/>
  <c r="P864" i="2"/>
  <c r="W863" i="2"/>
  <c r="P863" i="2"/>
  <c r="W862" i="2"/>
  <c r="P862" i="2"/>
  <c r="W861" i="2"/>
  <c r="P861" i="2"/>
  <c r="W860" i="2"/>
  <c r="P860" i="2"/>
  <c r="W859" i="2"/>
  <c r="P859" i="2"/>
  <c r="W858" i="2"/>
  <c r="P858" i="2"/>
  <c r="W857" i="2"/>
  <c r="P857" i="2"/>
  <c r="W856" i="2"/>
  <c r="P856" i="2"/>
  <c r="W855" i="2"/>
  <c r="P855" i="2"/>
  <c r="W854" i="2"/>
  <c r="P854" i="2"/>
  <c r="W853" i="2"/>
  <c r="P853" i="2"/>
  <c r="W852" i="2"/>
  <c r="P852" i="2"/>
  <c r="W851" i="2"/>
  <c r="P851" i="2"/>
  <c r="W850" i="2"/>
  <c r="P850" i="2"/>
  <c r="W849" i="2"/>
  <c r="P849" i="2"/>
  <c r="W848" i="2"/>
  <c r="P848" i="2"/>
  <c r="W847" i="2"/>
  <c r="P847" i="2"/>
  <c r="W846" i="2"/>
  <c r="P846" i="2"/>
  <c r="W845" i="2"/>
  <c r="P845" i="2"/>
  <c r="W844" i="2"/>
  <c r="P844" i="2"/>
  <c r="W843" i="2"/>
  <c r="P843" i="2"/>
  <c r="W842" i="2"/>
  <c r="P842" i="2"/>
  <c r="W841" i="2"/>
  <c r="P841" i="2"/>
  <c r="I841" i="2"/>
  <c r="J841" i="2" s="1"/>
  <c r="W840" i="2"/>
  <c r="P840" i="2"/>
  <c r="W839" i="2"/>
  <c r="P839" i="2"/>
  <c r="W838" i="2"/>
  <c r="P838" i="2"/>
  <c r="W837" i="2"/>
  <c r="P837" i="2"/>
  <c r="W836" i="2"/>
  <c r="P836" i="2"/>
  <c r="W835" i="2"/>
  <c r="P835" i="2"/>
  <c r="W834" i="2"/>
  <c r="P834" i="2"/>
  <c r="W833" i="2"/>
  <c r="P833" i="2"/>
  <c r="W832" i="2"/>
  <c r="P832" i="2"/>
  <c r="W831" i="2"/>
  <c r="P831" i="2"/>
  <c r="W830" i="2"/>
  <c r="P830" i="2"/>
  <c r="W829" i="2"/>
  <c r="P829" i="2"/>
  <c r="W828" i="2"/>
  <c r="P828" i="2"/>
  <c r="W827" i="2"/>
  <c r="P827" i="2"/>
  <c r="W826" i="2"/>
  <c r="P826" i="2"/>
  <c r="W825" i="2"/>
  <c r="P825" i="2"/>
  <c r="W824" i="2"/>
  <c r="P824" i="2"/>
  <c r="W823" i="2"/>
  <c r="P823" i="2"/>
  <c r="W822" i="2"/>
  <c r="P822" i="2"/>
  <c r="W821" i="2"/>
  <c r="P821" i="2"/>
  <c r="W820" i="2"/>
  <c r="P820" i="2"/>
  <c r="W819" i="2"/>
  <c r="P819" i="2"/>
  <c r="W818" i="2"/>
  <c r="P818" i="2"/>
  <c r="W817" i="2"/>
  <c r="P817" i="2"/>
  <c r="W816" i="2"/>
  <c r="P816" i="2"/>
  <c r="W815" i="2"/>
  <c r="P815" i="2"/>
  <c r="W814" i="2"/>
  <c r="P814" i="2"/>
  <c r="W813" i="2"/>
  <c r="P813" i="2"/>
  <c r="W812" i="2"/>
  <c r="P812" i="2"/>
  <c r="W811" i="2"/>
  <c r="P811" i="2"/>
  <c r="W810" i="2"/>
  <c r="P810" i="2"/>
  <c r="W809" i="2"/>
  <c r="P809" i="2"/>
  <c r="W808" i="2"/>
  <c r="P808" i="2"/>
  <c r="W807" i="2"/>
  <c r="P807" i="2"/>
  <c r="W806" i="2"/>
  <c r="P806" i="2"/>
  <c r="W805" i="2"/>
  <c r="P805" i="2"/>
  <c r="W804" i="2"/>
  <c r="P804" i="2"/>
  <c r="W803" i="2"/>
  <c r="P803" i="2"/>
  <c r="W802" i="2"/>
  <c r="P802" i="2"/>
  <c r="W801" i="2"/>
  <c r="P801" i="2"/>
  <c r="W800" i="2"/>
  <c r="P800" i="2"/>
  <c r="W799" i="2"/>
  <c r="P799" i="2"/>
  <c r="W798" i="2"/>
  <c r="P798" i="2"/>
  <c r="W797" i="2"/>
  <c r="P797" i="2"/>
  <c r="W796" i="2"/>
  <c r="P796" i="2"/>
  <c r="W795" i="2"/>
  <c r="P795" i="2"/>
  <c r="W794" i="2"/>
  <c r="P794" i="2"/>
  <c r="W793" i="2"/>
  <c r="P793" i="2"/>
  <c r="W792" i="2"/>
  <c r="P792" i="2"/>
  <c r="W791" i="2"/>
  <c r="P791" i="2"/>
  <c r="W790" i="2"/>
  <c r="P790" i="2"/>
  <c r="W789" i="2"/>
  <c r="P789" i="2"/>
  <c r="W788" i="2"/>
  <c r="P788" i="2"/>
  <c r="W787" i="2"/>
  <c r="P787" i="2"/>
  <c r="W786" i="2"/>
  <c r="P786" i="2"/>
  <c r="W785" i="2"/>
  <c r="P785" i="2"/>
  <c r="W784" i="2"/>
  <c r="P784" i="2"/>
  <c r="W783" i="2"/>
  <c r="P783" i="2"/>
  <c r="W782" i="2"/>
  <c r="P782" i="2"/>
  <c r="W781" i="2"/>
  <c r="P781" i="2"/>
  <c r="W780" i="2"/>
  <c r="P780" i="2"/>
  <c r="W779" i="2"/>
  <c r="P779" i="2"/>
  <c r="W778" i="2"/>
  <c r="P778" i="2"/>
  <c r="W777" i="2"/>
  <c r="P777" i="2"/>
  <c r="W776" i="2"/>
  <c r="P776" i="2"/>
  <c r="W775" i="2"/>
  <c r="P775" i="2"/>
  <c r="W774" i="2"/>
  <c r="P774" i="2"/>
  <c r="W773" i="2"/>
  <c r="P773" i="2"/>
  <c r="W772" i="2"/>
  <c r="P772" i="2"/>
  <c r="H772" i="2"/>
  <c r="G772" i="2"/>
  <c r="W771" i="2"/>
  <c r="P771" i="2"/>
  <c r="W770" i="2"/>
  <c r="P770" i="2"/>
  <c r="W769" i="2"/>
  <c r="P769" i="2"/>
  <c r="W768" i="2"/>
  <c r="P768" i="2"/>
  <c r="I768" i="2"/>
  <c r="J768" i="2" s="1"/>
  <c r="W767" i="2"/>
  <c r="P767" i="2"/>
  <c r="W766" i="2"/>
  <c r="P766" i="2"/>
  <c r="W765" i="2"/>
  <c r="P765" i="2"/>
  <c r="W764" i="2"/>
  <c r="P764" i="2"/>
  <c r="W763" i="2"/>
  <c r="P763" i="2"/>
  <c r="W762" i="2"/>
  <c r="P762" i="2"/>
  <c r="W761" i="2"/>
  <c r="P761" i="2"/>
  <c r="W760" i="2"/>
  <c r="P760" i="2"/>
  <c r="W759" i="2"/>
  <c r="P759" i="2"/>
  <c r="W758" i="2"/>
  <c r="P758" i="2"/>
  <c r="W757" i="2"/>
  <c r="P757" i="2"/>
  <c r="W756" i="2"/>
  <c r="P756" i="2"/>
  <c r="W755" i="2"/>
  <c r="P755" i="2"/>
  <c r="W754" i="2"/>
  <c r="P754" i="2"/>
  <c r="W753" i="2"/>
  <c r="P753" i="2"/>
  <c r="W752" i="2"/>
  <c r="P752" i="2"/>
  <c r="W751" i="2"/>
  <c r="P751" i="2"/>
  <c r="W750" i="2"/>
  <c r="P750" i="2"/>
  <c r="W749" i="2"/>
  <c r="P749" i="2"/>
  <c r="W748" i="2"/>
  <c r="P748" i="2"/>
  <c r="W747" i="2"/>
  <c r="P747" i="2"/>
  <c r="W746" i="2"/>
  <c r="P746" i="2"/>
  <c r="W745" i="2"/>
  <c r="P745" i="2"/>
  <c r="W744" i="2"/>
  <c r="P744" i="2"/>
  <c r="W743" i="2"/>
  <c r="P743" i="2"/>
  <c r="W742" i="2"/>
  <c r="P742" i="2"/>
  <c r="W741" i="2"/>
  <c r="P741" i="2"/>
  <c r="W740" i="2"/>
  <c r="P740" i="2"/>
  <c r="W739" i="2"/>
  <c r="P739" i="2"/>
  <c r="W738" i="2"/>
  <c r="P738" i="2"/>
  <c r="W737" i="2"/>
  <c r="P737" i="2"/>
  <c r="W736" i="2"/>
  <c r="P736" i="2"/>
  <c r="I736" i="2"/>
  <c r="J736" i="2" s="1"/>
  <c r="W735" i="2"/>
  <c r="P735" i="2"/>
  <c r="W734" i="2"/>
  <c r="P734" i="2"/>
  <c r="W733" i="2"/>
  <c r="P733" i="2"/>
  <c r="I733" i="2"/>
  <c r="J733" i="2" s="1"/>
  <c r="W732" i="2"/>
  <c r="P732" i="2"/>
  <c r="W731" i="2"/>
  <c r="P731" i="2"/>
  <c r="W730" i="2"/>
  <c r="P730" i="2"/>
  <c r="W729" i="2"/>
  <c r="P729" i="2"/>
  <c r="W728" i="2"/>
  <c r="P728" i="2"/>
  <c r="W727" i="2"/>
  <c r="P727" i="2"/>
  <c r="W726" i="2"/>
  <c r="P726" i="2"/>
  <c r="W725" i="2"/>
  <c r="P725" i="2"/>
  <c r="W724" i="2"/>
  <c r="P724" i="2"/>
  <c r="W723" i="2"/>
  <c r="P723" i="2"/>
  <c r="W722" i="2"/>
  <c r="P722" i="2"/>
  <c r="W721" i="2"/>
  <c r="P721" i="2"/>
  <c r="W720" i="2"/>
  <c r="P720" i="2"/>
  <c r="W719" i="2"/>
  <c r="P719" i="2"/>
  <c r="W718" i="2"/>
  <c r="P718" i="2"/>
  <c r="W717" i="2"/>
  <c r="P717" i="2"/>
  <c r="W716" i="2"/>
  <c r="P716" i="2"/>
  <c r="W715" i="2"/>
  <c r="P715" i="2"/>
  <c r="W714" i="2"/>
  <c r="P714" i="2"/>
  <c r="W713" i="2"/>
  <c r="P713" i="2"/>
  <c r="W712" i="2"/>
  <c r="P712" i="2"/>
  <c r="W711" i="2"/>
  <c r="P711" i="2"/>
  <c r="W710" i="2"/>
  <c r="P710" i="2"/>
  <c r="W709" i="2"/>
  <c r="P709" i="2"/>
  <c r="W708" i="2"/>
  <c r="P708" i="2"/>
  <c r="W707" i="2"/>
  <c r="P707" i="2"/>
  <c r="I707" i="2"/>
  <c r="J707" i="2" s="1"/>
  <c r="W706" i="2"/>
  <c r="P706" i="2"/>
  <c r="W705" i="2"/>
  <c r="P705" i="2"/>
  <c r="W704" i="2"/>
  <c r="P704" i="2"/>
  <c r="W703" i="2"/>
  <c r="P703" i="2"/>
  <c r="W702" i="2"/>
  <c r="P702" i="2"/>
  <c r="W701" i="2"/>
  <c r="P701" i="2"/>
  <c r="W700" i="2"/>
  <c r="P700" i="2"/>
  <c r="W699" i="2"/>
  <c r="P699" i="2"/>
  <c r="W698" i="2"/>
  <c r="P698" i="2"/>
  <c r="W697" i="2"/>
  <c r="P697" i="2"/>
  <c r="W696" i="2"/>
  <c r="P696" i="2"/>
  <c r="W695" i="2"/>
  <c r="P695" i="2"/>
  <c r="W694" i="2"/>
  <c r="P694" i="2"/>
  <c r="W693" i="2"/>
  <c r="P693" i="2"/>
  <c r="W692" i="2"/>
  <c r="P692" i="2"/>
  <c r="W691" i="2"/>
  <c r="P691" i="2"/>
  <c r="W690" i="2"/>
  <c r="P690" i="2"/>
  <c r="W689" i="2"/>
  <c r="P689" i="2"/>
  <c r="W688" i="2"/>
  <c r="P688" i="2"/>
  <c r="W687" i="2"/>
  <c r="P687" i="2"/>
  <c r="W686" i="2"/>
  <c r="P686" i="2"/>
  <c r="W685" i="2"/>
  <c r="P685" i="2"/>
  <c r="W684" i="2"/>
  <c r="P684" i="2"/>
  <c r="W683" i="2"/>
  <c r="P683" i="2"/>
  <c r="W682" i="2"/>
  <c r="P682" i="2"/>
  <c r="W681" i="2"/>
  <c r="P681" i="2"/>
  <c r="W680" i="2"/>
  <c r="P680" i="2"/>
  <c r="W679" i="2"/>
  <c r="P679" i="2"/>
  <c r="W678" i="2"/>
  <c r="P678" i="2"/>
  <c r="W677" i="2"/>
  <c r="P677" i="2"/>
  <c r="W676" i="2"/>
  <c r="P676" i="2"/>
  <c r="W675" i="2"/>
  <c r="P675" i="2"/>
  <c r="W674" i="2"/>
  <c r="P674" i="2"/>
  <c r="W673" i="2"/>
  <c r="P673" i="2"/>
  <c r="I673" i="2"/>
  <c r="J673" i="2" s="1"/>
  <c r="W672" i="2"/>
  <c r="P672" i="2"/>
  <c r="W671" i="2"/>
  <c r="P671" i="2"/>
  <c r="W670" i="2"/>
  <c r="P670" i="2"/>
  <c r="W669" i="2"/>
  <c r="P669" i="2"/>
  <c r="W668" i="2"/>
  <c r="P668" i="2"/>
  <c r="W667" i="2"/>
  <c r="P667" i="2"/>
  <c r="W666" i="2"/>
  <c r="P666" i="2"/>
  <c r="W665" i="2"/>
  <c r="P665" i="2"/>
  <c r="W664" i="2"/>
  <c r="P664" i="2"/>
  <c r="W663" i="2"/>
  <c r="P663" i="2"/>
  <c r="W662" i="2"/>
  <c r="P662" i="2"/>
  <c r="W661" i="2"/>
  <c r="P661" i="2"/>
  <c r="I661" i="2"/>
  <c r="J661" i="2" s="1"/>
  <c r="W660" i="2"/>
  <c r="P660" i="2"/>
  <c r="W659" i="2"/>
  <c r="P659" i="2"/>
  <c r="W658" i="2"/>
  <c r="P658" i="2"/>
  <c r="W657" i="2"/>
  <c r="P657" i="2"/>
  <c r="W656" i="2"/>
  <c r="P656" i="2"/>
  <c r="I656" i="2"/>
  <c r="J656" i="2" s="1"/>
  <c r="W655" i="2"/>
  <c r="P655" i="2"/>
  <c r="W654" i="2"/>
  <c r="P654" i="2"/>
  <c r="W653" i="2"/>
  <c r="P653" i="2"/>
  <c r="W652" i="2"/>
  <c r="P652" i="2"/>
  <c r="W651" i="2"/>
  <c r="P651" i="2"/>
  <c r="I651" i="2"/>
  <c r="J651" i="2" s="1"/>
  <c r="W650" i="2"/>
  <c r="P650" i="2"/>
  <c r="W649" i="2"/>
  <c r="P649" i="2"/>
  <c r="W648" i="2"/>
  <c r="P648" i="2"/>
  <c r="W647" i="2"/>
  <c r="P647" i="2"/>
  <c r="W646" i="2"/>
  <c r="P646" i="2"/>
  <c r="W645" i="2"/>
  <c r="P645" i="2"/>
  <c r="W644" i="2"/>
  <c r="P644" i="2"/>
  <c r="W643" i="2"/>
  <c r="P643" i="2"/>
  <c r="W642" i="2"/>
  <c r="P642" i="2"/>
  <c r="W641" i="2"/>
  <c r="P641" i="2"/>
  <c r="W640" i="2"/>
  <c r="P640" i="2"/>
  <c r="W639" i="2"/>
  <c r="P639" i="2"/>
  <c r="F639" i="2"/>
  <c r="H639" i="2" s="1"/>
  <c r="W638" i="2"/>
  <c r="P638" i="2"/>
  <c r="W637" i="2"/>
  <c r="P637" i="2"/>
  <c r="W636" i="2"/>
  <c r="P636" i="2"/>
  <c r="I636" i="2"/>
  <c r="J636" i="2" s="1"/>
  <c r="W635" i="2"/>
  <c r="P635" i="2"/>
  <c r="W634" i="2"/>
  <c r="P634" i="2"/>
  <c r="W633" i="2"/>
  <c r="P633" i="2"/>
  <c r="W632" i="2"/>
  <c r="P632" i="2"/>
  <c r="W631" i="2"/>
  <c r="P631" i="2"/>
  <c r="W630" i="2"/>
  <c r="P630" i="2"/>
  <c r="W629" i="2"/>
  <c r="P629" i="2"/>
  <c r="W628" i="2"/>
  <c r="P628" i="2"/>
  <c r="W627" i="2"/>
  <c r="P627" i="2"/>
  <c r="W626" i="2"/>
  <c r="P626" i="2"/>
  <c r="W625" i="2"/>
  <c r="P625" i="2"/>
  <c r="W624" i="2"/>
  <c r="P624" i="2"/>
  <c r="I624" i="2"/>
  <c r="J624" i="2" s="1"/>
  <c r="W623" i="2"/>
  <c r="P623" i="2"/>
  <c r="W622" i="2"/>
  <c r="P622" i="2"/>
  <c r="I622" i="2"/>
  <c r="J622" i="2" s="1"/>
  <c r="W621" i="2"/>
  <c r="P621" i="2"/>
  <c r="W620" i="2"/>
  <c r="P620" i="2"/>
  <c r="W619" i="2"/>
  <c r="P619" i="2"/>
  <c r="W618" i="2"/>
  <c r="P618" i="2"/>
  <c r="W617" i="2"/>
  <c r="P617" i="2"/>
  <c r="I617" i="2"/>
  <c r="J617" i="2" s="1"/>
  <c r="W616" i="2"/>
  <c r="P616" i="2"/>
  <c r="W615" i="2"/>
  <c r="P615" i="2"/>
  <c r="W614" i="2"/>
  <c r="P614" i="2"/>
  <c r="W613" i="2"/>
  <c r="P613" i="2"/>
  <c r="W612" i="2"/>
  <c r="P612" i="2"/>
  <c r="W611" i="2"/>
  <c r="P611" i="2"/>
  <c r="W610" i="2"/>
  <c r="P610" i="2"/>
  <c r="W609" i="2"/>
  <c r="P609" i="2"/>
  <c r="W608" i="2"/>
  <c r="P608" i="2"/>
  <c r="W607" i="2"/>
  <c r="P607" i="2"/>
  <c r="W606" i="2"/>
  <c r="P606" i="2"/>
  <c r="W605" i="2"/>
  <c r="P605" i="2"/>
  <c r="W604" i="2"/>
  <c r="P604" i="2"/>
  <c r="I604" i="2"/>
  <c r="J604" i="2" s="1"/>
  <c r="W603" i="2"/>
  <c r="P603" i="2"/>
  <c r="W602" i="2"/>
  <c r="P602" i="2"/>
  <c r="W601" i="2"/>
  <c r="P601" i="2"/>
  <c r="W600" i="2"/>
  <c r="P600" i="2"/>
  <c r="W599" i="2"/>
  <c r="P599" i="2"/>
  <c r="W598" i="2"/>
  <c r="P598" i="2"/>
  <c r="W597" i="2"/>
  <c r="P597" i="2"/>
  <c r="I597" i="2"/>
  <c r="J597" i="2" s="1"/>
  <c r="W596" i="2"/>
  <c r="P596" i="2"/>
  <c r="W595" i="2"/>
  <c r="P595" i="2"/>
  <c r="I595" i="2"/>
  <c r="J595" i="2" s="1"/>
  <c r="W594" i="2"/>
  <c r="P594" i="2"/>
  <c r="I594" i="2"/>
  <c r="J594" i="2" s="1"/>
  <c r="W593" i="2"/>
  <c r="P593" i="2"/>
  <c r="I593" i="2"/>
  <c r="J593" i="2" s="1"/>
  <c r="W592" i="2"/>
  <c r="P592" i="2"/>
  <c r="W591" i="2"/>
  <c r="P591" i="2"/>
  <c r="J591" i="2"/>
  <c r="I591" i="2"/>
  <c r="W590" i="2"/>
  <c r="P590" i="2"/>
  <c r="W589" i="2"/>
  <c r="P589" i="2"/>
  <c r="I589" i="2"/>
  <c r="J589" i="2" s="1"/>
  <c r="W588" i="2"/>
  <c r="P588" i="2"/>
  <c r="W587" i="2"/>
  <c r="P587" i="2"/>
  <c r="I587" i="2"/>
  <c r="J587" i="2" s="1"/>
  <c r="W586" i="2"/>
  <c r="P586" i="2"/>
  <c r="I586" i="2"/>
  <c r="J586" i="2" s="1"/>
  <c r="W585" i="2"/>
  <c r="P585" i="2"/>
  <c r="I585" i="2"/>
  <c r="J585" i="2" s="1"/>
  <c r="W584" i="2"/>
  <c r="P584" i="2"/>
  <c r="W583" i="2"/>
  <c r="P583" i="2"/>
  <c r="I583" i="2"/>
  <c r="J583" i="2" s="1"/>
  <c r="W582" i="2"/>
  <c r="P582" i="2"/>
  <c r="I582" i="2"/>
  <c r="J582" i="2" s="1"/>
  <c r="W581" i="2"/>
  <c r="P581" i="2"/>
  <c r="W580" i="2"/>
  <c r="P580" i="2"/>
  <c r="I580" i="2"/>
  <c r="J580" i="2" s="1"/>
  <c r="F580" i="2"/>
  <c r="W579" i="2"/>
  <c r="P579" i="2"/>
  <c r="I579" i="2"/>
  <c r="J579" i="2" s="1"/>
  <c r="W578" i="2"/>
  <c r="P578" i="2"/>
  <c r="I578" i="2"/>
  <c r="J578" i="2" s="1"/>
  <c r="W577" i="2"/>
  <c r="P577" i="2"/>
  <c r="W576" i="2"/>
  <c r="P576" i="2"/>
  <c r="I576" i="2"/>
  <c r="J576" i="2" s="1"/>
  <c r="W575" i="2"/>
  <c r="P575" i="2"/>
  <c r="W574" i="2"/>
  <c r="P574" i="2"/>
  <c r="I574" i="2"/>
  <c r="J574" i="2" s="1"/>
  <c r="W573" i="2"/>
  <c r="P573" i="2"/>
  <c r="W572" i="2"/>
  <c r="P572" i="2"/>
  <c r="I572" i="2"/>
  <c r="J572" i="2" s="1"/>
  <c r="W571" i="2"/>
  <c r="P571" i="2"/>
  <c r="I571" i="2"/>
  <c r="J571" i="2" s="1"/>
  <c r="W570" i="2"/>
  <c r="P570" i="2"/>
  <c r="I570" i="2"/>
  <c r="J570" i="2" s="1"/>
  <c r="W569" i="2"/>
  <c r="P569" i="2"/>
  <c r="I569" i="2"/>
  <c r="J569" i="2" s="1"/>
  <c r="W568" i="2"/>
  <c r="P568" i="2"/>
  <c r="I568" i="2"/>
  <c r="J568" i="2" s="1"/>
  <c r="W567" i="2"/>
  <c r="P567" i="2"/>
  <c r="I567" i="2"/>
  <c r="J567" i="2" s="1"/>
  <c r="W566" i="2"/>
  <c r="P566" i="2"/>
  <c r="I566" i="2"/>
  <c r="J566" i="2" s="1"/>
  <c r="W565" i="2"/>
  <c r="P565" i="2"/>
  <c r="I565" i="2"/>
  <c r="J565" i="2" s="1"/>
  <c r="W564" i="2"/>
  <c r="P564" i="2"/>
  <c r="I564" i="2"/>
  <c r="J564" i="2" s="1"/>
  <c r="W563" i="2"/>
  <c r="P563" i="2"/>
  <c r="I563" i="2"/>
  <c r="J563" i="2" s="1"/>
  <c r="W562" i="2"/>
  <c r="P562" i="2"/>
  <c r="I562" i="2"/>
  <c r="J562" i="2" s="1"/>
  <c r="W561" i="2"/>
  <c r="P561" i="2"/>
  <c r="I561" i="2"/>
  <c r="J561" i="2" s="1"/>
  <c r="W560" i="2"/>
  <c r="P560" i="2"/>
  <c r="I560" i="2"/>
  <c r="J560" i="2" s="1"/>
  <c r="W559" i="2"/>
  <c r="P559" i="2"/>
  <c r="I559" i="2"/>
  <c r="J559" i="2" s="1"/>
  <c r="W558" i="2"/>
  <c r="P558" i="2"/>
  <c r="I558" i="2"/>
  <c r="J558" i="2" s="1"/>
  <c r="W557" i="2"/>
  <c r="P557" i="2"/>
  <c r="I557" i="2"/>
  <c r="J557" i="2" s="1"/>
  <c r="W556" i="2"/>
  <c r="P556" i="2"/>
  <c r="I556" i="2"/>
  <c r="J556" i="2" s="1"/>
  <c r="W555" i="2"/>
  <c r="P555" i="2"/>
  <c r="I555" i="2"/>
  <c r="J555" i="2" s="1"/>
  <c r="W554" i="2"/>
  <c r="P554" i="2"/>
  <c r="I554" i="2"/>
  <c r="J554" i="2" s="1"/>
  <c r="W553" i="2"/>
  <c r="P553" i="2"/>
  <c r="I553" i="2"/>
  <c r="J553" i="2" s="1"/>
  <c r="W552" i="2"/>
  <c r="P552" i="2"/>
  <c r="I552" i="2"/>
  <c r="J552" i="2" s="1"/>
  <c r="W551" i="2"/>
  <c r="P551" i="2"/>
  <c r="I551" i="2"/>
  <c r="J551" i="2" s="1"/>
  <c r="W550" i="2"/>
  <c r="P550" i="2"/>
  <c r="I550" i="2"/>
  <c r="J550" i="2" s="1"/>
  <c r="W549" i="2"/>
  <c r="P549" i="2"/>
  <c r="I549" i="2"/>
  <c r="J549" i="2" s="1"/>
  <c r="W548" i="2"/>
  <c r="P548" i="2"/>
  <c r="I548" i="2"/>
  <c r="J548" i="2" s="1"/>
  <c r="W547" i="2"/>
  <c r="P547" i="2"/>
  <c r="I547" i="2"/>
  <c r="J547" i="2" s="1"/>
  <c r="W546" i="2"/>
  <c r="P546" i="2"/>
  <c r="I546" i="2"/>
  <c r="J546" i="2" s="1"/>
  <c r="W545" i="2"/>
  <c r="P545" i="2"/>
  <c r="I545" i="2"/>
  <c r="J545" i="2" s="1"/>
  <c r="W544" i="2"/>
  <c r="P544" i="2"/>
  <c r="I544" i="2"/>
  <c r="J544" i="2" s="1"/>
  <c r="W543" i="2"/>
  <c r="P543" i="2"/>
  <c r="I543" i="2"/>
  <c r="J543" i="2" s="1"/>
  <c r="W542" i="2"/>
  <c r="P542" i="2"/>
  <c r="I542" i="2"/>
  <c r="J542" i="2" s="1"/>
  <c r="W541" i="2"/>
  <c r="P541" i="2"/>
  <c r="I541" i="2"/>
  <c r="J541" i="2" s="1"/>
  <c r="W540" i="2"/>
  <c r="P540" i="2"/>
  <c r="I540" i="2"/>
  <c r="J540" i="2" s="1"/>
  <c r="W539" i="2"/>
  <c r="P539" i="2"/>
  <c r="I539" i="2"/>
  <c r="J539" i="2" s="1"/>
  <c r="W538" i="2"/>
  <c r="P538" i="2"/>
  <c r="I538" i="2"/>
  <c r="J538" i="2" s="1"/>
  <c r="W537" i="2"/>
  <c r="P537" i="2"/>
  <c r="I537" i="2"/>
  <c r="J537" i="2" s="1"/>
  <c r="W536" i="2"/>
  <c r="P536" i="2"/>
  <c r="I536" i="2"/>
  <c r="J536" i="2" s="1"/>
  <c r="W535" i="2"/>
  <c r="P535" i="2"/>
  <c r="I535" i="2"/>
  <c r="J535" i="2" s="1"/>
  <c r="W534" i="2"/>
  <c r="P534" i="2"/>
  <c r="I534" i="2"/>
  <c r="J534" i="2" s="1"/>
  <c r="W533" i="2"/>
  <c r="P533" i="2"/>
  <c r="I533" i="2"/>
  <c r="J533" i="2" s="1"/>
  <c r="W532" i="2"/>
  <c r="P532" i="2"/>
  <c r="I532" i="2"/>
  <c r="J532" i="2" s="1"/>
  <c r="W531" i="2"/>
  <c r="P531" i="2"/>
  <c r="I531" i="2"/>
  <c r="J531" i="2" s="1"/>
  <c r="W530" i="2"/>
  <c r="P530" i="2"/>
  <c r="I530" i="2"/>
  <c r="J530" i="2" s="1"/>
  <c r="W529" i="2"/>
  <c r="P529" i="2"/>
  <c r="I529" i="2"/>
  <c r="J529" i="2" s="1"/>
  <c r="W528" i="2"/>
  <c r="P528" i="2"/>
  <c r="I528" i="2"/>
  <c r="J528" i="2" s="1"/>
  <c r="W527" i="2"/>
  <c r="P527" i="2"/>
  <c r="I527" i="2"/>
  <c r="J527" i="2" s="1"/>
  <c r="W526" i="2"/>
  <c r="P526" i="2"/>
  <c r="I526" i="2"/>
  <c r="J526" i="2" s="1"/>
  <c r="W525" i="2"/>
  <c r="P525" i="2"/>
  <c r="I525" i="2"/>
  <c r="J525" i="2" s="1"/>
  <c r="W524" i="2"/>
  <c r="P524" i="2"/>
  <c r="I524" i="2"/>
  <c r="J524" i="2" s="1"/>
  <c r="W523" i="2"/>
  <c r="P523" i="2"/>
  <c r="J523" i="2"/>
  <c r="I523" i="2"/>
  <c r="W522" i="2"/>
  <c r="P522" i="2"/>
  <c r="I522" i="2"/>
  <c r="J522" i="2" s="1"/>
  <c r="W521" i="2"/>
  <c r="P521" i="2"/>
  <c r="I521" i="2"/>
  <c r="J521" i="2" s="1"/>
  <c r="W520" i="2"/>
  <c r="P520" i="2"/>
  <c r="I520" i="2"/>
  <c r="J520" i="2" s="1"/>
  <c r="W519" i="2"/>
  <c r="P519" i="2"/>
  <c r="I519" i="2"/>
  <c r="J519" i="2" s="1"/>
  <c r="W518" i="2"/>
  <c r="P518" i="2"/>
  <c r="I518" i="2"/>
  <c r="J518" i="2" s="1"/>
  <c r="W517" i="2"/>
  <c r="P517" i="2"/>
  <c r="I517" i="2"/>
  <c r="J517" i="2" s="1"/>
  <c r="W516" i="2"/>
  <c r="P516" i="2"/>
  <c r="I516" i="2"/>
  <c r="J516" i="2" s="1"/>
  <c r="W515" i="2"/>
  <c r="P515" i="2"/>
  <c r="I515" i="2"/>
  <c r="J515" i="2" s="1"/>
  <c r="W514" i="2"/>
  <c r="P514" i="2"/>
  <c r="I514" i="2"/>
  <c r="J514" i="2" s="1"/>
  <c r="W513" i="2"/>
  <c r="P513" i="2"/>
  <c r="I513" i="2"/>
  <c r="J513" i="2" s="1"/>
  <c r="W512" i="2"/>
  <c r="P512" i="2"/>
  <c r="I512" i="2"/>
  <c r="J512" i="2" s="1"/>
  <c r="W511" i="2"/>
  <c r="P511" i="2"/>
  <c r="I511" i="2"/>
  <c r="J511" i="2" s="1"/>
  <c r="W510" i="2"/>
  <c r="P510" i="2"/>
  <c r="I510" i="2"/>
  <c r="J510" i="2" s="1"/>
  <c r="W509" i="2"/>
  <c r="P509" i="2"/>
  <c r="I509" i="2"/>
  <c r="J509" i="2" s="1"/>
  <c r="W508" i="2"/>
  <c r="P508" i="2"/>
  <c r="I508" i="2"/>
  <c r="J508" i="2" s="1"/>
  <c r="W507" i="2"/>
  <c r="P507" i="2"/>
  <c r="I507" i="2"/>
  <c r="J507" i="2" s="1"/>
  <c r="W506" i="2"/>
  <c r="P506" i="2"/>
  <c r="I506" i="2"/>
  <c r="J506" i="2" s="1"/>
  <c r="W505" i="2"/>
  <c r="P505" i="2"/>
  <c r="I505" i="2"/>
  <c r="J505" i="2" s="1"/>
  <c r="W504" i="2"/>
  <c r="P504" i="2"/>
  <c r="I504" i="2"/>
  <c r="J504" i="2" s="1"/>
  <c r="W503" i="2"/>
  <c r="P503" i="2"/>
  <c r="I503" i="2"/>
  <c r="J503" i="2" s="1"/>
  <c r="W502" i="2"/>
  <c r="P502" i="2"/>
  <c r="I502" i="2"/>
  <c r="J502" i="2" s="1"/>
  <c r="W501" i="2"/>
  <c r="P501" i="2"/>
  <c r="I501" i="2"/>
  <c r="J501" i="2" s="1"/>
  <c r="W500" i="2"/>
  <c r="P500" i="2"/>
  <c r="I500" i="2"/>
  <c r="J500" i="2" s="1"/>
  <c r="W499" i="2"/>
  <c r="P499" i="2"/>
  <c r="I499" i="2"/>
  <c r="J499" i="2" s="1"/>
  <c r="W498" i="2"/>
  <c r="P498" i="2"/>
  <c r="I498" i="2"/>
  <c r="J498" i="2" s="1"/>
  <c r="W497" i="2"/>
  <c r="P497" i="2"/>
  <c r="I497" i="2"/>
  <c r="J497" i="2" s="1"/>
  <c r="W496" i="2"/>
  <c r="P496" i="2"/>
  <c r="J496" i="2"/>
  <c r="I496" i="2"/>
  <c r="W495" i="2"/>
  <c r="P495" i="2"/>
  <c r="I495" i="2"/>
  <c r="J495" i="2" s="1"/>
  <c r="W494" i="2"/>
  <c r="P494" i="2"/>
  <c r="I494" i="2"/>
  <c r="J494" i="2" s="1"/>
  <c r="W493" i="2"/>
  <c r="P493" i="2"/>
  <c r="I493" i="2"/>
  <c r="J493" i="2" s="1"/>
  <c r="W492" i="2"/>
  <c r="P492" i="2"/>
  <c r="I492" i="2"/>
  <c r="J492" i="2" s="1"/>
  <c r="W491" i="2"/>
  <c r="P491" i="2"/>
  <c r="I491" i="2"/>
  <c r="J491" i="2" s="1"/>
  <c r="W490" i="2"/>
  <c r="P490" i="2"/>
  <c r="I490" i="2"/>
  <c r="J490" i="2" s="1"/>
  <c r="W489" i="2"/>
  <c r="P489" i="2"/>
  <c r="I489" i="2"/>
  <c r="J489" i="2" s="1"/>
  <c r="W488" i="2"/>
  <c r="P488" i="2"/>
  <c r="I488" i="2"/>
  <c r="J488" i="2" s="1"/>
  <c r="W487" i="2"/>
  <c r="P487" i="2"/>
  <c r="I487" i="2"/>
  <c r="J487" i="2" s="1"/>
  <c r="W486" i="2"/>
  <c r="P486" i="2"/>
  <c r="I486" i="2"/>
  <c r="J486" i="2" s="1"/>
  <c r="W485" i="2"/>
  <c r="P485" i="2"/>
  <c r="I485" i="2"/>
  <c r="J485" i="2" s="1"/>
  <c r="W484" i="2"/>
  <c r="P484" i="2"/>
  <c r="I484" i="2"/>
  <c r="J484" i="2" s="1"/>
  <c r="W483" i="2"/>
  <c r="P483" i="2"/>
  <c r="I483" i="2"/>
  <c r="J483" i="2" s="1"/>
  <c r="W482" i="2"/>
  <c r="P482" i="2"/>
  <c r="I482" i="2"/>
  <c r="J482" i="2" s="1"/>
  <c r="W481" i="2"/>
  <c r="P481" i="2"/>
  <c r="I481" i="2"/>
  <c r="J481" i="2" s="1"/>
  <c r="W480" i="2"/>
  <c r="P480" i="2"/>
  <c r="I480" i="2"/>
  <c r="J480" i="2" s="1"/>
  <c r="W479" i="2"/>
  <c r="P479" i="2"/>
  <c r="I479" i="2"/>
  <c r="J479" i="2" s="1"/>
  <c r="W478" i="2"/>
  <c r="P478" i="2"/>
  <c r="I478" i="2"/>
  <c r="J478" i="2" s="1"/>
  <c r="W477" i="2"/>
  <c r="P477" i="2"/>
  <c r="I477" i="2"/>
  <c r="J477" i="2" s="1"/>
  <c r="W476" i="2"/>
  <c r="P476" i="2"/>
  <c r="I476" i="2"/>
  <c r="J476" i="2" s="1"/>
  <c r="W475" i="2"/>
  <c r="P475" i="2"/>
  <c r="I475" i="2"/>
  <c r="J475" i="2" s="1"/>
  <c r="W474" i="2"/>
  <c r="P474" i="2"/>
  <c r="I474" i="2"/>
  <c r="J474" i="2" s="1"/>
  <c r="W473" i="2"/>
  <c r="P473" i="2"/>
  <c r="I473" i="2"/>
  <c r="J473" i="2" s="1"/>
  <c r="W472" i="2"/>
  <c r="P472" i="2"/>
  <c r="I472" i="2"/>
  <c r="J472" i="2" s="1"/>
  <c r="W471" i="2"/>
  <c r="P471" i="2"/>
  <c r="I471" i="2"/>
  <c r="J471" i="2" s="1"/>
  <c r="W470" i="2"/>
  <c r="P470" i="2"/>
  <c r="I470" i="2"/>
  <c r="J470" i="2" s="1"/>
  <c r="W469" i="2"/>
  <c r="P469" i="2"/>
  <c r="I469" i="2"/>
  <c r="J469" i="2" s="1"/>
  <c r="W468" i="2"/>
  <c r="P468" i="2"/>
  <c r="I468" i="2"/>
  <c r="J468" i="2" s="1"/>
  <c r="W467" i="2"/>
  <c r="P467" i="2"/>
  <c r="I467" i="2"/>
  <c r="J467" i="2" s="1"/>
  <c r="W466" i="2"/>
  <c r="P466" i="2"/>
  <c r="I466" i="2"/>
  <c r="J466" i="2" s="1"/>
  <c r="W465" i="2"/>
  <c r="P465" i="2"/>
  <c r="I465" i="2"/>
  <c r="J465" i="2" s="1"/>
  <c r="W464" i="2"/>
  <c r="P464" i="2"/>
  <c r="I464" i="2"/>
  <c r="J464" i="2" s="1"/>
  <c r="W463" i="2"/>
  <c r="P463" i="2"/>
  <c r="I463" i="2"/>
  <c r="J463" i="2" s="1"/>
  <c r="W462" i="2"/>
  <c r="P462" i="2"/>
  <c r="I462" i="2"/>
  <c r="J462" i="2" s="1"/>
  <c r="W461" i="2"/>
  <c r="P461" i="2"/>
  <c r="I461" i="2"/>
  <c r="J461" i="2" s="1"/>
  <c r="W460" i="2"/>
  <c r="P460" i="2"/>
  <c r="I460" i="2"/>
  <c r="J460" i="2" s="1"/>
  <c r="W459" i="2"/>
  <c r="P459" i="2"/>
  <c r="I459" i="2"/>
  <c r="J459" i="2" s="1"/>
  <c r="W458" i="2"/>
  <c r="P458" i="2"/>
  <c r="I458" i="2"/>
  <c r="J458" i="2" s="1"/>
  <c r="W457" i="2"/>
  <c r="P457" i="2"/>
  <c r="I457" i="2"/>
  <c r="J457" i="2" s="1"/>
  <c r="W456" i="2"/>
  <c r="P456" i="2"/>
  <c r="I456" i="2"/>
  <c r="J456" i="2" s="1"/>
  <c r="W455" i="2"/>
  <c r="P455" i="2"/>
  <c r="I455" i="2"/>
  <c r="J455" i="2" s="1"/>
  <c r="W454" i="2"/>
  <c r="P454" i="2"/>
  <c r="I454" i="2"/>
  <c r="J454" i="2" s="1"/>
  <c r="W453" i="2"/>
  <c r="P453" i="2"/>
  <c r="I453" i="2"/>
  <c r="J453" i="2" s="1"/>
  <c r="W452" i="2"/>
  <c r="P452" i="2"/>
  <c r="I452" i="2"/>
  <c r="J452" i="2" s="1"/>
  <c r="W451" i="2"/>
  <c r="P451" i="2"/>
  <c r="I451" i="2"/>
  <c r="J451" i="2" s="1"/>
  <c r="W450" i="2"/>
  <c r="P450" i="2"/>
  <c r="I450" i="2"/>
  <c r="J450" i="2" s="1"/>
  <c r="W449" i="2"/>
  <c r="P449" i="2"/>
  <c r="I449" i="2"/>
  <c r="J449" i="2" s="1"/>
  <c r="W448" i="2"/>
  <c r="P448" i="2"/>
  <c r="I448" i="2"/>
  <c r="J448" i="2" s="1"/>
  <c r="W447" i="2"/>
  <c r="P447" i="2"/>
  <c r="I447" i="2"/>
  <c r="J447" i="2" s="1"/>
  <c r="W446" i="2"/>
  <c r="P446" i="2"/>
  <c r="I446" i="2"/>
  <c r="J446" i="2" s="1"/>
  <c r="W445" i="2"/>
  <c r="P445" i="2"/>
  <c r="I445" i="2"/>
  <c r="J445" i="2" s="1"/>
  <c r="W444" i="2"/>
  <c r="P444" i="2"/>
  <c r="I444" i="2"/>
  <c r="J444" i="2" s="1"/>
  <c r="W443" i="2"/>
  <c r="P443" i="2"/>
  <c r="I443" i="2"/>
  <c r="J443" i="2" s="1"/>
  <c r="W442" i="2"/>
  <c r="P442" i="2"/>
  <c r="I442" i="2"/>
  <c r="J442" i="2" s="1"/>
  <c r="W441" i="2"/>
  <c r="P441" i="2"/>
  <c r="I441" i="2"/>
  <c r="J441" i="2" s="1"/>
  <c r="W440" i="2"/>
  <c r="P440" i="2"/>
  <c r="I440" i="2"/>
  <c r="J440" i="2" s="1"/>
  <c r="W439" i="2"/>
  <c r="P439" i="2"/>
  <c r="I439" i="2"/>
  <c r="J439" i="2" s="1"/>
  <c r="W438" i="2"/>
  <c r="P438" i="2"/>
  <c r="I438" i="2"/>
  <c r="J438" i="2" s="1"/>
  <c r="W437" i="2"/>
  <c r="P437" i="2"/>
  <c r="I437" i="2"/>
  <c r="J437" i="2" s="1"/>
  <c r="W436" i="2"/>
  <c r="P436" i="2"/>
  <c r="I436" i="2"/>
  <c r="J436" i="2" s="1"/>
  <c r="W435" i="2"/>
  <c r="P435" i="2"/>
  <c r="I435" i="2"/>
  <c r="J435" i="2" s="1"/>
  <c r="W434" i="2"/>
  <c r="P434" i="2"/>
  <c r="I434" i="2"/>
  <c r="J434" i="2" s="1"/>
  <c r="W433" i="2"/>
  <c r="P433" i="2"/>
  <c r="I433" i="2"/>
  <c r="J433" i="2" s="1"/>
  <c r="W432" i="2"/>
  <c r="P432" i="2"/>
  <c r="I432" i="2"/>
  <c r="J432" i="2" s="1"/>
  <c r="W431" i="2"/>
  <c r="P431" i="2"/>
  <c r="I431" i="2"/>
  <c r="J431" i="2" s="1"/>
  <c r="W430" i="2"/>
  <c r="P430" i="2"/>
  <c r="I430" i="2"/>
  <c r="J430" i="2" s="1"/>
  <c r="W429" i="2"/>
  <c r="P429" i="2"/>
  <c r="I429" i="2"/>
  <c r="J429" i="2" s="1"/>
  <c r="W428" i="2"/>
  <c r="P428" i="2"/>
  <c r="I428" i="2"/>
  <c r="J428" i="2" s="1"/>
  <c r="W427" i="2"/>
  <c r="P427" i="2"/>
  <c r="I427" i="2"/>
  <c r="J427" i="2" s="1"/>
  <c r="W426" i="2"/>
  <c r="P426" i="2"/>
  <c r="I426" i="2"/>
  <c r="J426" i="2" s="1"/>
  <c r="W425" i="2"/>
  <c r="P425" i="2"/>
  <c r="I425" i="2"/>
  <c r="J425" i="2" s="1"/>
  <c r="W424" i="2"/>
  <c r="P424" i="2"/>
  <c r="I424" i="2"/>
  <c r="J424" i="2" s="1"/>
  <c r="W423" i="2"/>
  <c r="P423" i="2"/>
  <c r="I423" i="2"/>
  <c r="J423" i="2" s="1"/>
  <c r="W422" i="2"/>
  <c r="P422" i="2"/>
  <c r="I422" i="2"/>
  <c r="J422" i="2" s="1"/>
  <c r="W421" i="2"/>
  <c r="P421" i="2"/>
  <c r="I421" i="2"/>
  <c r="J421" i="2" s="1"/>
  <c r="W420" i="2"/>
  <c r="P420" i="2"/>
  <c r="I420" i="2"/>
  <c r="J420" i="2" s="1"/>
  <c r="W419" i="2"/>
  <c r="P419" i="2"/>
  <c r="I419" i="2"/>
  <c r="J419" i="2" s="1"/>
  <c r="W418" i="2"/>
  <c r="P418" i="2"/>
  <c r="I418" i="2"/>
  <c r="J418" i="2" s="1"/>
  <c r="W417" i="2"/>
  <c r="P417" i="2"/>
  <c r="I417" i="2"/>
  <c r="J417" i="2" s="1"/>
  <c r="W416" i="2"/>
  <c r="P416" i="2"/>
  <c r="I416" i="2"/>
  <c r="J416" i="2" s="1"/>
  <c r="W415" i="2"/>
  <c r="P415" i="2"/>
  <c r="I415" i="2"/>
  <c r="J415" i="2" s="1"/>
  <c r="W414" i="2"/>
  <c r="P414" i="2"/>
  <c r="I414" i="2"/>
  <c r="J414" i="2" s="1"/>
  <c r="W413" i="2"/>
  <c r="P413" i="2"/>
  <c r="I413" i="2"/>
  <c r="J413" i="2" s="1"/>
  <c r="W412" i="2"/>
  <c r="P412" i="2"/>
  <c r="I412" i="2"/>
  <c r="J412" i="2" s="1"/>
  <c r="F412" i="2"/>
  <c r="W411" i="2"/>
  <c r="P411" i="2"/>
  <c r="I411" i="2"/>
  <c r="J411" i="2" s="1"/>
  <c r="W410" i="2"/>
  <c r="P410" i="2"/>
  <c r="I410" i="2"/>
  <c r="J410" i="2" s="1"/>
  <c r="W409" i="2"/>
  <c r="P409" i="2"/>
  <c r="I409" i="2"/>
  <c r="J409" i="2" s="1"/>
  <c r="W408" i="2"/>
  <c r="P408" i="2"/>
  <c r="I408" i="2"/>
  <c r="J408" i="2" s="1"/>
  <c r="W407" i="2"/>
  <c r="P407" i="2"/>
  <c r="I407" i="2"/>
  <c r="J407" i="2" s="1"/>
  <c r="W406" i="2"/>
  <c r="P406" i="2"/>
  <c r="I406" i="2"/>
  <c r="J406" i="2" s="1"/>
  <c r="W405" i="2"/>
  <c r="P405" i="2"/>
  <c r="I405" i="2"/>
  <c r="J405" i="2" s="1"/>
  <c r="W404" i="2"/>
  <c r="P404" i="2"/>
  <c r="I404" i="2"/>
  <c r="J404" i="2" s="1"/>
  <c r="W403" i="2"/>
  <c r="P403" i="2"/>
  <c r="I403" i="2"/>
  <c r="J403" i="2" s="1"/>
  <c r="W402" i="2"/>
  <c r="P402" i="2"/>
  <c r="I402" i="2"/>
  <c r="J402" i="2" s="1"/>
  <c r="W401" i="2"/>
  <c r="P401" i="2"/>
  <c r="I401" i="2"/>
  <c r="J401" i="2" s="1"/>
  <c r="W400" i="2"/>
  <c r="P400" i="2"/>
  <c r="I400" i="2"/>
  <c r="J400" i="2" s="1"/>
  <c r="W399" i="2"/>
  <c r="P399" i="2"/>
  <c r="I399" i="2"/>
  <c r="J399" i="2" s="1"/>
  <c r="W398" i="2"/>
  <c r="P398" i="2"/>
  <c r="I398" i="2"/>
  <c r="J398" i="2" s="1"/>
  <c r="W397" i="2"/>
  <c r="P397" i="2"/>
  <c r="I397" i="2"/>
  <c r="J397" i="2" s="1"/>
  <c r="W396" i="2"/>
  <c r="P396" i="2"/>
  <c r="I396" i="2"/>
  <c r="J396" i="2" s="1"/>
  <c r="W395" i="2"/>
  <c r="P395" i="2"/>
  <c r="I395" i="2"/>
  <c r="J395" i="2" s="1"/>
  <c r="W394" i="2"/>
  <c r="P394" i="2"/>
  <c r="I394" i="2"/>
  <c r="J394" i="2" s="1"/>
  <c r="W393" i="2"/>
  <c r="P393" i="2"/>
  <c r="I393" i="2"/>
  <c r="J393" i="2" s="1"/>
  <c r="W392" i="2"/>
  <c r="P392" i="2"/>
  <c r="I392" i="2"/>
  <c r="J392" i="2" s="1"/>
  <c r="W391" i="2"/>
  <c r="P391" i="2"/>
  <c r="I391" i="2"/>
  <c r="J391" i="2" s="1"/>
  <c r="W390" i="2"/>
  <c r="P390" i="2"/>
  <c r="I390" i="2"/>
  <c r="J390" i="2" s="1"/>
  <c r="F390" i="2"/>
  <c r="H390" i="2" s="1"/>
  <c r="W389" i="2"/>
  <c r="P389" i="2"/>
  <c r="I389" i="2"/>
  <c r="J389" i="2" s="1"/>
  <c r="W388" i="2"/>
  <c r="P388" i="2"/>
  <c r="I388" i="2"/>
  <c r="J388" i="2" s="1"/>
  <c r="W387" i="2"/>
  <c r="P387" i="2"/>
  <c r="I387" i="2"/>
  <c r="J387" i="2" s="1"/>
  <c r="W386" i="2"/>
  <c r="P386" i="2"/>
  <c r="I386" i="2"/>
  <c r="J386" i="2" s="1"/>
  <c r="W385" i="2"/>
  <c r="P385" i="2"/>
  <c r="I385" i="2"/>
  <c r="J385" i="2" s="1"/>
  <c r="W384" i="2"/>
  <c r="P384" i="2"/>
  <c r="I384" i="2"/>
  <c r="J384" i="2" s="1"/>
  <c r="W383" i="2"/>
  <c r="P383" i="2"/>
  <c r="I383" i="2"/>
  <c r="J383" i="2" s="1"/>
  <c r="W382" i="2"/>
  <c r="P382" i="2"/>
  <c r="I382" i="2"/>
  <c r="J382" i="2" s="1"/>
  <c r="W381" i="2"/>
  <c r="P381" i="2"/>
  <c r="I381" i="2"/>
  <c r="J381" i="2" s="1"/>
  <c r="W380" i="2"/>
  <c r="P380" i="2"/>
  <c r="I380" i="2"/>
  <c r="J380" i="2" s="1"/>
  <c r="W379" i="2"/>
  <c r="P379" i="2"/>
  <c r="I379" i="2"/>
  <c r="J379" i="2" s="1"/>
  <c r="W378" i="2"/>
  <c r="P378" i="2"/>
  <c r="I378" i="2"/>
  <c r="J378" i="2" s="1"/>
  <c r="W377" i="2"/>
  <c r="P377" i="2"/>
  <c r="I377" i="2"/>
  <c r="J377" i="2" s="1"/>
  <c r="W376" i="2"/>
  <c r="P376" i="2"/>
  <c r="I376" i="2"/>
  <c r="J376" i="2" s="1"/>
  <c r="W375" i="2"/>
  <c r="P375" i="2"/>
  <c r="I375" i="2"/>
  <c r="J375" i="2" s="1"/>
  <c r="W374" i="2"/>
  <c r="P374" i="2"/>
  <c r="I374" i="2"/>
  <c r="J374" i="2" s="1"/>
  <c r="W373" i="2"/>
  <c r="P373" i="2"/>
  <c r="I373" i="2"/>
  <c r="J373" i="2" s="1"/>
  <c r="W372" i="2"/>
  <c r="P372" i="2"/>
  <c r="I372" i="2"/>
  <c r="J372" i="2" s="1"/>
  <c r="W371" i="2"/>
  <c r="P371" i="2"/>
  <c r="I371" i="2"/>
  <c r="J371" i="2" s="1"/>
  <c r="W370" i="2"/>
  <c r="P370" i="2"/>
  <c r="I370" i="2"/>
  <c r="J370" i="2" s="1"/>
  <c r="W369" i="2"/>
  <c r="P369" i="2"/>
  <c r="I369" i="2"/>
  <c r="J369" i="2" s="1"/>
  <c r="W368" i="2"/>
  <c r="P368" i="2"/>
  <c r="I368" i="2"/>
  <c r="J368" i="2" s="1"/>
  <c r="W367" i="2"/>
  <c r="P367" i="2"/>
  <c r="I367" i="2"/>
  <c r="J367" i="2" s="1"/>
  <c r="W366" i="2"/>
  <c r="P366" i="2"/>
  <c r="I366" i="2"/>
  <c r="J366" i="2" s="1"/>
  <c r="W365" i="2"/>
  <c r="P365" i="2"/>
  <c r="I365" i="2"/>
  <c r="J365" i="2" s="1"/>
  <c r="W364" i="2"/>
  <c r="P364" i="2"/>
  <c r="I364" i="2"/>
  <c r="J364" i="2" s="1"/>
  <c r="W363" i="2"/>
  <c r="P363" i="2"/>
  <c r="I363" i="2"/>
  <c r="J363" i="2" s="1"/>
  <c r="W362" i="2"/>
  <c r="P362" i="2"/>
  <c r="I362" i="2"/>
  <c r="J362" i="2" s="1"/>
  <c r="W361" i="2"/>
  <c r="P361" i="2"/>
  <c r="I361" i="2"/>
  <c r="J361" i="2" s="1"/>
  <c r="W360" i="2"/>
  <c r="P360" i="2"/>
  <c r="I360" i="2"/>
  <c r="J360" i="2" s="1"/>
  <c r="W359" i="2"/>
  <c r="P359" i="2"/>
  <c r="I359" i="2"/>
  <c r="J359" i="2" s="1"/>
  <c r="W358" i="2"/>
  <c r="P358" i="2"/>
  <c r="I358" i="2"/>
  <c r="J358" i="2" s="1"/>
  <c r="W357" i="2"/>
  <c r="P357" i="2"/>
  <c r="J357" i="2"/>
  <c r="I357" i="2"/>
  <c r="W356" i="2"/>
  <c r="P356" i="2"/>
  <c r="I356" i="2"/>
  <c r="J356" i="2" s="1"/>
  <c r="W355" i="2"/>
  <c r="P355" i="2"/>
  <c r="I355" i="2"/>
  <c r="J355" i="2" s="1"/>
  <c r="W354" i="2"/>
  <c r="P354" i="2"/>
  <c r="I354" i="2"/>
  <c r="J354" i="2" s="1"/>
  <c r="W353" i="2"/>
  <c r="P353" i="2"/>
  <c r="I353" i="2"/>
  <c r="J353" i="2" s="1"/>
  <c r="W352" i="2"/>
  <c r="P352" i="2"/>
  <c r="I352" i="2"/>
  <c r="J352" i="2" s="1"/>
  <c r="W351" i="2"/>
  <c r="P351" i="2"/>
  <c r="I351" i="2"/>
  <c r="J351" i="2" s="1"/>
  <c r="W350" i="2"/>
  <c r="P350" i="2"/>
  <c r="I350" i="2"/>
  <c r="J350" i="2" s="1"/>
  <c r="W349" i="2"/>
  <c r="P349" i="2"/>
  <c r="I349" i="2"/>
  <c r="J349" i="2" s="1"/>
  <c r="W348" i="2"/>
  <c r="P348" i="2"/>
  <c r="I348" i="2"/>
  <c r="J348" i="2" s="1"/>
  <c r="W347" i="2"/>
  <c r="P347" i="2"/>
  <c r="I347" i="2"/>
  <c r="J347" i="2" s="1"/>
  <c r="W346" i="2"/>
  <c r="P346" i="2"/>
  <c r="I346" i="2"/>
  <c r="J346" i="2" s="1"/>
  <c r="W345" i="2"/>
  <c r="P345" i="2"/>
  <c r="I345" i="2"/>
  <c r="J345" i="2" s="1"/>
  <c r="W344" i="2"/>
  <c r="P344" i="2"/>
  <c r="I344" i="2"/>
  <c r="J344" i="2" s="1"/>
  <c r="W343" i="2"/>
  <c r="P343" i="2"/>
  <c r="I343" i="2"/>
  <c r="J343" i="2" s="1"/>
  <c r="W342" i="2"/>
  <c r="P342" i="2"/>
  <c r="I342" i="2"/>
  <c r="J342" i="2" s="1"/>
  <c r="W341" i="2"/>
  <c r="P341" i="2"/>
  <c r="I341" i="2"/>
  <c r="J341" i="2" s="1"/>
  <c r="W340" i="2"/>
  <c r="P340" i="2"/>
  <c r="I340" i="2"/>
  <c r="J340" i="2" s="1"/>
  <c r="W339" i="2"/>
  <c r="P339" i="2"/>
  <c r="I339" i="2"/>
  <c r="J339" i="2" s="1"/>
  <c r="W338" i="2"/>
  <c r="P338" i="2"/>
  <c r="I338" i="2"/>
  <c r="J338" i="2" s="1"/>
  <c r="W337" i="2"/>
  <c r="P337" i="2"/>
  <c r="I337" i="2"/>
  <c r="J337" i="2" s="1"/>
  <c r="W336" i="2"/>
  <c r="P336" i="2"/>
  <c r="I336" i="2"/>
  <c r="J336" i="2" s="1"/>
  <c r="W335" i="2"/>
  <c r="P335" i="2"/>
  <c r="I335" i="2"/>
  <c r="J335" i="2" s="1"/>
  <c r="W334" i="2"/>
  <c r="P334" i="2"/>
  <c r="I334" i="2"/>
  <c r="J334" i="2" s="1"/>
  <c r="W333" i="2"/>
  <c r="P333" i="2"/>
  <c r="I333" i="2"/>
  <c r="J333" i="2" s="1"/>
  <c r="W332" i="2"/>
  <c r="P332" i="2"/>
  <c r="I332" i="2"/>
  <c r="J332" i="2" s="1"/>
  <c r="W331" i="2"/>
  <c r="P331" i="2"/>
  <c r="I331" i="2"/>
  <c r="J331" i="2" s="1"/>
  <c r="W330" i="2"/>
  <c r="P330" i="2"/>
  <c r="I330" i="2"/>
  <c r="J330" i="2" s="1"/>
  <c r="W329" i="2"/>
  <c r="P329" i="2"/>
  <c r="I329" i="2"/>
  <c r="J329" i="2" s="1"/>
  <c r="W328" i="2"/>
  <c r="P328" i="2"/>
  <c r="I328" i="2"/>
  <c r="J328" i="2" s="1"/>
  <c r="W327" i="2"/>
  <c r="P327" i="2"/>
  <c r="I327" i="2"/>
  <c r="J327" i="2" s="1"/>
  <c r="W326" i="2"/>
  <c r="P326" i="2"/>
  <c r="I326" i="2"/>
  <c r="J326" i="2" s="1"/>
  <c r="W325" i="2"/>
  <c r="P325" i="2"/>
  <c r="I325" i="2"/>
  <c r="J325" i="2" s="1"/>
  <c r="F325" i="2"/>
  <c r="H325" i="2" s="1"/>
  <c r="W324" i="2"/>
  <c r="P324" i="2"/>
  <c r="I324" i="2"/>
  <c r="J324" i="2" s="1"/>
  <c r="W323" i="2"/>
  <c r="P323" i="2"/>
  <c r="I323" i="2"/>
  <c r="J323" i="2" s="1"/>
  <c r="W322" i="2"/>
  <c r="P322" i="2"/>
  <c r="I322" i="2"/>
  <c r="J322" i="2" s="1"/>
  <c r="W321" i="2"/>
  <c r="P321" i="2"/>
  <c r="I321" i="2"/>
  <c r="J321" i="2" s="1"/>
  <c r="W320" i="2"/>
  <c r="P320" i="2"/>
  <c r="I320" i="2"/>
  <c r="J320" i="2" s="1"/>
  <c r="W319" i="2"/>
  <c r="P319" i="2"/>
  <c r="I319" i="2"/>
  <c r="J319" i="2" s="1"/>
  <c r="W318" i="2"/>
  <c r="P318" i="2"/>
  <c r="I318" i="2"/>
  <c r="J318" i="2" s="1"/>
  <c r="W317" i="2"/>
  <c r="P317" i="2"/>
  <c r="I317" i="2"/>
  <c r="J317" i="2" s="1"/>
  <c r="W316" i="2"/>
  <c r="P316" i="2"/>
  <c r="I316" i="2"/>
  <c r="J316" i="2" s="1"/>
  <c r="F316" i="2"/>
  <c r="H316" i="2" s="1"/>
  <c r="W315" i="2"/>
  <c r="P315" i="2"/>
  <c r="I315" i="2"/>
  <c r="J315" i="2" s="1"/>
  <c r="W314" i="2"/>
  <c r="P314" i="2"/>
  <c r="I314" i="2"/>
  <c r="J314" i="2" s="1"/>
  <c r="F314" i="2"/>
  <c r="W313" i="2"/>
  <c r="P313" i="2"/>
  <c r="I313" i="2"/>
  <c r="J313" i="2" s="1"/>
  <c r="W312" i="2"/>
  <c r="P312" i="2"/>
  <c r="I312" i="2"/>
  <c r="J312" i="2" s="1"/>
  <c r="F312" i="2"/>
  <c r="W311" i="2"/>
  <c r="P311" i="2"/>
  <c r="I311" i="2"/>
  <c r="J311" i="2" s="1"/>
  <c r="W310" i="2"/>
  <c r="P310" i="2"/>
  <c r="I310" i="2"/>
  <c r="J310" i="2" s="1"/>
  <c r="F310" i="2"/>
  <c r="G310" i="2" s="1"/>
  <c r="AO19" i="4" s="1"/>
  <c r="W309" i="2"/>
  <c r="P309" i="2"/>
  <c r="I309" i="2"/>
  <c r="J309" i="2" s="1"/>
  <c r="W308" i="2"/>
  <c r="P308" i="2"/>
  <c r="I308" i="2"/>
  <c r="J308" i="2" s="1"/>
  <c r="W307" i="2"/>
  <c r="P307" i="2"/>
  <c r="I307" i="2"/>
  <c r="J307" i="2" s="1"/>
  <c r="W306" i="2"/>
  <c r="P306" i="2"/>
  <c r="I306" i="2"/>
  <c r="J306" i="2" s="1"/>
  <c r="W305" i="2"/>
  <c r="P305" i="2"/>
  <c r="I305" i="2"/>
  <c r="J305" i="2" s="1"/>
  <c r="W304" i="2"/>
  <c r="P304" i="2"/>
  <c r="I304" i="2"/>
  <c r="J304" i="2" s="1"/>
  <c r="W303" i="2"/>
  <c r="P303" i="2"/>
  <c r="I303" i="2"/>
  <c r="J303" i="2" s="1"/>
  <c r="W302" i="2"/>
  <c r="P302" i="2"/>
  <c r="I302" i="2"/>
  <c r="J302" i="2" s="1"/>
  <c r="F302" i="2"/>
  <c r="W301" i="2"/>
  <c r="P301" i="2"/>
  <c r="I301" i="2"/>
  <c r="J301" i="2" s="1"/>
  <c r="W300" i="2"/>
  <c r="P300" i="2"/>
  <c r="I300" i="2"/>
  <c r="J300" i="2" s="1"/>
  <c r="F300" i="2"/>
  <c r="G300" i="2" s="1"/>
  <c r="W299" i="2"/>
  <c r="P299" i="2"/>
  <c r="I299" i="2"/>
  <c r="J299" i="2" s="1"/>
  <c r="W298" i="2"/>
  <c r="P298" i="2"/>
  <c r="I298" i="2"/>
  <c r="J298" i="2" s="1"/>
  <c r="F298" i="2"/>
  <c r="G298" i="2" s="1"/>
  <c r="AO7" i="4" s="1"/>
  <c r="W297" i="2"/>
  <c r="P297" i="2"/>
  <c r="I297" i="2"/>
  <c r="J297" i="2" s="1"/>
  <c r="W296" i="2"/>
  <c r="P296" i="2"/>
  <c r="I296" i="2"/>
  <c r="J296" i="2" s="1"/>
  <c r="F296" i="2"/>
  <c r="H296" i="2" s="1"/>
  <c r="K296" i="2" s="1"/>
  <c r="W295" i="2"/>
  <c r="P295" i="2"/>
  <c r="J295" i="2"/>
  <c r="I295" i="2"/>
  <c r="W294" i="2"/>
  <c r="P294" i="2"/>
  <c r="I294" i="2"/>
  <c r="J294" i="2" s="1"/>
  <c r="W293" i="2"/>
  <c r="P293" i="2"/>
  <c r="I293" i="2"/>
  <c r="J293" i="2" s="1"/>
  <c r="W292" i="2"/>
  <c r="P292" i="2"/>
  <c r="I292" i="2"/>
  <c r="J292" i="2" s="1"/>
  <c r="W291" i="2"/>
  <c r="P291" i="2"/>
  <c r="I291" i="2"/>
  <c r="J291" i="2" s="1"/>
  <c r="W290" i="2"/>
  <c r="P290" i="2"/>
  <c r="I290" i="2"/>
  <c r="J290" i="2" s="1"/>
  <c r="W289" i="2"/>
  <c r="P289" i="2"/>
  <c r="I289" i="2"/>
  <c r="J289" i="2" s="1"/>
  <c r="W288" i="2"/>
  <c r="P288" i="2"/>
  <c r="I288" i="2"/>
  <c r="J288" i="2" s="1"/>
  <c r="W287" i="2"/>
  <c r="P287" i="2"/>
  <c r="I287" i="2"/>
  <c r="J287" i="2" s="1"/>
  <c r="W286" i="2"/>
  <c r="P286" i="2"/>
  <c r="I286" i="2"/>
  <c r="J286" i="2" s="1"/>
  <c r="W285" i="2"/>
  <c r="P285" i="2"/>
  <c r="I285" i="2"/>
  <c r="J285" i="2" s="1"/>
  <c r="W284" i="2"/>
  <c r="P284" i="2"/>
  <c r="I284" i="2"/>
  <c r="J284" i="2" s="1"/>
  <c r="W283" i="2"/>
  <c r="P283" i="2"/>
  <c r="I283" i="2"/>
  <c r="J283" i="2" s="1"/>
  <c r="W282" i="2"/>
  <c r="P282" i="2"/>
  <c r="I282" i="2"/>
  <c r="J282" i="2" s="1"/>
  <c r="W281" i="2"/>
  <c r="P281" i="2"/>
  <c r="I281" i="2"/>
  <c r="J281" i="2" s="1"/>
  <c r="W280" i="2"/>
  <c r="P280" i="2"/>
  <c r="I280" i="2"/>
  <c r="J280" i="2" s="1"/>
  <c r="W279" i="2"/>
  <c r="P279" i="2"/>
  <c r="I279" i="2"/>
  <c r="J279" i="2" s="1"/>
  <c r="W278" i="2"/>
  <c r="P278" i="2"/>
  <c r="I278" i="2"/>
  <c r="J278" i="2" s="1"/>
  <c r="W277" i="2"/>
  <c r="P277" i="2"/>
  <c r="I277" i="2"/>
  <c r="J277" i="2" s="1"/>
  <c r="W276" i="2"/>
  <c r="P276" i="2"/>
  <c r="I276" i="2"/>
  <c r="J276" i="2" s="1"/>
  <c r="W275" i="2"/>
  <c r="P275" i="2"/>
  <c r="I275" i="2"/>
  <c r="J275" i="2" s="1"/>
  <c r="W274" i="2"/>
  <c r="P274" i="2"/>
  <c r="I274" i="2"/>
  <c r="J274" i="2" s="1"/>
  <c r="W273" i="2"/>
  <c r="P273" i="2"/>
  <c r="I273" i="2"/>
  <c r="J273" i="2" s="1"/>
  <c r="W272" i="2"/>
  <c r="P272" i="2"/>
  <c r="I272" i="2"/>
  <c r="J272" i="2" s="1"/>
  <c r="W271" i="2"/>
  <c r="P271" i="2"/>
  <c r="I271" i="2"/>
  <c r="J271" i="2" s="1"/>
  <c r="W270" i="2"/>
  <c r="P270" i="2"/>
  <c r="I270" i="2"/>
  <c r="J270" i="2" s="1"/>
  <c r="W269" i="2"/>
  <c r="P269" i="2"/>
  <c r="I269" i="2"/>
  <c r="J269" i="2" s="1"/>
  <c r="W268" i="2"/>
  <c r="P268" i="2"/>
  <c r="I268" i="2"/>
  <c r="J268" i="2" s="1"/>
  <c r="W267" i="2"/>
  <c r="P267" i="2"/>
  <c r="I267" i="2"/>
  <c r="J267" i="2" s="1"/>
  <c r="W266" i="2"/>
  <c r="P266" i="2"/>
  <c r="I266" i="2"/>
  <c r="J266" i="2" s="1"/>
  <c r="W265" i="2"/>
  <c r="P265" i="2"/>
  <c r="I265" i="2"/>
  <c r="J265" i="2" s="1"/>
  <c r="W264" i="2"/>
  <c r="P264" i="2"/>
  <c r="I264" i="2"/>
  <c r="J264" i="2" s="1"/>
  <c r="W263" i="2"/>
  <c r="P263" i="2"/>
  <c r="I263" i="2"/>
  <c r="J263" i="2" s="1"/>
  <c r="W262" i="2"/>
  <c r="P262" i="2"/>
  <c r="I262" i="2"/>
  <c r="J262" i="2" s="1"/>
  <c r="W261" i="2"/>
  <c r="P261" i="2"/>
  <c r="I261" i="2"/>
  <c r="J261" i="2" s="1"/>
  <c r="W260" i="2"/>
  <c r="P260" i="2"/>
  <c r="I260" i="2"/>
  <c r="J260" i="2" s="1"/>
  <c r="W259" i="2"/>
  <c r="P259" i="2"/>
  <c r="I259" i="2"/>
  <c r="J259" i="2" s="1"/>
  <c r="W258" i="2"/>
  <c r="P258" i="2"/>
  <c r="I258" i="2"/>
  <c r="J258" i="2" s="1"/>
  <c r="W257" i="2"/>
  <c r="P257" i="2"/>
  <c r="I257" i="2"/>
  <c r="J257" i="2" s="1"/>
  <c r="W256" i="2"/>
  <c r="P256" i="2"/>
  <c r="I256" i="2"/>
  <c r="J256" i="2" s="1"/>
  <c r="W255" i="2"/>
  <c r="P255" i="2"/>
  <c r="I255" i="2"/>
  <c r="J255" i="2" s="1"/>
  <c r="W254" i="2"/>
  <c r="P254" i="2"/>
  <c r="I254" i="2"/>
  <c r="J254" i="2" s="1"/>
  <c r="W253" i="2"/>
  <c r="P253" i="2"/>
  <c r="I253" i="2"/>
  <c r="J253" i="2" s="1"/>
  <c r="W252" i="2"/>
  <c r="P252" i="2"/>
  <c r="I252" i="2"/>
  <c r="J252" i="2" s="1"/>
  <c r="W251" i="2"/>
  <c r="P251" i="2"/>
  <c r="I251" i="2"/>
  <c r="J251" i="2" s="1"/>
  <c r="W250" i="2"/>
  <c r="P250" i="2"/>
  <c r="I250" i="2"/>
  <c r="J250" i="2" s="1"/>
  <c r="W249" i="2"/>
  <c r="P249" i="2"/>
  <c r="I249" i="2"/>
  <c r="J249" i="2" s="1"/>
  <c r="W248" i="2"/>
  <c r="P248" i="2"/>
  <c r="I248" i="2"/>
  <c r="J248" i="2" s="1"/>
  <c r="W247" i="2"/>
  <c r="P247" i="2"/>
  <c r="I247" i="2"/>
  <c r="J247" i="2" s="1"/>
  <c r="W246" i="2"/>
  <c r="P246" i="2"/>
  <c r="I246" i="2"/>
  <c r="J246" i="2" s="1"/>
  <c r="W245" i="2"/>
  <c r="P245" i="2"/>
  <c r="I245" i="2"/>
  <c r="J245" i="2" s="1"/>
  <c r="W244" i="2"/>
  <c r="P244" i="2"/>
  <c r="I244" i="2"/>
  <c r="J244" i="2" s="1"/>
  <c r="W243" i="2"/>
  <c r="P243" i="2"/>
  <c r="I243" i="2"/>
  <c r="J243" i="2" s="1"/>
  <c r="W242" i="2"/>
  <c r="P242" i="2"/>
  <c r="I242" i="2"/>
  <c r="J242" i="2" s="1"/>
  <c r="W241" i="2"/>
  <c r="P241" i="2"/>
  <c r="I241" i="2"/>
  <c r="J241" i="2" s="1"/>
  <c r="W240" i="2"/>
  <c r="P240" i="2"/>
  <c r="I240" i="2"/>
  <c r="J240" i="2" s="1"/>
  <c r="W239" i="2"/>
  <c r="P239" i="2"/>
  <c r="I239" i="2"/>
  <c r="J239" i="2" s="1"/>
  <c r="W238" i="2"/>
  <c r="P238" i="2"/>
  <c r="I238" i="2"/>
  <c r="J238" i="2" s="1"/>
  <c r="W237" i="2"/>
  <c r="P237" i="2"/>
  <c r="I237" i="2"/>
  <c r="J237" i="2" s="1"/>
  <c r="W236" i="2"/>
  <c r="P236" i="2"/>
  <c r="I236" i="2"/>
  <c r="J236" i="2" s="1"/>
  <c r="W235" i="2"/>
  <c r="P235" i="2"/>
  <c r="I235" i="2"/>
  <c r="J235" i="2" s="1"/>
  <c r="W234" i="2"/>
  <c r="P234" i="2"/>
  <c r="I234" i="2"/>
  <c r="J234" i="2" s="1"/>
  <c r="W233" i="2"/>
  <c r="P233" i="2"/>
  <c r="I233" i="2"/>
  <c r="J233" i="2" s="1"/>
  <c r="F233" i="2"/>
  <c r="H233" i="2" s="1"/>
  <c r="W232" i="2"/>
  <c r="P232" i="2"/>
  <c r="I232" i="2"/>
  <c r="J232" i="2" s="1"/>
  <c r="W231" i="2"/>
  <c r="P231" i="2"/>
  <c r="I231" i="2"/>
  <c r="J231" i="2" s="1"/>
  <c r="F231" i="2"/>
  <c r="G231" i="2" s="1"/>
  <c r="W230" i="2"/>
  <c r="P230" i="2"/>
  <c r="I230" i="2"/>
  <c r="J230" i="2" s="1"/>
  <c r="W229" i="2"/>
  <c r="P229" i="2"/>
  <c r="I229" i="2"/>
  <c r="J229" i="2" s="1"/>
  <c r="F229" i="2"/>
  <c r="H229" i="2" s="1"/>
  <c r="W228" i="2"/>
  <c r="P228" i="2"/>
  <c r="J228" i="2"/>
  <c r="I228" i="2"/>
  <c r="W227" i="2"/>
  <c r="P227" i="2"/>
  <c r="I227" i="2"/>
  <c r="J227" i="2" s="1"/>
  <c r="W226" i="2"/>
  <c r="P226" i="2"/>
  <c r="I226" i="2"/>
  <c r="J226" i="2" s="1"/>
  <c r="W225" i="2"/>
  <c r="P225" i="2"/>
  <c r="I225" i="2"/>
  <c r="J225" i="2" s="1"/>
  <c r="W224" i="2"/>
  <c r="P224" i="2"/>
  <c r="I224" i="2"/>
  <c r="J224" i="2" s="1"/>
  <c r="W223" i="2"/>
  <c r="P223" i="2"/>
  <c r="I223" i="2"/>
  <c r="J223" i="2" s="1"/>
  <c r="W222" i="2"/>
  <c r="P222" i="2"/>
  <c r="I222" i="2"/>
  <c r="J222" i="2" s="1"/>
  <c r="W221" i="2"/>
  <c r="P221" i="2"/>
  <c r="I221" i="2"/>
  <c r="J221" i="2" s="1"/>
  <c r="W220" i="2"/>
  <c r="P220" i="2"/>
  <c r="I220" i="2"/>
  <c r="J220" i="2" s="1"/>
  <c r="W219" i="2"/>
  <c r="P219" i="2"/>
  <c r="I219" i="2"/>
  <c r="J219" i="2" s="1"/>
  <c r="W218" i="2"/>
  <c r="P218" i="2"/>
  <c r="I218" i="2"/>
  <c r="J218" i="2" s="1"/>
  <c r="W217" i="2"/>
  <c r="P217" i="2"/>
  <c r="I217" i="2"/>
  <c r="J217" i="2" s="1"/>
  <c r="W216" i="2"/>
  <c r="P216" i="2"/>
  <c r="I216" i="2"/>
  <c r="J216" i="2" s="1"/>
  <c r="W215" i="2"/>
  <c r="P215" i="2"/>
  <c r="I215" i="2"/>
  <c r="J215" i="2" s="1"/>
  <c r="W214" i="2"/>
  <c r="P214" i="2"/>
  <c r="I214" i="2"/>
  <c r="J214" i="2" s="1"/>
  <c r="W213" i="2"/>
  <c r="P213" i="2"/>
  <c r="I213" i="2"/>
  <c r="J213" i="2" s="1"/>
  <c r="W212" i="2"/>
  <c r="P212" i="2"/>
  <c r="I212" i="2"/>
  <c r="J212" i="2" s="1"/>
  <c r="W211" i="2"/>
  <c r="P211" i="2"/>
  <c r="I211" i="2"/>
  <c r="J211" i="2" s="1"/>
  <c r="W210" i="2"/>
  <c r="P210" i="2"/>
  <c r="I210" i="2"/>
  <c r="J210" i="2" s="1"/>
  <c r="W209" i="2"/>
  <c r="P209" i="2"/>
  <c r="I209" i="2"/>
  <c r="J209" i="2" s="1"/>
  <c r="W208" i="2"/>
  <c r="P208" i="2"/>
  <c r="I208" i="2"/>
  <c r="J208" i="2" s="1"/>
  <c r="W207" i="2"/>
  <c r="P207" i="2"/>
  <c r="I207" i="2"/>
  <c r="J207" i="2" s="1"/>
  <c r="W206" i="2"/>
  <c r="P206" i="2"/>
  <c r="I206" i="2"/>
  <c r="J206" i="2" s="1"/>
  <c r="W205" i="2"/>
  <c r="P205" i="2"/>
  <c r="I205" i="2"/>
  <c r="J205" i="2" s="1"/>
  <c r="W204" i="2"/>
  <c r="P204" i="2"/>
  <c r="I204" i="2"/>
  <c r="J204" i="2" s="1"/>
  <c r="W203" i="2"/>
  <c r="P203" i="2"/>
  <c r="I203" i="2"/>
  <c r="J203" i="2" s="1"/>
  <c r="W202" i="2"/>
  <c r="P202" i="2"/>
  <c r="I202" i="2"/>
  <c r="J202" i="2" s="1"/>
  <c r="W201" i="2"/>
  <c r="P201" i="2"/>
  <c r="I201" i="2"/>
  <c r="J201" i="2" s="1"/>
  <c r="W200" i="2"/>
  <c r="P200" i="2"/>
  <c r="I200" i="2"/>
  <c r="J200" i="2" s="1"/>
  <c r="W199" i="2"/>
  <c r="P199" i="2"/>
  <c r="I199" i="2"/>
  <c r="J199" i="2" s="1"/>
  <c r="F199" i="2"/>
  <c r="G199" i="2" s="1"/>
  <c r="W198" i="2"/>
  <c r="P198" i="2"/>
  <c r="I198" i="2"/>
  <c r="J198" i="2" s="1"/>
  <c r="W197" i="2"/>
  <c r="P197" i="2"/>
  <c r="I197" i="2"/>
  <c r="J197" i="2" s="1"/>
  <c r="F197" i="2"/>
  <c r="H197" i="2" s="1"/>
  <c r="W196" i="2"/>
  <c r="P196" i="2"/>
  <c r="I196" i="2"/>
  <c r="J196" i="2" s="1"/>
  <c r="W195" i="2"/>
  <c r="P195" i="2"/>
  <c r="I195" i="2"/>
  <c r="J195" i="2" s="1"/>
  <c r="W194" i="2"/>
  <c r="P194" i="2"/>
  <c r="I194" i="2"/>
  <c r="J194" i="2" s="1"/>
  <c r="W193" i="2"/>
  <c r="P193" i="2"/>
  <c r="I193" i="2"/>
  <c r="J193" i="2" s="1"/>
  <c r="W192" i="2"/>
  <c r="P192" i="2"/>
  <c r="I192" i="2"/>
  <c r="J192" i="2" s="1"/>
  <c r="W191" i="2"/>
  <c r="P191" i="2"/>
  <c r="I191" i="2"/>
  <c r="J191" i="2" s="1"/>
  <c r="W190" i="2"/>
  <c r="P190" i="2"/>
  <c r="I190" i="2"/>
  <c r="J190" i="2" s="1"/>
  <c r="W189" i="2"/>
  <c r="P189" i="2"/>
  <c r="I189" i="2"/>
  <c r="J189" i="2" s="1"/>
  <c r="W188" i="2"/>
  <c r="P188" i="2"/>
  <c r="I188" i="2"/>
  <c r="J188" i="2" s="1"/>
  <c r="W187" i="2"/>
  <c r="P187" i="2"/>
  <c r="I187" i="2"/>
  <c r="J187" i="2" s="1"/>
  <c r="W186" i="2"/>
  <c r="P186" i="2"/>
  <c r="I186" i="2"/>
  <c r="J186" i="2" s="1"/>
  <c r="W185" i="2"/>
  <c r="P185" i="2"/>
  <c r="I185" i="2"/>
  <c r="J185" i="2" s="1"/>
  <c r="W184" i="2"/>
  <c r="P184" i="2"/>
  <c r="I184" i="2"/>
  <c r="J184" i="2" s="1"/>
  <c r="W183" i="2"/>
  <c r="P183" i="2"/>
  <c r="I183" i="2"/>
  <c r="J183" i="2" s="1"/>
  <c r="W182" i="2"/>
  <c r="P182" i="2"/>
  <c r="I182" i="2"/>
  <c r="J182" i="2" s="1"/>
  <c r="W181" i="2"/>
  <c r="P181" i="2"/>
  <c r="I181" i="2"/>
  <c r="J181" i="2" s="1"/>
  <c r="W180" i="2"/>
  <c r="P180" i="2"/>
  <c r="I180" i="2"/>
  <c r="J180" i="2" s="1"/>
  <c r="W179" i="2"/>
  <c r="P179" i="2"/>
  <c r="I179" i="2"/>
  <c r="J179" i="2" s="1"/>
  <c r="W178" i="2"/>
  <c r="P178" i="2"/>
  <c r="I178" i="2"/>
  <c r="J178" i="2" s="1"/>
  <c r="W177" i="2"/>
  <c r="P177" i="2"/>
  <c r="I177" i="2"/>
  <c r="J177" i="2" s="1"/>
  <c r="W176" i="2"/>
  <c r="P176" i="2"/>
  <c r="I176" i="2"/>
  <c r="J176" i="2" s="1"/>
  <c r="W175" i="2"/>
  <c r="P175" i="2"/>
  <c r="I175" i="2"/>
  <c r="J175" i="2" s="1"/>
  <c r="W174" i="2"/>
  <c r="P174" i="2"/>
  <c r="I174" i="2"/>
  <c r="J174" i="2" s="1"/>
  <c r="W173" i="2"/>
  <c r="P173" i="2"/>
  <c r="I173" i="2"/>
  <c r="J173" i="2" s="1"/>
  <c r="W172" i="2"/>
  <c r="P172" i="2"/>
  <c r="I172" i="2"/>
  <c r="J172" i="2" s="1"/>
  <c r="W171" i="2"/>
  <c r="P171" i="2"/>
  <c r="I171" i="2"/>
  <c r="J171" i="2" s="1"/>
  <c r="W170" i="2"/>
  <c r="P170" i="2"/>
  <c r="I170" i="2"/>
  <c r="J170" i="2" s="1"/>
  <c r="W169" i="2"/>
  <c r="P169" i="2"/>
  <c r="I169" i="2"/>
  <c r="J169" i="2" s="1"/>
  <c r="W168" i="2"/>
  <c r="P168" i="2"/>
  <c r="I168" i="2"/>
  <c r="J168" i="2" s="1"/>
  <c r="W167" i="2"/>
  <c r="P167" i="2"/>
  <c r="I167" i="2"/>
  <c r="J167" i="2" s="1"/>
  <c r="W166" i="2"/>
  <c r="P166" i="2"/>
  <c r="I166" i="2"/>
  <c r="J166" i="2" s="1"/>
  <c r="W165" i="2"/>
  <c r="P165" i="2"/>
  <c r="I165" i="2"/>
  <c r="J165" i="2" s="1"/>
  <c r="W164" i="2"/>
  <c r="P164" i="2"/>
  <c r="I164" i="2"/>
  <c r="J164" i="2" s="1"/>
  <c r="W163" i="2"/>
  <c r="P163" i="2"/>
  <c r="I163" i="2"/>
  <c r="J163" i="2" s="1"/>
  <c r="W162" i="2"/>
  <c r="P162" i="2"/>
  <c r="I162" i="2"/>
  <c r="J162" i="2" s="1"/>
  <c r="W161" i="2"/>
  <c r="P161" i="2"/>
  <c r="I161" i="2"/>
  <c r="J161" i="2" s="1"/>
  <c r="W160" i="2"/>
  <c r="P160" i="2"/>
  <c r="I160" i="2"/>
  <c r="J160" i="2" s="1"/>
  <c r="W159" i="2"/>
  <c r="P159" i="2"/>
  <c r="I159" i="2"/>
  <c r="J159" i="2" s="1"/>
  <c r="W158" i="2"/>
  <c r="P158" i="2"/>
  <c r="I158" i="2"/>
  <c r="J158" i="2" s="1"/>
  <c r="W157" i="2"/>
  <c r="P157" i="2"/>
  <c r="I157" i="2"/>
  <c r="J157" i="2" s="1"/>
  <c r="W156" i="2"/>
  <c r="P156" i="2"/>
  <c r="I156" i="2"/>
  <c r="J156" i="2" s="1"/>
  <c r="W155" i="2"/>
  <c r="P155" i="2"/>
  <c r="I155" i="2"/>
  <c r="J155" i="2" s="1"/>
  <c r="W154" i="2"/>
  <c r="P154" i="2"/>
  <c r="I154" i="2"/>
  <c r="J154" i="2" s="1"/>
  <c r="W153" i="2"/>
  <c r="P153" i="2"/>
  <c r="I153" i="2"/>
  <c r="J153" i="2" s="1"/>
  <c r="W152" i="2"/>
  <c r="P152" i="2"/>
  <c r="I152" i="2"/>
  <c r="J152" i="2" s="1"/>
  <c r="W151" i="2"/>
  <c r="P151" i="2"/>
  <c r="I151" i="2"/>
  <c r="J151" i="2" s="1"/>
  <c r="W150" i="2"/>
  <c r="P150" i="2"/>
  <c r="I150" i="2"/>
  <c r="J150" i="2" s="1"/>
  <c r="W149" i="2"/>
  <c r="P149" i="2"/>
  <c r="I149" i="2"/>
  <c r="J149" i="2" s="1"/>
  <c r="W148" i="2"/>
  <c r="P148" i="2"/>
  <c r="I148" i="2"/>
  <c r="J148" i="2" s="1"/>
  <c r="W147" i="2"/>
  <c r="P147" i="2"/>
  <c r="I147" i="2"/>
  <c r="J147" i="2" s="1"/>
  <c r="W146" i="2"/>
  <c r="P146" i="2"/>
  <c r="I146" i="2"/>
  <c r="J146" i="2" s="1"/>
  <c r="W145" i="2"/>
  <c r="P145" i="2"/>
  <c r="I145" i="2"/>
  <c r="J145" i="2" s="1"/>
  <c r="W144" i="2"/>
  <c r="P144" i="2"/>
  <c r="I144" i="2"/>
  <c r="J144" i="2" s="1"/>
  <c r="W143" i="2"/>
  <c r="P143" i="2"/>
  <c r="I143" i="2"/>
  <c r="J143" i="2" s="1"/>
  <c r="W142" i="2"/>
  <c r="P142" i="2"/>
  <c r="I142" i="2"/>
  <c r="J142" i="2" s="1"/>
  <c r="W141" i="2"/>
  <c r="P141" i="2"/>
  <c r="I141" i="2"/>
  <c r="J141" i="2" s="1"/>
  <c r="W140" i="2"/>
  <c r="P140" i="2"/>
  <c r="I140" i="2"/>
  <c r="J140" i="2" s="1"/>
  <c r="W139" i="2"/>
  <c r="P139" i="2"/>
  <c r="I139" i="2"/>
  <c r="J139" i="2" s="1"/>
  <c r="W138" i="2"/>
  <c r="P138" i="2"/>
  <c r="I138" i="2"/>
  <c r="J138" i="2" s="1"/>
  <c r="W137" i="2"/>
  <c r="P137" i="2"/>
  <c r="I137" i="2"/>
  <c r="J137" i="2" s="1"/>
  <c r="W136" i="2"/>
  <c r="P136" i="2"/>
  <c r="I136" i="2"/>
  <c r="J136" i="2" s="1"/>
  <c r="W135" i="2"/>
  <c r="P135" i="2"/>
  <c r="I135" i="2"/>
  <c r="J135" i="2" s="1"/>
  <c r="W134" i="2"/>
  <c r="P134" i="2"/>
  <c r="I134" i="2"/>
  <c r="J134" i="2" s="1"/>
  <c r="W133" i="2"/>
  <c r="P133" i="2"/>
  <c r="I133" i="2"/>
  <c r="J133" i="2" s="1"/>
  <c r="W132" i="2"/>
  <c r="P132" i="2"/>
  <c r="I132" i="2"/>
  <c r="J132" i="2" s="1"/>
  <c r="W131" i="2"/>
  <c r="P131" i="2"/>
  <c r="I131" i="2"/>
  <c r="J131" i="2" s="1"/>
  <c r="W130" i="2"/>
  <c r="P130" i="2"/>
  <c r="I130" i="2"/>
  <c r="J130" i="2" s="1"/>
  <c r="W129" i="2"/>
  <c r="P129" i="2"/>
  <c r="I129" i="2"/>
  <c r="J129" i="2" s="1"/>
  <c r="W128" i="2"/>
  <c r="P128" i="2"/>
  <c r="I128" i="2"/>
  <c r="J128" i="2" s="1"/>
  <c r="W127" i="2"/>
  <c r="P127" i="2"/>
  <c r="I127" i="2"/>
  <c r="J127" i="2" s="1"/>
  <c r="W126" i="2"/>
  <c r="P126" i="2"/>
  <c r="I126" i="2"/>
  <c r="J126" i="2" s="1"/>
  <c r="W125" i="2"/>
  <c r="P125" i="2"/>
  <c r="I125" i="2"/>
  <c r="J125" i="2" s="1"/>
  <c r="W124" i="2"/>
  <c r="P124" i="2"/>
  <c r="I124" i="2"/>
  <c r="J124" i="2" s="1"/>
  <c r="W123" i="2"/>
  <c r="P123" i="2"/>
  <c r="I123" i="2"/>
  <c r="J123" i="2" s="1"/>
  <c r="W122" i="2"/>
  <c r="P122" i="2"/>
  <c r="I122" i="2"/>
  <c r="J122" i="2" s="1"/>
  <c r="W121" i="2"/>
  <c r="P121" i="2"/>
  <c r="I121" i="2"/>
  <c r="J121" i="2" s="1"/>
  <c r="W120" i="2"/>
  <c r="P120" i="2"/>
  <c r="I120" i="2"/>
  <c r="J120" i="2" s="1"/>
  <c r="W119" i="2"/>
  <c r="P119" i="2"/>
  <c r="I119" i="2"/>
  <c r="J119" i="2" s="1"/>
  <c r="W118" i="2"/>
  <c r="P118" i="2"/>
  <c r="I118" i="2"/>
  <c r="J118" i="2" s="1"/>
  <c r="W117" i="2"/>
  <c r="P117" i="2"/>
  <c r="I117" i="2"/>
  <c r="J117" i="2" s="1"/>
  <c r="F117" i="2"/>
  <c r="H117" i="2" s="1"/>
  <c r="W116" i="2"/>
  <c r="P116" i="2"/>
  <c r="I116" i="2"/>
  <c r="J116" i="2" s="1"/>
  <c r="W115" i="2"/>
  <c r="P115" i="2"/>
  <c r="I115" i="2"/>
  <c r="J115" i="2" s="1"/>
  <c r="F115" i="2"/>
  <c r="G115" i="2" s="1"/>
  <c r="W114" i="2"/>
  <c r="P114" i="2"/>
  <c r="I114" i="2"/>
  <c r="J114" i="2" s="1"/>
  <c r="W113" i="2"/>
  <c r="P113" i="2"/>
  <c r="I113" i="2"/>
  <c r="J113" i="2" s="1"/>
  <c r="F113" i="2"/>
  <c r="H113" i="2" s="1"/>
  <c r="W112" i="2"/>
  <c r="P112" i="2"/>
  <c r="I112" i="2"/>
  <c r="J112" i="2" s="1"/>
  <c r="W111" i="2"/>
  <c r="P111" i="2"/>
  <c r="I111" i="2"/>
  <c r="J111" i="2" s="1"/>
  <c r="F111" i="2"/>
  <c r="G111" i="2" s="1"/>
  <c r="W110" i="2"/>
  <c r="P110" i="2"/>
  <c r="I110" i="2"/>
  <c r="J110" i="2" s="1"/>
  <c r="W109" i="2"/>
  <c r="P109" i="2"/>
  <c r="I109" i="2"/>
  <c r="J109" i="2" s="1"/>
  <c r="F109" i="2"/>
  <c r="H109" i="2" s="1"/>
  <c r="W108" i="2"/>
  <c r="P108" i="2"/>
  <c r="I108" i="2"/>
  <c r="J108" i="2" s="1"/>
  <c r="W107" i="2"/>
  <c r="P107" i="2"/>
  <c r="I107" i="2"/>
  <c r="J107" i="2" s="1"/>
  <c r="F107" i="2"/>
  <c r="G107" i="2" s="1"/>
  <c r="W106" i="2"/>
  <c r="P106" i="2"/>
  <c r="I106" i="2"/>
  <c r="J106" i="2" s="1"/>
  <c r="W105" i="2"/>
  <c r="P105" i="2"/>
  <c r="I105" i="2"/>
  <c r="J105" i="2" s="1"/>
  <c r="F105" i="2"/>
  <c r="H105" i="2" s="1"/>
  <c r="W104" i="2"/>
  <c r="P104" i="2"/>
  <c r="I104" i="2"/>
  <c r="J104" i="2" s="1"/>
  <c r="W103" i="2"/>
  <c r="P103" i="2"/>
  <c r="I103" i="2"/>
  <c r="J103" i="2" s="1"/>
  <c r="F103" i="2"/>
  <c r="G103" i="2" s="1"/>
  <c r="W102" i="2"/>
  <c r="P102" i="2"/>
  <c r="I102" i="2"/>
  <c r="J102" i="2" s="1"/>
  <c r="W101" i="2"/>
  <c r="P101" i="2"/>
  <c r="I101" i="2"/>
  <c r="J101" i="2" s="1"/>
  <c r="W100" i="2"/>
  <c r="P100" i="2"/>
  <c r="I100" i="2"/>
  <c r="J100" i="2" s="1"/>
  <c r="W99" i="2"/>
  <c r="P99" i="2"/>
  <c r="I99" i="2"/>
  <c r="J99" i="2" s="1"/>
  <c r="W98" i="2"/>
  <c r="P98" i="2"/>
  <c r="I98" i="2"/>
  <c r="J98" i="2" s="1"/>
  <c r="W97" i="2"/>
  <c r="P97" i="2"/>
  <c r="I97" i="2"/>
  <c r="J97" i="2" s="1"/>
  <c r="W96" i="2"/>
  <c r="P96" i="2"/>
  <c r="I96" i="2"/>
  <c r="J96" i="2" s="1"/>
  <c r="W95" i="2"/>
  <c r="P95" i="2"/>
  <c r="I95" i="2"/>
  <c r="J95" i="2" s="1"/>
  <c r="W94" i="2"/>
  <c r="P94" i="2"/>
  <c r="I94" i="2"/>
  <c r="J94" i="2" s="1"/>
  <c r="W93" i="2"/>
  <c r="P93" i="2"/>
  <c r="I93" i="2"/>
  <c r="J93" i="2" s="1"/>
  <c r="W92" i="2"/>
  <c r="P92" i="2"/>
  <c r="I92" i="2"/>
  <c r="J92" i="2" s="1"/>
  <c r="W91" i="2"/>
  <c r="P91" i="2"/>
  <c r="I91" i="2"/>
  <c r="J91" i="2" s="1"/>
  <c r="W90" i="2"/>
  <c r="P90" i="2"/>
  <c r="I90" i="2"/>
  <c r="J90" i="2" s="1"/>
  <c r="W89" i="2"/>
  <c r="P89" i="2"/>
  <c r="I89" i="2"/>
  <c r="J89" i="2" s="1"/>
  <c r="W88" i="2"/>
  <c r="P88" i="2"/>
  <c r="I88" i="2"/>
  <c r="J88" i="2" s="1"/>
  <c r="W87" i="2"/>
  <c r="P87" i="2"/>
  <c r="I87" i="2"/>
  <c r="J87" i="2" s="1"/>
  <c r="W86" i="2"/>
  <c r="P86" i="2"/>
  <c r="I86" i="2"/>
  <c r="J86" i="2" s="1"/>
  <c r="W85" i="2"/>
  <c r="P85" i="2"/>
  <c r="I85" i="2"/>
  <c r="J85" i="2" s="1"/>
  <c r="W84" i="2"/>
  <c r="P84" i="2"/>
  <c r="I84" i="2"/>
  <c r="J84" i="2" s="1"/>
  <c r="W83" i="2"/>
  <c r="P83" i="2"/>
  <c r="I83" i="2"/>
  <c r="J83" i="2" s="1"/>
  <c r="W82" i="2"/>
  <c r="P82" i="2"/>
  <c r="I82" i="2"/>
  <c r="J82" i="2" s="1"/>
  <c r="W81" i="2"/>
  <c r="P81" i="2"/>
  <c r="I81" i="2"/>
  <c r="J81" i="2" s="1"/>
  <c r="W80" i="2"/>
  <c r="P80" i="2"/>
  <c r="I80" i="2"/>
  <c r="J80" i="2" s="1"/>
  <c r="W79" i="2"/>
  <c r="P79" i="2"/>
  <c r="I79" i="2"/>
  <c r="J79" i="2" s="1"/>
  <c r="W78" i="2"/>
  <c r="P78" i="2"/>
  <c r="I78" i="2"/>
  <c r="J78" i="2" s="1"/>
  <c r="W77" i="2"/>
  <c r="P77" i="2"/>
  <c r="I77" i="2"/>
  <c r="J77" i="2" s="1"/>
  <c r="W76" i="2"/>
  <c r="P76" i="2"/>
  <c r="I76" i="2"/>
  <c r="J76" i="2" s="1"/>
  <c r="W75" i="2"/>
  <c r="P75" i="2"/>
  <c r="I75" i="2"/>
  <c r="J75" i="2" s="1"/>
  <c r="W74" i="2"/>
  <c r="P74" i="2"/>
  <c r="I74" i="2"/>
  <c r="J74" i="2" s="1"/>
  <c r="W73" i="2"/>
  <c r="P73" i="2"/>
  <c r="I73" i="2"/>
  <c r="J73" i="2" s="1"/>
  <c r="W72" i="2"/>
  <c r="P72" i="2"/>
  <c r="I72" i="2"/>
  <c r="J72" i="2" s="1"/>
  <c r="W71" i="2"/>
  <c r="P71" i="2"/>
  <c r="I71" i="2"/>
  <c r="J71" i="2" s="1"/>
  <c r="W70" i="2"/>
  <c r="P70" i="2"/>
  <c r="I70" i="2"/>
  <c r="J70" i="2" s="1"/>
  <c r="W69" i="2"/>
  <c r="P69" i="2"/>
  <c r="I69" i="2"/>
  <c r="J69" i="2" s="1"/>
  <c r="W68" i="2"/>
  <c r="P68" i="2"/>
  <c r="I68" i="2"/>
  <c r="J68" i="2" s="1"/>
  <c r="W67" i="2"/>
  <c r="P67" i="2"/>
  <c r="I67" i="2"/>
  <c r="J67" i="2" s="1"/>
  <c r="W66" i="2"/>
  <c r="P66" i="2"/>
  <c r="I66" i="2"/>
  <c r="J66" i="2" s="1"/>
  <c r="W65" i="2"/>
  <c r="P65" i="2"/>
  <c r="I65" i="2"/>
  <c r="J65" i="2" s="1"/>
  <c r="W64" i="2"/>
  <c r="P64" i="2"/>
  <c r="I64" i="2"/>
  <c r="J64" i="2" s="1"/>
  <c r="W63" i="2"/>
  <c r="P63" i="2"/>
  <c r="I63" i="2"/>
  <c r="J63" i="2" s="1"/>
  <c r="W62" i="2"/>
  <c r="P62" i="2"/>
  <c r="I62" i="2"/>
  <c r="J62" i="2" s="1"/>
  <c r="W61" i="2"/>
  <c r="P61" i="2"/>
  <c r="I61" i="2"/>
  <c r="J61" i="2" s="1"/>
  <c r="W60" i="2"/>
  <c r="P60" i="2"/>
  <c r="I60" i="2"/>
  <c r="J60" i="2" s="1"/>
  <c r="W59" i="2"/>
  <c r="P59" i="2"/>
  <c r="I59" i="2"/>
  <c r="J59" i="2" s="1"/>
  <c r="W58" i="2"/>
  <c r="P58" i="2"/>
  <c r="I58" i="2"/>
  <c r="J58" i="2" s="1"/>
  <c r="W57" i="2"/>
  <c r="P57" i="2"/>
  <c r="I57" i="2"/>
  <c r="J57" i="2" s="1"/>
  <c r="W56" i="2"/>
  <c r="P56" i="2"/>
  <c r="I56" i="2"/>
  <c r="J56" i="2" s="1"/>
  <c r="W55" i="2"/>
  <c r="P55" i="2"/>
  <c r="I55" i="2"/>
  <c r="J55" i="2" s="1"/>
  <c r="W54" i="2"/>
  <c r="P54" i="2"/>
  <c r="I54" i="2"/>
  <c r="J54" i="2" s="1"/>
  <c r="W53" i="2"/>
  <c r="P53" i="2"/>
  <c r="I53" i="2"/>
  <c r="J53" i="2" s="1"/>
  <c r="W52" i="2"/>
  <c r="P52" i="2"/>
  <c r="I52" i="2"/>
  <c r="J52" i="2" s="1"/>
  <c r="W51" i="2"/>
  <c r="P51" i="2"/>
  <c r="I51" i="2"/>
  <c r="J51" i="2" s="1"/>
  <c r="W50" i="2"/>
  <c r="P50" i="2"/>
  <c r="I50" i="2"/>
  <c r="J50" i="2" s="1"/>
  <c r="W49" i="2"/>
  <c r="P49" i="2"/>
  <c r="I49" i="2"/>
  <c r="J49" i="2" s="1"/>
  <c r="W48" i="2"/>
  <c r="P48" i="2"/>
  <c r="I48" i="2"/>
  <c r="J48" i="2" s="1"/>
  <c r="W47" i="2"/>
  <c r="P47" i="2"/>
  <c r="I47" i="2"/>
  <c r="J47" i="2" s="1"/>
  <c r="W46" i="2"/>
  <c r="P46" i="2"/>
  <c r="I46" i="2"/>
  <c r="J46" i="2" s="1"/>
  <c r="W45" i="2"/>
  <c r="P45" i="2"/>
  <c r="I45" i="2"/>
  <c r="J45" i="2" s="1"/>
  <c r="W44" i="2"/>
  <c r="P44" i="2"/>
  <c r="I44" i="2"/>
  <c r="J44" i="2" s="1"/>
  <c r="W43" i="2"/>
  <c r="P43" i="2"/>
  <c r="I43" i="2"/>
  <c r="J43" i="2" s="1"/>
  <c r="W42" i="2"/>
  <c r="P42" i="2"/>
  <c r="I42" i="2"/>
  <c r="J42" i="2" s="1"/>
  <c r="W41" i="2"/>
  <c r="P41" i="2"/>
  <c r="I41" i="2"/>
  <c r="J41" i="2" s="1"/>
  <c r="W40" i="2"/>
  <c r="P40" i="2"/>
  <c r="I40" i="2"/>
  <c r="J40" i="2" s="1"/>
  <c r="W39" i="2"/>
  <c r="P39" i="2"/>
  <c r="I39" i="2"/>
  <c r="J39" i="2" s="1"/>
  <c r="W38" i="2"/>
  <c r="P38" i="2"/>
  <c r="I38" i="2"/>
  <c r="J38" i="2" s="1"/>
  <c r="W37" i="2"/>
  <c r="P37" i="2"/>
  <c r="I37" i="2"/>
  <c r="J37" i="2" s="1"/>
  <c r="W36" i="2"/>
  <c r="P36" i="2"/>
  <c r="I36" i="2"/>
  <c r="J36" i="2" s="1"/>
  <c r="W35" i="2"/>
  <c r="P35" i="2"/>
  <c r="I35" i="2"/>
  <c r="J35" i="2" s="1"/>
  <c r="W34" i="2"/>
  <c r="P34" i="2"/>
  <c r="I34" i="2"/>
  <c r="J34" i="2" s="1"/>
  <c r="W33" i="2"/>
  <c r="P33" i="2"/>
  <c r="I33" i="2"/>
  <c r="J33" i="2" s="1"/>
  <c r="W32" i="2"/>
  <c r="P32" i="2"/>
  <c r="I32" i="2"/>
  <c r="J32" i="2" s="1"/>
  <c r="W31" i="2"/>
  <c r="P31" i="2"/>
  <c r="I31" i="2"/>
  <c r="J31" i="2" s="1"/>
  <c r="W30" i="2"/>
  <c r="P30" i="2"/>
  <c r="I30" i="2"/>
  <c r="J30" i="2" s="1"/>
  <c r="W29" i="2"/>
  <c r="P29" i="2"/>
  <c r="I29" i="2"/>
  <c r="J29" i="2" s="1"/>
  <c r="W28" i="2"/>
  <c r="P28" i="2"/>
  <c r="I28" i="2"/>
  <c r="J28" i="2" s="1"/>
  <c r="W27" i="2"/>
  <c r="P27" i="2"/>
  <c r="I27" i="2"/>
  <c r="J27" i="2" s="1"/>
  <c r="W26" i="2"/>
  <c r="P26" i="2"/>
  <c r="I26" i="2"/>
  <c r="J26" i="2" s="1"/>
  <c r="W25" i="2"/>
  <c r="P25" i="2"/>
  <c r="I25" i="2"/>
  <c r="J25" i="2" s="1"/>
  <c r="W24" i="2"/>
  <c r="P24" i="2"/>
  <c r="I24" i="2"/>
  <c r="J24" i="2" s="1"/>
  <c r="W23" i="2"/>
  <c r="P23" i="2"/>
  <c r="J23" i="2"/>
  <c r="I23" i="2"/>
  <c r="W22" i="2"/>
  <c r="P22" i="2"/>
  <c r="I22" i="2"/>
  <c r="J22" i="2" s="1"/>
  <c r="F22" i="2"/>
  <c r="H22" i="2" s="1"/>
  <c r="W21" i="2"/>
  <c r="P21" i="2"/>
  <c r="I21" i="2"/>
  <c r="J21" i="2" s="1"/>
  <c r="W20" i="2"/>
  <c r="P20" i="2"/>
  <c r="I20" i="2"/>
  <c r="J20" i="2" s="1"/>
  <c r="F20" i="2"/>
  <c r="G20" i="2" s="1"/>
  <c r="W19" i="2"/>
  <c r="P19" i="2"/>
  <c r="I19" i="2"/>
  <c r="J19" i="2" s="1"/>
  <c r="W18" i="2"/>
  <c r="P18" i="2"/>
  <c r="I18" i="2"/>
  <c r="J18" i="2" s="1"/>
  <c r="F18" i="2"/>
  <c r="H18" i="2" s="1"/>
  <c r="W17" i="2"/>
  <c r="P17" i="2"/>
  <c r="I17" i="2"/>
  <c r="J17" i="2" s="1"/>
  <c r="W16" i="2"/>
  <c r="P16" i="2"/>
  <c r="I16" i="2"/>
  <c r="J16" i="2" s="1"/>
  <c r="F16" i="2"/>
  <c r="G16" i="2" s="1"/>
  <c r="W15" i="2"/>
  <c r="P15" i="2"/>
  <c r="I15" i="2"/>
  <c r="J15" i="2" s="1"/>
  <c r="W14" i="2"/>
  <c r="P14" i="2"/>
  <c r="I14" i="2"/>
  <c r="J14" i="2" s="1"/>
  <c r="F14" i="2"/>
  <c r="H14" i="2" s="1"/>
  <c r="W13" i="2"/>
  <c r="P13" i="2"/>
  <c r="I13" i="2"/>
  <c r="J13" i="2" s="1"/>
  <c r="W12" i="2"/>
  <c r="P12" i="2"/>
  <c r="I12" i="2"/>
  <c r="J12" i="2" s="1"/>
  <c r="F12" i="2"/>
  <c r="W11" i="2"/>
  <c r="P11" i="2"/>
  <c r="I11" i="2"/>
  <c r="J11" i="2" s="1"/>
  <c r="W10" i="2"/>
  <c r="P10" i="2"/>
  <c r="I10" i="2"/>
  <c r="J10" i="2" s="1"/>
  <c r="F10" i="2"/>
  <c r="H10" i="2" s="1"/>
  <c r="W9" i="2"/>
  <c r="P9" i="2"/>
  <c r="I9" i="2"/>
  <c r="J9" i="2" s="1"/>
  <c r="W8" i="2"/>
  <c r="P8" i="2"/>
  <c r="I8" i="2"/>
  <c r="J8" i="2" s="1"/>
  <c r="F8" i="2"/>
  <c r="G8" i="2" s="1"/>
  <c r="W7" i="2"/>
  <c r="P7" i="2"/>
  <c r="I7" i="2"/>
  <c r="J7" i="2" s="1"/>
  <c r="W6" i="2"/>
  <c r="P6" i="2"/>
  <c r="I6" i="2"/>
  <c r="J6" i="2" s="1"/>
  <c r="F6" i="2"/>
  <c r="H6" i="2" s="1"/>
  <c r="W5" i="2"/>
  <c r="P5" i="2"/>
  <c r="I5" i="2"/>
  <c r="J5" i="2" s="1"/>
  <c r="H12" i="1"/>
  <c r="H11" i="1"/>
  <c r="H10" i="1"/>
  <c r="H9" i="1"/>
  <c r="E9" i="1"/>
  <c r="B9" i="1"/>
  <c r="H8" i="1"/>
  <c r="E8" i="1"/>
  <c r="B8" i="1"/>
  <c r="H7" i="1"/>
  <c r="E7" i="1"/>
  <c r="B7" i="1"/>
  <c r="E6" i="1"/>
  <c r="B6" i="1"/>
  <c r="H5" i="1"/>
  <c r="E5" i="1"/>
  <c r="B5" i="1"/>
  <c r="F30" i="2" l="1"/>
  <c r="H30" i="2" s="1"/>
  <c r="F38" i="2"/>
  <c r="H38" i="2" s="1"/>
  <c r="F48" i="2"/>
  <c r="G48" i="2" s="1"/>
  <c r="F119" i="2"/>
  <c r="G119" i="2" s="1"/>
  <c r="F129" i="2"/>
  <c r="H129" i="2" s="1"/>
  <c r="F139" i="2"/>
  <c r="G139" i="2" s="1"/>
  <c r="F172" i="2"/>
  <c r="F241" i="2"/>
  <c r="H241" i="2" s="1"/>
  <c r="K241" i="2" s="1"/>
  <c r="F249" i="2"/>
  <c r="H249" i="2" s="1"/>
  <c r="F259" i="2"/>
  <c r="G259" i="2" s="1"/>
  <c r="F58" i="2"/>
  <c r="H58" i="2" s="1"/>
  <c r="F62" i="2"/>
  <c r="F64" i="2"/>
  <c r="H64" i="2" s="1"/>
  <c r="F66" i="2"/>
  <c r="F141" i="2"/>
  <c r="H141" i="2" s="1"/>
  <c r="F143" i="2"/>
  <c r="G143" i="2" s="1"/>
  <c r="F145" i="2"/>
  <c r="H145" i="2" s="1"/>
  <c r="F147" i="2"/>
  <c r="G147" i="2" s="1"/>
  <c r="F149" i="2"/>
  <c r="H149" i="2" s="1"/>
  <c r="F151" i="2"/>
  <c r="G151" i="2" s="1"/>
  <c r="F153" i="2"/>
  <c r="H153" i="2" s="1"/>
  <c r="F261" i="2"/>
  <c r="H261" i="2" s="1"/>
  <c r="F263" i="2"/>
  <c r="G263" i="2" s="1"/>
  <c r="F265" i="2"/>
  <c r="H265" i="2" s="1"/>
  <c r="K265" i="2" s="1"/>
  <c r="F267" i="2"/>
  <c r="H267" i="2" s="1"/>
  <c r="F269" i="2"/>
  <c r="H269" i="2" s="1"/>
  <c r="F271" i="2"/>
  <c r="H271" i="2" s="1"/>
  <c r="F273" i="2"/>
  <c r="G273" i="2" s="1"/>
  <c r="F275" i="2"/>
  <c r="H275" i="2" s="1"/>
  <c r="F277" i="2"/>
  <c r="F279" i="2"/>
  <c r="F281" i="2"/>
  <c r="G281" i="2" s="1"/>
  <c r="F283" i="2"/>
  <c r="H283" i="2" s="1"/>
  <c r="F285" i="2"/>
  <c r="G285" i="2" s="1"/>
  <c r="F287" i="2"/>
  <c r="G287" i="2" s="1"/>
  <c r="F289" i="2"/>
  <c r="H289" i="2" s="1"/>
  <c r="F291" i="2"/>
  <c r="F293" i="2"/>
  <c r="H293" i="2" s="1"/>
  <c r="F295" i="2"/>
  <c r="F304" i="2"/>
  <c r="H304" i="2" s="1"/>
  <c r="F306" i="2"/>
  <c r="G306" i="2" s="1"/>
  <c r="AO15" i="4" s="1"/>
  <c r="F321" i="2"/>
  <c r="G321" i="2" s="1"/>
  <c r="T321" i="2" s="1"/>
  <c r="F339" i="2"/>
  <c r="G339" i="2" s="1"/>
  <c r="F371" i="2"/>
  <c r="G371" i="2" s="1"/>
  <c r="F381" i="2"/>
  <c r="H381" i="2" s="1"/>
  <c r="F415" i="2"/>
  <c r="G415" i="2" s="1"/>
  <c r="F442" i="2"/>
  <c r="H442" i="2" s="1"/>
  <c r="F457" i="2"/>
  <c r="G457" i="2" s="1"/>
  <c r="F486" i="2"/>
  <c r="H486" i="2" s="1"/>
  <c r="K486" i="2" s="1"/>
  <c r="F931" i="2"/>
  <c r="H931" i="2" s="1"/>
  <c r="F34" i="2"/>
  <c r="H34" i="2" s="1"/>
  <c r="F68" i="2"/>
  <c r="G68" i="2" s="1"/>
  <c r="T68" i="2" s="1"/>
  <c r="F70" i="2"/>
  <c r="F72" i="2"/>
  <c r="G72" i="2" s="1"/>
  <c r="T72" i="2" s="1"/>
  <c r="F74" i="2"/>
  <c r="H74" i="2" s="1"/>
  <c r="K74" i="2" s="1"/>
  <c r="F76" i="2"/>
  <c r="G76" i="2" s="1"/>
  <c r="T76" i="2" s="1"/>
  <c r="F78" i="2"/>
  <c r="G78" i="2" s="1"/>
  <c r="F80" i="2"/>
  <c r="F82" i="2"/>
  <c r="G82" i="2" s="1"/>
  <c r="AF7" i="4" s="1"/>
  <c r="F84" i="2"/>
  <c r="H84" i="2" s="1"/>
  <c r="F86" i="2"/>
  <c r="F88" i="2"/>
  <c r="H88" i="2" s="1"/>
  <c r="F90" i="2"/>
  <c r="H90" i="2" s="1"/>
  <c r="F92" i="2"/>
  <c r="G92" i="2" s="1"/>
  <c r="AF17" i="4" s="1"/>
  <c r="F94" i="2"/>
  <c r="G94" i="2" s="1"/>
  <c r="AF19" i="4" s="1"/>
  <c r="F96" i="2"/>
  <c r="F98" i="2"/>
  <c r="F100" i="2"/>
  <c r="H100" i="2" s="1"/>
  <c r="F102" i="2"/>
  <c r="F155" i="2"/>
  <c r="G155" i="2" s="1"/>
  <c r="F157" i="2"/>
  <c r="H157" i="2" s="1"/>
  <c r="F159" i="2"/>
  <c r="G159" i="2" s="1"/>
  <c r="F161" i="2"/>
  <c r="H161" i="2" s="1"/>
  <c r="F176" i="2"/>
  <c r="G176" i="2" s="1"/>
  <c r="AJ5" i="4" s="1"/>
  <c r="F178" i="2"/>
  <c r="G178" i="2" s="1"/>
  <c r="AJ7" i="4" s="1"/>
  <c r="F180" i="2"/>
  <c r="H180" i="2" s="1"/>
  <c r="F182" i="2"/>
  <c r="F184" i="2"/>
  <c r="G184" i="2" s="1"/>
  <c r="AJ13" i="4" s="1"/>
  <c r="F186" i="2"/>
  <c r="H186" i="2" s="1"/>
  <c r="F188" i="2"/>
  <c r="G188" i="2" s="1"/>
  <c r="AJ17" i="4" s="1"/>
  <c r="F190" i="2"/>
  <c r="G190" i="2" s="1"/>
  <c r="AJ19" i="4" s="1"/>
  <c r="F192" i="2"/>
  <c r="F194" i="2"/>
  <c r="H194" i="2" s="1"/>
  <c r="F196" i="2"/>
  <c r="H196" i="2" s="1"/>
  <c r="F202" i="2"/>
  <c r="G202" i="2" s="1"/>
  <c r="AK7" i="4" s="1"/>
  <c r="F204" i="2"/>
  <c r="G204" i="2" s="1"/>
  <c r="AK9" i="4" s="1"/>
  <c r="F206" i="2"/>
  <c r="F208" i="2"/>
  <c r="F210" i="2"/>
  <c r="G210" i="2" s="1"/>
  <c r="AK15" i="4" s="1"/>
  <c r="F212" i="2"/>
  <c r="F214" i="2"/>
  <c r="G214" i="2" s="1"/>
  <c r="AK19" i="4" s="1"/>
  <c r="F216" i="2"/>
  <c r="G216" i="2" s="1"/>
  <c r="AK21" i="4" s="1"/>
  <c r="F218" i="2"/>
  <c r="H218" i="2" s="1"/>
  <c r="F220" i="2"/>
  <c r="G220" i="2" s="1"/>
  <c r="F222" i="2"/>
  <c r="G222" i="2" s="1"/>
  <c r="AL3" i="4" s="1"/>
  <c r="F224" i="2"/>
  <c r="H224" i="2" s="1"/>
  <c r="F226" i="2"/>
  <c r="F228" i="2"/>
  <c r="H228" i="2" s="1"/>
  <c r="F319" i="2"/>
  <c r="H319" i="2" s="1"/>
  <c r="F337" i="2"/>
  <c r="H337" i="2" s="1"/>
  <c r="F364" i="2"/>
  <c r="F398" i="2"/>
  <c r="H398" i="2" s="1"/>
  <c r="F408" i="2"/>
  <c r="F440" i="2"/>
  <c r="H440" i="2" s="1"/>
  <c r="K440" i="2" s="1"/>
  <c r="I592" i="2"/>
  <c r="J592" i="2" s="1"/>
  <c r="I626" i="2"/>
  <c r="J626" i="2" s="1"/>
  <c r="I655" i="2"/>
  <c r="J655" i="2" s="1"/>
  <c r="I745" i="2"/>
  <c r="J745" i="2" s="1"/>
  <c r="I985" i="2"/>
  <c r="J985" i="2" s="1"/>
  <c r="F26" i="2"/>
  <c r="H26" i="2" s="1"/>
  <c r="F42" i="2"/>
  <c r="F121" i="2"/>
  <c r="H121" i="2" s="1"/>
  <c r="F133" i="2"/>
  <c r="H133" i="2" s="1"/>
  <c r="F166" i="2"/>
  <c r="F170" i="2"/>
  <c r="H170" i="2" s="1"/>
  <c r="F235" i="2"/>
  <c r="G235" i="2" s="1"/>
  <c r="F245" i="2"/>
  <c r="H245" i="2" s="1"/>
  <c r="F255" i="2"/>
  <c r="G255" i="2" s="1"/>
  <c r="F308" i="2"/>
  <c r="H308" i="2" s="1"/>
  <c r="F341" i="2"/>
  <c r="F383" i="2"/>
  <c r="F52" i="2"/>
  <c r="H52" i="2" s="1"/>
  <c r="F5" i="2"/>
  <c r="H5" i="2" s="1"/>
  <c r="F9" i="2"/>
  <c r="H9" i="2" s="1"/>
  <c r="F13" i="2"/>
  <c r="H13" i="2" s="1"/>
  <c r="F17" i="2"/>
  <c r="H17" i="2" s="1"/>
  <c r="F21" i="2"/>
  <c r="H21" i="2" s="1"/>
  <c r="F104" i="2"/>
  <c r="G104" i="2" s="1"/>
  <c r="AG5" i="4" s="1"/>
  <c r="F106" i="2"/>
  <c r="H106" i="2" s="1"/>
  <c r="F108" i="2"/>
  <c r="H108" i="2" s="1"/>
  <c r="F110" i="2"/>
  <c r="H110" i="2" s="1"/>
  <c r="F112" i="2"/>
  <c r="G112" i="2" s="1"/>
  <c r="AG13" i="4" s="1"/>
  <c r="F114" i="2"/>
  <c r="G114" i="2" s="1"/>
  <c r="AG15" i="4" s="1"/>
  <c r="F116" i="2"/>
  <c r="H116" i="2" s="1"/>
  <c r="F198" i="2"/>
  <c r="F200" i="2"/>
  <c r="G200" i="2" s="1"/>
  <c r="AK5" i="4" s="1"/>
  <c r="F230" i="2"/>
  <c r="G230" i="2" s="1"/>
  <c r="AL11" i="4" s="1"/>
  <c r="F232" i="2"/>
  <c r="F297" i="2"/>
  <c r="H297" i="2" s="1"/>
  <c r="F299" i="2"/>
  <c r="F301" i="2"/>
  <c r="H301" i="2" s="1"/>
  <c r="F311" i="2"/>
  <c r="H311" i="2" s="1"/>
  <c r="K311" i="2" s="1"/>
  <c r="F313" i="2"/>
  <c r="F315" i="2"/>
  <c r="H315" i="2" s="1"/>
  <c r="F317" i="2"/>
  <c r="G317" i="2" s="1"/>
  <c r="T317" i="2" s="1"/>
  <c r="F335" i="2"/>
  <c r="G335" i="2" s="1"/>
  <c r="F362" i="2"/>
  <c r="H362" i="2" s="1"/>
  <c r="F396" i="2"/>
  <c r="F406" i="2"/>
  <c r="H406" i="2" s="1"/>
  <c r="F430" i="2"/>
  <c r="H430" i="2" s="1"/>
  <c r="I634" i="2"/>
  <c r="J634" i="2" s="1"/>
  <c r="I727" i="2"/>
  <c r="J727" i="2" s="1"/>
  <c r="F28" i="2"/>
  <c r="F40" i="2"/>
  <c r="H40" i="2" s="1"/>
  <c r="F123" i="2"/>
  <c r="G123" i="2" s="1"/>
  <c r="F131" i="2"/>
  <c r="G131" i="2" s="1"/>
  <c r="F164" i="2"/>
  <c r="H164" i="2" s="1"/>
  <c r="F174" i="2"/>
  <c r="F237" i="2"/>
  <c r="H237" i="2" s="1"/>
  <c r="F247" i="2"/>
  <c r="G247" i="2" s="1"/>
  <c r="F257" i="2"/>
  <c r="H257" i="2" s="1"/>
  <c r="F417" i="2"/>
  <c r="H417" i="2" s="1"/>
  <c r="F488" i="2"/>
  <c r="H488" i="2" s="1"/>
  <c r="F7" i="2"/>
  <c r="G7" i="2" s="1"/>
  <c r="F11" i="2"/>
  <c r="G11" i="2" s="1"/>
  <c r="F15" i="2"/>
  <c r="F19" i="2"/>
  <c r="G19" i="2" s="1"/>
  <c r="F23" i="2"/>
  <c r="G23" i="2" s="1"/>
  <c r="F25" i="2"/>
  <c r="H25" i="2" s="1"/>
  <c r="F27" i="2"/>
  <c r="G27" i="2" s="1"/>
  <c r="F29" i="2"/>
  <c r="H29" i="2" s="1"/>
  <c r="F31" i="2"/>
  <c r="F33" i="2"/>
  <c r="H33" i="2" s="1"/>
  <c r="F35" i="2"/>
  <c r="G35" i="2" s="1"/>
  <c r="F37" i="2"/>
  <c r="G37" i="2" s="1"/>
  <c r="AD10" i="4" s="1"/>
  <c r="F39" i="2"/>
  <c r="H39" i="2" s="1"/>
  <c r="F41" i="2"/>
  <c r="F43" i="2"/>
  <c r="G43" i="2" s="1"/>
  <c r="F45" i="2"/>
  <c r="F47" i="2"/>
  <c r="H47" i="2" s="1"/>
  <c r="F49" i="2"/>
  <c r="F51" i="2"/>
  <c r="F118" i="2"/>
  <c r="F120" i="2"/>
  <c r="G120" i="2" s="1"/>
  <c r="AG21" i="4" s="1"/>
  <c r="F122" i="2"/>
  <c r="H122" i="2" s="1"/>
  <c r="F124" i="2"/>
  <c r="G124" i="2" s="1"/>
  <c r="AG25" i="4" s="1"/>
  <c r="F126" i="2"/>
  <c r="G126" i="2" s="1"/>
  <c r="AH3" i="4" s="1"/>
  <c r="F128" i="2"/>
  <c r="F130" i="2"/>
  <c r="H130" i="2" s="1"/>
  <c r="F132" i="2"/>
  <c r="H132" i="2" s="1"/>
  <c r="F134" i="2"/>
  <c r="G134" i="2" s="1"/>
  <c r="AH11" i="4" s="1"/>
  <c r="F136" i="2"/>
  <c r="G136" i="2" s="1"/>
  <c r="AH13" i="4" s="1"/>
  <c r="F138" i="2"/>
  <c r="H138" i="2" s="1"/>
  <c r="F140" i="2"/>
  <c r="F163" i="2"/>
  <c r="G163" i="2" s="1"/>
  <c r="F165" i="2"/>
  <c r="H165" i="2" s="1"/>
  <c r="F167" i="2"/>
  <c r="G167" i="2" s="1"/>
  <c r="F169" i="2"/>
  <c r="H169" i="2" s="1"/>
  <c r="F171" i="2"/>
  <c r="G171" i="2" s="1"/>
  <c r="F173" i="2"/>
  <c r="H173" i="2" s="1"/>
  <c r="F234" i="2"/>
  <c r="G234" i="2" s="1"/>
  <c r="AL15" i="4" s="1"/>
  <c r="F236" i="2"/>
  <c r="F238" i="2"/>
  <c r="H238" i="2" s="1"/>
  <c r="F240" i="2"/>
  <c r="G240" i="2" s="1"/>
  <c r="F242" i="2"/>
  <c r="G242" i="2" s="1"/>
  <c r="AL23" i="4" s="1"/>
  <c r="F244" i="2"/>
  <c r="G244" i="2" s="1"/>
  <c r="F246" i="2"/>
  <c r="H246" i="2" s="1"/>
  <c r="F248" i="2"/>
  <c r="H248" i="2" s="1"/>
  <c r="F250" i="2"/>
  <c r="H250" i="2" s="1"/>
  <c r="F252" i="2"/>
  <c r="G252" i="2" s="1"/>
  <c r="F254" i="2"/>
  <c r="G254" i="2" s="1"/>
  <c r="F256" i="2"/>
  <c r="H256" i="2" s="1"/>
  <c r="F258" i="2"/>
  <c r="F260" i="2"/>
  <c r="F303" i="2"/>
  <c r="H303" i="2" s="1"/>
  <c r="F326" i="2"/>
  <c r="F333" i="2"/>
  <c r="F360" i="2"/>
  <c r="F453" i="2"/>
  <c r="H453" i="2" s="1"/>
  <c r="I678" i="2"/>
  <c r="J678" i="2" s="1"/>
  <c r="I724" i="2"/>
  <c r="J724" i="2" s="1"/>
  <c r="I776" i="2"/>
  <c r="J776" i="2" s="1"/>
  <c r="F32" i="2"/>
  <c r="G32" i="2" s="1"/>
  <c r="F44" i="2"/>
  <c r="H44" i="2" s="1"/>
  <c r="F50" i="2"/>
  <c r="G50" i="2" s="1"/>
  <c r="F127" i="2"/>
  <c r="G127" i="2" s="1"/>
  <c r="F137" i="2"/>
  <c r="H137" i="2" s="1"/>
  <c r="F239" i="2"/>
  <c r="G239" i="2" s="1"/>
  <c r="F253" i="2"/>
  <c r="H253" i="2" s="1"/>
  <c r="F56" i="2"/>
  <c r="H56" i="2" s="1"/>
  <c r="F53" i="2"/>
  <c r="F55" i="2"/>
  <c r="H55" i="2" s="1"/>
  <c r="F57" i="2"/>
  <c r="F59" i="2"/>
  <c r="H59" i="2" s="1"/>
  <c r="F61" i="2"/>
  <c r="H61" i="2" s="1"/>
  <c r="F63" i="2"/>
  <c r="H63" i="2" s="1"/>
  <c r="F65" i="2"/>
  <c r="H65" i="2" s="1"/>
  <c r="F142" i="2"/>
  <c r="H142" i="2" s="1"/>
  <c r="F144" i="2"/>
  <c r="G144" i="2" s="1"/>
  <c r="AH21" i="4" s="1"/>
  <c r="F146" i="2"/>
  <c r="G146" i="2" s="1"/>
  <c r="AH23" i="4" s="1"/>
  <c r="F148" i="2"/>
  <c r="H148" i="2" s="1"/>
  <c r="F150" i="2"/>
  <c r="F152" i="2"/>
  <c r="H152" i="2" s="1"/>
  <c r="F154" i="2"/>
  <c r="F262" i="2"/>
  <c r="F264" i="2"/>
  <c r="G264" i="2" s="1"/>
  <c r="F266" i="2"/>
  <c r="F268" i="2"/>
  <c r="G268" i="2" s="1"/>
  <c r="F270" i="2"/>
  <c r="G270" i="2" s="1"/>
  <c r="AN3" i="4" s="1"/>
  <c r="F272" i="2"/>
  <c r="G272" i="2" s="1"/>
  <c r="T272" i="2" s="1"/>
  <c r="F274" i="2"/>
  <c r="G274" i="2" s="1"/>
  <c r="AN7" i="4" s="1"/>
  <c r="F276" i="2"/>
  <c r="F278" i="2"/>
  <c r="F280" i="2"/>
  <c r="H280" i="2" s="1"/>
  <c r="F282" i="2"/>
  <c r="F284" i="2"/>
  <c r="H284" i="2" s="1"/>
  <c r="K284" i="2" s="1"/>
  <c r="F286" i="2"/>
  <c r="F288" i="2"/>
  <c r="H288" i="2" s="1"/>
  <c r="F290" i="2"/>
  <c r="G290" i="2" s="1"/>
  <c r="AN23" i="4" s="1"/>
  <c r="F292" i="2"/>
  <c r="F294" i="2"/>
  <c r="G294" i="2" s="1"/>
  <c r="AO3" i="4" s="1"/>
  <c r="F305" i="2"/>
  <c r="F331" i="2"/>
  <c r="H331" i="2" s="1"/>
  <c r="F421" i="2"/>
  <c r="H421" i="2" s="1"/>
  <c r="K421" i="2" s="1"/>
  <c r="F492" i="2"/>
  <c r="F653" i="2"/>
  <c r="H653" i="2" s="1"/>
  <c r="I702" i="2"/>
  <c r="J702" i="2" s="1"/>
  <c r="F721" i="2"/>
  <c r="F24" i="2"/>
  <c r="G24" i="2" s="1"/>
  <c r="F36" i="2"/>
  <c r="G36" i="2" s="1"/>
  <c r="F46" i="2"/>
  <c r="F125" i="2"/>
  <c r="H125" i="2" s="1"/>
  <c r="F135" i="2"/>
  <c r="G135" i="2" s="1"/>
  <c r="F168" i="2"/>
  <c r="G168" i="2" s="1"/>
  <c r="AI21" i="4" s="1"/>
  <c r="F243" i="2"/>
  <c r="G243" i="2" s="1"/>
  <c r="F251" i="2"/>
  <c r="G251" i="2" s="1"/>
  <c r="F323" i="2"/>
  <c r="H323" i="2" s="1"/>
  <c r="F54" i="2"/>
  <c r="H54" i="2" s="1"/>
  <c r="F60" i="2"/>
  <c r="H60" i="2" s="1"/>
  <c r="F67" i="2"/>
  <c r="H67" i="2" s="1"/>
  <c r="F69" i="2"/>
  <c r="H69" i="2" s="1"/>
  <c r="F71" i="2"/>
  <c r="H71" i="2" s="1"/>
  <c r="F73" i="2"/>
  <c r="H73" i="2" s="1"/>
  <c r="F75" i="2"/>
  <c r="H75" i="2" s="1"/>
  <c r="F77" i="2"/>
  <c r="H77" i="2" s="1"/>
  <c r="F79" i="2"/>
  <c r="F81" i="2"/>
  <c r="H81" i="2" s="1"/>
  <c r="F83" i="2"/>
  <c r="F85" i="2"/>
  <c r="H85" i="2" s="1"/>
  <c r="F87" i="2"/>
  <c r="F89" i="2"/>
  <c r="H89" i="2" s="1"/>
  <c r="F91" i="2"/>
  <c r="F93" i="2"/>
  <c r="H93" i="2" s="1"/>
  <c r="F95" i="2"/>
  <c r="G95" i="2" s="1"/>
  <c r="F97" i="2"/>
  <c r="H97" i="2" s="1"/>
  <c r="F99" i="2"/>
  <c r="G99" i="2" s="1"/>
  <c r="F101" i="2"/>
  <c r="H101" i="2" s="1"/>
  <c r="F156" i="2"/>
  <c r="F158" i="2"/>
  <c r="G158" i="2" s="1"/>
  <c r="AI11" i="4" s="1"/>
  <c r="F160" i="2"/>
  <c r="F162" i="2"/>
  <c r="F175" i="2"/>
  <c r="G175" i="2" s="1"/>
  <c r="F177" i="2"/>
  <c r="H177" i="2" s="1"/>
  <c r="F179" i="2"/>
  <c r="G179" i="2" s="1"/>
  <c r="F181" i="2"/>
  <c r="H181" i="2" s="1"/>
  <c r="F183" i="2"/>
  <c r="G183" i="2" s="1"/>
  <c r="F185" i="2"/>
  <c r="H185" i="2" s="1"/>
  <c r="F187" i="2"/>
  <c r="G187" i="2" s="1"/>
  <c r="F189" i="2"/>
  <c r="H189" i="2" s="1"/>
  <c r="F191" i="2"/>
  <c r="G191" i="2" s="1"/>
  <c r="F193" i="2"/>
  <c r="H193" i="2" s="1"/>
  <c r="F195" i="2"/>
  <c r="G195" i="2" s="1"/>
  <c r="F203" i="2"/>
  <c r="G203" i="2" s="1"/>
  <c r="F205" i="2"/>
  <c r="H205" i="2" s="1"/>
  <c r="F207" i="2"/>
  <c r="G207" i="2" s="1"/>
  <c r="F209" i="2"/>
  <c r="H209" i="2" s="1"/>
  <c r="F211" i="2"/>
  <c r="G211" i="2" s="1"/>
  <c r="F213" i="2"/>
  <c r="H213" i="2" s="1"/>
  <c r="F215" i="2"/>
  <c r="G215" i="2" s="1"/>
  <c r="F217" i="2"/>
  <c r="H217" i="2" s="1"/>
  <c r="F219" i="2"/>
  <c r="G219" i="2" s="1"/>
  <c r="F221" i="2"/>
  <c r="H221" i="2" s="1"/>
  <c r="F223" i="2"/>
  <c r="G223" i="2" s="1"/>
  <c r="F225" i="2"/>
  <c r="H225" i="2" s="1"/>
  <c r="F227" i="2"/>
  <c r="G227" i="2" s="1"/>
  <c r="F329" i="2"/>
  <c r="F392" i="2"/>
  <c r="H392" i="2" s="1"/>
  <c r="F426" i="2"/>
  <c r="H426" i="2" s="1"/>
  <c r="K426" i="2" s="1"/>
  <c r="I596" i="2"/>
  <c r="J596" i="2" s="1"/>
  <c r="I599" i="2"/>
  <c r="J599" i="2" s="1"/>
  <c r="I614" i="2"/>
  <c r="J614" i="2" s="1"/>
  <c r="I891" i="2"/>
  <c r="J891" i="2" s="1"/>
  <c r="H457" i="2"/>
  <c r="K457" i="2" s="1"/>
  <c r="G580" i="2"/>
  <c r="H580" i="2"/>
  <c r="F888" i="2"/>
  <c r="F823" i="2"/>
  <c r="H823" i="2" s="1"/>
  <c r="F776" i="2"/>
  <c r="F712" i="2"/>
  <c r="F707" i="2"/>
  <c r="F704" i="2"/>
  <c r="F695" i="2"/>
  <c r="F683" i="2"/>
  <c r="G683" i="2" s="1"/>
  <c r="F678" i="2"/>
  <c r="F658" i="2"/>
  <c r="F650" i="2"/>
  <c r="H650" i="2" s="1"/>
  <c r="F610" i="2"/>
  <c r="F601" i="2"/>
  <c r="H601" i="2" s="1"/>
  <c r="F599" i="2"/>
  <c r="H599" i="2" s="1"/>
  <c r="F597" i="2"/>
  <c r="H597" i="2" s="1"/>
  <c r="F595" i="2"/>
  <c r="F593" i="2"/>
  <c r="F572" i="2"/>
  <c r="F570" i="2"/>
  <c r="H570" i="2" s="1"/>
  <c r="F568" i="2"/>
  <c r="F555" i="2"/>
  <c r="F553" i="2"/>
  <c r="F551" i="2"/>
  <c r="F549" i="2"/>
  <c r="F547" i="2"/>
  <c r="H547" i="2" s="1"/>
  <c r="F545" i="2"/>
  <c r="F644" i="2"/>
  <c r="F641" i="2"/>
  <c r="H641" i="2" s="1"/>
  <c r="F626" i="2"/>
  <c r="F614" i="2"/>
  <c r="H614" i="2" s="1"/>
  <c r="F603" i="2"/>
  <c r="F591" i="2"/>
  <c r="H591" i="2" s="1"/>
  <c r="F589" i="2"/>
  <c r="F585" i="2"/>
  <c r="H585" i="2" s="1"/>
  <c r="K585" i="2" s="1"/>
  <c r="F566" i="2"/>
  <c r="H566" i="2" s="1"/>
  <c r="F564" i="2"/>
  <c r="F562" i="2"/>
  <c r="F543" i="2"/>
  <c r="F531" i="2"/>
  <c r="F529" i="2"/>
  <c r="G529" i="2" s="1"/>
  <c r="F527" i="2"/>
  <c r="F525" i="2"/>
  <c r="F478" i="2"/>
  <c r="H478" i="2" s="1"/>
  <c r="F451" i="2"/>
  <c r="F413" i="2"/>
  <c r="F411" i="2"/>
  <c r="G411" i="2" s="1"/>
  <c r="F409" i="2"/>
  <c r="G409" i="2" s="1"/>
  <c r="F407" i="2"/>
  <c r="G407" i="2" s="1"/>
  <c r="F405" i="2"/>
  <c r="H405" i="2" s="1"/>
  <c r="F403" i="2"/>
  <c r="F384" i="2"/>
  <c r="F382" i="2"/>
  <c r="H382" i="2" s="1"/>
  <c r="F356" i="2"/>
  <c r="F354" i="2"/>
  <c r="H354" i="2" s="1"/>
  <c r="F680" i="2"/>
  <c r="F655" i="2"/>
  <c r="F652" i="2"/>
  <c r="F628" i="2"/>
  <c r="F587" i="2"/>
  <c r="F583" i="2"/>
  <c r="F581" i="2"/>
  <c r="F577" i="2"/>
  <c r="F575" i="2"/>
  <c r="H575" i="2" s="1"/>
  <c r="F573" i="2"/>
  <c r="F560" i="2"/>
  <c r="F558" i="2"/>
  <c r="F541" i="2"/>
  <c r="G541" i="2" s="1"/>
  <c r="U541" i="2" s="1"/>
  <c r="F539" i="2"/>
  <c r="H539" i="2" s="1"/>
  <c r="F537" i="2"/>
  <c r="G537" i="2" s="1"/>
  <c r="F535" i="2"/>
  <c r="H535" i="2" s="1"/>
  <c r="K535" i="2" s="1"/>
  <c r="F533" i="2"/>
  <c r="G533" i="2" s="1"/>
  <c r="U533" i="2" s="1"/>
  <c r="F523" i="2"/>
  <c r="H523" i="2" s="1"/>
  <c r="F521" i="2"/>
  <c r="G521" i="2" s="1"/>
  <c r="F519" i="2"/>
  <c r="F517" i="2"/>
  <c r="G517" i="2" s="1"/>
  <c r="U517" i="2" s="1"/>
  <c r="F515" i="2"/>
  <c r="F513" i="2"/>
  <c r="G513" i="2" s="1"/>
  <c r="F511" i="2"/>
  <c r="H511" i="2" s="1"/>
  <c r="K511" i="2" s="1"/>
  <c r="F509" i="2"/>
  <c r="G509" i="2" s="1"/>
  <c r="U509" i="2" s="1"/>
  <c r="F507" i="2"/>
  <c r="F505" i="2"/>
  <c r="G505" i="2" s="1"/>
  <c r="U505" i="2" s="1"/>
  <c r="F503" i="2"/>
  <c r="F501" i="2"/>
  <c r="F499" i="2"/>
  <c r="H499" i="2" s="1"/>
  <c r="F497" i="2"/>
  <c r="G497" i="2" s="1"/>
  <c r="AW14" i="4" s="1"/>
  <c r="F476" i="2"/>
  <c r="H476" i="2" s="1"/>
  <c r="F474" i="2"/>
  <c r="H474" i="2" s="1"/>
  <c r="F472" i="2"/>
  <c r="H472" i="2" s="1"/>
  <c r="F470" i="2"/>
  <c r="H470" i="2" s="1"/>
  <c r="F468" i="2"/>
  <c r="H468" i="2" s="1"/>
  <c r="K468" i="2" s="1"/>
  <c r="F466" i="2"/>
  <c r="H466" i="2" s="1"/>
  <c r="F464" i="2"/>
  <c r="H464" i="2" s="1"/>
  <c r="F462" i="2"/>
  <c r="H462" i="2" s="1"/>
  <c r="F460" i="2"/>
  <c r="H460" i="2" s="1"/>
  <c r="K460" i="2" s="1"/>
  <c r="F458" i="2"/>
  <c r="H458" i="2" s="1"/>
  <c r="K458" i="2" s="1"/>
  <c r="F449" i="2"/>
  <c r="G449" i="2" s="1"/>
  <c r="F424" i="2"/>
  <c r="H424" i="2" s="1"/>
  <c r="F422" i="2"/>
  <c r="F380" i="2"/>
  <c r="F378" i="2"/>
  <c r="H378" i="2" s="1"/>
  <c r="F376" i="2"/>
  <c r="H376" i="2" s="1"/>
  <c r="F374" i="2"/>
  <c r="H374" i="2" s="1"/>
  <c r="F369" i="2"/>
  <c r="F367" i="2"/>
  <c r="G367" i="2" s="1"/>
  <c r="F365" i="2"/>
  <c r="H365" i="2" s="1"/>
  <c r="F352" i="2"/>
  <c r="F350" i="2"/>
  <c r="F685" i="2"/>
  <c r="G685" i="2" s="1"/>
  <c r="F682" i="2"/>
  <c r="H682" i="2" s="1"/>
  <c r="F665" i="2"/>
  <c r="H665" i="2" s="1"/>
  <c r="K665" i="2" s="1"/>
  <c r="F660" i="2"/>
  <c r="F633" i="2"/>
  <c r="H633" i="2" s="1"/>
  <c r="F630" i="2"/>
  <c r="F621" i="2"/>
  <c r="H621" i="2" s="1"/>
  <c r="F616" i="2"/>
  <c r="F579" i="2"/>
  <c r="F556" i="2"/>
  <c r="F495" i="2"/>
  <c r="H495" i="2" s="1"/>
  <c r="K495" i="2" s="1"/>
  <c r="F493" i="2"/>
  <c r="G493" i="2" s="1"/>
  <c r="U493" i="2" s="1"/>
  <c r="F456" i="2"/>
  <c r="F454" i="2"/>
  <c r="H454" i="2" s="1"/>
  <c r="F447" i="2"/>
  <c r="F445" i="2"/>
  <c r="H445" i="2" s="1"/>
  <c r="F443" i="2"/>
  <c r="G443" i="2" s="1"/>
  <c r="F441" i="2"/>
  <c r="F420" i="2"/>
  <c r="G420" i="2" s="1"/>
  <c r="F418" i="2"/>
  <c r="H418" i="2" s="1"/>
  <c r="F401" i="2"/>
  <c r="F399" i="2"/>
  <c r="G399" i="2" s="1"/>
  <c r="F397" i="2"/>
  <c r="F395" i="2"/>
  <c r="G395" i="2" s="1"/>
  <c r="F623" i="2"/>
  <c r="H623" i="2" s="1"/>
  <c r="F618" i="2"/>
  <c r="H618" i="2" s="1"/>
  <c r="F600" i="2"/>
  <c r="H600" i="2" s="1"/>
  <c r="K600" i="2" s="1"/>
  <c r="F598" i="2"/>
  <c r="F596" i="2"/>
  <c r="F594" i="2"/>
  <c r="H594" i="2" s="1"/>
  <c r="F592" i="2"/>
  <c r="H592" i="2" s="1"/>
  <c r="K592" i="2" s="1"/>
  <c r="F571" i="2"/>
  <c r="H571" i="2" s="1"/>
  <c r="F569" i="2"/>
  <c r="F554" i="2"/>
  <c r="F552" i="2"/>
  <c r="F550" i="2"/>
  <c r="F548" i="2"/>
  <c r="F546" i="2"/>
  <c r="F544" i="2"/>
  <c r="F491" i="2"/>
  <c r="G491" i="2" s="1"/>
  <c r="F489" i="2"/>
  <c r="H489" i="2" s="1"/>
  <c r="F487" i="2"/>
  <c r="G487" i="2" s="1"/>
  <c r="F485" i="2"/>
  <c r="F483" i="2"/>
  <c r="G483" i="2" s="1"/>
  <c r="F481" i="2"/>
  <c r="H481" i="2" s="1"/>
  <c r="F452" i="2"/>
  <c r="F439" i="2"/>
  <c r="F437" i="2"/>
  <c r="H437" i="2" s="1"/>
  <c r="F435" i="2"/>
  <c r="H435" i="2" s="1"/>
  <c r="F433" i="2"/>
  <c r="H433" i="2" s="1"/>
  <c r="F431" i="2"/>
  <c r="F429" i="2"/>
  <c r="F427" i="2"/>
  <c r="G427" i="2" s="1"/>
  <c r="F416" i="2"/>
  <c r="H416" i="2" s="1"/>
  <c r="F414" i="2"/>
  <c r="F393" i="2"/>
  <c r="F391" i="2"/>
  <c r="F389" i="2"/>
  <c r="H389" i="2" s="1"/>
  <c r="F387" i="2"/>
  <c r="F385" i="2"/>
  <c r="F370" i="2"/>
  <c r="H370" i="2" s="1"/>
  <c r="F361" i="2"/>
  <c r="F359" i="2"/>
  <c r="F344" i="2"/>
  <c r="H344" i="2" s="1"/>
  <c r="F342" i="2"/>
  <c r="F327" i="2"/>
  <c r="H327" i="2" s="1"/>
  <c r="F864" i="2"/>
  <c r="F774" i="2"/>
  <c r="F740" i="2"/>
  <c r="F716" i="2"/>
  <c r="F705" i="2"/>
  <c r="G705" i="2" s="1"/>
  <c r="F637" i="2"/>
  <c r="H637" i="2" s="1"/>
  <c r="F635" i="2"/>
  <c r="F627" i="2"/>
  <c r="H627" i="2" s="1"/>
  <c r="F625" i="2"/>
  <c r="H625" i="2" s="1"/>
  <c r="F611" i="2"/>
  <c r="F602" i="2"/>
  <c r="F590" i="2"/>
  <c r="F588" i="2"/>
  <c r="G588" i="2" s="1"/>
  <c r="F567" i="2"/>
  <c r="F565" i="2"/>
  <c r="F563" i="2"/>
  <c r="F561" i="2"/>
  <c r="F542" i="2"/>
  <c r="H542" i="2" s="1"/>
  <c r="F530" i="2"/>
  <c r="F528" i="2"/>
  <c r="G528" i="2" s="1"/>
  <c r="F526" i="2"/>
  <c r="H526" i="2" s="1"/>
  <c r="K526" i="2" s="1"/>
  <c r="F524" i="2"/>
  <c r="F479" i="2"/>
  <c r="F676" i="2"/>
  <c r="G676" i="2" s="1"/>
  <c r="F673" i="2"/>
  <c r="F667" i="2"/>
  <c r="H667" i="2" s="1"/>
  <c r="F664" i="2"/>
  <c r="F620" i="2"/>
  <c r="F604" i="2"/>
  <c r="H604" i="2" s="1"/>
  <c r="K604" i="2" s="1"/>
  <c r="F582" i="2"/>
  <c r="F576" i="2"/>
  <c r="F574" i="2"/>
  <c r="F559" i="2"/>
  <c r="H559" i="2" s="1"/>
  <c r="F557" i="2"/>
  <c r="F540" i="2"/>
  <c r="F538" i="2"/>
  <c r="F536" i="2"/>
  <c r="F534" i="2"/>
  <c r="H534" i="2" s="1"/>
  <c r="K534" i="2" s="1"/>
  <c r="F522" i="2"/>
  <c r="F520" i="2"/>
  <c r="F518" i="2"/>
  <c r="H518" i="2" s="1"/>
  <c r="K518" i="2" s="1"/>
  <c r="F516" i="2"/>
  <c r="G516" i="2" s="1"/>
  <c r="T516" i="2" s="1"/>
  <c r="F514" i="2"/>
  <c r="F512" i="2"/>
  <c r="G512" i="2" s="1"/>
  <c r="F510" i="2"/>
  <c r="F508" i="2"/>
  <c r="G508" i="2" s="1"/>
  <c r="T508" i="2" s="1"/>
  <c r="F506" i="2"/>
  <c r="H506" i="2" s="1"/>
  <c r="K506" i="2" s="1"/>
  <c r="F504" i="2"/>
  <c r="G504" i="2" s="1"/>
  <c r="T504" i="2" s="1"/>
  <c r="F502" i="2"/>
  <c r="F500" i="2"/>
  <c r="H500" i="2" s="1"/>
  <c r="F498" i="2"/>
  <c r="F477" i="2"/>
  <c r="H477" i="2" s="1"/>
  <c r="F475" i="2"/>
  <c r="G475" i="2" s="1"/>
  <c r="F473" i="2"/>
  <c r="H473" i="2" s="1"/>
  <c r="F471" i="2"/>
  <c r="G471" i="2" s="1"/>
  <c r="F469" i="2"/>
  <c r="H469" i="2" s="1"/>
  <c r="F467" i="2"/>
  <c r="F465" i="2"/>
  <c r="H465" i="2" s="1"/>
  <c r="F463" i="2"/>
  <c r="G463" i="2" s="1"/>
  <c r="F461" i="2"/>
  <c r="H461" i="2" s="1"/>
  <c r="F459" i="2"/>
  <c r="F423" i="2"/>
  <c r="F379" i="2"/>
  <c r="F377" i="2"/>
  <c r="H377" i="2" s="1"/>
  <c r="F375" i="2"/>
  <c r="F368" i="2"/>
  <c r="F366" i="2"/>
  <c r="H366" i="2" s="1"/>
  <c r="F351" i="2"/>
  <c r="H351" i="2" s="1"/>
  <c r="F340" i="2"/>
  <c r="F309" i="2"/>
  <c r="F307" i="2"/>
  <c r="H307" i="2" s="1"/>
  <c r="K307" i="2" s="1"/>
  <c r="H78" i="2"/>
  <c r="K84" i="2"/>
  <c r="K327" i="2"/>
  <c r="H339" i="2"/>
  <c r="F343" i="2"/>
  <c r="H343" i="2" s="1"/>
  <c r="F345" i="2"/>
  <c r="H345" i="2" s="1"/>
  <c r="K345" i="2" s="1"/>
  <c r="F347" i="2"/>
  <c r="H347" i="2" s="1"/>
  <c r="F349" i="2"/>
  <c r="F358" i="2"/>
  <c r="H358" i="2" s="1"/>
  <c r="H371" i="2"/>
  <c r="K371" i="2" s="1"/>
  <c r="F373" i="2"/>
  <c r="F394" i="2"/>
  <c r="H394" i="2" s="1"/>
  <c r="F410" i="2"/>
  <c r="H410" i="2" s="1"/>
  <c r="F419" i="2"/>
  <c r="H419" i="2" s="1"/>
  <c r="K419" i="2" s="1"/>
  <c r="F428" i="2"/>
  <c r="F444" i="2"/>
  <c r="F455" i="2"/>
  <c r="F490" i="2"/>
  <c r="H490" i="2" s="1"/>
  <c r="K490" i="2" s="1"/>
  <c r="F578" i="2"/>
  <c r="H578" i="2" s="1"/>
  <c r="F834" i="2"/>
  <c r="G122" i="2"/>
  <c r="AG23" i="4" s="1"/>
  <c r="H184" i="2"/>
  <c r="K184" i="2" s="1"/>
  <c r="H240" i="2"/>
  <c r="K271" i="2"/>
  <c r="F318" i="2"/>
  <c r="F320" i="2"/>
  <c r="F322" i="2"/>
  <c r="F324" i="2"/>
  <c r="H324" i="2" s="1"/>
  <c r="F328" i="2"/>
  <c r="F330" i="2"/>
  <c r="H330" i="2" s="1"/>
  <c r="K330" i="2" s="1"/>
  <c r="F332" i="2"/>
  <c r="F334" i="2"/>
  <c r="F336" i="2"/>
  <c r="H336" i="2" s="1"/>
  <c r="F338" i="2"/>
  <c r="F357" i="2"/>
  <c r="H357" i="2" s="1"/>
  <c r="F363" i="2"/>
  <c r="G363" i="2" s="1"/>
  <c r="F388" i="2"/>
  <c r="F404" i="2"/>
  <c r="H404" i="2" s="1"/>
  <c r="K404" i="2" s="1"/>
  <c r="F438" i="2"/>
  <c r="H438" i="2" s="1"/>
  <c r="F484" i="2"/>
  <c r="H484" i="2" s="1"/>
  <c r="F608" i="2"/>
  <c r="F718" i="2"/>
  <c r="G718" i="2" s="1"/>
  <c r="F816" i="2"/>
  <c r="G196" i="2"/>
  <c r="AJ25" i="4" s="1"/>
  <c r="F346" i="2"/>
  <c r="G346" i="2" s="1"/>
  <c r="F348" i="2"/>
  <c r="F355" i="2"/>
  <c r="H355" i="2" s="1"/>
  <c r="F372" i="2"/>
  <c r="F386" i="2"/>
  <c r="H386" i="2" s="1"/>
  <c r="F402" i="2"/>
  <c r="H402" i="2" s="1"/>
  <c r="K402" i="2" s="1"/>
  <c r="F436" i="2"/>
  <c r="K469" i="2"/>
  <c r="F482" i="2"/>
  <c r="H482" i="2" s="1"/>
  <c r="F612" i="2"/>
  <c r="F353" i="2"/>
  <c r="K357" i="2"/>
  <c r="F400" i="2"/>
  <c r="F425" i="2"/>
  <c r="F434" i="2"/>
  <c r="H434" i="2" s="1"/>
  <c r="K434" i="2" s="1"/>
  <c r="F480" i="2"/>
  <c r="F496" i="2"/>
  <c r="H496" i="2" s="1"/>
  <c r="F648" i="2"/>
  <c r="G648" i="2" s="1"/>
  <c r="G6" i="2"/>
  <c r="F432" i="2"/>
  <c r="H432" i="2" s="1"/>
  <c r="F448" i="2"/>
  <c r="F450" i="2"/>
  <c r="H450" i="2" s="1"/>
  <c r="K450" i="2" s="1"/>
  <c r="F494" i="2"/>
  <c r="F606" i="2"/>
  <c r="F806" i="2"/>
  <c r="G806" i="2" s="1"/>
  <c r="I606" i="2"/>
  <c r="J606" i="2" s="1"/>
  <c r="I608" i="2"/>
  <c r="J608" i="2" s="1"/>
  <c r="I612" i="2"/>
  <c r="J612" i="2" s="1"/>
  <c r="I629" i="2"/>
  <c r="J629" i="2" s="1"/>
  <c r="I632" i="2"/>
  <c r="J632" i="2" s="1"/>
  <c r="I648" i="2"/>
  <c r="J648" i="2" s="1"/>
  <c r="I681" i="2"/>
  <c r="J681" i="2" s="1"/>
  <c r="I687" i="2"/>
  <c r="J687" i="2" s="1"/>
  <c r="I690" i="2"/>
  <c r="J690" i="2" s="1"/>
  <c r="I693" i="2"/>
  <c r="J693" i="2" s="1"/>
  <c r="I699" i="2"/>
  <c r="J699" i="2" s="1"/>
  <c r="F702" i="2"/>
  <c r="G702" i="2" s="1"/>
  <c r="I710" i="2"/>
  <c r="J710" i="2" s="1"/>
  <c r="I721" i="2"/>
  <c r="J721" i="2" s="1"/>
  <c r="F731" i="2"/>
  <c r="H731" i="2" s="1"/>
  <c r="F742" i="2"/>
  <c r="F745" i="2"/>
  <c r="I748" i="2"/>
  <c r="J748" i="2" s="1"/>
  <c r="F751" i="2"/>
  <c r="H751" i="2" s="1"/>
  <c r="F757" i="2"/>
  <c r="H757" i="2" s="1"/>
  <c r="F853" i="2"/>
  <c r="H853" i="2" s="1"/>
  <c r="I867" i="2"/>
  <c r="J867" i="2" s="1"/>
  <c r="F882" i="2"/>
  <c r="I882" i="2"/>
  <c r="J882" i="2" s="1"/>
  <c r="F1023" i="2"/>
  <c r="H1023" i="2" s="1"/>
  <c r="I584" i="2"/>
  <c r="J584" i="2" s="1"/>
  <c r="I588" i="2"/>
  <c r="J588" i="2" s="1"/>
  <c r="I590" i="2"/>
  <c r="J590" i="2" s="1"/>
  <c r="I602" i="2"/>
  <c r="J602" i="2" s="1"/>
  <c r="I625" i="2"/>
  <c r="J625" i="2" s="1"/>
  <c r="I635" i="2"/>
  <c r="J635" i="2" s="1"/>
  <c r="I640" i="2"/>
  <c r="J640" i="2" s="1"/>
  <c r="I643" i="2"/>
  <c r="J643" i="2" s="1"/>
  <c r="F646" i="2"/>
  <c r="F662" i="2"/>
  <c r="H662" i="2" s="1"/>
  <c r="I671" i="2"/>
  <c r="J671" i="2" s="1"/>
  <c r="I708" i="2"/>
  <c r="J708" i="2" s="1"/>
  <c r="I716" i="2"/>
  <c r="J716" i="2" s="1"/>
  <c r="F719" i="2"/>
  <c r="I740" i="2"/>
  <c r="J740" i="2" s="1"/>
  <c r="F755" i="2"/>
  <c r="H755" i="2" s="1"/>
  <c r="I788" i="2"/>
  <c r="J788" i="2" s="1"/>
  <c r="I810" i="2"/>
  <c r="J810" i="2" s="1"/>
  <c r="I828" i="2"/>
  <c r="J828" i="2" s="1"/>
  <c r="F913" i="2"/>
  <c r="I598" i="2"/>
  <c r="J598" i="2" s="1"/>
  <c r="I600" i="2"/>
  <c r="J600" i="2" s="1"/>
  <c r="I607" i="2"/>
  <c r="J607" i="2" s="1"/>
  <c r="I609" i="2"/>
  <c r="J609" i="2" s="1"/>
  <c r="I611" i="2"/>
  <c r="J611" i="2" s="1"/>
  <c r="I618" i="2"/>
  <c r="J618" i="2" s="1"/>
  <c r="I623" i="2"/>
  <c r="J623" i="2" s="1"/>
  <c r="I649" i="2"/>
  <c r="J649" i="2" s="1"/>
  <c r="I688" i="2"/>
  <c r="J688" i="2" s="1"/>
  <c r="F694" i="2"/>
  <c r="H694" i="2" s="1"/>
  <c r="I697" i="2"/>
  <c r="J697" i="2" s="1"/>
  <c r="I700" i="2"/>
  <c r="J700" i="2" s="1"/>
  <c r="F711" i="2"/>
  <c r="F714" i="2"/>
  <c r="H714" i="2" s="1"/>
  <c r="F729" i="2"/>
  <c r="F735" i="2"/>
  <c r="H735" i="2" s="1"/>
  <c r="K735" i="2" s="1"/>
  <c r="I743" i="2"/>
  <c r="J743" i="2" s="1"/>
  <c r="I755" i="2"/>
  <c r="J755" i="2" s="1"/>
  <c r="I1054" i="2"/>
  <c r="J1054" i="2" s="1"/>
  <c r="I605" i="2"/>
  <c r="J605" i="2" s="1"/>
  <c r="I616" i="2"/>
  <c r="J616" i="2" s="1"/>
  <c r="I621" i="2"/>
  <c r="J621" i="2" s="1"/>
  <c r="I638" i="2"/>
  <c r="J638" i="2" s="1"/>
  <c r="I660" i="2"/>
  <c r="J660" i="2" s="1"/>
  <c r="I714" i="2"/>
  <c r="J714" i="2" s="1"/>
  <c r="I735" i="2"/>
  <c r="J735" i="2" s="1"/>
  <c r="F738" i="2"/>
  <c r="F778" i="2"/>
  <c r="F808" i="2"/>
  <c r="I836" i="2"/>
  <c r="J836" i="2" s="1"/>
  <c r="F862" i="2"/>
  <c r="F1051" i="2"/>
  <c r="H1051" i="2" s="1"/>
  <c r="F1098" i="2"/>
  <c r="G1098" i="2" s="1"/>
  <c r="I573" i="2"/>
  <c r="J573" i="2" s="1"/>
  <c r="I575" i="2"/>
  <c r="J575" i="2" s="1"/>
  <c r="I581" i="2"/>
  <c r="J581" i="2" s="1"/>
  <c r="I628" i="2"/>
  <c r="J628" i="2" s="1"/>
  <c r="I663" i="2"/>
  <c r="J663" i="2" s="1"/>
  <c r="I669" i="2"/>
  <c r="J669" i="2" s="1"/>
  <c r="I680" i="2"/>
  <c r="J680" i="2" s="1"/>
  <c r="F692" i="2"/>
  <c r="F709" i="2"/>
  <c r="F733" i="2"/>
  <c r="I741" i="2"/>
  <c r="J741" i="2" s="1"/>
  <c r="F750" i="2"/>
  <c r="G750" i="2" s="1"/>
  <c r="I753" i="2"/>
  <c r="J753" i="2" s="1"/>
  <c r="F770" i="2"/>
  <c r="I786" i="2"/>
  <c r="J786" i="2" s="1"/>
  <c r="I808" i="2"/>
  <c r="J808" i="2" s="1"/>
  <c r="F826" i="2"/>
  <c r="G826" i="2" s="1"/>
  <c r="F873" i="2"/>
  <c r="F922" i="2"/>
  <c r="H922" i="2" s="1"/>
  <c r="F937" i="2"/>
  <c r="H937" i="2" s="1"/>
  <c r="K289" i="2"/>
  <c r="K433" i="2"/>
  <c r="H603" i="2"/>
  <c r="K603" i="2" s="1"/>
  <c r="G603" i="2"/>
  <c r="K164" i="2"/>
  <c r="K221" i="2"/>
  <c r="H230" i="2"/>
  <c r="H242" i="2"/>
  <c r="K242" i="2" s="1"/>
  <c r="G316" i="2"/>
  <c r="H443" i="2"/>
  <c r="K443" i="2" s="1"/>
  <c r="K597" i="2"/>
  <c r="G652" i="2"/>
  <c r="H652" i="2"/>
  <c r="G714" i="2"/>
  <c r="H888" i="2"/>
  <c r="G888" i="2"/>
  <c r="U888" i="2" s="1"/>
  <c r="F966" i="2"/>
  <c r="G152" i="2"/>
  <c r="AI5" i="4" s="1"/>
  <c r="H190" i="2"/>
  <c r="K190" i="2" s="1"/>
  <c r="H202" i="2"/>
  <c r="H264" i="2"/>
  <c r="G289" i="2"/>
  <c r="AN22" i="4" s="1"/>
  <c r="K453" i="2"/>
  <c r="H610" i="2"/>
  <c r="G610" i="2"/>
  <c r="BB7" i="4" s="1"/>
  <c r="I1135" i="2"/>
  <c r="J1135" i="2" s="1"/>
  <c r="I1132" i="2"/>
  <c r="J1132" i="2" s="1"/>
  <c r="I1095" i="2"/>
  <c r="J1095" i="2" s="1"/>
  <c r="I1080" i="2"/>
  <c r="J1080" i="2" s="1"/>
  <c r="I1053" i="2"/>
  <c r="J1053" i="2" s="1"/>
  <c r="I1019" i="2"/>
  <c r="J1019" i="2" s="1"/>
  <c r="I1016" i="2"/>
  <c r="J1016" i="2" s="1"/>
  <c r="I1006" i="2"/>
  <c r="J1006" i="2" s="1"/>
  <c r="I1004" i="2"/>
  <c r="J1004" i="2" s="1"/>
  <c r="I1002" i="2"/>
  <c r="J1002" i="2" s="1"/>
  <c r="I997" i="2"/>
  <c r="J997" i="2" s="1"/>
  <c r="I974" i="2"/>
  <c r="J974" i="2" s="1"/>
  <c r="I972" i="2"/>
  <c r="J972" i="2" s="1"/>
  <c r="I967" i="2"/>
  <c r="J967" i="2" s="1"/>
  <c r="I965" i="2"/>
  <c r="J965" i="2" s="1"/>
  <c r="I963" i="2"/>
  <c r="J963" i="2" s="1"/>
  <c r="I961" i="2"/>
  <c r="J961" i="2" s="1"/>
  <c r="I944" i="2"/>
  <c r="J944" i="2" s="1"/>
  <c r="I942" i="2"/>
  <c r="J942" i="2" s="1"/>
  <c r="I940" i="2"/>
  <c r="J940" i="2" s="1"/>
  <c r="I938" i="2"/>
  <c r="J938" i="2" s="1"/>
  <c r="I936" i="2"/>
  <c r="J936" i="2" s="1"/>
  <c r="I934" i="2"/>
  <c r="J934" i="2" s="1"/>
  <c r="I927" i="2"/>
  <c r="J927" i="2" s="1"/>
  <c r="I916" i="2"/>
  <c r="J916" i="2" s="1"/>
  <c r="I887" i="2"/>
  <c r="J887" i="2" s="1"/>
  <c r="I854" i="2"/>
  <c r="J854" i="2" s="1"/>
  <c r="I852" i="2"/>
  <c r="J852" i="2" s="1"/>
  <c r="I839" i="2"/>
  <c r="J839" i="2" s="1"/>
  <c r="I837" i="2"/>
  <c r="J837" i="2" s="1"/>
  <c r="I818" i="2"/>
  <c r="J818" i="2" s="1"/>
  <c r="I815" i="2"/>
  <c r="J815" i="2" s="1"/>
  <c r="I813" i="2"/>
  <c r="J813" i="2" s="1"/>
  <c r="I811" i="2"/>
  <c r="J811" i="2" s="1"/>
  <c r="I1129" i="2"/>
  <c r="J1129" i="2" s="1"/>
  <c r="I1116" i="2"/>
  <c r="J1116" i="2" s="1"/>
  <c r="I1092" i="2"/>
  <c r="J1092" i="2" s="1"/>
  <c r="I1089" i="2"/>
  <c r="J1089" i="2" s="1"/>
  <c r="I1060" i="2"/>
  <c r="J1060" i="2" s="1"/>
  <c r="I1024" i="2"/>
  <c r="J1024" i="2" s="1"/>
  <c r="I1013" i="2"/>
  <c r="J1013" i="2" s="1"/>
  <c r="I999" i="2"/>
  <c r="J999" i="2" s="1"/>
  <c r="I980" i="2"/>
  <c r="J980" i="2" s="1"/>
  <c r="I959" i="2"/>
  <c r="J959" i="2" s="1"/>
  <c r="I957" i="2"/>
  <c r="J957" i="2" s="1"/>
  <c r="I955" i="2"/>
  <c r="J955" i="2" s="1"/>
  <c r="K955" i="2" s="1"/>
  <c r="I953" i="2"/>
  <c r="J953" i="2" s="1"/>
  <c r="I932" i="2"/>
  <c r="J932" i="2" s="1"/>
  <c r="I925" i="2"/>
  <c r="J925" i="2" s="1"/>
  <c r="I923" i="2"/>
  <c r="J923" i="2" s="1"/>
  <c r="I909" i="2"/>
  <c r="J909" i="2" s="1"/>
  <c r="I902" i="2"/>
  <c r="J902" i="2" s="1"/>
  <c r="I900" i="2"/>
  <c r="J900" i="2" s="1"/>
  <c r="I885" i="2"/>
  <c r="J885" i="2" s="1"/>
  <c r="I883" i="2"/>
  <c r="J883" i="2" s="1"/>
  <c r="I876" i="2"/>
  <c r="J876" i="2" s="1"/>
  <c r="I863" i="2"/>
  <c r="J863" i="2" s="1"/>
  <c r="I850" i="2"/>
  <c r="J850" i="2" s="1"/>
  <c r="I807" i="2"/>
  <c r="J807" i="2" s="1"/>
  <c r="I794" i="2"/>
  <c r="J794" i="2" s="1"/>
  <c r="I784" i="2"/>
  <c r="J784" i="2" s="1"/>
  <c r="I782" i="2"/>
  <c r="J782" i="2" s="1"/>
  <c r="I1171" i="2"/>
  <c r="J1171" i="2" s="1"/>
  <c r="I1147" i="2"/>
  <c r="J1147" i="2" s="1"/>
  <c r="I1026" i="2"/>
  <c r="J1026" i="2" s="1"/>
  <c r="I1021" i="2"/>
  <c r="J1021" i="2" s="1"/>
  <c r="I992" i="2"/>
  <c r="J992" i="2" s="1"/>
  <c r="I982" i="2"/>
  <c r="J982" i="2" s="1"/>
  <c r="I970" i="2"/>
  <c r="J970" i="2" s="1"/>
  <c r="I951" i="2"/>
  <c r="J951" i="2" s="1"/>
  <c r="I949" i="2"/>
  <c r="J949" i="2" s="1"/>
  <c r="I947" i="2"/>
  <c r="J947" i="2" s="1"/>
  <c r="I930" i="2"/>
  <c r="J930" i="2" s="1"/>
  <c r="I921" i="2"/>
  <c r="J921" i="2" s="1"/>
  <c r="I914" i="2"/>
  <c r="J914" i="2" s="1"/>
  <c r="I912" i="2"/>
  <c r="J912" i="2" s="1"/>
  <c r="I907" i="2"/>
  <c r="J907" i="2" s="1"/>
  <c r="I905" i="2"/>
  <c r="J905" i="2" s="1"/>
  <c r="I898" i="2"/>
  <c r="J898" i="2" s="1"/>
  <c r="I896" i="2"/>
  <c r="J896" i="2" s="1"/>
  <c r="I881" i="2"/>
  <c r="J881" i="2" s="1"/>
  <c r="I874" i="2"/>
  <c r="J874" i="2" s="1"/>
  <c r="I872" i="2"/>
  <c r="J872" i="2" s="1"/>
  <c r="I870" i="2"/>
  <c r="J870" i="2" s="1"/>
  <c r="I868" i="2"/>
  <c r="J868" i="2" s="1"/>
  <c r="I861" i="2"/>
  <c r="J861" i="2" s="1"/>
  <c r="I859" i="2"/>
  <c r="J859" i="2" s="1"/>
  <c r="I835" i="2"/>
  <c r="J835" i="2" s="1"/>
  <c r="I833" i="2"/>
  <c r="J833" i="2" s="1"/>
  <c r="I831" i="2"/>
  <c r="J831" i="2" s="1"/>
  <c r="I829" i="2"/>
  <c r="J829" i="2" s="1"/>
  <c r="I827" i="2"/>
  <c r="J827" i="2" s="1"/>
  <c r="I825" i="2"/>
  <c r="J825" i="2" s="1"/>
  <c r="I805" i="2"/>
  <c r="J805" i="2" s="1"/>
  <c r="I803" i="2"/>
  <c r="J803" i="2" s="1"/>
  <c r="I801" i="2"/>
  <c r="J801" i="2" s="1"/>
  <c r="I791" i="2"/>
  <c r="J791" i="2" s="1"/>
  <c r="I789" i="2"/>
  <c r="J789" i="2" s="1"/>
  <c r="I766" i="2"/>
  <c r="J766" i="2" s="1"/>
  <c r="I1140" i="2"/>
  <c r="J1140" i="2" s="1"/>
  <c r="I1137" i="2"/>
  <c r="J1137" i="2" s="1"/>
  <c r="I1134" i="2"/>
  <c r="J1134" i="2" s="1"/>
  <c r="I1099" i="2"/>
  <c r="J1099" i="2" s="1"/>
  <c r="I1071" i="2"/>
  <c r="J1071" i="2" s="1"/>
  <c r="I1057" i="2"/>
  <c r="J1057" i="2" s="1"/>
  <c r="I1018" i="2"/>
  <c r="J1018" i="2" s="1"/>
  <c r="I1001" i="2"/>
  <c r="J1001" i="2" s="1"/>
  <c r="I994" i="2"/>
  <c r="J994" i="2" s="1"/>
  <c r="I990" i="2"/>
  <c r="J990" i="2" s="1"/>
  <c r="I986" i="2"/>
  <c r="J986" i="2" s="1"/>
  <c r="I984" i="2"/>
  <c r="J984" i="2" s="1"/>
  <c r="I977" i="2"/>
  <c r="J977" i="2" s="1"/>
  <c r="I968" i="2"/>
  <c r="J968" i="2" s="1"/>
  <c r="I945" i="2"/>
  <c r="J945" i="2" s="1"/>
  <c r="I928" i="2"/>
  <c r="J928" i="2" s="1"/>
  <c r="I919" i="2"/>
  <c r="J919" i="2" s="1"/>
  <c r="I917" i="2"/>
  <c r="J917" i="2" s="1"/>
  <c r="I903" i="2"/>
  <c r="J903" i="2" s="1"/>
  <c r="I894" i="2"/>
  <c r="J894" i="2" s="1"/>
  <c r="I892" i="2"/>
  <c r="J892" i="2" s="1"/>
  <c r="I890" i="2"/>
  <c r="J890" i="2" s="1"/>
  <c r="I888" i="2"/>
  <c r="J888" i="2" s="1"/>
  <c r="I879" i="2"/>
  <c r="J879" i="2" s="1"/>
  <c r="I866" i="2"/>
  <c r="J866" i="2" s="1"/>
  <c r="I864" i="2"/>
  <c r="J864" i="2" s="1"/>
  <c r="I857" i="2"/>
  <c r="J857" i="2" s="1"/>
  <c r="I848" i="2"/>
  <c r="J848" i="2" s="1"/>
  <c r="I846" i="2"/>
  <c r="J846" i="2" s="1"/>
  <c r="I844" i="2"/>
  <c r="J844" i="2" s="1"/>
  <c r="I842" i="2"/>
  <c r="J842" i="2" s="1"/>
  <c r="I840" i="2"/>
  <c r="J840" i="2" s="1"/>
  <c r="I823" i="2"/>
  <c r="J823" i="2" s="1"/>
  <c r="I821" i="2"/>
  <c r="J821" i="2" s="1"/>
  <c r="I816" i="2"/>
  <c r="J816" i="2" s="1"/>
  <c r="I799" i="2"/>
  <c r="J799" i="2" s="1"/>
  <c r="I797" i="2"/>
  <c r="J797" i="2" s="1"/>
  <c r="I1203" i="2"/>
  <c r="J1203" i="2" s="1"/>
  <c r="I1128" i="2"/>
  <c r="J1128" i="2" s="1"/>
  <c r="I1122" i="2"/>
  <c r="J1122" i="2" s="1"/>
  <c r="I1096" i="2"/>
  <c r="J1096" i="2" s="1"/>
  <c r="I1076" i="2"/>
  <c r="J1076" i="2" s="1"/>
  <c r="I1065" i="2"/>
  <c r="J1065" i="2" s="1"/>
  <c r="I1062" i="2"/>
  <c r="J1062" i="2" s="1"/>
  <c r="I1059" i="2"/>
  <c r="J1059" i="2" s="1"/>
  <c r="I1040" i="2"/>
  <c r="J1040" i="2" s="1"/>
  <c r="I1031" i="2"/>
  <c r="J1031" i="2" s="1"/>
  <c r="I1023" i="2"/>
  <c r="J1023" i="2" s="1"/>
  <c r="I1015" i="2"/>
  <c r="J1015" i="2" s="1"/>
  <c r="I1012" i="2"/>
  <c r="J1012" i="2" s="1"/>
  <c r="I996" i="2"/>
  <c r="J996" i="2" s="1"/>
  <c r="I979" i="2"/>
  <c r="J979" i="2" s="1"/>
  <c r="I975" i="2"/>
  <c r="J975" i="2" s="1"/>
  <c r="I973" i="2"/>
  <c r="J973" i="2" s="1"/>
  <c r="I966" i="2"/>
  <c r="J966" i="2" s="1"/>
  <c r="I964" i="2"/>
  <c r="J964" i="2" s="1"/>
  <c r="I962" i="2"/>
  <c r="J962" i="2" s="1"/>
  <c r="I960" i="2"/>
  <c r="J960" i="2" s="1"/>
  <c r="I943" i="2"/>
  <c r="J943" i="2" s="1"/>
  <c r="I941" i="2"/>
  <c r="J941" i="2" s="1"/>
  <c r="I939" i="2"/>
  <c r="J939" i="2" s="1"/>
  <c r="I937" i="2"/>
  <c r="J937" i="2" s="1"/>
  <c r="I935" i="2"/>
  <c r="J935" i="2" s="1"/>
  <c r="I933" i="2"/>
  <c r="J933" i="2" s="1"/>
  <c r="I910" i="2"/>
  <c r="J910" i="2" s="1"/>
  <c r="I877" i="2"/>
  <c r="J877" i="2" s="1"/>
  <c r="I855" i="2"/>
  <c r="J855" i="2" s="1"/>
  <c r="K855" i="2" s="1"/>
  <c r="I853" i="2"/>
  <c r="J853" i="2" s="1"/>
  <c r="I1189" i="2"/>
  <c r="J1189" i="2" s="1"/>
  <c r="I1176" i="2"/>
  <c r="J1176" i="2" s="1"/>
  <c r="I1142" i="2"/>
  <c r="J1142" i="2" s="1"/>
  <c r="I1101" i="2"/>
  <c r="J1101" i="2" s="1"/>
  <c r="I1098" i="2"/>
  <c r="J1098" i="2" s="1"/>
  <c r="I1093" i="2"/>
  <c r="J1093" i="2" s="1"/>
  <c r="I1090" i="2"/>
  <c r="J1090" i="2" s="1"/>
  <c r="I1073" i="2"/>
  <c r="J1073" i="2" s="1"/>
  <c r="I1070" i="2"/>
  <c r="J1070" i="2" s="1"/>
  <c r="I1045" i="2"/>
  <c r="J1045" i="2" s="1"/>
  <c r="I1042" i="2"/>
  <c r="J1042" i="2" s="1"/>
  <c r="I971" i="2"/>
  <c r="J971" i="2" s="1"/>
  <c r="I950" i="2"/>
  <c r="J950" i="2" s="1"/>
  <c r="I948" i="2"/>
  <c r="J948" i="2" s="1"/>
  <c r="I946" i="2"/>
  <c r="J946" i="2" s="1"/>
  <c r="I931" i="2"/>
  <c r="J931" i="2" s="1"/>
  <c r="K931" i="2" s="1"/>
  <c r="I929" i="2"/>
  <c r="J929" i="2" s="1"/>
  <c r="I922" i="2"/>
  <c r="J922" i="2" s="1"/>
  <c r="I920" i="2"/>
  <c r="J920" i="2" s="1"/>
  <c r="I913" i="2"/>
  <c r="J913" i="2" s="1"/>
  <c r="I908" i="2"/>
  <c r="J908" i="2" s="1"/>
  <c r="I906" i="2"/>
  <c r="J906" i="2" s="1"/>
  <c r="I904" i="2"/>
  <c r="J904" i="2" s="1"/>
  <c r="I897" i="2"/>
  <c r="J897" i="2" s="1"/>
  <c r="I895" i="2"/>
  <c r="J895" i="2" s="1"/>
  <c r="I873" i="2"/>
  <c r="J873" i="2" s="1"/>
  <c r="I871" i="2"/>
  <c r="J871" i="2" s="1"/>
  <c r="I869" i="2"/>
  <c r="J869" i="2" s="1"/>
  <c r="I1196" i="2"/>
  <c r="J1196" i="2" s="1"/>
  <c r="I1056" i="2"/>
  <c r="J1056" i="2" s="1"/>
  <c r="I1007" i="2"/>
  <c r="J1007" i="2" s="1"/>
  <c r="I987" i="2"/>
  <c r="J987" i="2" s="1"/>
  <c r="I958" i="2"/>
  <c r="J958" i="2" s="1"/>
  <c r="I893" i="2"/>
  <c r="J893" i="2" s="1"/>
  <c r="I849" i="2"/>
  <c r="J849" i="2" s="1"/>
  <c r="I822" i="2"/>
  <c r="J822" i="2" s="1"/>
  <c r="I802" i="2"/>
  <c r="J802" i="2" s="1"/>
  <c r="I783" i="2"/>
  <c r="J783" i="2" s="1"/>
  <c r="I775" i="2"/>
  <c r="J775" i="2" s="1"/>
  <c r="I769" i="2"/>
  <c r="J769" i="2" s="1"/>
  <c r="I754" i="2"/>
  <c r="J754" i="2" s="1"/>
  <c r="I749" i="2"/>
  <c r="J749" i="2" s="1"/>
  <c r="I734" i="2"/>
  <c r="J734" i="2" s="1"/>
  <c r="I717" i="2"/>
  <c r="J717" i="2" s="1"/>
  <c r="I715" i="2"/>
  <c r="J715" i="2" s="1"/>
  <c r="I703" i="2"/>
  <c r="J703" i="2" s="1"/>
  <c r="I691" i="2"/>
  <c r="J691" i="2" s="1"/>
  <c r="I679" i="2"/>
  <c r="J679" i="2" s="1"/>
  <c r="I677" i="2"/>
  <c r="J677" i="2" s="1"/>
  <c r="I672" i="2"/>
  <c r="J672" i="2" s="1"/>
  <c r="I620" i="2"/>
  <c r="J620" i="2" s="1"/>
  <c r="I615" i="2"/>
  <c r="J615" i="2" s="1"/>
  <c r="I613" i="2"/>
  <c r="J613" i="2" s="1"/>
  <c r="I610" i="2"/>
  <c r="J610" i="2" s="1"/>
  <c r="I603" i="2"/>
  <c r="J603" i="2" s="1"/>
  <c r="I577" i="2"/>
  <c r="J577" i="2" s="1"/>
  <c r="I1081" i="2"/>
  <c r="J1081" i="2" s="1"/>
  <c r="I993" i="2"/>
  <c r="J993" i="2" s="1"/>
  <c r="I926" i="2"/>
  <c r="J926" i="2" s="1"/>
  <c r="I911" i="2"/>
  <c r="J911" i="2" s="1"/>
  <c r="I899" i="2"/>
  <c r="J899" i="2" s="1"/>
  <c r="I860" i="2"/>
  <c r="J860" i="2" s="1"/>
  <c r="I832" i="2"/>
  <c r="J832" i="2" s="1"/>
  <c r="I824" i="2"/>
  <c r="J824" i="2" s="1"/>
  <c r="I819" i="2"/>
  <c r="J819" i="2" s="1"/>
  <c r="I814" i="2"/>
  <c r="J814" i="2" s="1"/>
  <c r="I809" i="2"/>
  <c r="J809" i="2" s="1"/>
  <c r="I793" i="2"/>
  <c r="J793" i="2" s="1"/>
  <c r="I787" i="2"/>
  <c r="J787" i="2" s="1"/>
  <c r="I785" i="2"/>
  <c r="J785" i="2" s="1"/>
  <c r="I767" i="2"/>
  <c r="J767" i="2" s="1"/>
  <c r="I765" i="2"/>
  <c r="J765" i="2" s="1"/>
  <c r="I744" i="2"/>
  <c r="J744" i="2" s="1"/>
  <c r="I739" i="2"/>
  <c r="J739" i="2" s="1"/>
  <c r="I732" i="2"/>
  <c r="J732" i="2" s="1"/>
  <c r="I725" i="2"/>
  <c r="J725" i="2" s="1"/>
  <c r="I720" i="2"/>
  <c r="J720" i="2" s="1"/>
  <c r="I706" i="2"/>
  <c r="J706" i="2" s="1"/>
  <c r="I698" i="2"/>
  <c r="J698" i="2" s="1"/>
  <c r="I696" i="2"/>
  <c r="J696" i="2" s="1"/>
  <c r="I689" i="2"/>
  <c r="J689" i="2" s="1"/>
  <c r="I686" i="2"/>
  <c r="J686" i="2" s="1"/>
  <c r="I670" i="2"/>
  <c r="J670" i="2" s="1"/>
  <c r="I668" i="2"/>
  <c r="J668" i="2" s="1"/>
  <c r="I659" i="2"/>
  <c r="J659" i="2" s="1"/>
  <c r="I647" i="2"/>
  <c r="J647" i="2" s="1"/>
  <c r="I627" i="2"/>
  <c r="J627" i="2" s="1"/>
  <c r="K627" i="2" s="1"/>
  <c r="I601" i="2"/>
  <c r="J601" i="2" s="1"/>
  <c r="K601" i="2" s="1"/>
  <c r="I1003" i="2"/>
  <c r="J1003" i="2" s="1"/>
  <c r="I976" i="2"/>
  <c r="J976" i="2" s="1"/>
  <c r="I954" i="2"/>
  <c r="J954" i="2" s="1"/>
  <c r="I889" i="2"/>
  <c r="J889" i="2" s="1"/>
  <c r="I886" i="2"/>
  <c r="J886" i="2" s="1"/>
  <c r="I880" i="2"/>
  <c r="J880" i="2" s="1"/>
  <c r="I865" i="2"/>
  <c r="J865" i="2" s="1"/>
  <c r="I862" i="2"/>
  <c r="J862" i="2" s="1"/>
  <c r="I851" i="2"/>
  <c r="J851" i="2" s="1"/>
  <c r="I845" i="2"/>
  <c r="J845" i="2" s="1"/>
  <c r="I804" i="2"/>
  <c r="J804" i="2" s="1"/>
  <c r="I795" i="2"/>
  <c r="J795" i="2" s="1"/>
  <c r="I780" i="2"/>
  <c r="J780" i="2" s="1"/>
  <c r="I778" i="2"/>
  <c r="J778" i="2" s="1"/>
  <c r="I772" i="2"/>
  <c r="J772" i="2" s="1"/>
  <c r="I763" i="2"/>
  <c r="J763" i="2" s="1"/>
  <c r="I759" i="2"/>
  <c r="J759" i="2" s="1"/>
  <c r="I752" i="2"/>
  <c r="J752" i="2" s="1"/>
  <c r="I747" i="2"/>
  <c r="J747" i="2" s="1"/>
  <c r="I742" i="2"/>
  <c r="J742" i="2" s="1"/>
  <c r="I737" i="2"/>
  <c r="J737" i="2" s="1"/>
  <c r="I730" i="2"/>
  <c r="J730" i="2" s="1"/>
  <c r="I728" i="2"/>
  <c r="J728" i="2" s="1"/>
  <c r="I723" i="2"/>
  <c r="J723" i="2" s="1"/>
  <c r="I713" i="2"/>
  <c r="J713" i="2" s="1"/>
  <c r="I701" i="2"/>
  <c r="J701" i="2" s="1"/>
  <c r="I684" i="2"/>
  <c r="J684" i="2" s="1"/>
  <c r="I675" i="2"/>
  <c r="J675" i="2" s="1"/>
  <c r="I666" i="2"/>
  <c r="J666" i="2" s="1"/>
  <c r="I657" i="2"/>
  <c r="J657" i="2" s="1"/>
  <c r="I654" i="2"/>
  <c r="J654" i="2" s="1"/>
  <c r="I652" i="2"/>
  <c r="J652" i="2" s="1"/>
  <c r="I645" i="2"/>
  <c r="J645" i="2" s="1"/>
  <c r="I1125" i="2"/>
  <c r="J1125" i="2" s="1"/>
  <c r="I1048" i="2"/>
  <c r="J1048" i="2" s="1"/>
  <c r="I1034" i="2"/>
  <c r="J1034" i="2" s="1"/>
  <c r="I1009" i="2"/>
  <c r="J1009" i="2" s="1"/>
  <c r="I989" i="2"/>
  <c r="J989" i="2" s="1"/>
  <c r="I834" i="2"/>
  <c r="J834" i="2" s="1"/>
  <c r="I826" i="2"/>
  <c r="J826" i="2" s="1"/>
  <c r="I806" i="2"/>
  <c r="J806" i="2" s="1"/>
  <c r="I774" i="2"/>
  <c r="J774" i="2" s="1"/>
  <c r="I770" i="2"/>
  <c r="J770" i="2" s="1"/>
  <c r="I761" i="2"/>
  <c r="J761" i="2" s="1"/>
  <c r="I757" i="2"/>
  <c r="J757" i="2" s="1"/>
  <c r="K757" i="2" s="1"/>
  <c r="I750" i="2"/>
  <c r="J750" i="2" s="1"/>
  <c r="I726" i="2"/>
  <c r="J726" i="2" s="1"/>
  <c r="I718" i="2"/>
  <c r="J718" i="2" s="1"/>
  <c r="I711" i="2"/>
  <c r="J711" i="2" s="1"/>
  <c r="I709" i="2"/>
  <c r="J709" i="2" s="1"/>
  <c r="I704" i="2"/>
  <c r="J704" i="2" s="1"/>
  <c r="I694" i="2"/>
  <c r="J694" i="2" s="1"/>
  <c r="I692" i="2"/>
  <c r="J692" i="2" s="1"/>
  <c r="I682" i="2"/>
  <c r="J682" i="2" s="1"/>
  <c r="K682" i="2" s="1"/>
  <c r="I664" i="2"/>
  <c r="J664" i="2" s="1"/>
  <c r="I662" i="2"/>
  <c r="J662" i="2" s="1"/>
  <c r="K662" i="2" s="1"/>
  <c r="I650" i="2"/>
  <c r="J650" i="2" s="1"/>
  <c r="I641" i="2"/>
  <c r="J641" i="2" s="1"/>
  <c r="I639" i="2"/>
  <c r="J639" i="2" s="1"/>
  <c r="I637" i="2"/>
  <c r="J637" i="2" s="1"/>
  <c r="I630" i="2"/>
  <c r="J630" i="2" s="1"/>
  <c r="I1179" i="2"/>
  <c r="J1179" i="2" s="1"/>
  <c r="I991" i="2"/>
  <c r="J991" i="2" s="1"/>
  <c r="K991" i="2" s="1"/>
  <c r="I924" i="2"/>
  <c r="J924" i="2" s="1"/>
  <c r="I918" i="2"/>
  <c r="J918" i="2" s="1"/>
  <c r="I915" i="2"/>
  <c r="J915" i="2" s="1"/>
  <c r="I838" i="2"/>
  <c r="J838" i="2" s="1"/>
  <c r="I820" i="2"/>
  <c r="J820" i="2" s="1"/>
  <c r="I798" i="2"/>
  <c r="J798" i="2" s="1"/>
  <c r="I796" i="2"/>
  <c r="J796" i="2" s="1"/>
  <c r="I792" i="2"/>
  <c r="J792" i="2" s="1"/>
  <c r="I790" i="2"/>
  <c r="J790" i="2" s="1"/>
  <c r="I781" i="2"/>
  <c r="J781" i="2" s="1"/>
  <c r="I779" i="2"/>
  <c r="J779" i="2" s="1"/>
  <c r="I764" i="2"/>
  <c r="J764" i="2" s="1"/>
  <c r="I760" i="2"/>
  <c r="J760" i="2" s="1"/>
  <c r="I751" i="2"/>
  <c r="J751" i="2" s="1"/>
  <c r="K751" i="2" s="1"/>
  <c r="I746" i="2"/>
  <c r="J746" i="2" s="1"/>
  <c r="I738" i="2"/>
  <c r="J738" i="2" s="1"/>
  <c r="I731" i="2"/>
  <c r="J731" i="2" s="1"/>
  <c r="K731" i="2" s="1"/>
  <c r="I729" i="2"/>
  <c r="J729" i="2" s="1"/>
  <c r="I722" i="2"/>
  <c r="J722" i="2" s="1"/>
  <c r="I719" i="2"/>
  <c r="J719" i="2" s="1"/>
  <c r="I712" i="2"/>
  <c r="J712" i="2" s="1"/>
  <c r="I705" i="2"/>
  <c r="J705" i="2" s="1"/>
  <c r="I695" i="2"/>
  <c r="J695" i="2" s="1"/>
  <c r="I685" i="2"/>
  <c r="J685" i="2" s="1"/>
  <c r="I683" i="2"/>
  <c r="J683" i="2" s="1"/>
  <c r="I676" i="2"/>
  <c r="J676" i="2" s="1"/>
  <c r="I674" i="2"/>
  <c r="J674" i="2" s="1"/>
  <c r="I667" i="2"/>
  <c r="J667" i="2" s="1"/>
  <c r="K667" i="2" s="1"/>
  <c r="I665" i="2"/>
  <c r="J665" i="2" s="1"/>
  <c r="I658" i="2"/>
  <c r="J658" i="2" s="1"/>
  <c r="I653" i="2"/>
  <c r="J653" i="2" s="1"/>
  <c r="K653" i="2" s="1"/>
  <c r="I646" i="2"/>
  <c r="J646" i="2" s="1"/>
  <c r="I644" i="2"/>
  <c r="J644" i="2" s="1"/>
  <c r="I642" i="2"/>
  <c r="J642" i="2" s="1"/>
  <c r="I633" i="2"/>
  <c r="J633" i="2" s="1"/>
  <c r="I631" i="2"/>
  <c r="J631" i="2" s="1"/>
  <c r="I619" i="2"/>
  <c r="J619" i="2" s="1"/>
  <c r="I1193" i="2"/>
  <c r="J1193" i="2" s="1"/>
  <c r="I1104" i="2"/>
  <c r="J1104" i="2" s="1"/>
  <c r="I1039" i="2"/>
  <c r="J1039" i="2" s="1"/>
  <c r="I952" i="2"/>
  <c r="J952" i="2" s="1"/>
  <c r="I884" i="2"/>
  <c r="J884" i="2" s="1"/>
  <c r="I878" i="2"/>
  <c r="J878" i="2" s="1"/>
  <c r="I875" i="2"/>
  <c r="J875" i="2" s="1"/>
  <c r="I858" i="2"/>
  <c r="J858" i="2" s="1"/>
  <c r="I843" i="2"/>
  <c r="J843" i="2" s="1"/>
  <c r="I830" i="2"/>
  <c r="J830" i="2" s="1"/>
  <c r="I817" i="2"/>
  <c r="J817" i="2" s="1"/>
  <c r="I812" i="2"/>
  <c r="J812" i="2" s="1"/>
  <c r="I800" i="2"/>
  <c r="J800" i="2" s="1"/>
  <c r="I777" i="2"/>
  <c r="J777" i="2" s="1"/>
  <c r="I773" i="2"/>
  <c r="J773" i="2" s="1"/>
  <c r="I771" i="2"/>
  <c r="J771" i="2" s="1"/>
  <c r="I762" i="2"/>
  <c r="J762" i="2" s="1"/>
  <c r="I758" i="2"/>
  <c r="J758" i="2" s="1"/>
  <c r="I756" i="2"/>
  <c r="J756" i="2" s="1"/>
  <c r="F796" i="2"/>
  <c r="F1198" i="2"/>
  <c r="G1198" i="2" s="1"/>
  <c r="F1195" i="2"/>
  <c r="H1195" i="2" s="1"/>
  <c r="F1127" i="2"/>
  <c r="F1106" i="2"/>
  <c r="F1103" i="2"/>
  <c r="F1075" i="2"/>
  <c r="G1075" i="2" s="1"/>
  <c r="U1075" i="2" s="1"/>
  <c r="F1058" i="2"/>
  <c r="F1050" i="2"/>
  <c r="H1050" i="2" s="1"/>
  <c r="F1039" i="2"/>
  <c r="H1039" i="2" s="1"/>
  <c r="F1036" i="2"/>
  <c r="F991" i="2"/>
  <c r="H991" i="2" s="1"/>
  <c r="F989" i="2"/>
  <c r="H989" i="2" s="1"/>
  <c r="F987" i="2"/>
  <c r="H987" i="2" s="1"/>
  <c r="F985" i="2"/>
  <c r="F978" i="2"/>
  <c r="H978" i="2" s="1"/>
  <c r="F969" i="2"/>
  <c r="H969" i="2" s="1"/>
  <c r="K969" i="2" s="1"/>
  <c r="F946" i="2"/>
  <c r="F918" i="2"/>
  <c r="F911" i="2"/>
  <c r="F904" i="2"/>
  <c r="F893" i="2"/>
  <c r="H893" i="2" s="1"/>
  <c r="K893" i="2" s="1"/>
  <c r="F891" i="2"/>
  <c r="F889" i="2"/>
  <c r="F880" i="2"/>
  <c r="H880" i="2" s="1"/>
  <c r="F878" i="2"/>
  <c r="F867" i="2"/>
  <c r="H867" i="2" s="1"/>
  <c r="F865" i="2"/>
  <c r="H865" i="2" s="1"/>
  <c r="F858" i="2"/>
  <c r="F856" i="2"/>
  <c r="F849" i="2"/>
  <c r="F847" i="2"/>
  <c r="F845" i="2"/>
  <c r="H845" i="2" s="1"/>
  <c r="K845" i="2" s="1"/>
  <c r="F843" i="2"/>
  <c r="H843" i="2" s="1"/>
  <c r="F841" i="2"/>
  <c r="H841" i="2" s="1"/>
  <c r="F822" i="2"/>
  <c r="F820" i="2"/>
  <c r="F1188" i="2"/>
  <c r="F1168" i="2"/>
  <c r="F1158" i="2"/>
  <c r="F1144" i="2"/>
  <c r="G1144" i="2" s="1"/>
  <c r="T1144" i="2" s="1"/>
  <c r="F1095" i="2"/>
  <c r="F1086" i="2"/>
  <c r="F1080" i="2"/>
  <c r="F1077" i="2"/>
  <c r="G1077" i="2" s="1"/>
  <c r="U1077" i="2" s="1"/>
  <c r="F1044" i="2"/>
  <c r="G1044" i="2" s="1"/>
  <c r="F1008" i="2"/>
  <c r="F997" i="2"/>
  <c r="H997" i="2" s="1"/>
  <c r="F976" i="2"/>
  <c r="F974" i="2"/>
  <c r="F967" i="2"/>
  <c r="F965" i="2"/>
  <c r="H965" i="2" s="1"/>
  <c r="K965" i="2" s="1"/>
  <c r="F963" i="2"/>
  <c r="G963" i="2" s="1"/>
  <c r="F961" i="2"/>
  <c r="H961" i="2" s="1"/>
  <c r="K961" i="2" s="1"/>
  <c r="F944" i="2"/>
  <c r="F942" i="2"/>
  <c r="F940" i="2"/>
  <c r="H940" i="2" s="1"/>
  <c r="F938" i="2"/>
  <c r="H938" i="2" s="1"/>
  <c r="F936" i="2"/>
  <c r="F934" i="2"/>
  <c r="F887" i="2"/>
  <c r="H887" i="2" s="1"/>
  <c r="F854" i="2"/>
  <c r="F852" i="2"/>
  <c r="F839" i="2"/>
  <c r="H839" i="2" s="1"/>
  <c r="F837" i="2"/>
  <c r="F815" i="2"/>
  <c r="H815" i="2" s="1"/>
  <c r="K815" i="2" s="1"/>
  <c r="F813" i="2"/>
  <c r="H813" i="2" s="1"/>
  <c r="F811" i="2"/>
  <c r="H811" i="2" s="1"/>
  <c r="K811" i="2" s="1"/>
  <c r="F809" i="2"/>
  <c r="H809" i="2" s="1"/>
  <c r="F786" i="2"/>
  <c r="F1161" i="2"/>
  <c r="H1161" i="2" s="1"/>
  <c r="F1112" i="2"/>
  <c r="F1089" i="2"/>
  <c r="G1089" i="2" s="1"/>
  <c r="F1055" i="2"/>
  <c r="F1029" i="2"/>
  <c r="H1029" i="2" s="1"/>
  <c r="F1010" i="2"/>
  <c r="H1010" i="2" s="1"/>
  <c r="F1006" i="2"/>
  <c r="F1004" i="2"/>
  <c r="F999" i="2"/>
  <c r="H999" i="2" s="1"/>
  <c r="K999" i="2" s="1"/>
  <c r="F959" i="2"/>
  <c r="F957" i="2"/>
  <c r="H957" i="2" s="1"/>
  <c r="F955" i="2"/>
  <c r="H955" i="2" s="1"/>
  <c r="F953" i="2"/>
  <c r="H953" i="2" s="1"/>
  <c r="K953" i="2" s="1"/>
  <c r="F932" i="2"/>
  <c r="H932" i="2" s="1"/>
  <c r="F927" i="2"/>
  <c r="F925" i="2"/>
  <c r="H925" i="2" s="1"/>
  <c r="K925" i="2" s="1"/>
  <c r="F923" i="2"/>
  <c r="F916" i="2"/>
  <c r="F909" i="2"/>
  <c r="F902" i="2"/>
  <c r="F900" i="2"/>
  <c r="G900" i="2" s="1"/>
  <c r="F885" i="2"/>
  <c r="F883" i="2"/>
  <c r="F876" i="2"/>
  <c r="F863" i="2"/>
  <c r="F807" i="2"/>
  <c r="F784" i="2"/>
  <c r="G784" i="2" s="1"/>
  <c r="F782" i="2"/>
  <c r="H782" i="2" s="1"/>
  <c r="F780" i="2"/>
  <c r="G780" i="2" s="1"/>
  <c r="F775" i="2"/>
  <c r="H775" i="2" s="1"/>
  <c r="F773" i="2"/>
  <c r="H773" i="2" s="1"/>
  <c r="F768" i="2"/>
  <c r="G768" i="2" s="1"/>
  <c r="F761" i="2"/>
  <c r="H761" i="2" s="1"/>
  <c r="F1184" i="2"/>
  <c r="F1174" i="2"/>
  <c r="G1174" i="2" s="1"/>
  <c r="F1150" i="2"/>
  <c r="F1068" i="2"/>
  <c r="G1068" i="2" s="1"/>
  <c r="BU9" i="4" s="1"/>
  <c r="F1046" i="2"/>
  <c r="H1046" i="2" s="1"/>
  <c r="F1026" i="2"/>
  <c r="F992" i="2"/>
  <c r="F988" i="2"/>
  <c r="F982" i="2"/>
  <c r="G982" i="2" s="1"/>
  <c r="BQ19" i="4" s="1"/>
  <c r="F972" i="2"/>
  <c r="F951" i="2"/>
  <c r="F949" i="2"/>
  <c r="H949" i="2" s="1"/>
  <c r="F947" i="2"/>
  <c r="H947" i="2" s="1"/>
  <c r="K947" i="2" s="1"/>
  <c r="F930" i="2"/>
  <c r="H930" i="2" s="1"/>
  <c r="F921" i="2"/>
  <c r="H921" i="2" s="1"/>
  <c r="K921" i="2" s="1"/>
  <c r="F914" i="2"/>
  <c r="F912" i="2"/>
  <c r="G912" i="2" s="1"/>
  <c r="F907" i="2"/>
  <c r="H907" i="2" s="1"/>
  <c r="F905" i="2"/>
  <c r="F898" i="2"/>
  <c r="F896" i="2"/>
  <c r="H896" i="2" s="1"/>
  <c r="K896" i="2" s="1"/>
  <c r="F881" i="2"/>
  <c r="F874" i="2"/>
  <c r="H874" i="2" s="1"/>
  <c r="K874" i="2" s="1"/>
  <c r="F872" i="2"/>
  <c r="F870" i="2"/>
  <c r="F868" i="2"/>
  <c r="F861" i="2"/>
  <c r="H861" i="2" s="1"/>
  <c r="F859" i="2"/>
  <c r="H859" i="2" s="1"/>
  <c r="F835" i="2"/>
  <c r="H835" i="2" s="1"/>
  <c r="K835" i="2" s="1"/>
  <c r="F833" i="2"/>
  <c r="H833" i="2" s="1"/>
  <c r="F831" i="2"/>
  <c r="F829" i="2"/>
  <c r="F827" i="2"/>
  <c r="H827" i="2" s="1"/>
  <c r="F825" i="2"/>
  <c r="H825" i="2" s="1"/>
  <c r="F818" i="2"/>
  <c r="F805" i="2"/>
  <c r="H805" i="2" s="1"/>
  <c r="F803" i="2"/>
  <c r="H803" i="2" s="1"/>
  <c r="K803" i="2" s="1"/>
  <c r="F801" i="2"/>
  <c r="H801" i="2" s="1"/>
  <c r="BT26" i="4"/>
  <c r="F1153" i="2"/>
  <c r="F1131" i="2"/>
  <c r="F1079" i="2"/>
  <c r="F1001" i="2"/>
  <c r="H1001" i="2" s="1"/>
  <c r="F994" i="2"/>
  <c r="F990" i="2"/>
  <c r="H990" i="2" s="1"/>
  <c r="F986" i="2"/>
  <c r="H986" i="2" s="1"/>
  <c r="F984" i="2"/>
  <c r="F977" i="2"/>
  <c r="F970" i="2"/>
  <c r="F968" i="2"/>
  <c r="F945" i="2"/>
  <c r="H945" i="2" s="1"/>
  <c r="F928" i="2"/>
  <c r="H928" i="2" s="1"/>
  <c r="F919" i="2"/>
  <c r="G919" i="2" s="1"/>
  <c r="F917" i="2"/>
  <c r="F894" i="2"/>
  <c r="H894" i="2" s="1"/>
  <c r="K894" i="2" s="1"/>
  <c r="F892" i="2"/>
  <c r="F890" i="2"/>
  <c r="H890" i="2" s="1"/>
  <c r="K890" i="2" s="1"/>
  <c r="F879" i="2"/>
  <c r="F866" i="2"/>
  <c r="G866" i="2" s="1"/>
  <c r="F857" i="2"/>
  <c r="H857" i="2" s="1"/>
  <c r="F850" i="2"/>
  <c r="F848" i="2"/>
  <c r="F846" i="2"/>
  <c r="H846" i="2" s="1"/>
  <c r="K846" i="2" s="1"/>
  <c r="F844" i="2"/>
  <c r="AN26" i="4"/>
  <c r="F1186" i="2"/>
  <c r="H1186" i="2" s="1"/>
  <c r="F1166" i="2"/>
  <c r="F1139" i="2"/>
  <c r="H1139" i="2" s="1"/>
  <c r="F1084" i="2"/>
  <c r="F1067" i="2"/>
  <c r="H1067" i="2" s="1"/>
  <c r="F1048" i="2"/>
  <c r="F1009" i="2"/>
  <c r="F996" i="2"/>
  <c r="F981" i="2"/>
  <c r="H981" i="2" s="1"/>
  <c r="F960" i="2"/>
  <c r="F958" i="2"/>
  <c r="F956" i="2"/>
  <c r="H956" i="2" s="1"/>
  <c r="F954" i="2"/>
  <c r="H954" i="2" s="1"/>
  <c r="F952" i="2"/>
  <c r="F926" i="2"/>
  <c r="F924" i="2"/>
  <c r="F910" i="2"/>
  <c r="F903" i="2"/>
  <c r="F901" i="2"/>
  <c r="F899" i="2"/>
  <c r="G899" i="2" s="1"/>
  <c r="F886" i="2"/>
  <c r="H886" i="2" s="1"/>
  <c r="F884" i="2"/>
  <c r="F877" i="2"/>
  <c r="F1042" i="2"/>
  <c r="F939" i="2"/>
  <c r="G939" i="2" s="1"/>
  <c r="U939" i="2" s="1"/>
  <c r="F875" i="2"/>
  <c r="F855" i="2"/>
  <c r="H855" i="2" s="1"/>
  <c r="F840" i="2"/>
  <c r="G840" i="2" s="1"/>
  <c r="F830" i="2"/>
  <c r="F817" i="2"/>
  <c r="F812" i="2"/>
  <c r="H812" i="2" s="1"/>
  <c r="F800" i="2"/>
  <c r="G800" i="2" s="1"/>
  <c r="F792" i="2"/>
  <c r="F777" i="2"/>
  <c r="H777" i="2" s="1"/>
  <c r="K777" i="2" s="1"/>
  <c r="F762" i="2"/>
  <c r="F758" i="2"/>
  <c r="H758" i="2" s="1"/>
  <c r="F756" i="2"/>
  <c r="G756" i="2" s="1"/>
  <c r="F741" i="2"/>
  <c r="G741" i="2" s="1"/>
  <c r="F736" i="2"/>
  <c r="F727" i="2"/>
  <c r="F710" i="2"/>
  <c r="G710" i="2" s="1"/>
  <c r="F693" i="2"/>
  <c r="F688" i="2"/>
  <c r="G688" i="2" s="1"/>
  <c r="U688" i="2" s="1"/>
  <c r="F681" i="2"/>
  <c r="H681" i="2" s="1"/>
  <c r="K681" i="2" s="1"/>
  <c r="F663" i="2"/>
  <c r="F661" i="2"/>
  <c r="F651" i="2"/>
  <c r="F649" i="2"/>
  <c r="H649" i="2" s="1"/>
  <c r="K649" i="2" s="1"/>
  <c r="F642" i="2"/>
  <c r="F640" i="2"/>
  <c r="G640" i="2" s="1"/>
  <c r="F638" i="2"/>
  <c r="F636" i="2"/>
  <c r="G636" i="2" s="1"/>
  <c r="F631" i="2"/>
  <c r="F629" i="2"/>
  <c r="F624" i="2"/>
  <c r="H624" i="2" s="1"/>
  <c r="K624" i="2" s="1"/>
  <c r="F622" i="2"/>
  <c r="H622" i="2" s="1"/>
  <c r="K622" i="2" s="1"/>
  <c r="F619" i="2"/>
  <c r="F617" i="2"/>
  <c r="H617" i="2" s="1"/>
  <c r="K617" i="2" s="1"/>
  <c r="F607" i="2"/>
  <c r="H607" i="2" s="1"/>
  <c r="F605" i="2"/>
  <c r="H605" i="2" s="1"/>
  <c r="F586" i="2"/>
  <c r="H586" i="2" s="1"/>
  <c r="F584" i="2"/>
  <c r="H584" i="2" s="1"/>
  <c r="K584" i="2" s="1"/>
  <c r="F1059" i="2"/>
  <c r="F1028" i="2"/>
  <c r="F964" i="2"/>
  <c r="F948" i="2"/>
  <c r="F920" i="2"/>
  <c r="F802" i="2"/>
  <c r="F783" i="2"/>
  <c r="H783" i="2" s="1"/>
  <c r="F769" i="2"/>
  <c r="F749" i="2"/>
  <c r="F746" i="2"/>
  <c r="F734" i="2"/>
  <c r="G734" i="2" s="1"/>
  <c r="U734" i="2" s="1"/>
  <c r="F722" i="2"/>
  <c r="F717" i="2"/>
  <c r="F715" i="2"/>
  <c r="F708" i="2"/>
  <c r="F703" i="2"/>
  <c r="G703" i="2" s="1"/>
  <c r="F700" i="2"/>
  <c r="F691" i="2"/>
  <c r="G691" i="2" s="1"/>
  <c r="F679" i="2"/>
  <c r="H679" i="2" s="1"/>
  <c r="K679" i="2" s="1"/>
  <c r="F674" i="2"/>
  <c r="F672" i="2"/>
  <c r="G672" i="2" s="1"/>
  <c r="BD21" i="4" s="1"/>
  <c r="F656" i="2"/>
  <c r="F615" i="2"/>
  <c r="F613" i="2"/>
  <c r="H613" i="2" s="1"/>
  <c r="K613" i="2" s="1"/>
  <c r="F1110" i="2"/>
  <c r="F1031" i="2"/>
  <c r="H1031" i="2" s="1"/>
  <c r="K1031" i="2" s="1"/>
  <c r="F983" i="2"/>
  <c r="F973" i="2"/>
  <c r="H973" i="2" s="1"/>
  <c r="K973" i="2" s="1"/>
  <c r="F935" i="2"/>
  <c r="G935" i="2" s="1"/>
  <c r="F929" i="2"/>
  <c r="H929" i="2" s="1"/>
  <c r="F908" i="2"/>
  <c r="H908" i="2" s="1"/>
  <c r="F871" i="2"/>
  <c r="H871" i="2" s="1"/>
  <c r="K871" i="2" s="1"/>
  <c r="F860" i="2"/>
  <c r="F842" i="2"/>
  <c r="F832" i="2"/>
  <c r="H832" i="2" s="1"/>
  <c r="K832" i="2" s="1"/>
  <c r="F824" i="2"/>
  <c r="F819" i="2"/>
  <c r="H819" i="2" s="1"/>
  <c r="F814" i="2"/>
  <c r="H814" i="2" s="1"/>
  <c r="F797" i="2"/>
  <c r="H797" i="2" s="1"/>
  <c r="K797" i="2" s="1"/>
  <c r="F793" i="2"/>
  <c r="F789" i="2"/>
  <c r="F787" i="2"/>
  <c r="H787" i="2" s="1"/>
  <c r="F785" i="2"/>
  <c r="F767" i="2"/>
  <c r="H767" i="2" s="1"/>
  <c r="F765" i="2"/>
  <c r="H765" i="2" s="1"/>
  <c r="F754" i="2"/>
  <c r="F744" i="2"/>
  <c r="F739" i="2"/>
  <c r="H739" i="2" s="1"/>
  <c r="K739" i="2" s="1"/>
  <c r="F725" i="2"/>
  <c r="H725" i="2" s="1"/>
  <c r="K725" i="2" s="1"/>
  <c r="F720" i="2"/>
  <c r="F698" i="2"/>
  <c r="F696" i="2"/>
  <c r="G696" i="2" s="1"/>
  <c r="F689" i="2"/>
  <c r="G689" i="2" s="1"/>
  <c r="U689" i="2" s="1"/>
  <c r="F677" i="2"/>
  <c r="F670" i="2"/>
  <c r="H670" i="2" s="1"/>
  <c r="F1020" i="2"/>
  <c r="F979" i="2"/>
  <c r="H979" i="2" s="1"/>
  <c r="K979" i="2" s="1"/>
  <c r="F941" i="2"/>
  <c r="F895" i="2"/>
  <c r="F851" i="2"/>
  <c r="H851" i="2" s="1"/>
  <c r="K851" i="2" s="1"/>
  <c r="F821" i="2"/>
  <c r="H821" i="2" s="1"/>
  <c r="F804" i="2"/>
  <c r="F799" i="2"/>
  <c r="H799" i="2" s="1"/>
  <c r="K799" i="2" s="1"/>
  <c r="F791" i="2"/>
  <c r="H791" i="2" s="1"/>
  <c r="K791" i="2" s="1"/>
  <c r="F763" i="2"/>
  <c r="H763" i="2" s="1"/>
  <c r="F759" i="2"/>
  <c r="H759" i="2" s="1"/>
  <c r="K759" i="2" s="1"/>
  <c r="F752" i="2"/>
  <c r="G752" i="2" s="1"/>
  <c r="T752" i="2" s="1"/>
  <c r="F747" i="2"/>
  <c r="H747" i="2" s="1"/>
  <c r="F737" i="2"/>
  <c r="F732" i="2"/>
  <c r="F730" i="2"/>
  <c r="H730" i="2" s="1"/>
  <c r="F728" i="2"/>
  <c r="H728" i="2" s="1"/>
  <c r="F723" i="2"/>
  <c r="H723" i="2" s="1"/>
  <c r="F713" i="2"/>
  <c r="G713" i="2" s="1"/>
  <c r="F706" i="2"/>
  <c r="F701" i="2"/>
  <c r="F686" i="2"/>
  <c r="F684" i="2"/>
  <c r="G684" i="2" s="1"/>
  <c r="U684" i="2" s="1"/>
  <c r="F675" i="2"/>
  <c r="H675" i="2" s="1"/>
  <c r="F668" i="2"/>
  <c r="F666" i="2"/>
  <c r="F659" i="2"/>
  <c r="F657" i="2"/>
  <c r="F654" i="2"/>
  <c r="G654" i="2" s="1"/>
  <c r="BD3" i="4" s="1"/>
  <c r="F647" i="2"/>
  <c r="F645" i="2"/>
  <c r="H645" i="2" s="1"/>
  <c r="F643" i="2"/>
  <c r="F634" i="2"/>
  <c r="F632" i="2"/>
  <c r="BL26" i="4"/>
  <c r="F1128" i="2"/>
  <c r="F1076" i="2"/>
  <c r="G1076" i="2" s="1"/>
  <c r="U1076" i="2" s="1"/>
  <c r="F1064" i="2"/>
  <c r="G1064" i="2" s="1"/>
  <c r="F1011" i="2"/>
  <c r="H1011" i="2" s="1"/>
  <c r="F962" i="2"/>
  <c r="H962" i="2" s="1"/>
  <c r="F943" i="2"/>
  <c r="F897" i="2"/>
  <c r="G897" i="2" s="1"/>
  <c r="F836" i="2"/>
  <c r="F828" i="2"/>
  <c r="G828" i="2" s="1"/>
  <c r="F810" i="2"/>
  <c r="H810" i="2" s="1"/>
  <c r="F794" i="2"/>
  <c r="F788" i="2"/>
  <c r="F766" i="2"/>
  <c r="F753" i="2"/>
  <c r="F748" i="2"/>
  <c r="F743" i="2"/>
  <c r="H743" i="2" s="1"/>
  <c r="F726" i="2"/>
  <c r="F724" i="2"/>
  <c r="G724" i="2" s="1"/>
  <c r="F699" i="2"/>
  <c r="F697" i="2"/>
  <c r="G697" i="2" s="1"/>
  <c r="U697" i="2" s="1"/>
  <c r="F690" i="2"/>
  <c r="H690" i="2" s="1"/>
  <c r="F687" i="2"/>
  <c r="F671" i="2"/>
  <c r="F669" i="2"/>
  <c r="F609" i="2"/>
  <c r="F971" i="2"/>
  <c r="F933" i="2"/>
  <c r="H933" i="2" s="1"/>
  <c r="K933" i="2" s="1"/>
  <c r="F915" i="2"/>
  <c r="F906" i="2"/>
  <c r="H906" i="2" s="1"/>
  <c r="F869" i="2"/>
  <c r="H869" i="2" s="1"/>
  <c r="K869" i="2" s="1"/>
  <c r="F838" i="2"/>
  <c r="G838" i="2" s="1"/>
  <c r="F798" i="2"/>
  <c r="F790" i="2"/>
  <c r="F781" i="2"/>
  <c r="H781" i="2" s="1"/>
  <c r="K781" i="2" s="1"/>
  <c r="F779" i="2"/>
  <c r="H779" i="2" s="1"/>
  <c r="K779" i="2" s="1"/>
  <c r="F764" i="2"/>
  <c r="G764" i="2" s="1"/>
  <c r="F760" i="2"/>
  <c r="G760" i="2" s="1"/>
  <c r="G620" i="2"/>
  <c r="H620" i="2"/>
  <c r="K620" i="2" s="1"/>
  <c r="H82" i="2"/>
  <c r="K82" i="2" s="1"/>
  <c r="G132" i="2"/>
  <c r="G194" i="2"/>
  <c r="AJ23" i="4" s="1"/>
  <c r="K229" i="2"/>
  <c r="G250" i="2"/>
  <c r="AM7" i="4" s="1"/>
  <c r="G323" i="2"/>
  <c r="H407" i="2"/>
  <c r="H427" i="2"/>
  <c r="K477" i="2"/>
  <c r="H504" i="2"/>
  <c r="K504" i="2" s="1"/>
  <c r="K542" i="2"/>
  <c r="G612" i="2"/>
  <c r="BB9" i="4" s="1"/>
  <c r="H612" i="2"/>
  <c r="K612" i="2" s="1"/>
  <c r="H882" i="2"/>
  <c r="K882" i="2" s="1"/>
  <c r="G882" i="2"/>
  <c r="T882" i="2" s="1"/>
  <c r="K922" i="2"/>
  <c r="AF26" i="4"/>
  <c r="K170" i="2"/>
  <c r="K315" i="2"/>
  <c r="G376" i="2"/>
  <c r="H409" i="2"/>
  <c r="K409" i="2" s="1"/>
  <c r="G433" i="2"/>
  <c r="AT22" i="4" s="1"/>
  <c r="K442" i="2"/>
  <c r="H508" i="2"/>
  <c r="H635" i="2"/>
  <c r="K635" i="2" s="1"/>
  <c r="G635" i="2"/>
  <c r="K937" i="2"/>
  <c r="I956" i="2"/>
  <c r="J956" i="2" s="1"/>
  <c r="F1005" i="2"/>
  <c r="H1005" i="2" s="1"/>
  <c r="K17" i="2"/>
  <c r="H252" i="2"/>
  <c r="K252" i="2" s="1"/>
  <c r="H270" i="2"/>
  <c r="K288" i="2"/>
  <c r="K331" i="2"/>
  <c r="G355" i="2"/>
  <c r="K454" i="2"/>
  <c r="H579" i="2"/>
  <c r="K579" i="2" s="1"/>
  <c r="G579" i="2"/>
  <c r="H702" i="2"/>
  <c r="K702" i="2" s="1"/>
  <c r="H742" i="2"/>
  <c r="G742" i="2"/>
  <c r="H750" i="2"/>
  <c r="I847" i="2"/>
  <c r="J847" i="2" s="1"/>
  <c r="I901" i="2"/>
  <c r="J901" i="2" s="1"/>
  <c r="F975" i="2"/>
  <c r="H975" i="2" s="1"/>
  <c r="K975" i="2" s="1"/>
  <c r="F998" i="2"/>
  <c r="H998" i="2" s="1"/>
  <c r="K213" i="2"/>
  <c r="K228" i="2"/>
  <c r="K240" i="2"/>
  <c r="K417" i="2"/>
  <c r="H626" i="2"/>
  <c r="K626" i="2" s="1"/>
  <c r="G626" i="2"/>
  <c r="BB23" i="4" s="1"/>
  <c r="K633" i="2"/>
  <c r="G778" i="2"/>
  <c r="H778" i="2"/>
  <c r="H862" i="2"/>
  <c r="G862" i="2"/>
  <c r="I1037" i="2"/>
  <c r="J1037" i="2" s="1"/>
  <c r="K1037" i="2" s="1"/>
  <c r="I1163" i="2"/>
  <c r="J1163" i="2" s="1"/>
  <c r="G108" i="2"/>
  <c r="H144" i="2"/>
  <c r="K144" i="2" s="1"/>
  <c r="K153" i="2"/>
  <c r="H158" i="2"/>
  <c r="K158" i="2" s="1"/>
  <c r="K237" i="2"/>
  <c r="K267" i="2"/>
  <c r="G319" i="2"/>
  <c r="K470" i="2"/>
  <c r="G570" i="2"/>
  <c r="H806" i="2"/>
  <c r="G816" i="2"/>
  <c r="H816" i="2"/>
  <c r="F950" i="2"/>
  <c r="BH26" i="4"/>
  <c r="I1181" i="2"/>
  <c r="J1181" i="2" s="1"/>
  <c r="I1200" i="2"/>
  <c r="J1200" i="2" s="1"/>
  <c r="H385" i="2"/>
  <c r="K385" i="2" s="1"/>
  <c r="G385" i="2"/>
  <c r="G391" i="2"/>
  <c r="H391" i="2"/>
  <c r="G467" i="2"/>
  <c r="T467" i="2" s="1"/>
  <c r="H467" i="2"/>
  <c r="K467" i="2" s="1"/>
  <c r="G98" i="2"/>
  <c r="H98" i="2"/>
  <c r="K98" i="2" s="1"/>
  <c r="H62" i="2"/>
  <c r="G62" i="2"/>
  <c r="H172" i="2"/>
  <c r="K172" i="2" s="1"/>
  <c r="G172" i="2"/>
  <c r="AI25" i="4" s="1"/>
  <c r="H208" i="2"/>
  <c r="K208" i="2" s="1"/>
  <c r="G208" i="2"/>
  <c r="AK13" i="4" s="1"/>
  <c r="G166" i="2"/>
  <c r="H166" i="2"/>
  <c r="K166" i="2" s="1"/>
  <c r="H738" i="2"/>
  <c r="G738" i="2"/>
  <c r="H8" i="2"/>
  <c r="K8" i="2" s="1"/>
  <c r="K25" i="2"/>
  <c r="G70" i="2"/>
  <c r="H70" i="2"/>
  <c r="K70" i="2" s="1"/>
  <c r="K149" i="2"/>
  <c r="G156" i="2"/>
  <c r="H156" i="2"/>
  <c r="K156" i="2" s="1"/>
  <c r="G329" i="2"/>
  <c r="T329" i="2" s="1"/>
  <c r="H329" i="2"/>
  <c r="K329" i="2" s="1"/>
  <c r="K337" i="2"/>
  <c r="G313" i="2"/>
  <c r="H313" i="2"/>
  <c r="K313" i="2" s="1"/>
  <c r="K165" i="2"/>
  <c r="K193" i="2"/>
  <c r="K256" i="2"/>
  <c r="G279" i="2"/>
  <c r="H279" i="2"/>
  <c r="K279" i="2" s="1"/>
  <c r="G80" i="2"/>
  <c r="AF5" i="4" s="1"/>
  <c r="H80" i="2"/>
  <c r="K80" i="2" s="1"/>
  <c r="H299" i="2"/>
  <c r="K299" i="2" s="1"/>
  <c r="G299" i="2"/>
  <c r="H408" i="2"/>
  <c r="K408" i="2" s="1"/>
  <c r="G408" i="2"/>
  <c r="H527" i="2"/>
  <c r="K527" i="2" s="1"/>
  <c r="G527" i="2"/>
  <c r="G936" i="2"/>
  <c r="H936" i="2"/>
  <c r="K936" i="2" s="1"/>
  <c r="G198" i="2"/>
  <c r="H198" i="2"/>
  <c r="K198" i="2" s="1"/>
  <c r="K377" i="2"/>
  <c r="K437" i="2"/>
  <c r="H46" i="2"/>
  <c r="K46" i="2" s="1"/>
  <c r="G46" i="2"/>
  <c r="K148" i="2"/>
  <c r="G232" i="2"/>
  <c r="U232" i="2" s="1"/>
  <c r="H232" i="2"/>
  <c r="K232" i="2" s="1"/>
  <c r="G262" i="2"/>
  <c r="H262" i="2"/>
  <c r="K262" i="2" s="1"/>
  <c r="K381" i="2"/>
  <c r="H441" i="2"/>
  <c r="K441" i="2" s="1"/>
  <c r="G441" i="2"/>
  <c r="U441" i="2" s="1"/>
  <c r="H563" i="2"/>
  <c r="K563" i="2" s="1"/>
  <c r="G563" i="2"/>
  <c r="AZ8" i="4" s="1"/>
  <c r="K405" i="2"/>
  <c r="K472" i="2"/>
  <c r="H646" i="2"/>
  <c r="G646" i="2"/>
  <c r="BC19" i="4" s="1"/>
  <c r="H830" i="2"/>
  <c r="G830" i="2"/>
  <c r="G873" i="2"/>
  <c r="H873" i="2"/>
  <c r="K138" i="2"/>
  <c r="K145" i="2"/>
  <c r="K161" i="2"/>
  <c r="G164" i="2"/>
  <c r="H178" i="2"/>
  <c r="K178" i="2" s="1"/>
  <c r="K180" i="2"/>
  <c r="G186" i="2"/>
  <c r="K189" i="2"/>
  <c r="G218" i="2"/>
  <c r="G228" i="2"/>
  <c r="K245" i="2"/>
  <c r="K253" i="2"/>
  <c r="G267" i="2"/>
  <c r="U267" i="2" s="1"/>
  <c r="K293" i="2"/>
  <c r="U294" i="2"/>
  <c r="H310" i="2"/>
  <c r="G324" i="2"/>
  <c r="G337" i="2"/>
  <c r="G351" i="2"/>
  <c r="G405" i="2"/>
  <c r="G417" i="2"/>
  <c r="G435" i="2"/>
  <c r="T435" i="2" s="1"/>
  <c r="K464" i="2"/>
  <c r="K484" i="2"/>
  <c r="G506" i="2"/>
  <c r="H948" i="2"/>
  <c r="G948" i="2"/>
  <c r="BP9" i="4" s="1"/>
  <c r="K169" i="2"/>
  <c r="K197" i="2"/>
  <c r="K205" i="2"/>
  <c r="K261" i="2"/>
  <c r="K264" i="2"/>
  <c r="K270" i="2"/>
  <c r="G331" i="2"/>
  <c r="T331" i="2" s="1"/>
  <c r="K336" i="2"/>
  <c r="G357" i="2"/>
  <c r="K365" i="2"/>
  <c r="T433" i="2"/>
  <c r="G440" i="2"/>
  <c r="G453" i="2"/>
  <c r="G469" i="2"/>
  <c r="K489" i="2"/>
  <c r="K500" i="2"/>
  <c r="H512" i="2"/>
  <c r="K512" i="2" s="1"/>
  <c r="H555" i="2"/>
  <c r="K555" i="2" s="1"/>
  <c r="G555" i="2"/>
  <c r="G660" i="2"/>
  <c r="BD9" i="4" s="1"/>
  <c r="H660" i="2"/>
  <c r="K660" i="2" s="1"/>
  <c r="K742" i="2"/>
  <c r="G1036" i="2"/>
  <c r="BS25" i="4" s="1"/>
  <c r="H1036" i="2"/>
  <c r="H68" i="2"/>
  <c r="K68" i="2" s="1"/>
  <c r="K108" i="2"/>
  <c r="K113" i="2"/>
  <c r="K152" i="2"/>
  <c r="K177" i="2"/>
  <c r="K185" i="2"/>
  <c r="H188" i="2"/>
  <c r="K188" i="2" s="1"/>
  <c r="K217" i="2"/>
  <c r="H220" i="2"/>
  <c r="K220" i="2" s="1"/>
  <c r="K225" i="2"/>
  <c r="H234" i="2"/>
  <c r="K234" i="2" s="1"/>
  <c r="K283" i="2"/>
  <c r="K301" i="2"/>
  <c r="K323" i="2"/>
  <c r="G336" i="2"/>
  <c r="K351" i="2"/>
  <c r="G365" i="2"/>
  <c r="AR2" i="4" s="1"/>
  <c r="G381" i="2"/>
  <c r="K416" i="2"/>
  <c r="G437" i="2"/>
  <c r="H449" i="2"/>
  <c r="K449" i="2" s="1"/>
  <c r="K461" i="2"/>
  <c r="K476" i="2"/>
  <c r="K481" i="2"/>
  <c r="G489" i="2"/>
  <c r="H497" i="2"/>
  <c r="K497" i="2" s="1"/>
  <c r="G618" i="2"/>
  <c r="K623" i="2"/>
  <c r="K639" i="2"/>
  <c r="K772" i="2"/>
  <c r="H774" i="2"/>
  <c r="K774" i="2" s="1"/>
  <c r="G774" i="2"/>
  <c r="K249" i="2"/>
  <c r="K257" i="2"/>
  <c r="K269" i="2"/>
  <c r="K280" i="2"/>
  <c r="T310" i="2"/>
  <c r="K392" i="2"/>
  <c r="K424" i="2"/>
  <c r="H615" i="2"/>
  <c r="K615" i="2" s="1"/>
  <c r="G615" i="2"/>
  <c r="BB12" i="4" s="1"/>
  <c r="G664" i="2"/>
  <c r="U664" i="2" s="1"/>
  <c r="H664" i="2"/>
  <c r="K664" i="2" s="1"/>
  <c r="K859" i="2"/>
  <c r="K14" i="2"/>
  <c r="K63" i="2"/>
  <c r="K196" i="2"/>
  <c r="H204" i="2"/>
  <c r="K204" i="2" s="1"/>
  <c r="K233" i="2"/>
  <c r="H272" i="2"/>
  <c r="K272" i="2" s="1"/>
  <c r="G280" i="2"/>
  <c r="H285" i="2"/>
  <c r="K285" i="2" s="1"/>
  <c r="K303" i="2"/>
  <c r="U310" i="2"/>
  <c r="H317" i="2"/>
  <c r="K317" i="2" s="1"/>
  <c r="K325" i="2"/>
  <c r="K344" i="2"/>
  <c r="H367" i="2"/>
  <c r="K367" i="2" s="1"/>
  <c r="G377" i="2"/>
  <c r="K389" i="2"/>
  <c r="G392" i="2"/>
  <c r="G424" i="2"/>
  <c r="K445" i="2"/>
  <c r="H463" i="2"/>
  <c r="K463" i="2" s="1"/>
  <c r="K473" i="2"/>
  <c r="H483" i="2"/>
  <c r="K483" i="2" s="1"/>
  <c r="K488" i="2"/>
  <c r="K496" i="2"/>
  <c r="K499" i="2"/>
  <c r="G523" i="2"/>
  <c r="T523" i="2" s="1"/>
  <c r="H528" i="2"/>
  <c r="K528" i="2" s="1"/>
  <c r="H550" i="2"/>
  <c r="K550" i="2" s="1"/>
  <c r="G550" i="2"/>
  <c r="G571" i="2"/>
  <c r="U571" i="2" s="1"/>
  <c r="G744" i="2"/>
  <c r="H744" i="2"/>
  <c r="K744" i="2" s="1"/>
  <c r="H902" i="2"/>
  <c r="G902" i="2"/>
  <c r="K33" i="2"/>
  <c r="K54" i="2"/>
  <c r="K81" i="2"/>
  <c r="K88" i="2"/>
  <c r="K90" i="2"/>
  <c r="K157" i="2"/>
  <c r="K173" i="2"/>
  <c r="H176" i="2"/>
  <c r="K176" i="2" s="1"/>
  <c r="K181" i="2"/>
  <c r="K209" i="2"/>
  <c r="H214" i="2"/>
  <c r="K214" i="2" s="1"/>
  <c r="H222" i="2"/>
  <c r="K224" i="2"/>
  <c r="G238" i="2"/>
  <c r="AL19" i="4" s="1"/>
  <c r="K246" i="2"/>
  <c r="K248" i="2"/>
  <c r="K297" i="2"/>
  <c r="K319" i="2"/>
  <c r="H335" i="2"/>
  <c r="K376" i="2"/>
  <c r="G389" i="2"/>
  <c r="AS2" i="4" s="1"/>
  <c r="H395" i="2"/>
  <c r="K395" i="2" s="1"/>
  <c r="K432" i="2"/>
  <c r="K465" i="2"/>
  <c r="G473" i="2"/>
  <c r="T497" i="2"/>
  <c r="H554" i="2"/>
  <c r="K554" i="2" s="1"/>
  <c r="G554" i="2"/>
  <c r="G568" i="2"/>
  <c r="H568" i="2"/>
  <c r="K568" i="2" s="1"/>
  <c r="G596" i="2"/>
  <c r="H596" i="2"/>
  <c r="K596" i="2" s="1"/>
  <c r="H602" i="2"/>
  <c r="G602" i="2"/>
  <c r="BA23" i="4" s="1"/>
  <c r="K594" i="2"/>
  <c r="K599" i="2"/>
  <c r="K607" i="2"/>
  <c r="K873" i="2"/>
  <c r="G887" i="2"/>
  <c r="BM20" i="4" s="1"/>
  <c r="G906" i="2"/>
  <c r="G955" i="2"/>
  <c r="G962" i="2"/>
  <c r="BU5" i="4"/>
  <c r="U1064" i="2"/>
  <c r="G578" i="2"/>
  <c r="T578" i="2" s="1"/>
  <c r="G586" i="2"/>
  <c r="G594" i="2"/>
  <c r="G599" i="2"/>
  <c r="BA20" i="4" s="1"/>
  <c r="G667" i="2"/>
  <c r="BD16" i="4" s="1"/>
  <c r="K675" i="2"/>
  <c r="G730" i="2"/>
  <c r="H756" i="2"/>
  <c r="G782" i="2"/>
  <c r="G810" i="2"/>
  <c r="U810" i="2" s="1"/>
  <c r="G922" i="2"/>
  <c r="K928" i="2"/>
  <c r="G931" i="2"/>
  <c r="H935" i="2"/>
  <c r="K935" i="2" s="1"/>
  <c r="G938" i="2"/>
  <c r="G1010" i="2"/>
  <c r="T1010" i="2" s="1"/>
  <c r="G1127" i="2"/>
  <c r="H1127" i="2"/>
  <c r="G886" i="2"/>
  <c r="G908" i="2"/>
  <c r="G928" i="2"/>
  <c r="BO13" i="4" s="1"/>
  <c r="K954" i="2"/>
  <c r="G1055" i="2"/>
  <c r="T1055" i="2" s="1"/>
  <c r="H1055" i="2"/>
  <c r="G1067" i="2"/>
  <c r="U1067" i="2" s="1"/>
  <c r="K694" i="2"/>
  <c r="K755" i="2"/>
  <c r="K773" i="2"/>
  <c r="K819" i="2"/>
  <c r="K930" i="2"/>
  <c r="G954" i="2"/>
  <c r="K1023" i="2"/>
  <c r="G1080" i="2"/>
  <c r="H1080" i="2"/>
  <c r="G559" i="2"/>
  <c r="K580" i="2"/>
  <c r="H1058" i="2"/>
  <c r="G1058" i="2"/>
  <c r="BT23" i="4" s="1"/>
  <c r="G1095" i="2"/>
  <c r="BV12" i="4" s="1"/>
  <c r="H1095" i="2"/>
  <c r="K690" i="2"/>
  <c r="K857" i="2"/>
  <c r="K888" i="2"/>
  <c r="H900" i="2"/>
  <c r="K900" i="2" s="1"/>
  <c r="H963" i="2"/>
  <c r="K963" i="2" s="1"/>
  <c r="G978" i="2"/>
  <c r="U978" i="2" s="1"/>
  <c r="K1001" i="2"/>
  <c r="BU17" i="4"/>
  <c r="I1194" i="2"/>
  <c r="J1194" i="2" s="1"/>
  <c r="I1177" i="2"/>
  <c r="J1177" i="2" s="1"/>
  <c r="I1172" i="2"/>
  <c r="J1172" i="2" s="1"/>
  <c r="I1164" i="2"/>
  <c r="J1164" i="2" s="1"/>
  <c r="I1159" i="2"/>
  <c r="J1159" i="2" s="1"/>
  <c r="I1151" i="2"/>
  <c r="J1151" i="2" s="1"/>
  <c r="I1148" i="2"/>
  <c r="J1148" i="2" s="1"/>
  <c r="I1138" i="2"/>
  <c r="J1138" i="2" s="1"/>
  <c r="I1126" i="2"/>
  <c r="J1126" i="2" s="1"/>
  <c r="I1123" i="2"/>
  <c r="J1123" i="2" s="1"/>
  <c r="I1105" i="2"/>
  <c r="J1105" i="2" s="1"/>
  <c r="I1102" i="2"/>
  <c r="J1102" i="2" s="1"/>
  <c r="I1085" i="2"/>
  <c r="J1085" i="2" s="1"/>
  <c r="I1078" i="2"/>
  <c r="J1078" i="2" s="1"/>
  <c r="I1074" i="2"/>
  <c r="J1074" i="2" s="1"/>
  <c r="I1066" i="2"/>
  <c r="J1066" i="2" s="1"/>
  <c r="I1063" i="2"/>
  <c r="J1063" i="2" s="1"/>
  <c r="I1049" i="2"/>
  <c r="J1049" i="2" s="1"/>
  <c r="I1043" i="2"/>
  <c r="J1043" i="2" s="1"/>
  <c r="I1038" i="2"/>
  <c r="J1038" i="2" s="1"/>
  <c r="I1035" i="2"/>
  <c r="J1035" i="2" s="1"/>
  <c r="I1030" i="2"/>
  <c r="J1030" i="2" s="1"/>
  <c r="I1027" i="2"/>
  <c r="J1027" i="2" s="1"/>
  <c r="I1025" i="2"/>
  <c r="J1025" i="2" s="1"/>
  <c r="I1022" i="2"/>
  <c r="J1022" i="2" s="1"/>
  <c r="I1201" i="2"/>
  <c r="J1201" i="2" s="1"/>
  <c r="I1192" i="2"/>
  <c r="J1192" i="2" s="1"/>
  <c r="I1187" i="2"/>
  <c r="J1187" i="2" s="1"/>
  <c r="I1182" i="2"/>
  <c r="J1182" i="2" s="1"/>
  <c r="K1182" i="2" s="1"/>
  <c r="I1170" i="2"/>
  <c r="J1170" i="2" s="1"/>
  <c r="I1167" i="2"/>
  <c r="J1167" i="2" s="1"/>
  <c r="I1162" i="2"/>
  <c r="J1162" i="2" s="1"/>
  <c r="I1157" i="2"/>
  <c r="J1157" i="2" s="1"/>
  <c r="I1154" i="2"/>
  <c r="J1154" i="2" s="1"/>
  <c r="I1146" i="2"/>
  <c r="J1146" i="2" s="1"/>
  <c r="I1143" i="2"/>
  <c r="J1143" i="2" s="1"/>
  <c r="I1120" i="2"/>
  <c r="J1120" i="2" s="1"/>
  <c r="I1117" i="2"/>
  <c r="J1117" i="2" s="1"/>
  <c r="I1114" i="2"/>
  <c r="J1114" i="2" s="1"/>
  <c r="I1111" i="2"/>
  <c r="J1111" i="2" s="1"/>
  <c r="I1108" i="2"/>
  <c r="J1108" i="2" s="1"/>
  <c r="I1097" i="2"/>
  <c r="J1097" i="2" s="1"/>
  <c r="I1088" i="2"/>
  <c r="J1088" i="2" s="1"/>
  <c r="I1082" i="2"/>
  <c r="J1082" i="2" s="1"/>
  <c r="I1075" i="2"/>
  <c r="J1075" i="2" s="1"/>
  <c r="I1069" i="2"/>
  <c r="J1069" i="2" s="1"/>
  <c r="I1061" i="2"/>
  <c r="J1061" i="2" s="1"/>
  <c r="I1058" i="2"/>
  <c r="J1058" i="2" s="1"/>
  <c r="I1052" i="2"/>
  <c r="J1052" i="2" s="1"/>
  <c r="I1047" i="2"/>
  <c r="J1047" i="2" s="1"/>
  <c r="I1033" i="2"/>
  <c r="J1033" i="2" s="1"/>
  <c r="I1017" i="2"/>
  <c r="J1017" i="2" s="1"/>
  <c r="I1014" i="2"/>
  <c r="J1014" i="2" s="1"/>
  <c r="I1204" i="2"/>
  <c r="J1204" i="2" s="1"/>
  <c r="I1199" i="2"/>
  <c r="J1199" i="2" s="1"/>
  <c r="I1185" i="2"/>
  <c r="J1185" i="2" s="1"/>
  <c r="I1180" i="2"/>
  <c r="J1180" i="2" s="1"/>
  <c r="I1175" i="2"/>
  <c r="J1175" i="2" s="1"/>
  <c r="I1149" i="2"/>
  <c r="J1149" i="2" s="1"/>
  <c r="I1141" i="2"/>
  <c r="J1141" i="2" s="1"/>
  <c r="I1136" i="2"/>
  <c r="J1136" i="2" s="1"/>
  <c r="I1133" i="2"/>
  <c r="J1133" i="2" s="1"/>
  <c r="I1130" i="2"/>
  <c r="J1130" i="2" s="1"/>
  <c r="I1124" i="2"/>
  <c r="J1124" i="2" s="1"/>
  <c r="I1103" i="2"/>
  <c r="J1103" i="2" s="1"/>
  <c r="I1100" i="2"/>
  <c r="J1100" i="2" s="1"/>
  <c r="I1094" i="2"/>
  <c r="J1094" i="2" s="1"/>
  <c r="I1091" i="2"/>
  <c r="J1091" i="2" s="1"/>
  <c r="I1072" i="2"/>
  <c r="J1072" i="2" s="1"/>
  <c r="I1055" i="2"/>
  <c r="J1055" i="2" s="1"/>
  <c r="I1041" i="2"/>
  <c r="J1041" i="2" s="1"/>
  <c r="I1036" i="2"/>
  <c r="J1036" i="2" s="1"/>
  <c r="I1020" i="2"/>
  <c r="J1020" i="2" s="1"/>
  <c r="I1010" i="2"/>
  <c r="J1010" i="2" s="1"/>
  <c r="I1000" i="2"/>
  <c r="J1000" i="2" s="1"/>
  <c r="I995" i="2"/>
  <c r="J995" i="2" s="1"/>
  <c r="I1202" i="2"/>
  <c r="J1202" i="2" s="1"/>
  <c r="I1197" i="2"/>
  <c r="J1197" i="2" s="1"/>
  <c r="I1190" i="2"/>
  <c r="J1190" i="2" s="1"/>
  <c r="I1183" i="2"/>
  <c r="J1183" i="2" s="1"/>
  <c r="I1178" i="2"/>
  <c r="J1178" i="2" s="1"/>
  <c r="I1173" i="2"/>
  <c r="J1173" i="2" s="1"/>
  <c r="I1165" i="2"/>
  <c r="J1165" i="2" s="1"/>
  <c r="I1160" i="2"/>
  <c r="J1160" i="2" s="1"/>
  <c r="I1152" i="2"/>
  <c r="J1152" i="2" s="1"/>
  <c r="I1127" i="2"/>
  <c r="J1127" i="2" s="1"/>
  <c r="I1121" i="2"/>
  <c r="J1121" i="2" s="1"/>
  <c r="I1118" i="2"/>
  <c r="J1118" i="2" s="1"/>
  <c r="I1109" i="2"/>
  <c r="J1109" i="2" s="1"/>
  <c r="I1106" i="2"/>
  <c r="J1106" i="2" s="1"/>
  <c r="I1086" i="2"/>
  <c r="J1086" i="2" s="1"/>
  <c r="I1083" i="2"/>
  <c r="J1083" i="2" s="1"/>
  <c r="I1079" i="2"/>
  <c r="J1079" i="2" s="1"/>
  <c r="I1067" i="2"/>
  <c r="J1067" i="2" s="1"/>
  <c r="K1067" i="2" s="1"/>
  <c r="I1064" i="2"/>
  <c r="J1064" i="2" s="1"/>
  <c r="I1050" i="2"/>
  <c r="J1050" i="2" s="1"/>
  <c r="K1050" i="2" s="1"/>
  <c r="I1044" i="2"/>
  <c r="J1044" i="2" s="1"/>
  <c r="I1028" i="2"/>
  <c r="J1028" i="2" s="1"/>
  <c r="I1008" i="2"/>
  <c r="J1008" i="2" s="1"/>
  <c r="I1005" i="2"/>
  <c r="J1005" i="2" s="1"/>
  <c r="I998" i="2"/>
  <c r="J998" i="2" s="1"/>
  <c r="K998" i="2" s="1"/>
  <c r="I988" i="2"/>
  <c r="J988" i="2" s="1"/>
  <c r="I983" i="2"/>
  <c r="J983" i="2" s="1"/>
  <c r="I981" i="2"/>
  <c r="J981" i="2" s="1"/>
  <c r="K981" i="2" s="1"/>
  <c r="I978" i="2"/>
  <c r="J978" i="2" s="1"/>
  <c r="I1195" i="2"/>
  <c r="J1195" i="2" s="1"/>
  <c r="I1188" i="2"/>
  <c r="J1188" i="2" s="1"/>
  <c r="I1168" i="2"/>
  <c r="J1168" i="2" s="1"/>
  <c r="I1158" i="2"/>
  <c r="J1158" i="2" s="1"/>
  <c r="I1155" i="2"/>
  <c r="J1155" i="2" s="1"/>
  <c r="I1150" i="2"/>
  <c r="J1150" i="2" s="1"/>
  <c r="I1144" i="2"/>
  <c r="J1144" i="2" s="1"/>
  <c r="I1139" i="2"/>
  <c r="J1139" i="2" s="1"/>
  <c r="K1139" i="2" s="1"/>
  <c r="I1131" i="2"/>
  <c r="J1131" i="2" s="1"/>
  <c r="I1115" i="2"/>
  <c r="J1115" i="2" s="1"/>
  <c r="I1112" i="2"/>
  <c r="J1112" i="2" s="1"/>
  <c r="I1198" i="2"/>
  <c r="J1198" i="2" s="1"/>
  <c r="I1191" i="2"/>
  <c r="J1191" i="2" s="1"/>
  <c r="I1186" i="2"/>
  <c r="J1186" i="2" s="1"/>
  <c r="I1184" i="2"/>
  <c r="J1184" i="2" s="1"/>
  <c r="I1174" i="2"/>
  <c r="J1174" i="2" s="1"/>
  <c r="I1169" i="2"/>
  <c r="J1169" i="2" s="1"/>
  <c r="I1166" i="2"/>
  <c r="J1166" i="2" s="1"/>
  <c r="I1161" i="2"/>
  <c r="J1161" i="2" s="1"/>
  <c r="I1156" i="2"/>
  <c r="J1156" i="2" s="1"/>
  <c r="I1153" i="2"/>
  <c r="J1153" i="2" s="1"/>
  <c r="I1145" i="2"/>
  <c r="J1145" i="2" s="1"/>
  <c r="I1119" i="2"/>
  <c r="J1119" i="2" s="1"/>
  <c r="I1113" i="2"/>
  <c r="J1113" i="2" s="1"/>
  <c r="I1110" i="2"/>
  <c r="J1110" i="2" s="1"/>
  <c r="I1107" i="2"/>
  <c r="J1107" i="2" s="1"/>
  <c r="I1087" i="2"/>
  <c r="J1087" i="2" s="1"/>
  <c r="I1084" i="2"/>
  <c r="J1084" i="2" s="1"/>
  <c r="I1077" i="2"/>
  <c r="J1077" i="2" s="1"/>
  <c r="I1068" i="2"/>
  <c r="J1068" i="2" s="1"/>
  <c r="I1051" i="2"/>
  <c r="J1051" i="2" s="1"/>
  <c r="K1051" i="2" s="1"/>
  <c r="I1046" i="2"/>
  <c r="J1046" i="2" s="1"/>
  <c r="K1046" i="2" s="1"/>
  <c r="I1032" i="2"/>
  <c r="J1032" i="2" s="1"/>
  <c r="I1029" i="2"/>
  <c r="J1029" i="2" s="1"/>
  <c r="K1029" i="2" s="1"/>
  <c r="I1011" i="2"/>
  <c r="J1011" i="2" s="1"/>
  <c r="F1132" i="2"/>
  <c r="G1132" i="2" s="1"/>
  <c r="T1132" i="2" s="1"/>
  <c r="F1129" i="2"/>
  <c r="G1129" i="2" s="1"/>
  <c r="F1119" i="2"/>
  <c r="F1116" i="2"/>
  <c r="G1116" i="2" s="1"/>
  <c r="F1113" i="2"/>
  <c r="F1107" i="2"/>
  <c r="F1093" i="2"/>
  <c r="G1093" i="2" s="1"/>
  <c r="U1093" i="2" s="1"/>
  <c r="F1090" i="2"/>
  <c r="H1090" i="2" s="1"/>
  <c r="F1087" i="2"/>
  <c r="F1081" i="2"/>
  <c r="F1060" i="2"/>
  <c r="G1060" i="2" s="1"/>
  <c r="T1060" i="2" s="1"/>
  <c r="F1057" i="2"/>
  <c r="H1057" i="2" s="1"/>
  <c r="K1057" i="2" s="1"/>
  <c r="F1040" i="2"/>
  <c r="F1032" i="2"/>
  <c r="F1024" i="2"/>
  <c r="F1138" i="2"/>
  <c r="G1138" i="2" s="1"/>
  <c r="F1126" i="2"/>
  <c r="G1126" i="2" s="1"/>
  <c r="F1105" i="2"/>
  <c r="G1105" i="2" s="1"/>
  <c r="U1105" i="2" s="1"/>
  <c r="F1102" i="2"/>
  <c r="G1102" i="2" s="1"/>
  <c r="F1099" i="2"/>
  <c r="F1096" i="2"/>
  <c r="F1078" i="2"/>
  <c r="F1074" i="2"/>
  <c r="F1066" i="2"/>
  <c r="H1066" i="2" s="1"/>
  <c r="F1063" i="2"/>
  <c r="F1049" i="2"/>
  <c r="F1043" i="2"/>
  <c r="H1043" i="2" s="1"/>
  <c r="F1035" i="2"/>
  <c r="H1035" i="2" s="1"/>
  <c r="F1027" i="2"/>
  <c r="H1027" i="2" s="1"/>
  <c r="F1025" i="2"/>
  <c r="H1025" i="2" s="1"/>
  <c r="F1019" i="2"/>
  <c r="H1019" i="2" s="1"/>
  <c r="F1016" i="2"/>
  <c r="F1135" i="2"/>
  <c r="F1123" i="2"/>
  <c r="F1120" i="2"/>
  <c r="G1120" i="2" s="1"/>
  <c r="T1120" i="2" s="1"/>
  <c r="F1114" i="2"/>
  <c r="H1114" i="2" s="1"/>
  <c r="F1108" i="2"/>
  <c r="G1108" i="2" s="1"/>
  <c r="T1108" i="2" s="1"/>
  <c r="F1097" i="2"/>
  <c r="F1088" i="2"/>
  <c r="G1088" i="2" s="1"/>
  <c r="BV5" i="4" s="1"/>
  <c r="F1085" i="2"/>
  <c r="F1082" i="2"/>
  <c r="H1082" i="2" s="1"/>
  <c r="K1082" i="2" s="1"/>
  <c r="F1071" i="2"/>
  <c r="F1069" i="2"/>
  <c r="G1069" i="2" s="1"/>
  <c r="BU10" i="4" s="1"/>
  <c r="F1054" i="2"/>
  <c r="F1052" i="2"/>
  <c r="G1052" i="2" s="1"/>
  <c r="BT17" i="4" s="1"/>
  <c r="F1047" i="2"/>
  <c r="H1047" i="2" s="1"/>
  <c r="K1047" i="2" s="1"/>
  <c r="F1038" i="2"/>
  <c r="F1033" i="2"/>
  <c r="H1033" i="2" s="1"/>
  <c r="F1022" i="2"/>
  <c r="F1017" i="2"/>
  <c r="H1017" i="2" s="1"/>
  <c r="F1014" i="2"/>
  <c r="H1014" i="2" s="1"/>
  <c r="F1012" i="2"/>
  <c r="F1007" i="2"/>
  <c r="H1007" i="2" s="1"/>
  <c r="F1133" i="2"/>
  <c r="F1130" i="2"/>
  <c r="H1130" i="2" s="1"/>
  <c r="F1117" i="2"/>
  <c r="F1111" i="2"/>
  <c r="F1100" i="2"/>
  <c r="G1100" i="2" s="1"/>
  <c r="T1100" i="2" s="1"/>
  <c r="F1094" i="2"/>
  <c r="H1094" i="2" s="1"/>
  <c r="F1091" i="2"/>
  <c r="H1091" i="2" s="1"/>
  <c r="F1072" i="2"/>
  <c r="G1072" i="2" s="1"/>
  <c r="BU13" i="4" s="1"/>
  <c r="F1061" i="2"/>
  <c r="F1041" i="2"/>
  <c r="H1041" i="2" s="1"/>
  <c r="F1030" i="2"/>
  <c r="F1002" i="2"/>
  <c r="F1000" i="2"/>
  <c r="G1000" i="2" s="1"/>
  <c r="BR13" i="4" s="1"/>
  <c r="F995" i="2"/>
  <c r="H995" i="2" s="1"/>
  <c r="F993" i="2"/>
  <c r="H993" i="2" s="1"/>
  <c r="K993" i="2" s="1"/>
  <c r="F980" i="2"/>
  <c r="BX26" i="4"/>
  <c r="AR26" i="4"/>
  <c r="F1202" i="2"/>
  <c r="F1197" i="2"/>
  <c r="H1197" i="2" s="1"/>
  <c r="K1197" i="2" s="1"/>
  <c r="F1190" i="2"/>
  <c r="G1190" i="2" s="1"/>
  <c r="F1178" i="2"/>
  <c r="H1178" i="2" s="1"/>
  <c r="F1173" i="2"/>
  <c r="G1173" i="2" s="1"/>
  <c r="U1173" i="2" s="1"/>
  <c r="F1165" i="2"/>
  <c r="F1160" i="2"/>
  <c r="G1160" i="2" s="1"/>
  <c r="T1160" i="2" s="1"/>
  <c r="F1152" i="2"/>
  <c r="F1149" i="2"/>
  <c r="F1124" i="2"/>
  <c r="F1121" i="2"/>
  <c r="G1121" i="2" s="1"/>
  <c r="U1121" i="2" s="1"/>
  <c r="F1118" i="2"/>
  <c r="H1118" i="2" s="1"/>
  <c r="F1109" i="2"/>
  <c r="G1109" i="2" s="1"/>
  <c r="U1109" i="2" s="1"/>
  <c r="F1142" i="2"/>
  <c r="F1137" i="2"/>
  <c r="H1137" i="2" s="1"/>
  <c r="F1134" i="2"/>
  <c r="G1134" i="2" s="1"/>
  <c r="F1125" i="2"/>
  <c r="G1125" i="2" s="1"/>
  <c r="F1122" i="2"/>
  <c r="F1115" i="2"/>
  <c r="F1104" i="2"/>
  <c r="G1104" i="2" s="1"/>
  <c r="T1104" i="2" s="1"/>
  <c r="F1101" i="2"/>
  <c r="F1092" i="2"/>
  <c r="F1083" i="2"/>
  <c r="F1073" i="2"/>
  <c r="G1073" i="2" s="1"/>
  <c r="U1073" i="2" s="1"/>
  <c r="F1070" i="2"/>
  <c r="H1070" i="2" s="1"/>
  <c r="K1070" i="2" s="1"/>
  <c r="F1065" i="2"/>
  <c r="G1065" i="2" s="1"/>
  <c r="F1062" i="2"/>
  <c r="F1056" i="2"/>
  <c r="G1056" i="2" s="1"/>
  <c r="F1053" i="2"/>
  <c r="H1053" i="2" s="1"/>
  <c r="F1045" i="2"/>
  <c r="F1037" i="2"/>
  <c r="H1037" i="2" s="1"/>
  <c r="F1034" i="2"/>
  <c r="F1021" i="2"/>
  <c r="F1018" i="2"/>
  <c r="F1015" i="2"/>
  <c r="H1015" i="2" s="1"/>
  <c r="F1013" i="2"/>
  <c r="H1013" i="2" s="1"/>
  <c r="K1013" i="2" s="1"/>
  <c r="F1003" i="2"/>
  <c r="H1003" i="2" s="1"/>
  <c r="K1003" i="2" s="1"/>
  <c r="F1147" i="2"/>
  <c r="F1155" i="2"/>
  <c r="F1163" i="2"/>
  <c r="F1171" i="2"/>
  <c r="H1171" i="2" s="1"/>
  <c r="K1171" i="2" s="1"/>
  <c r="F1176" i="2"/>
  <c r="F1181" i="2"/>
  <c r="G1181" i="2" s="1"/>
  <c r="U1181" i="2" s="1"/>
  <c r="F1183" i="2"/>
  <c r="F1193" i="2"/>
  <c r="H1193" i="2" s="1"/>
  <c r="F1200" i="2"/>
  <c r="G1200" i="2" s="1"/>
  <c r="T1200" i="2" s="1"/>
  <c r="AJ26" i="4"/>
  <c r="BP26" i="4"/>
  <c r="F201" i="2"/>
  <c r="F1136" i="2"/>
  <c r="F1141" i="2"/>
  <c r="G1141" i="2" s="1"/>
  <c r="U1141" i="2" s="1"/>
  <c r="F1167" i="2"/>
  <c r="F1175" i="2"/>
  <c r="H1175" i="2" s="1"/>
  <c r="K1175" i="2" s="1"/>
  <c r="F1180" i="2"/>
  <c r="G1180" i="2" s="1"/>
  <c r="BY25" i="4" s="1"/>
  <c r="F1185" i="2"/>
  <c r="F1187" i="2"/>
  <c r="F1199" i="2"/>
  <c r="F1204" i="2"/>
  <c r="H1204" i="2" s="1"/>
  <c r="K1204" i="2" s="1"/>
  <c r="AV26" i="4"/>
  <c r="F532" i="2"/>
  <c r="F1143" i="2"/>
  <c r="H1143" i="2" s="1"/>
  <c r="F1146" i="2"/>
  <c r="G1146" i="2" s="1"/>
  <c r="F1154" i="2"/>
  <c r="F1157" i="2"/>
  <c r="F1162" i="2"/>
  <c r="H1162" i="2" s="1"/>
  <c r="F1170" i="2"/>
  <c r="G1170" i="2" s="1"/>
  <c r="F1182" i="2"/>
  <c r="H1182" i="2" s="1"/>
  <c r="F1192" i="2"/>
  <c r="G1192" i="2" s="1"/>
  <c r="BZ13" i="4" s="1"/>
  <c r="F1201" i="2"/>
  <c r="H1201" i="2" s="1"/>
  <c r="K1201" i="2" s="1"/>
  <c r="AZ26" i="4"/>
  <c r="F771" i="2"/>
  <c r="H771" i="2" s="1"/>
  <c r="K771" i="2" s="1"/>
  <c r="F1148" i="2"/>
  <c r="G1148" i="2" s="1"/>
  <c r="U1148" i="2" s="1"/>
  <c r="F1151" i="2"/>
  <c r="F1159" i="2"/>
  <c r="F1164" i="2"/>
  <c r="F1172" i="2"/>
  <c r="G1172" i="2" s="1"/>
  <c r="F1177" i="2"/>
  <c r="F1194" i="2"/>
  <c r="BD26" i="4"/>
  <c r="F795" i="2"/>
  <c r="F1140" i="2"/>
  <c r="F1145" i="2"/>
  <c r="F1156" i="2"/>
  <c r="F1169" i="2"/>
  <c r="F1179" i="2"/>
  <c r="F1189" i="2"/>
  <c r="H1189" i="2" s="1"/>
  <c r="K1189" i="2" s="1"/>
  <c r="F1191" i="2"/>
  <c r="F1196" i="2"/>
  <c r="F1203" i="2"/>
  <c r="G100" i="2"/>
  <c r="AF25" i="4" s="1"/>
  <c r="G88" i="2"/>
  <c r="AF13" i="4" s="1"/>
  <c r="H94" i="2"/>
  <c r="K94" i="2" s="1"/>
  <c r="G90" i="2"/>
  <c r="AF15" i="4" s="1"/>
  <c r="K129" i="2"/>
  <c r="G110" i="2"/>
  <c r="T110" i="2" s="1"/>
  <c r="K132" i="2"/>
  <c r="K137" i="2"/>
  <c r="K93" i="2"/>
  <c r="K109" i="2"/>
  <c r="H112" i="2"/>
  <c r="K112" i="2" s="1"/>
  <c r="K117" i="2"/>
  <c r="H126" i="2"/>
  <c r="K126" i="2" s="1"/>
  <c r="G142" i="2"/>
  <c r="AH19" i="4" s="1"/>
  <c r="K77" i="2"/>
  <c r="K101" i="2"/>
  <c r="K106" i="2"/>
  <c r="H134" i="2"/>
  <c r="K134" i="2" s="1"/>
  <c r="K141" i="2"/>
  <c r="K97" i="2"/>
  <c r="H114" i="2"/>
  <c r="K114" i="2" s="1"/>
  <c r="K116" i="2"/>
  <c r="G130" i="2"/>
  <c r="K133" i="2"/>
  <c r="K125" i="2"/>
  <c r="K100" i="2"/>
  <c r="K105" i="2"/>
  <c r="K121" i="2"/>
  <c r="H124" i="2"/>
  <c r="K124" i="2" s="1"/>
  <c r="K6" i="2"/>
  <c r="K9" i="2"/>
  <c r="K21" i="2"/>
  <c r="H24" i="2"/>
  <c r="K24" i="2" s="1"/>
  <c r="K26" i="2"/>
  <c r="H48" i="2"/>
  <c r="K48" i="2" s="1"/>
  <c r="K58" i="2"/>
  <c r="K69" i="2"/>
  <c r="G74" i="2"/>
  <c r="AE23" i="4" s="1"/>
  <c r="K18" i="2"/>
  <c r="K60" i="2"/>
  <c r="H11" i="2"/>
  <c r="K11" i="2" s="1"/>
  <c r="G18" i="2"/>
  <c r="U18" i="2" s="1"/>
  <c r="K38" i="2"/>
  <c r="H50" i="2"/>
  <c r="K50" i="2" s="1"/>
  <c r="K71" i="2"/>
  <c r="H76" i="2"/>
  <c r="K76" i="2" s="1"/>
  <c r="K30" i="2"/>
  <c r="K40" i="2"/>
  <c r="K52" i="2"/>
  <c r="K65" i="2"/>
  <c r="K73" i="2"/>
  <c r="K10" i="2"/>
  <c r="K22" i="2"/>
  <c r="G22" i="2"/>
  <c r="T22" i="2" s="1"/>
  <c r="K34" i="2"/>
  <c r="K44" i="2"/>
  <c r="K64" i="2"/>
  <c r="H27" i="2"/>
  <c r="K27" i="2" s="1"/>
  <c r="G34" i="2"/>
  <c r="T34" i="2" s="1"/>
  <c r="K39" i="2"/>
  <c r="K56" i="2"/>
  <c r="K61" i="2"/>
  <c r="K62" i="2"/>
  <c r="G64" i="2"/>
  <c r="T64" i="2" s="1"/>
  <c r="G31" i="2"/>
  <c r="T31" i="2" s="1"/>
  <c r="H31" i="2"/>
  <c r="K31" i="2" s="1"/>
  <c r="H86" i="2"/>
  <c r="K86" i="2" s="1"/>
  <c r="G86" i="2"/>
  <c r="H192" i="2"/>
  <c r="K192" i="2" s="1"/>
  <c r="G192" i="2"/>
  <c r="H291" i="2"/>
  <c r="K291" i="2" s="1"/>
  <c r="G291" i="2"/>
  <c r="U291" i="2" s="1"/>
  <c r="H595" i="2"/>
  <c r="K595" i="2" s="1"/>
  <c r="G595" i="2"/>
  <c r="U595" i="2" s="1"/>
  <c r="G278" i="2"/>
  <c r="H278" i="2"/>
  <c r="K278" i="2" s="1"/>
  <c r="G460" i="2"/>
  <c r="G540" i="2"/>
  <c r="H540" i="2"/>
  <c r="K540" i="2" s="1"/>
  <c r="G12" i="2"/>
  <c r="H12" i="2"/>
  <c r="K12" i="2" s="1"/>
  <c r="G28" i="2"/>
  <c r="AC25" i="4" s="1"/>
  <c r="H28" i="2"/>
  <c r="K28" i="2" s="1"/>
  <c r="G52" i="2"/>
  <c r="G60" i="2"/>
  <c r="T60" i="2" s="1"/>
  <c r="H200" i="2"/>
  <c r="K200" i="2" s="1"/>
  <c r="H216" i="2"/>
  <c r="K216" i="2" s="1"/>
  <c r="H244" i="2"/>
  <c r="K244" i="2" s="1"/>
  <c r="G266" i="2"/>
  <c r="U266" i="2" s="1"/>
  <c r="H266" i="2"/>
  <c r="K266" i="2" s="1"/>
  <c r="AN5" i="4"/>
  <c r="U272" i="2"/>
  <c r="H368" i="2"/>
  <c r="K368" i="2" s="1"/>
  <c r="G368" i="2"/>
  <c r="U368" i="2" s="1"/>
  <c r="G379" i="2"/>
  <c r="T379" i="2" s="1"/>
  <c r="H379" i="2"/>
  <c r="AS21" i="4"/>
  <c r="T408" i="2"/>
  <c r="H423" i="2"/>
  <c r="K423" i="2" s="1"/>
  <c r="G423" i="2"/>
  <c r="H429" i="2"/>
  <c r="K429" i="2" s="1"/>
  <c r="G429" i="2"/>
  <c r="U429" i="2" s="1"/>
  <c r="AZ16" i="4"/>
  <c r="T571" i="2"/>
  <c r="H150" i="2"/>
  <c r="K150" i="2" s="1"/>
  <c r="G150" i="2"/>
  <c r="AI3" i="4" s="1"/>
  <c r="H400" i="2"/>
  <c r="K400" i="2" s="1"/>
  <c r="G400" i="2"/>
  <c r="H582" i="2"/>
  <c r="G582" i="2"/>
  <c r="BA3" i="4" s="1"/>
  <c r="H72" i="2"/>
  <c r="K72" i="2" s="1"/>
  <c r="H136" i="2"/>
  <c r="K136" i="2" s="1"/>
  <c r="AL25" i="4"/>
  <c r="T244" i="2"/>
  <c r="AM9" i="4"/>
  <c r="T252" i="2"/>
  <c r="H360" i="2"/>
  <c r="K360" i="2" s="1"/>
  <c r="G360" i="2"/>
  <c r="H574" i="2"/>
  <c r="K574" i="2" s="1"/>
  <c r="G574" i="2"/>
  <c r="AC3" i="4"/>
  <c r="T6" i="2"/>
  <c r="G41" i="2"/>
  <c r="H41" i="2"/>
  <c r="H96" i="2"/>
  <c r="K96" i="2" s="1"/>
  <c r="G96" i="2"/>
  <c r="AF21" i="4" s="1"/>
  <c r="H160" i="2"/>
  <c r="K160" i="2" s="1"/>
  <c r="G160" i="2"/>
  <c r="AI13" i="4" s="1"/>
  <c r="AN18" i="4"/>
  <c r="T285" i="2"/>
  <c r="H312" i="2"/>
  <c r="K312" i="2" s="1"/>
  <c r="G312" i="2"/>
  <c r="U312" i="2" s="1"/>
  <c r="AQ18" i="4"/>
  <c r="T357" i="2"/>
  <c r="H420" i="2"/>
  <c r="K420" i="2" s="1"/>
  <c r="H456" i="2"/>
  <c r="K456" i="2" s="1"/>
  <c r="G456" i="2"/>
  <c r="U456" i="2" s="1"/>
  <c r="G15" i="2"/>
  <c r="AC12" i="4" s="1"/>
  <c r="H15" i="2"/>
  <c r="K15" i="2" s="1"/>
  <c r="G286" i="2"/>
  <c r="T286" i="2" s="1"/>
  <c r="H286" i="2"/>
  <c r="H277" i="2"/>
  <c r="K277" i="2" s="1"/>
  <c r="G277" i="2"/>
  <c r="AN10" i="4" s="1"/>
  <c r="G712" i="2"/>
  <c r="H712" i="2"/>
  <c r="K712" i="2" s="1"/>
  <c r="H118" i="2"/>
  <c r="K118" i="2" s="1"/>
  <c r="G118" i="2"/>
  <c r="H226" i="2"/>
  <c r="K226" i="2" s="1"/>
  <c r="G226" i="2"/>
  <c r="AL7" i="4" s="1"/>
  <c r="AL21" i="4"/>
  <c r="T240" i="2"/>
  <c r="H19" i="2"/>
  <c r="K19" i="2" s="1"/>
  <c r="H104" i="2"/>
  <c r="K104" i="2" s="1"/>
  <c r="H168" i="2"/>
  <c r="K168" i="2" s="1"/>
  <c r="H353" i="2"/>
  <c r="K353" i="2" s="1"/>
  <c r="G353" i="2"/>
  <c r="AU2" i="4"/>
  <c r="T437" i="2"/>
  <c r="H42" i="2"/>
  <c r="K42" i="2" s="1"/>
  <c r="G42" i="2"/>
  <c r="AD15" i="4" s="1"/>
  <c r="H206" i="2"/>
  <c r="K206" i="2" s="1"/>
  <c r="G206" i="2"/>
  <c r="AP22" i="4"/>
  <c r="T337" i="2"/>
  <c r="H182" i="2"/>
  <c r="K182" i="2" s="1"/>
  <c r="G182" i="2"/>
  <c r="H333" i="2"/>
  <c r="K333" i="2" s="1"/>
  <c r="G333" i="2"/>
  <c r="T333" i="2" s="1"/>
  <c r="H16" i="2"/>
  <c r="K16" i="2" s="1"/>
  <c r="H32" i="2"/>
  <c r="K32" i="2" s="1"/>
  <c r="H43" i="2"/>
  <c r="G56" i="2"/>
  <c r="H210" i="2"/>
  <c r="K210" i="2" s="1"/>
  <c r="H212" i="2"/>
  <c r="K212" i="2" s="1"/>
  <c r="G212" i="2"/>
  <c r="AK17" i="4" s="1"/>
  <c r="AK25" i="4"/>
  <c r="T220" i="2"/>
  <c r="H276" i="2"/>
  <c r="K276" i="2" s="1"/>
  <c r="G276" i="2"/>
  <c r="G282" i="2"/>
  <c r="H282" i="2"/>
  <c r="K282" i="2" s="1"/>
  <c r="G305" i="2"/>
  <c r="AO14" i="4" s="1"/>
  <c r="H305" i="2"/>
  <c r="K305" i="2" s="1"/>
  <c r="H364" i="2"/>
  <c r="K364" i="2" s="1"/>
  <c r="G364" i="2"/>
  <c r="AW6" i="4"/>
  <c r="T489" i="2"/>
  <c r="G680" i="2"/>
  <c r="H680" i="2"/>
  <c r="K680" i="2" s="1"/>
  <c r="H348" i="2"/>
  <c r="K348" i="2" s="1"/>
  <c r="G348" i="2"/>
  <c r="AR13" i="4"/>
  <c r="AS22" i="4"/>
  <c r="T409" i="2"/>
  <c r="G292" i="2"/>
  <c r="AN25" i="4" s="1"/>
  <c r="H292" i="2"/>
  <c r="K292" i="2" s="1"/>
  <c r="BE8" i="4"/>
  <c r="T683" i="2"/>
  <c r="H35" i="2"/>
  <c r="K35" i="2" s="1"/>
  <c r="AD7" i="4"/>
  <c r="H128" i="2"/>
  <c r="K128" i="2" s="1"/>
  <c r="G128" i="2"/>
  <c r="AH5" i="4" s="1"/>
  <c r="H236" i="2"/>
  <c r="K236" i="2" s="1"/>
  <c r="G236" i="2"/>
  <c r="U236" i="2" s="1"/>
  <c r="G258" i="2"/>
  <c r="H258" i="2"/>
  <c r="K258" i="2" s="1"/>
  <c r="AM21" i="4"/>
  <c r="T264" i="2"/>
  <c r="G302" i="2"/>
  <c r="H302" i="2"/>
  <c r="K302" i="2" s="1"/>
  <c r="H332" i="2"/>
  <c r="K332" i="2" s="1"/>
  <c r="G332" i="2"/>
  <c r="G383" i="2"/>
  <c r="T383" i="2" s="1"/>
  <c r="H383" i="2"/>
  <c r="K383" i="2" s="1"/>
  <c r="H551" i="2"/>
  <c r="K551" i="2" s="1"/>
  <c r="G551" i="2"/>
  <c r="H372" i="2"/>
  <c r="K372" i="2" s="1"/>
  <c r="G372" i="2"/>
  <c r="U372" i="2" s="1"/>
  <c r="T389" i="2"/>
  <c r="H412" i="2"/>
  <c r="K412" i="2" s="1"/>
  <c r="G412" i="2"/>
  <c r="G548" i="2"/>
  <c r="H548" i="2"/>
  <c r="K548" i="2" s="1"/>
  <c r="H562" i="2"/>
  <c r="K562" i="2" s="1"/>
  <c r="G562" i="2"/>
  <c r="G576" i="2"/>
  <c r="H576" i="2"/>
  <c r="K576" i="2" s="1"/>
  <c r="H590" i="2"/>
  <c r="K590" i="2" s="1"/>
  <c r="G590" i="2"/>
  <c r="H598" i="2"/>
  <c r="G598" i="2"/>
  <c r="G644" i="2"/>
  <c r="U644" i="2" s="1"/>
  <c r="H644" i="2"/>
  <c r="G762" i="2"/>
  <c r="BH15" i="4" s="1"/>
  <c r="H762" i="2"/>
  <c r="G920" i="2"/>
  <c r="BO5" i="4" s="1"/>
  <c r="H920" i="2"/>
  <c r="K920" i="2" s="1"/>
  <c r="G524" i="2"/>
  <c r="T524" i="2" s="1"/>
  <c r="H524" i="2"/>
  <c r="K524" i="2" s="1"/>
  <c r="AZ4" i="4"/>
  <c r="H567" i="2"/>
  <c r="G567" i="2"/>
  <c r="U567" i="2" s="1"/>
  <c r="G592" i="2"/>
  <c r="H606" i="2"/>
  <c r="K606" i="2" s="1"/>
  <c r="G606" i="2"/>
  <c r="BB3" i="4" s="1"/>
  <c r="G614" i="2"/>
  <c r="H663" i="2"/>
  <c r="K663" i="2" s="1"/>
  <c r="G663" i="2"/>
  <c r="BD12" i="4" s="1"/>
  <c r="G820" i="2"/>
  <c r="H820" i="2"/>
  <c r="K820" i="2" s="1"/>
  <c r="H328" i="2"/>
  <c r="K328" i="2" s="1"/>
  <c r="G328" i="2"/>
  <c r="T328" i="2" s="1"/>
  <c r="G404" i="2"/>
  <c r="H415" i="2"/>
  <c r="G419" i="2"/>
  <c r="AT8" i="4" s="1"/>
  <c r="H428" i="2"/>
  <c r="K428" i="2" s="1"/>
  <c r="G428" i="2"/>
  <c r="U428" i="2" s="1"/>
  <c r="G445" i="2"/>
  <c r="G501" i="2"/>
  <c r="U501" i="2" s="1"/>
  <c r="H501" i="2"/>
  <c r="K501" i="2" s="1"/>
  <c r="H516" i="2"/>
  <c r="K516" i="2" s="1"/>
  <c r="G539" i="2"/>
  <c r="G564" i="2"/>
  <c r="H564" i="2"/>
  <c r="K564" i="2" s="1"/>
  <c r="G600" i="2"/>
  <c r="U600" i="2" s="1"/>
  <c r="G608" i="2"/>
  <c r="BB5" i="4" s="1"/>
  <c r="H608" i="2"/>
  <c r="K608" i="2" s="1"/>
  <c r="G627" i="2"/>
  <c r="U627" i="2" s="1"/>
  <c r="H630" i="2"/>
  <c r="G630" i="2"/>
  <c r="G682" i="2"/>
  <c r="H436" i="2"/>
  <c r="K436" i="2" s="1"/>
  <c r="G436" i="2"/>
  <c r="G14" i="2"/>
  <c r="U14" i="2" s="1"/>
  <c r="G30" i="2"/>
  <c r="U30" i="2" s="1"/>
  <c r="G55" i="2"/>
  <c r="G59" i="2"/>
  <c r="AE8" i="4" s="1"/>
  <c r="H254" i="2"/>
  <c r="K254" i="2" s="1"/>
  <c r="T270" i="2"/>
  <c r="H273" i="2"/>
  <c r="K273" i="2" s="1"/>
  <c r="T289" i="2"/>
  <c r="T298" i="2"/>
  <c r="G304" i="2"/>
  <c r="G325" i="2"/>
  <c r="G344" i="2"/>
  <c r="T344" i="2" s="1"/>
  <c r="H356" i="2"/>
  <c r="K356" i="2" s="1"/>
  <c r="G356" i="2"/>
  <c r="H396" i="2"/>
  <c r="K396" i="2" s="1"/>
  <c r="G396" i="2"/>
  <c r="U396" i="2" s="1"/>
  <c r="K415" i="2"/>
  <c r="H452" i="2"/>
  <c r="K452" i="2" s="1"/>
  <c r="G452" i="2"/>
  <c r="U452" i="2" s="1"/>
  <c r="H455" i="2"/>
  <c r="K455" i="2" s="1"/>
  <c r="G455" i="2"/>
  <c r="T455" i="2" s="1"/>
  <c r="G465" i="2"/>
  <c r="H475" i="2"/>
  <c r="K475" i="2" s="1"/>
  <c r="G481" i="2"/>
  <c r="U481" i="2" s="1"/>
  <c r="H491" i="2"/>
  <c r="K491" i="2" s="1"/>
  <c r="H507" i="2"/>
  <c r="G507" i="2"/>
  <c r="H531" i="2"/>
  <c r="G531" i="2"/>
  <c r="T531" i="2" s="1"/>
  <c r="G616" i="2"/>
  <c r="BB13" i="4" s="1"/>
  <c r="H616" i="2"/>
  <c r="K616" i="2" s="1"/>
  <c r="H638" i="2"/>
  <c r="G638" i="2"/>
  <c r="H643" i="2"/>
  <c r="K643" i="2" s="1"/>
  <c r="G643" i="2"/>
  <c r="G776" i="2"/>
  <c r="BI5" i="4" s="1"/>
  <c r="H776" i="2"/>
  <c r="K776" i="2" s="1"/>
  <c r="H958" i="2"/>
  <c r="K958" i="2" s="1"/>
  <c r="G958" i="2"/>
  <c r="H384" i="2"/>
  <c r="K384" i="2" s="1"/>
  <c r="G384" i="2"/>
  <c r="AS5" i="4"/>
  <c r="T392" i="2"/>
  <c r="AT13" i="4"/>
  <c r="T424" i="2"/>
  <c r="H444" i="2"/>
  <c r="K444" i="2" s="1"/>
  <c r="G444" i="2"/>
  <c r="U444" i="2" s="1"/>
  <c r="AW10" i="4"/>
  <c r="T493" i="2"/>
  <c r="H515" i="2"/>
  <c r="G515" i="2"/>
  <c r="H654" i="2"/>
  <c r="K654" i="2" s="1"/>
  <c r="G693" i="2"/>
  <c r="T693" i="2" s="1"/>
  <c r="H693" i="2"/>
  <c r="K693" i="2" s="1"/>
  <c r="H734" i="2"/>
  <c r="K734" i="2" s="1"/>
  <c r="K41" i="2"/>
  <c r="G10" i="2"/>
  <c r="U10" i="2" s="1"/>
  <c r="G26" i="2"/>
  <c r="U26" i="2" s="1"/>
  <c r="G54" i="2"/>
  <c r="AE3" i="4" s="1"/>
  <c r="G58" i="2"/>
  <c r="T58" i="2" s="1"/>
  <c r="G84" i="2"/>
  <c r="G106" i="2"/>
  <c r="AG7" i="4" s="1"/>
  <c r="G116" i="2"/>
  <c r="AG17" i="4" s="1"/>
  <c r="G138" i="2"/>
  <c r="AH15" i="4" s="1"/>
  <c r="G148" i="2"/>
  <c r="AH25" i="4" s="1"/>
  <c r="G170" i="2"/>
  <c r="AI23" i="4" s="1"/>
  <c r="G180" i="2"/>
  <c r="AJ9" i="4" s="1"/>
  <c r="G224" i="2"/>
  <c r="G246" i="2"/>
  <c r="AM3" i="4" s="1"/>
  <c r="G256" i="2"/>
  <c r="G293" i="2"/>
  <c r="AO2" i="4" s="1"/>
  <c r="G311" i="2"/>
  <c r="U311" i="2" s="1"/>
  <c r="G315" i="2"/>
  <c r="T315" i="2" s="1"/>
  <c r="H321" i="2"/>
  <c r="K321" i="2" s="1"/>
  <c r="G327" i="2"/>
  <c r="K335" i="2"/>
  <c r="K339" i="2"/>
  <c r="G343" i="2"/>
  <c r="G347" i="2"/>
  <c r="T347" i="2" s="1"/>
  <c r="H363" i="2"/>
  <c r="K363" i="2" s="1"/>
  <c r="H388" i="2"/>
  <c r="K388" i="2" s="1"/>
  <c r="G388" i="2"/>
  <c r="H399" i="2"/>
  <c r="K399" i="2" s="1"/>
  <c r="G461" i="2"/>
  <c r="U461" i="2" s="1"/>
  <c r="H471" i="2"/>
  <c r="K471" i="2" s="1"/>
  <c r="G477" i="2"/>
  <c r="U477" i="2" s="1"/>
  <c r="H487" i="2"/>
  <c r="K487" i="2" s="1"/>
  <c r="G566" i="2"/>
  <c r="H648" i="2"/>
  <c r="K648" i="2" s="1"/>
  <c r="H678" i="2"/>
  <c r="K678" i="2" s="1"/>
  <c r="G678" i="2"/>
  <c r="H710" i="2"/>
  <c r="K710" i="2" s="1"/>
  <c r="H834" i="2"/>
  <c r="K834" i="2" s="1"/>
  <c r="G834" i="2"/>
  <c r="BK15" i="4" s="1"/>
  <c r="G39" i="2"/>
  <c r="G44" i="2"/>
  <c r="AD17" i="4" s="1"/>
  <c r="H7" i="2"/>
  <c r="K7" i="2" s="1"/>
  <c r="H20" i="2"/>
  <c r="K20" i="2" s="1"/>
  <c r="H23" i="2"/>
  <c r="K23" i="2" s="1"/>
  <c r="H36" i="2"/>
  <c r="K36" i="2" s="1"/>
  <c r="G47" i="2"/>
  <c r="AD20" i="4" s="1"/>
  <c r="K78" i="2"/>
  <c r="K347" i="2"/>
  <c r="H380" i="2"/>
  <c r="K380" i="2" s="1"/>
  <c r="G380" i="2"/>
  <c r="AU5" i="4"/>
  <c r="T440" i="2"/>
  <c r="G520" i="2"/>
  <c r="H520" i="2"/>
  <c r="K520" i="2" s="1"/>
  <c r="H546" i="2"/>
  <c r="G546" i="2"/>
  <c r="AY15" i="4" s="1"/>
  <c r="G704" i="2"/>
  <c r="BF5" i="4" s="1"/>
  <c r="H704" i="2"/>
  <c r="K704" i="2" s="1"/>
  <c r="H718" i="2"/>
  <c r="K718" i="2" s="1"/>
  <c r="K343" i="2"/>
  <c r="K379" i="2"/>
  <c r="K508" i="2"/>
  <c r="G673" i="2"/>
  <c r="H673" i="2"/>
  <c r="K673" i="2" s="1"/>
  <c r="G716" i="2"/>
  <c r="BF17" i="4" s="1"/>
  <c r="H716" i="2"/>
  <c r="H784" i="2"/>
  <c r="T887" i="2"/>
  <c r="H934" i="2"/>
  <c r="K934" i="2" s="1"/>
  <c r="G934" i="2"/>
  <c r="H1000" i="2"/>
  <c r="H1079" i="2"/>
  <c r="K1079" i="2" s="1"/>
  <c r="G1079" i="2"/>
  <c r="U1079" i="2" s="1"/>
  <c r="H866" i="2"/>
  <c r="H911" i="2"/>
  <c r="K911" i="2" s="1"/>
  <c r="G911" i="2"/>
  <c r="G940" i="2"/>
  <c r="G971" i="2"/>
  <c r="BQ8" i="4" s="1"/>
  <c r="H971" i="2"/>
  <c r="K971" i="2" s="1"/>
  <c r="H974" i="2"/>
  <c r="G974" i="2"/>
  <c r="U974" i="2" s="1"/>
  <c r="G1133" i="2"/>
  <c r="U1133" i="2" s="1"/>
  <c r="H1133" i="2"/>
  <c r="K1133" i="2" s="1"/>
  <c r="G1204" i="2"/>
  <c r="G740" i="2"/>
  <c r="BG17" i="4" s="1"/>
  <c r="H740" i="2"/>
  <c r="K740" i="2" s="1"/>
  <c r="G788" i="2"/>
  <c r="H788" i="2"/>
  <c r="K788" i="2" s="1"/>
  <c r="H822" i="2"/>
  <c r="K822" i="2" s="1"/>
  <c r="G822" i="2"/>
  <c r="G848" i="2"/>
  <c r="T848" i="2" s="1"/>
  <c r="H848" i="2"/>
  <c r="K848" i="2" s="1"/>
  <c r="H951" i="2"/>
  <c r="G951" i="2"/>
  <c r="U951" i="2" s="1"/>
  <c r="G967" i="2"/>
  <c r="H967" i="2"/>
  <c r="K967" i="2" s="1"/>
  <c r="H982" i="2"/>
  <c r="K355" i="2"/>
  <c r="H696" i="2"/>
  <c r="K696" i="2" s="1"/>
  <c r="H752" i="2"/>
  <c r="K752" i="2" s="1"/>
  <c r="H780" i="2"/>
  <c r="H802" i="2"/>
  <c r="G802" i="2"/>
  <c r="G814" i="2"/>
  <c r="G824" i="2"/>
  <c r="BK5" i="4" s="1"/>
  <c r="H824" i="2"/>
  <c r="G890" i="2"/>
  <c r="G907" i="2"/>
  <c r="BO4" i="4"/>
  <c r="T919" i="2"/>
  <c r="H939" i="2"/>
  <c r="K939" i="2" s="1"/>
  <c r="BP24" i="4"/>
  <c r="T963" i="2"/>
  <c r="H994" i="2"/>
  <c r="G994" i="2"/>
  <c r="H505" i="2"/>
  <c r="K505" i="2" s="1"/>
  <c r="G535" i="2"/>
  <c r="G547" i="2"/>
  <c r="T563" i="2"/>
  <c r="G575" i="2"/>
  <c r="G591" i="2"/>
  <c r="U591" i="2" s="1"/>
  <c r="T599" i="2"/>
  <c r="G607" i="2"/>
  <c r="U607" i="2" s="1"/>
  <c r="G623" i="2"/>
  <c r="G639" i="2"/>
  <c r="U639" i="2" s="1"/>
  <c r="H640" i="2"/>
  <c r="K640" i="2" s="1"/>
  <c r="G650" i="2"/>
  <c r="BC23" i="4" s="1"/>
  <c r="H685" i="2"/>
  <c r="K685" i="2" s="1"/>
  <c r="H689" i="2"/>
  <c r="G804" i="2"/>
  <c r="BJ9" i="4" s="1"/>
  <c r="H804" i="2"/>
  <c r="K804" i="2" s="1"/>
  <c r="H826" i="2"/>
  <c r="H919" i="2"/>
  <c r="BO20" i="4"/>
  <c r="T935" i="2"/>
  <c r="G1084" i="2"/>
  <c r="U1084" i="2" s="1"/>
  <c r="H1084" i="2"/>
  <c r="G1186" i="2"/>
  <c r="BZ7" i="4" s="1"/>
  <c r="K391" i="2"/>
  <c r="K407" i="2"/>
  <c r="G416" i="2"/>
  <c r="U416" i="2" s="1"/>
  <c r="G432" i="2"/>
  <c r="U432" i="2" s="1"/>
  <c r="H878" i="2"/>
  <c r="K878" i="2" s="1"/>
  <c r="G878" i="2"/>
  <c r="BM11" i="4" s="1"/>
  <c r="H883" i="2"/>
  <c r="K883" i="2" s="1"/>
  <c r="G883" i="2"/>
  <c r="H898" i="2"/>
  <c r="K898" i="2" s="1"/>
  <c r="G898" i="2"/>
  <c r="U898" i="2" s="1"/>
  <c r="H912" i="2"/>
  <c r="K912" i="2" s="1"/>
  <c r="H1026" i="2"/>
  <c r="G1026" i="2"/>
  <c r="U1026" i="2" s="1"/>
  <c r="G1137" i="2"/>
  <c r="U1137" i="2" s="1"/>
  <c r="G808" i="2"/>
  <c r="BJ13" i="4" s="1"/>
  <c r="H808" i="2"/>
  <c r="G880" i="2"/>
  <c r="U880" i="2" s="1"/>
  <c r="H918" i="2"/>
  <c r="K918" i="2" s="1"/>
  <c r="G918" i="2"/>
  <c r="BO3" i="4" s="1"/>
  <c r="K1026" i="2"/>
  <c r="T1076" i="2"/>
  <c r="H1144" i="2"/>
  <c r="K1144" i="2" s="1"/>
  <c r="H1160" i="2"/>
  <c r="G1171" i="2"/>
  <c r="U1171" i="2" s="1"/>
  <c r="G1195" i="2"/>
  <c r="H1105" i="2"/>
  <c r="H1121" i="2"/>
  <c r="H1132" i="2"/>
  <c r="K1132" i="2" s="1"/>
  <c r="G1139" i="2"/>
  <c r="H1116" i="2"/>
  <c r="K1195" i="2"/>
  <c r="H1198" i="2"/>
  <c r="BS26" i="4"/>
  <c r="G930" i="2"/>
  <c r="G986" i="2"/>
  <c r="G998" i="2"/>
  <c r="G1046" i="2"/>
  <c r="BT11" i="4" s="1"/>
  <c r="H1181" i="2"/>
  <c r="H1190" i="2"/>
  <c r="E11" i="1"/>
  <c r="O8" i="4"/>
  <c r="O12" i="4"/>
  <c r="H234" i="7"/>
  <c r="O7" i="4"/>
  <c r="O13" i="4"/>
  <c r="H242" i="7"/>
  <c r="H258" i="7"/>
  <c r="H233" i="7"/>
  <c r="H249" i="7"/>
  <c r="O11" i="4"/>
  <c r="G22" i="4"/>
  <c r="G21" i="4"/>
  <c r="H241" i="7"/>
  <c r="H250" i="7"/>
  <c r="G16" i="4"/>
  <c r="G17" i="4"/>
  <c r="G18" i="4"/>
  <c r="G19" i="4"/>
  <c r="G20" i="4"/>
  <c r="O9" i="4"/>
  <c r="G6" i="4"/>
  <c r="K5" i="2"/>
  <c r="AC5" i="4"/>
  <c r="U8" i="2"/>
  <c r="T8" i="2"/>
  <c r="AC8" i="4"/>
  <c r="U11" i="2"/>
  <c r="T11" i="2"/>
  <c r="AC21" i="4"/>
  <c r="U24" i="2"/>
  <c r="T24" i="2"/>
  <c r="AC24" i="4"/>
  <c r="U27" i="2"/>
  <c r="T27" i="2"/>
  <c r="AC4" i="4"/>
  <c r="U7" i="2"/>
  <c r="T7" i="2"/>
  <c r="AC17" i="4"/>
  <c r="U20" i="2"/>
  <c r="T20" i="2"/>
  <c r="AC20" i="4"/>
  <c r="U23" i="2"/>
  <c r="T23" i="2"/>
  <c r="AD9" i="4"/>
  <c r="U36" i="2"/>
  <c r="T36" i="2"/>
  <c r="K13" i="2"/>
  <c r="K29" i="2"/>
  <c r="AC13" i="4"/>
  <c r="U16" i="2"/>
  <c r="T16" i="2"/>
  <c r="AC16" i="4"/>
  <c r="U19" i="2"/>
  <c r="T19" i="2"/>
  <c r="AD5" i="4"/>
  <c r="U32" i="2"/>
  <c r="T32" i="2"/>
  <c r="AD8" i="4"/>
  <c r="U35" i="2"/>
  <c r="T35" i="2"/>
  <c r="AD16" i="4"/>
  <c r="U43" i="2"/>
  <c r="T43" i="2"/>
  <c r="U37" i="2"/>
  <c r="K47" i="2"/>
  <c r="K55" i="2"/>
  <c r="K59" i="2"/>
  <c r="G63" i="2"/>
  <c r="K89" i="2"/>
  <c r="AG8" i="4"/>
  <c r="U107" i="2"/>
  <c r="T107" i="2"/>
  <c r="K122" i="2"/>
  <c r="AH16" i="4"/>
  <c r="U139" i="2"/>
  <c r="T139" i="2"/>
  <c r="AI24" i="4"/>
  <c r="U171" i="2"/>
  <c r="T171" i="2"/>
  <c r="K186" i="2"/>
  <c r="K230" i="2"/>
  <c r="AM4" i="4"/>
  <c r="T247" i="2"/>
  <c r="AM11" i="4"/>
  <c r="T254" i="2"/>
  <c r="AN6" i="4"/>
  <c r="T273" i="2"/>
  <c r="AN14" i="4"/>
  <c r="U281" i="2"/>
  <c r="T281" i="2"/>
  <c r="K304" i="2"/>
  <c r="K43" i="2"/>
  <c r="H45" i="2"/>
  <c r="K45" i="2" s="1"/>
  <c r="G45" i="2"/>
  <c r="AD21" i="4"/>
  <c r="U48" i="2"/>
  <c r="H49" i="2"/>
  <c r="K49" i="2" s="1"/>
  <c r="G49" i="2"/>
  <c r="AD25" i="4"/>
  <c r="U52" i="2"/>
  <c r="H53" i="2"/>
  <c r="K53" i="2" s="1"/>
  <c r="G53" i="2"/>
  <c r="H57" i="2"/>
  <c r="K57" i="2" s="1"/>
  <c r="G57" i="2"/>
  <c r="AE11" i="4"/>
  <c r="U62" i="2"/>
  <c r="T62" i="2"/>
  <c r="K75" i="2"/>
  <c r="AE25" i="4"/>
  <c r="U76" i="2"/>
  <c r="AF3" i="4"/>
  <c r="U78" i="2"/>
  <c r="T78" i="2"/>
  <c r="G83" i="2"/>
  <c r="H83" i="2"/>
  <c r="K83" i="2" s="1"/>
  <c r="AG4" i="4"/>
  <c r="U103" i="2"/>
  <c r="T103" i="2"/>
  <c r="AH12" i="4"/>
  <c r="U135" i="2"/>
  <c r="T135" i="2"/>
  <c r="AI20" i="4"/>
  <c r="U167" i="2"/>
  <c r="T167" i="2"/>
  <c r="AK4" i="4"/>
  <c r="U199" i="2"/>
  <c r="T199" i="2"/>
  <c r="AK20" i="4"/>
  <c r="T215" i="2"/>
  <c r="AL24" i="4"/>
  <c r="U243" i="2"/>
  <c r="T243" i="2"/>
  <c r="G5" i="2"/>
  <c r="G9" i="2"/>
  <c r="G13" i="2"/>
  <c r="G17" i="2"/>
  <c r="G21" i="2"/>
  <c r="G25" i="2"/>
  <c r="G29" i="2"/>
  <c r="G33" i="2"/>
  <c r="H37" i="2"/>
  <c r="K37" i="2" s="1"/>
  <c r="AD23" i="4"/>
  <c r="U50" i="2"/>
  <c r="T50" i="2"/>
  <c r="AE7" i="4"/>
  <c r="U58" i="2"/>
  <c r="G75" i="2"/>
  <c r="AF24" i="4"/>
  <c r="T99" i="2"/>
  <c r="AH8" i="4"/>
  <c r="U131" i="2"/>
  <c r="T131" i="2"/>
  <c r="AI16" i="4"/>
  <c r="U163" i="2"/>
  <c r="T163" i="2"/>
  <c r="AJ24" i="4"/>
  <c r="U195" i="2"/>
  <c r="T195" i="2"/>
  <c r="K222" i="2"/>
  <c r="AL20" i="4"/>
  <c r="U239" i="2"/>
  <c r="T239" i="2"/>
  <c r="AM25" i="4"/>
  <c r="U268" i="2"/>
  <c r="T268" i="2"/>
  <c r="U6" i="2"/>
  <c r="U34" i="2"/>
  <c r="G38" i="2"/>
  <c r="AE21" i="4"/>
  <c r="U72" i="2"/>
  <c r="G87" i="2"/>
  <c r="H87" i="2"/>
  <c r="K87" i="2" s="1"/>
  <c r="G91" i="2"/>
  <c r="H91" i="2"/>
  <c r="K91" i="2" s="1"/>
  <c r="AF20" i="4"/>
  <c r="T95" i="2"/>
  <c r="K110" i="2"/>
  <c r="AH4" i="4"/>
  <c r="U127" i="2"/>
  <c r="T127" i="2"/>
  <c r="K142" i="2"/>
  <c r="AI12" i="4"/>
  <c r="T159" i="2"/>
  <c r="AJ20" i="4"/>
  <c r="U191" i="2"/>
  <c r="T191" i="2"/>
  <c r="K202" i="2"/>
  <c r="AK16" i="4"/>
  <c r="T211" i="2"/>
  <c r="K218" i="2"/>
  <c r="AL16" i="4"/>
  <c r="U235" i="2"/>
  <c r="T235" i="2"/>
  <c r="K250" i="2"/>
  <c r="AM20" i="4"/>
  <c r="U263" i="2"/>
  <c r="T263" i="2"/>
  <c r="K275" i="2"/>
  <c r="AN20" i="4"/>
  <c r="T287" i="2"/>
  <c r="U287" i="2"/>
  <c r="AO9" i="4"/>
  <c r="T300" i="2"/>
  <c r="G71" i="2"/>
  <c r="AG24" i="4"/>
  <c r="U123" i="2"/>
  <c r="T123" i="2"/>
  <c r="AI8" i="4"/>
  <c r="T155" i="2"/>
  <c r="AJ16" i="4"/>
  <c r="U187" i="2"/>
  <c r="T187" i="2"/>
  <c r="AL12" i="4"/>
  <c r="U231" i="2"/>
  <c r="T231" i="2"/>
  <c r="AM16" i="4"/>
  <c r="U259" i="2"/>
  <c r="T259" i="2"/>
  <c r="AN12" i="4"/>
  <c r="T279" i="2"/>
  <c r="K310" i="2"/>
  <c r="G40" i="2"/>
  <c r="K67" i="2"/>
  <c r="AE17" i="4"/>
  <c r="U68" i="2"/>
  <c r="AG20" i="4"/>
  <c r="U119" i="2"/>
  <c r="T119" i="2"/>
  <c r="AI4" i="4"/>
  <c r="U151" i="2"/>
  <c r="T151" i="2"/>
  <c r="AJ12" i="4"/>
  <c r="T183" i="2"/>
  <c r="AK12" i="4"/>
  <c r="T207" i="2"/>
  <c r="AL8" i="4"/>
  <c r="U227" i="2"/>
  <c r="T227" i="2"/>
  <c r="AM12" i="4"/>
  <c r="T255" i="2"/>
  <c r="U59" i="2"/>
  <c r="G67" i="2"/>
  <c r="K85" i="2"/>
  <c r="AG16" i="4"/>
  <c r="U115" i="2"/>
  <c r="T115" i="2"/>
  <c r="K130" i="2"/>
  <c r="AH24" i="4"/>
  <c r="U147" i="2"/>
  <c r="T147" i="2"/>
  <c r="AJ8" i="4"/>
  <c r="T179" i="2"/>
  <c r="K194" i="2"/>
  <c r="AL4" i="4"/>
  <c r="U223" i="2"/>
  <c r="T223" i="2"/>
  <c r="K238" i="2"/>
  <c r="AM19" i="4"/>
  <c r="U262" i="2"/>
  <c r="T262" i="2"/>
  <c r="K286" i="2"/>
  <c r="T37" i="2"/>
  <c r="T48" i="2"/>
  <c r="T52" i="2"/>
  <c r="G79" i="2"/>
  <c r="H79" i="2"/>
  <c r="K79" i="2" s="1"/>
  <c r="AG12" i="4"/>
  <c r="U111" i="2"/>
  <c r="T111" i="2"/>
  <c r="AH20" i="4"/>
  <c r="U143" i="2"/>
  <c r="T143" i="2"/>
  <c r="AJ4" i="4"/>
  <c r="U175" i="2"/>
  <c r="T175" i="2"/>
  <c r="AK8" i="4"/>
  <c r="T203" i="2"/>
  <c r="AK24" i="4"/>
  <c r="T219" i="2"/>
  <c r="AM8" i="4"/>
  <c r="T251" i="2"/>
  <c r="H95" i="2"/>
  <c r="K95" i="2" s="1"/>
  <c r="H99" i="2"/>
  <c r="K99" i="2" s="1"/>
  <c r="H103" i="2"/>
  <c r="K103" i="2" s="1"/>
  <c r="U104" i="2"/>
  <c r="H107" i="2"/>
  <c r="K107" i="2" s="1"/>
  <c r="H111" i="2"/>
  <c r="K111" i="2" s="1"/>
  <c r="U112" i="2"/>
  <c r="H115" i="2"/>
  <c r="K115" i="2" s="1"/>
  <c r="H119" i="2"/>
  <c r="K119" i="2" s="1"/>
  <c r="U120" i="2"/>
  <c r="H123" i="2"/>
  <c r="K123" i="2" s="1"/>
  <c r="U124" i="2"/>
  <c r="H127" i="2"/>
  <c r="K127" i="2" s="1"/>
  <c r="H131" i="2"/>
  <c r="K131" i="2" s="1"/>
  <c r="U132" i="2"/>
  <c r="H135" i="2"/>
  <c r="K135" i="2" s="1"/>
  <c r="U136" i="2"/>
  <c r="H139" i="2"/>
  <c r="K139" i="2" s="1"/>
  <c r="H143" i="2"/>
  <c r="K143" i="2" s="1"/>
  <c r="U144" i="2"/>
  <c r="H147" i="2"/>
  <c r="K147" i="2" s="1"/>
  <c r="H151" i="2"/>
  <c r="K151" i="2" s="1"/>
  <c r="U152" i="2"/>
  <c r="H155" i="2"/>
  <c r="K155" i="2" s="1"/>
  <c r="H159" i="2"/>
  <c r="K159" i="2" s="1"/>
  <c r="U160" i="2"/>
  <c r="H163" i="2"/>
  <c r="K163" i="2" s="1"/>
  <c r="H167" i="2"/>
  <c r="K167" i="2" s="1"/>
  <c r="U168" i="2"/>
  <c r="H171" i="2"/>
  <c r="K171" i="2" s="1"/>
  <c r="U172" i="2"/>
  <c r="H175" i="2"/>
  <c r="K175" i="2" s="1"/>
  <c r="U176" i="2"/>
  <c r="H179" i="2"/>
  <c r="K179" i="2" s="1"/>
  <c r="H183" i="2"/>
  <c r="K183" i="2" s="1"/>
  <c r="U184" i="2"/>
  <c r="H187" i="2"/>
  <c r="K187" i="2" s="1"/>
  <c r="U188" i="2"/>
  <c r="H191" i="2"/>
  <c r="K191" i="2" s="1"/>
  <c r="H195" i="2"/>
  <c r="K195" i="2" s="1"/>
  <c r="U196" i="2"/>
  <c r="H199" i="2"/>
  <c r="K199" i="2" s="1"/>
  <c r="U200" i="2"/>
  <c r="H203" i="2"/>
  <c r="K203" i="2" s="1"/>
  <c r="H207" i="2"/>
  <c r="K207" i="2" s="1"/>
  <c r="H211" i="2"/>
  <c r="K211" i="2" s="1"/>
  <c r="H215" i="2"/>
  <c r="K215" i="2" s="1"/>
  <c r="H219" i="2"/>
  <c r="K219" i="2" s="1"/>
  <c r="H223" i="2"/>
  <c r="K223" i="2" s="1"/>
  <c r="U224" i="2"/>
  <c r="H227" i="2"/>
  <c r="K227" i="2" s="1"/>
  <c r="U228" i="2"/>
  <c r="H231" i="2"/>
  <c r="K231" i="2" s="1"/>
  <c r="H235" i="2"/>
  <c r="K235" i="2" s="1"/>
  <c r="H239" i="2"/>
  <c r="K239" i="2" s="1"/>
  <c r="U240" i="2"/>
  <c r="H243" i="2"/>
  <c r="K243" i="2" s="1"/>
  <c r="U244" i="2"/>
  <c r="H247" i="2"/>
  <c r="K247" i="2" s="1"/>
  <c r="H251" i="2"/>
  <c r="K251" i="2" s="1"/>
  <c r="H255" i="2"/>
  <c r="K255" i="2" s="1"/>
  <c r="H259" i="2"/>
  <c r="K259" i="2" s="1"/>
  <c r="H263" i="2"/>
  <c r="K263" i="2" s="1"/>
  <c r="U264" i="2"/>
  <c r="H268" i="2"/>
  <c r="K268" i="2" s="1"/>
  <c r="G269" i="2"/>
  <c r="U270" i="2"/>
  <c r="G275" i="2"/>
  <c r="T277" i="2"/>
  <c r="H281" i="2"/>
  <c r="K281" i="2" s="1"/>
  <c r="H287" i="2"/>
  <c r="K287" i="2" s="1"/>
  <c r="G288" i="2"/>
  <c r="U289" i="2"/>
  <c r="T290" i="2"/>
  <c r="H294" i="2"/>
  <c r="K294" i="2" s="1"/>
  <c r="H300" i="2"/>
  <c r="K300" i="2" s="1"/>
  <c r="G301" i="2"/>
  <c r="G307" i="2"/>
  <c r="G308" i="2"/>
  <c r="AQ12" i="4"/>
  <c r="U351" i="2"/>
  <c r="T351" i="2"/>
  <c r="AR4" i="4"/>
  <c r="U367" i="2"/>
  <c r="T367" i="2"/>
  <c r="AR20" i="4"/>
  <c r="AS12" i="4"/>
  <c r="U399" i="2"/>
  <c r="T399" i="2"/>
  <c r="AT4" i="4"/>
  <c r="U415" i="2"/>
  <c r="T415" i="2"/>
  <c r="AV4" i="4"/>
  <c r="U463" i="2"/>
  <c r="T463" i="2"/>
  <c r="K482" i="2"/>
  <c r="BC9" i="4"/>
  <c r="U636" i="2"/>
  <c r="T636" i="2"/>
  <c r="U660" i="2"/>
  <c r="T660" i="2"/>
  <c r="U290" i="2"/>
  <c r="K316" i="2"/>
  <c r="AP2" i="4"/>
  <c r="U317" i="2"/>
  <c r="H318" i="2"/>
  <c r="K318" i="2" s="1"/>
  <c r="G318" i="2"/>
  <c r="AP4" i="4"/>
  <c r="H334" i="2"/>
  <c r="K334" i="2" s="1"/>
  <c r="G334" i="2"/>
  <c r="AP20" i="4"/>
  <c r="T335" i="2"/>
  <c r="AQ4" i="4"/>
  <c r="U343" i="2"/>
  <c r="T343" i="2"/>
  <c r="K362" i="2"/>
  <c r="K378" i="2"/>
  <c r="K394" i="2"/>
  <c r="K410" i="2"/>
  <c r="H514" i="2"/>
  <c r="K514" i="2" s="1"/>
  <c r="G514" i="2"/>
  <c r="H530" i="2"/>
  <c r="K530" i="2" s="1"/>
  <c r="G530" i="2"/>
  <c r="G283" i="2"/>
  <c r="G296" i="2"/>
  <c r="H314" i="2"/>
  <c r="K314" i="2" s="1"/>
  <c r="G314" i="2"/>
  <c r="AO25" i="4"/>
  <c r="H342" i="2"/>
  <c r="K342" i="2" s="1"/>
  <c r="G342" i="2"/>
  <c r="H350" i="2"/>
  <c r="K350" i="2" s="1"/>
  <c r="G350" i="2"/>
  <c r="AQ16" i="4"/>
  <c r="T355" i="2"/>
  <c r="AR8" i="4"/>
  <c r="U371" i="2"/>
  <c r="T371" i="2"/>
  <c r="AT24" i="4"/>
  <c r="U435" i="2"/>
  <c r="AV12" i="4"/>
  <c r="U471" i="2"/>
  <c r="T471" i="2"/>
  <c r="G61" i="2"/>
  <c r="G65" i="2"/>
  <c r="G69" i="2"/>
  <c r="G73" i="2"/>
  <c r="G77" i="2"/>
  <c r="G81" i="2"/>
  <c r="U82" i="2" s="1"/>
  <c r="T82" i="2"/>
  <c r="G85" i="2"/>
  <c r="U94" i="2" s="1"/>
  <c r="G89" i="2"/>
  <c r="G93" i="2"/>
  <c r="T94" i="2"/>
  <c r="G97" i="2"/>
  <c r="G101" i="2"/>
  <c r="G105" i="2"/>
  <c r="T106" i="2"/>
  <c r="G109" i="2"/>
  <c r="G113" i="2"/>
  <c r="T114" i="2"/>
  <c r="G117" i="2"/>
  <c r="G121" i="2"/>
  <c r="T122" i="2"/>
  <c r="G125" i="2"/>
  <c r="T126" i="2"/>
  <c r="G129" i="2"/>
  <c r="G133" i="2"/>
  <c r="T134" i="2"/>
  <c r="G137" i="2"/>
  <c r="G141" i="2"/>
  <c r="T142" i="2"/>
  <c r="G145" i="2"/>
  <c r="T146" i="2"/>
  <c r="G149" i="2"/>
  <c r="T150" i="2"/>
  <c r="G153" i="2"/>
  <c r="G157" i="2"/>
  <c r="T158" i="2"/>
  <c r="G161" i="2"/>
  <c r="G165" i="2"/>
  <c r="G169" i="2"/>
  <c r="G173" i="2"/>
  <c r="G177" i="2"/>
  <c r="T178" i="2"/>
  <c r="G181" i="2"/>
  <c r="G185" i="2"/>
  <c r="G189" i="2"/>
  <c r="T190" i="2"/>
  <c r="G193" i="2"/>
  <c r="T194" i="2"/>
  <c r="G197" i="2"/>
  <c r="T198" i="2"/>
  <c r="T202" i="2"/>
  <c r="G205" i="2"/>
  <c r="G209" i="2"/>
  <c r="T210" i="2"/>
  <c r="G213" i="2"/>
  <c r="T214" i="2"/>
  <c r="G217" i="2"/>
  <c r="G221" i="2"/>
  <c r="T222" i="2"/>
  <c r="G225" i="2"/>
  <c r="G229" i="2"/>
  <c r="T230" i="2"/>
  <c r="G233" i="2"/>
  <c r="T234" i="2"/>
  <c r="G237" i="2"/>
  <c r="T238" i="2"/>
  <c r="G241" i="2"/>
  <c r="T242" i="2"/>
  <c r="G245" i="2"/>
  <c r="G249" i="2"/>
  <c r="T250" i="2"/>
  <c r="G253" i="2"/>
  <c r="G257" i="2"/>
  <c r="G261" i="2"/>
  <c r="G265" i="2"/>
  <c r="G271" i="2"/>
  <c r="T280" i="2"/>
  <c r="G284" i="2"/>
  <c r="U285" i="2"/>
  <c r="H290" i="2"/>
  <c r="K290" i="2" s="1"/>
  <c r="G297" i="2"/>
  <c r="G303" i="2"/>
  <c r="AP14" i="4"/>
  <c r="G330" i="2"/>
  <c r="AP16" i="4"/>
  <c r="K366" i="2"/>
  <c r="K382" i="2"/>
  <c r="K398" i="2"/>
  <c r="K430" i="2"/>
  <c r="K435" i="2"/>
  <c r="K446" i="2"/>
  <c r="K462" i="2"/>
  <c r="AW23" i="4"/>
  <c r="T506" i="2"/>
  <c r="U506" i="2"/>
  <c r="AZ25" i="4"/>
  <c r="T580" i="2"/>
  <c r="U106" i="2"/>
  <c r="U114" i="2"/>
  <c r="U122" i="2"/>
  <c r="U126" i="2"/>
  <c r="U130" i="2"/>
  <c r="U134" i="2"/>
  <c r="U142" i="2"/>
  <c r="U146" i="2"/>
  <c r="U150" i="2"/>
  <c r="U166" i="2"/>
  <c r="U190" i="2"/>
  <c r="U194" i="2"/>
  <c r="U222" i="2"/>
  <c r="U226" i="2"/>
  <c r="U230" i="2"/>
  <c r="U234" i="2"/>
  <c r="U238" i="2"/>
  <c r="U242" i="2"/>
  <c r="U250" i="2"/>
  <c r="T274" i="2"/>
  <c r="T306" i="2"/>
  <c r="AP13" i="4"/>
  <c r="AS4" i="4"/>
  <c r="U391" i="2"/>
  <c r="T391" i="2"/>
  <c r="AS20" i="4"/>
  <c r="T407" i="2"/>
  <c r="AT12" i="4"/>
  <c r="U423" i="2"/>
  <c r="T423" i="2"/>
  <c r="U455" i="2"/>
  <c r="K466" i="2"/>
  <c r="H492" i="2"/>
  <c r="K492" i="2" s="1"/>
  <c r="G492" i="2"/>
  <c r="H498" i="2"/>
  <c r="K498" i="2" s="1"/>
  <c r="G498" i="2"/>
  <c r="T294" i="2"/>
  <c r="H298" i="2"/>
  <c r="K298" i="2" s="1"/>
  <c r="U306" i="2"/>
  <c r="K324" i="2"/>
  <c r="H326" i="2"/>
  <c r="K326" i="2" s="1"/>
  <c r="G326" i="2"/>
  <c r="AP24" i="4"/>
  <c r="T339" i="2"/>
  <c r="K354" i="2"/>
  <c r="K370" i="2"/>
  <c r="K386" i="2"/>
  <c r="K418" i="2"/>
  <c r="AV24" i="4"/>
  <c r="U483" i="2"/>
  <c r="T483" i="2"/>
  <c r="H522" i="2"/>
  <c r="K522" i="2" s="1"/>
  <c r="G522" i="2"/>
  <c r="H538" i="2"/>
  <c r="K538" i="2" s="1"/>
  <c r="G538" i="2"/>
  <c r="H573" i="2"/>
  <c r="K573" i="2" s="1"/>
  <c r="G573" i="2"/>
  <c r="AM24" i="4"/>
  <c r="T267" i="2"/>
  <c r="AO8" i="4"/>
  <c r="T299" i="2"/>
  <c r="H346" i="2"/>
  <c r="K346" i="2" s="1"/>
  <c r="AQ24" i="4"/>
  <c r="T363" i="2"/>
  <c r="AR16" i="4"/>
  <c r="AS8" i="4"/>
  <c r="U395" i="2"/>
  <c r="T395" i="2"/>
  <c r="AS24" i="4"/>
  <c r="T411" i="2"/>
  <c r="AT16" i="4"/>
  <c r="U427" i="2"/>
  <c r="T427" i="2"/>
  <c r="AU8" i="4"/>
  <c r="U443" i="2"/>
  <c r="T443" i="2"/>
  <c r="K474" i="2"/>
  <c r="AW4" i="4"/>
  <c r="U487" i="2"/>
  <c r="T487" i="2"/>
  <c r="T92" i="2"/>
  <c r="T104" i="2"/>
  <c r="T112" i="2"/>
  <c r="T120" i="2"/>
  <c r="T124" i="2"/>
  <c r="T136" i="2"/>
  <c r="T144" i="2"/>
  <c r="T152" i="2"/>
  <c r="T160" i="2"/>
  <c r="T168" i="2"/>
  <c r="T172" i="2"/>
  <c r="T176" i="2"/>
  <c r="T184" i="2"/>
  <c r="T188" i="2"/>
  <c r="T196" i="2"/>
  <c r="T200" i="2"/>
  <c r="T204" i="2"/>
  <c r="T216" i="2"/>
  <c r="H274" i="2"/>
  <c r="K274" i="2" s="1"/>
  <c r="H306" i="2"/>
  <c r="K306" i="2" s="1"/>
  <c r="K308" i="2"/>
  <c r="AP6" i="4"/>
  <c r="U321" i="2"/>
  <c r="H322" i="2"/>
  <c r="K322" i="2" s="1"/>
  <c r="G322" i="2"/>
  <c r="AP8" i="4"/>
  <c r="U323" i="2"/>
  <c r="T323" i="2"/>
  <c r="AQ5" i="4"/>
  <c r="U344" i="2"/>
  <c r="K358" i="2"/>
  <c r="K374" i="2"/>
  <c r="K390" i="2"/>
  <c r="K406" i="2"/>
  <c r="K427" i="2"/>
  <c r="K438" i="2"/>
  <c r="K478" i="2"/>
  <c r="AW8" i="4"/>
  <c r="U491" i="2"/>
  <c r="T491" i="2"/>
  <c r="U392" i="2"/>
  <c r="U420" i="2"/>
  <c r="U424" i="2"/>
  <c r="U440" i="2"/>
  <c r="AX5" i="4"/>
  <c r="U512" i="2"/>
  <c r="AX6" i="4"/>
  <c r="T513" i="2"/>
  <c r="AX14" i="4"/>
  <c r="T521" i="2"/>
  <c r="AX21" i="4"/>
  <c r="U528" i="2"/>
  <c r="AX22" i="4"/>
  <c r="T529" i="2"/>
  <c r="AY6" i="4"/>
  <c r="T537" i="2"/>
  <c r="H549" i="2"/>
  <c r="K549" i="2" s="1"/>
  <c r="G549" i="2"/>
  <c r="H553" i="2"/>
  <c r="K553" i="2" s="1"/>
  <c r="G553" i="2"/>
  <c r="H557" i="2"/>
  <c r="K557" i="2" s="1"/>
  <c r="G557" i="2"/>
  <c r="H561" i="2"/>
  <c r="K561" i="2" s="1"/>
  <c r="G561" i="2"/>
  <c r="H565" i="2"/>
  <c r="K565" i="2" s="1"/>
  <c r="G565" i="2"/>
  <c r="H569" i="2"/>
  <c r="K569" i="2" s="1"/>
  <c r="G569" i="2"/>
  <c r="G464" i="2"/>
  <c r="G472" i="2"/>
  <c r="G476" i="2"/>
  <c r="G484" i="2"/>
  <c r="G488" i="2"/>
  <c r="G499" i="2"/>
  <c r="H513" i="2"/>
  <c r="K513" i="2" s="1"/>
  <c r="H521" i="2"/>
  <c r="K521" i="2" s="1"/>
  <c r="H529" i="2"/>
  <c r="K529" i="2" s="1"/>
  <c r="H537" i="2"/>
  <c r="K537" i="2" s="1"/>
  <c r="AZ13" i="4"/>
  <c r="U568" i="2"/>
  <c r="T568" i="2"/>
  <c r="K575" i="2"/>
  <c r="K586" i="2"/>
  <c r="K638" i="2"/>
  <c r="BE10" i="4"/>
  <c r="T685" i="2"/>
  <c r="U685" i="2"/>
  <c r="U389" i="2"/>
  <c r="U433" i="2"/>
  <c r="U437" i="2"/>
  <c r="U445" i="2"/>
  <c r="U449" i="2"/>
  <c r="U457" i="2"/>
  <c r="U489" i="2"/>
  <c r="H493" i="2"/>
  <c r="K493" i="2" s="1"/>
  <c r="G500" i="2"/>
  <c r="K547" i="2"/>
  <c r="K559" i="2"/>
  <c r="K567" i="2"/>
  <c r="K571" i="2"/>
  <c r="K582" i="2"/>
  <c r="H593" i="2"/>
  <c r="K593" i="2" s="1"/>
  <c r="G593" i="2"/>
  <c r="K578" i="2"/>
  <c r="H589" i="2"/>
  <c r="K589" i="2" s="1"/>
  <c r="G589" i="2"/>
  <c r="BA17" i="4"/>
  <c r="K618" i="2"/>
  <c r="K645" i="2"/>
  <c r="K670" i="2"/>
  <c r="T673" i="2"/>
  <c r="AW25" i="4"/>
  <c r="AX2" i="4"/>
  <c r="T509" i="2"/>
  <c r="AX9" i="4"/>
  <c r="U516" i="2"/>
  <c r="AX10" i="4"/>
  <c r="T517" i="2"/>
  <c r="G518" i="2"/>
  <c r="AX17" i="4"/>
  <c r="U524" i="2"/>
  <c r="AY2" i="4"/>
  <c r="T533" i="2"/>
  <c r="G534" i="2"/>
  <c r="U540" i="2"/>
  <c r="AY10" i="4"/>
  <c r="T541" i="2"/>
  <c r="G542" i="2"/>
  <c r="G585" i="2"/>
  <c r="K641" i="2"/>
  <c r="BC21" i="4"/>
  <c r="U648" i="2"/>
  <c r="T648" i="2"/>
  <c r="BD13" i="4"/>
  <c r="G354" i="2"/>
  <c r="G358" i="2"/>
  <c r="G362" i="2"/>
  <c r="G366" i="2"/>
  <c r="G370" i="2"/>
  <c r="G378" i="2"/>
  <c r="G382" i="2"/>
  <c r="G386" i="2"/>
  <c r="G390" i="2"/>
  <c r="G394" i="2"/>
  <c r="G398" i="2"/>
  <c r="G402" i="2"/>
  <c r="G406" i="2"/>
  <c r="G410" i="2"/>
  <c r="G418" i="2"/>
  <c r="G426" i="2"/>
  <c r="G430" i="2"/>
  <c r="G434" i="2"/>
  <c r="G438" i="2"/>
  <c r="G442" i="2"/>
  <c r="G446" i="2"/>
  <c r="G450" i="2"/>
  <c r="G454" i="2"/>
  <c r="G458" i="2"/>
  <c r="G462" i="2"/>
  <c r="G466" i="2"/>
  <c r="G470" i="2"/>
  <c r="G474" i="2"/>
  <c r="G478" i="2"/>
  <c r="G482" i="2"/>
  <c r="G486" i="2"/>
  <c r="G496" i="2"/>
  <c r="U497" i="2"/>
  <c r="K507" i="2"/>
  <c r="H509" i="2"/>
  <c r="K509" i="2" s="1"/>
  <c r="U513" i="2"/>
  <c r="K515" i="2"/>
  <c r="H517" i="2"/>
  <c r="K517" i="2" s="1"/>
  <c r="U521" i="2"/>
  <c r="K523" i="2"/>
  <c r="U529" i="2"/>
  <c r="K531" i="2"/>
  <c r="H533" i="2"/>
  <c r="K533" i="2" s="1"/>
  <c r="U537" i="2"/>
  <c r="K539" i="2"/>
  <c r="H541" i="2"/>
  <c r="K541" i="2" s="1"/>
  <c r="K546" i="2"/>
  <c r="K566" i="2"/>
  <c r="K570" i="2"/>
  <c r="H581" i="2"/>
  <c r="K581" i="2" s="1"/>
  <c r="G581" i="2"/>
  <c r="K591" i="2"/>
  <c r="K605" i="2"/>
  <c r="U608" i="2"/>
  <c r="K614" i="2"/>
  <c r="K637" i="2"/>
  <c r="AW21" i="4"/>
  <c r="U504" i="2"/>
  <c r="AW22" i="4"/>
  <c r="T505" i="2"/>
  <c r="T512" i="2"/>
  <c r="T528" i="2"/>
  <c r="AX24" i="4"/>
  <c r="AY19" i="4"/>
  <c r="U550" i="2"/>
  <c r="T550" i="2"/>
  <c r="AY23" i="4"/>
  <c r="U554" i="2"/>
  <c r="T554" i="2"/>
  <c r="AZ7" i="4"/>
  <c r="U562" i="2"/>
  <c r="T562" i="2"/>
  <c r="AZ11" i="4"/>
  <c r="U566" i="2"/>
  <c r="T566" i="2"/>
  <c r="AZ15" i="4"/>
  <c r="U570" i="2"/>
  <c r="T570" i="2"/>
  <c r="H577" i="2"/>
  <c r="K577" i="2" s="1"/>
  <c r="G577" i="2"/>
  <c r="BC13" i="4"/>
  <c r="U640" i="2"/>
  <c r="T640" i="2"/>
  <c r="K650" i="2"/>
  <c r="H695" i="2"/>
  <c r="G695" i="2"/>
  <c r="H709" i="2"/>
  <c r="K709" i="2" s="1"/>
  <c r="G709" i="2"/>
  <c r="H715" i="2"/>
  <c r="G715" i="2"/>
  <c r="H737" i="2"/>
  <c r="G737" i="2"/>
  <c r="BK7" i="4"/>
  <c r="U826" i="2"/>
  <c r="T826" i="2"/>
  <c r="T582" i="2"/>
  <c r="T594" i="2"/>
  <c r="G597" i="2"/>
  <c r="G601" i="2"/>
  <c r="T602" i="2"/>
  <c r="G605" i="2"/>
  <c r="T610" i="2"/>
  <c r="G617" i="2"/>
  <c r="G621" i="2"/>
  <c r="G625" i="2"/>
  <c r="T626" i="2"/>
  <c r="G633" i="2"/>
  <c r="G637" i="2"/>
  <c r="G641" i="2"/>
  <c r="G645" i="2"/>
  <c r="T646" i="2"/>
  <c r="G649" i="2"/>
  <c r="G653" i="2"/>
  <c r="G675" i="2"/>
  <c r="G681" i="2"/>
  <c r="U683" i="2"/>
  <c r="BE18" i="4"/>
  <c r="G694" i="2"/>
  <c r="BF3" i="4"/>
  <c r="U702" i="2"/>
  <c r="T702" i="2"/>
  <c r="H721" i="2"/>
  <c r="K721" i="2" s="1"/>
  <c r="G721" i="2"/>
  <c r="BH3" i="4"/>
  <c r="U750" i="2"/>
  <c r="T750" i="2"/>
  <c r="BI3" i="4"/>
  <c r="U774" i="2"/>
  <c r="T774" i="2"/>
  <c r="T782" i="2"/>
  <c r="K810" i="2"/>
  <c r="K813" i="2"/>
  <c r="BJ21" i="4"/>
  <c r="U816" i="2"/>
  <c r="T816" i="2"/>
  <c r="H881" i="2"/>
  <c r="K881" i="2" s="1"/>
  <c r="G881" i="2"/>
  <c r="T1116" i="2"/>
  <c r="H1129" i="2"/>
  <c r="K1129" i="2" s="1"/>
  <c r="U574" i="2"/>
  <c r="U582" i="2"/>
  <c r="U602" i="2"/>
  <c r="U626" i="2"/>
  <c r="U646" i="2"/>
  <c r="H701" i="2"/>
  <c r="K701" i="2" s="1"/>
  <c r="G701" i="2"/>
  <c r="H707" i="2"/>
  <c r="K707" i="2" s="1"/>
  <c r="G707" i="2"/>
  <c r="BF15" i="4"/>
  <c r="T714" i="2"/>
  <c r="H745" i="2"/>
  <c r="K745" i="2" s="1"/>
  <c r="G745" i="2"/>
  <c r="BJ11" i="4"/>
  <c r="U806" i="2"/>
  <c r="T806" i="2"/>
  <c r="BK3" i="4"/>
  <c r="U822" i="2"/>
  <c r="T822" i="2"/>
  <c r="G662" i="2"/>
  <c r="T667" i="2"/>
  <c r="G670" i="2"/>
  <c r="T672" i="2"/>
  <c r="H676" i="2"/>
  <c r="K676" i="2" s="1"/>
  <c r="H683" i="2"/>
  <c r="K683" i="2" s="1"/>
  <c r="BE9" i="4"/>
  <c r="T684" i="2"/>
  <c r="BE13" i="4"/>
  <c r="T688" i="2"/>
  <c r="BE14" i="4"/>
  <c r="T689" i="2"/>
  <c r="G690" i="2"/>
  <c r="H719" i="2"/>
  <c r="K719" i="2" s="1"/>
  <c r="G719" i="2"/>
  <c r="BG21" i="4"/>
  <c r="T744" i="2"/>
  <c r="T788" i="2"/>
  <c r="K806" i="2"/>
  <c r="K809" i="2"/>
  <c r="K841" i="2"/>
  <c r="BM13" i="4"/>
  <c r="T880" i="2"/>
  <c r="G1070" i="2"/>
  <c r="U547" i="2"/>
  <c r="U551" i="2"/>
  <c r="U563" i="2"/>
  <c r="U575" i="2"/>
  <c r="U599" i="2"/>
  <c r="U623" i="2"/>
  <c r="U635" i="2"/>
  <c r="U643" i="2"/>
  <c r="U667" i="2"/>
  <c r="U672" i="2"/>
  <c r="H684" i="2"/>
  <c r="K684" i="2" s="1"/>
  <c r="H688" i="2"/>
  <c r="K688" i="2" s="1"/>
  <c r="K689" i="2"/>
  <c r="H699" i="2"/>
  <c r="K699" i="2" s="1"/>
  <c r="G699" i="2"/>
  <c r="BG7" i="4"/>
  <c r="U730" i="2"/>
  <c r="T730" i="2"/>
  <c r="K761" i="2"/>
  <c r="K765" i="2"/>
  <c r="BI13" i="4"/>
  <c r="BJ7" i="4"/>
  <c r="U802" i="2"/>
  <c r="T802" i="2"/>
  <c r="U834" i="2"/>
  <c r="T834" i="2"/>
  <c r="BL23" i="4"/>
  <c r="U866" i="2"/>
  <c r="T866" i="2"/>
  <c r="H711" i="2"/>
  <c r="K711" i="2" s="1"/>
  <c r="G711" i="2"/>
  <c r="BF25" i="4"/>
  <c r="T724" i="2"/>
  <c r="T734" i="2"/>
  <c r="U752" i="2"/>
  <c r="BH9" i="4"/>
  <c r="U756" i="2"/>
  <c r="T756" i="2"/>
  <c r="BH13" i="4"/>
  <c r="U760" i="2"/>
  <c r="T760" i="2"/>
  <c r="BH17" i="4"/>
  <c r="BH25" i="4"/>
  <c r="T772" i="2"/>
  <c r="BI9" i="4"/>
  <c r="U780" i="2"/>
  <c r="T780" i="2"/>
  <c r="K805" i="2"/>
  <c r="BK21" i="4"/>
  <c r="U840" i="2"/>
  <c r="T840" i="2"/>
  <c r="K853" i="2"/>
  <c r="H672" i="2"/>
  <c r="K672" i="2" s="1"/>
  <c r="G679" i="2"/>
  <c r="U693" i="2"/>
  <c r="BE22" i="4"/>
  <c r="T697" i="2"/>
  <c r="H717" i="2"/>
  <c r="K717" i="2" s="1"/>
  <c r="G717" i="2"/>
  <c r="H729" i="2"/>
  <c r="K729" i="2" s="1"/>
  <c r="G729" i="2"/>
  <c r="BG15" i="4"/>
  <c r="T738" i="2"/>
  <c r="K747" i="2"/>
  <c r="BJ19" i="4"/>
  <c r="U814" i="2"/>
  <c r="T814" i="2"/>
  <c r="T830" i="2"/>
  <c r="BL19" i="4"/>
  <c r="U862" i="2"/>
  <c r="T862" i="2"/>
  <c r="BM15" i="4"/>
  <c r="U882" i="2"/>
  <c r="T682" i="2"/>
  <c r="BE21" i="4"/>
  <c r="U696" i="2"/>
  <c r="T696" i="2"/>
  <c r="H697" i="2"/>
  <c r="K697" i="2" s="1"/>
  <c r="BF11" i="4"/>
  <c r="H733" i="2"/>
  <c r="K733" i="2" s="1"/>
  <c r="G733" i="2"/>
  <c r="BG19" i="4"/>
  <c r="T742" i="2"/>
  <c r="K801" i="2"/>
  <c r="K814" i="2"/>
  <c r="K833" i="2"/>
  <c r="K862" i="2"/>
  <c r="K865" i="2"/>
  <c r="H905" i="2"/>
  <c r="K905" i="2" s="1"/>
  <c r="G905" i="2"/>
  <c r="BO15" i="4"/>
  <c r="U930" i="2"/>
  <c r="T930" i="2"/>
  <c r="BT20" i="4"/>
  <c r="U1055" i="2"/>
  <c r="G1097" i="2"/>
  <c r="H1097" i="2"/>
  <c r="K1097" i="2" s="1"/>
  <c r="G731" i="2"/>
  <c r="G735" i="2"/>
  <c r="G743" i="2"/>
  <c r="G747" i="2"/>
  <c r="G751" i="2"/>
  <c r="G755" i="2"/>
  <c r="G767" i="2"/>
  <c r="G771" i="2"/>
  <c r="G775" i="2"/>
  <c r="G779" i="2"/>
  <c r="G783" i="2"/>
  <c r="G787" i="2"/>
  <c r="G799" i="2"/>
  <c r="G803" i="2"/>
  <c r="G811" i="2"/>
  <c r="G815" i="2"/>
  <c r="G819" i="2"/>
  <c r="G823" i="2"/>
  <c r="G827" i="2"/>
  <c r="G835" i="2"/>
  <c r="G839" i="2"/>
  <c r="G843" i="2"/>
  <c r="G851" i="2"/>
  <c r="G855" i="2"/>
  <c r="G859" i="2"/>
  <c r="G867" i="2"/>
  <c r="H913" i="2"/>
  <c r="K913" i="2" s="1"/>
  <c r="G913" i="2"/>
  <c r="BR7" i="4"/>
  <c r="U994" i="2"/>
  <c r="T994" i="2"/>
  <c r="BN11" i="4"/>
  <c r="U934" i="2"/>
  <c r="K945" i="2"/>
  <c r="U958" i="2"/>
  <c r="K962" i="2"/>
  <c r="H901" i="2"/>
  <c r="G901" i="2"/>
  <c r="K929" i="2"/>
  <c r="K949" i="2"/>
  <c r="K986" i="2"/>
  <c r="K997" i="2"/>
  <c r="BS15" i="4"/>
  <c r="BM21" i="4"/>
  <c r="T888" i="2"/>
  <c r="H889" i="2"/>
  <c r="K889" i="2" s="1"/>
  <c r="G889" i="2"/>
  <c r="BN9" i="4"/>
  <c r="U900" i="2"/>
  <c r="T900" i="2"/>
  <c r="H917" i="2"/>
  <c r="G917" i="2"/>
  <c r="BO7" i="4"/>
  <c r="U922" i="2"/>
  <c r="T922" i="2"/>
  <c r="BO23" i="4"/>
  <c r="BR23" i="4"/>
  <c r="U1010" i="2"/>
  <c r="H1062" i="2"/>
  <c r="K1062" i="2" s="1"/>
  <c r="G1062" i="2"/>
  <c r="G757" i="2"/>
  <c r="G765" i="2"/>
  <c r="G773" i="2"/>
  <c r="G777" i="2"/>
  <c r="G781" i="2"/>
  <c r="G797" i="2"/>
  <c r="G801" i="2"/>
  <c r="G805" i="2"/>
  <c r="G809" i="2"/>
  <c r="G813" i="2"/>
  <c r="G821" i="2"/>
  <c r="G833" i="2"/>
  <c r="G841" i="2"/>
  <c r="G845" i="2"/>
  <c r="G853" i="2"/>
  <c r="G857" i="2"/>
  <c r="G861" i="2"/>
  <c r="G865" i="2"/>
  <c r="BM19" i="4"/>
  <c r="U886" i="2"/>
  <c r="T886" i="2"/>
  <c r="K887" i="2"/>
  <c r="BN7" i="4"/>
  <c r="H909" i="2"/>
  <c r="K909" i="2" s="1"/>
  <c r="G909" i="2"/>
  <c r="H1098" i="2"/>
  <c r="H885" i="2"/>
  <c r="K885" i="2" s="1"/>
  <c r="G885" i="2"/>
  <c r="BN17" i="4"/>
  <c r="U908" i="2"/>
  <c r="T908" i="2"/>
  <c r="T967" i="2"/>
  <c r="BQ15" i="4"/>
  <c r="T978" i="2"/>
  <c r="K1025" i="2"/>
  <c r="H1049" i="2"/>
  <c r="K1049" i="2" s="1"/>
  <c r="G1049" i="2"/>
  <c r="U883" i="2"/>
  <c r="U887" i="2"/>
  <c r="U907" i="2"/>
  <c r="U911" i="2"/>
  <c r="U919" i="2"/>
  <c r="U931" i="2"/>
  <c r="U935" i="2"/>
  <c r="U955" i="2"/>
  <c r="U963" i="2"/>
  <c r="BU20" i="4"/>
  <c r="T1079" i="2"/>
  <c r="BV6" i="4"/>
  <c r="T1089" i="2"/>
  <c r="T1109" i="2"/>
  <c r="K1116" i="2"/>
  <c r="BX10" i="4"/>
  <c r="T1141" i="2"/>
  <c r="BY5" i="4"/>
  <c r="U1160" i="2"/>
  <c r="T1173" i="2"/>
  <c r="H1174" i="2"/>
  <c r="BZ16" i="4"/>
  <c r="U1195" i="2"/>
  <c r="T1195" i="2"/>
  <c r="T920" i="2"/>
  <c r="T928" i="2"/>
  <c r="T936" i="2"/>
  <c r="T948" i="2"/>
  <c r="G975" i="2"/>
  <c r="G979" i="2"/>
  <c r="G987" i="2"/>
  <c r="G991" i="2"/>
  <c r="T1000" i="2"/>
  <c r="G1003" i="2"/>
  <c r="G1011" i="2"/>
  <c r="G1015" i="2"/>
  <c r="G1023" i="2"/>
  <c r="G1035" i="2"/>
  <c r="T1036" i="2"/>
  <c r="G1039" i="2"/>
  <c r="G1050" i="2"/>
  <c r="H1064" i="2"/>
  <c r="H1068" i="2"/>
  <c r="BU18" i="4"/>
  <c r="T1077" i="2"/>
  <c r="H1078" i="2"/>
  <c r="K1078" i="2" s="1"/>
  <c r="G1078" i="2"/>
  <c r="H1088" i="2"/>
  <c r="K1088" i="2" s="1"/>
  <c r="H1089" i="2"/>
  <c r="K1089" i="2" s="1"/>
  <c r="BW14" i="4"/>
  <c r="T1121" i="2"/>
  <c r="H1122" i="2"/>
  <c r="K1122" i="2" s="1"/>
  <c r="G1122" i="2"/>
  <c r="H1154" i="2"/>
  <c r="K1154" i="2" s="1"/>
  <c r="G1154" i="2"/>
  <c r="U920" i="2"/>
  <c r="U928" i="2"/>
  <c r="U948" i="2"/>
  <c r="U1000" i="2"/>
  <c r="U1036" i="2"/>
  <c r="H1044" i="2"/>
  <c r="G1051" i="2"/>
  <c r="G1057" i="2"/>
  <c r="G1066" i="2"/>
  <c r="BU8" i="4"/>
  <c r="T1067" i="2"/>
  <c r="H1076" i="2"/>
  <c r="H1077" i="2"/>
  <c r="U1095" i="2"/>
  <c r="T1095" i="2"/>
  <c r="H1102" i="2"/>
  <c r="K1102" i="2" s="1"/>
  <c r="BW20" i="4"/>
  <c r="BX2" i="4"/>
  <c r="H1134" i="2"/>
  <c r="K1134" i="2" s="1"/>
  <c r="H1166" i="2"/>
  <c r="K1166" i="2" s="1"/>
  <c r="G1166" i="2"/>
  <c r="BZ19" i="4"/>
  <c r="U1198" i="2"/>
  <c r="T1198" i="2"/>
  <c r="H1086" i="2"/>
  <c r="K1086" i="2" s="1"/>
  <c r="G1086" i="2"/>
  <c r="K1095" i="2"/>
  <c r="BV17" i="4"/>
  <c r="BX8" i="4"/>
  <c r="U1139" i="2"/>
  <c r="T1139" i="2"/>
  <c r="BZ11" i="4"/>
  <c r="U1190" i="2"/>
  <c r="T1190" i="2"/>
  <c r="BU14" i="4"/>
  <c r="H1074" i="2"/>
  <c r="G1074" i="2"/>
  <c r="T1125" i="2"/>
  <c r="BX13" i="4"/>
  <c r="H1158" i="2"/>
  <c r="K1158" i="2" s="1"/>
  <c r="G1158" i="2"/>
  <c r="G929" i="2"/>
  <c r="G933" i="2"/>
  <c r="G937" i="2"/>
  <c r="G945" i="2"/>
  <c r="G949" i="2"/>
  <c r="G953" i="2"/>
  <c r="G957" i="2"/>
  <c r="G965" i="2"/>
  <c r="G969" i="2"/>
  <c r="G973" i="2"/>
  <c r="G981" i="2"/>
  <c r="G989" i="2"/>
  <c r="G993" i="2"/>
  <c r="G997" i="2"/>
  <c r="G1001" i="2"/>
  <c r="G1005" i="2"/>
  <c r="G1017" i="2"/>
  <c r="G1025" i="2"/>
  <c r="G1029" i="2"/>
  <c r="G1037" i="2"/>
  <c r="G1041" i="2"/>
  <c r="G1047" i="2"/>
  <c r="T1068" i="2"/>
  <c r="H1072" i="2"/>
  <c r="T1088" i="2"/>
  <c r="H1093" i="2"/>
  <c r="K1093" i="2" s="1"/>
  <c r="BV22" i="4"/>
  <c r="T1105" i="2"/>
  <c r="H1106" i="2"/>
  <c r="K1106" i="2" s="1"/>
  <c r="G1106" i="2"/>
  <c r="BX6" i="4"/>
  <c r="T1137" i="2"/>
  <c r="T1056" i="2"/>
  <c r="T1064" i="2"/>
  <c r="U1068" i="2"/>
  <c r="U1088" i="2"/>
  <c r="U1089" i="2"/>
  <c r="H1150" i="2"/>
  <c r="G1150" i="2"/>
  <c r="BZ2" i="4"/>
  <c r="T1181" i="2"/>
  <c r="H1185" i="2"/>
  <c r="K1185" i="2" s="1"/>
  <c r="G1185" i="2"/>
  <c r="G1193" i="2"/>
  <c r="O5" i="4"/>
  <c r="G5" i="4"/>
  <c r="G1182" i="2"/>
  <c r="O14" i="4"/>
  <c r="G14" i="4"/>
  <c r="O10" i="4"/>
  <c r="G10" i="4"/>
  <c r="G15" i="4"/>
  <c r="AG26" i="4"/>
  <c r="AO26" i="4"/>
  <c r="AW26" i="4"/>
  <c r="BE26" i="4"/>
  <c r="BM26" i="4"/>
  <c r="BU26" i="4"/>
  <c r="AH26" i="4"/>
  <c r="AP26" i="4"/>
  <c r="AX26" i="4"/>
  <c r="BF26" i="4"/>
  <c r="BN26" i="4"/>
  <c r="BV26" i="4"/>
  <c r="AI26" i="4"/>
  <c r="AQ26" i="4"/>
  <c r="AY26" i="4"/>
  <c r="BG26" i="4"/>
  <c r="BO26" i="4"/>
  <c r="BW26" i="4"/>
  <c r="AC26" i="4"/>
  <c r="AK26" i="4"/>
  <c r="AS26" i="4"/>
  <c r="BA26" i="4"/>
  <c r="BI26" i="4"/>
  <c r="BQ26" i="4"/>
  <c r="BY26" i="4"/>
  <c r="AD26" i="4"/>
  <c r="AL26" i="4"/>
  <c r="AT26" i="4"/>
  <c r="BB26" i="4"/>
  <c r="BJ26" i="4"/>
  <c r="BR26" i="4"/>
  <c r="BZ26" i="4"/>
  <c r="AE26" i="4"/>
  <c r="AM26" i="4"/>
  <c r="AU26" i="4"/>
  <c r="BC26" i="4"/>
  <c r="BK26" i="4"/>
  <c r="U800" i="2" l="1"/>
  <c r="BJ5" i="4"/>
  <c r="T800" i="2"/>
  <c r="BN21" i="4"/>
  <c r="T912" i="2"/>
  <c r="U912" i="2"/>
  <c r="T1204" i="2"/>
  <c r="BZ25" i="4"/>
  <c r="H950" i="2"/>
  <c r="G950" i="2"/>
  <c r="G1031" i="2"/>
  <c r="BY18" i="4"/>
  <c r="BW2" i="4"/>
  <c r="T212" i="2"/>
  <c r="AQ8" i="4"/>
  <c r="T90" i="2"/>
  <c r="H828" i="2"/>
  <c r="K828" i="2" s="1"/>
  <c r="H800" i="2"/>
  <c r="K800" i="2" s="1"/>
  <c r="BB11" i="4"/>
  <c r="T614" i="2"/>
  <c r="AJ11" i="4"/>
  <c r="T182" i="2"/>
  <c r="AH7" i="4"/>
  <c r="T130" i="2"/>
  <c r="BO25" i="4"/>
  <c r="U940" i="2"/>
  <c r="U564" i="2"/>
  <c r="T564" i="2"/>
  <c r="AZ9" i="4"/>
  <c r="G1136" i="2"/>
  <c r="H1136" i="2"/>
  <c r="K1136" i="2" s="1"/>
  <c r="H1063" i="2"/>
  <c r="K1063" i="2" s="1"/>
  <c r="G1063" i="2"/>
  <c r="BK11" i="4"/>
  <c r="U830" i="2"/>
  <c r="AD19" i="4"/>
  <c r="T46" i="2"/>
  <c r="T527" i="2"/>
  <c r="AX20" i="4"/>
  <c r="U527" i="2"/>
  <c r="AU22" i="4"/>
  <c r="T457" i="2"/>
  <c r="U1132" i="2"/>
  <c r="U46" i="2"/>
  <c r="U31" i="2"/>
  <c r="BQ4" i="4"/>
  <c r="U967" i="2"/>
  <c r="G1091" i="2"/>
  <c r="T515" i="2"/>
  <c r="AX8" i="4"/>
  <c r="T507" i="2"/>
  <c r="AW24" i="4"/>
  <c r="T325" i="2"/>
  <c r="U325" i="2"/>
  <c r="AP10" i="4"/>
  <c r="AE4" i="4"/>
  <c r="T55" i="2"/>
  <c r="U258" i="2"/>
  <c r="AM15" i="4"/>
  <c r="T540" i="2"/>
  <c r="AY9" i="4"/>
  <c r="AJ21" i="4"/>
  <c r="U192" i="2"/>
  <c r="T192" i="2"/>
  <c r="G1196" i="2"/>
  <c r="T1196" i="2" s="1"/>
  <c r="H1196" i="2"/>
  <c r="K1196" i="2" s="1"/>
  <c r="G1157" i="2"/>
  <c r="H1157" i="2"/>
  <c r="K1157" i="2" s="1"/>
  <c r="T336" i="2"/>
  <c r="AP21" i="4"/>
  <c r="H1159" i="2"/>
  <c r="K1159" i="2" s="1"/>
  <c r="G1159" i="2"/>
  <c r="G1176" i="2"/>
  <c r="H1176" i="2"/>
  <c r="K1176" i="2" s="1"/>
  <c r="H713" i="2"/>
  <c r="K713" i="2" s="1"/>
  <c r="G1201" i="2"/>
  <c r="G1082" i="2"/>
  <c r="H1170" i="2"/>
  <c r="K1170" i="2" s="1"/>
  <c r="H1126" i="2"/>
  <c r="K1126" i="2" s="1"/>
  <c r="BW25" i="4"/>
  <c r="H1109" i="2"/>
  <c r="G759" i="2"/>
  <c r="T804" i="2"/>
  <c r="BH5" i="4"/>
  <c r="H691" i="2"/>
  <c r="K691" i="2" s="1"/>
  <c r="U650" i="2"/>
  <c r="T100" i="2"/>
  <c r="U467" i="2"/>
  <c r="AD4" i="4"/>
  <c r="G832" i="2"/>
  <c r="G622" i="2"/>
  <c r="BA15" i="4"/>
  <c r="U594" i="2"/>
  <c r="U596" i="2"/>
  <c r="T596" i="2"/>
  <c r="U902" i="2"/>
  <c r="T902" i="2"/>
  <c r="G1164" i="2"/>
  <c r="BY9" i="4" s="1"/>
  <c r="H1164" i="2"/>
  <c r="U824" i="2"/>
  <c r="T824" i="2"/>
  <c r="T84" i="2"/>
  <c r="AF9" i="4"/>
  <c r="BC3" i="4"/>
  <c r="U630" i="2"/>
  <c r="AZ19" i="4"/>
  <c r="T574" i="2"/>
  <c r="T12" i="2"/>
  <c r="AC9" i="4"/>
  <c r="U1065" i="2"/>
  <c r="BU6" i="4"/>
  <c r="T1065" i="2"/>
  <c r="G1197" i="2"/>
  <c r="K1072" i="2"/>
  <c r="G1114" i="2"/>
  <c r="H1173" i="2"/>
  <c r="K1173" i="2" s="1"/>
  <c r="T650" i="2"/>
  <c r="AV8" i="4"/>
  <c r="U1127" i="2"/>
  <c r="T1127" i="2"/>
  <c r="BI11" i="4"/>
  <c r="U782" i="2"/>
  <c r="BA7" i="4"/>
  <c r="T586" i="2"/>
  <c r="U586" i="2"/>
  <c r="AG19" i="4"/>
  <c r="U118" i="2"/>
  <c r="H1179" i="2"/>
  <c r="G1179" i="2"/>
  <c r="BY24" i="4" s="1"/>
  <c r="G1101" i="2"/>
  <c r="H1101" i="2"/>
  <c r="K1101" i="2" s="1"/>
  <c r="H1012" i="2"/>
  <c r="G1012" i="2"/>
  <c r="BR25" i="4" s="1"/>
  <c r="K1035" i="2"/>
  <c r="BW9" i="4"/>
  <c r="U1116" i="2"/>
  <c r="G1177" i="2"/>
  <c r="H1177" i="2"/>
  <c r="K1177" i="2" s="1"/>
  <c r="U1204" i="2"/>
  <c r="G1053" i="2"/>
  <c r="H1065" i="2"/>
  <c r="K1065" i="2" s="1"/>
  <c r="T940" i="2"/>
  <c r="T118" i="2"/>
  <c r="G1143" i="2"/>
  <c r="U890" i="2"/>
  <c r="T890" i="2"/>
  <c r="T971" i="2"/>
  <c r="U971" i="2"/>
  <c r="BA21" i="4"/>
  <c r="T600" i="2"/>
  <c r="U938" i="2"/>
  <c r="T938" i="2"/>
  <c r="AI19" i="4"/>
  <c r="T166" i="2"/>
  <c r="AF23" i="4"/>
  <c r="T98" i="2"/>
  <c r="T319" i="2"/>
  <c r="U319" i="2"/>
  <c r="AH9" i="4"/>
  <c r="T132" i="2"/>
  <c r="H790" i="2"/>
  <c r="K790" i="2" s="1"/>
  <c r="G790" i="2"/>
  <c r="H609" i="2"/>
  <c r="K609" i="2" s="1"/>
  <c r="G609" i="2"/>
  <c r="G1128" i="2"/>
  <c r="H1128" i="2"/>
  <c r="K1128" i="2" s="1"/>
  <c r="H657" i="2"/>
  <c r="G657" i="2"/>
  <c r="G895" i="2"/>
  <c r="H895" i="2"/>
  <c r="K895" i="2" s="1"/>
  <c r="H698" i="2"/>
  <c r="K698" i="2" s="1"/>
  <c r="G698" i="2"/>
  <c r="H785" i="2"/>
  <c r="G785" i="2"/>
  <c r="H983" i="2"/>
  <c r="G983" i="2"/>
  <c r="G964" i="2"/>
  <c r="H964" i="2"/>
  <c r="K964" i="2" s="1"/>
  <c r="U710" i="2"/>
  <c r="T710" i="2"/>
  <c r="BC17" i="4"/>
  <c r="T644" i="2"/>
  <c r="BO21" i="4"/>
  <c r="U936" i="2"/>
  <c r="H798" i="2"/>
  <c r="G798" i="2"/>
  <c r="H669" i="2"/>
  <c r="K669" i="2" s="1"/>
  <c r="G669" i="2"/>
  <c r="H941" i="2"/>
  <c r="K941" i="2" s="1"/>
  <c r="G941" i="2"/>
  <c r="G720" i="2"/>
  <c r="H720" i="2"/>
  <c r="H842" i="2"/>
  <c r="K842" i="2" s="1"/>
  <c r="G842" i="2"/>
  <c r="BE16" i="4"/>
  <c r="U691" i="2"/>
  <c r="T691" i="2"/>
  <c r="H1028" i="2"/>
  <c r="K1028" i="2" s="1"/>
  <c r="G1028" i="2"/>
  <c r="H727" i="2"/>
  <c r="K727" i="2" s="1"/>
  <c r="G727" i="2"/>
  <c r="G1042" i="2"/>
  <c r="H1042" i="2"/>
  <c r="K1042" i="2" s="1"/>
  <c r="H924" i="2"/>
  <c r="K924" i="2" s="1"/>
  <c r="G924" i="2"/>
  <c r="H870" i="2"/>
  <c r="G870" i="2"/>
  <c r="G1184" i="2"/>
  <c r="H1184" i="2"/>
  <c r="K1184" i="2" s="1"/>
  <c r="H807" i="2"/>
  <c r="K807" i="2" s="1"/>
  <c r="G807" i="2"/>
  <c r="H959" i="2"/>
  <c r="G959" i="2"/>
  <c r="U959" i="2" s="1"/>
  <c r="G1112" i="2"/>
  <c r="H1112" i="2"/>
  <c r="H942" i="2"/>
  <c r="K942" i="2" s="1"/>
  <c r="G942" i="2"/>
  <c r="AS18" i="4"/>
  <c r="T405" i="2"/>
  <c r="AI17" i="4"/>
  <c r="U164" i="2"/>
  <c r="T164" i="2"/>
  <c r="U1144" i="2"/>
  <c r="U1100" i="2"/>
  <c r="K1077" i="2"/>
  <c r="H1141" i="2"/>
  <c r="G825" i="2"/>
  <c r="G490" i="2"/>
  <c r="H1100" i="2"/>
  <c r="K1100" i="2" s="1"/>
  <c r="AV10" i="4"/>
  <c r="U469" i="2"/>
  <c r="K646" i="2"/>
  <c r="AZ24" i="4"/>
  <c r="T579" i="2"/>
  <c r="U559" i="2"/>
  <c r="T559" i="2"/>
  <c r="AN13" i="4"/>
  <c r="U280" i="2"/>
  <c r="H338" i="2"/>
  <c r="K338" i="2" s="1"/>
  <c r="G338" i="2"/>
  <c r="H320" i="2"/>
  <c r="K320" i="2" s="1"/>
  <c r="G320" i="2"/>
  <c r="G375" i="2"/>
  <c r="AR12" i="4" s="1"/>
  <c r="H375" i="2"/>
  <c r="K375" i="2" s="1"/>
  <c r="H502" i="2"/>
  <c r="K502" i="2" s="1"/>
  <c r="G502" i="2"/>
  <c r="G864" i="2"/>
  <c r="H864" i="2"/>
  <c r="G387" i="2"/>
  <c r="H387" i="2"/>
  <c r="K387" i="2" s="1"/>
  <c r="G431" i="2"/>
  <c r="H431" i="2"/>
  <c r="K431" i="2" s="1"/>
  <c r="H485" i="2"/>
  <c r="K485" i="2" s="1"/>
  <c r="G485" i="2"/>
  <c r="G552" i="2"/>
  <c r="H552" i="2"/>
  <c r="K552" i="2" s="1"/>
  <c r="K1084" i="2"/>
  <c r="T18" i="2"/>
  <c r="AC15" i="4"/>
  <c r="K1118" i="2"/>
  <c r="K1014" i="2"/>
  <c r="K983" i="2"/>
  <c r="AG9" i="4"/>
  <c r="T108" i="2"/>
  <c r="U108" i="2"/>
  <c r="T376" i="2"/>
  <c r="U376" i="2"/>
  <c r="G1081" i="2"/>
  <c r="H1081" i="2"/>
  <c r="K1081" i="2" s="1"/>
  <c r="K1127" i="2"/>
  <c r="K602" i="2"/>
  <c r="AY24" i="4"/>
  <c r="T555" i="2"/>
  <c r="AK3" i="4"/>
  <c r="U198" i="2"/>
  <c r="AI9" i="4"/>
  <c r="T156" i="2"/>
  <c r="K767" i="2"/>
  <c r="K782" i="2"/>
  <c r="T316" i="2"/>
  <c r="U316" i="2"/>
  <c r="H879" i="2"/>
  <c r="K879" i="2" s="1"/>
  <c r="G879" i="2"/>
  <c r="BM12" i="4" s="1"/>
  <c r="G968" i="2"/>
  <c r="H968" i="2"/>
  <c r="K968" i="2" s="1"/>
  <c r="G868" i="2"/>
  <c r="H868" i="2"/>
  <c r="U784" i="2"/>
  <c r="T784" i="2"/>
  <c r="H837" i="2"/>
  <c r="K837" i="2" s="1"/>
  <c r="G837" i="2"/>
  <c r="H847" i="2"/>
  <c r="G847" i="2"/>
  <c r="G341" i="2"/>
  <c r="H341" i="2"/>
  <c r="K341" i="2" s="1"/>
  <c r="G374" i="2"/>
  <c r="K824" i="2"/>
  <c r="K951" i="2"/>
  <c r="K644" i="2"/>
  <c r="K1162" i="2"/>
  <c r="K1066" i="2"/>
  <c r="K1090" i="2"/>
  <c r="K756" i="2"/>
  <c r="K816" i="2"/>
  <c r="K847" i="2"/>
  <c r="K723" i="2"/>
  <c r="K763" i="2"/>
  <c r="K812" i="2"/>
  <c r="H295" i="2"/>
  <c r="K295" i="2" s="1"/>
  <c r="G295" i="2"/>
  <c r="K1019" i="2"/>
  <c r="G511" i="2"/>
  <c r="H411" i="2"/>
  <c r="K411" i="2" s="1"/>
  <c r="K728" i="2"/>
  <c r="K987" i="2"/>
  <c r="K843" i="2"/>
  <c r="K630" i="2"/>
  <c r="K787" i="2"/>
  <c r="K802" i="2"/>
  <c r="K908" i="2"/>
  <c r="K827" i="2"/>
  <c r="K870" i="2"/>
  <c r="G421" i="2"/>
  <c r="G260" i="2"/>
  <c r="H260" i="2"/>
  <c r="K260" i="2" s="1"/>
  <c r="H51" i="2"/>
  <c r="K51" i="2" s="1"/>
  <c r="G51" i="2"/>
  <c r="H174" i="2"/>
  <c r="K174" i="2" s="1"/>
  <c r="G174" i="2"/>
  <c r="G66" i="2"/>
  <c r="H66" i="2"/>
  <c r="K66" i="2" s="1"/>
  <c r="K901" i="2"/>
  <c r="G665" i="2"/>
  <c r="K1198" i="2"/>
  <c r="K826" i="2"/>
  <c r="H120" i="2"/>
  <c r="K120" i="2" s="1"/>
  <c r="G248" i="2"/>
  <c r="G162" i="2"/>
  <c r="H162" i="2"/>
  <c r="K162" i="2" s="1"/>
  <c r="G102" i="2"/>
  <c r="H102" i="2"/>
  <c r="K102" i="2" s="1"/>
  <c r="G495" i="2"/>
  <c r="U495" i="2" s="1"/>
  <c r="K1007" i="2"/>
  <c r="K978" i="2"/>
  <c r="K738" i="2"/>
  <c r="K775" i="2"/>
  <c r="K932" i="2"/>
  <c r="K621" i="2"/>
  <c r="G154" i="2"/>
  <c r="H154" i="2"/>
  <c r="K154" i="2" s="1"/>
  <c r="H92" i="2"/>
  <c r="K92" i="2" s="1"/>
  <c r="K861" i="2"/>
  <c r="K1039" i="2"/>
  <c r="H146" i="2"/>
  <c r="K146" i="2" s="1"/>
  <c r="G140" i="2"/>
  <c r="H140" i="2"/>
  <c r="K140" i="2" s="1"/>
  <c r="K714" i="2"/>
  <c r="K743" i="2"/>
  <c r="K598" i="2"/>
  <c r="K625" i="2"/>
  <c r="BK9" i="4"/>
  <c r="T828" i="2"/>
  <c r="G1194" i="2"/>
  <c r="H1194" i="2"/>
  <c r="K1194" i="2" s="1"/>
  <c r="H1142" i="2"/>
  <c r="K1142" i="2" s="1"/>
  <c r="G1142" i="2"/>
  <c r="H1040" i="2"/>
  <c r="K1040" i="2" s="1"/>
  <c r="G1040" i="2"/>
  <c r="BB17" i="4"/>
  <c r="U620" i="2"/>
  <c r="H769" i="2"/>
  <c r="K769" i="2" s="1"/>
  <c r="G769" i="2"/>
  <c r="H984" i="2"/>
  <c r="K984" i="2" s="1"/>
  <c r="G984" i="2"/>
  <c r="G739" i="2"/>
  <c r="G728" i="2"/>
  <c r="G894" i="2"/>
  <c r="BP19" i="4"/>
  <c r="T958" i="2"/>
  <c r="T698" i="2"/>
  <c r="BE23" i="4"/>
  <c r="H459" i="2"/>
  <c r="K459" i="2" s="1"/>
  <c r="G459" i="2"/>
  <c r="H510" i="2"/>
  <c r="K510" i="2" s="1"/>
  <c r="G510" i="2"/>
  <c r="G536" i="2"/>
  <c r="H536" i="2"/>
  <c r="K536" i="2" s="1"/>
  <c r="H414" i="2"/>
  <c r="K414" i="2" s="1"/>
  <c r="G414" i="2"/>
  <c r="H439" i="2"/>
  <c r="K439" i="2" s="1"/>
  <c r="G439" i="2"/>
  <c r="G544" i="2"/>
  <c r="H544" i="2"/>
  <c r="K544" i="2" s="1"/>
  <c r="H397" i="2"/>
  <c r="K397" i="2" s="1"/>
  <c r="G397" i="2"/>
  <c r="G447" i="2"/>
  <c r="H447" i="2"/>
  <c r="K447" i="2" s="1"/>
  <c r="H352" i="2"/>
  <c r="K352" i="2" s="1"/>
  <c r="G352" i="2"/>
  <c r="H422" i="2"/>
  <c r="K422" i="2" s="1"/>
  <c r="G422" i="2"/>
  <c r="G503" i="2"/>
  <c r="H503" i="2"/>
  <c r="K503" i="2" s="1"/>
  <c r="H519" i="2"/>
  <c r="K519" i="2" s="1"/>
  <c r="G519" i="2"/>
  <c r="H558" i="2"/>
  <c r="K558" i="2" s="1"/>
  <c r="G558" i="2"/>
  <c r="G628" i="2"/>
  <c r="BB25" i="4" s="1"/>
  <c r="H628" i="2"/>
  <c r="K628" i="2" s="1"/>
  <c r="H403" i="2"/>
  <c r="K403" i="2" s="1"/>
  <c r="G403" i="2"/>
  <c r="G525" i="2"/>
  <c r="H525" i="2"/>
  <c r="K525" i="2" s="1"/>
  <c r="G545" i="2"/>
  <c r="H545" i="2"/>
  <c r="K545" i="2" s="1"/>
  <c r="G572" i="2"/>
  <c r="H572" i="2"/>
  <c r="K572" i="2" s="1"/>
  <c r="H658" i="2"/>
  <c r="K658" i="2" s="1"/>
  <c r="G658" i="2"/>
  <c r="K823" i="2"/>
  <c r="H943" i="2"/>
  <c r="K943" i="2" s="1"/>
  <c r="G943" i="2"/>
  <c r="H793" i="2"/>
  <c r="K793" i="2" s="1"/>
  <c r="G793" i="2"/>
  <c r="G1048" i="2"/>
  <c r="H1048" i="2"/>
  <c r="K1048" i="2" s="1"/>
  <c r="BA9" i="4"/>
  <c r="T588" i="2"/>
  <c r="G961" i="2"/>
  <c r="BY2" i="4"/>
  <c r="T1093" i="2"/>
  <c r="U828" i="2"/>
  <c r="G526" i="2"/>
  <c r="H1180" i="2"/>
  <c r="K1180" i="2" s="1"/>
  <c r="K866" i="2"/>
  <c r="AO11" i="4"/>
  <c r="T302" i="2"/>
  <c r="U56" i="2"/>
  <c r="AE5" i="4"/>
  <c r="BP23" i="4"/>
  <c r="U962" i="2"/>
  <c r="T962" i="2"/>
  <c r="G604" i="2"/>
  <c r="BC11" i="4"/>
  <c r="T638" i="2"/>
  <c r="BB19" i="4"/>
  <c r="U622" i="2"/>
  <c r="U1180" i="2"/>
  <c r="T1180" i="2"/>
  <c r="H1146" i="2"/>
  <c r="K1146" i="2" s="1"/>
  <c r="G1007" i="2"/>
  <c r="T620" i="2"/>
  <c r="BB15" i="4"/>
  <c r="U618" i="2"/>
  <c r="T618" i="2"/>
  <c r="U764" i="2"/>
  <c r="T764" i="2"/>
  <c r="U899" i="2"/>
  <c r="BN8" i="4"/>
  <c r="H340" i="2"/>
  <c r="K340" i="2" s="1"/>
  <c r="G340" i="2"/>
  <c r="AV16" i="4"/>
  <c r="T475" i="2"/>
  <c r="G359" i="2"/>
  <c r="H359" i="2"/>
  <c r="K359" i="2" s="1"/>
  <c r="U1200" i="2"/>
  <c r="G925" i="2"/>
  <c r="BV10" i="4"/>
  <c r="U1052" i="2"/>
  <c r="K1109" i="2"/>
  <c r="T1052" i="2"/>
  <c r="G1027" i="2"/>
  <c r="H703" i="2"/>
  <c r="U638" i="2"/>
  <c r="K737" i="2"/>
  <c r="U588" i="2"/>
  <c r="T612" i="2"/>
  <c r="U475" i="2"/>
  <c r="H1052" i="2"/>
  <c r="K1052" i="2" s="1"/>
  <c r="T535" i="2"/>
  <c r="AY4" i="4"/>
  <c r="BA19" i="4"/>
  <c r="U598" i="2"/>
  <c r="G846" i="2"/>
  <c r="T324" i="2"/>
  <c r="AP9" i="4"/>
  <c r="U324" i="2"/>
  <c r="AK23" i="4"/>
  <c r="T218" i="2"/>
  <c r="H480" i="2"/>
  <c r="K480" i="2" s="1"/>
  <c r="G480" i="2"/>
  <c r="T539" i="2"/>
  <c r="AY8" i="4"/>
  <c r="G687" i="2"/>
  <c r="U687" i="2" s="1"/>
  <c r="H687" i="2"/>
  <c r="K687" i="2" s="1"/>
  <c r="BZ21" i="4"/>
  <c r="G921" i="2"/>
  <c r="U1072" i="2"/>
  <c r="U1108" i="2"/>
  <c r="G893" i="2"/>
  <c r="T899" i="2"/>
  <c r="T473" i="2"/>
  <c r="U473" i="2"/>
  <c r="H966" i="2"/>
  <c r="K966" i="2" s="1"/>
  <c r="G966" i="2"/>
  <c r="BA24" i="4"/>
  <c r="U603" i="2"/>
  <c r="T603" i="2"/>
  <c r="G692" i="2"/>
  <c r="H692" i="2"/>
  <c r="K692" i="2" s="1"/>
  <c r="G494" i="2"/>
  <c r="H494" i="2"/>
  <c r="K494" i="2" s="1"/>
  <c r="H753" i="2"/>
  <c r="K753" i="2" s="1"/>
  <c r="G753" i="2"/>
  <c r="G871" i="2"/>
  <c r="H768" i="2"/>
  <c r="K768" i="2" s="1"/>
  <c r="BA13" i="4"/>
  <c r="U592" i="2"/>
  <c r="T592" i="2"/>
  <c r="BX17" i="4"/>
  <c r="T1148" i="2"/>
  <c r="H1163" i="2"/>
  <c r="K1163" i="2" s="1"/>
  <c r="G1163" i="2"/>
  <c r="G1152" i="2"/>
  <c r="H1152" i="2"/>
  <c r="K1152" i="2" s="1"/>
  <c r="H588" i="2"/>
  <c r="K588" i="2" s="1"/>
  <c r="AZ23" i="4"/>
  <c r="U578" i="2"/>
  <c r="G1165" i="2"/>
  <c r="H1165" i="2"/>
  <c r="K1165" i="2" s="1"/>
  <c r="H634" i="2"/>
  <c r="K634" i="2" s="1"/>
  <c r="G634" i="2"/>
  <c r="H817" i="2"/>
  <c r="K817" i="2" s="1"/>
  <c r="G817" i="2"/>
  <c r="K1044" i="2"/>
  <c r="BV25" i="4"/>
  <c r="G791" i="2"/>
  <c r="H741" i="2"/>
  <c r="K741" i="2" s="1"/>
  <c r="U998" i="2"/>
  <c r="BR11" i="4"/>
  <c r="T998" i="2"/>
  <c r="BA11" i="4"/>
  <c r="U590" i="2"/>
  <c r="AY17" i="4"/>
  <c r="U548" i="2"/>
  <c r="H795" i="2"/>
  <c r="K795" i="2" s="1"/>
  <c r="G795" i="2"/>
  <c r="H1073" i="2"/>
  <c r="K1073" i="2" s="1"/>
  <c r="T1073" i="2"/>
  <c r="T1072" i="2"/>
  <c r="G1019" i="2"/>
  <c r="K1098" i="2"/>
  <c r="G1130" i="2"/>
  <c r="U698" i="2"/>
  <c r="H705" i="2"/>
  <c r="K705" i="2" s="1"/>
  <c r="T548" i="2"/>
  <c r="U982" i="2"/>
  <c r="T982" i="2"/>
  <c r="G874" i="2"/>
  <c r="BJ25" i="4"/>
  <c r="U820" i="2"/>
  <c r="T820" i="2"/>
  <c r="G584" i="2"/>
  <c r="T879" i="2"/>
  <c r="U879" i="2"/>
  <c r="G345" i="2"/>
  <c r="H629" i="2"/>
  <c r="K629" i="2" s="1"/>
  <c r="G629" i="2"/>
  <c r="H952" i="2"/>
  <c r="K952" i="2" s="1"/>
  <c r="G952" i="2"/>
  <c r="H831" i="2"/>
  <c r="K831" i="2" s="1"/>
  <c r="G831" i="2"/>
  <c r="T768" i="2"/>
  <c r="BH21" i="4"/>
  <c r="G1188" i="2"/>
  <c r="H1188" i="2"/>
  <c r="K1188" i="2" s="1"/>
  <c r="G856" i="2"/>
  <c r="H856" i="2"/>
  <c r="K856" i="2" s="1"/>
  <c r="H1103" i="2"/>
  <c r="G1103" i="2"/>
  <c r="H1147" i="2"/>
  <c r="K1147" i="2" s="1"/>
  <c r="G1147" i="2"/>
  <c r="H1020" i="2"/>
  <c r="G1020" i="2"/>
  <c r="H661" i="2"/>
  <c r="K661" i="2" s="1"/>
  <c r="G661" i="2"/>
  <c r="G884" i="2"/>
  <c r="H884" i="2"/>
  <c r="K884" i="2" s="1"/>
  <c r="H992" i="2"/>
  <c r="K992" i="2" s="1"/>
  <c r="G992" i="2"/>
  <c r="H876" i="2"/>
  <c r="K876" i="2" s="1"/>
  <c r="G876" i="2"/>
  <c r="G854" i="2"/>
  <c r="H854" i="2"/>
  <c r="K854" i="2" s="1"/>
  <c r="BT9" i="4"/>
  <c r="T1044" i="2"/>
  <c r="U1044" i="2"/>
  <c r="G1189" i="2"/>
  <c r="G869" i="2"/>
  <c r="G613" i="2"/>
  <c r="G468" i="2"/>
  <c r="T148" i="2"/>
  <c r="H1108" i="2"/>
  <c r="K1108" i="2" s="1"/>
  <c r="H1200" i="2"/>
  <c r="K1200" i="2" s="1"/>
  <c r="K1000" i="2"/>
  <c r="BF13" i="4"/>
  <c r="T712" i="2"/>
  <c r="AV14" i="4"/>
  <c r="K1174" i="2"/>
  <c r="K974" i="2"/>
  <c r="K716" i="2"/>
  <c r="K1010" i="2"/>
  <c r="G932" i="2"/>
  <c r="BO17" i="4" s="1"/>
  <c r="G956" i="2"/>
  <c r="BP17" i="4" s="1"/>
  <c r="K886" i="2"/>
  <c r="G361" i="2"/>
  <c r="H361" i="2"/>
  <c r="K361" i="2" s="1"/>
  <c r="G560" i="2"/>
  <c r="H560" i="2"/>
  <c r="K560" i="2" s="1"/>
  <c r="K959" i="2"/>
  <c r="K798" i="2"/>
  <c r="K950" i="2"/>
  <c r="H770" i="2"/>
  <c r="K770" i="2" s="1"/>
  <c r="G770" i="2"/>
  <c r="H448" i="2"/>
  <c r="K448" i="2" s="1"/>
  <c r="G448" i="2"/>
  <c r="G425" i="2"/>
  <c r="H425" i="2"/>
  <c r="K425" i="2" s="1"/>
  <c r="H401" i="2"/>
  <c r="K401" i="2" s="1"/>
  <c r="G401" i="2"/>
  <c r="AU14" i="4"/>
  <c r="T449" i="2"/>
  <c r="G655" i="2"/>
  <c r="H655" i="2"/>
  <c r="K655" i="2" s="1"/>
  <c r="K982" i="2"/>
  <c r="T469" i="2"/>
  <c r="K1193" i="2"/>
  <c r="H636" i="2"/>
  <c r="K636" i="2" s="1"/>
  <c r="K956" i="2"/>
  <c r="K867" i="2"/>
  <c r="H373" i="2"/>
  <c r="K373" i="2" s="1"/>
  <c r="G373" i="2"/>
  <c r="H611" i="2"/>
  <c r="K611" i="2" s="1"/>
  <c r="G611" i="2"/>
  <c r="G369" i="2"/>
  <c r="H369" i="2"/>
  <c r="K369" i="2" s="1"/>
  <c r="K1105" i="2"/>
  <c r="K762" i="2"/>
  <c r="K1178" i="2"/>
  <c r="K1094" i="2"/>
  <c r="K1043" i="2"/>
  <c r="H764" i="2"/>
  <c r="K764" i="2" s="1"/>
  <c r="H543" i="2"/>
  <c r="K543" i="2" s="1"/>
  <c r="G543" i="2"/>
  <c r="K919" i="2"/>
  <c r="K940" i="2"/>
  <c r="K1015" i="2"/>
  <c r="G990" i="2"/>
  <c r="G896" i="2"/>
  <c r="G758" i="2"/>
  <c r="BD25" i="4"/>
  <c r="T676" i="2"/>
  <c r="G556" i="2"/>
  <c r="H556" i="2"/>
  <c r="K556" i="2" s="1"/>
  <c r="H413" i="2"/>
  <c r="K413" i="2" s="1"/>
  <c r="G413" i="2"/>
  <c r="K715" i="2"/>
  <c r="K808" i="2"/>
  <c r="G947" i="2"/>
  <c r="H724" i="2"/>
  <c r="K724" i="2" s="1"/>
  <c r="K720" i="2"/>
  <c r="H899" i="2"/>
  <c r="K899" i="2" s="1"/>
  <c r="G349" i="2"/>
  <c r="H349" i="2"/>
  <c r="K349" i="2" s="1"/>
  <c r="G479" i="2"/>
  <c r="H479" i="2"/>
  <c r="K479" i="2" s="1"/>
  <c r="H583" i="2"/>
  <c r="K583" i="2" s="1"/>
  <c r="G583" i="2"/>
  <c r="G451" i="2"/>
  <c r="H451" i="2"/>
  <c r="K451" i="2" s="1"/>
  <c r="U293" i="2"/>
  <c r="T258" i="2"/>
  <c r="T615" i="2"/>
  <c r="K994" i="2"/>
  <c r="K780" i="2"/>
  <c r="K1033" i="2"/>
  <c r="K1011" i="2"/>
  <c r="K1112" i="2"/>
  <c r="K1005" i="2"/>
  <c r="K1160" i="2"/>
  <c r="K1017" i="2"/>
  <c r="K1080" i="2"/>
  <c r="H840" i="2"/>
  <c r="K840" i="2" s="1"/>
  <c r="K902" i="2"/>
  <c r="K1161" i="2"/>
  <c r="K830" i="2"/>
  <c r="K1179" i="2"/>
  <c r="K657" i="2"/>
  <c r="K730" i="2"/>
  <c r="K778" i="2"/>
  <c r="K785" i="2"/>
  <c r="K783" i="2"/>
  <c r="K821" i="2"/>
  <c r="K864" i="2"/>
  <c r="K825" i="2"/>
  <c r="K907" i="2"/>
  <c r="K839" i="2"/>
  <c r="K938" i="2"/>
  <c r="H309" i="2"/>
  <c r="K309" i="2" s="1"/>
  <c r="G309" i="2"/>
  <c r="G393" i="2"/>
  <c r="H393" i="2"/>
  <c r="K393" i="2" s="1"/>
  <c r="H587" i="2"/>
  <c r="K587" i="2" s="1"/>
  <c r="G587" i="2"/>
  <c r="AK11" i="4"/>
  <c r="T206" i="2"/>
  <c r="BE3" i="4"/>
  <c r="U678" i="2"/>
  <c r="T678" i="2"/>
  <c r="G671" i="2"/>
  <c r="H671" i="2"/>
  <c r="K671" i="2" s="1"/>
  <c r="G1110" i="2"/>
  <c r="H1110" i="2"/>
  <c r="K1110" i="2" s="1"/>
  <c r="H844" i="2"/>
  <c r="K844" i="2" s="1"/>
  <c r="G844" i="2"/>
  <c r="H988" i="2"/>
  <c r="K988" i="2" s="1"/>
  <c r="G988" i="2"/>
  <c r="G852" i="2"/>
  <c r="H852" i="2"/>
  <c r="K852" i="2" s="1"/>
  <c r="H985" i="2"/>
  <c r="K985" i="2" s="1"/>
  <c r="G985" i="2"/>
  <c r="G1140" i="2"/>
  <c r="H1140" i="2"/>
  <c r="K1140" i="2" s="1"/>
  <c r="G725" i="2"/>
  <c r="BO19" i="4"/>
  <c r="T934" i="2"/>
  <c r="BK23" i="4"/>
  <c r="U842" i="2"/>
  <c r="U673" i="2"/>
  <c r="BD22" i="4"/>
  <c r="AY5" i="4"/>
  <c r="T536" i="2"/>
  <c r="U536" i="2"/>
  <c r="K1137" i="2"/>
  <c r="H1075" i="2"/>
  <c r="H838" i="2"/>
  <c r="K838" i="2" s="1"/>
  <c r="T348" i="2"/>
  <c r="U348" i="2"/>
  <c r="AQ9" i="4"/>
  <c r="T838" i="2"/>
  <c r="BK19" i="4"/>
  <c r="U838" i="2"/>
  <c r="G700" i="2"/>
  <c r="H700" i="2"/>
  <c r="K700" i="2" s="1"/>
  <c r="G736" i="2"/>
  <c r="H736" i="2"/>
  <c r="K736" i="2" s="1"/>
  <c r="H892" i="2"/>
  <c r="K892" i="2" s="1"/>
  <c r="G892" i="2"/>
  <c r="BM25" i="4" s="1"/>
  <c r="H914" i="2"/>
  <c r="K914" i="2" s="1"/>
  <c r="G914" i="2"/>
  <c r="H891" i="2"/>
  <c r="K891" i="2" s="1"/>
  <c r="G891" i="2"/>
  <c r="BY16" i="4"/>
  <c r="G1161" i="2"/>
  <c r="H1151" i="2"/>
  <c r="K1151" i="2" s="1"/>
  <c r="G1151" i="2"/>
  <c r="T1151" i="2" s="1"/>
  <c r="H201" i="2"/>
  <c r="K201" i="2" s="1"/>
  <c r="G201" i="2"/>
  <c r="U353" i="2" s="1"/>
  <c r="U1125" i="2"/>
  <c r="BW18" i="4"/>
  <c r="H1138" i="2"/>
  <c r="K1138" i="2" s="1"/>
  <c r="BU16" i="4"/>
  <c r="G763" i="2"/>
  <c r="T180" i="2"/>
  <c r="T808" i="2"/>
  <c r="U808" i="2"/>
  <c r="BK13" i="4"/>
  <c r="U832" i="2"/>
  <c r="BJ15" i="4"/>
  <c r="T810" i="2"/>
  <c r="T932" i="2"/>
  <c r="H632" i="2"/>
  <c r="K632" i="2" s="1"/>
  <c r="G632" i="2"/>
  <c r="G860" i="2"/>
  <c r="BL17" i="4" s="1"/>
  <c r="H860" i="2"/>
  <c r="K860" i="2" s="1"/>
  <c r="G651" i="2"/>
  <c r="H651" i="2"/>
  <c r="K651" i="2" s="1"/>
  <c r="H977" i="2"/>
  <c r="K977" i="2" s="1"/>
  <c r="G977" i="2"/>
  <c r="H863" i="2"/>
  <c r="K863" i="2" s="1"/>
  <c r="G863" i="2"/>
  <c r="G1168" i="2"/>
  <c r="H1168" i="2"/>
  <c r="K1168" i="2" s="1"/>
  <c r="G1033" i="2"/>
  <c r="G999" i="2"/>
  <c r="K917" i="2"/>
  <c r="BM23" i="4"/>
  <c r="G723" i="2"/>
  <c r="BQ23" i="4"/>
  <c r="T986" i="2"/>
  <c r="BI17" i="4"/>
  <c r="U788" i="2"/>
  <c r="AX13" i="4"/>
  <c r="T520" i="2"/>
  <c r="T1164" i="2"/>
  <c r="U1164" i="2"/>
  <c r="T313" i="2"/>
  <c r="AO22" i="4"/>
  <c r="U313" i="2"/>
  <c r="T70" i="2"/>
  <c r="AE19" i="4"/>
  <c r="U70" i="2"/>
  <c r="BI7" i="4"/>
  <c r="U778" i="2"/>
  <c r="T778" i="2"/>
  <c r="BC25" i="4"/>
  <c r="U652" i="2"/>
  <c r="T652" i="2"/>
  <c r="BG11" i="4"/>
  <c r="T894" i="2"/>
  <c r="BN3" i="4"/>
  <c r="U894" i="2"/>
  <c r="AP12" i="4"/>
  <c r="U327" i="2"/>
  <c r="T327" i="2"/>
  <c r="U576" i="2"/>
  <c r="AZ21" i="4"/>
  <c r="T332" i="2"/>
  <c r="AP17" i="4"/>
  <c r="BJ3" i="4"/>
  <c r="U798" i="2"/>
  <c r="T798" i="2"/>
  <c r="H666" i="2"/>
  <c r="K666" i="2" s="1"/>
  <c r="G666" i="2"/>
  <c r="H789" i="2"/>
  <c r="K789" i="2" s="1"/>
  <c r="G789" i="2"/>
  <c r="H1059" i="2"/>
  <c r="K1059" i="2" s="1"/>
  <c r="G1059" i="2"/>
  <c r="H926" i="2"/>
  <c r="K926" i="2" s="1"/>
  <c r="G926" i="2"/>
  <c r="H829" i="2"/>
  <c r="K829" i="2" s="1"/>
  <c r="G829" i="2"/>
  <c r="H923" i="2"/>
  <c r="K923" i="2" s="1"/>
  <c r="G923" i="2"/>
  <c r="H1008" i="2"/>
  <c r="G1008" i="2"/>
  <c r="H1125" i="2"/>
  <c r="K1125" i="2" s="1"/>
  <c r="T1171" i="2"/>
  <c r="G1090" i="2"/>
  <c r="H897" i="2"/>
  <c r="K897" i="2" s="1"/>
  <c r="G761" i="2"/>
  <c r="G1162" i="2"/>
  <c r="T718" i="2"/>
  <c r="BF19" i="4"/>
  <c r="T954" i="2"/>
  <c r="BP15" i="4"/>
  <c r="U954" i="2"/>
  <c r="K906" i="2"/>
  <c r="G748" i="2"/>
  <c r="H748" i="2"/>
  <c r="K748" i="2" s="1"/>
  <c r="H1009" i="2"/>
  <c r="K1009" i="2" s="1"/>
  <c r="G1009" i="2"/>
  <c r="H872" i="2"/>
  <c r="K872" i="2" s="1"/>
  <c r="G872" i="2"/>
  <c r="U872" i="2" s="1"/>
  <c r="G624" i="2"/>
  <c r="H1021" i="2"/>
  <c r="K1021" i="2" s="1"/>
  <c r="G1021" i="2"/>
  <c r="G1202" i="2"/>
  <c r="H1202" i="2"/>
  <c r="K1202" i="2" s="1"/>
  <c r="T906" i="2"/>
  <c r="BN15" i="4"/>
  <c r="U906" i="2"/>
  <c r="K868" i="2"/>
  <c r="AJ15" i="4"/>
  <c r="T186" i="2"/>
  <c r="BQ11" i="4"/>
  <c r="T974" i="2"/>
  <c r="H749" i="2"/>
  <c r="K749" i="2" s="1"/>
  <c r="G749" i="2"/>
  <c r="G877" i="2"/>
  <c r="H877" i="2"/>
  <c r="K877" i="2" s="1"/>
  <c r="G1153" i="2"/>
  <c r="H1153" i="2"/>
  <c r="K1153" i="2" s="1"/>
  <c r="H944" i="2"/>
  <c r="K944" i="2" s="1"/>
  <c r="G944" i="2"/>
  <c r="H849" i="2"/>
  <c r="K849" i="2" s="1"/>
  <c r="G849" i="2"/>
  <c r="H1203" i="2"/>
  <c r="K1203" i="2" s="1"/>
  <c r="G1203" i="2"/>
  <c r="H1199" i="2"/>
  <c r="K1199" i="2" s="1"/>
  <c r="G1199" i="2"/>
  <c r="U932" i="2"/>
  <c r="K703" i="2"/>
  <c r="G812" i="2"/>
  <c r="AF11" i="4"/>
  <c r="T86" i="2"/>
  <c r="AG11" i="4"/>
  <c r="U110" i="2"/>
  <c r="U453" i="2"/>
  <c r="T453" i="2"/>
  <c r="K695" i="2"/>
  <c r="U315" i="2"/>
  <c r="K1012" i="2"/>
  <c r="H726" i="2"/>
  <c r="K726" i="2" s="1"/>
  <c r="G726" i="2"/>
  <c r="G706" i="2"/>
  <c r="H706" i="2"/>
  <c r="K706" i="2" s="1"/>
  <c r="H619" i="2"/>
  <c r="K619" i="2" s="1"/>
  <c r="G619" i="2"/>
  <c r="H642" i="2"/>
  <c r="K642" i="2" s="1"/>
  <c r="G642" i="2"/>
  <c r="G792" i="2"/>
  <c r="H792" i="2"/>
  <c r="K792" i="2" s="1"/>
  <c r="H910" i="2"/>
  <c r="K910" i="2" s="1"/>
  <c r="G910" i="2"/>
  <c r="H972" i="2"/>
  <c r="K972" i="2" s="1"/>
  <c r="G972" i="2"/>
  <c r="K957" i="2"/>
  <c r="G976" i="2"/>
  <c r="H976" i="2"/>
  <c r="K976" i="2" s="1"/>
  <c r="H796" i="2"/>
  <c r="K796" i="2" s="1"/>
  <c r="G796" i="2"/>
  <c r="U663" i="2"/>
  <c r="T116" i="2"/>
  <c r="U347" i="2"/>
  <c r="AO24" i="4"/>
  <c r="T246" i="2"/>
  <c r="U22" i="2"/>
  <c r="U12" i="2"/>
  <c r="G1175" i="2"/>
  <c r="K990" i="2"/>
  <c r="G836" i="2"/>
  <c r="H836" i="2"/>
  <c r="K836" i="2" s="1"/>
  <c r="H659" i="2"/>
  <c r="K659" i="2" s="1"/>
  <c r="G659" i="2"/>
  <c r="G746" i="2"/>
  <c r="U746" i="2" s="1"/>
  <c r="H746" i="2"/>
  <c r="K746" i="2" s="1"/>
  <c r="H996" i="2"/>
  <c r="K996" i="2" s="1"/>
  <c r="G996" i="2"/>
  <c r="H970" i="2"/>
  <c r="K970" i="2" s="1"/>
  <c r="G970" i="2"/>
  <c r="G1131" i="2"/>
  <c r="H1131" i="2"/>
  <c r="H916" i="2"/>
  <c r="K916" i="2" s="1"/>
  <c r="G916" i="2"/>
  <c r="K610" i="2"/>
  <c r="K652" i="2"/>
  <c r="K1181" i="2"/>
  <c r="K1008" i="2"/>
  <c r="BE12" i="4"/>
  <c r="T687" i="2"/>
  <c r="G668" i="2"/>
  <c r="H668" i="2"/>
  <c r="K668" i="2" s="1"/>
  <c r="H1004" i="2"/>
  <c r="K1004" i="2" s="1"/>
  <c r="G1004" i="2"/>
  <c r="G786" i="2"/>
  <c r="H786" i="2"/>
  <c r="K786" i="2" s="1"/>
  <c r="K784" i="2"/>
  <c r="K1131" i="2"/>
  <c r="K1103" i="2"/>
  <c r="K948" i="2"/>
  <c r="H766" i="2"/>
  <c r="K766" i="2" s="1"/>
  <c r="G766" i="2"/>
  <c r="G708" i="2"/>
  <c r="H708" i="2"/>
  <c r="K708" i="2" s="1"/>
  <c r="H631" i="2"/>
  <c r="K631" i="2" s="1"/>
  <c r="G631" i="2"/>
  <c r="H927" i="2"/>
  <c r="K927" i="2" s="1"/>
  <c r="G927" i="2"/>
  <c r="H1006" i="2"/>
  <c r="K1006" i="2" s="1"/>
  <c r="G1006" i="2"/>
  <c r="H858" i="2"/>
  <c r="K858" i="2" s="1"/>
  <c r="G858" i="2"/>
  <c r="G904" i="2"/>
  <c r="H904" i="2"/>
  <c r="K904" i="2" s="1"/>
  <c r="K989" i="2"/>
  <c r="K1076" i="2"/>
  <c r="U148" i="2"/>
  <c r="H915" i="2"/>
  <c r="K915" i="2" s="1"/>
  <c r="G915" i="2"/>
  <c r="G732" i="2"/>
  <c r="H732" i="2"/>
  <c r="K732" i="2" s="1"/>
  <c r="G677" i="2"/>
  <c r="H677" i="2"/>
  <c r="K677" i="2" s="1"/>
  <c r="H754" i="2"/>
  <c r="K754" i="2" s="1"/>
  <c r="G754" i="2"/>
  <c r="G656" i="2"/>
  <c r="H656" i="2"/>
  <c r="K656" i="2" s="1"/>
  <c r="H850" i="2"/>
  <c r="K850" i="2" s="1"/>
  <c r="G850" i="2"/>
  <c r="K1164" i="2"/>
  <c r="K1091" i="2"/>
  <c r="K1143" i="2"/>
  <c r="K1053" i="2"/>
  <c r="K758" i="2"/>
  <c r="H794" i="2"/>
  <c r="K794" i="2" s="1"/>
  <c r="G794" i="2"/>
  <c r="H647" i="2"/>
  <c r="K647" i="2" s="1"/>
  <c r="G647" i="2"/>
  <c r="G686" i="2"/>
  <c r="H686" i="2"/>
  <c r="K686" i="2" s="1"/>
  <c r="BZ17" i="4"/>
  <c r="K1141" i="2"/>
  <c r="T663" i="2"/>
  <c r="U848" i="2"/>
  <c r="T616" i="2"/>
  <c r="U47" i="2"/>
  <c r="T47" i="2"/>
  <c r="H1148" i="2"/>
  <c r="K880" i="2"/>
  <c r="K995" i="2"/>
  <c r="K1041" i="2"/>
  <c r="H760" i="2"/>
  <c r="K760" i="2" s="1"/>
  <c r="K750" i="2"/>
  <c r="BC8" i="4"/>
  <c r="T635" i="2"/>
  <c r="G674" i="2"/>
  <c r="H674" i="2"/>
  <c r="K674" i="2" s="1"/>
  <c r="G722" i="2"/>
  <c r="H722" i="2"/>
  <c r="K722" i="2" s="1"/>
  <c r="G875" i="2"/>
  <c r="H875" i="2"/>
  <c r="K875" i="2" s="1"/>
  <c r="H903" i="2"/>
  <c r="K903" i="2" s="1"/>
  <c r="G903" i="2"/>
  <c r="H960" i="2"/>
  <c r="K960" i="2" s="1"/>
  <c r="G960" i="2"/>
  <c r="H818" i="2"/>
  <c r="K818" i="2" s="1"/>
  <c r="G818" i="2"/>
  <c r="H946" i="2"/>
  <c r="K946" i="2" s="1"/>
  <c r="G946" i="2"/>
  <c r="T1172" i="2"/>
  <c r="U1172" i="2"/>
  <c r="BY17" i="4"/>
  <c r="G1169" i="2"/>
  <c r="H1169" i="2"/>
  <c r="K1169" i="2" s="1"/>
  <c r="BT21" i="4"/>
  <c r="U1056" i="2"/>
  <c r="G1119" i="2"/>
  <c r="H1119" i="2"/>
  <c r="K1119" i="2" s="1"/>
  <c r="BU21" i="4"/>
  <c r="U1080" i="2"/>
  <c r="BP20" i="4"/>
  <c r="T959" i="2"/>
  <c r="AT6" i="4"/>
  <c r="T417" i="2"/>
  <c r="BM6" i="4"/>
  <c r="U873" i="2"/>
  <c r="T873" i="2"/>
  <c r="U1069" i="2"/>
  <c r="G1094" i="2"/>
  <c r="K1064" i="2"/>
  <c r="T1069" i="2"/>
  <c r="U986" i="2"/>
  <c r="BM7" i="4"/>
  <c r="U812" i="2"/>
  <c r="BL5" i="4"/>
  <c r="T630" i="2"/>
  <c r="T598" i="2"/>
  <c r="BC5" i="4"/>
  <c r="T128" i="2"/>
  <c r="T96" i="2"/>
  <c r="AU20" i="4"/>
  <c r="T80" i="2"/>
  <c r="T59" i="2"/>
  <c r="U60" i="2"/>
  <c r="H1192" i="2"/>
  <c r="K1192" i="2" s="1"/>
  <c r="T947" i="2"/>
  <c r="AU18" i="4"/>
  <c r="T232" i="2"/>
  <c r="AC19" i="4"/>
  <c r="G1156" i="2"/>
  <c r="H1156" i="2"/>
  <c r="K1156" i="2" s="1"/>
  <c r="G1115" i="2"/>
  <c r="H1115" i="2"/>
  <c r="K1115" i="2" s="1"/>
  <c r="H1071" i="2"/>
  <c r="K1071" i="2" s="1"/>
  <c r="G1071" i="2"/>
  <c r="G1123" i="2"/>
  <c r="H1123" i="2"/>
  <c r="K1123" i="2" s="1"/>
  <c r="K1058" i="2"/>
  <c r="K1075" i="2"/>
  <c r="BP16" i="4"/>
  <c r="T955" i="2"/>
  <c r="AU6" i="4"/>
  <c r="T441" i="2"/>
  <c r="U1104" i="2"/>
  <c r="T1080" i="2"/>
  <c r="H1056" i="2"/>
  <c r="K1056" i="2" s="1"/>
  <c r="U606" i="2"/>
  <c r="T74" i="2"/>
  <c r="AE9" i="4"/>
  <c r="H1120" i="2"/>
  <c r="K1120" i="2" s="1"/>
  <c r="K1121" i="2"/>
  <c r="AL13" i="4"/>
  <c r="G1145" i="2"/>
  <c r="H1145" i="2"/>
  <c r="K1145" i="2" s="1"/>
  <c r="H1018" i="2"/>
  <c r="K1018" i="2" s="1"/>
  <c r="G1018" i="2"/>
  <c r="G1124" i="2"/>
  <c r="H1124" i="2"/>
  <c r="K1124" i="2" s="1"/>
  <c r="H1002" i="2"/>
  <c r="K1002" i="2" s="1"/>
  <c r="G1002" i="2"/>
  <c r="G1111" i="2"/>
  <c r="H1111" i="2"/>
  <c r="K1111" i="2" s="1"/>
  <c r="G1022" i="2"/>
  <c r="H1022" i="2"/>
  <c r="K1022" i="2" s="1"/>
  <c r="H1135" i="2"/>
  <c r="K1135" i="2" s="1"/>
  <c r="G1135" i="2"/>
  <c r="H1087" i="2"/>
  <c r="K1087" i="2" s="1"/>
  <c r="G1087" i="2"/>
  <c r="H1183" i="2"/>
  <c r="K1183" i="2" s="1"/>
  <c r="G1183" i="2"/>
  <c r="K1150" i="2"/>
  <c r="G1118" i="2"/>
  <c r="BV21" i="4"/>
  <c r="T1075" i="2"/>
  <c r="U956" i="2"/>
  <c r="T1012" i="2"/>
  <c r="T956" i="2"/>
  <c r="T892" i="2"/>
  <c r="T762" i="2"/>
  <c r="U365" i="2"/>
  <c r="U520" i="2"/>
  <c r="U64" i="2"/>
  <c r="T1058" i="2"/>
  <c r="G1149" i="2"/>
  <c r="H1149" i="2"/>
  <c r="K1149" i="2" s="1"/>
  <c r="H1030" i="2"/>
  <c r="K1030" i="2" s="1"/>
  <c r="G1030" i="2"/>
  <c r="G1117" i="2"/>
  <c r="H1117" i="2"/>
  <c r="K1117" i="2" s="1"/>
  <c r="G1085" i="2"/>
  <c r="H1085" i="2"/>
  <c r="K1085" i="2" s="1"/>
  <c r="G1016" i="2"/>
  <c r="H1016" i="2"/>
  <c r="K1016" i="2" s="1"/>
  <c r="K1055" i="2"/>
  <c r="BT25" i="4"/>
  <c r="U1060" i="2"/>
  <c r="K1114" i="2"/>
  <c r="U1120" i="2"/>
  <c r="T1179" i="2"/>
  <c r="G995" i="2"/>
  <c r="T918" i="2"/>
  <c r="U892" i="2"/>
  <c r="T716" i="2"/>
  <c r="T704" i="2"/>
  <c r="U762" i="2"/>
  <c r="U523" i="2"/>
  <c r="T628" i="2"/>
  <c r="U417" i="2"/>
  <c r="T226" i="2"/>
  <c r="AP18" i="4"/>
  <c r="U128" i="2"/>
  <c r="AE13" i="4"/>
  <c r="T88" i="2"/>
  <c r="H1060" i="2"/>
  <c r="K1060" i="2" s="1"/>
  <c r="H1104" i="2"/>
  <c r="K1104" i="2" s="1"/>
  <c r="H1172" i="2"/>
  <c r="K1172" i="2" s="1"/>
  <c r="U1058" i="2"/>
  <c r="H1187" i="2"/>
  <c r="K1187" i="2" s="1"/>
  <c r="G1187" i="2"/>
  <c r="G1034" i="2"/>
  <c r="H1034" i="2"/>
  <c r="K1034" i="2" s="1"/>
  <c r="H1038" i="2"/>
  <c r="K1038" i="2" s="1"/>
  <c r="G1038" i="2"/>
  <c r="H1024" i="2"/>
  <c r="K1024" i="2" s="1"/>
  <c r="G1024" i="2"/>
  <c r="K1020" i="2"/>
  <c r="AR14" i="4"/>
  <c r="T377" i="2"/>
  <c r="BW13" i="4"/>
  <c r="U1012" i="2"/>
  <c r="U918" i="2"/>
  <c r="T1192" i="2"/>
  <c r="G1043" i="2"/>
  <c r="U704" i="2"/>
  <c r="T622" i="2"/>
  <c r="T606" i="2"/>
  <c r="AX16" i="4"/>
  <c r="U628" i="2"/>
  <c r="T208" i="2"/>
  <c r="U186" i="2"/>
  <c r="H1191" i="2"/>
  <c r="K1191" i="2" s="1"/>
  <c r="G1191" i="2"/>
  <c r="G1155" i="2"/>
  <c r="H1155" i="2"/>
  <c r="K1155" i="2" s="1"/>
  <c r="H1083" i="2"/>
  <c r="K1083" i="2" s="1"/>
  <c r="G1083" i="2"/>
  <c r="H1061" i="2"/>
  <c r="K1061" i="2" s="1"/>
  <c r="G1061" i="2"/>
  <c r="H1032" i="2"/>
  <c r="K1032" i="2" s="1"/>
  <c r="G1032" i="2"/>
  <c r="G1107" i="2"/>
  <c r="H1107" i="2"/>
  <c r="K1107" i="2" s="1"/>
  <c r="BO16" i="4"/>
  <c r="T931" i="2"/>
  <c r="K1036" i="2"/>
  <c r="AL9" i="4"/>
  <c r="T228" i="2"/>
  <c r="G1167" i="2"/>
  <c r="H1167" i="2"/>
  <c r="K1167" i="2" s="1"/>
  <c r="G1013" i="2"/>
  <c r="G1178" i="2"/>
  <c r="U1179" i="2"/>
  <c r="H1069" i="2"/>
  <c r="K1069" i="2" s="1"/>
  <c r="U1186" i="2"/>
  <c r="K1074" i="2"/>
  <c r="K1068" i="2"/>
  <c r="T898" i="2"/>
  <c r="U1192" i="2"/>
  <c r="T664" i="2"/>
  <c r="K1190" i="2"/>
  <c r="G1014" i="2"/>
  <c r="T365" i="2"/>
  <c r="G1045" i="2"/>
  <c r="H1045" i="2"/>
  <c r="K1045" i="2" s="1"/>
  <c r="G1092" i="2"/>
  <c r="H1092" i="2"/>
  <c r="K1092" i="2" s="1"/>
  <c r="G980" i="2"/>
  <c r="H980" i="2"/>
  <c r="K980" i="2" s="1"/>
  <c r="K1027" i="2"/>
  <c r="G1096" i="2"/>
  <c r="H1096" i="2"/>
  <c r="K1096" i="2" s="1"/>
  <c r="G1113" i="2"/>
  <c r="H1113" i="2"/>
  <c r="K1113" i="2" s="1"/>
  <c r="AR22" i="4"/>
  <c r="T385" i="2"/>
  <c r="G532" i="2"/>
  <c r="H532" i="2"/>
  <c r="K532" i="2" s="1"/>
  <c r="T1186" i="2"/>
  <c r="U1196" i="2"/>
  <c r="T1133" i="2"/>
  <c r="K1130" i="2"/>
  <c r="U768" i="2"/>
  <c r="U539" i="2"/>
  <c r="U515" i="2"/>
  <c r="U535" i="2"/>
  <c r="K1148" i="2"/>
  <c r="K1186" i="2"/>
  <c r="H1054" i="2"/>
  <c r="K1054" i="2" s="1"/>
  <c r="G1054" i="2"/>
  <c r="H1099" i="2"/>
  <c r="K1099" i="2" s="1"/>
  <c r="G1099" i="2"/>
  <c r="AR18" i="4"/>
  <c r="T381" i="2"/>
  <c r="U116" i="2"/>
  <c r="U182" i="2"/>
  <c r="U74" i="2"/>
  <c r="T56" i="2"/>
  <c r="U55" i="2"/>
  <c r="T54" i="2"/>
  <c r="U54" i="2"/>
  <c r="U580" i="2"/>
  <c r="U214" i="2"/>
  <c r="U804" i="2"/>
  <c r="U178" i="2"/>
  <c r="BU25" i="4"/>
  <c r="T1084" i="2"/>
  <c r="BB20" i="4"/>
  <c r="T623" i="2"/>
  <c r="AV6" i="4"/>
  <c r="T465" i="2"/>
  <c r="AW18" i="4"/>
  <c r="T501" i="2"/>
  <c r="AT25" i="4"/>
  <c r="T436" i="2"/>
  <c r="U1163" i="2"/>
  <c r="U1151" i="2"/>
  <c r="T590" i="2"/>
  <c r="U558" i="2"/>
  <c r="T546" i="2"/>
  <c r="T608" i="2"/>
  <c r="T293" i="2"/>
  <c r="T311" i="2"/>
  <c r="T292" i="2"/>
  <c r="T28" i="2"/>
  <c r="AY16" i="4"/>
  <c r="T547" i="2"/>
  <c r="AR17" i="4"/>
  <c r="T380" i="2"/>
  <c r="AM13" i="4"/>
  <c r="T256" i="2"/>
  <c r="AU9" i="4"/>
  <c r="T444" i="2"/>
  <c r="BC16" i="4"/>
  <c r="T643" i="2"/>
  <c r="AQ17" i="4"/>
  <c r="T356" i="2"/>
  <c r="BE7" i="4"/>
  <c r="U682" i="2"/>
  <c r="AW12" i="4"/>
  <c r="T495" i="2"/>
  <c r="AL17" i="4"/>
  <c r="T236" i="2"/>
  <c r="AN15" i="4"/>
  <c r="U282" i="2"/>
  <c r="T282" i="2"/>
  <c r="AM23" i="4"/>
  <c r="T266" i="2"/>
  <c r="BX20" i="4"/>
  <c r="U738" i="2"/>
  <c r="U615" i="2"/>
  <c r="T654" i="2"/>
  <c r="U546" i="2"/>
  <c r="T375" i="2"/>
  <c r="T291" i="2"/>
  <c r="U202" i="2"/>
  <c r="U170" i="2"/>
  <c r="U138" i="2"/>
  <c r="T419" i="2"/>
  <c r="AO20" i="4"/>
  <c r="T305" i="2"/>
  <c r="U292" i="2"/>
  <c r="U28" i="2"/>
  <c r="BB4" i="4"/>
  <c r="T607" i="2"/>
  <c r="BN16" i="4"/>
  <c r="T907" i="2"/>
  <c r="AU10" i="4"/>
  <c r="T445" i="2"/>
  <c r="AR9" i="4"/>
  <c r="T372" i="2"/>
  <c r="AQ25" i="4"/>
  <c r="T364" i="2"/>
  <c r="AN9" i="4"/>
  <c r="T276" i="2"/>
  <c r="AU21" i="4"/>
  <c r="T456" i="2"/>
  <c r="AQ21" i="4"/>
  <c r="T360" i="2"/>
  <c r="AT18" i="4"/>
  <c r="T429" i="2"/>
  <c r="AN11" i="4"/>
  <c r="T278" i="2"/>
  <c r="AS9" i="4"/>
  <c r="T396" i="2"/>
  <c r="AS17" i="4"/>
  <c r="T404" i="2"/>
  <c r="U1046" i="2"/>
  <c r="U579" i="2"/>
  <c r="T878" i="2"/>
  <c r="U616" i="2"/>
  <c r="T576" i="2"/>
  <c r="U375" i="2"/>
  <c r="AN24" i="4"/>
  <c r="U419" i="2"/>
  <c r="U305" i="2"/>
  <c r="T44" i="2"/>
  <c r="U44" i="2"/>
  <c r="T15" i="2"/>
  <c r="AL5" i="4"/>
  <c r="T224" i="2"/>
  <c r="AT17" i="4"/>
  <c r="T428" i="2"/>
  <c r="AQ14" i="4"/>
  <c r="T353" i="2"/>
  <c r="AR21" i="4"/>
  <c r="T384" i="2"/>
  <c r="AD14" i="4"/>
  <c r="T41" i="2"/>
  <c r="U41" i="2"/>
  <c r="AU25" i="4"/>
  <c r="T460" i="2"/>
  <c r="T1046" i="2"/>
  <c r="T776" i="2"/>
  <c r="U878" i="2"/>
  <c r="T832" i="2"/>
  <c r="T842" i="2"/>
  <c r="U465" i="2"/>
  <c r="U436" i="2"/>
  <c r="U98" i="2"/>
  <c r="T170" i="2"/>
  <c r="T138" i="2"/>
  <c r="T42" i="2"/>
  <c r="U15" i="2"/>
  <c r="BA12" i="4"/>
  <c r="T591" i="2"/>
  <c r="BP12" i="4"/>
  <c r="T951" i="2"/>
  <c r="AV18" i="4"/>
  <c r="T477" i="2"/>
  <c r="AR25" i="4"/>
  <c r="T388" i="2"/>
  <c r="AU17" i="4"/>
  <c r="T452" i="2"/>
  <c r="BB24" i="4"/>
  <c r="T627" i="2"/>
  <c r="AZ12" i="4"/>
  <c r="T567" i="2"/>
  <c r="AT9" i="4"/>
  <c r="T420" i="2"/>
  <c r="AO21" i="4"/>
  <c r="T312" i="2"/>
  <c r="AS13" i="4"/>
  <c r="T400" i="2"/>
  <c r="AR5" i="4"/>
  <c r="T368" i="2"/>
  <c r="BO8" i="4"/>
  <c r="T923" i="2"/>
  <c r="T1026" i="2"/>
  <c r="U158" i="2"/>
  <c r="U42" i="2"/>
  <c r="BM16" i="4"/>
  <c r="T883" i="2"/>
  <c r="AT21" i="4"/>
  <c r="T432" i="2"/>
  <c r="AC23" i="4"/>
  <c r="T26" i="2"/>
  <c r="AO13" i="4"/>
  <c r="T304" i="2"/>
  <c r="U304" i="2"/>
  <c r="AD3" i="4"/>
  <c r="T30" i="2"/>
  <c r="AY20" i="4"/>
  <c r="T551" i="2"/>
  <c r="AN19" i="4"/>
  <c r="U286" i="2"/>
  <c r="BA16" i="4"/>
  <c r="T595" i="2"/>
  <c r="U776" i="2"/>
  <c r="T740" i="2"/>
  <c r="U654" i="2"/>
  <c r="U923" i="2"/>
  <c r="U384" i="2"/>
  <c r="U460" i="2"/>
  <c r="U154" i="2"/>
  <c r="U86" i="2"/>
  <c r="AT5" i="4"/>
  <c r="T416" i="2"/>
  <c r="BC12" i="4"/>
  <c r="T639" i="2"/>
  <c r="AZ20" i="4"/>
  <c r="T575" i="2"/>
  <c r="BO24" i="4"/>
  <c r="T939" i="2"/>
  <c r="BN20" i="4"/>
  <c r="T911" i="2"/>
  <c r="AD12" i="4"/>
  <c r="U39" i="2"/>
  <c r="T39" i="2"/>
  <c r="AV2" i="4"/>
  <c r="T461" i="2"/>
  <c r="AC7" i="4"/>
  <c r="T10" i="2"/>
  <c r="AV22" i="4"/>
  <c r="T481" i="2"/>
  <c r="AC11" i="4"/>
  <c r="T14" i="2"/>
  <c r="AS25" i="4"/>
  <c r="T412" i="2"/>
  <c r="BE5" i="4"/>
  <c r="U680" i="2"/>
  <c r="T680" i="2"/>
  <c r="BZ14" i="4"/>
  <c r="U1193" i="2"/>
  <c r="T1193" i="2"/>
  <c r="BZ10" i="4"/>
  <c r="U1189" i="2"/>
  <c r="T1189" i="2"/>
  <c r="BR14" i="4"/>
  <c r="U1001" i="2"/>
  <c r="T1001" i="2"/>
  <c r="BX3" i="4"/>
  <c r="T1134" i="2"/>
  <c r="U1134" i="2"/>
  <c r="BY15" i="4"/>
  <c r="T1170" i="2"/>
  <c r="U1170" i="2"/>
  <c r="BR10" i="4"/>
  <c r="U997" i="2"/>
  <c r="T997" i="2"/>
  <c r="BO18" i="4"/>
  <c r="U933" i="2"/>
  <c r="T933" i="2"/>
  <c r="BZ3" i="4"/>
  <c r="U1182" i="2"/>
  <c r="T1182" i="2"/>
  <c r="BP22" i="4"/>
  <c r="U961" i="2"/>
  <c r="T961" i="2"/>
  <c r="T1158" i="2"/>
  <c r="BY3" i="4"/>
  <c r="U1158" i="2"/>
  <c r="BS16" i="4"/>
  <c r="U1027" i="2"/>
  <c r="T1027" i="2"/>
  <c r="BJ2" i="4"/>
  <c r="U797" i="2"/>
  <c r="T797" i="2"/>
  <c r="BH18" i="4"/>
  <c r="U765" i="2"/>
  <c r="T765" i="2"/>
  <c r="BU4" i="4"/>
  <c r="U1063" i="2"/>
  <c r="T1063" i="2"/>
  <c r="BN2" i="4"/>
  <c r="U893" i="2"/>
  <c r="T893" i="2"/>
  <c r="BI12" i="4"/>
  <c r="U783" i="2"/>
  <c r="T783" i="2"/>
  <c r="BF6" i="4"/>
  <c r="T705" i="2"/>
  <c r="U705" i="2"/>
  <c r="BD24" i="4"/>
  <c r="T675" i="2"/>
  <c r="U675" i="2"/>
  <c r="AW19" i="4"/>
  <c r="T502" i="2"/>
  <c r="U502" i="2"/>
  <c r="AV11" i="4"/>
  <c r="U470" i="2"/>
  <c r="T470" i="2"/>
  <c r="AU3" i="4"/>
  <c r="U438" i="2"/>
  <c r="T438" i="2"/>
  <c r="AS19" i="4"/>
  <c r="T406" i="2"/>
  <c r="AR11" i="4"/>
  <c r="U374" i="2"/>
  <c r="T374" i="2"/>
  <c r="AV25" i="4"/>
  <c r="U484" i="2"/>
  <c r="T484" i="2"/>
  <c r="AP11" i="4"/>
  <c r="U326" i="2"/>
  <c r="T326" i="2"/>
  <c r="U359" i="2"/>
  <c r="AM2" i="4"/>
  <c r="T245" i="2"/>
  <c r="AL10" i="4"/>
  <c r="U229" i="2"/>
  <c r="T229" i="2"/>
  <c r="AK18" i="4"/>
  <c r="T213" i="2"/>
  <c r="AK2" i="4"/>
  <c r="U197" i="2"/>
  <c r="T197" i="2"/>
  <c r="AJ10" i="4"/>
  <c r="U181" i="2"/>
  <c r="T181" i="2"/>
  <c r="AI18" i="4"/>
  <c r="U165" i="2"/>
  <c r="T165" i="2"/>
  <c r="AI2" i="4"/>
  <c r="U149" i="2"/>
  <c r="T149" i="2"/>
  <c r="AH10" i="4"/>
  <c r="U133" i="2"/>
  <c r="T133" i="2"/>
  <c r="AG18" i="4"/>
  <c r="U117" i="2"/>
  <c r="T117" i="2"/>
  <c r="AG2" i="4"/>
  <c r="U101" i="2"/>
  <c r="T101" i="2"/>
  <c r="AF10" i="4"/>
  <c r="U85" i="2"/>
  <c r="T85" i="2"/>
  <c r="AO5" i="4"/>
  <c r="T296" i="2"/>
  <c r="U296" i="2"/>
  <c r="U84" i="2"/>
  <c r="U255" i="2"/>
  <c r="AC14" i="4"/>
  <c r="U17" i="2"/>
  <c r="T17" i="2"/>
  <c r="BZ6" i="4"/>
  <c r="T1185" i="2"/>
  <c r="U1185" i="2"/>
  <c r="BQ6" i="4"/>
  <c r="U969" i="2"/>
  <c r="T969" i="2"/>
  <c r="BU15" i="4"/>
  <c r="T1074" i="2"/>
  <c r="U1074" i="2"/>
  <c r="BY23" i="4"/>
  <c r="T1178" i="2"/>
  <c r="U1178" i="2"/>
  <c r="BT16" i="4"/>
  <c r="U1051" i="2"/>
  <c r="T1051" i="2"/>
  <c r="BV23" i="4"/>
  <c r="T1106" i="2"/>
  <c r="U1106" i="2"/>
  <c r="BS14" i="4"/>
  <c r="U1025" i="2"/>
  <c r="T1025" i="2"/>
  <c r="BR24" i="4"/>
  <c r="U1011" i="2"/>
  <c r="T1011" i="2"/>
  <c r="BK10" i="4"/>
  <c r="U829" i="2"/>
  <c r="T829" i="2"/>
  <c r="BL4" i="4"/>
  <c r="U847" i="2"/>
  <c r="T847" i="2"/>
  <c r="BH4" i="4"/>
  <c r="U751" i="2"/>
  <c r="T751" i="2"/>
  <c r="BF14" i="4"/>
  <c r="T713" i="2"/>
  <c r="BD7" i="4"/>
  <c r="U658" i="2"/>
  <c r="T658" i="2"/>
  <c r="BC22" i="4"/>
  <c r="T649" i="2"/>
  <c r="U649" i="2"/>
  <c r="BC6" i="4"/>
  <c r="T633" i="2"/>
  <c r="U633" i="2"/>
  <c r="BB14" i="4"/>
  <c r="T617" i="2"/>
  <c r="U617" i="2"/>
  <c r="BA22" i="4"/>
  <c r="T601" i="2"/>
  <c r="U601" i="2"/>
  <c r="BA2" i="4"/>
  <c r="T581" i="2"/>
  <c r="U581" i="2"/>
  <c r="AV7" i="4"/>
  <c r="U466" i="2"/>
  <c r="T466" i="2"/>
  <c r="AT23" i="4"/>
  <c r="U434" i="2"/>
  <c r="T434" i="2"/>
  <c r="AS15" i="4"/>
  <c r="T402" i="2"/>
  <c r="AR7" i="4"/>
  <c r="U370" i="2"/>
  <c r="T370" i="2"/>
  <c r="BA6" i="4"/>
  <c r="T585" i="2"/>
  <c r="U585" i="2"/>
  <c r="AY3" i="4"/>
  <c r="T534" i="2"/>
  <c r="U534" i="2"/>
  <c r="AV21" i="4"/>
  <c r="U480" i="2"/>
  <c r="T480" i="2"/>
  <c r="AZ14" i="4"/>
  <c r="T569" i="2"/>
  <c r="U569" i="2"/>
  <c r="AY22" i="4"/>
  <c r="T553" i="2"/>
  <c r="U553" i="2"/>
  <c r="AY14" i="4"/>
  <c r="T545" i="2"/>
  <c r="U545" i="2"/>
  <c r="AO6" i="4"/>
  <c r="U297" i="2"/>
  <c r="T297" i="2"/>
  <c r="AM22" i="4"/>
  <c r="U265" i="2"/>
  <c r="T265" i="2"/>
  <c r="AN16" i="4"/>
  <c r="T283" i="2"/>
  <c r="U283" i="2"/>
  <c r="U335" i="2"/>
  <c r="AO17" i="4"/>
  <c r="U308" i="2"/>
  <c r="T308" i="2"/>
  <c r="AN21" i="4"/>
  <c r="U288" i="2"/>
  <c r="T288" i="2"/>
  <c r="U216" i="2"/>
  <c r="U183" i="2"/>
  <c r="U80" i="2"/>
  <c r="AF12" i="4"/>
  <c r="T87" i="2"/>
  <c r="U87" i="2"/>
  <c r="AC10" i="4"/>
  <c r="U13" i="2"/>
  <c r="T13" i="2"/>
  <c r="AE6" i="4"/>
  <c r="U57" i="2"/>
  <c r="T57" i="2"/>
  <c r="AD22" i="4"/>
  <c r="U49" i="2"/>
  <c r="T49" i="2"/>
  <c r="BQ10" i="4"/>
  <c r="U973" i="2"/>
  <c r="T973" i="2"/>
  <c r="BT18" i="4"/>
  <c r="T1053" i="2"/>
  <c r="U1053" i="2"/>
  <c r="BS10" i="4"/>
  <c r="U1021" i="2"/>
  <c r="T1021" i="2"/>
  <c r="BR2" i="4"/>
  <c r="U989" i="2"/>
  <c r="T989" i="2"/>
  <c r="BP18" i="4"/>
  <c r="U957" i="2"/>
  <c r="T957" i="2"/>
  <c r="BO10" i="4"/>
  <c r="U925" i="2"/>
  <c r="T925" i="2"/>
  <c r="BW19" i="4"/>
  <c r="T1126" i="2"/>
  <c r="U1126" i="2"/>
  <c r="BX15" i="4"/>
  <c r="T1146" i="2"/>
  <c r="U1146" i="2"/>
  <c r="BV19" i="4"/>
  <c r="T1102" i="2"/>
  <c r="U1102" i="2"/>
  <c r="BU7" i="4"/>
  <c r="T1066" i="2"/>
  <c r="U1066" i="2"/>
  <c r="BY6" i="4"/>
  <c r="T1161" i="2"/>
  <c r="U1161" i="2"/>
  <c r="BN18" i="4"/>
  <c r="U909" i="2"/>
  <c r="T909" i="2"/>
  <c r="BL14" i="4"/>
  <c r="U857" i="2"/>
  <c r="T857" i="2"/>
  <c r="BK6" i="4"/>
  <c r="U825" i="2"/>
  <c r="T825" i="2"/>
  <c r="BI22" i="4"/>
  <c r="U793" i="2"/>
  <c r="T793" i="2"/>
  <c r="BH14" i="4"/>
  <c r="U761" i="2"/>
  <c r="T761" i="2"/>
  <c r="BU3" i="4"/>
  <c r="T1062" i="2"/>
  <c r="U1062" i="2"/>
  <c r="BK24" i="4"/>
  <c r="U843" i="2"/>
  <c r="T843" i="2"/>
  <c r="BJ16" i="4"/>
  <c r="U811" i="2"/>
  <c r="T811" i="2"/>
  <c r="BI8" i="4"/>
  <c r="U779" i="2"/>
  <c r="T779" i="2"/>
  <c r="BG24" i="4"/>
  <c r="T747" i="2"/>
  <c r="BS6" i="4"/>
  <c r="U1017" i="2"/>
  <c r="T1017" i="2"/>
  <c r="BQ22" i="4"/>
  <c r="U985" i="2"/>
  <c r="T985" i="2"/>
  <c r="BP14" i="4"/>
  <c r="U953" i="2"/>
  <c r="T953" i="2"/>
  <c r="BO6" i="4"/>
  <c r="U921" i="2"/>
  <c r="T921" i="2"/>
  <c r="BV11" i="4"/>
  <c r="T1094" i="2"/>
  <c r="U1094" i="2"/>
  <c r="BT4" i="4"/>
  <c r="U1039" i="2"/>
  <c r="T1039" i="2"/>
  <c r="BS12" i="4"/>
  <c r="U1023" i="2"/>
  <c r="T1023" i="2"/>
  <c r="BR20" i="4"/>
  <c r="U1007" i="2"/>
  <c r="T1007" i="2"/>
  <c r="BR4" i="4"/>
  <c r="U991" i="2"/>
  <c r="T991" i="2"/>
  <c r="BQ12" i="4"/>
  <c r="U975" i="2"/>
  <c r="T975" i="2"/>
  <c r="BY19" i="4"/>
  <c r="T1174" i="2"/>
  <c r="U1174" i="2"/>
  <c r="BL10" i="4"/>
  <c r="U853" i="2"/>
  <c r="T853" i="2"/>
  <c r="BK2" i="4"/>
  <c r="U821" i="2"/>
  <c r="T821" i="2"/>
  <c r="BI18" i="4"/>
  <c r="U789" i="2"/>
  <c r="T789" i="2"/>
  <c r="BH10" i="4"/>
  <c r="U757" i="2"/>
  <c r="T757" i="2"/>
  <c r="BO2" i="4"/>
  <c r="T917" i="2"/>
  <c r="U917" i="2"/>
  <c r="BM22" i="4"/>
  <c r="U889" i="2"/>
  <c r="T889" i="2"/>
  <c r="BK20" i="4"/>
  <c r="U839" i="2"/>
  <c r="T839" i="2"/>
  <c r="BJ12" i="4"/>
  <c r="U807" i="2"/>
  <c r="T807" i="2"/>
  <c r="BI4" i="4"/>
  <c r="U775" i="2"/>
  <c r="T775" i="2"/>
  <c r="BG20" i="4"/>
  <c r="T743" i="2"/>
  <c r="BN14" i="4"/>
  <c r="U905" i="2"/>
  <c r="T905" i="2"/>
  <c r="BF4" i="4"/>
  <c r="U703" i="2"/>
  <c r="T703" i="2"/>
  <c r="BF24" i="4"/>
  <c r="U723" i="2"/>
  <c r="T723" i="2"/>
  <c r="BG22" i="4"/>
  <c r="T745" i="2"/>
  <c r="BM14" i="4"/>
  <c r="U881" i="2"/>
  <c r="T881" i="2"/>
  <c r="BF22" i="4"/>
  <c r="T721" i="2"/>
  <c r="BE19" i="4"/>
  <c r="T694" i="2"/>
  <c r="U694" i="2"/>
  <c r="BD18" i="4"/>
  <c r="T669" i="2"/>
  <c r="U669" i="2"/>
  <c r="BG14" i="4"/>
  <c r="T737" i="2"/>
  <c r="BF16" i="4"/>
  <c r="T715" i="2"/>
  <c r="AW13" i="4"/>
  <c r="U496" i="2"/>
  <c r="T496" i="2"/>
  <c r="AV3" i="4"/>
  <c r="U462" i="2"/>
  <c r="T462" i="2"/>
  <c r="AT19" i="4"/>
  <c r="U430" i="2"/>
  <c r="T430" i="2"/>
  <c r="AS11" i="4"/>
  <c r="U398" i="2"/>
  <c r="T398" i="2"/>
  <c r="AR3" i="4"/>
  <c r="U366" i="2"/>
  <c r="T366" i="2"/>
  <c r="BA14" i="4"/>
  <c r="T593" i="2"/>
  <c r="U593" i="2"/>
  <c r="AV17" i="4"/>
  <c r="U476" i="2"/>
  <c r="T476" i="2"/>
  <c r="AY7" i="4"/>
  <c r="T538" i="2"/>
  <c r="U538" i="2"/>
  <c r="U90" i="2"/>
  <c r="AM18" i="4"/>
  <c r="U261" i="2"/>
  <c r="T261" i="2"/>
  <c r="AL22" i="4"/>
  <c r="U241" i="2"/>
  <c r="T241" i="2"/>
  <c r="AL6" i="4"/>
  <c r="U225" i="2"/>
  <c r="T225" i="2"/>
  <c r="AK14" i="4"/>
  <c r="T209" i="2"/>
  <c r="AJ22" i="4"/>
  <c r="U193" i="2"/>
  <c r="T193" i="2"/>
  <c r="AJ6" i="4"/>
  <c r="U177" i="2"/>
  <c r="T177" i="2"/>
  <c r="AI14" i="4"/>
  <c r="U161" i="2"/>
  <c r="T161" i="2"/>
  <c r="AH22" i="4"/>
  <c r="U145" i="2"/>
  <c r="T145" i="2"/>
  <c r="AH6" i="4"/>
  <c r="U129" i="2"/>
  <c r="T129" i="2"/>
  <c r="AG14" i="4"/>
  <c r="U113" i="2"/>
  <c r="T113" i="2"/>
  <c r="AF22" i="4"/>
  <c r="U97" i="2"/>
  <c r="T97" i="2"/>
  <c r="AF6" i="4"/>
  <c r="U81" i="2"/>
  <c r="T81" i="2"/>
  <c r="AQ11" i="4"/>
  <c r="T350" i="2"/>
  <c r="U350" i="2"/>
  <c r="AO23" i="4"/>
  <c r="T314" i="2"/>
  <c r="U314" i="2"/>
  <c r="AX23" i="4"/>
  <c r="T530" i="2"/>
  <c r="U530" i="2"/>
  <c r="AO16" i="4"/>
  <c r="T307" i="2"/>
  <c r="U307" i="2"/>
  <c r="AC6" i="4"/>
  <c r="U9" i="2"/>
  <c r="T9" i="2"/>
  <c r="AF8" i="4"/>
  <c r="T83" i="2"/>
  <c r="U83" i="2"/>
  <c r="BP2" i="4"/>
  <c r="U941" i="2"/>
  <c r="T941" i="2"/>
  <c r="BT14" i="4"/>
  <c r="T1049" i="2"/>
  <c r="U1049" i="2"/>
  <c r="BR6" i="4"/>
  <c r="U993" i="2"/>
  <c r="T993" i="2"/>
  <c r="BO14" i="4"/>
  <c r="U929" i="2"/>
  <c r="T929" i="2"/>
  <c r="T995" i="2"/>
  <c r="BQ16" i="4"/>
  <c r="U979" i="2"/>
  <c r="T979" i="2"/>
  <c r="BL18" i="4"/>
  <c r="U861" i="2"/>
  <c r="T861" i="2"/>
  <c r="BY7" i="4"/>
  <c r="T1162" i="2"/>
  <c r="U1162" i="2"/>
  <c r="BJ20" i="4"/>
  <c r="U815" i="2"/>
  <c r="T815" i="2"/>
  <c r="BG6" i="4"/>
  <c r="T729" i="2"/>
  <c r="U729" i="2"/>
  <c r="BZ22" i="4"/>
  <c r="U1201" i="2"/>
  <c r="T1201" i="2"/>
  <c r="BU23" i="4"/>
  <c r="T1082" i="2"/>
  <c r="U1082" i="2"/>
  <c r="BX7" i="4"/>
  <c r="T1138" i="2"/>
  <c r="U1138" i="2"/>
  <c r="BT12" i="4"/>
  <c r="U1047" i="2"/>
  <c r="T1047" i="2"/>
  <c r="BS2" i="4"/>
  <c r="U1013" i="2"/>
  <c r="T1013" i="2"/>
  <c r="BQ18" i="4"/>
  <c r="U981" i="2"/>
  <c r="T981" i="2"/>
  <c r="BP10" i="4"/>
  <c r="U949" i="2"/>
  <c r="T949" i="2"/>
  <c r="BY11" i="4"/>
  <c r="T1166" i="2"/>
  <c r="U1166" i="2"/>
  <c r="BW15" i="4"/>
  <c r="T1122" i="2"/>
  <c r="U1122" i="2"/>
  <c r="BU19" i="4"/>
  <c r="T1078" i="2"/>
  <c r="U1078" i="2"/>
  <c r="BX11" i="4"/>
  <c r="T1142" i="2"/>
  <c r="U1142" i="2"/>
  <c r="BM9" i="4"/>
  <c r="U876" i="2"/>
  <c r="T876" i="2"/>
  <c r="BL6" i="4"/>
  <c r="U849" i="2"/>
  <c r="T849" i="2"/>
  <c r="BJ22" i="4"/>
  <c r="U817" i="2"/>
  <c r="T817" i="2"/>
  <c r="BI14" i="4"/>
  <c r="U785" i="2"/>
  <c r="T785" i="2"/>
  <c r="BH6" i="4"/>
  <c r="U753" i="2"/>
  <c r="T753" i="2"/>
  <c r="BN22" i="4"/>
  <c r="T913" i="2"/>
  <c r="U913" i="2"/>
  <c r="BL24" i="4"/>
  <c r="U867" i="2"/>
  <c r="T867" i="2"/>
  <c r="BK16" i="4"/>
  <c r="U835" i="2"/>
  <c r="T835" i="2"/>
  <c r="BJ8" i="4"/>
  <c r="U803" i="2"/>
  <c r="T803" i="2"/>
  <c r="BH24" i="4"/>
  <c r="U771" i="2"/>
  <c r="T771" i="2"/>
  <c r="BG16" i="4"/>
  <c r="T739" i="2"/>
  <c r="BV14" i="4"/>
  <c r="T1097" i="2"/>
  <c r="U1097" i="2"/>
  <c r="BU11" i="4"/>
  <c r="T1070" i="2"/>
  <c r="U1070" i="2"/>
  <c r="BD19" i="4"/>
  <c r="U670" i="2"/>
  <c r="T670" i="2"/>
  <c r="BW22" i="4"/>
  <c r="T1129" i="2"/>
  <c r="U1129" i="2"/>
  <c r="BD14" i="4"/>
  <c r="T665" i="2"/>
  <c r="U665" i="2"/>
  <c r="BC18" i="4"/>
  <c r="T645" i="2"/>
  <c r="U645" i="2"/>
  <c r="BC2" i="4"/>
  <c r="T629" i="2"/>
  <c r="U629" i="2"/>
  <c r="BB10" i="4"/>
  <c r="T613" i="2"/>
  <c r="U613" i="2"/>
  <c r="BA18" i="4"/>
  <c r="T597" i="2"/>
  <c r="U597" i="2"/>
  <c r="AZ22" i="4"/>
  <c r="T577" i="2"/>
  <c r="U577" i="2"/>
  <c r="AW7" i="4"/>
  <c r="U490" i="2"/>
  <c r="T490" i="2"/>
  <c r="AU23" i="4"/>
  <c r="U458" i="2"/>
  <c r="T458" i="2"/>
  <c r="AT15" i="4"/>
  <c r="U426" i="2"/>
  <c r="T426" i="2"/>
  <c r="AS7" i="4"/>
  <c r="U394" i="2"/>
  <c r="T394" i="2"/>
  <c r="AQ23" i="4"/>
  <c r="T362" i="2"/>
  <c r="AX11" i="4"/>
  <c r="T518" i="2"/>
  <c r="U518" i="2"/>
  <c r="AV13" i="4"/>
  <c r="U472" i="2"/>
  <c r="T472" i="2"/>
  <c r="AZ10" i="4"/>
  <c r="T565" i="2"/>
  <c r="U565" i="2"/>
  <c r="AY18" i="4"/>
  <c r="T549" i="2"/>
  <c r="U549" i="2"/>
  <c r="AQ7" i="4"/>
  <c r="T346" i="2"/>
  <c r="U346" i="2"/>
  <c r="AM14" i="4"/>
  <c r="T257" i="2"/>
  <c r="AF2" i="4"/>
  <c r="U77" i="2"/>
  <c r="T77" i="2"/>
  <c r="AP19" i="4"/>
  <c r="U334" i="2"/>
  <c r="T334" i="2"/>
  <c r="AP3" i="4"/>
  <c r="U318" i="2"/>
  <c r="T318" i="2"/>
  <c r="U180" i="2"/>
  <c r="U100" i="2"/>
  <c r="U179" i="2"/>
  <c r="AE20" i="4"/>
  <c r="T71" i="2"/>
  <c r="U71" i="2"/>
  <c r="AC2" i="4"/>
  <c r="U5" i="2"/>
  <c r="T5" i="2"/>
  <c r="U278" i="2"/>
  <c r="BZ18" i="4"/>
  <c r="U1197" i="2"/>
  <c r="T1197" i="2"/>
  <c r="BT6" i="4"/>
  <c r="U1041" i="2"/>
  <c r="T1041" i="2"/>
  <c r="BR22" i="4"/>
  <c r="U1009" i="2"/>
  <c r="T1009" i="2"/>
  <c r="BQ14" i="4"/>
  <c r="U977" i="2"/>
  <c r="T977" i="2"/>
  <c r="BP6" i="4"/>
  <c r="U945" i="2"/>
  <c r="T945" i="2"/>
  <c r="BW7" i="4"/>
  <c r="T1114" i="2"/>
  <c r="U1114" i="2"/>
  <c r="BT22" i="4"/>
  <c r="T1057" i="2"/>
  <c r="U1057" i="2"/>
  <c r="BS24" i="4"/>
  <c r="U1035" i="2"/>
  <c r="T1035" i="2"/>
  <c r="BS8" i="4"/>
  <c r="U1019" i="2"/>
  <c r="T1019" i="2"/>
  <c r="BR16" i="4"/>
  <c r="U1003" i="2"/>
  <c r="T1003" i="2"/>
  <c r="BQ24" i="4"/>
  <c r="U987" i="2"/>
  <c r="T987" i="2"/>
  <c r="BV15" i="4"/>
  <c r="T1098" i="2"/>
  <c r="U1098" i="2"/>
  <c r="BL2" i="4"/>
  <c r="U845" i="2"/>
  <c r="T845" i="2"/>
  <c r="BJ18" i="4"/>
  <c r="U813" i="2"/>
  <c r="T813" i="2"/>
  <c r="BI10" i="4"/>
  <c r="U781" i="2"/>
  <c r="T781" i="2"/>
  <c r="BW23" i="4"/>
  <c r="T1130" i="2"/>
  <c r="U1130" i="2"/>
  <c r="BL20" i="4"/>
  <c r="U863" i="2"/>
  <c r="T863" i="2"/>
  <c r="BK12" i="4"/>
  <c r="U831" i="2"/>
  <c r="T831" i="2"/>
  <c r="BJ4" i="4"/>
  <c r="U799" i="2"/>
  <c r="T799" i="2"/>
  <c r="BH20" i="4"/>
  <c r="U767" i="2"/>
  <c r="T767" i="2"/>
  <c r="BG12" i="4"/>
  <c r="U735" i="2"/>
  <c r="T735" i="2"/>
  <c r="BF18" i="4"/>
  <c r="T717" i="2"/>
  <c r="U772" i="2"/>
  <c r="BG2" i="4"/>
  <c r="T725" i="2"/>
  <c r="U725" i="2"/>
  <c r="BE24" i="4"/>
  <c r="U699" i="2"/>
  <c r="T699" i="2"/>
  <c r="BD10" i="4"/>
  <c r="T661" i="2"/>
  <c r="U661" i="2"/>
  <c r="BF10" i="4"/>
  <c r="T709" i="2"/>
  <c r="U709" i="2"/>
  <c r="AW3" i="4"/>
  <c r="U486" i="2"/>
  <c r="T486" i="2"/>
  <c r="AU19" i="4"/>
  <c r="U454" i="2"/>
  <c r="T454" i="2"/>
  <c r="AT11" i="4"/>
  <c r="U422" i="2"/>
  <c r="T422" i="2"/>
  <c r="AS3" i="4"/>
  <c r="U390" i="2"/>
  <c r="T390" i="2"/>
  <c r="AQ19" i="4"/>
  <c r="T358" i="2"/>
  <c r="AY11" i="4"/>
  <c r="T542" i="2"/>
  <c r="U542" i="2"/>
  <c r="BA10" i="4"/>
  <c r="T589" i="2"/>
  <c r="U589" i="2"/>
  <c r="U409" i="2"/>
  <c r="AV9" i="4"/>
  <c r="U468" i="2"/>
  <c r="T468" i="2"/>
  <c r="AX15" i="4"/>
  <c r="T522" i="2"/>
  <c r="U522" i="2"/>
  <c r="AW15" i="4"/>
  <c r="T498" i="2"/>
  <c r="U498" i="2"/>
  <c r="AM10" i="4"/>
  <c r="T253" i="2"/>
  <c r="AL18" i="4"/>
  <c r="U237" i="2"/>
  <c r="T237" i="2"/>
  <c r="AL2" i="4"/>
  <c r="U221" i="2"/>
  <c r="T221" i="2"/>
  <c r="AK10" i="4"/>
  <c r="T205" i="2"/>
  <c r="AJ18" i="4"/>
  <c r="U189" i="2"/>
  <c r="T189" i="2"/>
  <c r="AJ2" i="4"/>
  <c r="U173" i="2"/>
  <c r="T173" i="2"/>
  <c r="AI10" i="4"/>
  <c r="U157" i="2"/>
  <c r="T157" i="2"/>
  <c r="AH18" i="4"/>
  <c r="U141" i="2"/>
  <c r="T141" i="2"/>
  <c r="AH2" i="4"/>
  <c r="U125" i="2"/>
  <c r="T125" i="2"/>
  <c r="AG10" i="4"/>
  <c r="U109" i="2"/>
  <c r="T109" i="2"/>
  <c r="AF18" i="4"/>
  <c r="U93" i="2"/>
  <c r="T93" i="2"/>
  <c r="AE22" i="4"/>
  <c r="U73" i="2"/>
  <c r="T73" i="2"/>
  <c r="AQ3" i="4"/>
  <c r="T342" i="2"/>
  <c r="U342" i="2"/>
  <c r="AX7" i="4"/>
  <c r="T514" i="2"/>
  <c r="U514" i="2"/>
  <c r="AO10" i="4"/>
  <c r="T301" i="2"/>
  <c r="AF4" i="4"/>
  <c r="T79" i="2"/>
  <c r="U79" i="2"/>
  <c r="U159" i="2"/>
  <c r="U95" i="2"/>
  <c r="U99" i="2"/>
  <c r="AD6" i="4"/>
  <c r="U33" i="2"/>
  <c r="T33" i="2"/>
  <c r="BT2" i="4"/>
  <c r="U1037" i="2"/>
  <c r="T1037" i="2"/>
  <c r="BW3" i="4"/>
  <c r="T1110" i="2"/>
  <c r="U1110" i="2"/>
  <c r="BN6" i="4"/>
  <c r="U897" i="2"/>
  <c r="T897" i="2"/>
  <c r="BK22" i="4"/>
  <c r="U841" i="2"/>
  <c r="T841" i="2"/>
  <c r="BJ14" i="4"/>
  <c r="U809" i="2"/>
  <c r="T809" i="2"/>
  <c r="BI6" i="4"/>
  <c r="U777" i="2"/>
  <c r="T777" i="2"/>
  <c r="BN10" i="4"/>
  <c r="T901" i="2"/>
  <c r="U901" i="2"/>
  <c r="BL16" i="4"/>
  <c r="U859" i="2"/>
  <c r="T859" i="2"/>
  <c r="BK8" i="4"/>
  <c r="U827" i="2"/>
  <c r="T827" i="2"/>
  <c r="BI24" i="4"/>
  <c r="U795" i="2"/>
  <c r="T795" i="2"/>
  <c r="BH16" i="4"/>
  <c r="U763" i="2"/>
  <c r="T763" i="2"/>
  <c r="BG8" i="4"/>
  <c r="U731" i="2"/>
  <c r="T731" i="2"/>
  <c r="BM4" i="4"/>
  <c r="U871" i="2"/>
  <c r="T871" i="2"/>
  <c r="BD15" i="4"/>
  <c r="U666" i="2"/>
  <c r="T666" i="2"/>
  <c r="BF8" i="4"/>
  <c r="U707" i="2"/>
  <c r="T707" i="2"/>
  <c r="BG18" i="4"/>
  <c r="T741" i="2"/>
  <c r="BD6" i="4"/>
  <c r="T657" i="2"/>
  <c r="U657" i="2"/>
  <c r="BC14" i="4"/>
  <c r="T641" i="2"/>
  <c r="U641" i="2"/>
  <c r="BB22" i="4"/>
  <c r="T625" i="2"/>
  <c r="U625" i="2"/>
  <c r="BB6" i="4"/>
  <c r="T609" i="2"/>
  <c r="U531" i="2"/>
  <c r="AV23" i="4"/>
  <c r="U482" i="2"/>
  <c r="T482" i="2"/>
  <c r="AU15" i="4"/>
  <c r="U450" i="2"/>
  <c r="T450" i="2"/>
  <c r="AT7" i="4"/>
  <c r="U418" i="2"/>
  <c r="T418" i="2"/>
  <c r="AR23" i="4"/>
  <c r="T386" i="2"/>
  <c r="AQ15" i="4"/>
  <c r="T354" i="2"/>
  <c r="AW17" i="4"/>
  <c r="U500" i="2"/>
  <c r="T500" i="2"/>
  <c r="AV5" i="4"/>
  <c r="U464" i="2"/>
  <c r="T464" i="2"/>
  <c r="AZ6" i="4"/>
  <c r="T561" i="2"/>
  <c r="U561" i="2"/>
  <c r="AP23" i="4"/>
  <c r="T338" i="2"/>
  <c r="AN17" i="4"/>
  <c r="U284" i="2"/>
  <c r="T284" i="2"/>
  <c r="AE18" i="4"/>
  <c r="U69" i="2"/>
  <c r="T69" i="2"/>
  <c r="AN8" i="4"/>
  <c r="T275" i="2"/>
  <c r="U275" i="2"/>
  <c r="U96" i="2"/>
  <c r="AD2" i="4"/>
  <c r="U29" i="2"/>
  <c r="T29" i="2"/>
  <c r="AE2" i="4"/>
  <c r="U53" i="2"/>
  <c r="T53" i="2"/>
  <c r="AD18" i="4"/>
  <c r="U45" i="2"/>
  <c r="T45" i="2"/>
  <c r="BR18" i="4"/>
  <c r="U1005" i="2"/>
  <c r="T1005" i="2"/>
  <c r="T1150" i="2"/>
  <c r="BX19" i="4"/>
  <c r="U1150" i="2"/>
  <c r="BO22" i="4"/>
  <c r="U937" i="2"/>
  <c r="T937" i="2"/>
  <c r="BS20" i="4"/>
  <c r="U1031" i="2"/>
  <c r="T1031" i="2"/>
  <c r="BS4" i="4"/>
  <c r="U1015" i="2"/>
  <c r="T1015" i="2"/>
  <c r="BR12" i="4"/>
  <c r="U999" i="2"/>
  <c r="T999" i="2"/>
  <c r="BQ20" i="4"/>
  <c r="U983" i="2"/>
  <c r="T983" i="2"/>
  <c r="T1090" i="2"/>
  <c r="BV7" i="4"/>
  <c r="U1090" i="2"/>
  <c r="BM2" i="4"/>
  <c r="U869" i="2"/>
  <c r="T869" i="2"/>
  <c r="BK18" i="4"/>
  <c r="U837" i="2"/>
  <c r="T837" i="2"/>
  <c r="BJ10" i="4"/>
  <c r="U805" i="2"/>
  <c r="T805" i="2"/>
  <c r="BI2" i="4"/>
  <c r="U773" i="2"/>
  <c r="T773" i="2"/>
  <c r="BL12" i="4"/>
  <c r="U855" i="2"/>
  <c r="T855" i="2"/>
  <c r="BK4" i="4"/>
  <c r="U823" i="2"/>
  <c r="T823" i="2"/>
  <c r="BI20" i="4"/>
  <c r="U791" i="2"/>
  <c r="T791" i="2"/>
  <c r="BH12" i="4"/>
  <c r="U759" i="2"/>
  <c r="T759" i="2"/>
  <c r="BG4" i="4"/>
  <c r="U727" i="2"/>
  <c r="T727" i="2"/>
  <c r="BF12" i="4"/>
  <c r="U711" i="2"/>
  <c r="T711" i="2"/>
  <c r="BH2" i="4"/>
  <c r="T749" i="2"/>
  <c r="U749" i="2"/>
  <c r="U796" i="2"/>
  <c r="BE6" i="4"/>
  <c r="T681" i="2"/>
  <c r="U681" i="2"/>
  <c r="BE20" i="4"/>
  <c r="U695" i="2"/>
  <c r="T695" i="2"/>
  <c r="AV19" i="4"/>
  <c r="U478" i="2"/>
  <c r="T478" i="2"/>
  <c r="AU11" i="4"/>
  <c r="U446" i="2"/>
  <c r="T446" i="2"/>
  <c r="AT3" i="4"/>
  <c r="U414" i="2"/>
  <c r="T414" i="2"/>
  <c r="AR19" i="4"/>
  <c r="U382" i="2"/>
  <c r="T382" i="2"/>
  <c r="AX19" i="4"/>
  <c r="T526" i="2"/>
  <c r="U526" i="2"/>
  <c r="AW16" i="4"/>
  <c r="T499" i="2"/>
  <c r="U499" i="2"/>
  <c r="AZ18" i="4"/>
  <c r="T573" i="2"/>
  <c r="U573" i="2"/>
  <c r="AW9" i="4"/>
  <c r="T492" i="2"/>
  <c r="U492" i="2"/>
  <c r="AM6" i="4"/>
  <c r="T249" i="2"/>
  <c r="AL14" i="4"/>
  <c r="U233" i="2"/>
  <c r="T233" i="2"/>
  <c r="AK22" i="4"/>
  <c r="T217" i="2"/>
  <c r="AJ14" i="4"/>
  <c r="U185" i="2"/>
  <c r="T185" i="2"/>
  <c r="AI22" i="4"/>
  <c r="U169" i="2"/>
  <c r="T169" i="2"/>
  <c r="AI6" i="4"/>
  <c r="U153" i="2"/>
  <c r="T153" i="2"/>
  <c r="AH14" i="4"/>
  <c r="U137" i="2"/>
  <c r="T137" i="2"/>
  <c r="AG22" i="4"/>
  <c r="U121" i="2"/>
  <c r="T121" i="2"/>
  <c r="AG6" i="4"/>
  <c r="U105" i="2"/>
  <c r="T105" i="2"/>
  <c r="AF14" i="4"/>
  <c r="U89" i="2"/>
  <c r="T89" i="2"/>
  <c r="AE14" i="4"/>
  <c r="U65" i="2"/>
  <c r="T65" i="2"/>
  <c r="U207" i="2"/>
  <c r="AD13" i="4"/>
  <c r="U40" i="2"/>
  <c r="T40" i="2"/>
  <c r="U155" i="2"/>
  <c r="AE24" i="4"/>
  <c r="U75" i="2"/>
  <c r="T75" i="2"/>
  <c r="AC22" i="4"/>
  <c r="U25" i="2"/>
  <c r="T25" i="2"/>
  <c r="U88" i="2"/>
  <c r="AE12" i="4"/>
  <c r="U63" i="2"/>
  <c r="T63" i="2"/>
  <c r="BS22" i="4"/>
  <c r="U1033" i="2"/>
  <c r="T1033" i="2"/>
  <c r="BW11" i="4"/>
  <c r="T1118" i="2"/>
  <c r="U1118" i="2"/>
  <c r="BS18" i="4"/>
  <c r="U1029" i="2"/>
  <c r="T1029" i="2"/>
  <c r="BQ2" i="4"/>
  <c r="U965" i="2"/>
  <c r="T965" i="2"/>
  <c r="BV3" i="4"/>
  <c r="T1086" i="2"/>
  <c r="U1086" i="2"/>
  <c r="BX23" i="4"/>
  <c r="T1154" i="2"/>
  <c r="U1154" i="2"/>
  <c r="BT15" i="4"/>
  <c r="T1050" i="2"/>
  <c r="U1050" i="2"/>
  <c r="BM18" i="4"/>
  <c r="U885" i="2"/>
  <c r="T885" i="2"/>
  <c r="BL22" i="4"/>
  <c r="U865" i="2"/>
  <c r="T865" i="2"/>
  <c r="BK14" i="4"/>
  <c r="U833" i="2"/>
  <c r="T833" i="2"/>
  <c r="BJ6" i="4"/>
  <c r="U801" i="2"/>
  <c r="T801" i="2"/>
  <c r="BH22" i="4"/>
  <c r="U769" i="2"/>
  <c r="T769" i="2"/>
  <c r="BL8" i="4"/>
  <c r="U851" i="2"/>
  <c r="T851" i="2"/>
  <c r="BJ24" i="4"/>
  <c r="U819" i="2"/>
  <c r="T819" i="2"/>
  <c r="BI16" i="4"/>
  <c r="U787" i="2"/>
  <c r="T787" i="2"/>
  <c r="BH8" i="4"/>
  <c r="U755" i="2"/>
  <c r="T755" i="2"/>
  <c r="BT8" i="4"/>
  <c r="T1043" i="2"/>
  <c r="U1043" i="2"/>
  <c r="BG10" i="4"/>
  <c r="T733" i="2"/>
  <c r="U733" i="2"/>
  <c r="BE4" i="4"/>
  <c r="U679" i="2"/>
  <c r="T679" i="2"/>
  <c r="BF20" i="4"/>
  <c r="T719" i="2"/>
  <c r="BE15" i="4"/>
  <c r="T690" i="2"/>
  <c r="U690" i="2"/>
  <c r="BD11" i="4"/>
  <c r="U662" i="2"/>
  <c r="T662" i="2"/>
  <c r="BF2" i="4"/>
  <c r="T701" i="2"/>
  <c r="U701" i="2"/>
  <c r="U614" i="2"/>
  <c r="U676" i="2"/>
  <c r="BD2" i="4"/>
  <c r="T653" i="2"/>
  <c r="U653" i="2"/>
  <c r="BC10" i="4"/>
  <c r="T637" i="2"/>
  <c r="U637" i="2"/>
  <c r="BB18" i="4"/>
  <c r="T621" i="2"/>
  <c r="U621" i="2"/>
  <c r="BB2" i="4"/>
  <c r="T605" i="2"/>
  <c r="U605" i="2"/>
  <c r="AV15" i="4"/>
  <c r="U474" i="2"/>
  <c r="T474" i="2"/>
  <c r="AU7" i="4"/>
  <c r="U442" i="2"/>
  <c r="T442" i="2"/>
  <c r="AS23" i="4"/>
  <c r="T410" i="2"/>
  <c r="AR15" i="4"/>
  <c r="U378" i="2"/>
  <c r="T378" i="2"/>
  <c r="AW5" i="4"/>
  <c r="U488" i="2"/>
  <c r="T488" i="2"/>
  <c r="AZ2" i="4"/>
  <c r="T557" i="2"/>
  <c r="U557" i="2"/>
  <c r="U404" i="2"/>
  <c r="AP7" i="4"/>
  <c r="U322" i="2"/>
  <c r="T322" i="2"/>
  <c r="AP15" i="4"/>
  <c r="T330" i="2"/>
  <c r="AO12" i="4"/>
  <c r="T303" i="2"/>
  <c r="U303" i="2"/>
  <c r="AN4" i="4"/>
  <c r="T271" i="2"/>
  <c r="U271" i="2"/>
  <c r="AE10" i="4"/>
  <c r="U61" i="2"/>
  <c r="T61" i="2"/>
  <c r="U403" i="2"/>
  <c r="AN2" i="4"/>
  <c r="U269" i="2"/>
  <c r="T269" i="2"/>
  <c r="U156" i="2"/>
  <c r="U92" i="2"/>
  <c r="U251" i="2"/>
  <c r="AE16" i="4"/>
  <c r="U67" i="2"/>
  <c r="T67" i="2"/>
  <c r="AF16" i="4"/>
  <c r="T91" i="2"/>
  <c r="U91" i="2"/>
  <c r="AD11" i="4"/>
  <c r="T38" i="2"/>
  <c r="U38" i="2"/>
  <c r="AC18" i="4"/>
  <c r="U21" i="2"/>
  <c r="T21" i="2"/>
  <c r="T511" i="2" l="1"/>
  <c r="AX4" i="4"/>
  <c r="U511" i="2"/>
  <c r="T1184" i="2"/>
  <c r="BZ5" i="4"/>
  <c r="U1184" i="2"/>
  <c r="U1143" i="2"/>
  <c r="BX12" i="4"/>
  <c r="T1143" i="2"/>
  <c r="T1159" i="2"/>
  <c r="BY4" i="4"/>
  <c r="U1159" i="2"/>
  <c r="U1091" i="2"/>
  <c r="T1091" i="2"/>
  <c r="BV8" i="4"/>
  <c r="AD24" i="4"/>
  <c r="T51" i="2"/>
  <c r="U51" i="2"/>
  <c r="AY21" i="4"/>
  <c r="U552" i="2"/>
  <c r="T552" i="2"/>
  <c r="BL21" i="4"/>
  <c r="U864" i="2"/>
  <c r="T864" i="2"/>
  <c r="U870" i="2"/>
  <c r="BM3" i="4"/>
  <c r="T870" i="2"/>
  <c r="BS17" i="4"/>
  <c r="T1028" i="2"/>
  <c r="U1028" i="2"/>
  <c r="BF21" i="4"/>
  <c r="T720" i="2"/>
  <c r="T295" i="2"/>
  <c r="U295" i="2"/>
  <c r="AO4" i="4"/>
  <c r="AQ2" i="4"/>
  <c r="T341" i="2"/>
  <c r="U341" i="2"/>
  <c r="U868" i="2"/>
  <c r="T868" i="2"/>
  <c r="BL25" i="4"/>
  <c r="AW2" i="4"/>
  <c r="T485" i="2"/>
  <c r="U485" i="2"/>
  <c r="T1112" i="2"/>
  <c r="BW5" i="4"/>
  <c r="U1112" i="2"/>
  <c r="T1136" i="2"/>
  <c r="U1136" i="2"/>
  <c r="BX5" i="4"/>
  <c r="AI7" i="4"/>
  <c r="T154" i="2"/>
  <c r="BO9" i="4"/>
  <c r="T924" i="2"/>
  <c r="U924" i="2"/>
  <c r="T1128" i="2"/>
  <c r="U1128" i="2"/>
  <c r="BW21" i="4"/>
  <c r="AG3" i="4"/>
  <c r="U102" i="2"/>
  <c r="T102" i="2"/>
  <c r="U260" i="2"/>
  <c r="T260" i="2"/>
  <c r="AM17" i="4"/>
  <c r="BQ5" i="4"/>
  <c r="U968" i="2"/>
  <c r="T968" i="2"/>
  <c r="U1081" i="2"/>
  <c r="T1081" i="2"/>
  <c r="BU22" i="4"/>
  <c r="AH17" i="4"/>
  <c r="U140" i="2"/>
  <c r="T140" i="2"/>
  <c r="U421" i="2"/>
  <c r="T421" i="2"/>
  <c r="AT10" i="4"/>
  <c r="AT20" i="4"/>
  <c r="T431" i="2"/>
  <c r="U431" i="2"/>
  <c r="U1157" i="2"/>
  <c r="T1157" i="2"/>
  <c r="AI15" i="4"/>
  <c r="U162" i="2"/>
  <c r="T162" i="2"/>
  <c r="AE15" i="4"/>
  <c r="U66" i="2"/>
  <c r="T66" i="2"/>
  <c r="T320" i="2"/>
  <c r="U320" i="2"/>
  <c r="AP5" i="4"/>
  <c r="BT7" i="4"/>
  <c r="U1042" i="2"/>
  <c r="T1042" i="2"/>
  <c r="T790" i="2"/>
  <c r="BI19" i="4"/>
  <c r="U790" i="2"/>
  <c r="U1101" i="2"/>
  <c r="BV18" i="4"/>
  <c r="T1101" i="2"/>
  <c r="BP11" i="4"/>
  <c r="U950" i="2"/>
  <c r="T950" i="2"/>
  <c r="T248" i="2"/>
  <c r="AM5" i="4"/>
  <c r="AJ3" i="4"/>
  <c r="U174" i="2"/>
  <c r="T174" i="2"/>
  <c r="T387" i="2"/>
  <c r="AR24" i="4"/>
  <c r="BP3" i="4"/>
  <c r="U942" i="2"/>
  <c r="T942" i="2"/>
  <c r="BP25" i="4"/>
  <c r="U964" i="2"/>
  <c r="T964" i="2"/>
  <c r="BN4" i="4"/>
  <c r="T895" i="2"/>
  <c r="U895" i="2"/>
  <c r="U1177" i="2"/>
  <c r="BY22" i="4"/>
  <c r="T1177" i="2"/>
  <c r="T1176" i="2"/>
  <c r="BY21" i="4"/>
  <c r="U1176" i="2"/>
  <c r="U770" i="2"/>
  <c r="T770" i="2"/>
  <c r="BH23" i="4"/>
  <c r="T361" i="2"/>
  <c r="AQ22" i="4"/>
  <c r="BS9" i="4"/>
  <c r="T1020" i="2"/>
  <c r="U1020" i="2"/>
  <c r="AQ20" i="4"/>
  <c r="T359" i="2"/>
  <c r="T572" i="2"/>
  <c r="AZ17" i="4"/>
  <c r="U572" i="2"/>
  <c r="U544" i="2"/>
  <c r="T544" i="2"/>
  <c r="AY13" i="4"/>
  <c r="U728" i="2"/>
  <c r="BG5" i="4"/>
  <c r="T728" i="2"/>
  <c r="BT5" i="4"/>
  <c r="U1040" i="2"/>
  <c r="T1040" i="2"/>
  <c r="AS6" i="4"/>
  <c r="U393" i="2"/>
  <c r="T393" i="2"/>
  <c r="T451" i="2"/>
  <c r="AU16" i="4"/>
  <c r="U451" i="2"/>
  <c r="T556" i="2"/>
  <c r="AY25" i="4"/>
  <c r="T1188" i="2"/>
  <c r="U1188" i="2"/>
  <c r="BZ9" i="4"/>
  <c r="U874" i="2"/>
  <c r="T874" i="2"/>
  <c r="U494" i="2"/>
  <c r="T494" i="2"/>
  <c r="AW11" i="4"/>
  <c r="AZ3" i="4"/>
  <c r="T558" i="2"/>
  <c r="AQ13" i="4"/>
  <c r="T352" i="2"/>
  <c r="AU4" i="4"/>
  <c r="T439" i="2"/>
  <c r="U439" i="2"/>
  <c r="U459" i="2"/>
  <c r="T459" i="2"/>
  <c r="AU24" i="4"/>
  <c r="T309" i="2"/>
  <c r="U309" i="2"/>
  <c r="AO18" i="4"/>
  <c r="BA4" i="4"/>
  <c r="T583" i="2"/>
  <c r="U583" i="2"/>
  <c r="AY12" i="4"/>
  <c r="U543" i="2"/>
  <c r="T543" i="2"/>
  <c r="AS14" i="4"/>
  <c r="T401" i="2"/>
  <c r="BR5" i="4"/>
  <c r="T992" i="2"/>
  <c r="U992" i="2"/>
  <c r="BX16" i="4"/>
  <c r="U1147" i="2"/>
  <c r="T1147" i="2"/>
  <c r="T345" i="2"/>
  <c r="U345" i="2"/>
  <c r="AQ6" i="4"/>
  <c r="BP4" i="4"/>
  <c r="T943" i="2"/>
  <c r="U943" i="2"/>
  <c r="BQ21" i="4"/>
  <c r="T984" i="2"/>
  <c r="U984" i="2"/>
  <c r="BP8" i="4"/>
  <c r="U947" i="2"/>
  <c r="T369" i="2"/>
  <c r="U369" i="2"/>
  <c r="AR6" i="4"/>
  <c r="BE17" i="4"/>
  <c r="U692" i="2"/>
  <c r="T692" i="2"/>
  <c r="T340" i="2"/>
  <c r="AP25" i="4"/>
  <c r="T519" i="2"/>
  <c r="AX12" i="4"/>
  <c r="U519" i="2"/>
  <c r="BH11" i="4"/>
  <c r="T758" i="2"/>
  <c r="U758" i="2"/>
  <c r="BB8" i="4"/>
  <c r="T611" i="2"/>
  <c r="T1103" i="2"/>
  <c r="BV20" i="4"/>
  <c r="U1103" i="2"/>
  <c r="BC7" i="4"/>
  <c r="T634" i="2"/>
  <c r="U634" i="2"/>
  <c r="T1152" i="2"/>
  <c r="BX21" i="4"/>
  <c r="U1152" i="2"/>
  <c r="T846" i="2"/>
  <c r="BL3" i="4"/>
  <c r="U846" i="2"/>
  <c r="U525" i="2"/>
  <c r="T525" i="2"/>
  <c r="AX18" i="4"/>
  <c r="AU12" i="4"/>
  <c r="U447" i="2"/>
  <c r="T447" i="2"/>
  <c r="U479" i="2"/>
  <c r="T479" i="2"/>
  <c r="AV20" i="4"/>
  <c r="U896" i="2"/>
  <c r="BN5" i="4"/>
  <c r="T896" i="2"/>
  <c r="AT14" i="4"/>
  <c r="T425" i="2"/>
  <c r="U425" i="2"/>
  <c r="BM17" i="4"/>
  <c r="T884" i="2"/>
  <c r="U884" i="2"/>
  <c r="BA5" i="4"/>
  <c r="T584" i="2"/>
  <c r="U584" i="2"/>
  <c r="BY8" i="4"/>
  <c r="T1163" i="2"/>
  <c r="BA25" i="4"/>
  <c r="U604" i="2"/>
  <c r="T604" i="2"/>
  <c r="T403" i="2"/>
  <c r="AS16" i="4"/>
  <c r="U397" i="2"/>
  <c r="T397" i="2"/>
  <c r="AS10" i="4"/>
  <c r="BZ15" i="4"/>
  <c r="T1194" i="2"/>
  <c r="U1194" i="2"/>
  <c r="BA8" i="4"/>
  <c r="T587" i="2"/>
  <c r="U587" i="2"/>
  <c r="AT2" i="4"/>
  <c r="T413" i="2"/>
  <c r="U413" i="2"/>
  <c r="BR3" i="4"/>
  <c r="U990" i="2"/>
  <c r="T990" i="2"/>
  <c r="AR10" i="4"/>
  <c r="T373" i="2"/>
  <c r="U373" i="2"/>
  <c r="AU13" i="4"/>
  <c r="T448" i="2"/>
  <c r="U448" i="2"/>
  <c r="U560" i="2"/>
  <c r="T560" i="2"/>
  <c r="AZ5" i="4"/>
  <c r="BP13" i="4"/>
  <c r="T952" i="2"/>
  <c r="U952" i="2"/>
  <c r="AW20" i="4"/>
  <c r="U503" i="2"/>
  <c r="T503" i="2"/>
  <c r="AQ10" i="4"/>
  <c r="T349" i="2"/>
  <c r="U349" i="2"/>
  <c r="BD4" i="4"/>
  <c r="U655" i="2"/>
  <c r="T655" i="2"/>
  <c r="U854" i="2"/>
  <c r="BL11" i="4"/>
  <c r="T854" i="2"/>
  <c r="BL13" i="4"/>
  <c r="T856" i="2"/>
  <c r="U856" i="2"/>
  <c r="U1165" i="2"/>
  <c r="T1165" i="2"/>
  <c r="BY10" i="4"/>
  <c r="BQ3" i="4"/>
  <c r="U966" i="2"/>
  <c r="T966" i="2"/>
  <c r="BT13" i="4"/>
  <c r="T1048" i="2"/>
  <c r="U1048" i="2"/>
  <c r="U510" i="2"/>
  <c r="AX3" i="4"/>
  <c r="T510" i="2"/>
  <c r="T201" i="2"/>
  <c r="U358" i="2"/>
  <c r="U204" i="2"/>
  <c r="U220" i="2"/>
  <c r="U407" i="2"/>
  <c r="U217" i="2"/>
  <c r="U208" i="2"/>
  <c r="U412" i="2"/>
  <c r="U717" i="2"/>
  <c r="U257" i="2"/>
  <c r="U328" i="2"/>
  <c r="U556" i="2"/>
  <c r="U721" i="2"/>
  <c r="BM5" i="4"/>
  <c r="U363" i="2"/>
  <c r="U713" i="2"/>
  <c r="U406" i="2"/>
  <c r="U218" i="2"/>
  <c r="U611" i="2"/>
  <c r="T860" i="2"/>
  <c r="U720" i="2"/>
  <c r="BD23" i="4"/>
  <c r="T674" i="2"/>
  <c r="U674" i="2"/>
  <c r="BH7" i="4"/>
  <c r="U754" i="2"/>
  <c r="T754" i="2"/>
  <c r="U1175" i="2"/>
  <c r="BY20" i="4"/>
  <c r="T1175" i="2"/>
  <c r="BI25" i="4"/>
  <c r="T796" i="2"/>
  <c r="U706" i="2"/>
  <c r="T706" i="2"/>
  <c r="BF7" i="4"/>
  <c r="U1153" i="2"/>
  <c r="BX22" i="4"/>
  <c r="T1153" i="2"/>
  <c r="BC24" i="4"/>
  <c r="U651" i="2"/>
  <c r="T651" i="2"/>
  <c r="U891" i="2"/>
  <c r="BM24" i="4"/>
  <c r="T891" i="2"/>
  <c r="U377" i="2"/>
  <c r="U739" i="2"/>
  <c r="U387" i="2"/>
  <c r="U385" i="2"/>
  <c r="U364" i="2"/>
  <c r="U299" i="2"/>
  <c r="U213" i="2"/>
  <c r="U298" i="2"/>
  <c r="U256" i="2"/>
  <c r="U210" i="2"/>
  <c r="BN12" i="4"/>
  <c r="T903" i="2"/>
  <c r="U903" i="2"/>
  <c r="BO12" i="4"/>
  <c r="T927" i="2"/>
  <c r="U927" i="2"/>
  <c r="BN25" i="4"/>
  <c r="T916" i="2"/>
  <c r="U916" i="2"/>
  <c r="BG3" i="4"/>
  <c r="U726" i="2"/>
  <c r="T726" i="2"/>
  <c r="U1203" i="2"/>
  <c r="BZ24" i="4"/>
  <c r="T1203" i="2"/>
  <c r="T624" i="2"/>
  <c r="BB21" i="4"/>
  <c r="U624" i="2"/>
  <c r="BE25" i="4"/>
  <c r="U700" i="2"/>
  <c r="T700" i="2"/>
  <c r="U332" i="2"/>
  <c r="U401" i="2"/>
  <c r="U609" i="2"/>
  <c r="U301" i="2"/>
  <c r="U209" i="2"/>
  <c r="U743" i="2"/>
  <c r="U248" i="2"/>
  <c r="U357" i="2"/>
  <c r="U744" i="2"/>
  <c r="U361" i="2"/>
  <c r="U722" i="2"/>
  <c r="U381" i="2"/>
  <c r="U352" i="2"/>
  <c r="U724" i="2"/>
  <c r="U507" i="2"/>
  <c r="T946" i="2"/>
  <c r="BP7" i="4"/>
  <c r="U946" i="2"/>
  <c r="U647" i="2"/>
  <c r="BC20" i="4"/>
  <c r="T647" i="2"/>
  <c r="T677" i="2"/>
  <c r="U677" i="2"/>
  <c r="BE2" i="4"/>
  <c r="BC4" i="4"/>
  <c r="T631" i="2"/>
  <c r="U631" i="2"/>
  <c r="BD8" i="4"/>
  <c r="T659" i="2"/>
  <c r="U659" i="2"/>
  <c r="BQ13" i="4"/>
  <c r="T976" i="2"/>
  <c r="U976" i="2"/>
  <c r="BC15" i="4"/>
  <c r="T642" i="2"/>
  <c r="U642" i="2"/>
  <c r="T632" i="2"/>
  <c r="U632" i="2"/>
  <c r="BQ25" i="4"/>
  <c r="T988" i="2"/>
  <c r="U988" i="2"/>
  <c r="U354" i="2"/>
  <c r="U362" i="2"/>
  <c r="U219" i="2"/>
  <c r="U360" i="2"/>
  <c r="U329" i="2"/>
  <c r="U336" i="2"/>
  <c r="U254" i="2"/>
  <c r="U712" i="2"/>
  <c r="U246" i="2"/>
  <c r="L5" i="3" a="1"/>
  <c r="L5" i="3" s="1"/>
  <c r="T875" i="2"/>
  <c r="U875" i="2"/>
  <c r="BM8" i="4"/>
  <c r="U850" i="2"/>
  <c r="BL7" i="4"/>
  <c r="T850" i="2"/>
  <c r="BN13" i="4"/>
  <c r="U904" i="2"/>
  <c r="T904" i="2"/>
  <c r="BW24" i="4"/>
  <c r="T1131" i="2"/>
  <c r="U1131" i="2"/>
  <c r="BJ17" i="4"/>
  <c r="T812" i="2"/>
  <c r="BR21" i="4"/>
  <c r="T1008" i="2"/>
  <c r="U1008" i="2"/>
  <c r="BT24" i="4"/>
  <c r="U1059" i="2"/>
  <c r="T1059" i="2"/>
  <c r="BE11" i="4"/>
  <c r="U686" i="2"/>
  <c r="T686" i="2"/>
  <c r="T668" i="2"/>
  <c r="BD17" i="4"/>
  <c r="U668" i="2"/>
  <c r="BG23" i="4"/>
  <c r="T746" i="2"/>
  <c r="BM10" i="4"/>
  <c r="U877" i="2"/>
  <c r="T877" i="2"/>
  <c r="BL9" i="4"/>
  <c r="U852" i="2"/>
  <c r="T852" i="2"/>
  <c r="U612" i="2"/>
  <c r="U212" i="2"/>
  <c r="U330" i="2"/>
  <c r="U247" i="2"/>
  <c r="U201" i="2"/>
  <c r="U300" i="2"/>
  <c r="U333" i="2"/>
  <c r="U740" i="2"/>
  <c r="U277" i="2"/>
  <c r="U205" i="2"/>
  <c r="U302" i="2"/>
  <c r="U356" i="2"/>
  <c r="U715" i="2"/>
  <c r="U747" i="2"/>
  <c r="U215" i="2"/>
  <c r="U331" i="2"/>
  <c r="U714" i="2"/>
  <c r="U339" i="2"/>
  <c r="U748" i="2"/>
  <c r="T818" i="2"/>
  <c r="BJ23" i="4"/>
  <c r="U818" i="2"/>
  <c r="U794" i="2"/>
  <c r="T794" i="2"/>
  <c r="BI23" i="4"/>
  <c r="U732" i="2"/>
  <c r="T732" i="2"/>
  <c r="BG9" i="4"/>
  <c r="U858" i="2"/>
  <c r="T858" i="2"/>
  <c r="BL15" i="4"/>
  <c r="U970" i="2"/>
  <c r="BQ7" i="4"/>
  <c r="T970" i="2"/>
  <c r="BQ9" i="4"/>
  <c r="T972" i="2"/>
  <c r="U972" i="2"/>
  <c r="BB16" i="4"/>
  <c r="T619" i="2"/>
  <c r="U619" i="2"/>
  <c r="BP5" i="4"/>
  <c r="T944" i="2"/>
  <c r="U944" i="2"/>
  <c r="BK25" i="4"/>
  <c r="T844" i="2"/>
  <c r="U844" i="2"/>
  <c r="U792" i="2"/>
  <c r="T792" i="2"/>
  <c r="BI21" i="4"/>
  <c r="U926" i="2"/>
  <c r="BO11" i="4"/>
  <c r="T926" i="2"/>
  <c r="T1168" i="2"/>
  <c r="U1168" i="2"/>
  <c r="BY13" i="4"/>
  <c r="BN23" i="4"/>
  <c r="T914" i="2"/>
  <c r="U914" i="2"/>
  <c r="BD20" i="4"/>
  <c r="U671" i="2"/>
  <c r="T671" i="2"/>
  <c r="U383" i="2"/>
  <c r="B3" i="3"/>
  <c r="U276" i="2"/>
  <c r="AK6" i="4"/>
  <c r="U249" i="2"/>
  <c r="U379" i="2"/>
  <c r="U203" i="2"/>
  <c r="U211" i="2"/>
  <c r="U253" i="2"/>
  <c r="U508" i="2"/>
  <c r="U718" i="2"/>
  <c r="U388" i="2"/>
  <c r="U340" i="2"/>
  <c r="U745" i="2"/>
  <c r="T872" i="2"/>
  <c r="U402" i="2"/>
  <c r="U411" i="2"/>
  <c r="U337" i="2"/>
  <c r="U860" i="2"/>
  <c r="U206" i="2"/>
  <c r="U716" i="2"/>
  <c r="U274" i="2"/>
  <c r="T722" i="2"/>
  <c r="BF23" i="4"/>
  <c r="BN24" i="4"/>
  <c r="U915" i="2"/>
  <c r="T915" i="2"/>
  <c r="U708" i="2"/>
  <c r="T708" i="2"/>
  <c r="BF9" i="4"/>
  <c r="T786" i="2"/>
  <c r="BI15" i="4"/>
  <c r="U786" i="2"/>
  <c r="BK17" i="4"/>
  <c r="T836" i="2"/>
  <c r="U836" i="2"/>
  <c r="U1202" i="2"/>
  <c r="BZ23" i="4"/>
  <c r="T1202" i="2"/>
  <c r="T1140" i="2"/>
  <c r="BX9" i="4"/>
  <c r="U1140" i="2"/>
  <c r="U338" i="2"/>
  <c r="U273" i="2"/>
  <c r="U719" i="2"/>
  <c r="U410" i="2"/>
  <c r="U408" i="2"/>
  <c r="U380" i="2"/>
  <c r="U405" i="2"/>
  <c r="U386" i="2"/>
  <c r="U741" i="2"/>
  <c r="U532" i="2"/>
  <c r="U737" i="2"/>
  <c r="U279" i="2"/>
  <c r="U355" i="2"/>
  <c r="U245" i="2"/>
  <c r="U400" i="2"/>
  <c r="U252" i="2"/>
  <c r="U742" i="2"/>
  <c r="BP21" i="4"/>
  <c r="T960" i="2"/>
  <c r="U960" i="2"/>
  <c r="BD5" i="4"/>
  <c r="U656" i="2"/>
  <c r="T656" i="2"/>
  <c r="U1006" i="2"/>
  <c r="BR19" i="4"/>
  <c r="T1006" i="2"/>
  <c r="U766" i="2"/>
  <c r="T766" i="2"/>
  <c r="BH19" i="4"/>
  <c r="BR17" i="4"/>
  <c r="T1004" i="2"/>
  <c r="U1004" i="2"/>
  <c r="BR9" i="4"/>
  <c r="T996" i="2"/>
  <c r="U996" i="2"/>
  <c r="T910" i="2"/>
  <c r="BN19" i="4"/>
  <c r="U910" i="2"/>
  <c r="T1199" i="2"/>
  <c r="BZ20" i="4"/>
  <c r="U1199" i="2"/>
  <c r="BG25" i="4"/>
  <c r="T748" i="2"/>
  <c r="BG13" i="4"/>
  <c r="T736" i="2"/>
  <c r="U995" i="2"/>
  <c r="BS3" i="4"/>
  <c r="U1014" i="2"/>
  <c r="T1014" i="2"/>
  <c r="BT3" i="4"/>
  <c r="U1038" i="2"/>
  <c r="T1038" i="2"/>
  <c r="BW16" i="4"/>
  <c r="U1123" i="2"/>
  <c r="T1123" i="2"/>
  <c r="T1096" i="2"/>
  <c r="U1096" i="2"/>
  <c r="BV13" i="4"/>
  <c r="BU2" i="4"/>
  <c r="T1061" i="2"/>
  <c r="U1061" i="2"/>
  <c r="BS5" i="4"/>
  <c r="U1016" i="2"/>
  <c r="T1016" i="2"/>
  <c r="U1149" i="2"/>
  <c r="BX18" i="4"/>
  <c r="T1149" i="2"/>
  <c r="U1087" i="2"/>
  <c r="T1087" i="2"/>
  <c r="BV4" i="4"/>
  <c r="BR15" i="4"/>
  <c r="U1002" i="2"/>
  <c r="T1002" i="2"/>
  <c r="BR8" i="4"/>
  <c r="T532" i="2"/>
  <c r="AX25" i="4"/>
  <c r="BU24" i="4"/>
  <c r="U1083" i="2"/>
  <c r="T1083" i="2"/>
  <c r="U1085" i="2"/>
  <c r="T1085" i="2"/>
  <c r="BV2" i="4"/>
  <c r="BX4" i="4"/>
  <c r="U1135" i="2"/>
  <c r="T1135" i="2"/>
  <c r="BU12" i="4"/>
  <c r="U1071" i="2"/>
  <c r="T1071" i="2"/>
  <c r="BV16" i="4"/>
  <c r="T1099" i="2"/>
  <c r="U1099" i="2"/>
  <c r="BQ17" i="4"/>
  <c r="U980" i="2"/>
  <c r="T980" i="2"/>
  <c r="T1124" i="2"/>
  <c r="BW17" i="4"/>
  <c r="U1124" i="2"/>
  <c r="U736" i="2"/>
  <c r="BS23" i="4"/>
  <c r="U1034" i="2"/>
  <c r="T1034" i="2"/>
  <c r="U1117" i="2"/>
  <c r="BW10" i="4"/>
  <c r="T1117" i="2"/>
  <c r="T1018" i="2"/>
  <c r="U1018" i="2"/>
  <c r="BS7" i="4"/>
  <c r="U1169" i="2"/>
  <c r="BY14" i="4"/>
  <c r="T1169" i="2"/>
  <c r="U555" i="2"/>
  <c r="T1054" i="2"/>
  <c r="U1054" i="2"/>
  <c r="BT19" i="4"/>
  <c r="T1092" i="2"/>
  <c r="BV9" i="4"/>
  <c r="U1092" i="2"/>
  <c r="T1107" i="2"/>
  <c r="BV24" i="4"/>
  <c r="U1107" i="2"/>
  <c r="BX24" i="4"/>
  <c r="U1155" i="2"/>
  <c r="T1155" i="2"/>
  <c r="BZ8" i="4"/>
  <c r="U1187" i="2"/>
  <c r="T1187" i="2"/>
  <c r="BS19" i="4"/>
  <c r="T1030" i="2"/>
  <c r="U1030" i="2"/>
  <c r="BS11" i="4"/>
  <c r="U1022" i="2"/>
  <c r="T1022" i="2"/>
  <c r="U1115" i="2"/>
  <c r="BW8" i="4"/>
  <c r="T1115" i="2"/>
  <c r="BW12" i="4"/>
  <c r="U1119" i="2"/>
  <c r="T1119" i="2"/>
  <c r="U1113" i="2"/>
  <c r="BW6" i="4"/>
  <c r="T1113" i="2"/>
  <c r="BY12" i="4"/>
  <c r="U1167" i="2"/>
  <c r="T1167" i="2"/>
  <c r="BS21" i="4"/>
  <c r="U1032" i="2"/>
  <c r="T1032" i="2"/>
  <c r="T1191" i="2"/>
  <c r="BZ12" i="4"/>
  <c r="U1191" i="2"/>
  <c r="U1183" i="2"/>
  <c r="BZ4" i="4"/>
  <c r="T1183" i="2"/>
  <c r="B10" i="1"/>
  <c r="U610" i="2"/>
  <c r="U1045" i="2"/>
  <c r="BT10" i="4"/>
  <c r="T1045" i="2"/>
  <c r="BS13" i="4"/>
  <c r="T1024" i="2"/>
  <c r="U1024" i="2"/>
  <c r="T1111" i="2"/>
  <c r="BW4" i="4"/>
  <c r="U1111" i="2"/>
  <c r="U1145" i="2"/>
  <c r="BX14" i="4"/>
  <c r="T1145" i="2"/>
  <c r="T1156" i="2"/>
  <c r="BX25" i="4"/>
  <c r="U1156" i="2"/>
  <c r="B11" i="1" l="1"/>
  <c r="K5" i="3"/>
  <c r="E10" i="1"/>
  <c r="N109" i="3"/>
  <c r="N152" i="3"/>
  <c r="N60" i="3"/>
  <c r="N32" i="3"/>
  <c r="K50" i="3"/>
  <c r="K115" i="3"/>
  <c r="N158" i="3"/>
  <c r="K160" i="3"/>
  <c r="K105" i="3"/>
  <c r="N105" i="3"/>
  <c r="N94" i="3"/>
  <c r="N30" i="3"/>
  <c r="N167" i="3"/>
  <c r="N92" i="3"/>
  <c r="N123" i="3"/>
  <c r="K89" i="3"/>
  <c r="K78" i="3"/>
  <c r="K83" i="3"/>
  <c r="K100" i="3"/>
  <c r="N130" i="3"/>
  <c r="N149" i="3"/>
  <c r="N74" i="3"/>
  <c r="N7" i="3"/>
  <c r="K104" i="3"/>
  <c r="K19" i="3"/>
  <c r="K61" i="3"/>
  <c r="K147" i="3"/>
  <c r="K28" i="3"/>
  <c r="N41" i="3"/>
  <c r="K144" i="3"/>
  <c r="K108" i="3"/>
  <c r="N89" i="3"/>
  <c r="N128" i="3"/>
  <c r="K8" i="3"/>
  <c r="N166" i="3"/>
  <c r="N13" i="3"/>
  <c r="K136" i="3"/>
  <c r="K15" i="3"/>
  <c r="K41" i="3"/>
  <c r="N12" i="3"/>
  <c r="N53" i="3"/>
  <c r="N77" i="3"/>
  <c r="N182" i="3"/>
  <c r="K57" i="3"/>
  <c r="K151" i="3"/>
  <c r="K10" i="3"/>
  <c r="K114" i="3"/>
  <c r="K116" i="3"/>
  <c r="K139" i="3"/>
  <c r="N17" i="3"/>
  <c r="K11" i="3"/>
  <c r="N34" i="3"/>
  <c r="K55" i="3"/>
  <c r="K80" i="3"/>
  <c r="N107" i="3"/>
  <c r="N87" i="3"/>
  <c r="K161" i="3"/>
  <c r="N157" i="3"/>
  <c r="N80" i="3"/>
  <c r="N97" i="3"/>
  <c r="K156" i="3"/>
  <c r="N147" i="3"/>
  <c r="N137" i="3"/>
  <c r="N179" i="3"/>
  <c r="K6" i="3"/>
  <c r="N22" i="3"/>
  <c r="N156" i="3"/>
  <c r="N102" i="3"/>
  <c r="N78" i="3"/>
  <c r="K177" i="3"/>
  <c r="K122" i="3"/>
  <c r="K79" i="3"/>
  <c r="N95" i="3"/>
  <c r="N184" i="3"/>
  <c r="K48" i="3"/>
  <c r="K180" i="3"/>
  <c r="N56" i="3"/>
  <c r="K67" i="3"/>
  <c r="K92" i="3"/>
  <c r="N8" i="3"/>
  <c r="N177" i="3"/>
  <c r="N172" i="3"/>
  <c r="K63" i="3"/>
  <c r="N36" i="3"/>
  <c r="N76" i="3"/>
  <c r="K142" i="3"/>
  <c r="K130" i="3"/>
  <c r="K135" i="3"/>
  <c r="K77" i="3"/>
  <c r="N160" i="3"/>
  <c r="K73" i="3"/>
  <c r="K164" i="3"/>
  <c r="A5" i="3"/>
  <c r="K123" i="3"/>
  <c r="K52" i="3"/>
  <c r="K113" i="3"/>
  <c r="K155" i="3"/>
  <c r="N20" i="3"/>
  <c r="N73" i="3"/>
  <c r="N10" i="3"/>
  <c r="K33" i="3"/>
  <c r="N175" i="3"/>
  <c r="K157" i="3"/>
  <c r="N86" i="3"/>
  <c r="N122" i="3"/>
  <c r="K91" i="3"/>
  <c r="K75" i="3"/>
  <c r="N15" i="3"/>
  <c r="N65" i="3"/>
  <c r="N171" i="3"/>
  <c r="K64" i="3"/>
  <c r="K120" i="3"/>
  <c r="K119" i="3"/>
  <c r="N98" i="3"/>
  <c r="K146" i="3"/>
  <c r="K159" i="3"/>
  <c r="K32" i="3"/>
  <c r="K42" i="3"/>
  <c r="N124" i="3"/>
  <c r="K13" i="3"/>
  <c r="N49" i="3"/>
  <c r="N132" i="3"/>
  <c r="K18" i="3"/>
  <c r="K101" i="3"/>
  <c r="N23" i="3"/>
  <c r="K148" i="3"/>
  <c r="K95" i="3"/>
  <c r="K30" i="3"/>
  <c r="N83" i="3"/>
  <c r="K9" i="3"/>
  <c r="K31" i="3"/>
  <c r="N101" i="3"/>
  <c r="N170" i="3"/>
  <c r="K69" i="3"/>
  <c r="K112" i="3"/>
  <c r="K121" i="3"/>
  <c r="K109" i="3"/>
  <c r="K20" i="3"/>
  <c r="N6" i="3"/>
  <c r="N151" i="3"/>
  <c r="N148" i="3"/>
  <c r="K175" i="3"/>
  <c r="K58" i="3"/>
  <c r="K54" i="3"/>
  <c r="N51" i="3"/>
  <c r="K167" i="3"/>
  <c r="K93" i="3"/>
  <c r="K36" i="3"/>
  <c r="N75" i="3"/>
  <c r="K150" i="3"/>
  <c r="K26" i="3"/>
  <c r="N117" i="3"/>
  <c r="K84" i="3"/>
  <c r="N100" i="3"/>
  <c r="K38" i="3"/>
  <c r="K97" i="3"/>
  <c r="N125" i="3"/>
  <c r="N131" i="3"/>
  <c r="N68" i="3"/>
  <c r="N64" i="3"/>
  <c r="K22" i="3"/>
  <c r="N140" i="3"/>
  <c r="K132" i="3"/>
  <c r="N21" i="3"/>
  <c r="K124" i="3"/>
  <c r="N39" i="3"/>
  <c r="K145" i="3"/>
  <c r="K39" i="3"/>
  <c r="N173" i="3"/>
  <c r="K168" i="3"/>
  <c r="K74" i="3"/>
  <c r="K17" i="3"/>
  <c r="K85" i="3"/>
  <c r="K153" i="3"/>
  <c r="N111" i="3"/>
  <c r="K183" i="3"/>
  <c r="K118" i="3"/>
  <c r="N66" i="3"/>
  <c r="N145" i="3"/>
  <c r="K103" i="3"/>
  <c r="K107" i="3"/>
  <c r="K82" i="3"/>
  <c r="N180" i="3"/>
  <c r="N27" i="3"/>
  <c r="K34" i="3"/>
  <c r="N14" i="3"/>
  <c r="K184" i="3"/>
  <c r="K181" i="3"/>
  <c r="K23" i="3"/>
  <c r="K99" i="3"/>
  <c r="N52" i="3"/>
  <c r="K111" i="3"/>
  <c r="N138" i="3"/>
  <c r="N181" i="3"/>
  <c r="N72" i="3"/>
  <c r="K56" i="3"/>
  <c r="N155" i="3"/>
  <c r="N129" i="3"/>
  <c r="K40" i="3"/>
  <c r="N142" i="3"/>
  <c r="N16" i="3"/>
  <c r="K182" i="3"/>
  <c r="N42" i="3"/>
  <c r="N133" i="3"/>
  <c r="N144" i="3"/>
  <c r="K173" i="3"/>
  <c r="K134" i="3"/>
  <c r="N48" i="3"/>
  <c r="K72" i="3"/>
  <c r="K141" i="3"/>
  <c r="N33" i="3"/>
  <c r="N57" i="3"/>
  <c r="N62" i="3"/>
  <c r="N143" i="3"/>
  <c r="K126" i="3"/>
  <c r="K154" i="3"/>
  <c r="K117" i="3"/>
  <c r="N185" i="3"/>
  <c r="K60" i="3"/>
  <c r="N91" i="3"/>
  <c r="N24" i="3"/>
  <c r="N139" i="3"/>
  <c r="N46" i="3"/>
  <c r="N61" i="3"/>
  <c r="K14" i="3"/>
  <c r="K68" i="3"/>
  <c r="N141" i="3"/>
  <c r="K29" i="3"/>
  <c r="K137" i="3"/>
  <c r="N112" i="3"/>
  <c r="K87" i="3"/>
  <c r="K129" i="3"/>
  <c r="N178" i="3"/>
  <c r="K174" i="3"/>
  <c r="K51" i="3"/>
  <c r="N174" i="3"/>
  <c r="N81" i="3"/>
  <c r="K24" i="3"/>
  <c r="K162" i="3"/>
  <c r="K96" i="3"/>
  <c r="K44" i="3"/>
  <c r="N164" i="3"/>
  <c r="N28" i="3"/>
  <c r="N18" i="3"/>
  <c r="N99" i="3"/>
  <c r="N114" i="3"/>
  <c r="N47" i="3"/>
  <c r="N5" i="3"/>
  <c r="N121" i="3"/>
  <c r="N106" i="3"/>
  <c r="N115" i="3"/>
  <c r="N55" i="3"/>
  <c r="K178" i="3"/>
  <c r="K170" i="3"/>
  <c r="N154" i="3"/>
  <c r="N37" i="3"/>
  <c r="K45" i="3"/>
  <c r="N136" i="3"/>
  <c r="K49" i="3"/>
  <c r="N63" i="3"/>
  <c r="K143" i="3"/>
  <c r="K90" i="3"/>
  <c r="N59" i="3"/>
  <c r="N110" i="3"/>
  <c r="K179" i="3"/>
  <c r="K110" i="3"/>
  <c r="K65" i="3"/>
  <c r="N45" i="3"/>
  <c r="K158" i="3"/>
  <c r="N93" i="3"/>
  <c r="N9" i="3"/>
  <c r="N150" i="3"/>
  <c r="K88" i="3"/>
  <c r="N108" i="3"/>
  <c r="N85" i="3"/>
  <c r="K125" i="3"/>
  <c r="N153" i="3"/>
  <c r="N50" i="3"/>
  <c r="N43" i="3"/>
  <c r="K102" i="3"/>
  <c r="N113" i="3"/>
  <c r="K62" i="3"/>
  <c r="K37" i="3"/>
  <c r="K140" i="3"/>
  <c r="N31" i="3"/>
  <c r="N116" i="3"/>
  <c r="K27" i="3"/>
  <c r="K12" i="3"/>
  <c r="K165" i="3"/>
  <c r="K94" i="3"/>
  <c r="N165" i="3"/>
  <c r="N70" i="3"/>
  <c r="K35" i="3"/>
  <c r="N84" i="3"/>
  <c r="N71" i="3"/>
  <c r="K16" i="3"/>
  <c r="K133" i="3"/>
  <c r="N25" i="3"/>
  <c r="K43" i="3"/>
  <c r="K176" i="3"/>
  <c r="N103" i="3"/>
  <c r="N26" i="3"/>
  <c r="K131" i="3"/>
  <c r="N162" i="3"/>
  <c r="K46" i="3"/>
  <c r="N161" i="3"/>
  <c r="K86" i="3"/>
  <c r="K185" i="3"/>
  <c r="N38" i="3"/>
  <c r="N159" i="3"/>
  <c r="N58" i="3"/>
  <c r="N96" i="3"/>
  <c r="N146" i="3"/>
  <c r="K166" i="3"/>
  <c r="K53" i="3"/>
  <c r="N134" i="3"/>
  <c r="K163" i="3"/>
  <c r="N82" i="3"/>
  <c r="K149" i="3"/>
  <c r="N19" i="3"/>
  <c r="N79" i="3"/>
  <c r="N119" i="3"/>
  <c r="N54" i="3"/>
  <c r="N67" i="3"/>
  <c r="N176" i="3"/>
  <c r="N104" i="3"/>
  <c r="N126" i="3"/>
  <c r="K66" i="3"/>
  <c r="K81" i="3"/>
  <c r="N69" i="3"/>
  <c r="N168" i="3"/>
  <c r="K76" i="3"/>
  <c r="N44" i="3"/>
  <c r="K59" i="3"/>
  <c r="K98" i="3"/>
  <c r="N183" i="3"/>
  <c r="N29" i="3"/>
  <c r="N90" i="3"/>
  <c r="K71" i="3"/>
  <c r="N40" i="3"/>
  <c r="N163" i="3"/>
  <c r="K172" i="3"/>
  <c r="K47" i="3"/>
  <c r="N11" i="3"/>
  <c r="N35" i="3"/>
  <c r="N120" i="3"/>
  <c r="K138" i="3"/>
  <c r="N135" i="3"/>
  <c r="K25" i="3"/>
  <c r="K169" i="3"/>
  <c r="N88" i="3"/>
  <c r="K106" i="3"/>
  <c r="K70" i="3"/>
  <c r="N169" i="3"/>
  <c r="K171" i="3"/>
  <c r="K127" i="3"/>
  <c r="N127" i="3"/>
  <c r="K21" i="3"/>
  <c r="K128" i="3"/>
  <c r="K152" i="3"/>
  <c r="K7" i="3"/>
  <c r="A5" i="3" a="1"/>
  <c r="N11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<sst xmlns="http://schemas.openxmlformats.org/spreadsheetml/2006/main" count="13391" uniqueCount="1725">
  <si>
    <t>ECAR | OBRA ROQUE — TABLERO DE CONTROL</t>
  </si>
  <si>
    <t>Flujo: Estado Actual → Para Programar → Planificación → Orden Diaria → Parte Diario → Control Semanal.</t>
  </si>
  <si>
    <t>ESTADO DE OBRA</t>
  </si>
  <si>
    <t>VALOR</t>
  </si>
  <si>
    <t>OPERACIÓN</t>
  </si>
  <si>
    <t>CALIDAD / ESPECIALES</t>
  </si>
  <si>
    <t>Ítems cargados</t>
  </si>
  <si>
    <t>Plan Maestro cargado</t>
  </si>
  <si>
    <t>Servicios proyecto</t>
  </si>
  <si>
    <t>Terminadas</t>
  </si>
  <si>
    <t>Programaciones cargadas</t>
  </si>
  <si>
    <t>Vainas colocadas</t>
  </si>
  <si>
    <t>Para Programar</t>
  </si>
  <si>
    <t>ODT generadas</t>
  </si>
  <si>
    <t>Base servicio aprobada</t>
  </si>
  <si>
    <t>En curso</t>
  </si>
  <si>
    <t>Partes con ejecución</t>
  </si>
  <si>
    <t>Paquete servicio aprobado</t>
  </si>
  <si>
    <t>Bloqueadas</t>
  </si>
  <si>
    <t>Desvíos abiertos</t>
  </si>
  <si>
    <t>Servicios terminados</t>
  </si>
  <si>
    <t>Avance real prom.*</t>
  </si>
  <si>
    <t>Para Programar sin Plan</t>
  </si>
  <si>
    <t>Hidrantes confirmados</t>
  </si>
  <si>
    <t>Alertas de consistencia</t>
  </si>
  <si>
    <t>Metas &gt; saldo</t>
  </si>
  <si>
    <t>Hidrantes terminados</t>
  </si>
  <si>
    <t>Hidrantes con alerta</t>
  </si>
  <si>
    <t>CAPACIDAD OPERATIVA</t>
  </si>
  <si>
    <t>Plan Maestro</t>
  </si>
  <si>
    <t>80 actividades</t>
  </si>
  <si>
    <t>Programación semanal</t>
  </si>
  <si>
    <t>40 compromisos</t>
  </si>
  <si>
    <t>ODT</t>
  </si>
  <si>
    <t>40 órdenes</t>
  </si>
  <si>
    <t>Parte Diario</t>
  </si>
  <si>
    <t>100 registros</t>
  </si>
  <si>
    <t>Nota</t>
  </si>
  <si>
    <t>Los bloques de Programación/ODT/Parte pueden ampliarse sin cambiar el modelo cuando la operación lo requiera.</t>
  </si>
  <si>
    <t>ECAR | OBRA ROQUE — ESTADO ACTUAL Y AVANCE</t>
  </si>
  <si>
    <t>Corte físico de obra. Total y datos técnicos se conservan; Ejecutado/Saldo/%/Plan/Desvío quedan calculados. Estado define qué pasa a programación.</t>
  </si>
  <si>
    <t>Código</t>
  </si>
  <si>
    <t>Sector / Tramo</t>
  </si>
  <si>
    <t>Actividad</t>
  </si>
  <si>
    <t>Unidad</t>
  </si>
  <si>
    <t>Total obra</t>
  </si>
  <si>
    <t>Ejecutado acumulado</t>
  </si>
  <si>
    <t>Saldo</t>
  </si>
  <si>
    <t>% avance real</t>
  </si>
  <si>
    <t>Planificado a fecha</t>
  </si>
  <si>
    <t>% avance plan.</t>
  </si>
  <si>
    <t>Desvío (pp)</t>
  </si>
  <si>
    <t>Estado</t>
  </si>
  <si>
    <t>Restricción / Observación</t>
  </si>
  <si>
    <t>Prioridad</t>
  </si>
  <si>
    <t>Responsable</t>
  </si>
  <si>
    <t>Fecha de corte</t>
  </si>
  <si>
    <t>Pasaje / Calle</t>
  </si>
  <si>
    <t>Ø (mm)</t>
  </si>
  <si>
    <t>Tipo de red</t>
  </si>
  <si>
    <t>Alerta</t>
  </si>
  <si>
    <t>Orden PP válido</t>
  </si>
  <si>
    <t>Clave</t>
  </si>
  <si>
    <t>Ejecutado base corte</t>
  </si>
  <si>
    <t>AG-01</t>
  </si>
  <si>
    <t>N1 - N2</t>
  </si>
  <si>
    <t>01 Replanteo - Marcación de tramo de cañería principal</t>
  </si>
  <si>
    <t>m</t>
  </si>
  <si>
    <t>No iniciada</t>
  </si>
  <si>
    <t>Pasaje N°13</t>
  </si>
  <si>
    <t>Red distribuidora</t>
  </si>
  <si>
    <t>AG-03</t>
  </si>
  <si>
    <t>02 Excavación - Zanja principal</t>
  </si>
  <si>
    <t>AG-05</t>
  </si>
  <si>
    <t>03 Base de asiento - Nivelación de fondo de zanja</t>
  </si>
  <si>
    <t>AG-06</t>
  </si>
  <si>
    <t>03 Base de asiento - Aporte de material base e=0,10 m</t>
  </si>
  <si>
    <t>AG-07</t>
  </si>
  <si>
    <t>03 Base de asiento - Compactación</t>
  </si>
  <si>
    <t>HI-01</t>
  </si>
  <si>
    <t>04 Inspecciones previas - Laboratorio base de asiento</t>
  </si>
  <si>
    <t>tramo</t>
  </si>
  <si>
    <t>HI-02</t>
  </si>
  <si>
    <t>04 Inspecciones previas - Zanja y materiales</t>
  </si>
  <si>
    <t>AG-08</t>
  </si>
  <si>
    <t>05 Tendido de cañería - Cañería principal</t>
  </si>
  <si>
    <t>AG-09</t>
  </si>
  <si>
    <t>05 Tendido de cañería - Relevamiento planialtimétrico</t>
  </si>
  <si>
    <t>AG-17</t>
  </si>
  <si>
    <t>08 Prueba hidráulica - Preparación del sistema</t>
  </si>
  <si>
    <t>AG-18</t>
  </si>
  <si>
    <t>08 Prueba hidráulica - Interna N° 1</t>
  </si>
  <si>
    <t>AG-19</t>
  </si>
  <si>
    <t>08 Prueba hidráulica - Interna N° 2</t>
  </si>
  <si>
    <t>HI-03</t>
  </si>
  <si>
    <t>08 Prueba hidráulica - Primera prueba oficial</t>
  </si>
  <si>
    <t>AG-20</t>
  </si>
  <si>
    <t>09 Paquete estructural - Aporte e=0,30 m</t>
  </si>
  <si>
    <t>AG-21</t>
  </si>
  <si>
    <t>09 Paquete estructural - Compactación</t>
  </si>
  <si>
    <t>HI-04</t>
  </si>
  <si>
    <t>09 Paquete estructural - Inspección laboratorio</t>
  </si>
  <si>
    <t>AG-22</t>
  </si>
  <si>
    <t>10 Relleno -0,60 - Conformación de capa</t>
  </si>
  <si>
    <t>AG-23</t>
  </si>
  <si>
    <t>10 Relleno -0,60 - Humectación</t>
  </si>
  <si>
    <t>AG-24</t>
  </si>
  <si>
    <t>10 Relleno -0,60 - Compactación</t>
  </si>
  <si>
    <t>HI-05</t>
  </si>
  <si>
    <t>10 Relleno -0,60 - Inspección laboratorio</t>
  </si>
  <si>
    <t>AG-25</t>
  </si>
  <si>
    <t>11 Relleno -0,30 - Conformación de capa</t>
  </si>
  <si>
    <t>AG-26</t>
  </si>
  <si>
    <t>11 Relleno -0,30 - Humectación</t>
  </si>
  <si>
    <t>AG-27</t>
  </si>
  <si>
    <t>11 Relleno -0,30 - Compactación</t>
  </si>
  <si>
    <t>HI-06</t>
  </si>
  <si>
    <t>11 Relleno -0,30 - Inspección laboratorio</t>
  </si>
  <si>
    <t>N1 - N4</t>
  </si>
  <si>
    <t>Pasaje N°15</t>
  </si>
  <si>
    <t>N9 - N11</t>
  </si>
  <si>
    <t>Pasaje N°9</t>
  </si>
  <si>
    <t>N10 - N15</t>
  </si>
  <si>
    <t>Terminada</t>
  </si>
  <si>
    <t>Media</t>
  </si>
  <si>
    <t>Pasaje N°2</t>
  </si>
  <si>
    <t>Alta</t>
  </si>
  <si>
    <t>N11 - N12</t>
  </si>
  <si>
    <t>N11 - N17</t>
  </si>
  <si>
    <t>Pasaje N°14</t>
  </si>
  <si>
    <t>N12 - N13</t>
  </si>
  <si>
    <t>N12 - N20</t>
  </si>
  <si>
    <t>Pasaje N°5</t>
  </si>
  <si>
    <t>No esta pedido laboratorio / falta compactacion</t>
  </si>
  <si>
    <t>N13 - N23</t>
  </si>
  <si>
    <t>Pasaje N°3</t>
  </si>
  <si>
    <t>N14 - N16</t>
  </si>
  <si>
    <t>Pasaje N°10</t>
  </si>
  <si>
    <t>N15 - N16</t>
  </si>
  <si>
    <t>N15 - N17</t>
  </si>
  <si>
    <t>Pedir ensayo</t>
  </si>
  <si>
    <t>Preguntar si esta listo</t>
  </si>
  <si>
    <t>N17 - N18</t>
  </si>
  <si>
    <t>N18 - N19</t>
  </si>
  <si>
    <t>N18 - N26</t>
  </si>
  <si>
    <t>Pasaje N°7</t>
  </si>
  <si>
    <t>N19 - N20</t>
  </si>
  <si>
    <t>N19 - N27</t>
  </si>
  <si>
    <t>Pasaje N°6</t>
  </si>
  <si>
    <t>N2 - N3</t>
  </si>
  <si>
    <t>N2 - N32</t>
  </si>
  <si>
    <t>N2 - N5</t>
  </si>
  <si>
    <t>N20 - N21</t>
  </si>
  <si>
    <t>N21 - N22</t>
  </si>
  <si>
    <t>N21 - N28</t>
  </si>
  <si>
    <t>N22 - N24</t>
  </si>
  <si>
    <t>N22 - N29</t>
  </si>
  <si>
    <t>Pasaje N°4</t>
  </si>
  <si>
    <t>N23 - N24</t>
  </si>
  <si>
    <t>N24 - N25</t>
  </si>
  <si>
    <t>N25 - N30</t>
  </si>
  <si>
    <t>N23 - N31</t>
  </si>
  <si>
    <t>Garita Este</t>
  </si>
  <si>
    <t>N26 - N27</t>
  </si>
  <si>
    <t>Pasaje N°8</t>
  </si>
  <si>
    <t>N27 - N28</t>
  </si>
  <si>
    <t>N28 - N29</t>
  </si>
  <si>
    <t>N29 - N30</t>
  </si>
  <si>
    <t>N3 - N7</t>
  </si>
  <si>
    <t>N31 - N35</t>
  </si>
  <si>
    <t>Calle Proyectada N°1</t>
  </si>
  <si>
    <t>Cañería de nexo</t>
  </si>
  <si>
    <t>N31 - N36</t>
  </si>
  <si>
    <t>N33 - N34</t>
  </si>
  <si>
    <t>Calle San Lorenzo</t>
  </si>
  <si>
    <t>N34 - N35</t>
  </si>
  <si>
    <t>N36 - N37</t>
  </si>
  <si>
    <t>N37 - N38</t>
  </si>
  <si>
    <t>N38 - N39</t>
  </si>
  <si>
    <t>N4 - N6</t>
  </si>
  <si>
    <t>Pasaje N°12</t>
  </si>
  <si>
    <t>N4 - N8</t>
  </si>
  <si>
    <t>N5 - N6</t>
  </si>
  <si>
    <t>N5 - N7</t>
  </si>
  <si>
    <t>N6 - N9</t>
  </si>
  <si>
    <t>N7 - N11</t>
  </si>
  <si>
    <t>N8 - N14</t>
  </si>
  <si>
    <t>N8 - N10</t>
  </si>
  <si>
    <t>Pasaje N°11</t>
  </si>
  <si>
    <t>N9 - N10</t>
  </si>
  <si>
    <t>ECAR | OBRA ROQUE — PARA PROGRAMAR</t>
  </si>
  <si>
    <t>Bandeja automática: sólo actividades de 01_Estado_Actual con Estado = Para Programar y Saldo &gt; 0.</t>
  </si>
  <si>
    <t>Cantidad válida Para Programar</t>
  </si>
  <si>
    <t>ID PP</t>
  </si>
  <si>
    <t>En Plan Maestro?</t>
  </si>
  <si>
    <t>Clave PP</t>
  </si>
  <si>
    <t>ECAR | OBRA ROQUE — PLAN MAESTRO</t>
  </si>
  <si>
    <t>SECTORES</t>
  </si>
  <si>
    <t>Seleccione Sector / Tramo y luego Actividad. Unidad, saldo, pasaje y diámetro se completan automáticamente. Usted completa rendimiento, fechas y recursos.</t>
  </si>
  <si>
    <t>ID Plan</t>
  </si>
  <si>
    <t>Cantidad pendiente</t>
  </si>
  <si>
    <t>Rendimiento esperado/día</t>
  </si>
  <si>
    <t>Duración calc. (días)</t>
  </si>
  <si>
    <t>Inicio plan</t>
  </si>
  <si>
    <t>Fin plan</t>
  </si>
  <si>
    <t>Cuadrilla</t>
  </si>
  <si>
    <t>Equipo</t>
  </si>
  <si>
    <t>Material crítico</t>
  </si>
  <si>
    <t>Control</t>
  </si>
  <si>
    <t>ID interno</t>
  </si>
  <si>
    <t>ECAR | OBRA ROQUE — PROGRAMACIÓN SEMANAL</t>
  </si>
  <si>
    <t>Seleccione sólo ID Plan. Sector, actividad, unidad, responsable y saldo se heredan. Complete fecha, meta, horario, personal, equipos y materiales.</t>
  </si>
  <si>
    <t>ID Programa</t>
  </si>
  <si>
    <t>Semana inicio</t>
  </si>
  <si>
    <t>Fecha</t>
  </si>
  <si>
    <t>Meta planificada</t>
  </si>
  <si>
    <t>Personal (cant.)</t>
  </si>
  <si>
    <t>Equipo / Maquinaria</t>
  </si>
  <si>
    <t>Materiales / Requisitos</t>
  </si>
  <si>
    <t>Real ejecutado</t>
  </si>
  <si>
    <t>% cumplimiento</t>
  </si>
  <si>
    <t>Saldo actual</t>
  </si>
  <si>
    <t>Control meta</t>
  </si>
  <si>
    <t>Capacidad operativa actual: 40 programaciones simultáneas. Ampliable sin cambiar el modelo.</t>
  </si>
  <si>
    <t>ECAR | OBRA ROQUE — ORDEN DIARIA DE TRABAJO</t>
  </si>
  <si>
    <t>Seleccione ID Programa. La ODT hereda automáticamente el compromiso semanal y evita duplicar carga.</t>
  </si>
  <si>
    <t>N° ODT</t>
  </si>
  <si>
    <t>Alcance / Meta</t>
  </si>
  <si>
    <t>Materiales</t>
  </si>
  <si>
    <t>Instrucciones / Calidad</t>
  </si>
  <si>
    <t>Estado ODT</t>
  </si>
  <si>
    <t>Observación</t>
  </si>
  <si>
    <t>ECAR | OBRA ROQUE — PARTE DIARIO / EJECUCIÓN REAL</t>
  </si>
  <si>
    <t>Seleccione N° ODT. Se hereda planificación; cargue cantidad real, tiempos, recursos y novedades.</t>
  </si>
  <si>
    <t>Planificado</t>
  </si>
  <si>
    <t>Inicio real</t>
  </si>
  <si>
    <t>Fin real</t>
  </si>
  <si>
    <t>Personal real</t>
  </si>
  <si>
    <t>Equipos usados</t>
  </si>
  <si>
    <t>Materiales usados</t>
  </si>
  <si>
    <t>Novedades / Interferencias</t>
  </si>
  <si>
    <t>Incidente / Calidad</t>
  </si>
  <si>
    <t>Responsable carga</t>
  </si>
  <si>
    <t>ECAR | OBRA ROQUE — CONTROL SEMANAL</t>
  </si>
  <si>
    <t>Control integral por tramo, recursos, desvíos, hidrantes y servicios domiciliarios.</t>
  </si>
  <si>
    <t>Longitud</t>
  </si>
  <si>
    <t>AG-05 Nivelación</t>
  </si>
  <si>
    <t>AG-06 Aporte</t>
  </si>
  <si>
    <t>AG-07 Compactación</t>
  </si>
  <si>
    <t>Base 3/3</t>
  </si>
  <si>
    <t>3/3 OK</t>
  </si>
  <si>
    <t>OK</t>
  </si>
  <si>
    <t>RECURSOS Y FALTANTES</t>
  </si>
  <si>
    <t>Tipo</t>
  </si>
  <si>
    <t>Recurso</t>
  </si>
  <si>
    <t>Disponible</t>
  </si>
  <si>
    <t>Necesario</t>
  </si>
  <si>
    <t>Faltante</t>
  </si>
  <si>
    <t>Fecha necesidad</t>
  </si>
  <si>
    <t>DESVÍOS Y ACCIONES CORRECTIVAS</t>
  </si>
  <si>
    <t>ID Desvío</t>
  </si>
  <si>
    <t>Origen</t>
  </si>
  <si>
    <t>ID Programa / ODT</t>
  </si>
  <si>
    <t>Sector</t>
  </si>
  <si>
    <t>Descripción</t>
  </si>
  <si>
    <t>Causa</t>
  </si>
  <si>
    <t>Impacto</t>
  </si>
  <si>
    <t>Acción correctiva</t>
  </si>
  <si>
    <t>Fecha compromiso</t>
  </si>
  <si>
    <t>Fecha cierre</t>
  </si>
  <si>
    <t>Aprendizaje / Prevención</t>
  </si>
  <si>
    <t>CONTROL DE HIDRANTES — UBICACIÓN CONFIRMADA EN OBRA</t>
  </si>
  <si>
    <t>ID Hidrante</t>
  </si>
  <si>
    <t>Tipo red</t>
  </si>
  <si>
    <t>Tramo confirmado</t>
  </si>
  <si>
    <t>% Avance</t>
  </si>
  <si>
    <t>Fuente / criterio</t>
  </si>
  <si>
    <t>H-RD-01</t>
  </si>
  <si>
    <t>Proyecto: 15 hidrantes RDAP. Tramo a confirmar en obra.</t>
  </si>
  <si>
    <t>H-RD-02</t>
  </si>
  <si>
    <t>H-RD-03</t>
  </si>
  <si>
    <t>H-RD-04</t>
  </si>
  <si>
    <t>H-RD-05</t>
  </si>
  <si>
    <t>H-RD-06</t>
  </si>
  <si>
    <t>H-RD-07</t>
  </si>
  <si>
    <t>H-RD-08</t>
  </si>
  <si>
    <t>H-RD-09</t>
  </si>
  <si>
    <t>H-RD-10</t>
  </si>
  <si>
    <t>H-RD-11</t>
  </si>
  <si>
    <t>H-RD-12</t>
  </si>
  <si>
    <t>H-RD-13</t>
  </si>
  <si>
    <t>H-RD-14</t>
  </si>
  <si>
    <t>H-RD-15</t>
  </si>
  <si>
    <t>H-NX-01</t>
  </si>
  <si>
    <t>Proyecto: 5 hidrantes nexo. Tramo a confirmar en obra.</t>
  </si>
  <si>
    <t>H-NX-02</t>
  </si>
  <si>
    <t>H-NX-03</t>
  </si>
  <si>
    <t>H-NX-04</t>
  </si>
  <si>
    <t>H-NX-05</t>
  </si>
  <si>
    <t>CONTROL RESUMEN DE SERVICIOS POR TRAMO</t>
  </si>
  <si>
    <t>Tramo</t>
  </si>
  <si>
    <t>Registros individuales</t>
  </si>
  <si>
    <t>Base aprobada</t>
  </si>
  <si>
    <t>Paquete aprobado</t>
  </si>
  <si>
    <t>Vainas pendientes</t>
  </si>
  <si>
    <t>CONTROL INDIVIDUAL DE SERVICIOS Y ENSAYOS</t>
  </si>
  <si>
    <t>ID Servicio</t>
  </si>
  <si>
    <t>Servicio / Lote</t>
  </si>
  <si>
    <t>Vaina</t>
  </si>
  <si>
    <t>Ensayo Base solicitado</t>
  </si>
  <si>
    <t>Resultado Base</t>
  </si>
  <si>
    <t>Ensayo Paquete solicitado</t>
  </si>
  <si>
    <t>Resultado Paquete</t>
  </si>
  <si>
    <t>Estado Servicio</t>
  </si>
  <si>
    <t>Observaciones</t>
  </si>
  <si>
    <t>ECAR | OBRA ROQUE — BASE TÉCNICA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</si>
  <si>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</si>
  <si>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</si>
  <si>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</si>
  <si>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</si>
  <si>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</si>
  <si>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</si>
  <si>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</si>
  <si>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</si>
  <si>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</si>
  <si>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Fila Estado</t>
  </si>
  <si>
    <t>TRAMOS CON SERVICIOS</t>
  </si>
  <si>
    <t>Base de itemizado, tramos, cantidades de servicios, controles especiales y listas auxiliares.</t>
  </si>
  <si>
    <t>Pendiente</t>
  </si>
  <si>
    <t>Material</t>
  </si>
  <si>
    <t>N1 - N2|01 Replanteo - Marcación de tramo de cañería principal</t>
  </si>
  <si>
    <t>Emitida</t>
  </si>
  <si>
    <t>Programada</t>
  </si>
  <si>
    <t>Solicitado</t>
  </si>
  <si>
    <t>Colocada</t>
  </si>
  <si>
    <t>m2</t>
  </si>
  <si>
    <t>N1 - N2|02 Excavación - Zanja principal</t>
  </si>
  <si>
    <t>Etapa</t>
  </si>
  <si>
    <t>Actividad estandarizada</t>
  </si>
  <si>
    <t>Unidad principal</t>
  </si>
  <si>
    <t>Base de cómputo</t>
  </si>
  <si>
    <t>Unidad complementaria</t>
  </si>
  <si>
    <t>Criterio de medición</t>
  </si>
  <si>
    <t>Observación técnica</t>
  </si>
  <si>
    <t>Nodo inicio</t>
  </si>
  <si>
    <t>Nodo fin</t>
  </si>
  <si>
    <t>Longitud (m)</t>
  </si>
  <si>
    <t>Ancho zanja (m)</t>
  </si>
  <si>
    <t>Prof. media (m)</t>
  </si>
  <si>
    <t>Servicios (u)</t>
  </si>
  <si>
    <t>Hidrantes (u)</t>
  </si>
  <si>
    <t>Vol. excavación (m³)</t>
  </si>
  <si>
    <t>Cama asiento (m³)</t>
  </si>
  <si>
    <t>Paquete 0,30 (m³)</t>
  </si>
  <si>
    <t>Diámetro (mm)</t>
  </si>
  <si>
    <t>Verificación</t>
  </si>
  <si>
    <t>Baja</t>
  </si>
  <si>
    <t>En ejecución</t>
  </si>
  <si>
    <t>Aprobado</t>
  </si>
  <si>
    <t>No corresponde</t>
  </si>
  <si>
    <t>Bloqueado</t>
  </si>
  <si>
    <t>Herramienta</t>
  </si>
  <si>
    <t>m3</t>
  </si>
  <si>
    <t>N1 - N2|03 Base de asiento - Nivelación de fondo de zanja</t>
  </si>
  <si>
    <t>01 Replanteo</t>
  </si>
  <si>
    <t>Longitud efectivamente marcada entre nodos.</t>
  </si>
  <si>
    <t>Físico</t>
  </si>
  <si>
    <t>N1</t>
  </si>
  <si>
    <t>N2</t>
  </si>
  <si>
    <t>Relevamiento corregido en Hoja1. Verificado en PDF.</t>
  </si>
  <si>
    <t>VERIFICADO EN PDF</t>
  </si>
  <si>
    <t>Bloqueada</t>
  </si>
  <si>
    <t>Crítica</t>
  </si>
  <si>
    <t>Cumplida</t>
  </si>
  <si>
    <t>Rechazado</t>
  </si>
  <si>
    <t>Terminado</t>
  </si>
  <si>
    <t>Personal</t>
  </si>
  <si>
    <t>u</t>
  </si>
  <si>
    <t>N1 - N2|03 Base de asiento - Aporte de material base e=0,10 m</t>
  </si>
  <si>
    <t>AG-02</t>
  </si>
  <si>
    <t>01 Replanteo - Marcación de servicios domiciliarios</t>
  </si>
  <si>
    <t>Servicios</t>
  </si>
  <si>
    <t>Cantidad de servicios marcados.</t>
  </si>
  <si>
    <t>N4</t>
  </si>
  <si>
    <t>Anulada</t>
  </si>
  <si>
    <t>Repetir ensayo</t>
  </si>
  <si>
    <t>kg</t>
  </si>
  <si>
    <t>N1 - N2|03 Base de asiento - Compactación</t>
  </si>
  <si>
    <t>02 Excavación</t>
  </si>
  <si>
    <t>Metros lineales excavados. Registrar m³ como indicador complementario.</t>
  </si>
  <si>
    <t>V = L × ancho × profundidad media</t>
  </si>
  <si>
    <t>N9</t>
  </si>
  <si>
    <t>N11</t>
  </si>
  <si>
    <t>Reprogramada</t>
  </si>
  <si>
    <t>h</t>
  </si>
  <si>
    <t>N1 - N2|04 Inspecciones previas - Laboratorio base de asiento</t>
  </si>
  <si>
    <t>AG-04</t>
  </si>
  <si>
    <t>02 Excavación - Servicios domiciliarios</t>
  </si>
  <si>
    <t>Cantidad de servicios con excavación terminada.</t>
  </si>
  <si>
    <t>N10</t>
  </si>
  <si>
    <t>N15</t>
  </si>
  <si>
    <t>jornada</t>
  </si>
  <si>
    <t>N1 - N2|04 Inspecciones previas - Zanja y materiales</t>
  </si>
  <si>
    <t>03 Base de asiento</t>
  </si>
  <si>
    <t>Metros lineales con fondo nivelado.</t>
  </si>
  <si>
    <t>N12</t>
  </si>
  <si>
    <t>%</t>
  </si>
  <si>
    <t>N1 - N2|05 Tendido de cañería - Cañería principal</t>
  </si>
  <si>
    <t>Metros lineales con cama conformada.</t>
  </si>
  <si>
    <t>Volumen complementario = L × ancho × 0,10</t>
  </si>
  <si>
    <t>N17</t>
  </si>
  <si>
    <t>gl</t>
  </si>
  <si>
    <t>N1 - N2|05 Tendido de cañería - Relevamiento planialtimétrico</t>
  </si>
  <si>
    <t>Metros lineales compactados y listos para inspección.</t>
  </si>
  <si>
    <t>Referencia del borrador: 92 % Proctor</t>
  </si>
  <si>
    <t>N13</t>
  </si>
  <si>
    <t>N1 - N2|08 Prueba hidráulica - Preparación del sistema</t>
  </si>
  <si>
    <t>04 Inspecciones previas</t>
  </si>
  <si>
    <t>Hito aprobado por tramo.</t>
  </si>
  <si>
    <t>Hito</t>
  </si>
  <si>
    <t>Solicitud a laboratorio OSSE</t>
  </si>
  <si>
    <t>N20</t>
  </si>
  <si>
    <t>hito</t>
  </si>
  <si>
    <t>N1 - N2|08 Prueba hidráulica - Interna N° 1</t>
  </si>
  <si>
    <t>Solicitud a inspección de obra</t>
  </si>
  <si>
    <t>N23</t>
  </si>
  <si>
    <t>N1 - N2|08 Prueba hidráulica - Interna N° 2</t>
  </si>
  <si>
    <t>05 Tendido de cañería</t>
  </si>
  <si>
    <t>Metros de cañería colocados en zanja.</t>
  </si>
  <si>
    <t>Diámetro según proyecto</t>
  </si>
  <si>
    <t>N14</t>
  </si>
  <si>
    <t>N16</t>
  </si>
  <si>
    <t>N1 - N2|08 Prueba hidráulica - Primera prueba oficial</t>
  </si>
  <si>
    <t>Metros de cañería relevados por topografía.</t>
  </si>
  <si>
    <t>Realizar antes del tapado</t>
  </si>
  <si>
    <t>N1 - N2|09 Paquete estructural - Aporte e=0,30 m</t>
  </si>
  <si>
    <t>AG-10</t>
  </si>
  <si>
    <t>06 Servicios</t>
  </si>
  <si>
    <t>06 Servicios - Instalación de servicios domiciliarios</t>
  </si>
  <si>
    <t>Cantidad de servicios instalados.</t>
  </si>
  <si>
    <t>N1 - N2|09 Paquete estructural - Compactación</t>
  </si>
  <si>
    <t>AG-11</t>
  </si>
  <si>
    <t>07 Hidrantes</t>
  </si>
  <si>
    <t>07 Hidrantes - Replanteo de cámara</t>
  </si>
  <si>
    <t>Hidrantes</t>
  </si>
  <si>
    <t>Cámaras replanteadas.</t>
  </si>
  <si>
    <t>N18</t>
  </si>
  <si>
    <t>N1 - N2|09 Paquete estructural - Inspección laboratorio</t>
  </si>
  <si>
    <t>AG-12</t>
  </si>
  <si>
    <t>07 Hidrantes - Excavación de cámara</t>
  </si>
  <si>
    <t>Cámaras excavadas.</t>
  </si>
  <si>
    <t>N19</t>
  </si>
  <si>
    <t>N1 - N2|10 Relleno -0,60 - Conformación de capa</t>
  </si>
  <si>
    <t>AG-13</t>
  </si>
  <si>
    <t>07 Hidrantes - Platea de asiento</t>
  </si>
  <si>
    <t>Plateas ejecutadas y colocadas.</t>
  </si>
  <si>
    <t>Espesor según detalle aprobado</t>
  </si>
  <si>
    <t>N26</t>
  </si>
  <si>
    <t>N1 - N2|10 Relleno -0,60 - Humectación</t>
  </si>
  <si>
    <t>AG-14</t>
  </si>
  <si>
    <t>07 Hidrantes - Mampostería de cámara</t>
  </si>
  <si>
    <t>Cámaras con muros terminados.</t>
  </si>
  <si>
    <t>N1 - N2|10 Relleno -0,60 - Compactación</t>
  </si>
  <si>
    <t>AG-15</t>
  </si>
  <si>
    <t>07 Hidrantes - Armado / montaje</t>
  </si>
  <si>
    <t>Hidrantes armados.</t>
  </si>
  <si>
    <t>N27</t>
  </si>
  <si>
    <t>N1 - N2|10 Relleno -0,60 - Inspección laboratorio</t>
  </si>
  <si>
    <t>AG-16</t>
  </si>
  <si>
    <t>07 Hidrantes - Losa y tapa</t>
  </si>
  <si>
    <t>Cámaras cerradas.</t>
  </si>
  <si>
    <t>N3</t>
  </si>
  <si>
    <t>N1 - N2|11 Relleno -0,30 - Conformación de capa</t>
  </si>
  <si>
    <t>08 Prueba hidráulica</t>
  </si>
  <si>
    <t>Tramo preparado para ensayo.</t>
  </si>
  <si>
    <t>Tanque + bomba + conexiones</t>
  </si>
  <si>
    <t>N32</t>
  </si>
  <si>
    <t>N1 - N2|11 Relleno -0,30 - Humectación</t>
  </si>
  <si>
    <t>Ensayo interno realizado.</t>
  </si>
  <si>
    <t>N5</t>
  </si>
  <si>
    <t>N1 - N2|11 Relleno -0,30 - Compactación</t>
  </si>
  <si>
    <t>N21</t>
  </si>
  <si>
    <t>N1 - N2|11 Relleno -0,30 - Inspección laboratorio</t>
  </si>
  <si>
    <t>Hito de prueba aprobado por inspección.</t>
  </si>
  <si>
    <t>Borrador: 15 min a 7 kg; confirmar unidad</t>
  </si>
  <si>
    <t>N22</t>
  </si>
  <si>
    <t>N1 - N4|01 Replanteo - Marcación de tramo de cañería principal</t>
  </si>
  <si>
    <t>09 Paquete estructural</t>
  </si>
  <si>
    <t>Metros lineales con paquete conformado.</t>
  </si>
  <si>
    <t>Volumen complementario = L × ancho × 0,30</t>
  </si>
  <si>
    <t>N28</t>
  </si>
  <si>
    <t>N1 - N4|02 Excavación - Zanja principal</t>
  </si>
  <si>
    <t>Metros lineales compactados.</t>
  </si>
  <si>
    <t>Densidad según OSSE/laboratorio</t>
  </si>
  <si>
    <t>N24</t>
  </si>
  <si>
    <t>N1 - N4|03 Base de asiento - Nivelación de fondo de zanja</t>
  </si>
  <si>
    <t>N29</t>
  </si>
  <si>
    <t>N1 - N4|03 Base de asiento - Aporte de material base e=0,10 m</t>
  </si>
  <si>
    <t>10 Relleno -0,60</t>
  </si>
  <si>
    <t>Metros lineales con capa conformada.</t>
  </si>
  <si>
    <t>N1 - N4|03 Base de asiento - Compactación</t>
  </si>
  <si>
    <t>Metros lineales humectados.</t>
  </si>
  <si>
    <t>N25</t>
  </si>
  <si>
    <t>N1 - N4|04 Inspecciones previas - Laboratorio base de asiento</t>
  </si>
  <si>
    <t>N30</t>
  </si>
  <si>
    <t>N1 - N4|04 Inspecciones previas - Zanja y materiales</t>
  </si>
  <si>
    <t>N31</t>
  </si>
  <si>
    <t>N1 - N4|05 Tendido de cañería - Cañería principal</t>
  </si>
  <si>
    <t>11 Relleno -0,30</t>
  </si>
  <si>
    <t>N1 - N4|05 Tendido de cañería - Relevamiento planialtimétrico</t>
  </si>
  <si>
    <t>N1 - N4|08 Prueba hidráulica - Preparación del sistema</t>
  </si>
  <si>
    <t>N1 - N4|08 Prueba hidráulica - Interna N° 1</t>
  </si>
  <si>
    <t>N1 - N4|08 Prueba hidráulica - Interna N° 2</t>
  </si>
  <si>
    <t>AG-28</t>
  </si>
  <si>
    <t>06 Servicios - Colocación de vaina / caño camisa</t>
  </si>
  <si>
    <t>Cantidad de servicios con vaina / caño camisa colocada.</t>
  </si>
  <si>
    <t>Control operativo de terminación de servicios.</t>
  </si>
  <si>
    <t>N7</t>
  </si>
  <si>
    <t>N1 - N4|08 Prueba hidráulica - Primera prueba oficial</t>
  </si>
  <si>
    <t>AG-29</t>
  </si>
  <si>
    <t>12 Terminaciones</t>
  </si>
  <si>
    <t>12 Terminaciones - Relleno / tapado de servicios</t>
  </si>
  <si>
    <t>Cantidad de servicios tapados y liberados.</t>
  </si>
  <si>
    <t>N35</t>
  </si>
  <si>
    <t>N1 - N4|09 Paquete estructural - Aporte e=0,30 m</t>
  </si>
  <si>
    <t>AG-30</t>
  </si>
  <si>
    <t>12 Terminaciones - Colocación y amurado de cajas</t>
  </si>
  <si>
    <t>Cantidad de cajas colocadas y amuradas.</t>
  </si>
  <si>
    <t>N36</t>
  </si>
  <si>
    <t>N1 - N4|09 Paquete estructural - Compactación</t>
  </si>
  <si>
    <t>DO-01</t>
  </si>
  <si>
    <t>13 Conforme a obra</t>
  </si>
  <si>
    <t>13 Conforme a obra - Plano conforme a obra</t>
  </si>
  <si>
    <t>Global</t>
  </si>
  <si>
    <t>Hito documental global o por sector definido.</t>
  </si>
  <si>
    <t>Documental</t>
  </si>
  <si>
    <t>N33</t>
  </si>
  <si>
    <t>N34</t>
  </si>
  <si>
    <t>N1 - N4|09 Paquete estructural - Inspección laboratorio</t>
  </si>
  <si>
    <t>AG-HID</t>
  </si>
  <si>
    <t>07 Hidrante - Ejecución completa</t>
  </si>
  <si>
    <t>Hidrante</t>
  </si>
  <si>
    <t>Porcentaje físico de ejecución del hidrante por ubicación confirmada.</t>
  </si>
  <si>
    <t>Control simplificado: 0% a 100%.</t>
  </si>
  <si>
    <t>N1 - N4|10 Relleno -0,60 - Conformación de capa</t>
  </si>
  <si>
    <t>SV-QA1</t>
  </si>
  <si>
    <t>06 Servicios - Ensayo base de asiento</t>
  </si>
  <si>
    <t>Servicio</t>
  </si>
  <si>
    <t>Solicitud y resultado por servicio en Control de Servicios.</t>
  </si>
  <si>
    <t>No usar como actividad masiva del Plan Maestro.</t>
  </si>
  <si>
    <t>N37</t>
  </si>
  <si>
    <t>N1 - N4|10 Relleno -0,60 - Humectación</t>
  </si>
  <si>
    <t>SV-QA2</t>
  </si>
  <si>
    <t>06 Servicios - Ensayo paquete estructural</t>
  </si>
  <si>
    <t>N38</t>
  </si>
  <si>
    <t>N1 - N4|10 Relleno -0,60 - Compactación</t>
  </si>
  <si>
    <t>N39</t>
  </si>
  <si>
    <t>Relevamiento corregido en Hoja1. Verificado en PDF. Pasaje/calle sin dato en Hoja1.</t>
  </si>
  <si>
    <t>N1 - N4|10 Relleno -0,60 - Inspección laboratorio</t>
  </si>
  <si>
    <t>N6</t>
  </si>
  <si>
    <t>N1 - N4|11 Relleno -0,30 - Conformación de capa</t>
  </si>
  <si>
    <t>N8</t>
  </si>
  <si>
    <t>N1 - N4|11 Relleno -0,30 - Humectación</t>
  </si>
  <si>
    <t>N1 - N4|11 Relleno -0,30 - Compactación</t>
  </si>
  <si>
    <t>N1 - N4|11 Relleno -0,30 - Inspección laboratorio</t>
  </si>
  <si>
    <t>CRITERIOS DE TRAZABILIDAD</t>
  </si>
  <si>
    <t>N9 - N11|01 Replanteo - Marcación de tramo de cañería principal</t>
  </si>
  <si>
    <t>Las cantidades por tramo provienen de la tabla hidráulica del proyecto; total esperado RDAP = 227 conexiones.</t>
  </si>
  <si>
    <t>N9 - N11|02 Excavación - Zanja principal</t>
  </si>
  <si>
    <t>El proyecto indica 15 hidrantes en red distribuidora y 5 en nexo. La nota del plano establece que su ubicación se determinará en obra.</t>
  </si>
  <si>
    <t>N9 - N11|03 Base de asiento - Nivelación de fondo de zanja</t>
  </si>
  <si>
    <t>Criterio ECAR</t>
  </si>
  <si>
    <t>No se asigna un hidrante a un tramo sin confirmación de campo. Se controla con ID H-RD / H-NX + Tramo confirmado + % avance.</t>
  </si>
  <si>
    <t>N9 - N11|03 Base de asiento - Aporte de material base e=0,10 m</t>
  </si>
  <si>
    <t>Ensayos servicios</t>
  </si>
  <si>
    <t>Se controlan individualmente en 06_Control_Semanal, sin convertir cada ensayo en una actividad masiva del Plan Maestro.</t>
  </si>
  <si>
    <t>N9 - N11|03 Base de asiento - Compactación</t>
  </si>
  <si>
    <t>N9 - N11|04 Inspecciones previas - Laboratorio base de asiento</t>
  </si>
  <si>
    <t>N9 - N11|04 Inspecciones previas - Zanja y materiales</t>
  </si>
  <si>
    <t>N9 - N11|05 Tendido de cañería - Cañería principal</t>
  </si>
  <si>
    <t>N9 - N11|05 Tendido de cañería - Relevamiento planialtimétrico</t>
  </si>
  <si>
    <t>N9 - N11|08 Prueba hidráulica - Preparación del sistema</t>
  </si>
  <si>
    <t>N9 - N11|08 Prueba hidráulica - Interna N° 1</t>
  </si>
  <si>
    <t>N9 - N11|08 Prueba hidráulica - Interna N° 2</t>
  </si>
  <si>
    <t>N9 - N11|08 Prueba hidráulica - Primera prueba oficial</t>
  </si>
  <si>
    <t>N9 - N11|09 Paquete estructural - Aporte e=0,30 m</t>
  </si>
  <si>
    <t>N9 - N11|09 Paquete estructural - Compactación</t>
  </si>
  <si>
    <t>N9 - N11|09 Paquete estructural - Inspección laboratorio</t>
  </si>
  <si>
    <t>N9 - N11|10 Relleno -0,60 - Conformación de capa</t>
  </si>
  <si>
    <t>N9 - N11|10 Relleno -0,60 - Humectación</t>
  </si>
  <si>
    <t>N9 - N11|10 Relleno -0,60 - Compactación</t>
  </si>
  <si>
    <t>N9 - N11|10 Relleno -0,60 - Inspección laboratorio</t>
  </si>
  <si>
    <t>N9 - N11|11 Relleno -0,30 - Conformación de capa</t>
  </si>
  <si>
    <t>N9 - N11|11 Relleno -0,30 - Humectación</t>
  </si>
  <si>
    <t>N9 - N11|11 Relleno -0,30 - Compactación</t>
  </si>
  <si>
    <t>N9 - N11|11 Relleno -0,30 - Inspección laboratorio</t>
  </si>
  <si>
    <t>N10 - N15|01 Replanteo - Marcación de tramo de cañería principal</t>
  </si>
  <si>
    <t>N10 - N15|02 Excavación - Zanja principal</t>
  </si>
  <si>
    <t>N10 - N15|03 Base de asiento - Nivelación de fondo de zanja</t>
  </si>
  <si>
    <t>N10 - N15|03 Base de asiento - Aporte de material base e=0,10 m</t>
  </si>
  <si>
    <t>N10 - N15|03 Base de asiento - Compactación</t>
  </si>
  <si>
    <t>N10 - N15|04 Inspecciones previas - Laboratorio base de asiento</t>
  </si>
  <si>
    <t>N10 - N15|04 Inspecciones previas - Zanja y materiales</t>
  </si>
  <si>
    <t>N10 - N15|05 Tendido de cañería - Cañería principal</t>
  </si>
  <si>
    <t>N10 - N15|05 Tendido de cañería - Relevamiento planialtimétrico</t>
  </si>
  <si>
    <t>N10 - N15|08 Prueba hidráulica - Preparación del sistema</t>
  </si>
  <si>
    <t>N10 - N15|08 Prueba hidráulica - Interna N° 1</t>
  </si>
  <si>
    <t>N10 - N15|08 Prueba hidráulica - Interna N° 2</t>
  </si>
  <si>
    <t>N10 - N15|08 Prueba hidráulica - Primera prueba oficial</t>
  </si>
  <si>
    <t>N10 - N15|09 Paquete estructural - Aporte e=0,30 m</t>
  </si>
  <si>
    <t>N10 - N15|09 Paquete estructural - Compactación</t>
  </si>
  <si>
    <t>N10 - N15|09 Paquete estructural - Inspección laboratorio</t>
  </si>
  <si>
    <t>N10 - N15|10 Relleno -0,60 - Conformación de capa</t>
  </si>
  <si>
    <t>N10 - N15|10 Relleno -0,60 - Humectación</t>
  </si>
  <si>
    <t>N10 - N15|10 Relleno -0,60 - Compactación</t>
  </si>
  <si>
    <t>N10 - N15|10 Relleno -0,60 - Inspección laboratorio</t>
  </si>
  <si>
    <t>N10 - N15|11 Relleno -0,30 - Conformación de capa</t>
  </si>
  <si>
    <t>N10 - N15|11 Relleno -0,30 - Humectación</t>
  </si>
  <si>
    <t>N10 - N15|11 Relleno -0,30 - Compactación</t>
  </si>
  <si>
    <t>N10 - N15|11 Relleno -0,30 - Inspección laboratorio</t>
  </si>
  <si>
    <t>N11 - N12|01 Replanteo - Marcación de tramo de cañería principal</t>
  </si>
  <si>
    <t>N11 - N12|02 Excavación - Zanja principal</t>
  </si>
  <si>
    <t>N11 - N12|03 Base de asiento - Nivelación de fondo de zanja</t>
  </si>
  <si>
    <t>N11 - N12|03 Base de asiento - Aporte de material base e=0,10 m</t>
  </si>
  <si>
    <t>N11 - N12|03 Base de asiento - Compactación</t>
  </si>
  <si>
    <t>N11 - N12|04 Inspecciones previas - Laboratorio base de asiento</t>
  </si>
  <si>
    <t>N11 - N12|04 Inspecciones previas - Zanja y materiales</t>
  </si>
  <si>
    <t>N11 - N12|05 Tendido de cañería - Cañería principal</t>
  </si>
  <si>
    <t>N11 - N12|05 Tendido de cañería - Relevamiento planialtimétrico</t>
  </si>
  <si>
    <t>N11 - N12|08 Prueba hidráulica - Preparación del sistema</t>
  </si>
  <si>
    <t>N11 - N12|08 Prueba hidráulica - Interna N° 1</t>
  </si>
  <si>
    <t>N11 - N12|08 Prueba hidráulica - Interna N° 2</t>
  </si>
  <si>
    <t>N11 - N12|08 Prueba hidráulica - Primera prueba oficial</t>
  </si>
  <si>
    <t>N11 - N12|09 Paquete estructural - Aporte e=0,30 m</t>
  </si>
  <si>
    <t>N11 - N12|09 Paquete estructural - Compactación</t>
  </si>
  <si>
    <t>N11 - N12|09 Paquete estructural - Inspección laboratorio</t>
  </si>
  <si>
    <t>N11 - N12|10 Relleno -0,60 - Conformación de capa</t>
  </si>
  <si>
    <t>N11 - N12|10 Relleno -0,60 - Humectación</t>
  </si>
  <si>
    <t>N11 - N12|10 Relleno -0,60 - Compactación</t>
  </si>
  <si>
    <t>N11 - N12|10 Relleno -0,60 - Inspección laboratorio</t>
  </si>
  <si>
    <t>N11 - N12|11 Relleno -0,30 - Conformación de capa</t>
  </si>
  <si>
    <t>N11 - N12|11 Relleno -0,30 - Humectación</t>
  </si>
  <si>
    <t>N11 - N12|11 Relleno -0,30 - Compactación</t>
  </si>
  <si>
    <t>N11 - N12|11 Relleno -0,30 - Inspección laboratorio</t>
  </si>
  <si>
    <t>N11 - N17|01 Replanteo - Marcación de tramo de cañería principal</t>
  </si>
  <si>
    <t>N11 - N17|02 Excavación - Zanja principal</t>
  </si>
  <si>
    <t>N11 - N17|03 Base de asiento - Nivelación de fondo de zanja</t>
  </si>
  <si>
    <t>N11 - N17|03 Base de asiento - Aporte de material base e=0,10 m</t>
  </si>
  <si>
    <t>N11 - N17|03 Base de asiento - Compactación</t>
  </si>
  <si>
    <t>N11 - N17|04 Inspecciones previas - Laboratorio base de asiento</t>
  </si>
  <si>
    <t>N11 - N17|04 Inspecciones previas - Zanja y materiales</t>
  </si>
  <si>
    <t>N11 - N17|05 Tendido de cañería - Cañería principal</t>
  </si>
  <si>
    <t>N11 - N17|05 Tendido de cañería - Relevamiento planialtimétrico</t>
  </si>
  <si>
    <t>N11 - N17|08 Prueba hidráulica - Preparación del sistema</t>
  </si>
  <si>
    <t>N11 - N17|08 Prueba hidráulica - Interna N° 1</t>
  </si>
  <si>
    <t>N11 - N17|08 Prueba hidráulica - Interna N° 2</t>
  </si>
  <si>
    <t>N11 - N17|08 Prueba hidráulica - Primera prueba oficial</t>
  </si>
  <si>
    <t>N11 - N17|09 Paquete estructural - Aporte e=0,30 m</t>
  </si>
  <si>
    <t>N11 - N17|09 Paquete estructural - Compactación</t>
  </si>
  <si>
    <t>N11 - N17|09 Paquete estructural - Inspección laboratorio</t>
  </si>
  <si>
    <t>N11 - N17|10 Relleno -0,60 - Conformación de capa</t>
  </si>
  <si>
    <t>N11 - N17|10 Relleno -0,60 - Humectación</t>
  </si>
  <si>
    <t>N11 - N17|10 Relleno -0,60 - Compactación</t>
  </si>
  <si>
    <t>N11 - N17|10 Relleno -0,60 - Inspección laboratorio</t>
  </si>
  <si>
    <t>N11 - N17|11 Relleno -0,30 - Conformación de capa</t>
  </si>
  <si>
    <t>N11 - N17|11 Relleno -0,30 - Humectación</t>
  </si>
  <si>
    <t>N11 - N17|11 Relleno -0,30 - Compactación</t>
  </si>
  <si>
    <t>N11 - N17|11 Relleno -0,30 - Inspección laboratorio</t>
  </si>
  <si>
    <t>N12 - N13|01 Replanteo - Marcación de tramo de cañería principal</t>
  </si>
  <si>
    <t>N12 - N13|02 Excavación - Zanja principal</t>
  </si>
  <si>
    <t>N12 - N13|03 Base de asiento - Nivelación de fondo de zanja</t>
  </si>
  <si>
    <t>N12 - N13|03 Base de asiento - Aporte de material base e=0,10 m</t>
  </si>
  <si>
    <t>N12 - N13|03 Base de asiento - Compactación</t>
  </si>
  <si>
    <t>N12 - N13|04 Inspecciones previas - Laboratorio base de asiento</t>
  </si>
  <si>
    <t>N12 - N13|04 Inspecciones previas - Zanja y materiales</t>
  </si>
  <si>
    <t>N12 - N13|05 Tendido de cañería - Cañería principal</t>
  </si>
  <si>
    <t>N12 - N13|05 Tendido de cañería - Relevamiento planialtimétrico</t>
  </si>
  <si>
    <t>N12 - N13|08 Prueba hidráulica - Preparación del sistema</t>
  </si>
  <si>
    <t>N12 - N13|08 Prueba hidráulica - Interna N° 1</t>
  </si>
  <si>
    <t>N12 - N13|08 Prueba hidráulica - Interna N° 2</t>
  </si>
  <si>
    <t>N12 - N13|08 Prueba hidráulica - Primera prueba oficial</t>
  </si>
  <si>
    <t>N12 - N13|09 Paquete estructural - Aporte e=0,30 m</t>
  </si>
  <si>
    <t>N12 - N13|09 Paquete estructural - Compactación</t>
  </si>
  <si>
    <t>N12 - N13|09 Paquete estructural - Inspección laboratorio</t>
  </si>
  <si>
    <t>N12 - N13|10 Relleno -0,60 - Conformación de capa</t>
  </si>
  <si>
    <t>N12 - N13|10 Relleno -0,60 - Humectación</t>
  </si>
  <si>
    <t>N12 - N13|10 Relleno -0,60 - Compactación</t>
  </si>
  <si>
    <t>N12 - N13|10 Relleno -0,60 - Inspección laboratorio</t>
  </si>
  <si>
    <t>N12 - N13|11 Relleno -0,30 - Conformación de capa</t>
  </si>
  <si>
    <t>N12 - N13|11 Relleno -0,30 - Humectación</t>
  </si>
  <si>
    <t>N12 - N13|11 Relleno -0,30 - Compactación</t>
  </si>
  <si>
    <t>N12 - N13|11 Relleno -0,30 - Inspección laboratorio</t>
  </si>
  <si>
    <t>N12 - N20|01 Replanteo - Marcación de tramo de cañería principal</t>
  </si>
  <si>
    <t>N12 - N20|02 Excavación - Zanja principal</t>
  </si>
  <si>
    <t>N12 - N20|03 Base de asiento - Nivelación de fondo de zanja</t>
  </si>
  <si>
    <t>N12 - N20|03 Base de asiento - Aporte de material base e=0,10 m</t>
  </si>
  <si>
    <t>N12 - N20|03 Base de asiento - Compactación</t>
  </si>
  <si>
    <t>N12 - N20|04 Inspecciones previas - Laboratorio base de asiento</t>
  </si>
  <si>
    <t>N12 - N20|04 Inspecciones previas - Zanja y materiales</t>
  </si>
  <si>
    <t>N12 - N20|05 Tendido de cañería - Cañería principal</t>
  </si>
  <si>
    <t>N12 - N20|05 Tendido de cañería - Relevamiento planialtimétrico</t>
  </si>
  <si>
    <t>N12 - N20|08 Prueba hidráulica - Preparación del sistema</t>
  </si>
  <si>
    <t>N12 - N20|08 Prueba hidráulica - Interna N° 1</t>
  </si>
  <si>
    <t>N12 - N20|08 Prueba hidráulica - Interna N° 2</t>
  </si>
  <si>
    <t>N12 - N20|08 Prueba hidráulica - Primera prueba oficial</t>
  </si>
  <si>
    <t>N12 - N20|09 Paquete estructural - Aporte e=0,30 m</t>
  </si>
  <si>
    <t>N12 - N20|09 Paquete estructural - Compactación</t>
  </si>
  <si>
    <t>N12 - N20|09 Paquete estructural - Inspección laboratorio</t>
  </si>
  <si>
    <t>N12 - N20|10 Relleno -0,60 - Conformación de capa</t>
  </si>
  <si>
    <t>N12 - N20|10 Relleno -0,60 - Humectación</t>
  </si>
  <si>
    <t>N12 - N20|10 Relleno -0,60 - Compactación</t>
  </si>
  <si>
    <t>N12 - N20|10 Relleno -0,60 - Inspección laboratorio</t>
  </si>
  <si>
    <t>N12 - N20|11 Relleno -0,30 - Conformación de capa</t>
  </si>
  <si>
    <t>N12 - N20|11 Relleno -0,30 - Humectación</t>
  </si>
  <si>
    <t>N12 - N20|11 Relleno -0,30 - Compactación</t>
  </si>
  <si>
    <t>N12 - N20|11 Relleno -0,30 - Inspección laboratorio</t>
  </si>
  <si>
    <t>N13 - N23|01 Replanteo - Marcación de tramo de cañería principal</t>
  </si>
  <si>
    <t>N13 - N23|02 Excavación - Zanja principal</t>
  </si>
  <si>
    <t>N13 - N23|03 Base de asiento - Nivelación de fondo de zanja</t>
  </si>
  <si>
    <t>N13 - N23|03 Base de asiento - Aporte de material base e=0,10 m</t>
  </si>
  <si>
    <t>N13 - N23|03 Base de asiento - Compactación</t>
  </si>
  <si>
    <t>N13 - N23|04 Inspecciones previas - Laboratorio base de asiento</t>
  </si>
  <si>
    <t>N13 - N23|04 Inspecciones previas - Zanja y materiales</t>
  </si>
  <si>
    <t>N13 - N23|05 Tendido de cañería - Cañería principal</t>
  </si>
  <si>
    <t>N13 - N23|05 Tendido de cañería - Relevamiento planialtimétrico</t>
  </si>
  <si>
    <t>N13 - N23|08 Prueba hidráulica - Preparación del sistema</t>
  </si>
  <si>
    <t>N13 - N23|08 Prueba hidráulica - Interna N° 1</t>
  </si>
  <si>
    <t>N13 - N23|08 Prueba hidráulica - Interna N° 2</t>
  </si>
  <si>
    <t>N13 - N23|08 Prueba hidráulica - Primera prueba oficial</t>
  </si>
  <si>
    <t>N13 - N23|09 Paquete estructural - Aporte e=0,30 m</t>
  </si>
  <si>
    <t>N13 - N23|09 Paquete estructural - Compactación</t>
  </si>
  <si>
    <t>N13 - N23|09 Paquete estructural - Inspección laboratorio</t>
  </si>
  <si>
    <t>N13 - N23|10 Relleno -0,60 - Conformación de capa</t>
  </si>
  <si>
    <t>N13 - N23|10 Relleno -0,60 - Humectación</t>
  </si>
  <si>
    <t>N13 - N23|10 Relleno -0,60 - Compactación</t>
  </si>
  <si>
    <t>N13 - N23|10 Relleno -0,60 - Inspección laboratorio</t>
  </si>
  <si>
    <t>N13 - N23|11 Relleno -0,30 - Conformación de capa</t>
  </si>
  <si>
    <t>N13 - N23|11 Relleno -0,30 - Humectación</t>
  </si>
  <si>
    <t>N13 - N23|11 Relleno -0,30 - Compactación</t>
  </si>
  <si>
    <t>N13 - N23|11 Relleno -0,30 - Inspección laboratorio</t>
  </si>
  <si>
    <t>N14 - N16|01 Replanteo - Marcación de tramo de cañería principal</t>
  </si>
  <si>
    <t>N14 - N16|02 Excavación - Zanja principal</t>
  </si>
  <si>
    <t>N14 - N16|03 Base de asiento - Nivelación de fondo de zanja</t>
  </si>
  <si>
    <t>N14 - N16|03 Base de asiento - Aporte de material base e=0,10 m</t>
  </si>
  <si>
    <t>N14 - N16|03 Base de asiento - Compactación</t>
  </si>
  <si>
    <t>N14 - N16|04 Inspecciones previas - Laboratorio base de asiento</t>
  </si>
  <si>
    <t>N14 - N16|04 Inspecciones previas - Zanja y materiales</t>
  </si>
  <si>
    <t>N14 - N16|05 Tendido de cañería - Cañería principal</t>
  </si>
  <si>
    <t>N14 - N16|05 Tendido de cañería - Relevamiento planialtimétrico</t>
  </si>
  <si>
    <t>N14 - N16|08 Prueba hidráulica - Preparación del sistema</t>
  </si>
  <si>
    <t>N14 - N16|08 Prueba hidráulica - Interna N° 1</t>
  </si>
  <si>
    <t>N14 - N16|08 Prueba hidráulica - Interna N° 2</t>
  </si>
  <si>
    <t>N14 - N16|08 Prueba hidráulica - Primera prueba oficial</t>
  </si>
  <si>
    <t>N14 - N16|09 Paquete estructural - Aporte e=0,30 m</t>
  </si>
  <si>
    <t>N14 - N16|09 Paquete estructural - Compactación</t>
  </si>
  <si>
    <t>N14 - N16|09 Paquete estructural - Inspección laboratorio</t>
  </si>
  <si>
    <t>N14 - N16|10 Relleno -0,60 - Conformación de capa</t>
  </si>
  <si>
    <t>N14 - N16|10 Relleno -0,60 - Humectación</t>
  </si>
  <si>
    <t>N14 - N16|10 Relleno -0,60 - Compactación</t>
  </si>
  <si>
    <t>N14 - N16|10 Relleno -0,60 - Inspección laboratorio</t>
  </si>
  <si>
    <t>N14 - N16|11 Relleno -0,30 - Conformación de capa</t>
  </si>
  <si>
    <t>N14 - N16|11 Relleno -0,30 - Humectación</t>
  </si>
  <si>
    <t>N14 - N16|11 Relleno -0,30 - Compactación</t>
  </si>
  <si>
    <t>N14 - N16|11 Relleno -0,30 - Inspección laboratorio</t>
  </si>
  <si>
    <t>N15 - N16|01 Replanteo - Marcación de tramo de cañería principal</t>
  </si>
  <si>
    <t>N15 - N16|02 Excavación - Zanja principal</t>
  </si>
  <si>
    <t>N15 - N16|03 Base de asiento - Nivelación de fondo de zanja</t>
  </si>
  <si>
    <t>N15 - N16|03 Base de asiento - Aporte de material base e=0,10 m</t>
  </si>
  <si>
    <t>N15 - N16|03 Base de asiento - Compactación</t>
  </si>
  <si>
    <t>N15 - N16|04 Inspecciones previas - Laboratorio base de asiento</t>
  </si>
  <si>
    <t>N15 - N16|04 Inspecciones previas - Zanja y materiales</t>
  </si>
  <si>
    <t>N15 - N16|05 Tendido de cañería - Cañería principal</t>
  </si>
  <si>
    <t>N15 - N16|05 Tendido de cañería - Relevamiento planialtimétrico</t>
  </si>
  <si>
    <t>N15 - N16|08 Prueba hidráulica - Preparación del sistema</t>
  </si>
  <si>
    <t>N15 - N16|08 Prueba hidráulica - Interna N° 1</t>
  </si>
  <si>
    <t>N15 - N16|08 Prueba hidráulica - Interna N° 2</t>
  </si>
  <si>
    <t>N15 - N16|08 Prueba hidráulica - Primera prueba oficial</t>
  </si>
  <si>
    <t>N15 - N16|09 Paquete estructural - Aporte e=0,30 m</t>
  </si>
  <si>
    <t>N15 - N16|09 Paquete estructural - Compactación</t>
  </si>
  <si>
    <t>N15 - N16|09 Paquete estructural - Inspección laboratorio</t>
  </si>
  <si>
    <t>N15 - N16|10 Relleno -0,60 - Conformación de capa</t>
  </si>
  <si>
    <t>N15 - N16|10 Relleno -0,60 - Humectación</t>
  </si>
  <si>
    <t>N15 - N16|10 Relleno -0,60 - Compactación</t>
  </si>
  <si>
    <t>N15 - N16|10 Relleno -0,60 - Inspección laboratorio</t>
  </si>
  <si>
    <t>N15 - N16|11 Relleno -0,30 - Conformación de capa</t>
  </si>
  <si>
    <t>N15 - N16|11 Relleno -0,30 - Humectación</t>
  </si>
  <si>
    <t>N15 - N16|11 Relleno -0,30 - Compactación</t>
  </si>
  <si>
    <t>N15 - N16|11 Relleno -0,30 - Inspección laboratorio</t>
  </si>
  <si>
    <t>N15 - N17|01 Replanteo - Marcación de tramo de cañería principal</t>
  </si>
  <si>
    <t>N15 - N17|02 Excavación - Zanja principal</t>
  </si>
  <si>
    <t>N15 - N17|03 Base de asiento - Nivelación de fondo de zanja</t>
  </si>
  <si>
    <t>N15 - N17|03 Base de asiento - Aporte de material base e=0,10 m</t>
  </si>
  <si>
    <t>N15 - N17|03 Base de asiento - Compactación</t>
  </si>
  <si>
    <t>N15 - N17|04 Inspecciones previas - Laboratorio base de asiento</t>
  </si>
  <si>
    <t>N15 - N17|04 Inspecciones previas - Zanja y materiales</t>
  </si>
  <si>
    <t>N15 - N17|05 Tendido de cañería - Cañería principal</t>
  </si>
  <si>
    <t>N15 - N17|05 Tendido de cañería - Relevamiento planialtimétrico</t>
  </si>
  <si>
    <t>N15 - N17|08 Prueba hidráulica - Preparación del sistema</t>
  </si>
  <si>
    <t>N15 - N17|08 Prueba hidráulica - Interna N° 1</t>
  </si>
  <si>
    <t>N15 - N17|08 Prueba hidráulica - Interna N° 2</t>
  </si>
  <si>
    <t>N15 - N17|08 Prueba hidráulica - Primera prueba oficial</t>
  </si>
  <si>
    <t>N15 - N17|09 Paquete estructural - Aporte e=0,30 m</t>
  </si>
  <si>
    <t>N15 - N17|09 Paquete estructural - Compactación</t>
  </si>
  <si>
    <t>N15 - N17|09 Paquete estructural - Inspección laboratorio</t>
  </si>
  <si>
    <t>N15 - N17|10 Relleno -0,60 - Conformación de capa</t>
  </si>
  <si>
    <t>N15 - N17|10 Relleno -0,60 - Humectación</t>
  </si>
  <si>
    <t>N15 - N17|10 Relleno -0,60 - Compactación</t>
  </si>
  <si>
    <t>N15 - N17|10 Relleno -0,60 - Inspección laboratorio</t>
  </si>
  <si>
    <t>N15 - N17|11 Relleno -0,30 - Conformación de capa</t>
  </si>
  <si>
    <t>N15 - N17|11 Relleno -0,30 - Humectación</t>
  </si>
  <si>
    <t>N15 - N17|11 Relleno -0,30 - Compactación</t>
  </si>
  <si>
    <t>N15 - N17|11 Relleno -0,30 - Inspección laboratorio</t>
  </si>
  <si>
    <t>N17 - N18|01 Replanteo - Marcación de tramo de cañería principal</t>
  </si>
  <si>
    <t>N17 - N18|02 Excavación - Zanja principal</t>
  </si>
  <si>
    <t>N17 - N18|03 Base de asiento - Nivelación de fondo de zanja</t>
  </si>
  <si>
    <t>N17 - N18|03 Base de asiento - Aporte de material base e=0,10 m</t>
  </si>
  <si>
    <t>N17 - N18|03 Base de asiento - Compactación</t>
  </si>
  <si>
    <t>N17 - N18|04 Inspecciones previas - Laboratorio base de asiento</t>
  </si>
  <si>
    <t>N17 - N18|04 Inspecciones previas - Zanja y materiales</t>
  </si>
  <si>
    <t>N17 - N18|05 Tendido de cañería - Cañería principal</t>
  </si>
  <si>
    <t>N17 - N18|05 Tendido de cañería - Relevamiento planialtimétrico</t>
  </si>
  <si>
    <t>N17 - N18|08 Prueba hidráulica - Preparación del sistema</t>
  </si>
  <si>
    <t>N17 - N18|08 Prueba hidráulica - Interna N° 1</t>
  </si>
  <si>
    <t>N17 - N18|08 Prueba hidráulica - Interna N° 2</t>
  </si>
  <si>
    <t>N17 - N18|08 Prueba hidráulica - Primera prueba oficial</t>
  </si>
  <si>
    <t>N17 - N18|09 Paquete estructural - Aporte e=0,30 m</t>
  </si>
  <si>
    <t>N17 - N18|09 Paquete estructural - Compactación</t>
  </si>
  <si>
    <t>N17 - N18|09 Paquete estructural - Inspección laboratorio</t>
  </si>
  <si>
    <t>N17 - N18|10 Relleno -0,60 - Conformación de capa</t>
  </si>
  <si>
    <t>N17 - N18|10 Relleno -0,60 - Humectación</t>
  </si>
  <si>
    <t>N17 - N18|10 Relleno -0,60 - Compactación</t>
  </si>
  <si>
    <t>N17 - N18|10 Relleno -0,60 - Inspección laboratorio</t>
  </si>
  <si>
    <t>N17 - N18|11 Relleno -0,30 - Conformación de capa</t>
  </si>
  <si>
    <t>N17 - N18|11 Relleno -0,30 - Humectación</t>
  </si>
  <si>
    <t>N17 - N18|11 Relleno -0,30 - Compactación</t>
  </si>
  <si>
    <t>N17 - N18|11 Relleno -0,30 - Inspección laboratorio</t>
  </si>
  <si>
    <t>N18 - N19|01 Replanteo - Marcación de tramo de cañería principal</t>
  </si>
  <si>
    <t>N18 - N19|02 Excavación - Zanja principal</t>
  </si>
  <si>
    <t>N18 - N19|03 Base de asiento - Nivelación de fondo de zanja</t>
  </si>
  <si>
    <t>N18 - N19|03 Base de asiento - Aporte de material base e=0,10 m</t>
  </si>
  <si>
    <t>N18 - N19|03 Base de asiento - Compactación</t>
  </si>
  <si>
    <t>N18 - N19|04 Inspecciones previas - Laboratorio base de asiento</t>
  </si>
  <si>
    <t>N18 - N19|04 Inspecciones previas - Zanja y materiales</t>
  </si>
  <si>
    <t>N18 - N19|05 Tendido de cañería - Cañería principal</t>
  </si>
  <si>
    <t>N18 - N19|05 Tendido de cañería - Relevamiento planialtimétrico</t>
  </si>
  <si>
    <t>N18 - N19|08 Prueba hidráulica - Preparación del sistema</t>
  </si>
  <si>
    <t>N18 - N19|08 Prueba hidráulica - Interna N° 1</t>
  </si>
  <si>
    <t>N18 - N19|08 Prueba hidráulica - Interna N° 2</t>
  </si>
  <si>
    <t>N18 - N19|08 Prueba hidráulica - Primera prueba oficial</t>
  </si>
  <si>
    <t>N18 - N19|09 Paquete estructural - Aporte e=0,30 m</t>
  </si>
  <si>
    <t>N18 - N19|09 Paquete estructural - Compactación</t>
  </si>
  <si>
    <t>N18 - N19|09 Paquete estructural - Inspección laboratorio</t>
  </si>
  <si>
    <t>N18 - N19|10 Relleno -0,60 - Conformación de capa</t>
  </si>
  <si>
    <t>N18 - N19|10 Relleno -0,60 - Humectación</t>
  </si>
  <si>
    <t>N18 - N19|10 Relleno -0,60 - Compactación</t>
  </si>
  <si>
    <t>N18 - N19|10 Relleno -0,60 - Inspección laboratorio</t>
  </si>
  <si>
    <t>N18 - N19|11 Relleno -0,30 - Conformación de capa</t>
  </si>
  <si>
    <t>N18 - N19|11 Relleno -0,30 - Humectación</t>
  </si>
  <si>
    <t>N18 - N19|11 Relleno -0,30 - Compactación</t>
  </si>
  <si>
    <t>N18 - N19|11 Relleno -0,30 - Inspección laboratorio</t>
  </si>
  <si>
    <t>N18 - N26|01 Replanteo - Marcación de tramo de cañería principal</t>
  </si>
  <si>
    <t>N18 - N26|02 Excavación - Zanja principal</t>
  </si>
  <si>
    <t>N18 - N26|03 Base de asiento - Nivelación de fondo de zanja</t>
  </si>
  <si>
    <t>N18 - N26|03 Base de asiento - Aporte de material base e=0,10 m</t>
  </si>
  <si>
    <t>N18 - N26|03 Base de asiento - Compactación</t>
  </si>
  <si>
    <t>N18 - N26|04 Inspecciones previas - Laboratorio base de asiento</t>
  </si>
  <si>
    <t>N18 - N26|04 Inspecciones previas - Zanja y materiales</t>
  </si>
  <si>
    <t>N18 - N26|05 Tendido de cañería - Cañería principal</t>
  </si>
  <si>
    <t>N18 - N26|05 Tendido de cañería - Relevamiento planialtimétrico</t>
  </si>
  <si>
    <t>N18 - N26|08 Prueba hidráulica - Preparación del sistema</t>
  </si>
  <si>
    <t>N18 - N26|08 Prueba hidráulica - Interna N° 1</t>
  </si>
  <si>
    <t>N18 - N26|08 Prueba hidráulica - Interna N° 2</t>
  </si>
  <si>
    <t>N18 - N26|08 Prueba hidráulica - Primera prueba oficial</t>
  </si>
  <si>
    <t>N18 - N26|09 Paquete estructural - Aporte e=0,30 m</t>
  </si>
  <si>
    <t>N18 - N26|09 Paquete estructural - Compactación</t>
  </si>
  <si>
    <t>N18 - N26|09 Paquete estructural - Inspección laboratorio</t>
  </si>
  <si>
    <t>N18 - N26|10 Relleno -0,60 - Conformación de capa</t>
  </si>
  <si>
    <t>N18 - N26|10 Relleno -0,60 - Humectación</t>
  </si>
  <si>
    <t>N18 - N26|10 Relleno -0,60 - Compactación</t>
  </si>
  <si>
    <t>N18 - N26|10 Relleno -0,60 - Inspección laboratorio</t>
  </si>
  <si>
    <t>N18 - N26|11 Relleno -0,30 - Conformación de capa</t>
  </si>
  <si>
    <t>N18 - N26|11 Relleno -0,30 - Humectación</t>
  </si>
  <si>
    <t>N18 - N26|11 Relleno -0,30 - Compactación</t>
  </si>
  <si>
    <t>N18 - N26|11 Relleno -0,30 - Inspección laboratorio</t>
  </si>
  <si>
    <t>N19 - N20|01 Replanteo - Marcación de tramo de cañería principal</t>
  </si>
  <si>
    <t>N19 - N20|02 Excavación - Zanja principal</t>
  </si>
  <si>
    <t>N19 - N20|03 Base de asiento - Nivelación de fondo de zanja</t>
  </si>
  <si>
    <t>N19 - N20|03 Base de asiento - Aporte de material base e=0,10 m</t>
  </si>
  <si>
    <t>N19 - N20|03 Base de asiento - Compactación</t>
  </si>
  <si>
    <t>N19 - N20|04 Inspecciones previas - Laboratorio base de asiento</t>
  </si>
  <si>
    <t>N19 - N20|04 Inspecciones previas - Zanja y materiales</t>
  </si>
  <si>
    <t>N19 - N20|05 Tendido de cañería - Cañería principal</t>
  </si>
  <si>
    <t>N19 - N20|05 Tendido de cañería - Relevamiento planialtimétrico</t>
  </si>
  <si>
    <t>N19 - N20|08 Prueba hidráulica - Preparación del sistema</t>
  </si>
  <si>
    <t>N19 - N20|08 Prueba hidráulica - Interna N° 1</t>
  </si>
  <si>
    <t>N19 - N20|08 Prueba hidráulica - Interna N° 2</t>
  </si>
  <si>
    <t>N19 - N20|08 Prueba hidráulica - Primera prueba oficial</t>
  </si>
  <si>
    <t>N19 - N20|09 Paquete estructural - Aporte e=0,30 m</t>
  </si>
  <si>
    <t>N19 - N20|09 Paquete estructural - Compactación</t>
  </si>
  <si>
    <t>N19 - N20|09 Paquete estructural - Inspección laboratorio</t>
  </si>
  <si>
    <t>N19 - N20|10 Relleno -0,60 - Conformación de capa</t>
  </si>
  <si>
    <t>N19 - N20|10 Relleno -0,60 - Humectación</t>
  </si>
  <si>
    <t>N19 - N20|10 Relleno -0,60 - Compactación</t>
  </si>
  <si>
    <t>N19 - N20|10 Relleno -0,60 - Inspección laboratorio</t>
  </si>
  <si>
    <t>N19 - N20|11 Relleno -0,30 - Conformación de capa</t>
  </si>
  <si>
    <t>N19 - N20|11 Relleno -0,30 - Humectación</t>
  </si>
  <si>
    <t>N19 - N20|11 Relleno -0,30 - Compactación</t>
  </si>
  <si>
    <t>N19 - N20|11 Relleno -0,30 - Inspección laboratorio</t>
  </si>
  <si>
    <t>N19 - N27|01 Replanteo - Marcación de tramo de cañería principal</t>
  </si>
  <si>
    <t>N19 - N27|02 Excavación - Zanja principal</t>
  </si>
  <si>
    <t>N19 - N27|03 Base de asiento - Nivelación de fondo de zanja</t>
  </si>
  <si>
    <t>N19 - N27|03 Base de asiento - Aporte de material base e=0,10 m</t>
  </si>
  <si>
    <t>N19 - N27|03 Base de asiento - Compactación</t>
  </si>
  <si>
    <t>N19 - N27|04 Inspecciones previas - Laboratorio base de asiento</t>
  </si>
  <si>
    <t>N19 - N27|04 Inspecciones previas - Zanja y materiales</t>
  </si>
  <si>
    <t>N19 - N27|05 Tendido de cañería - Cañería principal</t>
  </si>
  <si>
    <t>N19 - N27|05 Tendido de cañería - Relevamiento planialtimétrico</t>
  </si>
  <si>
    <t>N19 - N27|08 Prueba hidráulica - Preparación del sistema</t>
  </si>
  <si>
    <t>N19 - N27|08 Prueba hidráulica - Interna N° 1</t>
  </si>
  <si>
    <t>N19 - N27|08 Prueba hidráulica - Interna N° 2</t>
  </si>
  <si>
    <t>N19 - N27|08 Prueba hidráulica - Primera prueba oficial</t>
  </si>
  <si>
    <t>N19 - N27|09 Paquete estructural - Aporte e=0,30 m</t>
  </si>
  <si>
    <t>N19 - N27|09 Paquete estructural - Compactación</t>
  </si>
  <si>
    <t>N19 - N27|09 Paquete estructural - Inspección laboratorio</t>
  </si>
  <si>
    <t>N19 - N27|10 Relleno -0,60 - Conformación de capa</t>
  </si>
  <si>
    <t>N19 - N27|10 Relleno -0,60 - Humectación</t>
  </si>
  <si>
    <t>N19 - N27|10 Relleno -0,60 - Compactación</t>
  </si>
  <si>
    <t>N19 - N27|10 Relleno -0,60 - Inspección laboratorio</t>
  </si>
  <si>
    <t>N19 - N27|11 Relleno -0,30 - Conformación de capa</t>
  </si>
  <si>
    <t>N19 - N27|11 Relleno -0,30 - Humectación</t>
  </si>
  <si>
    <t>N19 - N27|11 Relleno -0,30 - Compactación</t>
  </si>
  <si>
    <t>N19 - N27|11 Relleno -0,30 - Inspección laboratorio</t>
  </si>
  <si>
    <t>N2 - N3|01 Replanteo - Marcación de tramo de cañería principal</t>
  </si>
  <si>
    <t>N2 - N3|02 Excavación - Zanja principal</t>
  </si>
  <si>
    <t>N2 - N3|03 Base de asiento - Nivelación de fondo de zanja</t>
  </si>
  <si>
    <t>N2 - N3|03 Base de asiento - Aporte de material base e=0,10 m</t>
  </si>
  <si>
    <t>N2 - N3|03 Base de asiento - Compactación</t>
  </si>
  <si>
    <t>N2 - N3|04 Inspecciones previas - Laboratorio base de asiento</t>
  </si>
  <si>
    <t>N2 - N3|04 Inspecciones previas - Zanja y materiales</t>
  </si>
  <si>
    <t>N2 - N3|05 Tendido de cañería - Cañería principal</t>
  </si>
  <si>
    <t>N2 - N3|05 Tendido de cañería - Relevamiento planialtimétrico</t>
  </si>
  <si>
    <t>N2 - N3|08 Prueba hidráulica - Preparación del sistema</t>
  </si>
  <si>
    <t>N2 - N3|08 Prueba hidráulica - Interna N° 1</t>
  </si>
  <si>
    <t>N2 - N3|08 Prueba hidráulica - Interna N° 2</t>
  </si>
  <si>
    <t>N2 - N3|08 Prueba hidráulica - Primera prueba oficial</t>
  </si>
  <si>
    <t>N2 - N3|09 Paquete estructural - Aporte e=0,30 m</t>
  </si>
  <si>
    <t>N2 - N3|09 Paquete estructural - Compactación</t>
  </si>
  <si>
    <t>N2 - N3|09 Paquete estructural - Inspección laboratorio</t>
  </si>
  <si>
    <t>N2 - N3|10 Relleno -0,60 - Conformación de capa</t>
  </si>
  <si>
    <t>N2 - N3|10 Relleno -0,60 - Humectación</t>
  </si>
  <si>
    <t>N2 - N3|10 Relleno -0,60 - Compactación</t>
  </si>
  <si>
    <t>N2 - N3|10 Relleno -0,60 - Inspección laboratorio</t>
  </si>
  <si>
    <t>N2 - N3|11 Relleno -0,30 - Conformación de capa</t>
  </si>
  <si>
    <t>N2 - N3|11 Relleno -0,30 - Humectación</t>
  </si>
  <si>
    <t>N2 - N3|11 Relleno -0,30 - Compactación</t>
  </si>
  <si>
    <t>N2 - N3|11 Relleno -0,30 - Inspección laboratorio</t>
  </si>
  <si>
    <t>N2 - N32|01 Replanteo - Marcación de tramo de cañería principal</t>
  </si>
  <si>
    <t>N2 - N32|02 Excavación - Zanja principal</t>
  </si>
  <si>
    <t>N2 - N32|03 Base de asiento - Nivelación de fondo de zanja</t>
  </si>
  <si>
    <t>N2 - N32|03 Base de asiento - Aporte de material base e=0,10 m</t>
  </si>
  <si>
    <t>N2 - N32|03 Base de asiento - Compactación</t>
  </si>
  <si>
    <t>N2 - N32|04 Inspecciones previas - Laboratorio base de asiento</t>
  </si>
  <si>
    <t>N2 - N32|04 Inspecciones previas - Zanja y materiales</t>
  </si>
  <si>
    <t>N2 - N32|05 Tendido de cañería - Cañería principal</t>
  </si>
  <si>
    <t>N2 - N32|05 Tendido de cañería - Relevamiento planialtimétrico</t>
  </si>
  <si>
    <t>N2 - N32|08 Prueba hidráulica - Preparación del sistema</t>
  </si>
  <si>
    <t>N2 - N32|08 Prueba hidráulica - Interna N° 1</t>
  </si>
  <si>
    <t>N2 - N32|08 Prueba hidráulica - Interna N° 2</t>
  </si>
  <si>
    <t>N2 - N32|08 Prueba hidráulica - Primera prueba oficial</t>
  </si>
  <si>
    <t>N2 - N32|09 Paquete estructural - Aporte e=0,30 m</t>
  </si>
  <si>
    <t>N2 - N32|09 Paquete estructural - Compactación</t>
  </si>
  <si>
    <t>N2 - N32|09 Paquete estructural - Inspección laboratorio</t>
  </si>
  <si>
    <t>N2 - N32|10 Relleno -0,60 - Conformación de capa</t>
  </si>
  <si>
    <t>N2 - N32|10 Relleno -0,60 - Humectación</t>
  </si>
  <si>
    <t>N2 - N32|10 Relleno -0,60 - Compactación</t>
  </si>
  <si>
    <t>N2 - N32|10 Relleno -0,60 - Inspección laboratorio</t>
  </si>
  <si>
    <t>N2 - N32|11 Relleno -0,30 - Conformación de capa</t>
  </si>
  <si>
    <t>N2 - N32|11 Relleno -0,30 - Humectación</t>
  </si>
  <si>
    <t>N2 - N32|11 Relleno -0,30 - Compactación</t>
  </si>
  <si>
    <t>N2 - N32|11 Relleno -0,30 - Inspección laboratorio</t>
  </si>
  <si>
    <t>N2 - N5|01 Replanteo - Marcación de tramo de cañería principal</t>
  </si>
  <si>
    <t>N2 - N5|02 Excavación - Zanja principal</t>
  </si>
  <si>
    <t>N2 - N5|03 Base de asiento - Nivelación de fondo de zanja</t>
  </si>
  <si>
    <t>N2 - N5|03 Base de asiento - Aporte de material base e=0,10 m</t>
  </si>
  <si>
    <t>N2 - N5|03 Base de asiento - Compactación</t>
  </si>
  <si>
    <t>N2 - N5|04 Inspecciones previas - Laboratorio base de asiento</t>
  </si>
  <si>
    <t>N2 - N5|04 Inspecciones previas - Zanja y materiales</t>
  </si>
  <si>
    <t>N2 - N5|05 Tendido de cañería - Cañería principal</t>
  </si>
  <si>
    <t>N2 - N5|05 Tendido de cañería - Relevamiento planialtimétrico</t>
  </si>
  <si>
    <t>N2 - N5|08 Prueba hidráulica - Preparación del sistema</t>
  </si>
  <si>
    <t>N2 - N5|08 Prueba hidráulica - Interna N° 1</t>
  </si>
  <si>
    <t>N2 - N5|08 Prueba hidráulica - Interna N° 2</t>
  </si>
  <si>
    <t>N2 - N5|08 Prueba hidráulica - Primera prueba oficial</t>
  </si>
  <si>
    <t>N2 - N5|09 Paquete estructural - Aporte e=0,30 m</t>
  </si>
  <si>
    <t>N2 - N5|09 Paquete estructural - Compactación</t>
  </si>
  <si>
    <t>N2 - N5|09 Paquete estructural - Inspección laboratorio</t>
  </si>
  <si>
    <t>N2 - N5|10 Relleno -0,60 - Conformación de capa</t>
  </si>
  <si>
    <t>N2 - N5|10 Relleno -0,60 - Humectación</t>
  </si>
  <si>
    <t>N2 - N5|10 Relleno -0,60 - Compactación</t>
  </si>
  <si>
    <t>N2 - N5|10 Relleno -0,60 - Inspección laboratorio</t>
  </si>
  <si>
    <t>N2 - N5|11 Relleno -0,30 - Conformación de capa</t>
  </si>
  <si>
    <t>N2 - N5|11 Relleno -0,30 - Humectación</t>
  </si>
  <si>
    <t>N2 - N5|11 Relleno -0,30 - Compactación</t>
  </si>
  <si>
    <t>N2 - N5|11 Relleno -0,30 - Inspección laboratorio</t>
  </si>
  <si>
    <t>N20 - N21|01 Replanteo - Marcación de tramo de cañería principal</t>
  </si>
  <si>
    <t>N20 - N21|02 Excavación - Zanja principal</t>
  </si>
  <si>
    <t>N20 - N21|03 Base de asiento - Nivelación de fondo de zanja</t>
  </si>
  <si>
    <t>N20 - N21|03 Base de asiento - Aporte de material base e=0,10 m</t>
  </si>
  <si>
    <t>N20 - N21|03 Base de asiento - Compactación</t>
  </si>
  <si>
    <t>N20 - N21|04 Inspecciones previas - Laboratorio base de asiento</t>
  </si>
  <si>
    <t>N20 - N21|04 Inspecciones previas - Zanja y materiales</t>
  </si>
  <si>
    <t>N20 - N21|05 Tendido de cañería - Cañería principal</t>
  </si>
  <si>
    <t>N20 - N21|05 Tendido de cañería - Relevamiento planialtimétrico</t>
  </si>
  <si>
    <t>N20 - N21|08 Prueba hidráulica - Preparación del sistema</t>
  </si>
  <si>
    <t>N20 - N21|08 Prueba hidráulica - Interna N° 1</t>
  </si>
  <si>
    <t>N20 - N21|08 Prueba hidráulica - Interna N° 2</t>
  </si>
  <si>
    <t>N20 - N21|08 Prueba hidráulica - Primera prueba oficial</t>
  </si>
  <si>
    <t>N20 - N21|09 Paquete estructural - Aporte e=0,30 m</t>
  </si>
  <si>
    <t>N20 - N21|09 Paquete estructural - Compactación</t>
  </si>
  <si>
    <t>N20 - N21|09 Paquete estructural - Inspección laboratorio</t>
  </si>
  <si>
    <t>N20 - N21|10 Relleno -0,60 - Conformación de capa</t>
  </si>
  <si>
    <t>N20 - N21|10 Relleno -0,60 - Humectación</t>
  </si>
  <si>
    <t>N20 - N21|10 Relleno -0,60 - Compactación</t>
  </si>
  <si>
    <t>N20 - N21|10 Relleno -0,60 - Inspección laboratorio</t>
  </si>
  <si>
    <t>N20 - N21|11 Relleno -0,30 - Conformación de capa</t>
  </si>
  <si>
    <t>N20 - N21|11 Relleno -0,30 - Humectación</t>
  </si>
  <si>
    <t>N20 - N21|11 Relleno -0,30 - Compactación</t>
  </si>
  <si>
    <t>N20 - N21|11 Relleno -0,30 - Inspección laboratorio</t>
  </si>
  <si>
    <t>N21 - N22|01 Replanteo - Marcación de tramo de cañería principal</t>
  </si>
  <si>
    <t>N21 - N22|02 Excavación - Zanja principal</t>
  </si>
  <si>
    <t>N21 - N22|03 Base de asiento - Nivelación de fondo de zanja</t>
  </si>
  <si>
    <t>N21 - N22|03 Base de asiento - Aporte de material base e=0,10 m</t>
  </si>
  <si>
    <t>N21 - N22|03 Base de asiento - Compactación</t>
  </si>
  <si>
    <t>N21 - N22|04 Inspecciones previas - Laboratorio base de asiento</t>
  </si>
  <si>
    <t>N21 - N22|04 Inspecciones previas - Zanja y materiales</t>
  </si>
  <si>
    <t>N21 - N22|05 Tendido de cañería - Cañería principal</t>
  </si>
  <si>
    <t>N21 - N22|05 Tendido de cañería - Relevamiento planialtimétrico</t>
  </si>
  <si>
    <t>N21 - N22|08 Prueba hidráulica - Preparación del sistema</t>
  </si>
  <si>
    <t>N21 - N22|08 Prueba hidráulica - Interna N° 1</t>
  </si>
  <si>
    <t>N21 - N22|08 Prueba hidráulica - Interna N° 2</t>
  </si>
  <si>
    <t>N21 - N22|08 Prueba hidráulica - Primera prueba oficial</t>
  </si>
  <si>
    <t>N21 - N22|09 Paquete estructural - Aporte e=0,30 m</t>
  </si>
  <si>
    <t>N21 - N22|09 Paquete estructural - Compactación</t>
  </si>
  <si>
    <t>N21 - N22|09 Paquete estructural - Inspección laboratorio</t>
  </si>
  <si>
    <t>N21 - N22|10 Relleno -0,60 - Conformación de capa</t>
  </si>
  <si>
    <t>N21 - N22|10 Relleno -0,60 - Humectación</t>
  </si>
  <si>
    <t>N21 - N22|10 Relleno -0,60 - Compactación</t>
  </si>
  <si>
    <t>N21 - N22|10 Relleno -0,60 - Inspección laboratorio</t>
  </si>
  <si>
    <t>N21 - N22|11 Relleno -0,30 - Conformación de capa</t>
  </si>
  <si>
    <t>N21 - N22|11 Relleno -0,30 - Humectación</t>
  </si>
  <si>
    <t>N21 - N22|11 Relleno -0,30 - Compactación</t>
  </si>
  <si>
    <t>N21 - N22|11 Relleno -0,30 - Inspección laboratorio</t>
  </si>
  <si>
    <t>N21 - N28|01 Replanteo - Marcación de tramo de cañería principal</t>
  </si>
  <si>
    <t>N21 - N28|02 Excavación - Zanja principal</t>
  </si>
  <si>
    <t>N21 - N28|03 Base de asiento - Nivelación de fondo de zanja</t>
  </si>
  <si>
    <t>N21 - N28|03 Base de asiento - Aporte de material base e=0,10 m</t>
  </si>
  <si>
    <t>N21 - N28|03 Base de asiento - Compactación</t>
  </si>
  <si>
    <t>N21 - N28|04 Inspecciones previas - Laboratorio base de asiento</t>
  </si>
  <si>
    <t>N21 - N28|04 Inspecciones previas - Zanja y materiales</t>
  </si>
  <si>
    <t>N21 - N28|05 Tendido de cañería - Cañería principal</t>
  </si>
  <si>
    <t>N21 - N28|05 Tendido de cañería - Relevamiento planialtimétrico</t>
  </si>
  <si>
    <t>N21 - N28|08 Prueba hidráulica - Preparación del sistema</t>
  </si>
  <si>
    <t>N21 - N28|08 Prueba hidráulica - Interna N° 1</t>
  </si>
  <si>
    <t>N21 - N28|08 Prueba hidráulica - Interna N° 2</t>
  </si>
  <si>
    <t>N21 - N28|08 Prueba hidráulica - Primera prueba oficial</t>
  </si>
  <si>
    <t>N21 - N28|09 Paquete estructural - Aporte e=0,30 m</t>
  </si>
  <si>
    <t>N21 - N28|09 Paquete estructural - Compactación</t>
  </si>
  <si>
    <t>N21 - N28|09 Paquete estructural - Inspección laboratorio</t>
  </si>
  <si>
    <t>N21 - N28|10 Relleno -0,60 - Conformación de capa</t>
  </si>
  <si>
    <t>N21 - N28|10 Relleno -0,60 - Humectación</t>
  </si>
  <si>
    <t>N21 - N28|10 Relleno -0,60 - Compactación</t>
  </si>
  <si>
    <t>N21 - N28|10 Relleno -0,60 - Inspección laboratorio</t>
  </si>
  <si>
    <t>N21 - N28|11 Relleno -0,30 - Conformación de capa</t>
  </si>
  <si>
    <t>N21 - N28|11 Relleno -0,30 - Humectación</t>
  </si>
  <si>
    <t>N21 - N28|11 Relleno -0,30 - Compactación</t>
  </si>
  <si>
    <t>N21 - N28|11 Relleno -0,30 - Inspección laboratorio</t>
  </si>
  <si>
    <t>N22 - N24|01 Replanteo - Marcación de tramo de cañería principal</t>
  </si>
  <si>
    <t>N22 - N24|02 Excavación - Zanja principal</t>
  </si>
  <si>
    <t>N22 - N24|03 Base de asiento - Nivelación de fondo de zanja</t>
  </si>
  <si>
    <t>N22 - N24|03 Base de asiento - Aporte de material base e=0,10 m</t>
  </si>
  <si>
    <t>N22 - N24|03 Base de asiento - Compactación</t>
  </si>
  <si>
    <t>N22 - N24|04 Inspecciones previas - Laboratorio base de asiento</t>
  </si>
  <si>
    <t>N22 - N24|04 Inspecciones previas - Zanja y materiales</t>
  </si>
  <si>
    <t>N22 - N24|05 Tendido de cañería - Cañería principal</t>
  </si>
  <si>
    <t>N22 - N24|05 Tendido de cañería - Relevamiento planialtimétrico</t>
  </si>
  <si>
    <t>N22 - N24|08 Prueba hidráulica - Preparación del sistema</t>
  </si>
  <si>
    <t>N22 - N24|08 Prueba hidráulica - Interna N° 1</t>
  </si>
  <si>
    <t>N22 - N24|08 Prueba hidráulica - Interna N° 2</t>
  </si>
  <si>
    <t>N22 - N24|08 Prueba hidráulica - Primera prueba oficial</t>
  </si>
  <si>
    <t>N22 - N24|09 Paquete estructural - Aporte e=0,30 m</t>
  </si>
  <si>
    <t>N22 - N24|09 Paquete estructural - Compactación</t>
  </si>
  <si>
    <t>N22 - N24|09 Paquete estructural - Inspección laboratorio</t>
  </si>
  <si>
    <t>N22 - N24|10 Relleno -0,60 - Conformación de capa</t>
  </si>
  <si>
    <t>N22 - N24|10 Relleno -0,60 - Humectación</t>
  </si>
  <si>
    <t>N22 - N24|10 Relleno -0,60 - Compactación</t>
  </si>
  <si>
    <t>N22 - N24|10 Relleno -0,60 - Inspección laboratorio</t>
  </si>
  <si>
    <t>N22 - N24|11 Relleno -0,30 - Conformación de capa</t>
  </si>
  <si>
    <t>N22 - N24|11 Relleno -0,30 - Humectación</t>
  </si>
  <si>
    <t>N22 - N24|11 Relleno -0,30 - Compactación</t>
  </si>
  <si>
    <t>N22 - N24|11 Relleno -0,30 - Inspección laboratorio</t>
  </si>
  <si>
    <t>N22 - N29|01 Replanteo - Marcación de tramo de cañería principal</t>
  </si>
  <si>
    <t>N22 - N29|02 Excavación - Zanja principal</t>
  </si>
  <si>
    <t>N22 - N29|03 Base de asiento - Nivelación de fondo de zanja</t>
  </si>
  <si>
    <t>N22 - N29|03 Base de asiento - Aporte de material base e=0,10 m</t>
  </si>
  <si>
    <t>N22 - N29|03 Base de asiento - Compactación</t>
  </si>
  <si>
    <t>N22 - N29|04 Inspecciones previas - Laboratorio base de asiento</t>
  </si>
  <si>
    <t>N22 - N29|04 Inspecciones previas - Zanja y materiales</t>
  </si>
  <si>
    <t>N22 - N29|05 Tendido de cañería - Cañería principal</t>
  </si>
  <si>
    <t>N22 - N29|05 Tendido de cañería - Relevamiento planialtimétrico</t>
  </si>
  <si>
    <t>N22 - N29|08 Prueba hidráulica - Preparación del sistema</t>
  </si>
  <si>
    <t>N22 - N29|08 Prueba hidráulica - Interna N° 1</t>
  </si>
  <si>
    <t>N22 - N29|08 Prueba hidráulica - Interna N° 2</t>
  </si>
  <si>
    <t>N22 - N29|08 Prueba hidráulica - Primera prueba oficial</t>
  </si>
  <si>
    <t>N22 - N29|09 Paquete estructural - Aporte e=0,30 m</t>
  </si>
  <si>
    <t>N22 - N29|09 Paquete estructural - Compactación</t>
  </si>
  <si>
    <t>N22 - N29|09 Paquete estructural - Inspección laboratorio</t>
  </si>
  <si>
    <t>N22 - N29|10 Relleno -0,60 - Conformación de capa</t>
  </si>
  <si>
    <t>N22 - N29|10 Relleno -0,60 - Humectación</t>
  </si>
  <si>
    <t>N22 - N29|10 Relleno -0,60 - Compactación</t>
  </si>
  <si>
    <t>N22 - N29|10 Relleno -0,60 - Inspección laboratorio</t>
  </si>
  <si>
    <t>N22 - N29|11 Relleno -0,30 - Conformación de capa</t>
  </si>
  <si>
    <t>N22 - N29|11 Relleno -0,30 - Humectación</t>
  </si>
  <si>
    <t>N22 - N29|11 Relleno -0,30 - Compactación</t>
  </si>
  <si>
    <t>N22 - N29|11 Relleno -0,30 - Inspección laboratorio</t>
  </si>
  <si>
    <t>N23 - N24|01 Replanteo - Marcación de tramo de cañería principal</t>
  </si>
  <si>
    <t>N23 - N24|02 Excavación - Zanja principal</t>
  </si>
  <si>
    <t>N23 - N24|03 Base de asiento - Nivelación de fondo de zanja</t>
  </si>
  <si>
    <t>N23 - N24|03 Base de asiento - Aporte de material base e=0,10 m</t>
  </si>
  <si>
    <t>N23 - N24|03 Base de asiento - Compactación</t>
  </si>
  <si>
    <t>N23 - N24|04 Inspecciones previas - Laboratorio base de asiento</t>
  </si>
  <si>
    <t>N23 - N24|04 Inspecciones previas - Zanja y materiales</t>
  </si>
  <si>
    <t>N23 - N24|05 Tendido de cañería - Cañería principal</t>
  </si>
  <si>
    <t>N23 - N24|05 Tendido de cañería - Relevamiento planialtimétrico</t>
  </si>
  <si>
    <t>N23 - N24|08 Prueba hidráulica - Preparación del sistema</t>
  </si>
  <si>
    <t>N23 - N24|08 Prueba hidráulica - Interna N° 1</t>
  </si>
  <si>
    <t>N23 - N24|08 Prueba hidráulica - Interna N° 2</t>
  </si>
  <si>
    <t>N23 - N24|08 Prueba hidráulica - Primera prueba oficial</t>
  </si>
  <si>
    <t>N23 - N24|09 Paquete estructural - Aporte e=0,30 m</t>
  </si>
  <si>
    <t>N23 - N24|09 Paquete estructural - Compactación</t>
  </si>
  <si>
    <t>N23 - N24|09 Paquete estructural - Inspección laboratorio</t>
  </si>
  <si>
    <t>N23 - N24|10 Relleno -0,60 - Conformación de capa</t>
  </si>
  <si>
    <t>N23 - N24|10 Relleno -0,60 - Humectación</t>
  </si>
  <si>
    <t>N23 - N24|10 Relleno -0,60 - Compactación</t>
  </si>
  <si>
    <t>N23 - N24|10 Relleno -0,60 - Inspección laboratorio</t>
  </si>
  <si>
    <t>N23 - N24|11 Relleno -0,30 - Conformación de capa</t>
  </si>
  <si>
    <t>N23 - N24|11 Relleno -0,30 - Humectación</t>
  </si>
  <si>
    <t>N23 - N24|11 Relleno -0,30 - Compactación</t>
  </si>
  <si>
    <t>N23 - N24|11 Relleno -0,30 - Inspección laboratorio</t>
  </si>
  <si>
    <t>N24 - N25|01 Replanteo - Marcación de tramo de cañería principal</t>
  </si>
  <si>
    <t>N24 - N25|02 Excavación - Zanja principal</t>
  </si>
  <si>
    <t>N24 - N25|03 Base de asiento - Nivelación de fondo de zanja</t>
  </si>
  <si>
    <t>N24 - N25|03 Base de asiento - Aporte de material base e=0,10 m</t>
  </si>
  <si>
    <t>N24 - N25|03 Base de asiento - Compactación</t>
  </si>
  <si>
    <t>N24 - N25|04 Inspecciones previas - Laboratorio base de asiento</t>
  </si>
  <si>
    <t>N24 - N25|04 Inspecciones previas - Zanja y materiales</t>
  </si>
  <si>
    <t>N24 - N25|05 Tendido de cañería - Cañería principal</t>
  </si>
  <si>
    <t>N24 - N25|05 Tendido de cañería - Relevamiento planialtimétrico</t>
  </si>
  <si>
    <t>N24 - N25|08 Prueba hidráulica - Preparación del sistema</t>
  </si>
  <si>
    <t>N24 - N25|08 Prueba hidráulica - Interna N° 1</t>
  </si>
  <si>
    <t>N24 - N25|08 Prueba hidráulica - Interna N° 2</t>
  </si>
  <si>
    <t>N24 - N25|08 Prueba hidráulica - Primera prueba oficial</t>
  </si>
  <si>
    <t>N24 - N25|09 Paquete estructural - Aporte e=0,30 m</t>
  </si>
  <si>
    <t>N24 - N25|09 Paquete estructural - Compactación</t>
  </si>
  <si>
    <t>N24 - N25|09 Paquete estructural - Inspección laboratorio</t>
  </si>
  <si>
    <t>N24 - N25|10 Relleno -0,60 - Conformación de capa</t>
  </si>
  <si>
    <t>N24 - N25|10 Relleno -0,60 - Humectación</t>
  </si>
  <si>
    <t>N24 - N25|10 Relleno -0,60 - Compactación</t>
  </si>
  <si>
    <t>N24 - N25|10 Relleno -0,60 - Inspección laboratorio</t>
  </si>
  <si>
    <t>N24 - N25|11 Relleno -0,30 - Conformación de capa</t>
  </si>
  <si>
    <t>N24 - N25|11 Relleno -0,30 - Humectación</t>
  </si>
  <si>
    <t>N24 - N25|11 Relleno -0,30 - Compactación</t>
  </si>
  <si>
    <t>N24 - N25|11 Relleno -0,30 - Inspección laboratorio</t>
  </si>
  <si>
    <t>N25 - N30|01 Replanteo - Marcación de tramo de cañería principal</t>
  </si>
  <si>
    <t>N25 - N30|02 Excavación - Zanja principal</t>
  </si>
  <si>
    <t>N25 - N30|03 Base de asiento - Nivelación de fondo de zanja</t>
  </si>
  <si>
    <t>N25 - N30|03 Base de asiento - Aporte de material base e=0,10 m</t>
  </si>
  <si>
    <t>N25 - N30|03 Base de asiento - Compactación</t>
  </si>
  <si>
    <t>N25 - N30|04 Inspecciones previas - Laboratorio base de asiento</t>
  </si>
  <si>
    <t>N25 - N30|04 Inspecciones previas - Zanja y materiales</t>
  </si>
  <si>
    <t>N25 - N30|05 Tendido de cañería - Cañería principal</t>
  </si>
  <si>
    <t>N25 - N30|05 Tendido de cañería - Relevamiento planialtimétrico</t>
  </si>
  <si>
    <t>N25 - N30|08 Prueba hidráulica - Preparación del sistema</t>
  </si>
  <si>
    <t>N25 - N30|08 Prueba hidráulica - Interna N° 1</t>
  </si>
  <si>
    <t>N25 - N30|08 Prueba hidráulica - Interna N° 2</t>
  </si>
  <si>
    <t>N25 - N30|08 Prueba hidráulica - Primera prueba oficial</t>
  </si>
  <si>
    <t>N25 - N30|09 Paquete estructural - Aporte e=0,30 m</t>
  </si>
  <si>
    <t>N25 - N30|09 Paquete estructural - Compactación</t>
  </si>
  <si>
    <t>N25 - N30|09 Paquete estructural - Inspección laboratorio</t>
  </si>
  <si>
    <t>N25 - N30|10 Relleno -0,60 - Conformación de capa</t>
  </si>
  <si>
    <t>N25 - N30|10 Relleno -0,60 - Humectación</t>
  </si>
  <si>
    <t>N25 - N30|10 Relleno -0,60 - Compactación</t>
  </si>
  <si>
    <t>N25 - N30|10 Relleno -0,60 - Inspección laboratorio</t>
  </si>
  <si>
    <t>N25 - N30|11 Relleno -0,30 - Conformación de capa</t>
  </si>
  <si>
    <t>N25 - N30|11 Relleno -0,30 - Humectación</t>
  </si>
  <si>
    <t>N25 - N30|11 Relleno -0,30 - Compactación</t>
  </si>
  <si>
    <t>N25 - N30|11 Relleno -0,30 - Inspección laboratorio</t>
  </si>
  <si>
    <t>N23 - N31|01 Replanteo - Marcación de tramo de cañería principal</t>
  </si>
  <si>
    <t>N23 - N31|02 Excavación - Zanja principal</t>
  </si>
  <si>
    <t>N23 - N31|03 Base de asiento - Nivelación de fondo de zanja</t>
  </si>
  <si>
    <t>N23 - N31|03 Base de asiento - Aporte de material base e=0,10 m</t>
  </si>
  <si>
    <t>N23 - N31|03 Base de asiento - Compactación</t>
  </si>
  <si>
    <t>N23 - N31|04 Inspecciones previas - Laboratorio base de asiento</t>
  </si>
  <si>
    <t>N23 - N31|04 Inspecciones previas - Zanja y materiales</t>
  </si>
  <si>
    <t>N23 - N31|05 Tendido de cañería - Cañería principal</t>
  </si>
  <si>
    <t>N23 - N31|05 Tendido de cañería - Relevamiento planialtimétrico</t>
  </si>
  <si>
    <t>N23 - N31|08 Prueba hidráulica - Preparación del sistema</t>
  </si>
  <si>
    <t>N23 - N31|08 Prueba hidráulica - Interna N° 1</t>
  </si>
  <si>
    <t>N23 - N31|08 Prueba hidráulica - Interna N° 2</t>
  </si>
  <si>
    <t>N23 - N31|08 Prueba hidráulica - Primera prueba oficial</t>
  </si>
  <si>
    <t>N23 - N31|09 Paquete estructural - Aporte e=0,30 m</t>
  </si>
  <si>
    <t>N23 - N31|09 Paquete estructural - Compactación</t>
  </si>
  <si>
    <t>N23 - N31|09 Paquete estructural - Inspección laboratorio</t>
  </si>
  <si>
    <t>N23 - N31|10 Relleno -0,60 - Conformación de capa</t>
  </si>
  <si>
    <t>N23 - N31|10 Relleno -0,60 - Humectación</t>
  </si>
  <si>
    <t>N23 - N31|10 Relleno -0,60 - Compactación</t>
  </si>
  <si>
    <t>N23 - N31|10 Relleno -0,60 - Inspección laboratorio</t>
  </si>
  <si>
    <t>N23 - N31|11 Relleno -0,30 - Conformación de capa</t>
  </si>
  <si>
    <t>N23 - N31|11 Relleno -0,30 - Humectación</t>
  </si>
  <si>
    <t>N23 - N31|11 Relleno -0,30 - Compactación</t>
  </si>
  <si>
    <t>N23 - N31|11 Relleno -0,30 - Inspección laboratorio</t>
  </si>
  <si>
    <t>N26 - N27|01 Replanteo - Marcación de tramo de cañería principal</t>
  </si>
  <si>
    <t>N26 - N27|02 Excavación - Zanja principal</t>
  </si>
  <si>
    <t>N26 - N27|03 Base de asiento - Nivelación de fondo de zanja</t>
  </si>
  <si>
    <t>N26 - N27|03 Base de asiento - Aporte de material base e=0,10 m</t>
  </si>
  <si>
    <t>N26 - N27|03 Base de asiento - Compactación</t>
  </si>
  <si>
    <t>N26 - N27|04 Inspecciones previas - Laboratorio base de asiento</t>
  </si>
  <si>
    <t>N26 - N27|04 Inspecciones previas - Zanja y materiales</t>
  </si>
  <si>
    <t>N26 - N27|05 Tendido de cañería - Cañería principal</t>
  </si>
  <si>
    <t>N26 - N27|05 Tendido de cañería - Relevamiento planialtimétrico</t>
  </si>
  <si>
    <t>N26 - N27|08 Prueba hidráulica - Preparación del sistema</t>
  </si>
  <si>
    <t>N26 - N27|08 Prueba hidráulica - Interna N° 1</t>
  </si>
  <si>
    <t>N26 - N27|08 Prueba hidráulica - Interna N° 2</t>
  </si>
  <si>
    <t>N26 - N27|08 Prueba hidráulica - Primera prueba oficial</t>
  </si>
  <si>
    <t>N26 - N27|09 Paquete estructural - Aporte e=0,30 m</t>
  </si>
  <si>
    <t>N26 - N27|09 Paquete estructural - Compactación</t>
  </si>
  <si>
    <t>N26 - N27|09 Paquete estructural - Inspección laboratorio</t>
  </si>
  <si>
    <t>N26 - N27|10 Relleno -0,60 - Conformación de capa</t>
  </si>
  <si>
    <t>N26 - N27|10 Relleno -0,60 - Humectación</t>
  </si>
  <si>
    <t>N26 - N27|10 Relleno -0,60 - Compactación</t>
  </si>
  <si>
    <t>N26 - N27|10 Relleno -0,60 - Inspección laboratorio</t>
  </si>
  <si>
    <t>N26 - N27|11 Relleno -0,30 - Conformación de capa</t>
  </si>
  <si>
    <t>N26 - N27|11 Relleno -0,30 - Humectación</t>
  </si>
  <si>
    <t>N26 - N27|11 Relleno -0,30 - Compactación</t>
  </si>
  <si>
    <t>N26 - N27|11 Relleno -0,30 - Inspección laboratorio</t>
  </si>
  <si>
    <t>N27 - N28|01 Replanteo - Marcación de tramo de cañería principal</t>
  </si>
  <si>
    <t>N27 - N28|02 Excavación - Zanja principal</t>
  </si>
  <si>
    <t>N27 - N28|03 Base de asiento - Nivelación de fondo de zanja</t>
  </si>
  <si>
    <t>N27 - N28|03 Base de asiento - Aporte de material base e=0,10 m</t>
  </si>
  <si>
    <t>N27 - N28|03 Base de asiento - Compactación</t>
  </si>
  <si>
    <t>N27 - N28|04 Inspecciones previas - Laboratorio base de asiento</t>
  </si>
  <si>
    <t>N27 - N28|04 Inspecciones previas - Zanja y materiales</t>
  </si>
  <si>
    <t>N27 - N28|05 Tendido de cañería - Cañería principal</t>
  </si>
  <si>
    <t>N27 - N28|05 Tendido de cañería - Relevamiento planialtimétrico</t>
  </si>
  <si>
    <t>N27 - N28|08 Prueba hidráulica - Preparación del sistema</t>
  </si>
  <si>
    <t>N27 - N28|08 Prueba hidráulica - Interna N° 1</t>
  </si>
  <si>
    <t>N27 - N28|08 Prueba hidráulica - Interna N° 2</t>
  </si>
  <si>
    <t>N27 - N28|08 Prueba hidráulica - Primera prueba oficial</t>
  </si>
  <si>
    <t>N27 - N28|09 Paquete estructural - Aporte e=0,30 m</t>
  </si>
  <si>
    <t>N27 - N28|09 Paquete estructural - Compactación</t>
  </si>
  <si>
    <t>N27 - N28|09 Paquete estructural - Inspección laboratorio</t>
  </si>
  <si>
    <t>N27 - N28|10 Relleno -0,60 - Conformación de capa</t>
  </si>
  <si>
    <t>N27 - N28|10 Relleno -0,60 - Humectación</t>
  </si>
  <si>
    <t>N27 - N28|10 Relleno -0,60 - Compactación</t>
  </si>
  <si>
    <t>N27 - N28|10 Relleno -0,60 - Inspección laboratorio</t>
  </si>
  <si>
    <t>N27 - N28|11 Relleno -0,30 - Conformación de capa</t>
  </si>
  <si>
    <t>N27 - N28|11 Relleno -0,30 - Humectación</t>
  </si>
  <si>
    <t>N27 - N28|11 Relleno -0,30 - Compactación</t>
  </si>
  <si>
    <t>N27 - N28|11 Relleno -0,30 - Inspección laboratorio</t>
  </si>
  <si>
    <t>N28 - N29|01 Replanteo - Marcación de tramo de cañería principal</t>
  </si>
  <si>
    <t>N28 - N29|02 Excavación - Zanja principal</t>
  </si>
  <si>
    <t>N28 - N29|03 Base de asiento - Nivelación de fondo de zanja</t>
  </si>
  <si>
    <t>N28 - N29|03 Base de asiento - Aporte de material base e=0,10 m</t>
  </si>
  <si>
    <t>N28 - N29|03 Base de asiento - Compactación</t>
  </si>
  <si>
    <t>N28 - N29|04 Inspecciones previas - Laboratorio base de asiento</t>
  </si>
  <si>
    <t>N28 - N29|04 Inspecciones previas - Zanja y materiales</t>
  </si>
  <si>
    <t>N28 - N29|05 Tendido de cañería - Cañería principal</t>
  </si>
  <si>
    <t>N28 - N29|05 Tendido de cañería - Relevamiento planialtimétrico</t>
  </si>
  <si>
    <t>N28 - N29|08 Prueba hidráulica - Preparación del sistema</t>
  </si>
  <si>
    <t>N28 - N29|08 Prueba hidráulica - Interna N° 1</t>
  </si>
  <si>
    <t>N28 - N29|08 Prueba hidráulica - Interna N° 2</t>
  </si>
  <si>
    <t>N28 - N29|08 Prueba hidráulica - Primera prueba oficial</t>
  </si>
  <si>
    <t>N28 - N29|09 Paquete estructural - Aporte e=0,30 m</t>
  </si>
  <si>
    <t>N28 - N29|09 Paquete estructural - Compactación</t>
  </si>
  <si>
    <t>N28 - N29|09 Paquete estructural - Inspección laboratorio</t>
  </si>
  <si>
    <t>N28 - N29|10 Relleno -0,60 - Conformación de capa</t>
  </si>
  <si>
    <t>N28 - N29|10 Relleno -0,60 - Humectación</t>
  </si>
  <si>
    <t>N28 - N29|10 Relleno -0,60 - Compactación</t>
  </si>
  <si>
    <t>N28 - N29|10 Relleno -0,60 - Inspección laboratorio</t>
  </si>
  <si>
    <t>N28 - N29|11 Relleno -0,30 - Conformación de capa</t>
  </si>
  <si>
    <t>N28 - N29|11 Relleno -0,30 - Humectación</t>
  </si>
  <si>
    <t>N28 - N29|11 Relleno -0,30 - Compactación</t>
  </si>
  <si>
    <t>N28 - N29|11 Relleno -0,30 - Inspección laboratorio</t>
  </si>
  <si>
    <t>N29 - N30|01 Replanteo - Marcación de tramo de cañería principal</t>
  </si>
  <si>
    <t>N29 - N30|02 Excavación - Zanja principal</t>
  </si>
  <si>
    <t>N29 - N30|03 Base de asiento - Nivelación de fondo de zanja</t>
  </si>
  <si>
    <t>N29 - N30|03 Base de asiento - Aporte de material base e=0,10 m</t>
  </si>
  <si>
    <t>N29 - N30|03 Base de asiento - Compactación</t>
  </si>
  <si>
    <t>N29 - N30|04 Inspecciones previas - Laboratorio base de asiento</t>
  </si>
  <si>
    <t>N29 - N30|04 Inspecciones previas - Zanja y materiales</t>
  </si>
  <si>
    <t>N29 - N30|05 Tendido de cañería - Cañería principal</t>
  </si>
  <si>
    <t>N29 - N30|05 Tendido de cañería - Relevamiento planialtimétrico</t>
  </si>
  <si>
    <t>N29 - N30|08 Prueba hidráulica - Preparación del sistema</t>
  </si>
  <si>
    <t>N29 - N30|08 Prueba hidráulica - Interna N° 1</t>
  </si>
  <si>
    <t>N29 - N30|08 Prueba hidráulica - Interna N° 2</t>
  </si>
  <si>
    <t>N29 - N30|08 Prueba hidráulica - Primera prueba oficial</t>
  </si>
  <si>
    <t>N29 - N30|09 Paquete estructural - Aporte e=0,30 m</t>
  </si>
  <si>
    <t>N29 - N30|09 Paquete estructural - Compactación</t>
  </si>
  <si>
    <t>N29 - N30|09 Paquete estructural - Inspección laboratorio</t>
  </si>
  <si>
    <t>N29 - N30|10 Relleno -0,60 - Conformación de capa</t>
  </si>
  <si>
    <t>N29 - N30|10 Relleno -0,60 - Humectación</t>
  </si>
  <si>
    <t>N29 - N30|10 Relleno -0,60 - Compactación</t>
  </si>
  <si>
    <t>N29 - N30|10 Relleno -0,60 - Inspección laboratorio</t>
  </si>
  <si>
    <t>N29 - N30|11 Relleno -0,30 - Conformación de capa</t>
  </si>
  <si>
    <t>N29 - N30|11 Relleno -0,30 - Humectación</t>
  </si>
  <si>
    <t>N29 - N30|11 Relleno -0,30 - Compactación</t>
  </si>
  <si>
    <t>N29 - N30|11 Relleno -0,30 - Inspección laboratorio</t>
  </si>
  <si>
    <t>N3 - N7|01 Replanteo - Marcación de tramo de cañería principal</t>
  </si>
  <si>
    <t>N3 - N7|02 Excavación - Zanja principal</t>
  </si>
  <si>
    <t>N3 - N7|03 Base de asiento - Nivelación de fondo de zanja</t>
  </si>
  <si>
    <t>N3 - N7|03 Base de asiento - Aporte de material base e=0,10 m</t>
  </si>
  <si>
    <t>N3 - N7|03 Base de asiento - Compactación</t>
  </si>
  <si>
    <t>N3 - N7|04 Inspecciones previas - Laboratorio base de asiento</t>
  </si>
  <si>
    <t>N3 - N7|04 Inspecciones previas - Zanja y materiales</t>
  </si>
  <si>
    <t>N3 - N7|05 Tendido de cañería - Cañería principal</t>
  </si>
  <si>
    <t>N3 - N7|05 Tendido de cañería - Relevamiento planialtimétrico</t>
  </si>
  <si>
    <t>N3 - N7|08 Prueba hidráulica - Preparación del sistema</t>
  </si>
  <si>
    <t>N3 - N7|08 Prueba hidráulica - Interna N° 1</t>
  </si>
  <si>
    <t>N3 - N7|08 Prueba hidráulica - Interna N° 2</t>
  </si>
  <si>
    <t>N3 - N7|08 Prueba hidráulica - Primera prueba oficial</t>
  </si>
  <si>
    <t>N3 - N7|09 Paquete estructural - Aporte e=0,30 m</t>
  </si>
  <si>
    <t>N3 - N7|09 Paquete estructural - Compactación</t>
  </si>
  <si>
    <t>N3 - N7|09 Paquete estructural - Inspección laboratorio</t>
  </si>
  <si>
    <t>N3 - N7|10 Relleno -0,60 - Conformación de capa</t>
  </si>
  <si>
    <t>N3 - N7|10 Relleno -0,60 - Humectación</t>
  </si>
  <si>
    <t>N3 - N7|10 Relleno -0,60 - Compactación</t>
  </si>
  <si>
    <t>N3 - N7|10 Relleno -0,60 - Inspección laboratorio</t>
  </si>
  <si>
    <t>N3 - N7|11 Relleno -0,30 - Conformación de capa</t>
  </si>
  <si>
    <t>N3 - N7|11 Relleno -0,30 - Humectación</t>
  </si>
  <si>
    <t>N3 - N7|11 Relleno -0,30 - Compactación</t>
  </si>
  <si>
    <t>N3 - N7|11 Relleno -0,30 - Inspección laboratorio</t>
  </si>
  <si>
    <t>N31 - N35|01 Replanteo - Marcación de tramo de cañería principal</t>
  </si>
  <si>
    <t>N31 - N35|02 Excavación - Zanja principal</t>
  </si>
  <si>
    <t>N31 - N35|03 Base de asiento - Nivelación de fondo de zanja</t>
  </si>
  <si>
    <t>N31 - N35|03 Base de asiento - Aporte de material base e=0,10 m</t>
  </si>
  <si>
    <t>N31 - N35|03 Base de asiento - Compactación</t>
  </si>
  <si>
    <t>N31 - N35|04 Inspecciones previas - Laboratorio base de asiento</t>
  </si>
  <si>
    <t>N31 - N35|04 Inspecciones previas - Zanja y materiales</t>
  </si>
  <si>
    <t>N31 - N35|05 Tendido de cañería - Cañería principal</t>
  </si>
  <si>
    <t>N31 - N35|05 Tendido de cañería - Relevamiento planialtimétrico</t>
  </si>
  <si>
    <t>N31 - N35|08 Prueba hidráulica - Preparación del sistema</t>
  </si>
  <si>
    <t>N31 - N35|08 Prueba hidráulica - Interna N° 1</t>
  </si>
  <si>
    <t>N31 - N35|08 Prueba hidráulica - Interna N° 2</t>
  </si>
  <si>
    <t>N31 - N35|08 Prueba hidráulica - Primera prueba oficial</t>
  </si>
  <si>
    <t>N31 - N35|09 Paquete estructural - Aporte e=0,30 m</t>
  </si>
  <si>
    <t>N31 - N35|09 Paquete estructural - Compactación</t>
  </si>
  <si>
    <t>N31 - N35|09 Paquete estructural - Inspección laboratorio</t>
  </si>
  <si>
    <t>N31 - N35|10 Relleno -0,60 - Conformación de capa</t>
  </si>
  <si>
    <t>N31 - N35|10 Relleno -0,60 - Humectación</t>
  </si>
  <si>
    <t>N31 - N35|10 Relleno -0,60 - Compactación</t>
  </si>
  <si>
    <t>N31 - N35|10 Relleno -0,60 - Inspección laboratorio</t>
  </si>
  <si>
    <t>N31 - N35|11 Relleno -0,30 - Conformación de capa</t>
  </si>
  <si>
    <t>N31 - N35|11 Relleno -0,30 - Humectación</t>
  </si>
  <si>
    <t>N31 - N35|11 Relleno -0,30 - Compactación</t>
  </si>
  <si>
    <t>N31 - N35|11 Relleno -0,30 - Inspección laboratorio</t>
  </si>
  <si>
    <t>N31 - N36|01 Replanteo - Marcación de tramo de cañería principal</t>
  </si>
  <si>
    <t>N31 - N36|02 Excavación - Zanja principal</t>
  </si>
  <si>
    <t>N31 - N36|03 Base de asiento - Nivelación de fondo de zanja</t>
  </si>
  <si>
    <t>N31 - N36|03 Base de asiento - Aporte de material base e=0,10 m</t>
  </si>
  <si>
    <t>N31 - N36|03 Base de asiento - Compactación</t>
  </si>
  <si>
    <t>N31 - N36|04 Inspecciones previas - Laboratorio base de asiento</t>
  </si>
  <si>
    <t>N31 - N36|04 Inspecciones previas - Zanja y materiales</t>
  </si>
  <si>
    <t>N31 - N36|05 Tendido de cañería - Cañería principal</t>
  </si>
  <si>
    <t>N31 - N36|05 Tendido de cañería - Relevamiento planialtimétrico</t>
  </si>
  <si>
    <t>N31 - N36|08 Prueba hidráulica - Preparación del sistema</t>
  </si>
  <si>
    <t>N31 - N36|08 Prueba hidráulica - Interna N° 1</t>
  </si>
  <si>
    <t>N31 - N36|08 Prueba hidráulica - Interna N° 2</t>
  </si>
  <si>
    <t>N31 - N36|08 Prueba hidráulica - Primera prueba oficial</t>
  </si>
  <si>
    <t>N31 - N36|09 Paquete estructural - Aporte e=0,30 m</t>
  </si>
  <si>
    <t>N31 - N36|09 Paquete estructural - Compactación</t>
  </si>
  <si>
    <t>N31 - N36|09 Paquete estructural - Inspección laboratorio</t>
  </si>
  <si>
    <t>N31 - N36|10 Relleno -0,60 - Conformación de capa</t>
  </si>
  <si>
    <t>N31 - N36|10 Relleno -0,60 - Humectación</t>
  </si>
  <si>
    <t>N31 - N36|10 Relleno -0,60 - Compactación</t>
  </si>
  <si>
    <t>N31 - N36|10 Relleno -0,60 - Inspección laboratorio</t>
  </si>
  <si>
    <t>N31 - N36|11 Relleno -0,30 - Conformación de capa</t>
  </si>
  <si>
    <t>N31 - N36|11 Relleno -0,30 - Humectación</t>
  </si>
  <si>
    <t>N31 - N36|11 Relleno -0,30 - Compactación</t>
  </si>
  <si>
    <t>N31 - N36|11 Relleno -0,30 - Inspección laboratorio</t>
  </si>
  <si>
    <t>N33 - N34|01 Replanteo - Marcación de tramo de cañería principal</t>
  </si>
  <si>
    <t>N33 - N34|02 Excavación - Zanja principal</t>
  </si>
  <si>
    <t>N33 - N34|03 Base de asiento - Nivelación de fondo de zanja</t>
  </si>
  <si>
    <t>N33 - N34|03 Base de asiento - Aporte de material base e=0,10 m</t>
  </si>
  <si>
    <t>N33 - N34|03 Base de asiento - Compactación</t>
  </si>
  <si>
    <t>N33 - N34|04 Inspecciones previas - Laboratorio base de asiento</t>
  </si>
  <si>
    <t>N33 - N34|04 Inspecciones previas - Zanja y materiales</t>
  </si>
  <si>
    <t>N33 - N34|05 Tendido de cañería - Cañería principal</t>
  </si>
  <si>
    <t>N33 - N34|05 Tendido de cañería - Relevamiento planialtimétrico</t>
  </si>
  <si>
    <t>N33 - N34|08 Prueba hidráulica - Preparación del sistema</t>
  </si>
  <si>
    <t>N33 - N34|08 Prueba hidráulica - Interna N° 1</t>
  </si>
  <si>
    <t>N33 - N34|08 Prueba hidráulica - Interna N° 2</t>
  </si>
  <si>
    <t>N33 - N34|08 Prueba hidráulica - Primera prueba oficial</t>
  </si>
  <si>
    <t>N33 - N34|09 Paquete estructural - Aporte e=0,30 m</t>
  </si>
  <si>
    <t>N33 - N34|09 Paquete estructural - Compactación</t>
  </si>
  <si>
    <t>N33 - N34|09 Paquete estructural - Inspección laboratorio</t>
  </si>
  <si>
    <t>N33 - N34|10 Relleno -0,60 - Conformación de capa</t>
  </si>
  <si>
    <t>N33 - N34|10 Relleno -0,60 - Humectación</t>
  </si>
  <si>
    <t>N33 - N34|10 Relleno -0,60 - Compactación</t>
  </si>
  <si>
    <t>N33 - N34|10 Relleno -0,60 - Inspección laboratorio</t>
  </si>
  <si>
    <t>N33 - N34|11 Relleno -0,30 - Conformación de capa</t>
  </si>
  <si>
    <t>N33 - N34|11 Relleno -0,30 - Humectación</t>
  </si>
  <si>
    <t>N33 - N34|11 Relleno -0,30 - Compactación</t>
  </si>
  <si>
    <t>N33 - N34|11 Relleno -0,30 - Inspección laboratorio</t>
  </si>
  <si>
    <t>N34 - N35|01 Replanteo - Marcación de tramo de cañería principal</t>
  </si>
  <si>
    <t>N34 - N35|02 Excavación - Zanja principal</t>
  </si>
  <si>
    <t>N34 - N35|03 Base de asiento - Nivelación de fondo de zanja</t>
  </si>
  <si>
    <t>N34 - N35|03 Base de asiento - Aporte de material base e=0,10 m</t>
  </si>
  <si>
    <t>N34 - N35|03 Base de asiento - Compactación</t>
  </si>
  <si>
    <t>N34 - N35|04 Inspecciones previas - Laboratorio base de asiento</t>
  </si>
  <si>
    <t>N34 - N35|04 Inspecciones previas - Zanja y materiales</t>
  </si>
  <si>
    <t>N34 - N35|05 Tendido de cañería - Cañería principal</t>
  </si>
  <si>
    <t>N34 - N35|05 Tendido de cañería - Relevamiento planialtimétrico</t>
  </si>
  <si>
    <t>N34 - N35|08 Prueba hidráulica - Preparación del sistema</t>
  </si>
  <si>
    <t>N34 - N35|08 Prueba hidráulica - Interna N° 1</t>
  </si>
  <si>
    <t>N34 - N35|08 Prueba hidráulica - Interna N° 2</t>
  </si>
  <si>
    <t>N34 - N35|08 Prueba hidráulica - Primera prueba oficial</t>
  </si>
  <si>
    <t>N34 - N35|09 Paquete estructural - Aporte e=0,30 m</t>
  </si>
  <si>
    <t>N34 - N35|09 Paquete estructural - Compactación</t>
  </si>
  <si>
    <t>N34 - N35|09 Paquete estructural - Inspección laboratorio</t>
  </si>
  <si>
    <t>N34 - N35|10 Relleno -0,60 - Conformación de capa</t>
  </si>
  <si>
    <t>N34 - N35|10 Relleno -0,60 - Humectación</t>
  </si>
  <si>
    <t>N34 - N35|10 Relleno -0,60 - Compactación</t>
  </si>
  <si>
    <t>N34 - N35|10 Relleno -0,60 - Inspección laboratorio</t>
  </si>
  <si>
    <t>N34 - N35|11 Relleno -0,30 - Conformación de capa</t>
  </si>
  <si>
    <t>N34 - N35|11 Relleno -0,30 - Humectación</t>
  </si>
  <si>
    <t>N34 - N35|11 Relleno -0,30 - Compactación</t>
  </si>
  <si>
    <t>N34 - N35|11 Relleno -0,30 - Inspección laboratorio</t>
  </si>
  <si>
    <t>N36 - N37|01 Replanteo - Marcación de tramo de cañería principal</t>
  </si>
  <si>
    <t>N36 - N37|02 Excavación - Zanja principal</t>
  </si>
  <si>
    <t>N36 - N37|03 Base de asiento - Nivelación de fondo de zanja</t>
  </si>
  <si>
    <t>N36 - N37|03 Base de asiento - Aporte de material base e=0,10 m</t>
  </si>
  <si>
    <t>N36 - N37|03 Base de asiento - Compactación</t>
  </si>
  <si>
    <t>N36 - N37|04 Inspecciones previas - Laboratorio base de asiento</t>
  </si>
  <si>
    <t>N36 - N37|04 Inspecciones previas - Zanja y materiales</t>
  </si>
  <si>
    <t>N36 - N37|05 Tendido de cañería - Cañería principal</t>
  </si>
  <si>
    <t>N36 - N37|05 Tendido de cañería - Relevamiento planialtimétrico</t>
  </si>
  <si>
    <t>N36 - N37|08 Prueba hidráulica - Preparación del sistema</t>
  </si>
  <si>
    <t>N36 - N37|08 Prueba hidráulica - Interna N° 1</t>
  </si>
  <si>
    <t>N36 - N37|08 Prueba hidráulica - Interna N° 2</t>
  </si>
  <si>
    <t>N36 - N37|08 Prueba hidráulica - Primera prueba oficial</t>
  </si>
  <si>
    <t>N36 - N37|09 Paquete estructural - Aporte e=0,30 m</t>
  </si>
  <si>
    <t>N36 - N37|09 Paquete estructural - Compactación</t>
  </si>
  <si>
    <t>N36 - N37|09 Paquete estructural - Inspección laboratorio</t>
  </si>
  <si>
    <t>N36 - N37|10 Relleno -0,60 - Conformación de capa</t>
  </si>
  <si>
    <t>N36 - N37|10 Relleno -0,60 - Humectación</t>
  </si>
  <si>
    <t>N36 - N37|10 Relleno -0,60 - Compactación</t>
  </si>
  <si>
    <t>N36 - N37|10 Relleno -0,60 - Inspección laboratorio</t>
  </si>
  <si>
    <t>N36 - N37|11 Relleno -0,30 - Conformación de capa</t>
  </si>
  <si>
    <t>N36 - N37|11 Relleno -0,30 - Humectación</t>
  </si>
  <si>
    <t>N36 - N37|11 Relleno -0,30 - Compactación</t>
  </si>
  <si>
    <t>N36 - N37|11 Relleno -0,30 - Inspección laboratorio</t>
  </si>
  <si>
    <t>N37 - N38|01 Replanteo - Marcación de tramo de cañería principal</t>
  </si>
  <si>
    <t>N37 - N38|02 Excavación - Zanja principal</t>
  </si>
  <si>
    <t>N37 - N38|03 Base de asiento - Nivelación de fondo de zanja</t>
  </si>
  <si>
    <t>N37 - N38|03 Base de asiento - Aporte de material base e=0,10 m</t>
  </si>
  <si>
    <t>N37 - N38|03 Base de asiento - Compactación</t>
  </si>
  <si>
    <t>N37 - N38|04 Inspecciones previas - Laboratorio base de asiento</t>
  </si>
  <si>
    <t>N37 - N38|04 Inspecciones previas - Zanja y materiales</t>
  </si>
  <si>
    <t>N37 - N38|05 Tendido de cañería - Cañería principal</t>
  </si>
  <si>
    <t>N37 - N38|05 Tendido de cañería - Relevamiento planialtimétrico</t>
  </si>
  <si>
    <t>N37 - N38|08 Prueba hidráulica - Preparación del sistema</t>
  </si>
  <si>
    <t>N37 - N38|08 Prueba hidráulica - Interna N° 1</t>
  </si>
  <si>
    <t>N37 - N38|08 Prueba hidráulica - Interna N° 2</t>
  </si>
  <si>
    <t>N37 - N38|08 Prueba hidráulica - Primera prueba oficial</t>
  </si>
  <si>
    <t>N37 - N38|09 Paquete estructural - Aporte e=0,30 m</t>
  </si>
  <si>
    <t>N37 - N38|09 Paquete estructural - Compactación</t>
  </si>
  <si>
    <t>N37 - N38|09 Paquete estructural - Inspección laboratorio</t>
  </si>
  <si>
    <t>N37 - N38|10 Relleno -0,60 - Conformación de capa</t>
  </si>
  <si>
    <t>N37 - N38|10 Relleno -0,60 - Humectación</t>
  </si>
  <si>
    <t>N37 - N38|10 Relleno -0,60 - Compactación</t>
  </si>
  <si>
    <t>N37 - N38|10 Relleno -0,60 - Inspección laboratorio</t>
  </si>
  <si>
    <t>N37 - N38|11 Relleno -0,30 - Conformación de capa</t>
  </si>
  <si>
    <t>N37 - N38|11 Relleno -0,30 - Humectación</t>
  </si>
  <si>
    <t>N37 - N38|11 Relleno -0,30 - Compactación</t>
  </si>
  <si>
    <t>N37 - N38|11 Relleno -0,30 - Inspección laboratorio</t>
  </si>
  <si>
    <t>N38 - N39|01 Replanteo - Marcación de tramo de cañería principal</t>
  </si>
  <si>
    <t>N38 - N39|02 Excavación - Zanja principal</t>
  </si>
  <si>
    <t>N38 - N39|03 Base de asiento - Nivelación de fondo de zanja</t>
  </si>
  <si>
    <t>N38 - N39|03 Base de asiento - Aporte de material base e=0,10 m</t>
  </si>
  <si>
    <t>N38 - N39|03 Base de asiento - Compactación</t>
  </si>
  <si>
    <t>N38 - N39|04 Inspecciones previas - Laboratorio base de asiento</t>
  </si>
  <si>
    <t>N38 - N39|04 Inspecciones previas - Zanja y materiales</t>
  </si>
  <si>
    <t>N38 - N39|05 Tendido de cañería - Cañería principal</t>
  </si>
  <si>
    <t>N38 - N39|05 Tendido de cañería - Relevamiento planialtimétrico</t>
  </si>
  <si>
    <t>N38 - N39|08 Prueba hidráulica - Preparación del sistema</t>
  </si>
  <si>
    <t>N38 - N39|08 Prueba hidráulica - Interna N° 1</t>
  </si>
  <si>
    <t>N38 - N39|08 Prueba hidráulica - Interna N° 2</t>
  </si>
  <si>
    <t>N38 - N39|08 Prueba hidráulica - Primera prueba oficial</t>
  </si>
  <si>
    <t>N38 - N39|09 Paquete estructural - Aporte e=0,30 m</t>
  </si>
  <si>
    <t>N38 - N39|09 Paquete estructural - Compactación</t>
  </si>
  <si>
    <t>N38 - N39|09 Paquete estructural - Inspección laboratorio</t>
  </si>
  <si>
    <t>N38 - N39|10 Relleno -0,60 - Conformación de capa</t>
  </si>
  <si>
    <t>N38 - N39|10 Relleno -0,60 - Humectación</t>
  </si>
  <si>
    <t>N38 - N39|10 Relleno -0,60 - Compactación</t>
  </si>
  <si>
    <t>N38 - N39|10 Relleno -0,60 - Inspección laboratorio</t>
  </si>
  <si>
    <t>N38 - N39|11 Relleno -0,30 - Conformación de capa</t>
  </si>
  <si>
    <t>N38 - N39|11 Relleno -0,30 - Humectación</t>
  </si>
  <si>
    <t>N38 - N39|11 Relleno -0,30 - Compactación</t>
  </si>
  <si>
    <t>N38 - N39|11 Relleno -0,30 - Inspección laboratorio</t>
  </si>
  <si>
    <t>N4 - N6|01 Replanteo - Marcación de tramo de cañería principal</t>
  </si>
  <si>
    <t>N4 - N6|02 Excavación - Zanja principal</t>
  </si>
  <si>
    <t>N4 - N6|03 Base de asiento - Nivelación de fondo de zanja</t>
  </si>
  <si>
    <t>N4 - N6|03 Base de asiento - Aporte de material base e=0,10 m</t>
  </si>
  <si>
    <t>N4 - N6|03 Base de asiento - Compactación</t>
  </si>
  <si>
    <t>N4 - N6|04 Inspecciones previas - Laboratorio base de asiento</t>
  </si>
  <si>
    <t>N4 - N6|04 Inspecciones previas - Zanja y materiales</t>
  </si>
  <si>
    <t>N4 - N6|05 Tendido de cañería - Cañería principal</t>
  </si>
  <si>
    <t>N4 - N6|05 Tendido de cañería - Relevamiento planialtimétrico</t>
  </si>
  <si>
    <t>N4 - N6|08 Prueba hidráulica - Preparación del sistema</t>
  </si>
  <si>
    <t>N4 - N6|08 Prueba hidráulica - Interna N° 1</t>
  </si>
  <si>
    <t>N4 - N6|08 Prueba hidráulica - Interna N° 2</t>
  </si>
  <si>
    <t>N4 - N6|08 Prueba hidráulica - Primera prueba oficial</t>
  </si>
  <si>
    <t>N4 - N6|09 Paquete estructural - Aporte e=0,30 m</t>
  </si>
  <si>
    <t>N4 - N6|09 Paquete estructural - Compactación</t>
  </si>
  <si>
    <t>N4 - N6|09 Paquete estructural - Inspección laboratorio</t>
  </si>
  <si>
    <t>N4 - N6|10 Relleno -0,60 - Conformación de capa</t>
  </si>
  <si>
    <t>N4 - N6|10 Relleno -0,60 - Humectación</t>
  </si>
  <si>
    <t>N4 - N6|10 Relleno -0,60 - Compactación</t>
  </si>
  <si>
    <t>N4 - N6|10 Relleno -0,60 - Inspección laboratorio</t>
  </si>
  <si>
    <t>N4 - N6|11 Relleno -0,30 - Conformación de capa</t>
  </si>
  <si>
    <t>N4 - N6|11 Relleno -0,30 - Humectación</t>
  </si>
  <si>
    <t>N4 - N6|11 Relleno -0,30 - Compactación</t>
  </si>
  <si>
    <t>N4 - N6|11 Relleno -0,30 - Inspección laboratorio</t>
  </si>
  <si>
    <t>N4 - N8|01 Replanteo - Marcación de tramo de cañería principal</t>
  </si>
  <si>
    <t>N4 - N8|02 Excavación - Zanja principal</t>
  </si>
  <si>
    <t>N4 - N8|03 Base de asiento - Nivelación de fondo de zanja</t>
  </si>
  <si>
    <t>N4 - N8|03 Base de asiento - Aporte de material base e=0,10 m</t>
  </si>
  <si>
    <t>N4 - N8|03 Base de asiento - Compactación</t>
  </si>
  <si>
    <t>N4 - N8|04 Inspecciones previas - Laboratorio base de asiento</t>
  </si>
  <si>
    <t>N4 - N8|04 Inspecciones previas - Zanja y materiales</t>
  </si>
  <si>
    <t>N4 - N8|05 Tendido de cañería - Cañería principal</t>
  </si>
  <si>
    <t>N4 - N8|05 Tendido de cañería - Relevamiento planialtimétrico</t>
  </si>
  <si>
    <t>N4 - N8|08 Prueba hidráulica - Preparación del sistema</t>
  </si>
  <si>
    <t>N4 - N8|08 Prueba hidráulica - Interna N° 1</t>
  </si>
  <si>
    <t>N4 - N8|08 Prueba hidráulica - Interna N° 2</t>
  </si>
  <si>
    <t>N4 - N8|08 Prueba hidráulica - Primera prueba oficial</t>
  </si>
  <si>
    <t>N4 - N8|09 Paquete estructural - Aporte e=0,30 m</t>
  </si>
  <si>
    <t>N4 - N8|09 Paquete estructural - Compactación</t>
  </si>
  <si>
    <t>N4 - N8|09 Paquete estructural - Inspección laboratorio</t>
  </si>
  <si>
    <t>N4 - N8|10 Relleno -0,60 - Conformación de capa</t>
  </si>
  <si>
    <t>N4 - N8|10 Relleno -0,60 - Humectación</t>
  </si>
  <si>
    <t>N4 - N8|10 Relleno -0,60 - Compactación</t>
  </si>
  <si>
    <t>N4 - N8|10 Relleno -0,60 - Inspección laboratorio</t>
  </si>
  <si>
    <t>N4 - N8|11 Relleno -0,30 - Conformación de capa</t>
  </si>
  <si>
    <t>N4 - N8|11 Relleno -0,30 - Humectación</t>
  </si>
  <si>
    <t>N4 - N8|11 Relleno -0,30 - Compactación</t>
  </si>
  <si>
    <t>N4 - N8|11 Relleno -0,30 - Inspección laboratorio</t>
  </si>
  <si>
    <t>N5 - N6|01 Replanteo - Marcación de tramo de cañería principal</t>
  </si>
  <si>
    <t>N5 - N6|02 Excavación - Zanja principal</t>
  </si>
  <si>
    <t>N5 - N6|03 Base de asiento - Nivelación de fondo de zanja</t>
  </si>
  <si>
    <t>N5 - N6|03 Base de asiento - Aporte de material base e=0,10 m</t>
  </si>
  <si>
    <t>N5 - N6|03 Base de asiento - Compactación</t>
  </si>
  <si>
    <t>N5 - N6|04 Inspecciones previas - Laboratorio base de asiento</t>
  </si>
  <si>
    <t>N5 - N6|04 Inspecciones previas - Zanja y materiales</t>
  </si>
  <si>
    <t>N5 - N6|05 Tendido de cañería - Cañería principal</t>
  </si>
  <si>
    <t>N5 - N6|05 Tendido de cañería - Relevamiento planialtimétrico</t>
  </si>
  <si>
    <t>N5 - N6|08 Prueba hidráulica - Preparación del sistema</t>
  </si>
  <si>
    <t>N5 - N6|08 Prueba hidráulica - Interna N° 1</t>
  </si>
  <si>
    <t>N5 - N6|08 Prueba hidráulica - Interna N° 2</t>
  </si>
  <si>
    <t>N5 - N6|08 Prueba hidráulica - Primera prueba oficial</t>
  </si>
  <si>
    <t>N5 - N6|09 Paquete estructural - Aporte e=0,30 m</t>
  </si>
  <si>
    <t>N5 - N6|09 Paquete estructural - Compactación</t>
  </si>
  <si>
    <t>N5 - N6|09 Paquete estructural - Inspección laboratorio</t>
  </si>
  <si>
    <t>N5 - N6|10 Relleno -0,60 - Conformación de capa</t>
  </si>
  <si>
    <t>N5 - N6|10 Relleno -0,60 - Humectación</t>
  </si>
  <si>
    <t>N5 - N6|10 Relleno -0,60 - Compactación</t>
  </si>
  <si>
    <t>N5 - N6|10 Relleno -0,60 - Inspección laboratorio</t>
  </si>
  <si>
    <t>N5 - N6|11 Relleno -0,30 - Conformación de capa</t>
  </si>
  <si>
    <t>N5 - N6|11 Relleno -0,30 - Humectación</t>
  </si>
  <si>
    <t>N5 - N6|11 Relleno -0,30 - Compactación</t>
  </si>
  <si>
    <t>N5 - N6|11 Relleno -0,30 - Inspección laboratorio</t>
  </si>
  <si>
    <t>N5 - N7|01 Replanteo - Marcación de tramo de cañería principal</t>
  </si>
  <si>
    <t>N5 - N7|02 Excavación - Zanja principal</t>
  </si>
  <si>
    <t>N5 - N7|03 Base de asiento - Nivelación de fondo de zanja</t>
  </si>
  <si>
    <t>N5 - N7|03 Base de asiento - Aporte de material base e=0,10 m</t>
  </si>
  <si>
    <t>N5 - N7|03 Base de asiento - Compactación</t>
  </si>
  <si>
    <t>N5 - N7|04 Inspecciones previas - Laboratorio base de asiento</t>
  </si>
  <si>
    <t>N5 - N7|04 Inspecciones previas - Zanja y materiales</t>
  </si>
  <si>
    <t>N5 - N7|05 Tendido de cañería - Cañería principal</t>
  </si>
  <si>
    <t>N5 - N7|05 Tendido de cañería - Relevamiento planialtimétrico</t>
  </si>
  <si>
    <t>N5 - N7|08 Prueba hidráulica - Preparación del sistema</t>
  </si>
  <si>
    <t>N5 - N7|08 Prueba hidráulica - Interna N° 1</t>
  </si>
  <si>
    <t>N5 - N7|08 Prueba hidráulica - Interna N° 2</t>
  </si>
  <si>
    <t>N5 - N7|08 Prueba hidráulica - Primera prueba oficial</t>
  </si>
  <si>
    <t>N5 - N7|09 Paquete estructural - Aporte e=0,30 m</t>
  </si>
  <si>
    <t>N5 - N7|09 Paquete estructural - Compactación</t>
  </si>
  <si>
    <t>N5 - N7|09 Paquete estructural - Inspección laboratorio</t>
  </si>
  <si>
    <t>N5 - N7|10 Relleno -0,60 - Conformación de capa</t>
  </si>
  <si>
    <t>N5 - N7|10 Relleno -0,60 - Humectación</t>
  </si>
  <si>
    <t>N5 - N7|10 Relleno -0,60 - Compactación</t>
  </si>
  <si>
    <t>N5 - N7|10 Relleno -0,60 - Inspección laboratorio</t>
  </si>
  <si>
    <t>N5 - N7|11 Relleno -0,30 - Conformación de capa</t>
  </si>
  <si>
    <t>N5 - N7|11 Relleno -0,30 - Humectación</t>
  </si>
  <si>
    <t>N5 - N7|11 Relleno -0,30 - Compactación</t>
  </si>
  <si>
    <t>N5 - N7|11 Relleno -0,30 - Inspección laboratorio</t>
  </si>
  <si>
    <t>N6 - N9|01 Replanteo - Marcación de tramo de cañería principal</t>
  </si>
  <si>
    <t>N6 - N9|02 Excavación - Zanja principal</t>
  </si>
  <si>
    <t>N6 - N9|03 Base de asiento - Nivelación de fondo de zanja</t>
  </si>
  <si>
    <t>N6 - N9|03 Base de asiento - Aporte de material base e=0,10 m</t>
  </si>
  <si>
    <t>N6 - N9|03 Base de asiento - Compactación</t>
  </si>
  <si>
    <t>N6 - N9|04 Inspecciones previas - Laboratorio base de asiento</t>
  </si>
  <si>
    <t>N6 - N9|04 Inspecciones previas - Zanja y materiales</t>
  </si>
  <si>
    <t>N6 - N9|05 Tendido de cañería - Cañería principal</t>
  </si>
  <si>
    <t>N6 - N9|05 Tendido de cañería - Relevamiento planialtimétrico</t>
  </si>
  <si>
    <t>N6 - N9|08 Prueba hidráulica - Preparación del sistema</t>
  </si>
  <si>
    <t>N6 - N9|08 Prueba hidráulica - Interna N° 1</t>
  </si>
  <si>
    <t>N6 - N9|08 Prueba hidráulica - Interna N° 2</t>
  </si>
  <si>
    <t>N6 - N9|08 Prueba hidráulica - Primera prueba oficial</t>
  </si>
  <si>
    <t>N6 - N9|09 Paquete estructural - Aporte e=0,30 m</t>
  </si>
  <si>
    <t>N6 - N9|09 Paquete estructural - Compactación</t>
  </si>
  <si>
    <t>N6 - N9|09 Paquete estructural - Inspección laboratorio</t>
  </si>
  <si>
    <t>N6 - N9|10 Relleno -0,60 - Conformación de capa</t>
  </si>
  <si>
    <t>N6 - N9|10 Relleno -0,60 - Humectación</t>
  </si>
  <si>
    <t>N6 - N9|10 Relleno -0,60 - Compactación</t>
  </si>
  <si>
    <t>N6 - N9|10 Relleno -0,60 - Inspección laboratorio</t>
  </si>
  <si>
    <t>N6 - N9|11 Relleno -0,30 - Conformación de capa</t>
  </si>
  <si>
    <t>N6 - N9|11 Relleno -0,30 - Humectación</t>
  </si>
  <si>
    <t>N6 - N9|11 Relleno -0,30 - Compactación</t>
  </si>
  <si>
    <t>N6 - N9|11 Relleno -0,30 - Inspección laboratorio</t>
  </si>
  <si>
    <t>N7 - N11|01 Replanteo - Marcación de tramo de cañería principal</t>
  </si>
  <si>
    <t>N7 - N11|02 Excavación - Zanja principal</t>
  </si>
  <si>
    <t>N7 - N11|03 Base de asiento - Nivelación de fondo de zanja</t>
  </si>
  <si>
    <t>N7 - N11|03 Base de asiento - Aporte de material base e=0,10 m</t>
  </si>
  <si>
    <t>N7 - N11|03 Base de asiento - Compactación</t>
  </si>
  <si>
    <t>N7 - N11|04 Inspecciones previas - Laboratorio base de asiento</t>
  </si>
  <si>
    <t>N7 - N11|04 Inspecciones previas - Zanja y materiales</t>
  </si>
  <si>
    <t>N7 - N11|05 Tendido de cañería - Cañería principal</t>
  </si>
  <si>
    <t>N7 - N11|05 Tendido de cañería - Relevamiento planialtimétrico</t>
  </si>
  <si>
    <t>N7 - N11|08 Prueba hidráulica - Preparación del sistema</t>
  </si>
  <si>
    <t>N7 - N11|08 Prueba hidráulica - Interna N° 1</t>
  </si>
  <si>
    <t>N7 - N11|08 Prueba hidráulica - Interna N° 2</t>
  </si>
  <si>
    <t>N7 - N11|08 Prueba hidráulica - Primera prueba oficial</t>
  </si>
  <si>
    <t>N7 - N11|09 Paquete estructural - Aporte e=0,30 m</t>
  </si>
  <si>
    <t>N7 - N11|09 Paquete estructural - Compactación</t>
  </si>
  <si>
    <t>N7 - N11|09 Paquete estructural - Inspección laboratorio</t>
  </si>
  <si>
    <t>N7 - N11|10 Relleno -0,60 - Conformación de capa</t>
  </si>
  <si>
    <t>N7 - N11|10 Relleno -0,60 - Humectación</t>
  </si>
  <si>
    <t>N7 - N11|10 Relleno -0,60 - Compactación</t>
  </si>
  <si>
    <t>N7 - N11|10 Relleno -0,60 - Inspección laboratorio</t>
  </si>
  <si>
    <t>N7 - N11|11 Relleno -0,30 - Conformación de capa</t>
  </si>
  <si>
    <t>N7 - N11|11 Relleno -0,30 - Humectación</t>
  </si>
  <si>
    <t>N7 - N11|11 Relleno -0,30 - Compactación</t>
  </si>
  <si>
    <t>N7 - N11|11 Relleno -0,30 - Inspección laboratorio</t>
  </si>
  <si>
    <t>N8 - N14|01 Replanteo - Marcación de tramo de cañería principal</t>
  </si>
  <si>
    <t>N8 - N14|02 Excavación - Zanja principal</t>
  </si>
  <si>
    <t>N8 - N14|03 Base de asiento - Nivelación de fondo de zanja</t>
  </si>
  <si>
    <t>N8 - N14|03 Base de asiento - Aporte de material base e=0,10 m</t>
  </si>
  <si>
    <t>N8 - N14|03 Base de asiento - Compactación</t>
  </si>
  <si>
    <t>N8 - N14|04 Inspecciones previas - Laboratorio base de asiento</t>
  </si>
  <si>
    <t>N8 - N14|04 Inspecciones previas - Zanja y materiales</t>
  </si>
  <si>
    <t>N8 - N14|05 Tendido de cañería - Cañería principal</t>
  </si>
  <si>
    <t>N8 - N14|05 Tendido de cañería - Relevamiento planialtimétrico</t>
  </si>
  <si>
    <t>N8 - N14|08 Prueba hidráulica - Preparación del sistema</t>
  </si>
  <si>
    <t>N8 - N14|08 Prueba hidráulica - Interna N° 1</t>
  </si>
  <si>
    <t>N8 - N14|08 Prueba hidráulica - Interna N° 2</t>
  </si>
  <si>
    <t>N8 - N14|08 Prueba hidráulica - Primera prueba oficial</t>
  </si>
  <si>
    <t>N8 - N14|09 Paquete estructural - Aporte e=0,30 m</t>
  </si>
  <si>
    <t>N8 - N14|09 Paquete estructural - Compactación</t>
  </si>
  <si>
    <t>N8 - N14|09 Paquete estructural - Inspección laboratorio</t>
  </si>
  <si>
    <t>N8 - N14|10 Relleno -0,60 - Conformación de capa</t>
  </si>
  <si>
    <t>N8 - N14|10 Relleno -0,60 - Humectación</t>
  </si>
  <si>
    <t>N8 - N14|10 Relleno -0,60 - Compactación</t>
  </si>
  <si>
    <t>N8 - N14|10 Relleno -0,60 - Inspección laboratorio</t>
  </si>
  <si>
    <t>N8 - N14|11 Relleno -0,30 - Conformación de capa</t>
  </si>
  <si>
    <t>N8 - N14|11 Relleno -0,30 - Humectación</t>
  </si>
  <si>
    <t>N8 - N14|11 Relleno -0,30 - Compactación</t>
  </si>
  <si>
    <t>N8 - N14|11 Relleno -0,30 - Inspección laboratorio</t>
  </si>
  <si>
    <t>N8 - N10|01 Replanteo - Marcación de tramo de cañería principal</t>
  </si>
  <si>
    <t>N8 - N10|02 Excavación - Zanja principal</t>
  </si>
  <si>
    <t>N8 - N10|03 Base de asiento - Nivelación de fondo de zanja</t>
  </si>
  <si>
    <t>N8 - N10|03 Base de asiento - Aporte de material base e=0,10 m</t>
  </si>
  <si>
    <t>N8 - N10|03 Base de asiento - Compactación</t>
  </si>
  <si>
    <t>N8 - N10|04 Inspecciones previas - Laboratorio base de asiento</t>
  </si>
  <si>
    <t>N8 - N10|04 Inspecciones previas - Zanja y materiales</t>
  </si>
  <si>
    <t>N8 - N10|05 Tendido de cañería - Cañería principal</t>
  </si>
  <si>
    <t>N8 - N10|05 Tendido de cañería - Relevamiento planialtimétrico</t>
  </si>
  <si>
    <t>N8 - N10|08 Prueba hidráulica - Preparación del sistema</t>
  </si>
  <si>
    <t>N8 - N10|08 Prueba hidráulica - Interna N° 1</t>
  </si>
  <si>
    <t>N8 - N10|08 Prueba hidráulica - Interna N° 2</t>
  </si>
  <si>
    <t>N8 - N10|08 Prueba hidráulica - Primera prueba oficial</t>
  </si>
  <si>
    <t>N8 - N10|09 Paquete estructural - Aporte e=0,30 m</t>
  </si>
  <si>
    <t>N8 - N10|09 Paquete estructural - Compactación</t>
  </si>
  <si>
    <t>N8 - N10|09 Paquete estructural - Inspección laboratorio</t>
  </si>
  <si>
    <t>N8 - N10|10 Relleno -0,60 - Conformación de capa</t>
  </si>
  <si>
    <t>N8 - N10|10 Relleno -0,60 - Humectación</t>
  </si>
  <si>
    <t>N8 - N10|10 Relleno -0,60 - Compactación</t>
  </si>
  <si>
    <t>N8 - N10|10 Relleno -0,60 - Inspección laboratorio</t>
  </si>
  <si>
    <t>N8 - N10|11 Relleno -0,30 - Conformación de capa</t>
  </si>
  <si>
    <t>N8 - N10|11 Relleno -0,30 - Humectación</t>
  </si>
  <si>
    <t>N8 - N10|11 Relleno -0,30 - Compactación</t>
  </si>
  <si>
    <t>N8 - N10|11 Relleno -0,30 - Inspección laboratorio</t>
  </si>
  <si>
    <t>N9 - N10|01 Replanteo - Marcación de tramo de cañería principal</t>
  </si>
  <si>
    <t>N9 - N10|02 Excavación - Zanja principal</t>
  </si>
  <si>
    <t>N9 - N10|03 Base de asiento - Nivelación de fondo de zanja</t>
  </si>
  <si>
    <t>N9 - N10|03 Base de asiento - Aporte de material base e=0,10 m</t>
  </si>
  <si>
    <t>N9 - N10|03 Base de asiento - Compactación</t>
  </si>
  <si>
    <t>N9 - N10|04 Inspecciones previas - Laboratorio base de asiento</t>
  </si>
  <si>
    <t>N9 - N10|04 Inspecciones previas - Zanja y materiales</t>
  </si>
  <si>
    <t>N9 - N10|05 Tendido de cañería - Cañería principal</t>
  </si>
  <si>
    <t>N9 - N10|05 Tendido de cañería - Relevamiento planialtimétrico</t>
  </si>
  <si>
    <t>N9 - N10|08 Prueba hidráulica - Preparación del sistema</t>
  </si>
  <si>
    <t>N9 - N10|08 Prueba hidráulica - Interna N° 1</t>
  </si>
  <si>
    <t>N9 - N10|08 Prueba hidráulica - Interna N° 2</t>
  </si>
  <si>
    <t>N9 - N10|08 Prueba hidráulica - Primera prueba oficial</t>
  </si>
  <si>
    <t>N9 - N10|09 Paquete estructural - Aporte e=0,30 m</t>
  </si>
  <si>
    <t>N9 - N10|09 Paquete estructural - Compactación</t>
  </si>
  <si>
    <t>N9 - N10|09 Paquete estructural - Inspección laboratorio</t>
  </si>
  <si>
    <t>N9 - N10|10 Relleno -0,60 - Conformación de capa</t>
  </si>
  <si>
    <t>N9 - N10|10 Relleno -0,60 - Humectación</t>
  </si>
  <si>
    <t>N9 - N10|10 Relleno -0,60 - Compactación</t>
  </si>
  <si>
    <t>N9 - N10|10 Relleno -0,60 - Inspección laboratorio</t>
  </si>
  <si>
    <t>N9 - N10|11 Relleno -0,30 - Conformación de capa</t>
  </si>
  <si>
    <t>N9 - N10|11 Relleno -0,30 - Humectación</t>
  </si>
  <si>
    <t>N9 - N10|11 Relleno -0,30 - Compactación</t>
  </si>
  <si>
    <t>N9 - N10|11 Relleno -0,30 - Inspección laboratorio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</si>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</sst>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0\%"/>
  </numFmts>
  <fonts count="6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6D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4" fillId="5" borderId="0" xfId="0" applyFont="1" applyFill="1"/>
    <xf numFmtId="166" fontId="0" fillId="0" borderId="0" xfId="0" applyNumberFormat="1"/>
    <xf numFmtId="0" fontId="3" fillId="6" borderId="0" xfId="0" applyFont="1" applyFill="1"/>
    <xf numFmtId="0" fontId="0" fillId="7" borderId="0" xfId="0" applyFill="1"/>
    <xf numFmtId="164" fontId="0" fillId="7" borderId="0" xfId="0" applyNumberFormat="1" applyFill="1"/>
    <xf numFmtId="0" fontId="4" fillId="8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/>
    <xf numFmtId="0" fontId="5" fillId="2" borderId="0" xfId="0" applyFont="1" applyFill="1"/>
    <xf numFmtId="165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4" fontId="0" fillId="0" borderId="1" xfId="0" applyNumberFormat="1" applyBorder="1"/>
    <xf numFmtId="0" fontId="0" fillId="9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17">
    <dxf>
      <alignment horizontal="center" vertical="center" textRotation="0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color rgb="FFB91C1C"/>
      </font>
      <fill>
        <patternFill>
          <bgColor rgb="FFFCE8E6"/>
        </patternFill>
      </fill>
    </dxf>
    <dxf>
      <font>
        <b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F4B183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stadoActualFinal" displayName="tblEstadoActualFinal" ref="A4:T1204" totalsRowShown="0" headerRowDxfId="1" headerRowBorderDxfId="2">
  <autoFilter ref="A4:T1204" xr:uid="{00000000-000C-0000-FFFF-FFFF00000000}"/>
  <tableColumns count="20">
    <tableColumn id="1" xr3:uid="{00000000-0010-0000-0000-000001000000}" name="Código"/>
    <tableColumn id="2" xr3:uid="{00000000-0010-0000-0000-000002000000}" name="Sector / Tramo" dataDxfId="0"/>
    <tableColumn id="3" xr3:uid="{00000000-0010-0000-0000-000003000000}" name="Actividad"/>
    <tableColumn id="4" xr3:uid="{00000000-0010-0000-0000-000004000000}" name="Unidad" dataDxfId="9"/>
    <tableColumn id="5" xr3:uid="{00000000-0010-0000-0000-000005000000}" name="Total obra" dataDxfId="8"/>
    <tableColumn id="6" xr3:uid="{00000000-0010-0000-0000-000006000000}" name="Ejecutado acumulado" dataDxfId="7"/>
    <tableColumn id="7" xr3:uid="{00000000-0010-0000-0000-000007000000}" name="Saldo" dataDxfId="6"/>
    <tableColumn id="8" xr3:uid="{00000000-0010-0000-0000-000008000000}" name="% avance real" dataDxfId="5"/>
    <tableColumn id="9" xr3:uid="{00000000-0010-0000-0000-000009000000}" name="Planificado a fecha" dataDxfId="4"/>
    <tableColumn id="10" xr3:uid="{00000000-0010-0000-0000-00000A000000}" name="% avance plan." dataDxfId="3"/>
    <tableColumn id="11" xr3:uid="{00000000-0010-0000-0000-00000B000000}" name="Desvío (pp)"/>
    <tableColumn id="12" xr3:uid="{00000000-0010-0000-0000-00000C000000}" name="Estado"/>
    <tableColumn id="13" xr3:uid="{00000000-0010-0000-0000-00000D000000}" name="Restricción / Observación"/>
    <tableColumn id="14" xr3:uid="{00000000-0010-0000-0000-00000E000000}" name="Prioridad"/>
    <tableColumn id="15" xr3:uid="{00000000-0010-0000-0000-00000F000000}" name="Responsable"/>
    <tableColumn id="16" xr3:uid="{00000000-0010-0000-0000-000010000000}" name="Fecha de corte"/>
    <tableColumn id="17" xr3:uid="{00000000-0010-0000-0000-000011000000}" name="Pasaje / Calle"/>
    <tableColumn id="18" xr3:uid="{00000000-0010-0000-0000-000012000000}" name="Ø (mm)"/>
    <tableColumn id="19" xr3:uid="{00000000-0010-0000-0000-000013000000}" name="Tipo de red"/>
    <tableColumn id="20" xr3:uid="{00000000-0010-0000-0000-000014000000}" name="Aler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Hidrantes" displayName="tblHidrantes" ref="A202:H222" totalsRowShown="0">
  <tableColumns count="8">
    <tableColumn id="1" xr3:uid="{00000000-0010-0000-0100-000001000000}" name="ID Hidrante"/>
    <tableColumn id="2" xr3:uid="{00000000-0010-0000-0100-000002000000}" name="Tipo red"/>
    <tableColumn id="3" xr3:uid="{00000000-0010-0000-0100-000003000000}" name="Tramo confirmado"/>
    <tableColumn id="4" xr3:uid="{00000000-0010-0000-0100-000004000000}" name="% Avance"/>
    <tableColumn id="5" xr3:uid="{00000000-0010-0000-0100-000005000000}" name="Estado"/>
    <tableColumn id="6" xr3:uid="{00000000-0010-0000-0100-000006000000}" name="Observación"/>
    <tableColumn id="7" xr3:uid="{00000000-0010-0000-0100-000007000000}" name="Fuente / criterio"/>
    <tableColumn id="8" xr3:uid="{00000000-0010-0000-0100-000008000000}" name="Contr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trolServicios" displayName="tblControlServicios" ref="A282:J533" totalsRowShown="0">
  <tableColumns count="10">
    <tableColumn id="1" xr3:uid="{00000000-0010-0000-0200-000001000000}" name="ID Servicio"/>
    <tableColumn id="2" xr3:uid="{00000000-0010-0000-0200-000002000000}" name="Tramo"/>
    <tableColumn id="3" xr3:uid="{00000000-0010-0000-0200-000003000000}" name="Servicio / Lote"/>
    <tableColumn id="4" xr3:uid="{00000000-0010-0000-0200-000004000000}" name="Vaina"/>
    <tableColumn id="5" xr3:uid="{00000000-0010-0000-0200-000005000000}" name="Ensayo Base solicitado"/>
    <tableColumn id="6" xr3:uid="{00000000-0010-0000-0200-000006000000}" name="Resultado Base"/>
    <tableColumn id="7" xr3:uid="{00000000-0010-0000-0200-000007000000}" name="Ensayo Paquete solicitado"/>
    <tableColumn id="8" xr3:uid="{00000000-0010-0000-0200-000008000000}" name="Resultado Paquete"/>
    <tableColumn id="9" xr3:uid="{00000000-0010-0000-0200-000009000000}" name="Estado Servicio"/>
    <tableColumn id="10" xr3:uid="{00000000-0010-0000-0200-00000A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B7" sqref="B7"/>
    </sheetView>
  </sheetViews>
  <sheetFormatPr baseColWidth="10" defaultColWidth="8.796875" defaultRowHeight="13.8"/>
  <cols>
    <col min="1" max="1" width="26" customWidth="1"/>
    <col min="2" max="2" width="14" customWidth="1"/>
    <col min="3" max="3" width="20" customWidth="1"/>
    <col min="4" max="4" width="27" customWidth="1"/>
    <col min="5" max="5" width="14" customWidth="1"/>
    <col min="7" max="7" width="27" customWidth="1"/>
    <col min="8" max="8" width="14" customWidth="1"/>
  </cols>
  <sheetData>
    <row r="1" spans="1:8" ht="22.3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27.15" customHeight="1">
      <c r="A2" s="16" t="s">
        <v>1</v>
      </c>
      <c r="B2" s="16"/>
      <c r="C2" s="16"/>
      <c r="D2" s="16"/>
      <c r="E2" s="16"/>
      <c r="F2" s="16"/>
      <c r="G2" s="16"/>
      <c r="H2" s="16"/>
    </row>
    <row r="4" spans="1:8" ht="30.45" customHeight="1">
      <c r="A4" s="1" t="s">
        <v>2</v>
      </c>
      <c r="B4" s="1" t="s">
        <v>3</v>
      </c>
      <c r="D4" s="1" t="s">
        <v>4</v>
      </c>
      <c r="E4" s="1" t="s">
        <v>3</v>
      </c>
      <c r="G4" s="1" t="s">
        <v>5</v>
      </c>
      <c r="H4" s="1" t="s">
        <v>3</v>
      </c>
    </row>
    <row r="5" spans="1:8">
      <c r="A5" t="s">
        <v>6</v>
      </c>
      <c r="B5">
        <f>COUNTIF('01_Estado_Actual'!$E$5:$E$1204,"&gt;0")</f>
        <v>1200</v>
      </c>
      <c r="D5" t="s">
        <v>7</v>
      </c>
      <c r="E5">
        <f>COUNTIF('03_Planificacion'!$B$5:$B$84,"&lt;&gt;")</f>
        <v>0</v>
      </c>
      <c r="G5" t="s">
        <v>8</v>
      </c>
      <c r="H5">
        <f>SUM('07_Base_Tecnica'!$Q$5:$Q$54)</f>
        <v>227</v>
      </c>
    </row>
    <row r="6" spans="1:8">
      <c r="A6" t="s">
        <v>9</v>
      </c>
      <c r="B6">
        <f>COUNTIF('01_Estado_Actual'!$L$5:$L$1204,"Terminada")</f>
        <v>307</v>
      </c>
      <c r="D6" t="s">
        <v>10</v>
      </c>
      <c r="E6">
        <f>COUNTIF('03_Planificacion'!$B$99:$B$138,"&lt;&gt;")</f>
        <v>0</v>
      </c>
      <c r="G6" t="s">
        <v>11</v>
      </c>
      <c r="H6">
        <f>MAX(COUNTIF('06_Control_Semanal'!$D$283:$D$533,"Colocada"),SUMIFS('05_Parte_Diario'!$H$5:$H$104,'05_Parte_Diario'!$E$5:$E$104,"06 Servicios - Colocación de vaina / caño camisa"))</f>
        <v>0</v>
      </c>
    </row>
    <row r="7" spans="1:8">
      <c r="A7" t="s">
        <v>12</v>
      </c>
      <c r="B7">
        <f>COUNTIF('01_Estado_Actual'!$L$5:$L$1204,"Para Programar")</f>
        <v>144</v>
      </c>
      <c r="D7" t="s">
        <v>13</v>
      </c>
      <c r="E7">
        <f>COUNTIF('04_Orden_Diaria'!$C$5:$C$44,"&lt;&gt;")</f>
        <v>0</v>
      </c>
      <c r="G7" t="s">
        <v>14</v>
      </c>
      <c r="H7">
        <f>COUNTIF('06_Control_Semanal'!$F$283:$F$533,"Aprobado")</f>
        <v>0</v>
      </c>
    </row>
    <row r="8" spans="1:8">
      <c r="A8" t="s">
        <v>15</v>
      </c>
      <c r="B8">
        <f>COUNTIF('01_Estado_Actual'!$L$5:$L$1204,"En curso")</f>
        <v>0</v>
      </c>
      <c r="D8" t="s">
        <v>16</v>
      </c>
      <c r="E8">
        <f>COUNTIF('05_Parte_Diario'!$H$5:$H$104,"&gt;0")</f>
        <v>0</v>
      </c>
      <c r="G8" t="s">
        <v>17</v>
      </c>
      <c r="H8">
        <f>COUNTIF('06_Control_Semanal'!$H$283:$H$533,"Aprobado")</f>
        <v>0</v>
      </c>
    </row>
    <row r="9" spans="1:8">
      <c r="A9" t="s">
        <v>18</v>
      </c>
      <c r="B9">
        <f>COUNTIF('01_Estado_Actual'!$L$5:$L$1204,"Bloqueada")</f>
        <v>0</v>
      </c>
      <c r="D9" t="s">
        <v>19</v>
      </c>
      <c r="E9">
        <f>COUNTIFS('06_Control_Semanal'!$B$133:$B$192,"&gt;0",'06_Control_Semanal'!$M$133:$M$192,"&lt;&gt;Terminada")</f>
        <v>0</v>
      </c>
      <c r="G9" t="s">
        <v>20</v>
      </c>
      <c r="H9">
        <f>COUNTIF('06_Control_Semanal'!$I$283:$I$533,"Terminado")</f>
        <v>0</v>
      </c>
    </row>
    <row r="10" spans="1:8">
      <c r="A10" t="s">
        <v>21</v>
      </c>
      <c r="B10" s="6">
        <f>IFERROR(AVERAGE('01_Estado_Actual'!$H$5:$H$1204),0)</f>
        <v>0.24359053497942387</v>
      </c>
      <c r="D10" t="s">
        <v>22</v>
      </c>
      <c r="E10">
        <f ca="1">COUNTIF('02_Para_Programar'!$K$5:$K$224,"NO")</f>
        <v>165</v>
      </c>
      <c r="G10" t="s">
        <v>23</v>
      </c>
      <c r="H10">
        <f>COUNTIF('06_Control_Semanal'!$C$203:$C$222,"&lt;&gt;")</f>
        <v>0</v>
      </c>
    </row>
    <row r="11" spans="1:8">
      <c r="A11" t="s">
        <v>24</v>
      </c>
      <c r="B11">
        <f>COUNTIF('01_Estado_Actual'!$T$5:$T$1204,"INCONSISTENCIA - REVISAR MANUALMENTE: Terminada con saldo")+COUNTIF('01_Estado_Actual'!$T$5:$T$1204,"INCONSISTENCIA - REVISAR MANUALMENTE: Para Programar sin saldo")</f>
        <v>15</v>
      </c>
      <c r="D11" t="s">
        <v>25</v>
      </c>
      <c r="E11">
        <f>COUNTIF('03_Planificacion'!$S$99:$S$138,"REVISAR &gt; SALDO")</f>
        <v>0</v>
      </c>
      <c r="G11" t="s">
        <v>26</v>
      </c>
      <c r="H11">
        <f>COUNTIF('06_Control_Semanal'!$D$203:$D$222,100)</f>
        <v>0</v>
      </c>
    </row>
    <row r="12" spans="1:8">
      <c r="G12" t="s">
        <v>27</v>
      </c>
      <c r="H12">
        <f>COUNTIF('06_Control_Semanal'!$H$203:$H$222,"ALERTA*")</f>
        <v>0</v>
      </c>
    </row>
    <row r="14" spans="1:8">
      <c r="A14" s="9" t="s">
        <v>28</v>
      </c>
      <c r="B14" s="9"/>
      <c r="C14" s="9"/>
      <c r="D14" s="9"/>
      <c r="E14" s="9"/>
      <c r="F14" s="9"/>
      <c r="G14" s="9"/>
      <c r="H14" s="9"/>
    </row>
    <row r="15" spans="1:8" ht="27.6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 t="s">
        <v>35</v>
      </c>
      <c r="H15" s="4" t="s">
        <v>36</v>
      </c>
    </row>
    <row r="16" spans="1:8" ht="124.2">
      <c r="A16" s="4" t="s">
        <v>37</v>
      </c>
      <c r="B16" s="4" t="s">
        <v>38</v>
      </c>
      <c r="C16" s="4"/>
      <c r="D16" s="4"/>
      <c r="E16" s="4"/>
      <c r="F16" s="4"/>
      <c r="G16" s="4"/>
      <c r="H16" s="4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04"/>
  <sheetViews>
    <sheetView tabSelected="1" topLeftCell="A770" workbookViewId="0">
      <selection activeCell="H776" sqref="H776"/>
    </sheetView>
  </sheetViews>
  <sheetFormatPr baseColWidth="10" defaultColWidth="8.796875" defaultRowHeight="13.8"/>
  <cols>
    <col min="1" max="1" width="11" customWidth="1"/>
    <col min="2" max="2" width="12.5" style="14" customWidth="1"/>
    <col min="3" max="3" width="49" customWidth="1"/>
    <col min="4" max="4" width="8.69921875" style="13" customWidth="1"/>
    <col min="5" max="5" width="10.3984375" style="13" customWidth="1"/>
    <col min="6" max="6" width="12.796875" style="13" customWidth="1"/>
    <col min="7" max="7" width="10" style="13" customWidth="1"/>
    <col min="8" max="8" width="9.59765625" style="13" customWidth="1"/>
    <col min="9" max="10" width="13" style="13" customWidth="1"/>
    <col min="11" max="11" width="13" customWidth="1"/>
    <col min="12" max="12" width="16" customWidth="1"/>
    <col min="13" max="13" width="32" customWidth="1"/>
    <col min="14" max="14" width="12" customWidth="1"/>
    <col min="15" max="15" width="18" customWidth="1"/>
    <col min="16" max="16" width="13" customWidth="1"/>
    <col min="17" max="17" width="28" customWidth="1"/>
    <col min="18" max="18" width="10" customWidth="1"/>
    <col min="19" max="19" width="18" customWidth="1"/>
    <col min="20" max="20" width="42" customWidth="1"/>
    <col min="21" max="24" width="2" customWidth="1"/>
  </cols>
  <sheetData>
    <row r="1" spans="1:24" ht="22.35" customHeight="1">
      <c r="A1" s="15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V1" s="5">
        <v>46287</v>
      </c>
    </row>
    <row r="2" spans="1:24" ht="27.15" customHeight="1">
      <c r="A2" s="16" t="s">
        <v>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4" spans="1:24" s="4" customFormat="1" ht="38.4" customHeight="1">
      <c r="A4" s="22" t="s">
        <v>41</v>
      </c>
      <c r="B4" s="22" t="s">
        <v>42</v>
      </c>
      <c r="C4" s="22" t="s">
        <v>43</v>
      </c>
      <c r="D4" s="22" t="s">
        <v>44</v>
      </c>
      <c r="E4" s="22" t="s">
        <v>45</v>
      </c>
      <c r="F4" s="22" t="s">
        <v>46</v>
      </c>
      <c r="G4" s="22" t="s">
        <v>47</v>
      </c>
      <c r="H4" s="22" t="s">
        <v>48</v>
      </c>
      <c r="I4" s="22" t="s">
        <v>49</v>
      </c>
      <c r="J4" s="22" t="s">
        <v>50</v>
      </c>
      <c r="K4" s="22" t="s">
        <v>51</v>
      </c>
      <c r="L4" s="22" t="s">
        <v>52</v>
      </c>
      <c r="M4" s="22" t="s">
        <v>53</v>
      </c>
      <c r="N4" s="22" t="s">
        <v>54</v>
      </c>
      <c r="O4" s="22" t="s">
        <v>55</v>
      </c>
      <c r="P4" s="22" t="s">
        <v>56</v>
      </c>
      <c r="Q4" s="22" t="s">
        <v>57</v>
      </c>
      <c r="R4" s="22" t="s">
        <v>58</v>
      </c>
      <c r="S4" s="22" t="s">
        <v>59</v>
      </c>
      <c r="T4" s="22" t="s">
        <v>60</v>
      </c>
      <c r="U4" s="4" t="s">
        <v>61</v>
      </c>
      <c r="W4" s="4" t="s">
        <v>62</v>
      </c>
      <c r="X4" s="4" t="s">
        <v>63</v>
      </c>
    </row>
    <row r="5" spans="1:24" hidden="1">
      <c r="A5" s="23" t="s">
        <v>64</v>
      </c>
      <c r="B5" s="24" t="s">
        <v>65</v>
      </c>
      <c r="C5" s="25" t="s">
        <v>66</v>
      </c>
      <c r="D5" s="23" t="s">
        <v>67</v>
      </c>
      <c r="E5" s="23">
        <v>165</v>
      </c>
      <c r="F5" s="23">
        <f>IF(E5="","",MIN(E5,$X5+SUMIFS('05_Parte_Diario'!$H$5:$H$204,'05_Parte_Diario'!$D$5:$D$204,B5,'05_Parte_Diario'!$E$5:$E$204,C5)))</f>
        <v>0</v>
      </c>
      <c r="G5" s="23">
        <f t="shared" ref="G5:G68" si="0">IF(E5="","",MAX(E5-F5,0))</f>
        <v>165</v>
      </c>
      <c r="H5" s="26">
        <f t="shared" ref="H5:H68" si="1">IFERROR(F5/E5,0)</f>
        <v>0</v>
      </c>
      <c r="I5" s="26">
        <f>IF(OR(B5="",C5="",$V$1=""),"",MIN(E5,SUMIFS('03_Planificacion'!$G$99:$G$178,'03_Planificacion'!$E$99:$E$178,B5,'03_Planificacion'!$F$99:$F$178,C5,'03_Planificacion'!$D$99:$D$178,"&lt;="&amp;$V$1)))</f>
        <v>0</v>
      </c>
      <c r="J5" s="26">
        <f t="shared" ref="J5:J68" si="2">IFERROR(I5/E5,0)</f>
        <v>0</v>
      </c>
      <c r="K5" s="27">
        <f t="shared" ref="K5:K68" si="3">IF(OR(E5="",$V$1=""),"",H5-J5)</f>
        <v>0</v>
      </c>
      <c r="L5" s="25" t="s">
        <v>68</v>
      </c>
      <c r="M5" s="25"/>
      <c r="N5" s="25"/>
      <c r="O5" s="25"/>
      <c r="P5" s="28">
        <f t="shared" ref="P5:P68" si="4">IF(A5="","",$V$1)</f>
        <v>46287</v>
      </c>
      <c r="Q5" s="25" t="s">
        <v>69</v>
      </c>
      <c r="R5" s="25">
        <v>75</v>
      </c>
      <c r="S5" s="25" t="s">
        <v>70</v>
      </c>
      <c r="T5" s="25" t="str">
        <f t="shared" ref="T5:T68" si="5">IF(A5="","",IF(AND(L5="Para Programar",G5=0),"INCONSISTENCIA - REVISAR MANUALMENTE: Para Programar sin saldo",IF(AND(L5="Terminada",G5&gt;0),"INCONSISTENCIA - REVISAR MANUALMENTE: Terminada con saldo","")))</f>
        <v/>
      </c>
      <c r="U5" t="str">
        <f>IF(AND(L5="Para Programar",G5&gt;0),COUNTIFS($L$5:L5,"Para Programar",$G$5:G5,"&gt;0"),"")</f>
        <v/>
      </c>
      <c r="W5" t="str">
        <f t="shared" ref="W5:W68" si="6">IF(OR(B5="",C5=""),"",B5&amp;"|"&amp;C5)</f>
        <v>N1 - N2|01 Replanteo - Marcación de tramo de cañería principal</v>
      </c>
      <c r="X5">
        <v>0</v>
      </c>
    </row>
    <row r="6" spans="1:24" hidden="1">
      <c r="A6" s="23" t="s">
        <v>71</v>
      </c>
      <c r="B6" s="24" t="s">
        <v>65</v>
      </c>
      <c r="C6" s="25" t="s">
        <v>72</v>
      </c>
      <c r="D6" s="23" t="s">
        <v>67</v>
      </c>
      <c r="E6" s="23">
        <v>165</v>
      </c>
      <c r="F6" s="23">
        <f>IF(E6="","",MIN(E6,$X6+SUMIFS('05_Parte_Diario'!$H$5:$H$204,'05_Parte_Diario'!$D$5:$D$204,B6,'05_Parte_Diario'!$E$5:$E$204,C6)))</f>
        <v>0</v>
      </c>
      <c r="G6" s="23">
        <f t="shared" si="0"/>
        <v>165</v>
      </c>
      <c r="H6" s="26">
        <f t="shared" si="1"/>
        <v>0</v>
      </c>
      <c r="I6" s="26">
        <f>IF(OR(B6="",C6="",$V$1=""),"",MIN(E6,SUMIFS('03_Planificacion'!$G$99:$G$178,'03_Planificacion'!$E$99:$E$178,B6,'03_Planificacion'!$F$99:$F$178,C6,'03_Planificacion'!$D$99:$D$178,"&lt;="&amp;$V$1)))</f>
        <v>0</v>
      </c>
      <c r="J6" s="26">
        <f t="shared" si="2"/>
        <v>0</v>
      </c>
      <c r="K6" s="27">
        <f t="shared" si="3"/>
        <v>0</v>
      </c>
      <c r="L6" s="25" t="s">
        <v>68</v>
      </c>
      <c r="M6" s="25"/>
      <c r="N6" s="25"/>
      <c r="O6" s="25"/>
      <c r="P6" s="28">
        <f t="shared" si="4"/>
        <v>46287</v>
      </c>
      <c r="Q6" s="25" t="s">
        <v>69</v>
      </c>
      <c r="R6" s="25">
        <v>75</v>
      </c>
      <c r="S6" s="25" t="s">
        <v>70</v>
      </c>
      <c r="T6" s="25" t="str">
        <f t="shared" si="5"/>
        <v/>
      </c>
      <c r="U6" t="str">
        <f>IF(AND(L6="Para Programar",G6&gt;0),COUNTIFS($L$5:L6,"Para Programar",$G$5:G6,"&gt;0"),"")</f>
        <v/>
      </c>
      <c r="W6" t="str">
        <f t="shared" si="6"/>
        <v>N1 - N2|02 Excavación - Zanja principal</v>
      </c>
      <c r="X6">
        <v>0</v>
      </c>
    </row>
    <row r="7" spans="1:24" hidden="1">
      <c r="A7" s="23" t="s">
        <v>73</v>
      </c>
      <c r="B7" s="24" t="s">
        <v>65</v>
      </c>
      <c r="C7" s="25" t="s">
        <v>74</v>
      </c>
      <c r="D7" s="23" t="s">
        <v>67</v>
      </c>
      <c r="E7" s="23">
        <v>165</v>
      </c>
      <c r="F7" s="23">
        <f>IF(E7="","",MIN(E7,$X7+SUMIFS('05_Parte_Diario'!$H$5:$H$204,'05_Parte_Diario'!$D$5:$D$204,B7,'05_Parte_Diario'!$E$5:$E$204,C7)))</f>
        <v>0</v>
      </c>
      <c r="G7" s="23">
        <f t="shared" si="0"/>
        <v>165</v>
      </c>
      <c r="H7" s="26">
        <f t="shared" si="1"/>
        <v>0</v>
      </c>
      <c r="I7" s="26">
        <f>IF(OR(B7="",C7="",$V$1=""),"",MIN(E7,SUMIFS('03_Planificacion'!$G$99:$G$178,'03_Planificacion'!$E$99:$E$178,B7,'03_Planificacion'!$F$99:$F$178,C7,'03_Planificacion'!$D$99:$D$178,"&lt;="&amp;$V$1)))</f>
        <v>0</v>
      </c>
      <c r="J7" s="26">
        <f t="shared" si="2"/>
        <v>0</v>
      </c>
      <c r="K7" s="27">
        <f t="shared" si="3"/>
        <v>0</v>
      </c>
      <c r="L7" s="25" t="s">
        <v>68</v>
      </c>
      <c r="M7" s="25"/>
      <c r="N7" s="25"/>
      <c r="O7" s="25"/>
      <c r="P7" s="28">
        <f t="shared" si="4"/>
        <v>46287</v>
      </c>
      <c r="Q7" s="25" t="s">
        <v>69</v>
      </c>
      <c r="R7" s="25">
        <v>75</v>
      </c>
      <c r="S7" s="25" t="s">
        <v>70</v>
      </c>
      <c r="T7" s="25" t="str">
        <f t="shared" si="5"/>
        <v/>
      </c>
      <c r="U7" t="str">
        <f>IF(AND(L7="Para Programar",G7&gt;0),COUNTIFS($L$5:L7,"Para Programar",$G$5:G7,"&gt;0"),"")</f>
        <v/>
      </c>
      <c r="W7" t="str">
        <f t="shared" si="6"/>
        <v>N1 - N2|03 Base de asiento - Nivelación de fondo de zanja</v>
      </c>
      <c r="X7">
        <v>0</v>
      </c>
    </row>
    <row r="8" spans="1:24" hidden="1">
      <c r="A8" s="23" t="s">
        <v>75</v>
      </c>
      <c r="B8" s="24" t="s">
        <v>65</v>
      </c>
      <c r="C8" s="25" t="s">
        <v>76</v>
      </c>
      <c r="D8" s="23" t="s">
        <v>67</v>
      </c>
      <c r="E8" s="23">
        <v>165</v>
      </c>
      <c r="F8" s="23">
        <f>IF(E8="","",MIN(E8,$X8+SUMIFS('05_Parte_Diario'!$H$5:$H$204,'05_Parte_Diario'!$D$5:$D$204,B8,'05_Parte_Diario'!$E$5:$E$204,C8)))</f>
        <v>0</v>
      </c>
      <c r="G8" s="23">
        <f t="shared" si="0"/>
        <v>165</v>
      </c>
      <c r="H8" s="26">
        <f t="shared" si="1"/>
        <v>0</v>
      </c>
      <c r="I8" s="26">
        <f>IF(OR(B8="",C8="",$V$1=""),"",MIN(E8,SUMIFS('03_Planificacion'!$G$99:$G$178,'03_Planificacion'!$E$99:$E$178,B8,'03_Planificacion'!$F$99:$F$178,C8,'03_Planificacion'!$D$99:$D$178,"&lt;="&amp;$V$1)))</f>
        <v>0</v>
      </c>
      <c r="J8" s="26">
        <f t="shared" si="2"/>
        <v>0</v>
      </c>
      <c r="K8" s="27">
        <f t="shared" si="3"/>
        <v>0</v>
      </c>
      <c r="L8" s="25" t="s">
        <v>68</v>
      </c>
      <c r="M8" s="25"/>
      <c r="N8" s="25"/>
      <c r="O8" s="25"/>
      <c r="P8" s="28">
        <f t="shared" si="4"/>
        <v>46287</v>
      </c>
      <c r="Q8" s="25" t="s">
        <v>69</v>
      </c>
      <c r="R8" s="25">
        <v>75</v>
      </c>
      <c r="S8" s="25" t="s">
        <v>70</v>
      </c>
      <c r="T8" s="25" t="str">
        <f t="shared" si="5"/>
        <v/>
      </c>
      <c r="U8" t="str">
        <f>IF(AND(L8="Para Programar",G8&gt;0),COUNTIFS($L$5:L8,"Para Programar",$G$5:G8,"&gt;0"),"")</f>
        <v/>
      </c>
      <c r="W8" t="str">
        <f t="shared" si="6"/>
        <v>N1 - N2|03 Base de asiento - Aporte de material base e=0,10 m</v>
      </c>
      <c r="X8">
        <v>0</v>
      </c>
    </row>
    <row r="9" spans="1:24" hidden="1">
      <c r="A9" s="23" t="s">
        <v>77</v>
      </c>
      <c r="B9" s="24" t="s">
        <v>65</v>
      </c>
      <c r="C9" s="25" t="s">
        <v>78</v>
      </c>
      <c r="D9" s="23" t="s">
        <v>67</v>
      </c>
      <c r="E9" s="23">
        <v>165</v>
      </c>
      <c r="F9" s="23">
        <f>IF(E9="","",MIN(E9,$X9+SUMIFS('05_Parte_Diario'!$H$5:$H$204,'05_Parte_Diario'!$D$5:$D$204,B9,'05_Parte_Diario'!$E$5:$E$204,C9)))</f>
        <v>0</v>
      </c>
      <c r="G9" s="23">
        <f t="shared" si="0"/>
        <v>165</v>
      </c>
      <c r="H9" s="26">
        <f t="shared" si="1"/>
        <v>0</v>
      </c>
      <c r="I9" s="26">
        <f>IF(OR(B9="",C9="",$V$1=""),"",MIN(E9,SUMIFS('03_Planificacion'!$G$99:$G$178,'03_Planificacion'!$E$99:$E$178,B9,'03_Planificacion'!$F$99:$F$178,C9,'03_Planificacion'!$D$99:$D$178,"&lt;="&amp;$V$1)))</f>
        <v>0</v>
      </c>
      <c r="J9" s="26">
        <f t="shared" si="2"/>
        <v>0</v>
      </c>
      <c r="K9" s="27">
        <f t="shared" si="3"/>
        <v>0</v>
      </c>
      <c r="L9" s="25" t="s">
        <v>68</v>
      </c>
      <c r="M9" s="25"/>
      <c r="N9" s="25"/>
      <c r="O9" s="25"/>
      <c r="P9" s="28">
        <f t="shared" si="4"/>
        <v>46287</v>
      </c>
      <c r="Q9" s="25" t="s">
        <v>69</v>
      </c>
      <c r="R9" s="25">
        <v>75</v>
      </c>
      <c r="S9" s="25" t="s">
        <v>70</v>
      </c>
      <c r="T9" s="25" t="str">
        <f t="shared" si="5"/>
        <v/>
      </c>
      <c r="U9" t="str">
        <f>IF(AND(L9="Para Programar",G9&gt;0),COUNTIFS($L$5:L9,"Para Programar",$G$5:G9,"&gt;0"),"")</f>
        <v/>
      </c>
      <c r="W9" t="str">
        <f t="shared" si="6"/>
        <v>N1 - N2|03 Base de asiento - Compactación</v>
      </c>
      <c r="X9">
        <v>0</v>
      </c>
    </row>
    <row r="10" spans="1:24" hidden="1">
      <c r="A10" s="23" t="s">
        <v>79</v>
      </c>
      <c r="B10" s="24" t="s">
        <v>65</v>
      </c>
      <c r="C10" s="25" t="s">
        <v>80</v>
      </c>
      <c r="D10" s="23" t="s">
        <v>81</v>
      </c>
      <c r="E10" s="23">
        <v>1</v>
      </c>
      <c r="F10" s="23">
        <f>IF(E10="","",MIN(E10,$X10+SUMIFS('05_Parte_Diario'!$H$5:$H$204,'05_Parte_Diario'!$D$5:$D$204,B10,'05_Parte_Diario'!$E$5:$E$204,C10)))</f>
        <v>0</v>
      </c>
      <c r="G10" s="23">
        <f t="shared" si="0"/>
        <v>1</v>
      </c>
      <c r="H10" s="26">
        <f t="shared" si="1"/>
        <v>0</v>
      </c>
      <c r="I10" s="26">
        <f>IF(OR(B10="",C10="",$V$1=""),"",MIN(E10,SUMIFS('03_Planificacion'!$G$99:$G$178,'03_Planificacion'!$E$99:$E$178,B10,'03_Planificacion'!$F$99:$F$178,C10,'03_Planificacion'!$D$99:$D$178,"&lt;="&amp;$V$1)))</f>
        <v>0</v>
      </c>
      <c r="J10" s="26">
        <f t="shared" si="2"/>
        <v>0</v>
      </c>
      <c r="K10" s="27">
        <f t="shared" si="3"/>
        <v>0</v>
      </c>
      <c r="L10" s="25" t="s">
        <v>68</v>
      </c>
      <c r="M10" s="25"/>
      <c r="N10" s="25"/>
      <c r="O10" s="25"/>
      <c r="P10" s="28">
        <f t="shared" si="4"/>
        <v>46287</v>
      </c>
      <c r="Q10" s="25" t="s">
        <v>69</v>
      </c>
      <c r="R10" s="25">
        <v>75</v>
      </c>
      <c r="S10" s="25" t="s">
        <v>70</v>
      </c>
      <c r="T10" s="25" t="str">
        <f t="shared" si="5"/>
        <v/>
      </c>
      <c r="U10" t="str">
        <f>IF(AND(L10="Para Programar",G10&gt;0),COUNTIFS($L$5:L10,"Para Programar",$G$5:G10,"&gt;0"),"")</f>
        <v/>
      </c>
      <c r="W10" t="str">
        <f t="shared" si="6"/>
        <v>N1 - N2|04 Inspecciones previas - Laboratorio base de asiento</v>
      </c>
      <c r="X10">
        <v>0</v>
      </c>
    </row>
    <row r="11" spans="1:24" hidden="1">
      <c r="A11" s="23" t="s">
        <v>82</v>
      </c>
      <c r="B11" s="24" t="s">
        <v>65</v>
      </c>
      <c r="C11" s="25" t="s">
        <v>83</v>
      </c>
      <c r="D11" s="23" t="s">
        <v>81</v>
      </c>
      <c r="E11" s="23">
        <v>1</v>
      </c>
      <c r="F11" s="23">
        <f>IF(E11="","",MIN(E11,$X11+SUMIFS('05_Parte_Diario'!$H$5:$H$204,'05_Parte_Diario'!$D$5:$D$204,B11,'05_Parte_Diario'!$E$5:$E$204,C11)))</f>
        <v>0</v>
      </c>
      <c r="G11" s="23">
        <f t="shared" si="0"/>
        <v>1</v>
      </c>
      <c r="H11" s="26">
        <f t="shared" si="1"/>
        <v>0</v>
      </c>
      <c r="I11" s="26">
        <f>IF(OR(B11="",C11="",$V$1=""),"",MIN(E11,SUMIFS('03_Planificacion'!$G$99:$G$178,'03_Planificacion'!$E$99:$E$178,B11,'03_Planificacion'!$F$99:$F$178,C11,'03_Planificacion'!$D$99:$D$178,"&lt;="&amp;$V$1)))</f>
        <v>0</v>
      </c>
      <c r="J11" s="26">
        <f t="shared" si="2"/>
        <v>0</v>
      </c>
      <c r="K11" s="27">
        <f t="shared" si="3"/>
        <v>0</v>
      </c>
      <c r="L11" s="25" t="s">
        <v>68</v>
      </c>
      <c r="M11" s="25"/>
      <c r="N11" s="25"/>
      <c r="O11" s="25"/>
      <c r="P11" s="28">
        <f t="shared" si="4"/>
        <v>46287</v>
      </c>
      <c r="Q11" s="25" t="s">
        <v>69</v>
      </c>
      <c r="R11" s="25">
        <v>75</v>
      </c>
      <c r="S11" s="25" t="s">
        <v>70</v>
      </c>
      <c r="T11" s="25" t="str">
        <f t="shared" si="5"/>
        <v/>
      </c>
      <c r="U11" t="str">
        <f>IF(AND(L11="Para Programar",G11&gt;0),COUNTIFS($L$5:L11,"Para Programar",$G$5:G11,"&gt;0"),"")</f>
        <v/>
      </c>
      <c r="W11" t="str">
        <f t="shared" si="6"/>
        <v>N1 - N2|04 Inspecciones previas - Zanja y materiales</v>
      </c>
      <c r="X11">
        <v>0</v>
      </c>
    </row>
    <row r="12" spans="1:24" hidden="1">
      <c r="A12" s="23" t="s">
        <v>84</v>
      </c>
      <c r="B12" s="24" t="s">
        <v>65</v>
      </c>
      <c r="C12" s="25" t="s">
        <v>85</v>
      </c>
      <c r="D12" s="23" t="s">
        <v>67</v>
      </c>
      <c r="E12" s="23">
        <v>165</v>
      </c>
      <c r="F12" s="23">
        <f>IF(E12="","",MIN(E12,$X12+SUMIFS('05_Parte_Diario'!$H$5:$H$204,'05_Parte_Diario'!$D$5:$D$204,B12,'05_Parte_Diario'!$E$5:$E$204,C12)))</f>
        <v>0</v>
      </c>
      <c r="G12" s="23">
        <f t="shared" si="0"/>
        <v>165</v>
      </c>
      <c r="H12" s="26">
        <f t="shared" si="1"/>
        <v>0</v>
      </c>
      <c r="I12" s="26">
        <f>IF(OR(B12="",C12="",$V$1=""),"",MIN(E12,SUMIFS('03_Planificacion'!$G$99:$G$178,'03_Planificacion'!$E$99:$E$178,B12,'03_Planificacion'!$F$99:$F$178,C12,'03_Planificacion'!$D$99:$D$178,"&lt;="&amp;$V$1)))</f>
        <v>0</v>
      </c>
      <c r="J12" s="26">
        <f t="shared" si="2"/>
        <v>0</v>
      </c>
      <c r="K12" s="27">
        <f t="shared" si="3"/>
        <v>0</v>
      </c>
      <c r="L12" s="25" t="s">
        <v>68</v>
      </c>
      <c r="M12" s="25"/>
      <c r="N12" s="25"/>
      <c r="O12" s="25"/>
      <c r="P12" s="28">
        <f t="shared" si="4"/>
        <v>46287</v>
      </c>
      <c r="Q12" s="25" t="s">
        <v>69</v>
      </c>
      <c r="R12" s="25">
        <v>75</v>
      </c>
      <c r="S12" s="25" t="s">
        <v>70</v>
      </c>
      <c r="T12" s="25" t="str">
        <f t="shared" si="5"/>
        <v/>
      </c>
      <c r="U12" t="str">
        <f>IF(AND(L12="Para Programar",G12&gt;0),COUNTIFS($L$5:L12,"Para Programar",$G$5:G12,"&gt;0"),"")</f>
        <v/>
      </c>
      <c r="W12" t="str">
        <f t="shared" si="6"/>
        <v>N1 - N2|05 Tendido de cañería - Cañería principal</v>
      </c>
      <c r="X12">
        <v>0</v>
      </c>
    </row>
    <row r="13" spans="1:24" hidden="1">
      <c r="A13" s="23" t="s">
        <v>86</v>
      </c>
      <c r="B13" s="24" t="s">
        <v>65</v>
      </c>
      <c r="C13" s="25" t="s">
        <v>87</v>
      </c>
      <c r="D13" s="23" t="s">
        <v>67</v>
      </c>
      <c r="E13" s="23">
        <v>165</v>
      </c>
      <c r="F13" s="23">
        <f>IF(E13="","",MIN(E13,$X13+SUMIFS('05_Parte_Diario'!$H$5:$H$204,'05_Parte_Diario'!$D$5:$D$204,B13,'05_Parte_Diario'!$E$5:$E$204,C13)))</f>
        <v>0</v>
      </c>
      <c r="G13" s="23">
        <f t="shared" si="0"/>
        <v>165</v>
      </c>
      <c r="H13" s="26">
        <f t="shared" si="1"/>
        <v>0</v>
      </c>
      <c r="I13" s="26">
        <f>IF(OR(B13="",C13="",$V$1=""),"",MIN(E13,SUMIFS('03_Planificacion'!$G$99:$G$178,'03_Planificacion'!$E$99:$E$178,B13,'03_Planificacion'!$F$99:$F$178,C13,'03_Planificacion'!$D$99:$D$178,"&lt;="&amp;$V$1)))</f>
        <v>0</v>
      </c>
      <c r="J13" s="26">
        <f t="shared" si="2"/>
        <v>0</v>
      </c>
      <c r="K13" s="27">
        <f t="shared" si="3"/>
        <v>0</v>
      </c>
      <c r="L13" s="25" t="s">
        <v>68</v>
      </c>
      <c r="M13" s="25"/>
      <c r="N13" s="25"/>
      <c r="O13" s="25"/>
      <c r="P13" s="28">
        <f t="shared" si="4"/>
        <v>46287</v>
      </c>
      <c r="Q13" s="25" t="s">
        <v>69</v>
      </c>
      <c r="R13" s="25">
        <v>75</v>
      </c>
      <c r="S13" s="25" t="s">
        <v>70</v>
      </c>
      <c r="T13" s="25" t="str">
        <f t="shared" si="5"/>
        <v/>
      </c>
      <c r="U13" t="str">
        <f>IF(AND(L13="Para Programar",G13&gt;0),COUNTIFS($L$5:L13,"Para Programar",$G$5:G13,"&gt;0"),"")</f>
        <v/>
      </c>
      <c r="W13" t="str">
        <f t="shared" si="6"/>
        <v>N1 - N2|05 Tendido de cañería - Relevamiento planialtimétrico</v>
      </c>
      <c r="X13">
        <v>0</v>
      </c>
    </row>
    <row r="14" spans="1:24" hidden="1">
      <c r="A14" s="23" t="s">
        <v>88</v>
      </c>
      <c r="B14" s="24" t="s">
        <v>65</v>
      </c>
      <c r="C14" s="25" t="s">
        <v>89</v>
      </c>
      <c r="D14" s="23" t="s">
        <v>81</v>
      </c>
      <c r="E14" s="23">
        <v>1</v>
      </c>
      <c r="F14" s="23">
        <f>IF(E14="","",MIN(E14,$X14+SUMIFS('05_Parte_Diario'!$H$5:$H$204,'05_Parte_Diario'!$D$5:$D$204,B14,'05_Parte_Diario'!$E$5:$E$204,C14)))</f>
        <v>0</v>
      </c>
      <c r="G14" s="23">
        <f t="shared" si="0"/>
        <v>1</v>
      </c>
      <c r="H14" s="26">
        <f t="shared" si="1"/>
        <v>0</v>
      </c>
      <c r="I14" s="26">
        <f>IF(OR(B14="",C14="",$V$1=""),"",MIN(E14,SUMIFS('03_Planificacion'!$G$99:$G$178,'03_Planificacion'!$E$99:$E$178,B14,'03_Planificacion'!$F$99:$F$178,C14,'03_Planificacion'!$D$99:$D$178,"&lt;="&amp;$V$1)))</f>
        <v>0</v>
      </c>
      <c r="J14" s="26">
        <f t="shared" si="2"/>
        <v>0</v>
      </c>
      <c r="K14" s="27">
        <f t="shared" si="3"/>
        <v>0</v>
      </c>
      <c r="L14" s="25" t="s">
        <v>68</v>
      </c>
      <c r="M14" s="25"/>
      <c r="N14" s="25"/>
      <c r="O14" s="25"/>
      <c r="P14" s="28">
        <f t="shared" si="4"/>
        <v>46287</v>
      </c>
      <c r="Q14" s="25" t="s">
        <v>69</v>
      </c>
      <c r="R14" s="25">
        <v>75</v>
      </c>
      <c r="S14" s="25" t="s">
        <v>70</v>
      </c>
      <c r="T14" s="25" t="str">
        <f t="shared" si="5"/>
        <v/>
      </c>
      <c r="U14" t="str">
        <f>IF(AND(L14="Para Programar",G14&gt;0),COUNTIFS($L$5:L14,"Para Programar",$G$5:G14,"&gt;0"),"")</f>
        <v/>
      </c>
      <c r="W14" t="str">
        <f t="shared" si="6"/>
        <v>N1 - N2|08 Prueba hidráulica - Preparación del sistema</v>
      </c>
      <c r="X14">
        <v>0</v>
      </c>
    </row>
    <row r="15" spans="1:24" hidden="1">
      <c r="A15" s="23" t="s">
        <v>90</v>
      </c>
      <c r="B15" s="24" t="s">
        <v>65</v>
      </c>
      <c r="C15" s="25" t="s">
        <v>91</v>
      </c>
      <c r="D15" s="23" t="s">
        <v>81</v>
      </c>
      <c r="E15" s="23">
        <v>1</v>
      </c>
      <c r="F15" s="23">
        <f>IF(E15="","",MIN(E15,$X15+SUMIFS('05_Parte_Diario'!$H$5:$H$204,'05_Parte_Diario'!$D$5:$D$204,B15,'05_Parte_Diario'!$E$5:$E$204,C15)))</f>
        <v>0</v>
      </c>
      <c r="G15" s="23">
        <f t="shared" si="0"/>
        <v>1</v>
      </c>
      <c r="H15" s="26">
        <f t="shared" si="1"/>
        <v>0</v>
      </c>
      <c r="I15" s="26">
        <f>IF(OR(B15="",C15="",$V$1=""),"",MIN(E15,SUMIFS('03_Planificacion'!$G$99:$G$178,'03_Planificacion'!$E$99:$E$178,B15,'03_Planificacion'!$F$99:$F$178,C15,'03_Planificacion'!$D$99:$D$178,"&lt;="&amp;$V$1)))</f>
        <v>0</v>
      </c>
      <c r="J15" s="26">
        <f t="shared" si="2"/>
        <v>0</v>
      </c>
      <c r="K15" s="27">
        <f t="shared" si="3"/>
        <v>0</v>
      </c>
      <c r="L15" s="25" t="s">
        <v>68</v>
      </c>
      <c r="M15" s="25"/>
      <c r="N15" s="25"/>
      <c r="O15" s="25"/>
      <c r="P15" s="28">
        <f t="shared" si="4"/>
        <v>46287</v>
      </c>
      <c r="Q15" s="25" t="s">
        <v>69</v>
      </c>
      <c r="R15" s="25">
        <v>75</v>
      </c>
      <c r="S15" s="25" t="s">
        <v>70</v>
      </c>
      <c r="T15" s="25" t="str">
        <f t="shared" si="5"/>
        <v/>
      </c>
      <c r="U15" t="str">
        <f>IF(AND(L15="Para Programar",G15&gt;0),COUNTIFS($L$5:L15,"Para Programar",$G$5:G15,"&gt;0"),"")</f>
        <v/>
      </c>
      <c r="W15" t="str">
        <f t="shared" si="6"/>
        <v>N1 - N2|08 Prueba hidráulica - Interna N° 1</v>
      </c>
      <c r="X15">
        <v>0</v>
      </c>
    </row>
    <row r="16" spans="1:24" hidden="1">
      <c r="A16" s="23" t="s">
        <v>92</v>
      </c>
      <c r="B16" s="24" t="s">
        <v>65</v>
      </c>
      <c r="C16" s="25" t="s">
        <v>93</v>
      </c>
      <c r="D16" s="23" t="s">
        <v>81</v>
      </c>
      <c r="E16" s="23">
        <v>1</v>
      </c>
      <c r="F16" s="23">
        <f>IF(E16="","",MIN(E16,$X16+SUMIFS('05_Parte_Diario'!$H$5:$H$204,'05_Parte_Diario'!$D$5:$D$204,B16,'05_Parte_Diario'!$E$5:$E$204,C16)))</f>
        <v>0</v>
      </c>
      <c r="G16" s="23">
        <f t="shared" si="0"/>
        <v>1</v>
      </c>
      <c r="H16" s="26">
        <f t="shared" si="1"/>
        <v>0</v>
      </c>
      <c r="I16" s="26">
        <f>IF(OR(B16="",C16="",$V$1=""),"",MIN(E16,SUMIFS('03_Planificacion'!$G$99:$G$178,'03_Planificacion'!$E$99:$E$178,B16,'03_Planificacion'!$F$99:$F$178,C16,'03_Planificacion'!$D$99:$D$178,"&lt;="&amp;$V$1)))</f>
        <v>0</v>
      </c>
      <c r="J16" s="26">
        <f t="shared" si="2"/>
        <v>0</v>
      </c>
      <c r="K16" s="27">
        <f t="shared" si="3"/>
        <v>0</v>
      </c>
      <c r="L16" s="25" t="s">
        <v>68</v>
      </c>
      <c r="M16" s="25"/>
      <c r="N16" s="25"/>
      <c r="O16" s="25"/>
      <c r="P16" s="28">
        <f t="shared" si="4"/>
        <v>46287</v>
      </c>
      <c r="Q16" s="25" t="s">
        <v>69</v>
      </c>
      <c r="R16" s="25">
        <v>75</v>
      </c>
      <c r="S16" s="25" t="s">
        <v>70</v>
      </c>
      <c r="T16" s="25" t="str">
        <f t="shared" si="5"/>
        <v/>
      </c>
      <c r="U16" t="str">
        <f>IF(AND(L16="Para Programar",G16&gt;0),COUNTIFS($L$5:L16,"Para Programar",$G$5:G16,"&gt;0"),"")</f>
        <v/>
      </c>
      <c r="W16" t="str">
        <f t="shared" si="6"/>
        <v>N1 - N2|08 Prueba hidráulica - Interna N° 2</v>
      </c>
      <c r="X16">
        <v>0</v>
      </c>
    </row>
    <row r="17" spans="1:24" hidden="1">
      <c r="A17" s="23" t="s">
        <v>94</v>
      </c>
      <c r="B17" s="24" t="s">
        <v>65</v>
      </c>
      <c r="C17" s="25" t="s">
        <v>95</v>
      </c>
      <c r="D17" s="23" t="s">
        <v>81</v>
      </c>
      <c r="E17" s="23">
        <v>1</v>
      </c>
      <c r="F17" s="23">
        <f>IF(E17="","",MIN(E17,$X17+SUMIFS('05_Parte_Diario'!$H$5:$H$204,'05_Parte_Diario'!$D$5:$D$204,B17,'05_Parte_Diario'!$E$5:$E$204,C17)))</f>
        <v>0</v>
      </c>
      <c r="G17" s="23">
        <f t="shared" si="0"/>
        <v>1</v>
      </c>
      <c r="H17" s="26">
        <f t="shared" si="1"/>
        <v>0</v>
      </c>
      <c r="I17" s="26">
        <f>IF(OR(B17="",C17="",$V$1=""),"",MIN(E17,SUMIFS('03_Planificacion'!$G$99:$G$178,'03_Planificacion'!$E$99:$E$178,B17,'03_Planificacion'!$F$99:$F$178,C17,'03_Planificacion'!$D$99:$D$178,"&lt;="&amp;$V$1)))</f>
        <v>0</v>
      </c>
      <c r="J17" s="26">
        <f t="shared" si="2"/>
        <v>0</v>
      </c>
      <c r="K17" s="27">
        <f t="shared" si="3"/>
        <v>0</v>
      </c>
      <c r="L17" s="25" t="s">
        <v>68</v>
      </c>
      <c r="M17" s="25"/>
      <c r="N17" s="25"/>
      <c r="O17" s="25"/>
      <c r="P17" s="28">
        <f t="shared" si="4"/>
        <v>46287</v>
      </c>
      <c r="Q17" s="25" t="s">
        <v>69</v>
      </c>
      <c r="R17" s="25">
        <v>75</v>
      </c>
      <c r="S17" s="25" t="s">
        <v>70</v>
      </c>
      <c r="T17" s="25" t="str">
        <f t="shared" si="5"/>
        <v/>
      </c>
      <c r="U17" t="str">
        <f>IF(AND(L17="Para Programar",G17&gt;0),COUNTIFS($L$5:L17,"Para Programar",$G$5:G17,"&gt;0"),"")</f>
        <v/>
      </c>
      <c r="W17" t="str">
        <f t="shared" si="6"/>
        <v>N1 - N2|08 Prueba hidráulica - Primera prueba oficial</v>
      </c>
      <c r="X17">
        <v>0</v>
      </c>
    </row>
    <row r="18" spans="1:24" hidden="1">
      <c r="A18" s="23" t="s">
        <v>96</v>
      </c>
      <c r="B18" s="24" t="s">
        <v>65</v>
      </c>
      <c r="C18" s="25" t="s">
        <v>97</v>
      </c>
      <c r="D18" s="23" t="s">
        <v>67</v>
      </c>
      <c r="E18" s="23">
        <v>165</v>
      </c>
      <c r="F18" s="23">
        <f>IF(E18="","",MIN(E18,$X18+SUMIFS('05_Parte_Diario'!$H$5:$H$204,'05_Parte_Diario'!$D$5:$D$204,B18,'05_Parte_Diario'!$E$5:$E$204,C18)))</f>
        <v>0</v>
      </c>
      <c r="G18" s="23">
        <f t="shared" si="0"/>
        <v>165</v>
      </c>
      <c r="H18" s="26">
        <f t="shared" si="1"/>
        <v>0</v>
      </c>
      <c r="I18" s="26">
        <f>IF(OR(B18="",C18="",$V$1=""),"",MIN(E18,SUMIFS('03_Planificacion'!$G$99:$G$178,'03_Planificacion'!$E$99:$E$178,B18,'03_Planificacion'!$F$99:$F$178,C18,'03_Planificacion'!$D$99:$D$178,"&lt;="&amp;$V$1)))</f>
        <v>0</v>
      </c>
      <c r="J18" s="26">
        <f t="shared" si="2"/>
        <v>0</v>
      </c>
      <c r="K18" s="27">
        <f t="shared" si="3"/>
        <v>0</v>
      </c>
      <c r="L18" s="25" t="s">
        <v>68</v>
      </c>
      <c r="M18" s="25"/>
      <c r="N18" s="25"/>
      <c r="O18" s="25"/>
      <c r="P18" s="28">
        <f t="shared" si="4"/>
        <v>46287</v>
      </c>
      <c r="Q18" s="25" t="s">
        <v>69</v>
      </c>
      <c r="R18" s="25">
        <v>75</v>
      </c>
      <c r="S18" s="25" t="s">
        <v>70</v>
      </c>
      <c r="T18" s="25" t="str">
        <f t="shared" si="5"/>
        <v/>
      </c>
      <c r="U18" t="str">
        <f>IF(AND(L18="Para Programar",G18&gt;0),COUNTIFS($L$5:L18,"Para Programar",$G$5:G18,"&gt;0"),"")</f>
        <v/>
      </c>
      <c r="W18" t="str">
        <f t="shared" si="6"/>
        <v>N1 - N2|09 Paquete estructural - Aporte e=0,30 m</v>
      </c>
      <c r="X18">
        <v>0</v>
      </c>
    </row>
    <row r="19" spans="1:24" hidden="1">
      <c r="A19" s="23" t="s">
        <v>98</v>
      </c>
      <c r="B19" s="24" t="s">
        <v>65</v>
      </c>
      <c r="C19" s="25" t="s">
        <v>99</v>
      </c>
      <c r="D19" s="23" t="s">
        <v>67</v>
      </c>
      <c r="E19" s="23">
        <v>165</v>
      </c>
      <c r="F19" s="23">
        <f>IF(E19="","",MIN(E19,$X19+SUMIFS('05_Parte_Diario'!$H$5:$H$204,'05_Parte_Diario'!$D$5:$D$204,B19,'05_Parte_Diario'!$E$5:$E$204,C19)))</f>
        <v>0</v>
      </c>
      <c r="G19" s="23">
        <f t="shared" si="0"/>
        <v>165</v>
      </c>
      <c r="H19" s="26">
        <f t="shared" si="1"/>
        <v>0</v>
      </c>
      <c r="I19" s="26">
        <f>IF(OR(B19="",C19="",$V$1=""),"",MIN(E19,SUMIFS('03_Planificacion'!$G$99:$G$178,'03_Planificacion'!$E$99:$E$178,B19,'03_Planificacion'!$F$99:$F$178,C19,'03_Planificacion'!$D$99:$D$178,"&lt;="&amp;$V$1)))</f>
        <v>0</v>
      </c>
      <c r="J19" s="26">
        <f t="shared" si="2"/>
        <v>0</v>
      </c>
      <c r="K19" s="27">
        <f t="shared" si="3"/>
        <v>0</v>
      </c>
      <c r="L19" s="25" t="s">
        <v>68</v>
      </c>
      <c r="M19" s="25"/>
      <c r="N19" s="25"/>
      <c r="O19" s="25"/>
      <c r="P19" s="28">
        <f t="shared" si="4"/>
        <v>46287</v>
      </c>
      <c r="Q19" s="25" t="s">
        <v>69</v>
      </c>
      <c r="R19" s="25">
        <v>75</v>
      </c>
      <c r="S19" s="25" t="s">
        <v>70</v>
      </c>
      <c r="T19" s="25" t="str">
        <f t="shared" si="5"/>
        <v/>
      </c>
      <c r="U19" t="str">
        <f>IF(AND(L19="Para Programar",G19&gt;0),COUNTIFS($L$5:L19,"Para Programar",$G$5:G19,"&gt;0"),"")</f>
        <v/>
      </c>
      <c r="W19" t="str">
        <f t="shared" si="6"/>
        <v>N1 - N2|09 Paquete estructural - Compactación</v>
      </c>
      <c r="X19">
        <v>0</v>
      </c>
    </row>
    <row r="20" spans="1:24" hidden="1">
      <c r="A20" s="23" t="s">
        <v>100</v>
      </c>
      <c r="B20" s="24" t="s">
        <v>65</v>
      </c>
      <c r="C20" s="25" t="s">
        <v>101</v>
      </c>
      <c r="D20" s="23" t="s">
        <v>81</v>
      </c>
      <c r="E20" s="23">
        <v>1</v>
      </c>
      <c r="F20" s="23">
        <f>IF(E20="","",MIN(E20,$X20+SUMIFS('05_Parte_Diario'!$H$5:$H$204,'05_Parte_Diario'!$D$5:$D$204,B20,'05_Parte_Diario'!$E$5:$E$204,C20)))</f>
        <v>0</v>
      </c>
      <c r="G20" s="23">
        <f t="shared" si="0"/>
        <v>1</v>
      </c>
      <c r="H20" s="26">
        <f t="shared" si="1"/>
        <v>0</v>
      </c>
      <c r="I20" s="26">
        <f>IF(OR(B20="",C20="",$V$1=""),"",MIN(E20,SUMIFS('03_Planificacion'!$G$99:$G$178,'03_Planificacion'!$E$99:$E$178,B20,'03_Planificacion'!$F$99:$F$178,C20,'03_Planificacion'!$D$99:$D$178,"&lt;="&amp;$V$1)))</f>
        <v>0</v>
      </c>
      <c r="J20" s="26">
        <f t="shared" si="2"/>
        <v>0</v>
      </c>
      <c r="K20" s="27">
        <f t="shared" si="3"/>
        <v>0</v>
      </c>
      <c r="L20" s="25" t="s">
        <v>68</v>
      </c>
      <c r="M20" s="25"/>
      <c r="N20" s="25"/>
      <c r="O20" s="25"/>
      <c r="P20" s="28">
        <f t="shared" si="4"/>
        <v>46287</v>
      </c>
      <c r="Q20" s="25" t="s">
        <v>69</v>
      </c>
      <c r="R20" s="25">
        <v>75</v>
      </c>
      <c r="S20" s="25" t="s">
        <v>70</v>
      </c>
      <c r="T20" s="25" t="str">
        <f t="shared" si="5"/>
        <v/>
      </c>
      <c r="U20" t="str">
        <f>IF(AND(L20="Para Programar",G20&gt;0),COUNTIFS($L$5:L20,"Para Programar",$G$5:G20,"&gt;0"),"")</f>
        <v/>
      </c>
      <c r="W20" t="str">
        <f t="shared" si="6"/>
        <v>N1 - N2|09 Paquete estructural - Inspección laboratorio</v>
      </c>
      <c r="X20">
        <v>0</v>
      </c>
    </row>
    <row r="21" spans="1:24" hidden="1">
      <c r="A21" s="23" t="s">
        <v>102</v>
      </c>
      <c r="B21" s="24" t="s">
        <v>65</v>
      </c>
      <c r="C21" s="25" t="s">
        <v>103</v>
      </c>
      <c r="D21" s="23" t="s">
        <v>67</v>
      </c>
      <c r="E21" s="23">
        <v>165</v>
      </c>
      <c r="F21" s="23">
        <f>IF(E21="","",MIN(E21,$X21+SUMIFS('05_Parte_Diario'!$H$5:$H$204,'05_Parte_Diario'!$D$5:$D$204,B21,'05_Parte_Diario'!$E$5:$E$204,C21)))</f>
        <v>0</v>
      </c>
      <c r="G21" s="23">
        <f t="shared" si="0"/>
        <v>165</v>
      </c>
      <c r="H21" s="26">
        <f t="shared" si="1"/>
        <v>0</v>
      </c>
      <c r="I21" s="26">
        <f>IF(OR(B21="",C21="",$V$1=""),"",MIN(E21,SUMIFS('03_Planificacion'!$G$99:$G$178,'03_Planificacion'!$E$99:$E$178,B21,'03_Planificacion'!$F$99:$F$178,C21,'03_Planificacion'!$D$99:$D$178,"&lt;="&amp;$V$1)))</f>
        <v>0</v>
      </c>
      <c r="J21" s="26">
        <f t="shared" si="2"/>
        <v>0</v>
      </c>
      <c r="K21" s="27">
        <f t="shared" si="3"/>
        <v>0</v>
      </c>
      <c r="L21" s="25" t="s">
        <v>68</v>
      </c>
      <c r="M21" s="25"/>
      <c r="N21" s="25"/>
      <c r="O21" s="25"/>
      <c r="P21" s="28">
        <f t="shared" si="4"/>
        <v>46287</v>
      </c>
      <c r="Q21" s="25" t="s">
        <v>69</v>
      </c>
      <c r="R21" s="25">
        <v>75</v>
      </c>
      <c r="S21" s="25" t="s">
        <v>70</v>
      </c>
      <c r="T21" s="25" t="str">
        <f t="shared" si="5"/>
        <v/>
      </c>
      <c r="U21" t="str">
        <f>IF(AND(L21="Para Programar",G21&gt;0),COUNTIFS($L$5:L21,"Para Programar",$G$5:G21,"&gt;0"),"")</f>
        <v/>
      </c>
      <c r="W21" t="str">
        <f t="shared" si="6"/>
        <v>N1 - N2|10 Relleno -0,60 - Conformación de capa</v>
      </c>
      <c r="X21">
        <v>0</v>
      </c>
    </row>
    <row r="22" spans="1:24" hidden="1">
      <c r="A22" s="23" t="s">
        <v>104</v>
      </c>
      <c r="B22" s="24" t="s">
        <v>65</v>
      </c>
      <c r="C22" s="25" t="s">
        <v>105</v>
      </c>
      <c r="D22" s="23" t="s">
        <v>67</v>
      </c>
      <c r="E22" s="23">
        <v>165</v>
      </c>
      <c r="F22" s="23">
        <f>IF(E22="","",MIN(E22,$X22+SUMIFS('05_Parte_Diario'!$H$5:$H$204,'05_Parte_Diario'!$D$5:$D$204,B22,'05_Parte_Diario'!$E$5:$E$204,C22)))</f>
        <v>0</v>
      </c>
      <c r="G22" s="23">
        <f t="shared" si="0"/>
        <v>165</v>
      </c>
      <c r="H22" s="26">
        <f t="shared" si="1"/>
        <v>0</v>
      </c>
      <c r="I22" s="26">
        <f>IF(OR(B22="",C22="",$V$1=""),"",MIN(E22,SUMIFS('03_Planificacion'!$G$99:$G$178,'03_Planificacion'!$E$99:$E$178,B22,'03_Planificacion'!$F$99:$F$178,C22,'03_Planificacion'!$D$99:$D$178,"&lt;="&amp;$V$1)))</f>
        <v>0</v>
      </c>
      <c r="J22" s="26">
        <f t="shared" si="2"/>
        <v>0</v>
      </c>
      <c r="K22" s="27">
        <f t="shared" si="3"/>
        <v>0</v>
      </c>
      <c r="L22" s="25" t="s">
        <v>68</v>
      </c>
      <c r="M22" s="25"/>
      <c r="N22" s="25"/>
      <c r="O22" s="25"/>
      <c r="P22" s="28">
        <f t="shared" si="4"/>
        <v>46287</v>
      </c>
      <c r="Q22" s="25" t="s">
        <v>69</v>
      </c>
      <c r="R22" s="25">
        <v>75</v>
      </c>
      <c r="S22" s="25" t="s">
        <v>70</v>
      </c>
      <c r="T22" s="25" t="str">
        <f t="shared" si="5"/>
        <v/>
      </c>
      <c r="U22" t="str">
        <f>IF(AND(L22="Para Programar",G22&gt;0),COUNTIFS($L$5:L22,"Para Programar",$G$5:G22,"&gt;0"),"")</f>
        <v/>
      </c>
      <c r="W22" t="str">
        <f t="shared" si="6"/>
        <v>N1 - N2|10 Relleno -0,60 - Humectación</v>
      </c>
      <c r="X22">
        <v>0</v>
      </c>
    </row>
    <row r="23" spans="1:24" hidden="1">
      <c r="A23" s="23" t="s">
        <v>106</v>
      </c>
      <c r="B23" s="24" t="s">
        <v>65</v>
      </c>
      <c r="C23" s="25" t="s">
        <v>107</v>
      </c>
      <c r="D23" s="23" t="s">
        <v>67</v>
      </c>
      <c r="E23" s="23">
        <v>165</v>
      </c>
      <c r="F23" s="23">
        <f>IF(E23="","",MIN(E23,$X23+SUMIFS('05_Parte_Diario'!$H$5:$H$204,'05_Parte_Diario'!$D$5:$D$204,B23,'05_Parte_Diario'!$E$5:$E$204,C23)))</f>
        <v>0</v>
      </c>
      <c r="G23" s="23">
        <f t="shared" si="0"/>
        <v>165</v>
      </c>
      <c r="H23" s="26">
        <f t="shared" si="1"/>
        <v>0</v>
      </c>
      <c r="I23" s="26">
        <f>IF(OR(B23="",C23="",$V$1=""),"",MIN(E23,SUMIFS('03_Planificacion'!$G$99:$G$178,'03_Planificacion'!$E$99:$E$178,B23,'03_Planificacion'!$F$99:$F$178,C23,'03_Planificacion'!$D$99:$D$178,"&lt;="&amp;$V$1)))</f>
        <v>0</v>
      </c>
      <c r="J23" s="26">
        <f t="shared" si="2"/>
        <v>0</v>
      </c>
      <c r="K23" s="27">
        <f t="shared" si="3"/>
        <v>0</v>
      </c>
      <c r="L23" s="25" t="s">
        <v>68</v>
      </c>
      <c r="M23" s="25"/>
      <c r="N23" s="25"/>
      <c r="O23" s="25"/>
      <c r="P23" s="28">
        <f t="shared" si="4"/>
        <v>46287</v>
      </c>
      <c r="Q23" s="25" t="s">
        <v>69</v>
      </c>
      <c r="R23" s="25">
        <v>75</v>
      </c>
      <c r="S23" s="25" t="s">
        <v>70</v>
      </c>
      <c r="T23" s="25" t="str">
        <f t="shared" si="5"/>
        <v/>
      </c>
      <c r="U23" t="str">
        <f>IF(AND(L23="Para Programar",G23&gt;0),COUNTIFS($L$5:L23,"Para Programar",$G$5:G23,"&gt;0"),"")</f>
        <v/>
      </c>
      <c r="W23" t="str">
        <f t="shared" si="6"/>
        <v>N1 - N2|10 Relleno -0,60 - Compactación</v>
      </c>
      <c r="X23">
        <v>0</v>
      </c>
    </row>
    <row r="24" spans="1:24" hidden="1">
      <c r="A24" s="23" t="s">
        <v>108</v>
      </c>
      <c r="B24" s="24" t="s">
        <v>65</v>
      </c>
      <c r="C24" s="25" t="s">
        <v>109</v>
      </c>
      <c r="D24" s="23" t="s">
        <v>81</v>
      </c>
      <c r="E24" s="23">
        <v>1</v>
      </c>
      <c r="F24" s="23">
        <f>IF(E24="","",MIN(E24,$X24+SUMIFS('05_Parte_Diario'!$H$5:$H$204,'05_Parte_Diario'!$D$5:$D$204,B24,'05_Parte_Diario'!$E$5:$E$204,C24)))</f>
        <v>0</v>
      </c>
      <c r="G24" s="23">
        <f t="shared" si="0"/>
        <v>1</v>
      </c>
      <c r="H24" s="26">
        <f t="shared" si="1"/>
        <v>0</v>
      </c>
      <c r="I24" s="26">
        <f>IF(OR(B24="",C24="",$V$1=""),"",MIN(E24,SUMIFS('03_Planificacion'!$G$99:$G$178,'03_Planificacion'!$E$99:$E$178,B24,'03_Planificacion'!$F$99:$F$178,C24,'03_Planificacion'!$D$99:$D$178,"&lt;="&amp;$V$1)))</f>
        <v>0</v>
      </c>
      <c r="J24" s="26">
        <f t="shared" si="2"/>
        <v>0</v>
      </c>
      <c r="K24" s="27">
        <f t="shared" si="3"/>
        <v>0</v>
      </c>
      <c r="L24" s="25" t="s">
        <v>68</v>
      </c>
      <c r="M24" s="25"/>
      <c r="N24" s="25"/>
      <c r="O24" s="25"/>
      <c r="P24" s="28">
        <f t="shared" si="4"/>
        <v>46287</v>
      </c>
      <c r="Q24" s="25" t="s">
        <v>69</v>
      </c>
      <c r="R24" s="25">
        <v>75</v>
      </c>
      <c r="S24" s="25" t="s">
        <v>70</v>
      </c>
      <c r="T24" s="25" t="str">
        <f t="shared" si="5"/>
        <v/>
      </c>
      <c r="U24" t="str">
        <f>IF(AND(L24="Para Programar",G24&gt;0),COUNTIFS($L$5:L24,"Para Programar",$G$5:G24,"&gt;0"),"")</f>
        <v/>
      </c>
      <c r="W24" t="str">
        <f t="shared" si="6"/>
        <v>N1 - N2|10 Relleno -0,60 - Inspección laboratorio</v>
      </c>
      <c r="X24">
        <v>0</v>
      </c>
    </row>
    <row r="25" spans="1:24" hidden="1">
      <c r="A25" s="23" t="s">
        <v>110</v>
      </c>
      <c r="B25" s="24" t="s">
        <v>65</v>
      </c>
      <c r="C25" s="25" t="s">
        <v>111</v>
      </c>
      <c r="D25" s="23" t="s">
        <v>67</v>
      </c>
      <c r="E25" s="23">
        <v>165</v>
      </c>
      <c r="F25" s="23">
        <f>IF(E25="","",MIN(E25,$X25+SUMIFS('05_Parte_Diario'!$H$5:$H$204,'05_Parte_Diario'!$D$5:$D$204,B25,'05_Parte_Diario'!$E$5:$E$204,C25)))</f>
        <v>0</v>
      </c>
      <c r="G25" s="23">
        <f t="shared" si="0"/>
        <v>165</v>
      </c>
      <c r="H25" s="26">
        <f t="shared" si="1"/>
        <v>0</v>
      </c>
      <c r="I25" s="26">
        <f>IF(OR(B25="",C25="",$V$1=""),"",MIN(E25,SUMIFS('03_Planificacion'!$G$99:$G$178,'03_Planificacion'!$E$99:$E$178,B25,'03_Planificacion'!$F$99:$F$178,C25,'03_Planificacion'!$D$99:$D$178,"&lt;="&amp;$V$1)))</f>
        <v>0</v>
      </c>
      <c r="J25" s="26">
        <f t="shared" si="2"/>
        <v>0</v>
      </c>
      <c r="K25" s="27">
        <f t="shared" si="3"/>
        <v>0</v>
      </c>
      <c r="L25" s="25" t="s">
        <v>68</v>
      </c>
      <c r="M25" s="25"/>
      <c r="N25" s="25"/>
      <c r="O25" s="25"/>
      <c r="P25" s="28">
        <f t="shared" si="4"/>
        <v>46287</v>
      </c>
      <c r="Q25" s="25" t="s">
        <v>69</v>
      </c>
      <c r="R25" s="25">
        <v>75</v>
      </c>
      <c r="S25" s="25" t="s">
        <v>70</v>
      </c>
      <c r="T25" s="25" t="str">
        <f t="shared" si="5"/>
        <v/>
      </c>
      <c r="U25" t="str">
        <f>IF(AND(L25="Para Programar",G25&gt;0),COUNTIFS($L$5:L25,"Para Programar",$G$5:G25,"&gt;0"),"")</f>
        <v/>
      </c>
      <c r="W25" t="str">
        <f t="shared" si="6"/>
        <v>N1 - N2|11 Relleno -0,30 - Conformación de capa</v>
      </c>
      <c r="X25">
        <v>0</v>
      </c>
    </row>
    <row r="26" spans="1:24" hidden="1">
      <c r="A26" s="23" t="s">
        <v>112</v>
      </c>
      <c r="B26" s="24" t="s">
        <v>65</v>
      </c>
      <c r="C26" s="25" t="s">
        <v>113</v>
      </c>
      <c r="D26" s="23" t="s">
        <v>67</v>
      </c>
      <c r="E26" s="23">
        <v>165</v>
      </c>
      <c r="F26" s="23">
        <f>IF(E26="","",MIN(E26,$X26+SUMIFS('05_Parte_Diario'!$H$5:$H$204,'05_Parte_Diario'!$D$5:$D$204,B26,'05_Parte_Diario'!$E$5:$E$204,C26)))</f>
        <v>0</v>
      </c>
      <c r="G26" s="23">
        <f t="shared" si="0"/>
        <v>165</v>
      </c>
      <c r="H26" s="26">
        <f t="shared" si="1"/>
        <v>0</v>
      </c>
      <c r="I26" s="26">
        <f>IF(OR(B26="",C26="",$V$1=""),"",MIN(E26,SUMIFS('03_Planificacion'!$G$99:$G$178,'03_Planificacion'!$E$99:$E$178,B26,'03_Planificacion'!$F$99:$F$178,C26,'03_Planificacion'!$D$99:$D$178,"&lt;="&amp;$V$1)))</f>
        <v>0</v>
      </c>
      <c r="J26" s="26">
        <f t="shared" si="2"/>
        <v>0</v>
      </c>
      <c r="K26" s="27">
        <f t="shared" si="3"/>
        <v>0</v>
      </c>
      <c r="L26" s="25" t="s">
        <v>68</v>
      </c>
      <c r="M26" s="25"/>
      <c r="N26" s="25"/>
      <c r="O26" s="25"/>
      <c r="P26" s="28">
        <f t="shared" si="4"/>
        <v>46287</v>
      </c>
      <c r="Q26" s="25" t="s">
        <v>69</v>
      </c>
      <c r="R26" s="25">
        <v>75</v>
      </c>
      <c r="S26" s="25" t="s">
        <v>70</v>
      </c>
      <c r="T26" s="25" t="str">
        <f t="shared" si="5"/>
        <v/>
      </c>
      <c r="U26" t="str">
        <f>IF(AND(L26="Para Programar",G26&gt;0),COUNTIFS($L$5:L26,"Para Programar",$G$5:G26,"&gt;0"),"")</f>
        <v/>
      </c>
      <c r="W26" t="str">
        <f t="shared" si="6"/>
        <v>N1 - N2|11 Relleno -0,30 - Humectación</v>
      </c>
      <c r="X26">
        <v>0</v>
      </c>
    </row>
    <row r="27" spans="1:24" hidden="1">
      <c r="A27" s="23" t="s">
        <v>114</v>
      </c>
      <c r="B27" s="24" t="s">
        <v>65</v>
      </c>
      <c r="C27" s="25" t="s">
        <v>115</v>
      </c>
      <c r="D27" s="23" t="s">
        <v>67</v>
      </c>
      <c r="E27" s="23">
        <v>165</v>
      </c>
      <c r="F27" s="23">
        <f>IF(E27="","",MIN(E27,$X27+SUMIFS('05_Parte_Diario'!$H$5:$H$204,'05_Parte_Diario'!$D$5:$D$204,B27,'05_Parte_Diario'!$E$5:$E$204,C27)))</f>
        <v>0</v>
      </c>
      <c r="G27" s="23">
        <f t="shared" si="0"/>
        <v>165</v>
      </c>
      <c r="H27" s="26">
        <f t="shared" si="1"/>
        <v>0</v>
      </c>
      <c r="I27" s="26">
        <f>IF(OR(B27="",C27="",$V$1=""),"",MIN(E27,SUMIFS('03_Planificacion'!$G$99:$G$178,'03_Planificacion'!$E$99:$E$178,B27,'03_Planificacion'!$F$99:$F$178,C27,'03_Planificacion'!$D$99:$D$178,"&lt;="&amp;$V$1)))</f>
        <v>0</v>
      </c>
      <c r="J27" s="26">
        <f t="shared" si="2"/>
        <v>0</v>
      </c>
      <c r="K27" s="27">
        <f t="shared" si="3"/>
        <v>0</v>
      </c>
      <c r="L27" s="25" t="s">
        <v>68</v>
      </c>
      <c r="M27" s="25"/>
      <c r="N27" s="25"/>
      <c r="O27" s="25"/>
      <c r="P27" s="28">
        <f t="shared" si="4"/>
        <v>46287</v>
      </c>
      <c r="Q27" s="25" t="s">
        <v>69</v>
      </c>
      <c r="R27" s="25">
        <v>75</v>
      </c>
      <c r="S27" s="25" t="s">
        <v>70</v>
      </c>
      <c r="T27" s="25" t="str">
        <f t="shared" si="5"/>
        <v/>
      </c>
      <c r="U27" t="str">
        <f>IF(AND(L27="Para Programar",G27&gt;0),COUNTIFS($L$5:L27,"Para Programar",$G$5:G27,"&gt;0"),"")</f>
        <v/>
      </c>
      <c r="W27" t="str">
        <f t="shared" si="6"/>
        <v>N1 - N2|11 Relleno -0,30 - Compactación</v>
      </c>
      <c r="X27">
        <v>0</v>
      </c>
    </row>
    <row r="28" spans="1:24" hidden="1">
      <c r="A28" s="23" t="s">
        <v>116</v>
      </c>
      <c r="B28" s="24" t="s">
        <v>65</v>
      </c>
      <c r="C28" s="25" t="s">
        <v>117</v>
      </c>
      <c r="D28" s="23" t="s">
        <v>81</v>
      </c>
      <c r="E28" s="23">
        <v>1</v>
      </c>
      <c r="F28" s="23">
        <f>IF(E28="","",MIN(E28,$X28+SUMIFS('05_Parte_Diario'!$H$5:$H$204,'05_Parte_Diario'!$D$5:$D$204,B28,'05_Parte_Diario'!$E$5:$E$204,C28)))</f>
        <v>0</v>
      </c>
      <c r="G28" s="23">
        <f t="shared" si="0"/>
        <v>1</v>
      </c>
      <c r="H28" s="26">
        <f t="shared" si="1"/>
        <v>0</v>
      </c>
      <c r="I28" s="26">
        <f>IF(OR(B28="",C28="",$V$1=""),"",MIN(E28,SUMIFS('03_Planificacion'!$G$99:$G$178,'03_Planificacion'!$E$99:$E$178,B28,'03_Planificacion'!$F$99:$F$178,C28,'03_Planificacion'!$D$99:$D$178,"&lt;="&amp;$V$1)))</f>
        <v>0</v>
      </c>
      <c r="J28" s="26">
        <f t="shared" si="2"/>
        <v>0</v>
      </c>
      <c r="K28" s="27">
        <f t="shared" si="3"/>
        <v>0</v>
      </c>
      <c r="L28" s="25" t="s">
        <v>68</v>
      </c>
      <c r="M28" s="25"/>
      <c r="N28" s="25"/>
      <c r="O28" s="25"/>
      <c r="P28" s="28">
        <f t="shared" si="4"/>
        <v>46287</v>
      </c>
      <c r="Q28" s="25" t="s">
        <v>69</v>
      </c>
      <c r="R28" s="25">
        <v>75</v>
      </c>
      <c r="S28" s="25" t="s">
        <v>70</v>
      </c>
      <c r="T28" s="25" t="str">
        <f t="shared" si="5"/>
        <v/>
      </c>
      <c r="U28" t="str">
        <f>IF(AND(L28="Para Programar",G28&gt;0),COUNTIFS($L$5:L28,"Para Programar",$G$5:G28,"&gt;0"),"")</f>
        <v/>
      </c>
      <c r="W28" t="str">
        <f t="shared" si="6"/>
        <v>N1 - N2|11 Relleno -0,30 - Inspección laboratorio</v>
      </c>
      <c r="X28">
        <v>0</v>
      </c>
    </row>
    <row r="29" spans="1:24" hidden="1">
      <c r="A29" s="23" t="s">
        <v>64</v>
      </c>
      <c r="B29" s="24" t="s">
        <v>118</v>
      </c>
      <c r="C29" s="25" t="s">
        <v>66</v>
      </c>
      <c r="D29" s="23" t="s">
        <v>67</v>
      </c>
      <c r="E29" s="23">
        <v>82</v>
      </c>
      <c r="F29" s="23">
        <f>IF(E29="","",MIN(E29,$X29+SUMIFS('05_Parte_Diario'!$H$5:$H$204,'05_Parte_Diario'!$D$5:$D$204,B29,'05_Parte_Diario'!$E$5:$E$204,C29)))</f>
        <v>0</v>
      </c>
      <c r="G29" s="23">
        <f t="shared" si="0"/>
        <v>82</v>
      </c>
      <c r="H29" s="26">
        <f t="shared" si="1"/>
        <v>0</v>
      </c>
      <c r="I29" s="26">
        <f>IF(OR(B29="",C29="",$V$1=""),"",MIN(E29,SUMIFS('03_Planificacion'!$G$99:$G$178,'03_Planificacion'!$E$99:$E$178,B29,'03_Planificacion'!$F$99:$F$178,C29,'03_Planificacion'!$D$99:$D$178,"&lt;="&amp;$V$1)))</f>
        <v>0</v>
      </c>
      <c r="J29" s="26">
        <f t="shared" si="2"/>
        <v>0</v>
      </c>
      <c r="K29" s="27">
        <f t="shared" si="3"/>
        <v>0</v>
      </c>
      <c r="L29" s="25" t="s">
        <v>68</v>
      </c>
      <c r="M29" s="25"/>
      <c r="N29" s="25"/>
      <c r="O29" s="25"/>
      <c r="P29" s="28">
        <f t="shared" si="4"/>
        <v>46287</v>
      </c>
      <c r="Q29" s="25" t="s">
        <v>119</v>
      </c>
      <c r="R29" s="25">
        <v>75</v>
      </c>
      <c r="S29" s="25" t="s">
        <v>70</v>
      </c>
      <c r="T29" s="25" t="str">
        <f t="shared" si="5"/>
        <v/>
      </c>
      <c r="U29" t="str">
        <f>IF(AND(L29="Para Programar",G29&gt;0),COUNTIFS($L$5:L29,"Para Programar",$G$5:G29,"&gt;0"),"")</f>
        <v/>
      </c>
      <c r="W29" t="str">
        <f t="shared" si="6"/>
        <v>N1 - N4|01 Replanteo - Marcación de tramo de cañería principal</v>
      </c>
      <c r="X29">
        <v>0</v>
      </c>
    </row>
    <row r="30" spans="1:24" hidden="1">
      <c r="A30" s="23" t="s">
        <v>71</v>
      </c>
      <c r="B30" s="24" t="s">
        <v>118</v>
      </c>
      <c r="C30" s="25" t="s">
        <v>72</v>
      </c>
      <c r="D30" s="23" t="s">
        <v>67</v>
      </c>
      <c r="E30" s="23">
        <v>82</v>
      </c>
      <c r="F30" s="23">
        <f>IF(E30="","",MIN(E30,$X30+SUMIFS('05_Parte_Diario'!$H$5:$H$204,'05_Parte_Diario'!$D$5:$D$204,B30,'05_Parte_Diario'!$E$5:$E$204,C30)))</f>
        <v>0</v>
      </c>
      <c r="G30" s="23">
        <f t="shared" si="0"/>
        <v>82</v>
      </c>
      <c r="H30" s="26">
        <f t="shared" si="1"/>
        <v>0</v>
      </c>
      <c r="I30" s="26">
        <f>IF(OR(B30="",C30="",$V$1=""),"",MIN(E30,SUMIFS('03_Planificacion'!$G$99:$G$178,'03_Planificacion'!$E$99:$E$178,B30,'03_Planificacion'!$F$99:$F$178,C30,'03_Planificacion'!$D$99:$D$178,"&lt;="&amp;$V$1)))</f>
        <v>0</v>
      </c>
      <c r="J30" s="26">
        <f t="shared" si="2"/>
        <v>0</v>
      </c>
      <c r="K30" s="27">
        <f t="shared" si="3"/>
        <v>0</v>
      </c>
      <c r="L30" s="25" t="s">
        <v>68</v>
      </c>
      <c r="M30" s="25"/>
      <c r="N30" s="25"/>
      <c r="O30" s="25"/>
      <c r="P30" s="28">
        <f t="shared" si="4"/>
        <v>46287</v>
      </c>
      <c r="Q30" s="25" t="s">
        <v>119</v>
      </c>
      <c r="R30" s="25">
        <v>75</v>
      </c>
      <c r="S30" s="25" t="s">
        <v>70</v>
      </c>
      <c r="T30" s="25" t="str">
        <f t="shared" si="5"/>
        <v/>
      </c>
      <c r="U30" t="str">
        <f>IF(AND(L30="Para Programar",G30&gt;0),COUNTIFS($L$5:L30,"Para Programar",$G$5:G30,"&gt;0"),"")</f>
        <v/>
      </c>
      <c r="W30" t="str">
        <f t="shared" si="6"/>
        <v>N1 - N4|02 Excavación - Zanja principal</v>
      </c>
      <c r="X30">
        <v>0</v>
      </c>
    </row>
    <row r="31" spans="1:24" hidden="1">
      <c r="A31" s="23" t="s">
        <v>73</v>
      </c>
      <c r="B31" s="24" t="s">
        <v>118</v>
      </c>
      <c r="C31" s="25" t="s">
        <v>74</v>
      </c>
      <c r="D31" s="23" t="s">
        <v>67</v>
      </c>
      <c r="E31" s="23">
        <v>82</v>
      </c>
      <c r="F31" s="23">
        <f>IF(E31="","",MIN(E31,$X31+SUMIFS('05_Parte_Diario'!$H$5:$H$204,'05_Parte_Diario'!$D$5:$D$204,B31,'05_Parte_Diario'!$E$5:$E$204,C31)))</f>
        <v>0</v>
      </c>
      <c r="G31" s="23">
        <f t="shared" si="0"/>
        <v>82</v>
      </c>
      <c r="H31" s="26">
        <f t="shared" si="1"/>
        <v>0</v>
      </c>
      <c r="I31" s="26">
        <f>IF(OR(B31="",C31="",$V$1=""),"",MIN(E31,SUMIFS('03_Planificacion'!$G$99:$G$178,'03_Planificacion'!$E$99:$E$178,B31,'03_Planificacion'!$F$99:$F$178,C31,'03_Planificacion'!$D$99:$D$178,"&lt;="&amp;$V$1)))</f>
        <v>0</v>
      </c>
      <c r="J31" s="26">
        <f t="shared" si="2"/>
        <v>0</v>
      </c>
      <c r="K31" s="27">
        <f t="shared" si="3"/>
        <v>0</v>
      </c>
      <c r="L31" s="25" t="s">
        <v>68</v>
      </c>
      <c r="M31" s="25"/>
      <c r="N31" s="25"/>
      <c r="O31" s="25"/>
      <c r="P31" s="28">
        <f t="shared" si="4"/>
        <v>46287</v>
      </c>
      <c r="Q31" s="25" t="s">
        <v>119</v>
      </c>
      <c r="R31" s="25">
        <v>75</v>
      </c>
      <c r="S31" s="25" t="s">
        <v>70</v>
      </c>
      <c r="T31" s="25" t="str">
        <f t="shared" si="5"/>
        <v/>
      </c>
      <c r="U31" t="str">
        <f>IF(AND(L31="Para Programar",G31&gt;0),COUNTIFS($L$5:L31,"Para Programar",$G$5:G31,"&gt;0"),"")</f>
        <v/>
      </c>
      <c r="W31" t="str">
        <f t="shared" si="6"/>
        <v>N1 - N4|03 Base de asiento - Nivelación de fondo de zanja</v>
      </c>
      <c r="X31">
        <v>0</v>
      </c>
    </row>
    <row r="32" spans="1:24" hidden="1">
      <c r="A32" s="23" t="s">
        <v>75</v>
      </c>
      <c r="B32" s="24" t="s">
        <v>118</v>
      </c>
      <c r="C32" s="25" t="s">
        <v>76</v>
      </c>
      <c r="D32" s="23" t="s">
        <v>67</v>
      </c>
      <c r="E32" s="23">
        <v>82</v>
      </c>
      <c r="F32" s="23">
        <f>IF(E32="","",MIN(E32,$X32+SUMIFS('05_Parte_Diario'!$H$5:$H$204,'05_Parte_Diario'!$D$5:$D$204,B32,'05_Parte_Diario'!$E$5:$E$204,C32)))</f>
        <v>0</v>
      </c>
      <c r="G32" s="23">
        <f t="shared" si="0"/>
        <v>82</v>
      </c>
      <c r="H32" s="26">
        <f t="shared" si="1"/>
        <v>0</v>
      </c>
      <c r="I32" s="26">
        <f>IF(OR(B32="",C32="",$V$1=""),"",MIN(E32,SUMIFS('03_Planificacion'!$G$99:$G$178,'03_Planificacion'!$E$99:$E$178,B32,'03_Planificacion'!$F$99:$F$178,C32,'03_Planificacion'!$D$99:$D$178,"&lt;="&amp;$V$1)))</f>
        <v>0</v>
      </c>
      <c r="J32" s="26">
        <f t="shared" si="2"/>
        <v>0</v>
      </c>
      <c r="K32" s="27">
        <f t="shared" si="3"/>
        <v>0</v>
      </c>
      <c r="L32" s="25" t="s">
        <v>68</v>
      </c>
      <c r="M32" s="25"/>
      <c r="N32" s="25"/>
      <c r="O32" s="25"/>
      <c r="P32" s="28">
        <f t="shared" si="4"/>
        <v>46287</v>
      </c>
      <c r="Q32" s="25" t="s">
        <v>119</v>
      </c>
      <c r="R32" s="25">
        <v>75</v>
      </c>
      <c r="S32" s="25" t="s">
        <v>70</v>
      </c>
      <c r="T32" s="25" t="str">
        <f t="shared" si="5"/>
        <v/>
      </c>
      <c r="U32" t="str">
        <f>IF(AND(L32="Para Programar",G32&gt;0),COUNTIFS($L$5:L32,"Para Programar",$G$5:G32,"&gt;0"),"")</f>
        <v/>
      </c>
      <c r="W32" t="str">
        <f t="shared" si="6"/>
        <v>N1 - N4|03 Base de asiento - Aporte de material base e=0,10 m</v>
      </c>
      <c r="X32">
        <v>0</v>
      </c>
    </row>
    <row r="33" spans="1:24" hidden="1">
      <c r="A33" s="23" t="s">
        <v>77</v>
      </c>
      <c r="B33" s="24" t="s">
        <v>118</v>
      </c>
      <c r="C33" s="25" t="s">
        <v>78</v>
      </c>
      <c r="D33" s="23" t="s">
        <v>67</v>
      </c>
      <c r="E33" s="23">
        <v>82</v>
      </c>
      <c r="F33" s="23">
        <f>IF(E33="","",MIN(E33,$X33+SUMIFS('05_Parte_Diario'!$H$5:$H$204,'05_Parte_Diario'!$D$5:$D$204,B33,'05_Parte_Diario'!$E$5:$E$204,C33)))</f>
        <v>0</v>
      </c>
      <c r="G33" s="23">
        <f t="shared" si="0"/>
        <v>82</v>
      </c>
      <c r="H33" s="26">
        <f t="shared" si="1"/>
        <v>0</v>
      </c>
      <c r="I33" s="26">
        <f>IF(OR(B33="",C33="",$V$1=""),"",MIN(E33,SUMIFS('03_Planificacion'!$G$99:$G$178,'03_Planificacion'!$E$99:$E$178,B33,'03_Planificacion'!$F$99:$F$178,C33,'03_Planificacion'!$D$99:$D$178,"&lt;="&amp;$V$1)))</f>
        <v>0</v>
      </c>
      <c r="J33" s="26">
        <f t="shared" si="2"/>
        <v>0</v>
      </c>
      <c r="K33" s="27">
        <f t="shared" si="3"/>
        <v>0</v>
      </c>
      <c r="L33" s="25" t="s">
        <v>68</v>
      </c>
      <c r="M33" s="25"/>
      <c r="N33" s="25"/>
      <c r="O33" s="25"/>
      <c r="P33" s="28">
        <f t="shared" si="4"/>
        <v>46287</v>
      </c>
      <c r="Q33" s="25" t="s">
        <v>119</v>
      </c>
      <c r="R33" s="25">
        <v>75</v>
      </c>
      <c r="S33" s="25" t="s">
        <v>70</v>
      </c>
      <c r="T33" s="25" t="str">
        <f t="shared" si="5"/>
        <v/>
      </c>
      <c r="U33" t="str">
        <f>IF(AND(L33="Para Programar",G33&gt;0),COUNTIFS($L$5:L33,"Para Programar",$G$5:G33,"&gt;0"),"")</f>
        <v/>
      </c>
      <c r="W33" t="str">
        <f t="shared" si="6"/>
        <v>N1 - N4|03 Base de asiento - Compactación</v>
      </c>
      <c r="X33">
        <v>0</v>
      </c>
    </row>
    <row r="34" spans="1:24" hidden="1">
      <c r="A34" s="23" t="s">
        <v>79</v>
      </c>
      <c r="B34" s="24" t="s">
        <v>118</v>
      </c>
      <c r="C34" s="25" t="s">
        <v>80</v>
      </c>
      <c r="D34" s="23" t="s">
        <v>81</v>
      </c>
      <c r="E34" s="23">
        <v>1</v>
      </c>
      <c r="F34" s="23">
        <f>IF(E34="","",MIN(E34,$X34+SUMIFS('05_Parte_Diario'!$H$5:$H$204,'05_Parte_Diario'!$D$5:$D$204,B34,'05_Parte_Diario'!$E$5:$E$204,C34)))</f>
        <v>0</v>
      </c>
      <c r="G34" s="23">
        <f t="shared" si="0"/>
        <v>1</v>
      </c>
      <c r="H34" s="26">
        <f t="shared" si="1"/>
        <v>0</v>
      </c>
      <c r="I34" s="26">
        <f>IF(OR(B34="",C34="",$V$1=""),"",MIN(E34,SUMIFS('03_Planificacion'!$G$99:$G$178,'03_Planificacion'!$E$99:$E$178,B34,'03_Planificacion'!$F$99:$F$178,C34,'03_Planificacion'!$D$99:$D$178,"&lt;="&amp;$V$1)))</f>
        <v>0</v>
      </c>
      <c r="J34" s="26">
        <f t="shared" si="2"/>
        <v>0</v>
      </c>
      <c r="K34" s="27">
        <f t="shared" si="3"/>
        <v>0</v>
      </c>
      <c r="L34" s="25" t="s">
        <v>68</v>
      </c>
      <c r="M34" s="25"/>
      <c r="N34" s="25"/>
      <c r="O34" s="25"/>
      <c r="P34" s="28">
        <f t="shared" si="4"/>
        <v>46287</v>
      </c>
      <c r="Q34" s="25" t="s">
        <v>119</v>
      </c>
      <c r="R34" s="25">
        <v>75</v>
      </c>
      <c r="S34" s="25" t="s">
        <v>70</v>
      </c>
      <c r="T34" s="25" t="str">
        <f t="shared" si="5"/>
        <v/>
      </c>
      <c r="U34" t="str">
        <f>IF(AND(L34="Para Programar",G34&gt;0),COUNTIFS($L$5:L34,"Para Programar",$G$5:G34,"&gt;0"),"")</f>
        <v/>
      </c>
      <c r="W34" t="str">
        <f t="shared" si="6"/>
        <v>N1 - N4|04 Inspecciones previas - Laboratorio base de asiento</v>
      </c>
      <c r="X34">
        <v>0</v>
      </c>
    </row>
    <row r="35" spans="1:24" hidden="1">
      <c r="A35" s="23" t="s">
        <v>82</v>
      </c>
      <c r="B35" s="24" t="s">
        <v>118</v>
      </c>
      <c r="C35" s="25" t="s">
        <v>83</v>
      </c>
      <c r="D35" s="23" t="s">
        <v>81</v>
      </c>
      <c r="E35" s="23">
        <v>1</v>
      </c>
      <c r="F35" s="23">
        <f>IF(E35="","",MIN(E35,$X35+SUMIFS('05_Parte_Diario'!$H$5:$H$204,'05_Parte_Diario'!$D$5:$D$204,B35,'05_Parte_Diario'!$E$5:$E$204,C35)))</f>
        <v>0</v>
      </c>
      <c r="G35" s="23">
        <f t="shared" si="0"/>
        <v>1</v>
      </c>
      <c r="H35" s="26">
        <f t="shared" si="1"/>
        <v>0</v>
      </c>
      <c r="I35" s="26">
        <f>IF(OR(B35="",C35="",$V$1=""),"",MIN(E35,SUMIFS('03_Planificacion'!$G$99:$G$178,'03_Planificacion'!$E$99:$E$178,B35,'03_Planificacion'!$F$99:$F$178,C35,'03_Planificacion'!$D$99:$D$178,"&lt;="&amp;$V$1)))</f>
        <v>0</v>
      </c>
      <c r="J35" s="26">
        <f t="shared" si="2"/>
        <v>0</v>
      </c>
      <c r="K35" s="27">
        <f t="shared" si="3"/>
        <v>0</v>
      </c>
      <c r="L35" s="25" t="s">
        <v>68</v>
      </c>
      <c r="M35" s="25"/>
      <c r="N35" s="25"/>
      <c r="O35" s="25"/>
      <c r="P35" s="28">
        <f t="shared" si="4"/>
        <v>46287</v>
      </c>
      <c r="Q35" s="25" t="s">
        <v>119</v>
      </c>
      <c r="R35" s="25">
        <v>75</v>
      </c>
      <c r="S35" s="25" t="s">
        <v>70</v>
      </c>
      <c r="T35" s="25" t="str">
        <f t="shared" si="5"/>
        <v/>
      </c>
      <c r="U35" t="str">
        <f>IF(AND(L35="Para Programar",G35&gt;0),COUNTIFS($L$5:L35,"Para Programar",$G$5:G35,"&gt;0"),"")</f>
        <v/>
      </c>
      <c r="W35" t="str">
        <f t="shared" si="6"/>
        <v>N1 - N4|04 Inspecciones previas - Zanja y materiales</v>
      </c>
      <c r="X35">
        <v>0</v>
      </c>
    </row>
    <row r="36" spans="1:24" hidden="1">
      <c r="A36" s="23" t="s">
        <v>84</v>
      </c>
      <c r="B36" s="24" t="s">
        <v>118</v>
      </c>
      <c r="C36" s="25" t="s">
        <v>85</v>
      </c>
      <c r="D36" s="23" t="s">
        <v>67</v>
      </c>
      <c r="E36" s="23">
        <v>82</v>
      </c>
      <c r="F36" s="23">
        <f>IF(E36="","",MIN(E36,$X36+SUMIFS('05_Parte_Diario'!$H$5:$H$204,'05_Parte_Diario'!$D$5:$D$204,B36,'05_Parte_Diario'!$E$5:$E$204,C36)))</f>
        <v>0</v>
      </c>
      <c r="G36" s="23">
        <f t="shared" si="0"/>
        <v>82</v>
      </c>
      <c r="H36" s="26">
        <f t="shared" si="1"/>
        <v>0</v>
      </c>
      <c r="I36" s="26">
        <f>IF(OR(B36="",C36="",$V$1=""),"",MIN(E36,SUMIFS('03_Planificacion'!$G$99:$G$178,'03_Planificacion'!$E$99:$E$178,B36,'03_Planificacion'!$F$99:$F$178,C36,'03_Planificacion'!$D$99:$D$178,"&lt;="&amp;$V$1)))</f>
        <v>0</v>
      </c>
      <c r="J36" s="26">
        <f t="shared" si="2"/>
        <v>0</v>
      </c>
      <c r="K36" s="27">
        <f t="shared" si="3"/>
        <v>0</v>
      </c>
      <c r="L36" s="25" t="s">
        <v>68</v>
      </c>
      <c r="M36" s="25"/>
      <c r="N36" s="25"/>
      <c r="O36" s="25"/>
      <c r="P36" s="28">
        <f t="shared" si="4"/>
        <v>46287</v>
      </c>
      <c r="Q36" s="25" t="s">
        <v>119</v>
      </c>
      <c r="R36" s="25">
        <v>75</v>
      </c>
      <c r="S36" s="25" t="s">
        <v>70</v>
      </c>
      <c r="T36" s="25" t="str">
        <f t="shared" si="5"/>
        <v/>
      </c>
      <c r="U36" t="str">
        <f>IF(AND(L36="Para Programar",G36&gt;0),COUNTIFS($L$5:L36,"Para Programar",$G$5:G36,"&gt;0"),"")</f>
        <v/>
      </c>
      <c r="W36" t="str">
        <f t="shared" si="6"/>
        <v>N1 - N4|05 Tendido de cañería - Cañería principal</v>
      </c>
      <c r="X36">
        <v>0</v>
      </c>
    </row>
    <row r="37" spans="1:24" hidden="1">
      <c r="A37" s="23" t="s">
        <v>86</v>
      </c>
      <c r="B37" s="24" t="s">
        <v>118</v>
      </c>
      <c r="C37" s="25" t="s">
        <v>87</v>
      </c>
      <c r="D37" s="23" t="s">
        <v>67</v>
      </c>
      <c r="E37" s="23">
        <v>82</v>
      </c>
      <c r="F37" s="23">
        <f>IF(E37="","",MIN(E37,$X37+SUMIFS('05_Parte_Diario'!$H$5:$H$204,'05_Parte_Diario'!$D$5:$D$204,B37,'05_Parte_Diario'!$E$5:$E$204,C37)))</f>
        <v>0</v>
      </c>
      <c r="G37" s="23">
        <f t="shared" si="0"/>
        <v>82</v>
      </c>
      <c r="H37" s="26">
        <f t="shared" si="1"/>
        <v>0</v>
      </c>
      <c r="I37" s="26">
        <f>IF(OR(B37="",C37="",$V$1=""),"",MIN(E37,SUMIFS('03_Planificacion'!$G$99:$G$178,'03_Planificacion'!$E$99:$E$178,B37,'03_Planificacion'!$F$99:$F$178,C37,'03_Planificacion'!$D$99:$D$178,"&lt;="&amp;$V$1)))</f>
        <v>0</v>
      </c>
      <c r="J37" s="26">
        <f t="shared" si="2"/>
        <v>0</v>
      </c>
      <c r="K37" s="27">
        <f t="shared" si="3"/>
        <v>0</v>
      </c>
      <c r="L37" s="25" t="s">
        <v>68</v>
      </c>
      <c r="M37" s="25"/>
      <c r="N37" s="25"/>
      <c r="O37" s="25"/>
      <c r="P37" s="28">
        <f t="shared" si="4"/>
        <v>46287</v>
      </c>
      <c r="Q37" s="25" t="s">
        <v>119</v>
      </c>
      <c r="R37" s="25">
        <v>75</v>
      </c>
      <c r="S37" s="25" t="s">
        <v>70</v>
      </c>
      <c r="T37" s="25" t="str">
        <f t="shared" si="5"/>
        <v/>
      </c>
      <c r="U37" t="str">
        <f>IF(AND(L37="Para Programar",G37&gt;0),COUNTIFS($L$5:L37,"Para Programar",$G$5:G37,"&gt;0"),"")</f>
        <v/>
      </c>
      <c r="W37" t="str">
        <f t="shared" si="6"/>
        <v>N1 - N4|05 Tendido de cañería - Relevamiento planialtimétrico</v>
      </c>
      <c r="X37">
        <v>0</v>
      </c>
    </row>
    <row r="38" spans="1:24" hidden="1">
      <c r="A38" s="23" t="s">
        <v>88</v>
      </c>
      <c r="B38" s="24" t="s">
        <v>118</v>
      </c>
      <c r="C38" s="25" t="s">
        <v>89</v>
      </c>
      <c r="D38" s="23" t="s">
        <v>81</v>
      </c>
      <c r="E38" s="23">
        <v>1</v>
      </c>
      <c r="F38" s="23">
        <f>IF(E38="","",MIN(E38,$X38+SUMIFS('05_Parte_Diario'!$H$5:$H$204,'05_Parte_Diario'!$D$5:$D$204,B38,'05_Parte_Diario'!$E$5:$E$204,C38)))</f>
        <v>0</v>
      </c>
      <c r="G38" s="23">
        <f t="shared" si="0"/>
        <v>1</v>
      </c>
      <c r="H38" s="26">
        <f t="shared" si="1"/>
        <v>0</v>
      </c>
      <c r="I38" s="26">
        <f>IF(OR(B38="",C38="",$V$1=""),"",MIN(E38,SUMIFS('03_Planificacion'!$G$99:$G$178,'03_Planificacion'!$E$99:$E$178,B38,'03_Planificacion'!$F$99:$F$178,C38,'03_Planificacion'!$D$99:$D$178,"&lt;="&amp;$V$1)))</f>
        <v>0</v>
      </c>
      <c r="J38" s="26">
        <f t="shared" si="2"/>
        <v>0</v>
      </c>
      <c r="K38" s="27">
        <f t="shared" si="3"/>
        <v>0</v>
      </c>
      <c r="L38" s="25" t="s">
        <v>68</v>
      </c>
      <c r="M38" s="25"/>
      <c r="N38" s="25"/>
      <c r="O38" s="25"/>
      <c r="P38" s="28">
        <f t="shared" si="4"/>
        <v>46287</v>
      </c>
      <c r="Q38" s="25" t="s">
        <v>119</v>
      </c>
      <c r="R38" s="25">
        <v>75</v>
      </c>
      <c r="S38" s="25" t="s">
        <v>70</v>
      </c>
      <c r="T38" s="25" t="str">
        <f t="shared" si="5"/>
        <v/>
      </c>
      <c r="U38" t="str">
        <f>IF(AND(L38="Para Programar",G38&gt;0),COUNTIFS($L$5:L38,"Para Programar",$G$5:G38,"&gt;0"),"")</f>
        <v/>
      </c>
      <c r="W38" t="str">
        <f t="shared" si="6"/>
        <v>N1 - N4|08 Prueba hidráulica - Preparación del sistema</v>
      </c>
      <c r="X38">
        <v>0</v>
      </c>
    </row>
    <row r="39" spans="1:24" hidden="1">
      <c r="A39" s="23" t="s">
        <v>90</v>
      </c>
      <c r="B39" s="24" t="s">
        <v>118</v>
      </c>
      <c r="C39" s="25" t="s">
        <v>91</v>
      </c>
      <c r="D39" s="23" t="s">
        <v>81</v>
      </c>
      <c r="E39" s="23">
        <v>1</v>
      </c>
      <c r="F39" s="23">
        <f>IF(E39="","",MIN(E39,$X39+SUMIFS('05_Parte_Diario'!$H$5:$H$204,'05_Parte_Diario'!$D$5:$D$204,B39,'05_Parte_Diario'!$E$5:$E$204,C39)))</f>
        <v>0</v>
      </c>
      <c r="G39" s="23">
        <f t="shared" si="0"/>
        <v>1</v>
      </c>
      <c r="H39" s="26">
        <f t="shared" si="1"/>
        <v>0</v>
      </c>
      <c r="I39" s="26">
        <f>IF(OR(B39="",C39="",$V$1=""),"",MIN(E39,SUMIFS('03_Planificacion'!$G$99:$G$178,'03_Planificacion'!$E$99:$E$178,B39,'03_Planificacion'!$F$99:$F$178,C39,'03_Planificacion'!$D$99:$D$178,"&lt;="&amp;$V$1)))</f>
        <v>0</v>
      </c>
      <c r="J39" s="26">
        <f t="shared" si="2"/>
        <v>0</v>
      </c>
      <c r="K39" s="27">
        <f t="shared" si="3"/>
        <v>0</v>
      </c>
      <c r="L39" s="25" t="s">
        <v>68</v>
      </c>
      <c r="M39" s="25"/>
      <c r="N39" s="25"/>
      <c r="O39" s="25"/>
      <c r="P39" s="28">
        <f t="shared" si="4"/>
        <v>46287</v>
      </c>
      <c r="Q39" s="25" t="s">
        <v>119</v>
      </c>
      <c r="R39" s="25">
        <v>75</v>
      </c>
      <c r="S39" s="25" t="s">
        <v>70</v>
      </c>
      <c r="T39" s="25" t="str">
        <f t="shared" si="5"/>
        <v/>
      </c>
      <c r="U39" t="str">
        <f>IF(AND(L39="Para Programar",G39&gt;0),COUNTIFS($L$5:L39,"Para Programar",$G$5:G39,"&gt;0"),"")</f>
        <v/>
      </c>
      <c r="W39" t="str">
        <f t="shared" si="6"/>
        <v>N1 - N4|08 Prueba hidráulica - Interna N° 1</v>
      </c>
      <c r="X39">
        <v>0</v>
      </c>
    </row>
    <row r="40" spans="1:24" hidden="1">
      <c r="A40" s="23" t="s">
        <v>92</v>
      </c>
      <c r="B40" s="24" t="s">
        <v>118</v>
      </c>
      <c r="C40" s="25" t="s">
        <v>93</v>
      </c>
      <c r="D40" s="23" t="s">
        <v>81</v>
      </c>
      <c r="E40" s="23">
        <v>1</v>
      </c>
      <c r="F40" s="23">
        <f>IF(E40="","",MIN(E40,$X40+SUMIFS('05_Parte_Diario'!$H$5:$H$204,'05_Parte_Diario'!$D$5:$D$204,B40,'05_Parte_Diario'!$E$5:$E$204,C40)))</f>
        <v>0</v>
      </c>
      <c r="G40" s="23">
        <f t="shared" si="0"/>
        <v>1</v>
      </c>
      <c r="H40" s="26">
        <f t="shared" si="1"/>
        <v>0</v>
      </c>
      <c r="I40" s="26">
        <f>IF(OR(B40="",C40="",$V$1=""),"",MIN(E40,SUMIFS('03_Planificacion'!$G$99:$G$178,'03_Planificacion'!$E$99:$E$178,B40,'03_Planificacion'!$F$99:$F$178,C40,'03_Planificacion'!$D$99:$D$178,"&lt;="&amp;$V$1)))</f>
        <v>0</v>
      </c>
      <c r="J40" s="26">
        <f t="shared" si="2"/>
        <v>0</v>
      </c>
      <c r="K40" s="27">
        <f t="shared" si="3"/>
        <v>0</v>
      </c>
      <c r="L40" s="25" t="s">
        <v>68</v>
      </c>
      <c r="M40" s="25"/>
      <c r="N40" s="25"/>
      <c r="O40" s="25"/>
      <c r="P40" s="28">
        <f t="shared" si="4"/>
        <v>46287</v>
      </c>
      <c r="Q40" s="25" t="s">
        <v>119</v>
      </c>
      <c r="R40" s="25">
        <v>75</v>
      </c>
      <c r="S40" s="25" t="s">
        <v>70</v>
      </c>
      <c r="T40" s="25" t="str">
        <f t="shared" si="5"/>
        <v/>
      </c>
      <c r="U40" t="str">
        <f>IF(AND(L40="Para Programar",G40&gt;0),COUNTIFS($L$5:L40,"Para Programar",$G$5:G40,"&gt;0"),"")</f>
        <v/>
      </c>
      <c r="W40" t="str">
        <f t="shared" si="6"/>
        <v>N1 - N4|08 Prueba hidráulica - Interna N° 2</v>
      </c>
      <c r="X40">
        <v>0</v>
      </c>
    </row>
    <row r="41" spans="1:24" hidden="1">
      <c r="A41" s="23" t="s">
        <v>94</v>
      </c>
      <c r="B41" s="24" t="s">
        <v>118</v>
      </c>
      <c r="C41" s="25" t="s">
        <v>95</v>
      </c>
      <c r="D41" s="23" t="s">
        <v>81</v>
      </c>
      <c r="E41" s="23">
        <v>1</v>
      </c>
      <c r="F41" s="23">
        <f>IF(E41="","",MIN(E41,$X41+SUMIFS('05_Parte_Diario'!$H$5:$H$204,'05_Parte_Diario'!$D$5:$D$204,B41,'05_Parte_Diario'!$E$5:$E$204,C41)))</f>
        <v>0</v>
      </c>
      <c r="G41" s="23">
        <f t="shared" si="0"/>
        <v>1</v>
      </c>
      <c r="H41" s="26">
        <f t="shared" si="1"/>
        <v>0</v>
      </c>
      <c r="I41" s="26">
        <f>IF(OR(B41="",C41="",$V$1=""),"",MIN(E41,SUMIFS('03_Planificacion'!$G$99:$G$178,'03_Planificacion'!$E$99:$E$178,B41,'03_Planificacion'!$F$99:$F$178,C41,'03_Planificacion'!$D$99:$D$178,"&lt;="&amp;$V$1)))</f>
        <v>0</v>
      </c>
      <c r="J41" s="26">
        <f t="shared" si="2"/>
        <v>0</v>
      </c>
      <c r="K41" s="27">
        <f t="shared" si="3"/>
        <v>0</v>
      </c>
      <c r="L41" s="25" t="s">
        <v>68</v>
      </c>
      <c r="M41" s="25"/>
      <c r="N41" s="25"/>
      <c r="O41" s="25"/>
      <c r="P41" s="28">
        <f t="shared" si="4"/>
        <v>46287</v>
      </c>
      <c r="Q41" s="25" t="s">
        <v>119</v>
      </c>
      <c r="R41" s="25">
        <v>75</v>
      </c>
      <c r="S41" s="25" t="s">
        <v>70</v>
      </c>
      <c r="T41" s="25" t="str">
        <f t="shared" si="5"/>
        <v/>
      </c>
      <c r="U41" t="str">
        <f>IF(AND(L41="Para Programar",G41&gt;0),COUNTIFS($L$5:L41,"Para Programar",$G$5:G41,"&gt;0"),"")</f>
        <v/>
      </c>
      <c r="W41" t="str">
        <f t="shared" si="6"/>
        <v>N1 - N4|08 Prueba hidráulica - Primera prueba oficial</v>
      </c>
      <c r="X41">
        <v>0</v>
      </c>
    </row>
    <row r="42" spans="1:24" hidden="1">
      <c r="A42" s="23" t="s">
        <v>96</v>
      </c>
      <c r="B42" s="24" t="s">
        <v>118</v>
      </c>
      <c r="C42" s="25" t="s">
        <v>97</v>
      </c>
      <c r="D42" s="23" t="s">
        <v>67</v>
      </c>
      <c r="E42" s="23">
        <v>82</v>
      </c>
      <c r="F42" s="23">
        <f>IF(E42="","",MIN(E42,$X42+SUMIFS('05_Parte_Diario'!$H$5:$H$204,'05_Parte_Diario'!$D$5:$D$204,B42,'05_Parte_Diario'!$E$5:$E$204,C42)))</f>
        <v>0</v>
      </c>
      <c r="G42" s="23">
        <f t="shared" si="0"/>
        <v>82</v>
      </c>
      <c r="H42" s="26">
        <f t="shared" si="1"/>
        <v>0</v>
      </c>
      <c r="I42" s="26">
        <f>IF(OR(B42="",C42="",$V$1=""),"",MIN(E42,SUMIFS('03_Planificacion'!$G$99:$G$178,'03_Planificacion'!$E$99:$E$178,B42,'03_Planificacion'!$F$99:$F$178,C42,'03_Planificacion'!$D$99:$D$178,"&lt;="&amp;$V$1)))</f>
        <v>0</v>
      </c>
      <c r="J42" s="26">
        <f t="shared" si="2"/>
        <v>0</v>
      </c>
      <c r="K42" s="27">
        <f t="shared" si="3"/>
        <v>0</v>
      </c>
      <c r="L42" s="25" t="s">
        <v>68</v>
      </c>
      <c r="M42" s="25"/>
      <c r="N42" s="25"/>
      <c r="O42" s="25"/>
      <c r="P42" s="28">
        <f t="shared" si="4"/>
        <v>46287</v>
      </c>
      <c r="Q42" s="25" t="s">
        <v>119</v>
      </c>
      <c r="R42" s="25">
        <v>75</v>
      </c>
      <c r="S42" s="25" t="s">
        <v>70</v>
      </c>
      <c r="T42" s="25" t="str">
        <f t="shared" si="5"/>
        <v/>
      </c>
      <c r="U42" t="str">
        <f>IF(AND(L42="Para Programar",G42&gt;0),COUNTIFS($L$5:L42,"Para Programar",$G$5:G42,"&gt;0"),"")</f>
        <v/>
      </c>
      <c r="W42" t="str">
        <f t="shared" si="6"/>
        <v>N1 - N4|09 Paquete estructural - Aporte e=0,30 m</v>
      </c>
      <c r="X42">
        <v>0</v>
      </c>
    </row>
    <row r="43" spans="1:24" hidden="1">
      <c r="A43" s="23" t="s">
        <v>98</v>
      </c>
      <c r="B43" s="24" t="s">
        <v>118</v>
      </c>
      <c r="C43" s="25" t="s">
        <v>99</v>
      </c>
      <c r="D43" s="23" t="s">
        <v>67</v>
      </c>
      <c r="E43" s="23">
        <v>82</v>
      </c>
      <c r="F43" s="23">
        <f>IF(E43="","",MIN(E43,$X43+SUMIFS('05_Parte_Diario'!$H$5:$H$204,'05_Parte_Diario'!$D$5:$D$204,B43,'05_Parte_Diario'!$E$5:$E$204,C43)))</f>
        <v>0</v>
      </c>
      <c r="G43" s="23">
        <f t="shared" si="0"/>
        <v>82</v>
      </c>
      <c r="H43" s="26">
        <f t="shared" si="1"/>
        <v>0</v>
      </c>
      <c r="I43" s="26">
        <f>IF(OR(B43="",C43="",$V$1=""),"",MIN(E43,SUMIFS('03_Planificacion'!$G$99:$G$178,'03_Planificacion'!$E$99:$E$178,B43,'03_Planificacion'!$F$99:$F$178,C43,'03_Planificacion'!$D$99:$D$178,"&lt;="&amp;$V$1)))</f>
        <v>0</v>
      </c>
      <c r="J43" s="26">
        <f t="shared" si="2"/>
        <v>0</v>
      </c>
      <c r="K43" s="27">
        <f t="shared" si="3"/>
        <v>0</v>
      </c>
      <c r="L43" s="25" t="s">
        <v>68</v>
      </c>
      <c r="M43" s="25"/>
      <c r="N43" s="25"/>
      <c r="O43" s="25"/>
      <c r="P43" s="28">
        <f t="shared" si="4"/>
        <v>46287</v>
      </c>
      <c r="Q43" s="25" t="s">
        <v>119</v>
      </c>
      <c r="R43" s="25">
        <v>75</v>
      </c>
      <c r="S43" s="25" t="s">
        <v>70</v>
      </c>
      <c r="T43" s="25" t="str">
        <f t="shared" si="5"/>
        <v/>
      </c>
      <c r="U43" t="str">
        <f>IF(AND(L43="Para Programar",G43&gt;0),COUNTIFS($L$5:L43,"Para Programar",$G$5:G43,"&gt;0"),"")</f>
        <v/>
      </c>
      <c r="W43" t="str">
        <f t="shared" si="6"/>
        <v>N1 - N4|09 Paquete estructural - Compactación</v>
      </c>
      <c r="X43">
        <v>0</v>
      </c>
    </row>
    <row r="44" spans="1:24" hidden="1">
      <c r="A44" s="23" t="s">
        <v>100</v>
      </c>
      <c r="B44" s="24" t="s">
        <v>118</v>
      </c>
      <c r="C44" s="25" t="s">
        <v>101</v>
      </c>
      <c r="D44" s="23" t="s">
        <v>81</v>
      </c>
      <c r="E44" s="23">
        <v>1</v>
      </c>
      <c r="F44" s="23">
        <f>IF(E44="","",MIN(E44,$X44+SUMIFS('05_Parte_Diario'!$H$5:$H$204,'05_Parte_Diario'!$D$5:$D$204,B44,'05_Parte_Diario'!$E$5:$E$204,C44)))</f>
        <v>0</v>
      </c>
      <c r="G44" s="23">
        <f t="shared" si="0"/>
        <v>1</v>
      </c>
      <c r="H44" s="26">
        <f t="shared" si="1"/>
        <v>0</v>
      </c>
      <c r="I44" s="26">
        <f>IF(OR(B44="",C44="",$V$1=""),"",MIN(E44,SUMIFS('03_Planificacion'!$G$99:$G$178,'03_Planificacion'!$E$99:$E$178,B44,'03_Planificacion'!$F$99:$F$178,C44,'03_Planificacion'!$D$99:$D$178,"&lt;="&amp;$V$1)))</f>
        <v>0</v>
      </c>
      <c r="J44" s="26">
        <f t="shared" si="2"/>
        <v>0</v>
      </c>
      <c r="K44" s="27">
        <f t="shared" si="3"/>
        <v>0</v>
      </c>
      <c r="L44" s="25" t="s">
        <v>68</v>
      </c>
      <c r="M44" s="25"/>
      <c r="N44" s="25"/>
      <c r="O44" s="25"/>
      <c r="P44" s="28">
        <f t="shared" si="4"/>
        <v>46287</v>
      </c>
      <c r="Q44" s="25" t="s">
        <v>119</v>
      </c>
      <c r="R44" s="25">
        <v>75</v>
      </c>
      <c r="S44" s="25" t="s">
        <v>70</v>
      </c>
      <c r="T44" s="25" t="str">
        <f t="shared" si="5"/>
        <v/>
      </c>
      <c r="U44" t="str">
        <f>IF(AND(L44="Para Programar",G44&gt;0),COUNTIFS($L$5:L44,"Para Programar",$G$5:G44,"&gt;0"),"")</f>
        <v/>
      </c>
      <c r="W44" t="str">
        <f t="shared" si="6"/>
        <v>N1 - N4|09 Paquete estructural - Inspección laboratorio</v>
      </c>
      <c r="X44">
        <v>0</v>
      </c>
    </row>
    <row r="45" spans="1:24" hidden="1">
      <c r="A45" s="23" t="s">
        <v>102</v>
      </c>
      <c r="B45" s="24" t="s">
        <v>118</v>
      </c>
      <c r="C45" s="25" t="s">
        <v>103</v>
      </c>
      <c r="D45" s="23" t="s">
        <v>67</v>
      </c>
      <c r="E45" s="23">
        <v>82</v>
      </c>
      <c r="F45" s="23">
        <f>IF(E45="","",MIN(E45,$X45+SUMIFS('05_Parte_Diario'!$H$5:$H$204,'05_Parte_Diario'!$D$5:$D$204,B45,'05_Parte_Diario'!$E$5:$E$204,C45)))</f>
        <v>0</v>
      </c>
      <c r="G45" s="23">
        <f t="shared" si="0"/>
        <v>82</v>
      </c>
      <c r="H45" s="26">
        <f t="shared" si="1"/>
        <v>0</v>
      </c>
      <c r="I45" s="26">
        <f>IF(OR(B45="",C45="",$V$1=""),"",MIN(E45,SUMIFS('03_Planificacion'!$G$99:$G$178,'03_Planificacion'!$E$99:$E$178,B45,'03_Planificacion'!$F$99:$F$178,C45,'03_Planificacion'!$D$99:$D$178,"&lt;="&amp;$V$1)))</f>
        <v>0</v>
      </c>
      <c r="J45" s="26">
        <f t="shared" si="2"/>
        <v>0</v>
      </c>
      <c r="K45" s="27">
        <f t="shared" si="3"/>
        <v>0</v>
      </c>
      <c r="L45" s="25" t="s">
        <v>68</v>
      </c>
      <c r="M45" s="25"/>
      <c r="N45" s="25"/>
      <c r="O45" s="25"/>
      <c r="P45" s="28">
        <f t="shared" si="4"/>
        <v>46287</v>
      </c>
      <c r="Q45" s="25" t="s">
        <v>119</v>
      </c>
      <c r="R45" s="25">
        <v>75</v>
      </c>
      <c r="S45" s="25" t="s">
        <v>70</v>
      </c>
      <c r="T45" s="25" t="str">
        <f t="shared" si="5"/>
        <v/>
      </c>
      <c r="U45" t="str">
        <f>IF(AND(L45="Para Programar",G45&gt;0),COUNTIFS($L$5:L45,"Para Programar",$G$5:G45,"&gt;0"),"")</f>
        <v/>
      </c>
      <c r="W45" t="str">
        <f t="shared" si="6"/>
        <v>N1 - N4|10 Relleno -0,60 - Conformación de capa</v>
      </c>
      <c r="X45">
        <v>0</v>
      </c>
    </row>
    <row r="46" spans="1:24" hidden="1">
      <c r="A46" s="23" t="s">
        <v>104</v>
      </c>
      <c r="B46" s="24" t="s">
        <v>118</v>
      </c>
      <c r="C46" s="25" t="s">
        <v>105</v>
      </c>
      <c r="D46" s="23" t="s">
        <v>67</v>
      </c>
      <c r="E46" s="23">
        <v>82</v>
      </c>
      <c r="F46" s="23">
        <f>IF(E46="","",MIN(E46,$X46+SUMIFS('05_Parte_Diario'!$H$5:$H$204,'05_Parte_Diario'!$D$5:$D$204,B46,'05_Parte_Diario'!$E$5:$E$204,C46)))</f>
        <v>0</v>
      </c>
      <c r="G46" s="23">
        <f t="shared" si="0"/>
        <v>82</v>
      </c>
      <c r="H46" s="26">
        <f t="shared" si="1"/>
        <v>0</v>
      </c>
      <c r="I46" s="26">
        <f>IF(OR(B46="",C46="",$V$1=""),"",MIN(E46,SUMIFS('03_Planificacion'!$G$99:$G$178,'03_Planificacion'!$E$99:$E$178,B46,'03_Planificacion'!$F$99:$F$178,C46,'03_Planificacion'!$D$99:$D$178,"&lt;="&amp;$V$1)))</f>
        <v>0</v>
      </c>
      <c r="J46" s="26">
        <f t="shared" si="2"/>
        <v>0</v>
      </c>
      <c r="K46" s="27">
        <f t="shared" si="3"/>
        <v>0</v>
      </c>
      <c r="L46" s="25" t="s">
        <v>68</v>
      </c>
      <c r="M46" s="25"/>
      <c r="N46" s="25"/>
      <c r="O46" s="25"/>
      <c r="P46" s="28">
        <f t="shared" si="4"/>
        <v>46287</v>
      </c>
      <c r="Q46" s="25" t="s">
        <v>119</v>
      </c>
      <c r="R46" s="25">
        <v>75</v>
      </c>
      <c r="S46" s="25" t="s">
        <v>70</v>
      </c>
      <c r="T46" s="25" t="str">
        <f t="shared" si="5"/>
        <v/>
      </c>
      <c r="U46" t="str">
        <f>IF(AND(L46="Para Programar",G46&gt;0),COUNTIFS($L$5:L46,"Para Programar",$G$5:G46,"&gt;0"),"")</f>
        <v/>
      </c>
      <c r="W46" t="str">
        <f t="shared" si="6"/>
        <v>N1 - N4|10 Relleno -0,60 - Humectación</v>
      </c>
      <c r="X46">
        <v>0</v>
      </c>
    </row>
    <row r="47" spans="1:24" hidden="1">
      <c r="A47" s="23" t="s">
        <v>106</v>
      </c>
      <c r="B47" s="24" t="s">
        <v>118</v>
      </c>
      <c r="C47" s="25" t="s">
        <v>107</v>
      </c>
      <c r="D47" s="23" t="s">
        <v>67</v>
      </c>
      <c r="E47" s="23">
        <v>82</v>
      </c>
      <c r="F47" s="23">
        <f>IF(E47="","",MIN(E47,$X47+SUMIFS('05_Parte_Diario'!$H$5:$H$204,'05_Parte_Diario'!$D$5:$D$204,B47,'05_Parte_Diario'!$E$5:$E$204,C47)))</f>
        <v>0</v>
      </c>
      <c r="G47" s="23">
        <f t="shared" si="0"/>
        <v>82</v>
      </c>
      <c r="H47" s="26">
        <f t="shared" si="1"/>
        <v>0</v>
      </c>
      <c r="I47" s="26">
        <f>IF(OR(B47="",C47="",$V$1=""),"",MIN(E47,SUMIFS('03_Planificacion'!$G$99:$G$178,'03_Planificacion'!$E$99:$E$178,B47,'03_Planificacion'!$F$99:$F$178,C47,'03_Planificacion'!$D$99:$D$178,"&lt;="&amp;$V$1)))</f>
        <v>0</v>
      </c>
      <c r="J47" s="26">
        <f t="shared" si="2"/>
        <v>0</v>
      </c>
      <c r="K47" s="27">
        <f t="shared" si="3"/>
        <v>0</v>
      </c>
      <c r="L47" s="25" t="s">
        <v>68</v>
      </c>
      <c r="M47" s="25"/>
      <c r="N47" s="25"/>
      <c r="O47" s="25"/>
      <c r="P47" s="28">
        <f t="shared" si="4"/>
        <v>46287</v>
      </c>
      <c r="Q47" s="25" t="s">
        <v>119</v>
      </c>
      <c r="R47" s="25">
        <v>75</v>
      </c>
      <c r="S47" s="25" t="s">
        <v>70</v>
      </c>
      <c r="T47" s="25" t="str">
        <f t="shared" si="5"/>
        <v/>
      </c>
      <c r="U47" t="str">
        <f>IF(AND(L47="Para Programar",G47&gt;0),COUNTIFS($L$5:L47,"Para Programar",$G$5:G47,"&gt;0"),"")</f>
        <v/>
      </c>
      <c r="W47" t="str">
        <f t="shared" si="6"/>
        <v>N1 - N4|10 Relleno -0,60 - Compactación</v>
      </c>
      <c r="X47">
        <v>0</v>
      </c>
    </row>
    <row r="48" spans="1:24" hidden="1">
      <c r="A48" s="23" t="s">
        <v>108</v>
      </c>
      <c r="B48" s="24" t="s">
        <v>118</v>
      </c>
      <c r="C48" s="25" t="s">
        <v>109</v>
      </c>
      <c r="D48" s="23" t="s">
        <v>81</v>
      </c>
      <c r="E48" s="23">
        <v>1</v>
      </c>
      <c r="F48" s="23">
        <f>IF(E48="","",MIN(E48,$X48+SUMIFS('05_Parte_Diario'!$H$5:$H$204,'05_Parte_Diario'!$D$5:$D$204,B48,'05_Parte_Diario'!$E$5:$E$204,C48)))</f>
        <v>0</v>
      </c>
      <c r="G48" s="23">
        <f t="shared" si="0"/>
        <v>1</v>
      </c>
      <c r="H48" s="26">
        <f t="shared" si="1"/>
        <v>0</v>
      </c>
      <c r="I48" s="26">
        <f>IF(OR(B48="",C48="",$V$1=""),"",MIN(E48,SUMIFS('03_Planificacion'!$G$99:$G$178,'03_Planificacion'!$E$99:$E$178,B48,'03_Planificacion'!$F$99:$F$178,C48,'03_Planificacion'!$D$99:$D$178,"&lt;="&amp;$V$1)))</f>
        <v>0</v>
      </c>
      <c r="J48" s="26">
        <f t="shared" si="2"/>
        <v>0</v>
      </c>
      <c r="K48" s="27">
        <f t="shared" si="3"/>
        <v>0</v>
      </c>
      <c r="L48" s="25" t="s">
        <v>68</v>
      </c>
      <c r="M48" s="25"/>
      <c r="N48" s="25"/>
      <c r="O48" s="25"/>
      <c r="P48" s="28">
        <f t="shared" si="4"/>
        <v>46287</v>
      </c>
      <c r="Q48" s="25" t="s">
        <v>119</v>
      </c>
      <c r="R48" s="25">
        <v>75</v>
      </c>
      <c r="S48" s="25" t="s">
        <v>70</v>
      </c>
      <c r="T48" s="25" t="str">
        <f t="shared" si="5"/>
        <v/>
      </c>
      <c r="U48" t="str">
        <f>IF(AND(L48="Para Programar",G48&gt;0),COUNTIFS($L$5:L48,"Para Programar",$G$5:G48,"&gt;0"),"")</f>
        <v/>
      </c>
      <c r="W48" t="str">
        <f t="shared" si="6"/>
        <v>N1 - N4|10 Relleno -0,60 - Inspección laboratorio</v>
      </c>
      <c r="X48">
        <v>0</v>
      </c>
    </row>
    <row r="49" spans="1:24" hidden="1">
      <c r="A49" s="23" t="s">
        <v>110</v>
      </c>
      <c r="B49" s="24" t="s">
        <v>118</v>
      </c>
      <c r="C49" s="25" t="s">
        <v>111</v>
      </c>
      <c r="D49" s="23" t="s">
        <v>67</v>
      </c>
      <c r="E49" s="23">
        <v>82</v>
      </c>
      <c r="F49" s="23">
        <f>IF(E49="","",MIN(E49,$X49+SUMIFS('05_Parte_Diario'!$H$5:$H$204,'05_Parte_Diario'!$D$5:$D$204,B49,'05_Parte_Diario'!$E$5:$E$204,C49)))</f>
        <v>0</v>
      </c>
      <c r="G49" s="23">
        <f t="shared" si="0"/>
        <v>82</v>
      </c>
      <c r="H49" s="26">
        <f t="shared" si="1"/>
        <v>0</v>
      </c>
      <c r="I49" s="26">
        <f>IF(OR(B49="",C49="",$V$1=""),"",MIN(E49,SUMIFS('03_Planificacion'!$G$99:$G$178,'03_Planificacion'!$E$99:$E$178,B49,'03_Planificacion'!$F$99:$F$178,C49,'03_Planificacion'!$D$99:$D$178,"&lt;="&amp;$V$1)))</f>
        <v>0</v>
      </c>
      <c r="J49" s="26">
        <f t="shared" si="2"/>
        <v>0</v>
      </c>
      <c r="K49" s="27">
        <f t="shared" si="3"/>
        <v>0</v>
      </c>
      <c r="L49" s="25" t="s">
        <v>68</v>
      </c>
      <c r="M49" s="25"/>
      <c r="N49" s="25"/>
      <c r="O49" s="25"/>
      <c r="P49" s="28">
        <f t="shared" si="4"/>
        <v>46287</v>
      </c>
      <c r="Q49" s="25" t="s">
        <v>119</v>
      </c>
      <c r="R49" s="25">
        <v>75</v>
      </c>
      <c r="S49" s="25" t="s">
        <v>70</v>
      </c>
      <c r="T49" s="25" t="str">
        <f t="shared" si="5"/>
        <v/>
      </c>
      <c r="U49" t="str">
        <f>IF(AND(L49="Para Programar",G49&gt;0),COUNTIFS($L$5:L49,"Para Programar",$G$5:G49,"&gt;0"),"")</f>
        <v/>
      </c>
      <c r="W49" t="str">
        <f t="shared" si="6"/>
        <v>N1 - N4|11 Relleno -0,30 - Conformación de capa</v>
      </c>
      <c r="X49">
        <v>0</v>
      </c>
    </row>
    <row r="50" spans="1:24" hidden="1">
      <c r="A50" s="23" t="s">
        <v>112</v>
      </c>
      <c r="B50" s="24" t="s">
        <v>118</v>
      </c>
      <c r="C50" s="25" t="s">
        <v>113</v>
      </c>
      <c r="D50" s="23" t="s">
        <v>67</v>
      </c>
      <c r="E50" s="23">
        <v>82</v>
      </c>
      <c r="F50" s="23">
        <f>IF(E50="","",MIN(E50,$X50+SUMIFS('05_Parte_Diario'!$H$5:$H$204,'05_Parte_Diario'!$D$5:$D$204,B50,'05_Parte_Diario'!$E$5:$E$204,C50)))</f>
        <v>0</v>
      </c>
      <c r="G50" s="23">
        <f t="shared" si="0"/>
        <v>82</v>
      </c>
      <c r="H50" s="26">
        <f t="shared" si="1"/>
        <v>0</v>
      </c>
      <c r="I50" s="26">
        <f>IF(OR(B50="",C50="",$V$1=""),"",MIN(E50,SUMIFS('03_Planificacion'!$G$99:$G$178,'03_Planificacion'!$E$99:$E$178,B50,'03_Planificacion'!$F$99:$F$178,C50,'03_Planificacion'!$D$99:$D$178,"&lt;="&amp;$V$1)))</f>
        <v>0</v>
      </c>
      <c r="J50" s="26">
        <f t="shared" si="2"/>
        <v>0</v>
      </c>
      <c r="K50" s="27">
        <f t="shared" si="3"/>
        <v>0</v>
      </c>
      <c r="L50" s="25" t="s">
        <v>68</v>
      </c>
      <c r="M50" s="25"/>
      <c r="N50" s="25"/>
      <c r="O50" s="25"/>
      <c r="P50" s="28">
        <f t="shared" si="4"/>
        <v>46287</v>
      </c>
      <c r="Q50" s="25" t="s">
        <v>119</v>
      </c>
      <c r="R50" s="25">
        <v>75</v>
      </c>
      <c r="S50" s="25" t="s">
        <v>70</v>
      </c>
      <c r="T50" s="25" t="str">
        <f t="shared" si="5"/>
        <v/>
      </c>
      <c r="U50" t="str">
        <f>IF(AND(L50="Para Programar",G50&gt;0),COUNTIFS($L$5:L50,"Para Programar",$G$5:G50,"&gt;0"),"")</f>
        <v/>
      </c>
      <c r="W50" t="str">
        <f t="shared" si="6"/>
        <v>N1 - N4|11 Relleno -0,30 - Humectación</v>
      </c>
      <c r="X50">
        <v>0</v>
      </c>
    </row>
    <row r="51" spans="1:24" hidden="1">
      <c r="A51" s="23" t="s">
        <v>114</v>
      </c>
      <c r="B51" s="24" t="s">
        <v>118</v>
      </c>
      <c r="C51" s="25" t="s">
        <v>115</v>
      </c>
      <c r="D51" s="23" t="s">
        <v>67</v>
      </c>
      <c r="E51" s="23">
        <v>82</v>
      </c>
      <c r="F51" s="23">
        <f>IF(E51="","",MIN(E51,$X51+SUMIFS('05_Parte_Diario'!$H$5:$H$204,'05_Parte_Diario'!$D$5:$D$204,B51,'05_Parte_Diario'!$E$5:$E$204,C51)))</f>
        <v>0</v>
      </c>
      <c r="G51" s="23">
        <f t="shared" si="0"/>
        <v>82</v>
      </c>
      <c r="H51" s="26">
        <f t="shared" si="1"/>
        <v>0</v>
      </c>
      <c r="I51" s="26">
        <f>IF(OR(B51="",C51="",$V$1=""),"",MIN(E51,SUMIFS('03_Planificacion'!$G$99:$G$178,'03_Planificacion'!$E$99:$E$178,B51,'03_Planificacion'!$F$99:$F$178,C51,'03_Planificacion'!$D$99:$D$178,"&lt;="&amp;$V$1)))</f>
        <v>0</v>
      </c>
      <c r="J51" s="26">
        <f t="shared" si="2"/>
        <v>0</v>
      </c>
      <c r="K51" s="27">
        <f t="shared" si="3"/>
        <v>0</v>
      </c>
      <c r="L51" s="25" t="s">
        <v>68</v>
      </c>
      <c r="M51" s="25"/>
      <c r="N51" s="25"/>
      <c r="O51" s="25"/>
      <c r="P51" s="28">
        <f t="shared" si="4"/>
        <v>46287</v>
      </c>
      <c r="Q51" s="25" t="s">
        <v>119</v>
      </c>
      <c r="R51" s="25">
        <v>75</v>
      </c>
      <c r="S51" s="25" t="s">
        <v>70</v>
      </c>
      <c r="T51" s="25" t="str">
        <f t="shared" si="5"/>
        <v/>
      </c>
      <c r="U51" t="str">
        <f>IF(AND(L51="Para Programar",G51&gt;0),COUNTIFS($L$5:L51,"Para Programar",$G$5:G51,"&gt;0"),"")</f>
        <v/>
      </c>
      <c r="W51" t="str">
        <f t="shared" si="6"/>
        <v>N1 - N4|11 Relleno -0,30 - Compactación</v>
      </c>
      <c r="X51">
        <v>0</v>
      </c>
    </row>
    <row r="52" spans="1:24" hidden="1">
      <c r="A52" s="23" t="s">
        <v>116</v>
      </c>
      <c r="B52" s="24" t="s">
        <v>118</v>
      </c>
      <c r="C52" s="25" t="s">
        <v>117</v>
      </c>
      <c r="D52" s="23" t="s">
        <v>81</v>
      </c>
      <c r="E52" s="23">
        <v>1</v>
      </c>
      <c r="F52" s="23">
        <f>IF(E52="","",MIN(E52,$X52+SUMIFS('05_Parte_Diario'!$H$5:$H$204,'05_Parte_Diario'!$D$5:$D$204,B52,'05_Parte_Diario'!$E$5:$E$204,C52)))</f>
        <v>0</v>
      </c>
      <c r="G52" s="23">
        <f t="shared" si="0"/>
        <v>1</v>
      </c>
      <c r="H52" s="26">
        <f t="shared" si="1"/>
        <v>0</v>
      </c>
      <c r="I52" s="26">
        <f>IF(OR(B52="",C52="",$V$1=""),"",MIN(E52,SUMIFS('03_Planificacion'!$G$99:$G$178,'03_Planificacion'!$E$99:$E$178,B52,'03_Planificacion'!$F$99:$F$178,C52,'03_Planificacion'!$D$99:$D$178,"&lt;="&amp;$V$1)))</f>
        <v>0</v>
      </c>
      <c r="J52" s="26">
        <f t="shared" si="2"/>
        <v>0</v>
      </c>
      <c r="K52" s="27">
        <f t="shared" si="3"/>
        <v>0</v>
      </c>
      <c r="L52" s="25" t="s">
        <v>68</v>
      </c>
      <c r="M52" s="25"/>
      <c r="N52" s="25"/>
      <c r="O52" s="25"/>
      <c r="P52" s="28">
        <f t="shared" si="4"/>
        <v>46287</v>
      </c>
      <c r="Q52" s="25" t="s">
        <v>119</v>
      </c>
      <c r="R52" s="25">
        <v>75</v>
      </c>
      <c r="S52" s="25" t="s">
        <v>70</v>
      </c>
      <c r="T52" s="25" t="str">
        <f t="shared" si="5"/>
        <v/>
      </c>
      <c r="U52" t="str">
        <f>IF(AND(L52="Para Programar",G52&gt;0),COUNTIFS($L$5:L52,"Para Programar",$G$5:G52,"&gt;0"),"")</f>
        <v/>
      </c>
      <c r="W52" t="str">
        <f t="shared" si="6"/>
        <v>N1 - N4|11 Relleno -0,30 - Inspección laboratorio</v>
      </c>
      <c r="X52">
        <v>0</v>
      </c>
    </row>
    <row r="53" spans="1:24" hidden="1">
      <c r="A53" s="23" t="s">
        <v>64</v>
      </c>
      <c r="B53" s="24" t="s">
        <v>120</v>
      </c>
      <c r="C53" s="25" t="s">
        <v>66</v>
      </c>
      <c r="D53" s="23" t="s">
        <v>67</v>
      </c>
      <c r="E53" s="23">
        <v>210</v>
      </c>
      <c r="F53" s="23">
        <f>IF(E53="","",MIN(E53,$X53+SUMIFS('05_Parte_Diario'!$H$5:$H$204,'05_Parte_Diario'!$D$5:$D$204,B53,'05_Parte_Diario'!$E$5:$E$204,C53)))</f>
        <v>0</v>
      </c>
      <c r="G53" s="23">
        <f t="shared" si="0"/>
        <v>210</v>
      </c>
      <c r="H53" s="26">
        <f t="shared" si="1"/>
        <v>0</v>
      </c>
      <c r="I53" s="26">
        <f>IF(OR(B53="",C53="",$V$1=""),"",MIN(E53,SUMIFS('03_Planificacion'!$G$99:$G$178,'03_Planificacion'!$E$99:$E$178,B53,'03_Planificacion'!$F$99:$F$178,C53,'03_Planificacion'!$D$99:$D$178,"&lt;="&amp;$V$1)))</f>
        <v>0</v>
      </c>
      <c r="J53" s="26">
        <f t="shared" si="2"/>
        <v>0</v>
      </c>
      <c r="K53" s="27">
        <f t="shared" si="3"/>
        <v>0</v>
      </c>
      <c r="L53" s="25" t="s">
        <v>68</v>
      </c>
      <c r="M53" s="25"/>
      <c r="N53" s="25"/>
      <c r="O53" s="25"/>
      <c r="P53" s="28">
        <f t="shared" si="4"/>
        <v>46287</v>
      </c>
      <c r="Q53" s="25" t="s">
        <v>121</v>
      </c>
      <c r="R53" s="25">
        <v>75</v>
      </c>
      <c r="S53" s="25" t="s">
        <v>70</v>
      </c>
      <c r="T53" s="25" t="str">
        <f t="shared" si="5"/>
        <v/>
      </c>
      <c r="U53" t="str">
        <f>IF(AND(L53="Para Programar",G53&gt;0),COUNTIFS($L$5:L53,"Para Programar",$G$5:G53,"&gt;0"),"")</f>
        <v/>
      </c>
      <c r="W53" t="str">
        <f t="shared" si="6"/>
        <v>N9 - N11|01 Replanteo - Marcación de tramo de cañería principal</v>
      </c>
      <c r="X53">
        <v>0</v>
      </c>
    </row>
    <row r="54" spans="1:24" hidden="1">
      <c r="A54" s="23" t="s">
        <v>71</v>
      </c>
      <c r="B54" s="24" t="s">
        <v>120</v>
      </c>
      <c r="C54" s="25" t="s">
        <v>72</v>
      </c>
      <c r="D54" s="23" t="s">
        <v>67</v>
      </c>
      <c r="E54" s="23">
        <v>210</v>
      </c>
      <c r="F54" s="23">
        <f>IF(E54="","",MIN(E54,$X54+SUMIFS('05_Parte_Diario'!$H$5:$H$204,'05_Parte_Diario'!$D$5:$D$204,B54,'05_Parte_Diario'!$E$5:$E$204,C54)))</f>
        <v>0</v>
      </c>
      <c r="G54" s="23">
        <f t="shared" si="0"/>
        <v>210</v>
      </c>
      <c r="H54" s="26">
        <f t="shared" si="1"/>
        <v>0</v>
      </c>
      <c r="I54" s="26">
        <f>IF(OR(B54="",C54="",$V$1=""),"",MIN(E54,SUMIFS('03_Planificacion'!$G$99:$G$178,'03_Planificacion'!$E$99:$E$178,B54,'03_Planificacion'!$F$99:$F$178,C54,'03_Planificacion'!$D$99:$D$178,"&lt;="&amp;$V$1)))</f>
        <v>0</v>
      </c>
      <c r="J54" s="26">
        <f t="shared" si="2"/>
        <v>0</v>
      </c>
      <c r="K54" s="27">
        <f t="shared" si="3"/>
        <v>0</v>
      </c>
      <c r="L54" s="25" t="s">
        <v>68</v>
      </c>
      <c r="M54" s="25"/>
      <c r="N54" s="25"/>
      <c r="O54" s="25"/>
      <c r="P54" s="28">
        <f t="shared" si="4"/>
        <v>46287</v>
      </c>
      <c r="Q54" s="25" t="s">
        <v>121</v>
      </c>
      <c r="R54" s="25">
        <v>75</v>
      </c>
      <c r="S54" s="25" t="s">
        <v>70</v>
      </c>
      <c r="T54" s="25" t="str">
        <f t="shared" si="5"/>
        <v/>
      </c>
      <c r="U54" t="str">
        <f>IF(AND(L54="Para Programar",G54&gt;0),COUNTIFS($L$5:L54,"Para Programar",$G$5:G54,"&gt;0"),"")</f>
        <v/>
      </c>
      <c r="W54" t="str">
        <f t="shared" si="6"/>
        <v>N9 - N11|02 Excavación - Zanja principal</v>
      </c>
      <c r="X54">
        <v>0</v>
      </c>
    </row>
    <row r="55" spans="1:24" hidden="1">
      <c r="A55" s="23" t="s">
        <v>73</v>
      </c>
      <c r="B55" s="24" t="s">
        <v>120</v>
      </c>
      <c r="C55" s="25" t="s">
        <v>74</v>
      </c>
      <c r="D55" s="23" t="s">
        <v>67</v>
      </c>
      <c r="E55" s="23">
        <v>210</v>
      </c>
      <c r="F55" s="23">
        <f>IF(E55="","",MIN(E55,$X55+SUMIFS('05_Parte_Diario'!$H$5:$H$204,'05_Parte_Diario'!$D$5:$D$204,B55,'05_Parte_Diario'!$E$5:$E$204,C55)))</f>
        <v>0</v>
      </c>
      <c r="G55" s="23">
        <f t="shared" si="0"/>
        <v>210</v>
      </c>
      <c r="H55" s="26">
        <f t="shared" si="1"/>
        <v>0</v>
      </c>
      <c r="I55" s="26">
        <f>IF(OR(B55="",C55="",$V$1=""),"",MIN(E55,SUMIFS('03_Planificacion'!$G$99:$G$178,'03_Planificacion'!$E$99:$E$178,B55,'03_Planificacion'!$F$99:$F$178,C55,'03_Planificacion'!$D$99:$D$178,"&lt;="&amp;$V$1)))</f>
        <v>0</v>
      </c>
      <c r="J55" s="26">
        <f t="shared" si="2"/>
        <v>0</v>
      </c>
      <c r="K55" s="27">
        <f t="shared" si="3"/>
        <v>0</v>
      </c>
      <c r="L55" s="25" t="s">
        <v>68</v>
      </c>
      <c r="M55" s="25"/>
      <c r="N55" s="25"/>
      <c r="O55" s="25"/>
      <c r="P55" s="28">
        <f t="shared" si="4"/>
        <v>46287</v>
      </c>
      <c r="Q55" s="25" t="s">
        <v>121</v>
      </c>
      <c r="R55" s="25">
        <v>75</v>
      </c>
      <c r="S55" s="25" t="s">
        <v>70</v>
      </c>
      <c r="T55" s="25" t="str">
        <f t="shared" si="5"/>
        <v/>
      </c>
      <c r="U55" t="str">
        <f>IF(AND(L55="Para Programar",G55&gt;0),COUNTIFS($L$5:L55,"Para Programar",$G$5:G55,"&gt;0"),"")</f>
        <v/>
      </c>
      <c r="W55" t="str">
        <f t="shared" si="6"/>
        <v>N9 - N11|03 Base de asiento - Nivelación de fondo de zanja</v>
      </c>
      <c r="X55">
        <v>0</v>
      </c>
    </row>
    <row r="56" spans="1:24" hidden="1">
      <c r="A56" s="23" t="s">
        <v>75</v>
      </c>
      <c r="B56" s="24" t="s">
        <v>120</v>
      </c>
      <c r="C56" s="25" t="s">
        <v>76</v>
      </c>
      <c r="D56" s="23" t="s">
        <v>67</v>
      </c>
      <c r="E56" s="23">
        <v>210</v>
      </c>
      <c r="F56" s="23">
        <f>IF(E56="","",MIN(E56,$X56+SUMIFS('05_Parte_Diario'!$H$5:$H$204,'05_Parte_Diario'!$D$5:$D$204,B56,'05_Parte_Diario'!$E$5:$E$204,C56)))</f>
        <v>0</v>
      </c>
      <c r="G56" s="23">
        <f t="shared" si="0"/>
        <v>210</v>
      </c>
      <c r="H56" s="26">
        <f t="shared" si="1"/>
        <v>0</v>
      </c>
      <c r="I56" s="26">
        <f>IF(OR(B56="",C56="",$V$1=""),"",MIN(E56,SUMIFS('03_Planificacion'!$G$99:$G$178,'03_Planificacion'!$E$99:$E$178,B56,'03_Planificacion'!$F$99:$F$178,C56,'03_Planificacion'!$D$99:$D$178,"&lt;="&amp;$V$1)))</f>
        <v>0</v>
      </c>
      <c r="J56" s="26">
        <f t="shared" si="2"/>
        <v>0</v>
      </c>
      <c r="K56" s="27">
        <f t="shared" si="3"/>
        <v>0</v>
      </c>
      <c r="L56" s="25" t="s">
        <v>68</v>
      </c>
      <c r="M56" s="25"/>
      <c r="N56" s="25"/>
      <c r="O56" s="25"/>
      <c r="P56" s="28">
        <f t="shared" si="4"/>
        <v>46287</v>
      </c>
      <c r="Q56" s="25" t="s">
        <v>121</v>
      </c>
      <c r="R56" s="25">
        <v>75</v>
      </c>
      <c r="S56" s="25" t="s">
        <v>70</v>
      </c>
      <c r="T56" s="25" t="str">
        <f t="shared" si="5"/>
        <v/>
      </c>
      <c r="U56" t="str">
        <f>IF(AND(L56="Para Programar",G56&gt;0),COUNTIFS($L$5:L56,"Para Programar",$G$5:G56,"&gt;0"),"")</f>
        <v/>
      </c>
      <c r="W56" t="str">
        <f t="shared" si="6"/>
        <v>N9 - N11|03 Base de asiento - Aporte de material base e=0,10 m</v>
      </c>
      <c r="X56">
        <v>0</v>
      </c>
    </row>
    <row r="57" spans="1:24" hidden="1">
      <c r="A57" s="23" t="s">
        <v>77</v>
      </c>
      <c r="B57" s="24" t="s">
        <v>120</v>
      </c>
      <c r="C57" s="25" t="s">
        <v>78</v>
      </c>
      <c r="D57" s="23" t="s">
        <v>67</v>
      </c>
      <c r="E57" s="23">
        <v>210</v>
      </c>
      <c r="F57" s="23">
        <f>IF(E57="","",MIN(E57,$X57+SUMIFS('05_Parte_Diario'!$H$5:$H$204,'05_Parte_Diario'!$D$5:$D$204,B57,'05_Parte_Diario'!$E$5:$E$204,C57)))</f>
        <v>0</v>
      </c>
      <c r="G57" s="23">
        <f t="shared" si="0"/>
        <v>210</v>
      </c>
      <c r="H57" s="26">
        <f t="shared" si="1"/>
        <v>0</v>
      </c>
      <c r="I57" s="26">
        <f>IF(OR(B57="",C57="",$V$1=""),"",MIN(E57,SUMIFS('03_Planificacion'!$G$99:$G$178,'03_Planificacion'!$E$99:$E$178,B57,'03_Planificacion'!$F$99:$F$178,C57,'03_Planificacion'!$D$99:$D$178,"&lt;="&amp;$V$1)))</f>
        <v>0</v>
      </c>
      <c r="J57" s="26">
        <f t="shared" si="2"/>
        <v>0</v>
      </c>
      <c r="K57" s="27">
        <f t="shared" si="3"/>
        <v>0</v>
      </c>
      <c r="L57" s="25" t="s">
        <v>68</v>
      </c>
      <c r="M57" s="25"/>
      <c r="N57" s="25"/>
      <c r="O57" s="25"/>
      <c r="P57" s="28">
        <f t="shared" si="4"/>
        <v>46287</v>
      </c>
      <c r="Q57" s="25" t="s">
        <v>121</v>
      </c>
      <c r="R57" s="25">
        <v>75</v>
      </c>
      <c r="S57" s="25" t="s">
        <v>70</v>
      </c>
      <c r="T57" s="25" t="str">
        <f t="shared" si="5"/>
        <v/>
      </c>
      <c r="U57" t="str">
        <f>IF(AND(L57="Para Programar",G57&gt;0),COUNTIFS($L$5:L57,"Para Programar",$G$5:G57,"&gt;0"),"")</f>
        <v/>
      </c>
      <c r="W57" t="str">
        <f t="shared" si="6"/>
        <v>N9 - N11|03 Base de asiento - Compactación</v>
      </c>
      <c r="X57">
        <v>0</v>
      </c>
    </row>
    <row r="58" spans="1:24" hidden="1">
      <c r="A58" s="23" t="s">
        <v>79</v>
      </c>
      <c r="B58" s="24" t="s">
        <v>120</v>
      </c>
      <c r="C58" s="25" t="s">
        <v>80</v>
      </c>
      <c r="D58" s="23" t="s">
        <v>81</v>
      </c>
      <c r="E58" s="23">
        <v>1</v>
      </c>
      <c r="F58" s="23">
        <f>IF(E58="","",MIN(E58,$X58+SUMIFS('05_Parte_Diario'!$H$5:$H$204,'05_Parte_Diario'!$D$5:$D$204,B58,'05_Parte_Diario'!$E$5:$E$204,C58)))</f>
        <v>0</v>
      </c>
      <c r="G58" s="23">
        <f t="shared" si="0"/>
        <v>1</v>
      </c>
      <c r="H58" s="26">
        <f t="shared" si="1"/>
        <v>0</v>
      </c>
      <c r="I58" s="26">
        <f>IF(OR(B58="",C58="",$V$1=""),"",MIN(E58,SUMIFS('03_Planificacion'!$G$99:$G$178,'03_Planificacion'!$E$99:$E$178,B58,'03_Planificacion'!$F$99:$F$178,C58,'03_Planificacion'!$D$99:$D$178,"&lt;="&amp;$V$1)))</f>
        <v>0</v>
      </c>
      <c r="J58" s="26">
        <f t="shared" si="2"/>
        <v>0</v>
      </c>
      <c r="K58" s="27">
        <f t="shared" si="3"/>
        <v>0</v>
      </c>
      <c r="L58" s="25" t="s">
        <v>68</v>
      </c>
      <c r="M58" s="25"/>
      <c r="N58" s="25"/>
      <c r="O58" s="25"/>
      <c r="P58" s="28">
        <f t="shared" si="4"/>
        <v>46287</v>
      </c>
      <c r="Q58" s="25" t="s">
        <v>121</v>
      </c>
      <c r="R58" s="25">
        <v>75</v>
      </c>
      <c r="S58" s="25" t="s">
        <v>70</v>
      </c>
      <c r="T58" s="25" t="str">
        <f t="shared" si="5"/>
        <v/>
      </c>
      <c r="U58" t="str">
        <f>IF(AND(L58="Para Programar",G58&gt;0),COUNTIFS($L$5:L58,"Para Programar",$G$5:G58,"&gt;0"),"")</f>
        <v/>
      </c>
      <c r="W58" t="str">
        <f t="shared" si="6"/>
        <v>N9 - N11|04 Inspecciones previas - Laboratorio base de asiento</v>
      </c>
      <c r="X58">
        <v>0</v>
      </c>
    </row>
    <row r="59" spans="1:24" hidden="1">
      <c r="A59" s="23" t="s">
        <v>82</v>
      </c>
      <c r="B59" s="24" t="s">
        <v>120</v>
      </c>
      <c r="C59" s="25" t="s">
        <v>83</v>
      </c>
      <c r="D59" s="23" t="s">
        <v>81</v>
      </c>
      <c r="E59" s="23">
        <v>1</v>
      </c>
      <c r="F59" s="23">
        <f>IF(E59="","",MIN(E59,$X59+SUMIFS('05_Parte_Diario'!$H$5:$H$204,'05_Parte_Diario'!$D$5:$D$204,B59,'05_Parte_Diario'!$E$5:$E$204,C59)))</f>
        <v>0</v>
      </c>
      <c r="G59" s="23">
        <f t="shared" si="0"/>
        <v>1</v>
      </c>
      <c r="H59" s="26">
        <f t="shared" si="1"/>
        <v>0</v>
      </c>
      <c r="I59" s="26">
        <f>IF(OR(B59="",C59="",$V$1=""),"",MIN(E59,SUMIFS('03_Planificacion'!$G$99:$G$178,'03_Planificacion'!$E$99:$E$178,B59,'03_Planificacion'!$F$99:$F$178,C59,'03_Planificacion'!$D$99:$D$178,"&lt;="&amp;$V$1)))</f>
        <v>0</v>
      </c>
      <c r="J59" s="26">
        <f t="shared" si="2"/>
        <v>0</v>
      </c>
      <c r="K59" s="27">
        <f t="shared" si="3"/>
        <v>0</v>
      </c>
      <c r="L59" s="25" t="s">
        <v>68</v>
      </c>
      <c r="M59" s="25"/>
      <c r="N59" s="25"/>
      <c r="O59" s="25"/>
      <c r="P59" s="28">
        <f t="shared" si="4"/>
        <v>46287</v>
      </c>
      <c r="Q59" s="25" t="s">
        <v>121</v>
      </c>
      <c r="R59" s="25">
        <v>75</v>
      </c>
      <c r="S59" s="25" t="s">
        <v>70</v>
      </c>
      <c r="T59" s="25" t="str">
        <f t="shared" si="5"/>
        <v/>
      </c>
      <c r="U59" t="str">
        <f>IF(AND(L59="Para Programar",G59&gt;0),COUNTIFS($L$5:L59,"Para Programar",$G$5:G59,"&gt;0"),"")</f>
        <v/>
      </c>
      <c r="W59" t="str">
        <f t="shared" si="6"/>
        <v>N9 - N11|04 Inspecciones previas - Zanja y materiales</v>
      </c>
      <c r="X59">
        <v>0</v>
      </c>
    </row>
    <row r="60" spans="1:24" hidden="1">
      <c r="A60" s="23" t="s">
        <v>84</v>
      </c>
      <c r="B60" s="24" t="s">
        <v>120</v>
      </c>
      <c r="C60" s="25" t="s">
        <v>85</v>
      </c>
      <c r="D60" s="23" t="s">
        <v>67</v>
      </c>
      <c r="E60" s="23">
        <v>210</v>
      </c>
      <c r="F60" s="23">
        <f>IF(E60="","",MIN(E60,$X60+SUMIFS('05_Parte_Diario'!$H$5:$H$204,'05_Parte_Diario'!$D$5:$D$204,B60,'05_Parte_Diario'!$E$5:$E$204,C60)))</f>
        <v>0</v>
      </c>
      <c r="G60" s="23">
        <f t="shared" si="0"/>
        <v>210</v>
      </c>
      <c r="H60" s="26">
        <f t="shared" si="1"/>
        <v>0</v>
      </c>
      <c r="I60" s="26">
        <f>IF(OR(B60="",C60="",$V$1=""),"",MIN(E60,SUMIFS('03_Planificacion'!$G$99:$G$178,'03_Planificacion'!$E$99:$E$178,B60,'03_Planificacion'!$F$99:$F$178,C60,'03_Planificacion'!$D$99:$D$178,"&lt;="&amp;$V$1)))</f>
        <v>0</v>
      </c>
      <c r="J60" s="26">
        <f t="shared" si="2"/>
        <v>0</v>
      </c>
      <c r="K60" s="27">
        <f t="shared" si="3"/>
        <v>0</v>
      </c>
      <c r="L60" s="25" t="s">
        <v>68</v>
      </c>
      <c r="M60" s="25"/>
      <c r="N60" s="25"/>
      <c r="O60" s="25"/>
      <c r="P60" s="28">
        <f t="shared" si="4"/>
        <v>46287</v>
      </c>
      <c r="Q60" s="25" t="s">
        <v>121</v>
      </c>
      <c r="R60" s="25">
        <v>75</v>
      </c>
      <c r="S60" s="25" t="s">
        <v>70</v>
      </c>
      <c r="T60" s="25" t="str">
        <f t="shared" si="5"/>
        <v/>
      </c>
      <c r="U60" t="str">
        <f>IF(AND(L60="Para Programar",G60&gt;0),COUNTIFS($L$5:L60,"Para Programar",$G$5:G60,"&gt;0"),"")</f>
        <v/>
      </c>
      <c r="W60" t="str">
        <f t="shared" si="6"/>
        <v>N9 - N11|05 Tendido de cañería - Cañería principal</v>
      </c>
      <c r="X60">
        <v>0</v>
      </c>
    </row>
    <row r="61" spans="1:24" hidden="1">
      <c r="A61" s="23" t="s">
        <v>86</v>
      </c>
      <c r="B61" s="24" t="s">
        <v>120</v>
      </c>
      <c r="C61" s="25" t="s">
        <v>87</v>
      </c>
      <c r="D61" s="23" t="s">
        <v>67</v>
      </c>
      <c r="E61" s="23">
        <v>210</v>
      </c>
      <c r="F61" s="23">
        <f>IF(E61="","",MIN(E61,$X61+SUMIFS('05_Parte_Diario'!$H$5:$H$204,'05_Parte_Diario'!$D$5:$D$204,B61,'05_Parte_Diario'!$E$5:$E$204,C61)))</f>
        <v>0</v>
      </c>
      <c r="G61" s="23">
        <f t="shared" si="0"/>
        <v>210</v>
      </c>
      <c r="H61" s="26">
        <f t="shared" si="1"/>
        <v>0</v>
      </c>
      <c r="I61" s="26">
        <f>IF(OR(B61="",C61="",$V$1=""),"",MIN(E61,SUMIFS('03_Planificacion'!$G$99:$G$178,'03_Planificacion'!$E$99:$E$178,B61,'03_Planificacion'!$F$99:$F$178,C61,'03_Planificacion'!$D$99:$D$178,"&lt;="&amp;$V$1)))</f>
        <v>0</v>
      </c>
      <c r="J61" s="26">
        <f t="shared" si="2"/>
        <v>0</v>
      </c>
      <c r="K61" s="27">
        <f t="shared" si="3"/>
        <v>0</v>
      </c>
      <c r="L61" s="25" t="s">
        <v>68</v>
      </c>
      <c r="M61" s="25"/>
      <c r="N61" s="25"/>
      <c r="O61" s="25"/>
      <c r="P61" s="28">
        <f t="shared" si="4"/>
        <v>46287</v>
      </c>
      <c r="Q61" s="25" t="s">
        <v>121</v>
      </c>
      <c r="R61" s="25">
        <v>75</v>
      </c>
      <c r="S61" s="25" t="s">
        <v>70</v>
      </c>
      <c r="T61" s="25" t="str">
        <f t="shared" si="5"/>
        <v/>
      </c>
      <c r="U61" t="str">
        <f>IF(AND(L61="Para Programar",G61&gt;0),COUNTIFS($L$5:L61,"Para Programar",$G$5:G61,"&gt;0"),"")</f>
        <v/>
      </c>
      <c r="W61" t="str">
        <f t="shared" si="6"/>
        <v>N9 - N11|05 Tendido de cañería - Relevamiento planialtimétrico</v>
      </c>
      <c r="X61">
        <v>0</v>
      </c>
    </row>
    <row r="62" spans="1:24" hidden="1">
      <c r="A62" s="23" t="s">
        <v>88</v>
      </c>
      <c r="B62" s="24" t="s">
        <v>120</v>
      </c>
      <c r="C62" s="25" t="s">
        <v>89</v>
      </c>
      <c r="D62" s="23" t="s">
        <v>81</v>
      </c>
      <c r="E62" s="23">
        <v>1</v>
      </c>
      <c r="F62" s="23">
        <f>IF(E62="","",MIN(E62,$X62+SUMIFS('05_Parte_Diario'!$H$5:$H$204,'05_Parte_Diario'!$D$5:$D$204,B62,'05_Parte_Diario'!$E$5:$E$204,C62)))</f>
        <v>0</v>
      </c>
      <c r="G62" s="23">
        <f t="shared" si="0"/>
        <v>1</v>
      </c>
      <c r="H62" s="26">
        <f t="shared" si="1"/>
        <v>0</v>
      </c>
      <c r="I62" s="26">
        <f>IF(OR(B62="",C62="",$V$1=""),"",MIN(E62,SUMIFS('03_Planificacion'!$G$99:$G$178,'03_Planificacion'!$E$99:$E$178,B62,'03_Planificacion'!$F$99:$F$178,C62,'03_Planificacion'!$D$99:$D$178,"&lt;="&amp;$V$1)))</f>
        <v>0</v>
      </c>
      <c r="J62" s="26">
        <f t="shared" si="2"/>
        <v>0</v>
      </c>
      <c r="K62" s="27">
        <f t="shared" si="3"/>
        <v>0</v>
      </c>
      <c r="L62" s="25" t="s">
        <v>68</v>
      </c>
      <c r="M62" s="25"/>
      <c r="N62" s="25"/>
      <c r="O62" s="25"/>
      <c r="P62" s="28">
        <f t="shared" si="4"/>
        <v>46287</v>
      </c>
      <c r="Q62" s="25" t="s">
        <v>121</v>
      </c>
      <c r="R62" s="25">
        <v>75</v>
      </c>
      <c r="S62" s="25" t="s">
        <v>70</v>
      </c>
      <c r="T62" s="25" t="str">
        <f t="shared" si="5"/>
        <v/>
      </c>
      <c r="U62" t="str">
        <f>IF(AND(L62="Para Programar",G62&gt;0),COUNTIFS($L$5:L62,"Para Programar",$G$5:G62,"&gt;0"),"")</f>
        <v/>
      </c>
      <c r="W62" t="str">
        <f t="shared" si="6"/>
        <v>N9 - N11|08 Prueba hidráulica - Preparación del sistema</v>
      </c>
      <c r="X62">
        <v>0</v>
      </c>
    </row>
    <row r="63" spans="1:24" hidden="1">
      <c r="A63" s="23" t="s">
        <v>90</v>
      </c>
      <c r="B63" s="24" t="s">
        <v>120</v>
      </c>
      <c r="C63" s="25" t="s">
        <v>91</v>
      </c>
      <c r="D63" s="23" t="s">
        <v>81</v>
      </c>
      <c r="E63" s="23">
        <v>1</v>
      </c>
      <c r="F63" s="23">
        <f>IF(E63="","",MIN(E63,$X63+SUMIFS('05_Parte_Diario'!$H$5:$H$204,'05_Parte_Diario'!$D$5:$D$204,B63,'05_Parte_Diario'!$E$5:$E$204,C63)))</f>
        <v>0</v>
      </c>
      <c r="G63" s="23">
        <f t="shared" si="0"/>
        <v>1</v>
      </c>
      <c r="H63" s="26">
        <f t="shared" si="1"/>
        <v>0</v>
      </c>
      <c r="I63" s="26">
        <f>IF(OR(B63="",C63="",$V$1=""),"",MIN(E63,SUMIFS('03_Planificacion'!$G$99:$G$178,'03_Planificacion'!$E$99:$E$178,B63,'03_Planificacion'!$F$99:$F$178,C63,'03_Planificacion'!$D$99:$D$178,"&lt;="&amp;$V$1)))</f>
        <v>0</v>
      </c>
      <c r="J63" s="26">
        <f t="shared" si="2"/>
        <v>0</v>
      </c>
      <c r="K63" s="27">
        <f t="shared" si="3"/>
        <v>0</v>
      </c>
      <c r="L63" s="25" t="s">
        <v>68</v>
      </c>
      <c r="M63" s="25"/>
      <c r="N63" s="25"/>
      <c r="O63" s="25"/>
      <c r="P63" s="28">
        <f t="shared" si="4"/>
        <v>46287</v>
      </c>
      <c r="Q63" s="25" t="s">
        <v>121</v>
      </c>
      <c r="R63" s="25">
        <v>75</v>
      </c>
      <c r="S63" s="25" t="s">
        <v>70</v>
      </c>
      <c r="T63" s="25" t="str">
        <f t="shared" si="5"/>
        <v/>
      </c>
      <c r="U63" t="str">
        <f>IF(AND(L63="Para Programar",G63&gt;0),COUNTIFS($L$5:L63,"Para Programar",$G$5:G63,"&gt;0"),"")</f>
        <v/>
      </c>
      <c r="W63" t="str">
        <f t="shared" si="6"/>
        <v>N9 - N11|08 Prueba hidráulica - Interna N° 1</v>
      </c>
      <c r="X63">
        <v>0</v>
      </c>
    </row>
    <row r="64" spans="1:24" hidden="1">
      <c r="A64" s="23" t="s">
        <v>92</v>
      </c>
      <c r="B64" s="24" t="s">
        <v>120</v>
      </c>
      <c r="C64" s="25" t="s">
        <v>93</v>
      </c>
      <c r="D64" s="23" t="s">
        <v>81</v>
      </c>
      <c r="E64" s="23">
        <v>1</v>
      </c>
      <c r="F64" s="23">
        <f>IF(E64="","",MIN(E64,$X64+SUMIFS('05_Parte_Diario'!$H$5:$H$204,'05_Parte_Diario'!$D$5:$D$204,B64,'05_Parte_Diario'!$E$5:$E$204,C64)))</f>
        <v>0</v>
      </c>
      <c r="G64" s="23">
        <f t="shared" si="0"/>
        <v>1</v>
      </c>
      <c r="H64" s="26">
        <f t="shared" si="1"/>
        <v>0</v>
      </c>
      <c r="I64" s="26">
        <f>IF(OR(B64="",C64="",$V$1=""),"",MIN(E64,SUMIFS('03_Planificacion'!$G$99:$G$178,'03_Planificacion'!$E$99:$E$178,B64,'03_Planificacion'!$F$99:$F$178,C64,'03_Planificacion'!$D$99:$D$178,"&lt;="&amp;$V$1)))</f>
        <v>0</v>
      </c>
      <c r="J64" s="26">
        <f t="shared" si="2"/>
        <v>0</v>
      </c>
      <c r="K64" s="27">
        <f t="shared" si="3"/>
        <v>0</v>
      </c>
      <c r="L64" s="25" t="s">
        <v>68</v>
      </c>
      <c r="M64" s="25"/>
      <c r="N64" s="25"/>
      <c r="O64" s="25"/>
      <c r="P64" s="28">
        <f t="shared" si="4"/>
        <v>46287</v>
      </c>
      <c r="Q64" s="25" t="s">
        <v>121</v>
      </c>
      <c r="R64" s="25">
        <v>75</v>
      </c>
      <c r="S64" s="25" t="s">
        <v>70</v>
      </c>
      <c r="T64" s="25" t="str">
        <f t="shared" si="5"/>
        <v/>
      </c>
      <c r="U64" t="str">
        <f>IF(AND(L64="Para Programar",G64&gt;0),COUNTIFS($L$5:L64,"Para Programar",$G$5:G64,"&gt;0"),"")</f>
        <v/>
      </c>
      <c r="W64" t="str">
        <f t="shared" si="6"/>
        <v>N9 - N11|08 Prueba hidráulica - Interna N° 2</v>
      </c>
      <c r="X64">
        <v>0</v>
      </c>
    </row>
    <row r="65" spans="1:24" hidden="1">
      <c r="A65" s="23" t="s">
        <v>94</v>
      </c>
      <c r="B65" s="24" t="s">
        <v>120</v>
      </c>
      <c r="C65" s="25" t="s">
        <v>95</v>
      </c>
      <c r="D65" s="23" t="s">
        <v>81</v>
      </c>
      <c r="E65" s="23">
        <v>1</v>
      </c>
      <c r="F65" s="23">
        <f>IF(E65="","",MIN(E65,$X65+SUMIFS('05_Parte_Diario'!$H$5:$H$204,'05_Parte_Diario'!$D$5:$D$204,B65,'05_Parte_Diario'!$E$5:$E$204,C65)))</f>
        <v>0</v>
      </c>
      <c r="G65" s="23">
        <f t="shared" si="0"/>
        <v>1</v>
      </c>
      <c r="H65" s="26">
        <f t="shared" si="1"/>
        <v>0</v>
      </c>
      <c r="I65" s="26">
        <f>IF(OR(B65="",C65="",$V$1=""),"",MIN(E65,SUMIFS('03_Planificacion'!$G$99:$G$178,'03_Planificacion'!$E$99:$E$178,B65,'03_Planificacion'!$F$99:$F$178,C65,'03_Planificacion'!$D$99:$D$178,"&lt;="&amp;$V$1)))</f>
        <v>0</v>
      </c>
      <c r="J65" s="26">
        <f t="shared" si="2"/>
        <v>0</v>
      </c>
      <c r="K65" s="27">
        <f t="shared" si="3"/>
        <v>0</v>
      </c>
      <c r="L65" s="25" t="s">
        <v>68</v>
      </c>
      <c r="M65" s="25"/>
      <c r="N65" s="25"/>
      <c r="O65" s="25"/>
      <c r="P65" s="28">
        <f t="shared" si="4"/>
        <v>46287</v>
      </c>
      <c r="Q65" s="25" t="s">
        <v>121</v>
      </c>
      <c r="R65" s="25">
        <v>75</v>
      </c>
      <c r="S65" s="25" t="s">
        <v>70</v>
      </c>
      <c r="T65" s="25" t="str">
        <f t="shared" si="5"/>
        <v/>
      </c>
      <c r="U65" t="str">
        <f>IF(AND(L65="Para Programar",G65&gt;0),COUNTIFS($L$5:L65,"Para Programar",$G$5:G65,"&gt;0"),"")</f>
        <v/>
      </c>
      <c r="W65" t="str">
        <f t="shared" si="6"/>
        <v>N9 - N11|08 Prueba hidráulica - Primera prueba oficial</v>
      </c>
      <c r="X65">
        <v>0</v>
      </c>
    </row>
    <row r="66" spans="1:24" hidden="1">
      <c r="A66" s="23" t="s">
        <v>96</v>
      </c>
      <c r="B66" s="24" t="s">
        <v>120</v>
      </c>
      <c r="C66" s="25" t="s">
        <v>97</v>
      </c>
      <c r="D66" s="23" t="s">
        <v>67</v>
      </c>
      <c r="E66" s="23">
        <v>210</v>
      </c>
      <c r="F66" s="23">
        <f>IF(E66="","",MIN(E66,$X66+SUMIFS('05_Parte_Diario'!$H$5:$H$204,'05_Parte_Diario'!$D$5:$D$204,B66,'05_Parte_Diario'!$E$5:$E$204,C66)))</f>
        <v>0</v>
      </c>
      <c r="G66" s="23">
        <f t="shared" si="0"/>
        <v>210</v>
      </c>
      <c r="H66" s="26">
        <f t="shared" si="1"/>
        <v>0</v>
      </c>
      <c r="I66" s="26">
        <f>IF(OR(B66="",C66="",$V$1=""),"",MIN(E66,SUMIFS('03_Planificacion'!$G$99:$G$178,'03_Planificacion'!$E$99:$E$178,B66,'03_Planificacion'!$F$99:$F$178,C66,'03_Planificacion'!$D$99:$D$178,"&lt;="&amp;$V$1)))</f>
        <v>0</v>
      </c>
      <c r="J66" s="26">
        <f t="shared" si="2"/>
        <v>0</v>
      </c>
      <c r="K66" s="27">
        <f t="shared" si="3"/>
        <v>0</v>
      </c>
      <c r="L66" s="25" t="s">
        <v>68</v>
      </c>
      <c r="M66" s="25"/>
      <c r="N66" s="25"/>
      <c r="O66" s="25"/>
      <c r="P66" s="28">
        <f t="shared" si="4"/>
        <v>46287</v>
      </c>
      <c r="Q66" s="25" t="s">
        <v>121</v>
      </c>
      <c r="R66" s="25">
        <v>75</v>
      </c>
      <c r="S66" s="25" t="s">
        <v>70</v>
      </c>
      <c r="T66" s="25" t="str">
        <f t="shared" si="5"/>
        <v/>
      </c>
      <c r="U66" t="str">
        <f>IF(AND(L66="Para Programar",G66&gt;0),COUNTIFS($L$5:L66,"Para Programar",$G$5:G66,"&gt;0"),"")</f>
        <v/>
      </c>
      <c r="W66" t="str">
        <f t="shared" si="6"/>
        <v>N9 - N11|09 Paquete estructural - Aporte e=0,30 m</v>
      </c>
      <c r="X66">
        <v>0</v>
      </c>
    </row>
    <row r="67" spans="1:24" hidden="1">
      <c r="A67" s="23" t="s">
        <v>98</v>
      </c>
      <c r="B67" s="24" t="s">
        <v>120</v>
      </c>
      <c r="C67" s="25" t="s">
        <v>99</v>
      </c>
      <c r="D67" s="23" t="s">
        <v>67</v>
      </c>
      <c r="E67" s="23">
        <v>210</v>
      </c>
      <c r="F67" s="23">
        <f>IF(E67="","",MIN(E67,$X67+SUMIFS('05_Parte_Diario'!$H$5:$H$204,'05_Parte_Diario'!$D$5:$D$204,B67,'05_Parte_Diario'!$E$5:$E$204,C67)))</f>
        <v>0</v>
      </c>
      <c r="G67" s="23">
        <f t="shared" si="0"/>
        <v>210</v>
      </c>
      <c r="H67" s="26">
        <f t="shared" si="1"/>
        <v>0</v>
      </c>
      <c r="I67" s="26">
        <f>IF(OR(B67="",C67="",$V$1=""),"",MIN(E67,SUMIFS('03_Planificacion'!$G$99:$G$178,'03_Planificacion'!$E$99:$E$178,B67,'03_Planificacion'!$F$99:$F$178,C67,'03_Planificacion'!$D$99:$D$178,"&lt;="&amp;$V$1)))</f>
        <v>0</v>
      </c>
      <c r="J67" s="26">
        <f t="shared" si="2"/>
        <v>0</v>
      </c>
      <c r="K67" s="27">
        <f t="shared" si="3"/>
        <v>0</v>
      </c>
      <c r="L67" s="25" t="s">
        <v>68</v>
      </c>
      <c r="M67" s="25"/>
      <c r="N67" s="25"/>
      <c r="O67" s="25"/>
      <c r="P67" s="28">
        <f t="shared" si="4"/>
        <v>46287</v>
      </c>
      <c r="Q67" s="25" t="s">
        <v>121</v>
      </c>
      <c r="R67" s="25">
        <v>75</v>
      </c>
      <c r="S67" s="25" t="s">
        <v>70</v>
      </c>
      <c r="T67" s="25" t="str">
        <f t="shared" si="5"/>
        <v/>
      </c>
      <c r="U67" t="str">
        <f>IF(AND(L67="Para Programar",G67&gt;0),COUNTIFS($L$5:L67,"Para Programar",$G$5:G67,"&gt;0"),"")</f>
        <v/>
      </c>
      <c r="W67" t="str">
        <f t="shared" si="6"/>
        <v>N9 - N11|09 Paquete estructural - Compactación</v>
      </c>
      <c r="X67">
        <v>0</v>
      </c>
    </row>
    <row r="68" spans="1:24" hidden="1">
      <c r="A68" s="23" t="s">
        <v>100</v>
      </c>
      <c r="B68" s="24" t="s">
        <v>120</v>
      </c>
      <c r="C68" s="25" t="s">
        <v>101</v>
      </c>
      <c r="D68" s="23" t="s">
        <v>81</v>
      </c>
      <c r="E68" s="23">
        <v>1</v>
      </c>
      <c r="F68" s="23">
        <f>IF(E68="","",MIN(E68,$X68+SUMIFS('05_Parte_Diario'!$H$5:$H$204,'05_Parte_Diario'!$D$5:$D$204,B68,'05_Parte_Diario'!$E$5:$E$204,C68)))</f>
        <v>0</v>
      </c>
      <c r="G68" s="23">
        <f t="shared" si="0"/>
        <v>1</v>
      </c>
      <c r="H68" s="26">
        <f t="shared" si="1"/>
        <v>0</v>
      </c>
      <c r="I68" s="26">
        <f>IF(OR(B68="",C68="",$V$1=""),"",MIN(E68,SUMIFS('03_Planificacion'!$G$99:$G$178,'03_Planificacion'!$E$99:$E$178,B68,'03_Planificacion'!$F$99:$F$178,C68,'03_Planificacion'!$D$99:$D$178,"&lt;="&amp;$V$1)))</f>
        <v>0</v>
      </c>
      <c r="J68" s="26">
        <f t="shared" si="2"/>
        <v>0</v>
      </c>
      <c r="K68" s="27">
        <f t="shared" si="3"/>
        <v>0</v>
      </c>
      <c r="L68" s="25" t="s">
        <v>68</v>
      </c>
      <c r="M68" s="25"/>
      <c r="N68" s="25"/>
      <c r="O68" s="25"/>
      <c r="P68" s="28">
        <f t="shared" si="4"/>
        <v>46287</v>
      </c>
      <c r="Q68" s="25" t="s">
        <v>121</v>
      </c>
      <c r="R68" s="25">
        <v>75</v>
      </c>
      <c r="S68" s="25" t="s">
        <v>70</v>
      </c>
      <c r="T68" s="25" t="str">
        <f t="shared" si="5"/>
        <v/>
      </c>
      <c r="U68" t="str">
        <f>IF(AND(L68="Para Programar",G68&gt;0),COUNTIFS($L$5:L68,"Para Programar",$G$5:G68,"&gt;0"),"")</f>
        <v/>
      </c>
      <c r="W68" t="str">
        <f t="shared" si="6"/>
        <v>N9 - N11|09 Paquete estructural - Inspección laboratorio</v>
      </c>
      <c r="X68">
        <v>0</v>
      </c>
    </row>
    <row r="69" spans="1:24" hidden="1">
      <c r="A69" s="23" t="s">
        <v>102</v>
      </c>
      <c r="B69" s="24" t="s">
        <v>120</v>
      </c>
      <c r="C69" s="25" t="s">
        <v>103</v>
      </c>
      <c r="D69" s="23" t="s">
        <v>67</v>
      </c>
      <c r="E69" s="23">
        <v>210</v>
      </c>
      <c r="F69" s="23">
        <f>IF(E69="","",MIN(E69,$X69+SUMIFS('05_Parte_Diario'!$H$5:$H$204,'05_Parte_Diario'!$D$5:$D$204,B69,'05_Parte_Diario'!$E$5:$E$204,C69)))</f>
        <v>0</v>
      </c>
      <c r="G69" s="23">
        <f t="shared" ref="G69:G132" si="7">IF(E69="","",MAX(E69-F69,0))</f>
        <v>210</v>
      </c>
      <c r="H69" s="26">
        <f t="shared" ref="H69:H132" si="8">IFERROR(F69/E69,0)</f>
        <v>0</v>
      </c>
      <c r="I69" s="26">
        <f>IF(OR(B69="",C69="",$V$1=""),"",MIN(E69,SUMIFS('03_Planificacion'!$G$99:$G$178,'03_Planificacion'!$E$99:$E$178,B69,'03_Planificacion'!$F$99:$F$178,C69,'03_Planificacion'!$D$99:$D$178,"&lt;="&amp;$V$1)))</f>
        <v>0</v>
      </c>
      <c r="J69" s="26">
        <f t="shared" ref="J69:J132" si="9">IFERROR(I69/E69,0)</f>
        <v>0</v>
      </c>
      <c r="K69" s="27">
        <f t="shared" ref="K69:K132" si="10">IF(OR(E69="",$V$1=""),"",H69-J69)</f>
        <v>0</v>
      </c>
      <c r="L69" s="25" t="s">
        <v>68</v>
      </c>
      <c r="M69" s="25"/>
      <c r="N69" s="25"/>
      <c r="O69" s="25"/>
      <c r="P69" s="28">
        <f t="shared" ref="P69:P132" si="11">IF(A69="","",$V$1)</f>
        <v>46287</v>
      </c>
      <c r="Q69" s="25" t="s">
        <v>121</v>
      </c>
      <c r="R69" s="25">
        <v>75</v>
      </c>
      <c r="S69" s="25" t="s">
        <v>70</v>
      </c>
      <c r="T69" s="25" t="str">
        <f t="shared" ref="T69:T132" si="12">IF(A69="","",IF(AND(L69="Para Programar",G69=0),"INCONSISTENCIA - REVISAR MANUALMENTE: Para Programar sin saldo",IF(AND(L69="Terminada",G69&gt;0),"INCONSISTENCIA - REVISAR MANUALMENTE: Terminada con saldo","")))</f>
        <v/>
      </c>
      <c r="U69" t="str">
        <f>IF(AND(L69="Para Programar",G69&gt;0),COUNTIFS($L$5:L69,"Para Programar",$G$5:G69,"&gt;0"),"")</f>
        <v/>
      </c>
      <c r="W69" t="str">
        <f t="shared" ref="W69:W132" si="13">IF(OR(B69="",C69=""),"",B69&amp;"|"&amp;C69)</f>
        <v>N9 - N11|10 Relleno -0,60 - Conformación de capa</v>
      </c>
      <c r="X69">
        <v>0</v>
      </c>
    </row>
    <row r="70" spans="1:24" hidden="1">
      <c r="A70" s="23" t="s">
        <v>104</v>
      </c>
      <c r="B70" s="24" t="s">
        <v>120</v>
      </c>
      <c r="C70" s="25" t="s">
        <v>105</v>
      </c>
      <c r="D70" s="23" t="s">
        <v>67</v>
      </c>
      <c r="E70" s="23">
        <v>210</v>
      </c>
      <c r="F70" s="23">
        <f>IF(E70="","",MIN(E70,$X70+SUMIFS('05_Parte_Diario'!$H$5:$H$204,'05_Parte_Diario'!$D$5:$D$204,B70,'05_Parte_Diario'!$E$5:$E$204,C70)))</f>
        <v>0</v>
      </c>
      <c r="G70" s="23">
        <f t="shared" si="7"/>
        <v>210</v>
      </c>
      <c r="H70" s="26">
        <f t="shared" si="8"/>
        <v>0</v>
      </c>
      <c r="I70" s="26">
        <f>IF(OR(B70="",C70="",$V$1=""),"",MIN(E70,SUMIFS('03_Planificacion'!$G$99:$G$178,'03_Planificacion'!$E$99:$E$178,B70,'03_Planificacion'!$F$99:$F$178,C70,'03_Planificacion'!$D$99:$D$178,"&lt;="&amp;$V$1)))</f>
        <v>0</v>
      </c>
      <c r="J70" s="26">
        <f t="shared" si="9"/>
        <v>0</v>
      </c>
      <c r="K70" s="27">
        <f t="shared" si="10"/>
        <v>0</v>
      </c>
      <c r="L70" s="25" t="s">
        <v>68</v>
      </c>
      <c r="M70" s="25"/>
      <c r="N70" s="25"/>
      <c r="O70" s="25"/>
      <c r="P70" s="28">
        <f t="shared" si="11"/>
        <v>46287</v>
      </c>
      <c r="Q70" s="25" t="s">
        <v>121</v>
      </c>
      <c r="R70" s="25">
        <v>75</v>
      </c>
      <c r="S70" s="25" t="s">
        <v>70</v>
      </c>
      <c r="T70" s="25" t="str">
        <f t="shared" si="12"/>
        <v/>
      </c>
      <c r="U70" t="str">
        <f>IF(AND(L70="Para Programar",G70&gt;0),COUNTIFS($L$5:L70,"Para Programar",$G$5:G70,"&gt;0"),"")</f>
        <v/>
      </c>
      <c r="W70" t="str">
        <f t="shared" si="13"/>
        <v>N9 - N11|10 Relleno -0,60 - Humectación</v>
      </c>
      <c r="X70">
        <v>0</v>
      </c>
    </row>
    <row r="71" spans="1:24" hidden="1">
      <c r="A71" s="23" t="s">
        <v>106</v>
      </c>
      <c r="B71" s="24" t="s">
        <v>120</v>
      </c>
      <c r="C71" s="25" t="s">
        <v>107</v>
      </c>
      <c r="D71" s="23" t="s">
        <v>67</v>
      </c>
      <c r="E71" s="23">
        <v>210</v>
      </c>
      <c r="F71" s="23">
        <f>IF(E71="","",MIN(E71,$X71+SUMIFS('05_Parte_Diario'!$H$5:$H$204,'05_Parte_Diario'!$D$5:$D$204,B71,'05_Parte_Diario'!$E$5:$E$204,C71)))</f>
        <v>0</v>
      </c>
      <c r="G71" s="23">
        <f t="shared" si="7"/>
        <v>210</v>
      </c>
      <c r="H71" s="26">
        <f t="shared" si="8"/>
        <v>0</v>
      </c>
      <c r="I71" s="26">
        <f>IF(OR(B71="",C71="",$V$1=""),"",MIN(E71,SUMIFS('03_Planificacion'!$G$99:$G$178,'03_Planificacion'!$E$99:$E$178,B71,'03_Planificacion'!$F$99:$F$178,C71,'03_Planificacion'!$D$99:$D$178,"&lt;="&amp;$V$1)))</f>
        <v>0</v>
      </c>
      <c r="J71" s="26">
        <f t="shared" si="9"/>
        <v>0</v>
      </c>
      <c r="K71" s="27">
        <f t="shared" si="10"/>
        <v>0</v>
      </c>
      <c r="L71" s="25" t="s">
        <v>68</v>
      </c>
      <c r="M71" s="25"/>
      <c r="N71" s="25"/>
      <c r="O71" s="25"/>
      <c r="P71" s="28">
        <f t="shared" si="11"/>
        <v>46287</v>
      </c>
      <c r="Q71" s="25" t="s">
        <v>121</v>
      </c>
      <c r="R71" s="25">
        <v>75</v>
      </c>
      <c r="S71" s="25" t="s">
        <v>70</v>
      </c>
      <c r="T71" s="25" t="str">
        <f t="shared" si="12"/>
        <v/>
      </c>
      <c r="U71" t="str">
        <f>IF(AND(L71="Para Programar",G71&gt;0),COUNTIFS($L$5:L71,"Para Programar",$G$5:G71,"&gt;0"),"")</f>
        <v/>
      </c>
      <c r="W71" t="str">
        <f t="shared" si="13"/>
        <v>N9 - N11|10 Relleno -0,60 - Compactación</v>
      </c>
      <c r="X71">
        <v>0</v>
      </c>
    </row>
    <row r="72" spans="1:24" hidden="1">
      <c r="A72" s="23" t="s">
        <v>108</v>
      </c>
      <c r="B72" s="24" t="s">
        <v>120</v>
      </c>
      <c r="C72" s="25" t="s">
        <v>109</v>
      </c>
      <c r="D72" s="23" t="s">
        <v>81</v>
      </c>
      <c r="E72" s="23">
        <v>1</v>
      </c>
      <c r="F72" s="23">
        <f>IF(E72="","",MIN(E72,$X72+SUMIFS('05_Parte_Diario'!$H$5:$H$204,'05_Parte_Diario'!$D$5:$D$204,B72,'05_Parte_Diario'!$E$5:$E$204,C72)))</f>
        <v>0</v>
      </c>
      <c r="G72" s="23">
        <f t="shared" si="7"/>
        <v>1</v>
      </c>
      <c r="H72" s="26">
        <f t="shared" si="8"/>
        <v>0</v>
      </c>
      <c r="I72" s="26">
        <f>IF(OR(B72="",C72="",$V$1=""),"",MIN(E72,SUMIFS('03_Planificacion'!$G$99:$G$178,'03_Planificacion'!$E$99:$E$178,B72,'03_Planificacion'!$F$99:$F$178,C72,'03_Planificacion'!$D$99:$D$178,"&lt;="&amp;$V$1)))</f>
        <v>0</v>
      </c>
      <c r="J72" s="26">
        <f t="shared" si="9"/>
        <v>0</v>
      </c>
      <c r="K72" s="27">
        <f t="shared" si="10"/>
        <v>0</v>
      </c>
      <c r="L72" s="25" t="s">
        <v>68</v>
      </c>
      <c r="M72" s="25"/>
      <c r="N72" s="25"/>
      <c r="O72" s="25"/>
      <c r="P72" s="28">
        <f t="shared" si="11"/>
        <v>46287</v>
      </c>
      <c r="Q72" s="25" t="s">
        <v>121</v>
      </c>
      <c r="R72" s="25">
        <v>75</v>
      </c>
      <c r="S72" s="25" t="s">
        <v>70</v>
      </c>
      <c r="T72" s="25" t="str">
        <f t="shared" si="12"/>
        <v/>
      </c>
      <c r="U72" t="str">
        <f>IF(AND(L72="Para Programar",G72&gt;0),COUNTIFS($L$5:L72,"Para Programar",$G$5:G72,"&gt;0"),"")</f>
        <v/>
      </c>
      <c r="W72" t="str">
        <f t="shared" si="13"/>
        <v>N9 - N11|10 Relleno -0,60 - Inspección laboratorio</v>
      </c>
      <c r="X72">
        <v>0</v>
      </c>
    </row>
    <row r="73" spans="1:24" hidden="1">
      <c r="A73" s="23" t="s">
        <v>110</v>
      </c>
      <c r="B73" s="24" t="s">
        <v>120</v>
      </c>
      <c r="C73" s="25" t="s">
        <v>111</v>
      </c>
      <c r="D73" s="23" t="s">
        <v>67</v>
      </c>
      <c r="E73" s="23">
        <v>210</v>
      </c>
      <c r="F73" s="23">
        <f>IF(E73="","",MIN(E73,$X73+SUMIFS('05_Parte_Diario'!$H$5:$H$204,'05_Parte_Diario'!$D$5:$D$204,B73,'05_Parte_Diario'!$E$5:$E$204,C73)))</f>
        <v>0</v>
      </c>
      <c r="G73" s="23">
        <f t="shared" si="7"/>
        <v>210</v>
      </c>
      <c r="H73" s="26">
        <f t="shared" si="8"/>
        <v>0</v>
      </c>
      <c r="I73" s="26">
        <f>IF(OR(B73="",C73="",$V$1=""),"",MIN(E73,SUMIFS('03_Planificacion'!$G$99:$G$178,'03_Planificacion'!$E$99:$E$178,B73,'03_Planificacion'!$F$99:$F$178,C73,'03_Planificacion'!$D$99:$D$178,"&lt;="&amp;$V$1)))</f>
        <v>0</v>
      </c>
      <c r="J73" s="26">
        <f t="shared" si="9"/>
        <v>0</v>
      </c>
      <c r="K73" s="27">
        <f t="shared" si="10"/>
        <v>0</v>
      </c>
      <c r="L73" s="25" t="s">
        <v>68</v>
      </c>
      <c r="M73" s="25"/>
      <c r="N73" s="25"/>
      <c r="O73" s="25"/>
      <c r="P73" s="28">
        <f t="shared" si="11"/>
        <v>46287</v>
      </c>
      <c r="Q73" s="25" t="s">
        <v>121</v>
      </c>
      <c r="R73" s="25">
        <v>75</v>
      </c>
      <c r="S73" s="25" t="s">
        <v>70</v>
      </c>
      <c r="T73" s="25" t="str">
        <f t="shared" si="12"/>
        <v/>
      </c>
      <c r="U73" t="str">
        <f>IF(AND(L73="Para Programar",G73&gt;0),COUNTIFS($L$5:L73,"Para Programar",$G$5:G73,"&gt;0"),"")</f>
        <v/>
      </c>
      <c r="W73" t="str">
        <f t="shared" si="13"/>
        <v>N9 - N11|11 Relleno -0,30 - Conformación de capa</v>
      </c>
      <c r="X73">
        <v>0</v>
      </c>
    </row>
    <row r="74" spans="1:24" hidden="1">
      <c r="A74" s="23" t="s">
        <v>112</v>
      </c>
      <c r="B74" s="24" t="s">
        <v>120</v>
      </c>
      <c r="C74" s="25" t="s">
        <v>113</v>
      </c>
      <c r="D74" s="23" t="s">
        <v>67</v>
      </c>
      <c r="E74" s="23">
        <v>210</v>
      </c>
      <c r="F74" s="23">
        <f>IF(E74="","",MIN(E74,$X74+SUMIFS('05_Parte_Diario'!$H$5:$H$204,'05_Parte_Diario'!$D$5:$D$204,B74,'05_Parte_Diario'!$E$5:$E$204,C74)))</f>
        <v>0</v>
      </c>
      <c r="G74" s="23">
        <f t="shared" si="7"/>
        <v>210</v>
      </c>
      <c r="H74" s="26">
        <f t="shared" si="8"/>
        <v>0</v>
      </c>
      <c r="I74" s="26">
        <f>IF(OR(B74="",C74="",$V$1=""),"",MIN(E74,SUMIFS('03_Planificacion'!$G$99:$G$178,'03_Planificacion'!$E$99:$E$178,B74,'03_Planificacion'!$F$99:$F$178,C74,'03_Planificacion'!$D$99:$D$178,"&lt;="&amp;$V$1)))</f>
        <v>0</v>
      </c>
      <c r="J74" s="26">
        <f t="shared" si="9"/>
        <v>0</v>
      </c>
      <c r="K74" s="27">
        <f t="shared" si="10"/>
        <v>0</v>
      </c>
      <c r="L74" s="25" t="s">
        <v>68</v>
      </c>
      <c r="M74" s="25"/>
      <c r="N74" s="25"/>
      <c r="O74" s="25"/>
      <c r="P74" s="28">
        <f t="shared" si="11"/>
        <v>46287</v>
      </c>
      <c r="Q74" s="25" t="s">
        <v>121</v>
      </c>
      <c r="R74" s="25">
        <v>75</v>
      </c>
      <c r="S74" s="25" t="s">
        <v>70</v>
      </c>
      <c r="T74" s="25" t="str">
        <f t="shared" si="12"/>
        <v/>
      </c>
      <c r="U74" t="str">
        <f>IF(AND(L74="Para Programar",G74&gt;0),COUNTIFS($L$5:L74,"Para Programar",$G$5:G74,"&gt;0"),"")</f>
        <v/>
      </c>
      <c r="W74" t="str">
        <f t="shared" si="13"/>
        <v>N9 - N11|11 Relleno -0,30 - Humectación</v>
      </c>
      <c r="X74">
        <v>0</v>
      </c>
    </row>
    <row r="75" spans="1:24" hidden="1">
      <c r="A75" s="23" t="s">
        <v>114</v>
      </c>
      <c r="B75" s="24" t="s">
        <v>120</v>
      </c>
      <c r="C75" s="25" t="s">
        <v>115</v>
      </c>
      <c r="D75" s="23" t="s">
        <v>67</v>
      </c>
      <c r="E75" s="23">
        <v>210</v>
      </c>
      <c r="F75" s="23">
        <f>IF(E75="","",MIN(E75,$X75+SUMIFS('05_Parte_Diario'!$H$5:$H$204,'05_Parte_Diario'!$D$5:$D$204,B75,'05_Parte_Diario'!$E$5:$E$204,C75)))</f>
        <v>0</v>
      </c>
      <c r="G75" s="23">
        <f t="shared" si="7"/>
        <v>210</v>
      </c>
      <c r="H75" s="26">
        <f t="shared" si="8"/>
        <v>0</v>
      </c>
      <c r="I75" s="26">
        <f>IF(OR(B75="",C75="",$V$1=""),"",MIN(E75,SUMIFS('03_Planificacion'!$G$99:$G$178,'03_Planificacion'!$E$99:$E$178,B75,'03_Planificacion'!$F$99:$F$178,C75,'03_Planificacion'!$D$99:$D$178,"&lt;="&amp;$V$1)))</f>
        <v>0</v>
      </c>
      <c r="J75" s="26">
        <f t="shared" si="9"/>
        <v>0</v>
      </c>
      <c r="K75" s="27">
        <f t="shared" si="10"/>
        <v>0</v>
      </c>
      <c r="L75" s="25" t="s">
        <v>68</v>
      </c>
      <c r="M75" s="25"/>
      <c r="N75" s="25"/>
      <c r="O75" s="25"/>
      <c r="P75" s="28">
        <f t="shared" si="11"/>
        <v>46287</v>
      </c>
      <c r="Q75" s="25" t="s">
        <v>121</v>
      </c>
      <c r="R75" s="25">
        <v>75</v>
      </c>
      <c r="S75" s="25" t="s">
        <v>70</v>
      </c>
      <c r="T75" s="25" t="str">
        <f t="shared" si="12"/>
        <v/>
      </c>
      <c r="U75" t="str">
        <f>IF(AND(L75="Para Programar",G75&gt;0),COUNTIFS($L$5:L75,"Para Programar",$G$5:G75,"&gt;0"),"")</f>
        <v/>
      </c>
      <c r="W75" t="str">
        <f t="shared" si="13"/>
        <v>N9 - N11|11 Relleno -0,30 - Compactación</v>
      </c>
      <c r="X75">
        <v>0</v>
      </c>
    </row>
    <row r="76" spans="1:24" hidden="1">
      <c r="A76" s="23" t="s">
        <v>116</v>
      </c>
      <c r="B76" s="24" t="s">
        <v>120</v>
      </c>
      <c r="C76" s="25" t="s">
        <v>117</v>
      </c>
      <c r="D76" s="23" t="s">
        <v>81</v>
      </c>
      <c r="E76" s="23">
        <v>1</v>
      </c>
      <c r="F76" s="23">
        <f>IF(E76="","",MIN(E76,$X76+SUMIFS('05_Parte_Diario'!$H$5:$H$204,'05_Parte_Diario'!$D$5:$D$204,B76,'05_Parte_Diario'!$E$5:$E$204,C76)))</f>
        <v>0</v>
      </c>
      <c r="G76" s="23">
        <f t="shared" si="7"/>
        <v>1</v>
      </c>
      <c r="H76" s="26">
        <f t="shared" si="8"/>
        <v>0</v>
      </c>
      <c r="I76" s="26">
        <f>IF(OR(B76="",C76="",$V$1=""),"",MIN(E76,SUMIFS('03_Planificacion'!$G$99:$G$178,'03_Planificacion'!$E$99:$E$178,B76,'03_Planificacion'!$F$99:$F$178,C76,'03_Planificacion'!$D$99:$D$178,"&lt;="&amp;$V$1)))</f>
        <v>0</v>
      </c>
      <c r="J76" s="26">
        <f t="shared" si="9"/>
        <v>0</v>
      </c>
      <c r="K76" s="27">
        <f t="shared" si="10"/>
        <v>0</v>
      </c>
      <c r="L76" s="25" t="s">
        <v>68</v>
      </c>
      <c r="M76" s="25"/>
      <c r="N76" s="25"/>
      <c r="O76" s="25"/>
      <c r="P76" s="28">
        <f t="shared" si="11"/>
        <v>46287</v>
      </c>
      <c r="Q76" s="25" t="s">
        <v>121</v>
      </c>
      <c r="R76" s="25">
        <v>75</v>
      </c>
      <c r="S76" s="25" t="s">
        <v>70</v>
      </c>
      <c r="T76" s="25" t="str">
        <f t="shared" si="12"/>
        <v/>
      </c>
      <c r="U76" t="str">
        <f>IF(AND(L76="Para Programar",G76&gt;0),COUNTIFS($L$5:L76,"Para Programar",$G$5:G76,"&gt;0"),"")</f>
        <v/>
      </c>
      <c r="W76" t="str">
        <f t="shared" si="13"/>
        <v>N9 - N11|11 Relleno -0,30 - Inspección laboratorio</v>
      </c>
      <c r="X76">
        <v>0</v>
      </c>
    </row>
    <row r="77" spans="1:24">
      <c r="A77" s="23" t="s">
        <v>64</v>
      </c>
      <c r="B77" s="24" t="s">
        <v>122</v>
      </c>
      <c r="C77" s="25" t="s">
        <v>66</v>
      </c>
      <c r="D77" s="23" t="s">
        <v>67</v>
      </c>
      <c r="E77" s="23">
        <v>81</v>
      </c>
      <c r="F77" s="23">
        <f>IF(E77="","",MIN(E77,$X77+SUMIFS('05_Parte_Diario'!$H$5:$H$204,'05_Parte_Diario'!$D$5:$D$204,B77,'05_Parte_Diario'!$E$5:$E$204,C77)))</f>
        <v>81</v>
      </c>
      <c r="G77" s="23">
        <f t="shared" si="7"/>
        <v>0</v>
      </c>
      <c r="H77" s="26">
        <f t="shared" si="8"/>
        <v>1</v>
      </c>
      <c r="I77" s="26">
        <f>IF(OR(B77="",C77="",$V$1=""),"",MIN(E77,SUMIFS('03_Planificacion'!$G$99:$G$178,'03_Planificacion'!$E$99:$E$178,B77,'03_Planificacion'!$F$99:$F$178,C77,'03_Planificacion'!$D$99:$D$178,"&lt;="&amp;$V$1)))</f>
        <v>0</v>
      </c>
      <c r="J77" s="26">
        <f t="shared" si="9"/>
        <v>0</v>
      </c>
      <c r="K77" s="27">
        <f t="shared" si="10"/>
        <v>1</v>
      </c>
      <c r="L77" s="25" t="s">
        <v>123</v>
      </c>
      <c r="M77" s="25"/>
      <c r="N77" s="25" t="s">
        <v>124</v>
      </c>
      <c r="O77" s="25"/>
      <c r="P77" s="28">
        <f t="shared" si="11"/>
        <v>46287</v>
      </c>
      <c r="Q77" s="25" t="s">
        <v>125</v>
      </c>
      <c r="R77" s="25">
        <v>110</v>
      </c>
      <c r="S77" s="25" t="s">
        <v>70</v>
      </c>
      <c r="T77" s="25" t="str">
        <f t="shared" si="12"/>
        <v/>
      </c>
      <c r="U77" t="str">
        <f>IF(AND(L77="Para Programar",G77&gt;0),COUNTIFS($L$5:L77,"Para Programar",$G$5:G77,"&gt;0"),"")</f>
        <v/>
      </c>
      <c r="W77" t="str">
        <f t="shared" si="13"/>
        <v>N10 - N15|01 Replanteo - Marcación de tramo de cañería principal</v>
      </c>
      <c r="X77">
        <v>81</v>
      </c>
    </row>
    <row r="78" spans="1:24">
      <c r="A78" s="23" t="s">
        <v>71</v>
      </c>
      <c r="B78" s="24" t="s">
        <v>122</v>
      </c>
      <c r="C78" s="25" t="s">
        <v>72</v>
      </c>
      <c r="D78" s="23" t="s">
        <v>67</v>
      </c>
      <c r="E78" s="23">
        <v>81</v>
      </c>
      <c r="F78" s="23">
        <f>IF(E78="","",MIN(E78,$X78+SUMIFS('05_Parte_Diario'!$H$5:$H$204,'05_Parte_Diario'!$D$5:$D$204,B78,'05_Parte_Diario'!$E$5:$E$204,C78)))</f>
        <v>25</v>
      </c>
      <c r="G78" s="23">
        <f t="shared" si="7"/>
        <v>56</v>
      </c>
      <c r="H78" s="26">
        <f t="shared" si="8"/>
        <v>0.30864197530864196</v>
      </c>
      <c r="I78" s="26">
        <f>IF(OR(B78="",C78="",$V$1=""),"",MIN(E78,SUMIFS('03_Planificacion'!$G$99:$G$178,'03_Planificacion'!$E$99:$E$178,B78,'03_Planificacion'!$F$99:$F$178,C78,'03_Planificacion'!$D$99:$D$178,"&lt;="&amp;$V$1)))</f>
        <v>0</v>
      </c>
      <c r="J78" s="26">
        <f t="shared" si="9"/>
        <v>0</v>
      </c>
      <c r="K78" s="27">
        <f t="shared" si="10"/>
        <v>0.30864197530864196</v>
      </c>
      <c r="L78" s="25" t="s">
        <v>123</v>
      </c>
      <c r="M78" s="25"/>
      <c r="N78" s="25"/>
      <c r="O78" s="25"/>
      <c r="P78" s="28">
        <f t="shared" si="11"/>
        <v>46287</v>
      </c>
      <c r="Q78" s="25" t="s">
        <v>125</v>
      </c>
      <c r="R78" s="25">
        <v>110</v>
      </c>
      <c r="S78" s="25" t="s">
        <v>70</v>
      </c>
      <c r="T78" s="25" t="str">
        <f t="shared" si="12"/>
        <v>INCONSISTENCIA - REVISAR MANUALMENTE: Terminada con saldo</v>
      </c>
      <c r="U78" t="str">
        <f>IF(AND(L78="Para Programar",G78&gt;0),COUNTIFS($L$5:L78,"Para Programar",$G$5:G78,"&gt;0"),"")</f>
        <v/>
      </c>
      <c r="W78" t="str">
        <f t="shared" si="13"/>
        <v>N10 - N15|02 Excavación - Zanja principal</v>
      </c>
      <c r="X78">
        <v>25</v>
      </c>
    </row>
    <row r="79" spans="1:24">
      <c r="A79" s="23" t="s">
        <v>73</v>
      </c>
      <c r="B79" s="24" t="s">
        <v>122</v>
      </c>
      <c r="C79" s="25" t="s">
        <v>74</v>
      </c>
      <c r="D79" s="23" t="s">
        <v>67</v>
      </c>
      <c r="E79" s="23">
        <v>81</v>
      </c>
      <c r="F79" s="23">
        <f>IF(E79="","",MIN(E79,$X79+SUMIFS('05_Parte_Diario'!$H$5:$H$204,'05_Parte_Diario'!$D$5:$D$204,B79,'05_Parte_Diario'!$E$5:$E$204,C79)))</f>
        <v>0</v>
      </c>
      <c r="G79" s="23">
        <f t="shared" si="7"/>
        <v>81</v>
      </c>
      <c r="H79" s="26">
        <f t="shared" si="8"/>
        <v>0</v>
      </c>
      <c r="I79" s="26">
        <f>IF(OR(B79="",C79="",$V$1=""),"",MIN(E79,SUMIFS('03_Planificacion'!$G$99:$G$178,'03_Planificacion'!$E$99:$E$178,B79,'03_Planificacion'!$F$99:$F$178,C79,'03_Planificacion'!$D$99:$D$178,"&lt;="&amp;$V$1)))</f>
        <v>0</v>
      </c>
      <c r="J79" s="26">
        <f t="shared" si="9"/>
        <v>0</v>
      </c>
      <c r="K79" s="27">
        <f t="shared" si="10"/>
        <v>0</v>
      </c>
      <c r="L79" s="25" t="s">
        <v>12</v>
      </c>
      <c r="M79" s="25"/>
      <c r="N79" s="25"/>
      <c r="O79" s="25"/>
      <c r="P79" s="28">
        <f t="shared" si="11"/>
        <v>46287</v>
      </c>
      <c r="Q79" s="25" t="s">
        <v>125</v>
      </c>
      <c r="R79" s="25">
        <v>110</v>
      </c>
      <c r="S79" s="25" t="s">
        <v>70</v>
      </c>
      <c r="T79" s="25" t="str">
        <f t="shared" si="12"/>
        <v/>
      </c>
      <c r="U79">
        <f>IF(AND(L79="Para Programar",G79&gt;0),COUNTIFS($L$5:L79,"Para Programar",$G$5:G79,"&gt;0"),"")</f>
        <v>1</v>
      </c>
      <c r="W79" t="str">
        <f t="shared" si="13"/>
        <v>N10 - N15|03 Base de asiento - Nivelación de fondo de zanja</v>
      </c>
      <c r="X79">
        <v>0</v>
      </c>
    </row>
    <row r="80" spans="1:24">
      <c r="A80" s="23" t="s">
        <v>75</v>
      </c>
      <c r="B80" s="24" t="s">
        <v>122</v>
      </c>
      <c r="C80" s="25" t="s">
        <v>76</v>
      </c>
      <c r="D80" s="23" t="s">
        <v>67</v>
      </c>
      <c r="E80" s="23">
        <v>81</v>
      </c>
      <c r="F80" s="23">
        <f>IF(E80="","",MIN(E80,$X80+SUMIFS('05_Parte_Diario'!$H$5:$H$204,'05_Parte_Diario'!$D$5:$D$204,B80,'05_Parte_Diario'!$E$5:$E$204,C80)))</f>
        <v>0</v>
      </c>
      <c r="G80" s="23">
        <f t="shared" si="7"/>
        <v>81</v>
      </c>
      <c r="H80" s="26">
        <f t="shared" si="8"/>
        <v>0</v>
      </c>
      <c r="I80" s="26">
        <f>IF(OR(B80="",C80="",$V$1=""),"",MIN(E80,SUMIFS('03_Planificacion'!$G$99:$G$178,'03_Planificacion'!$E$99:$E$178,B80,'03_Planificacion'!$F$99:$F$178,C80,'03_Planificacion'!$D$99:$D$178,"&lt;="&amp;$V$1)))</f>
        <v>0</v>
      </c>
      <c r="J80" s="26">
        <f t="shared" si="9"/>
        <v>0</v>
      </c>
      <c r="K80" s="27">
        <f t="shared" si="10"/>
        <v>0</v>
      </c>
      <c r="L80" s="25" t="s">
        <v>12</v>
      </c>
      <c r="M80" s="25"/>
      <c r="N80" s="25"/>
      <c r="O80" s="25"/>
      <c r="P80" s="28">
        <f t="shared" si="11"/>
        <v>46287</v>
      </c>
      <c r="Q80" s="25" t="s">
        <v>125</v>
      </c>
      <c r="R80" s="25">
        <v>110</v>
      </c>
      <c r="S80" s="25" t="s">
        <v>70</v>
      </c>
      <c r="T80" s="25" t="str">
        <f t="shared" si="12"/>
        <v/>
      </c>
      <c r="U80">
        <f>IF(AND(L80="Para Programar",G80&gt;0),COUNTIFS($L$5:L80,"Para Programar",$G$5:G80,"&gt;0"),"")</f>
        <v>2</v>
      </c>
      <c r="W80" t="str">
        <f t="shared" si="13"/>
        <v>N10 - N15|03 Base de asiento - Aporte de material base e=0,10 m</v>
      </c>
      <c r="X80">
        <v>0</v>
      </c>
    </row>
    <row r="81" spans="1:24">
      <c r="A81" s="23" t="s">
        <v>77</v>
      </c>
      <c r="B81" s="24" t="s">
        <v>122</v>
      </c>
      <c r="C81" s="25" t="s">
        <v>78</v>
      </c>
      <c r="D81" s="23" t="s">
        <v>67</v>
      </c>
      <c r="E81" s="23">
        <v>81</v>
      </c>
      <c r="F81" s="23">
        <f>IF(E81="","",MIN(E81,$X81+SUMIFS('05_Parte_Diario'!$H$5:$H$204,'05_Parte_Diario'!$D$5:$D$204,B81,'05_Parte_Diario'!$E$5:$E$204,C81)))</f>
        <v>0</v>
      </c>
      <c r="G81" s="23">
        <f t="shared" si="7"/>
        <v>81</v>
      </c>
      <c r="H81" s="26">
        <f t="shared" si="8"/>
        <v>0</v>
      </c>
      <c r="I81" s="26">
        <f>IF(OR(B81="",C81="",$V$1=""),"",MIN(E81,SUMIFS('03_Planificacion'!$G$99:$G$178,'03_Planificacion'!$E$99:$E$178,B81,'03_Planificacion'!$F$99:$F$178,C81,'03_Planificacion'!$D$99:$D$178,"&lt;="&amp;$V$1)))</f>
        <v>0</v>
      </c>
      <c r="J81" s="26">
        <f t="shared" si="9"/>
        <v>0</v>
      </c>
      <c r="K81" s="27">
        <f t="shared" si="10"/>
        <v>0</v>
      </c>
      <c r="L81" s="25" t="s">
        <v>12</v>
      </c>
      <c r="M81" s="25"/>
      <c r="N81" s="25" t="s">
        <v>126</v>
      </c>
      <c r="O81" s="25"/>
      <c r="P81" s="28">
        <f t="shared" si="11"/>
        <v>46287</v>
      </c>
      <c r="Q81" s="25" t="s">
        <v>125</v>
      </c>
      <c r="R81" s="25">
        <v>110</v>
      </c>
      <c r="S81" s="25" t="s">
        <v>70</v>
      </c>
      <c r="T81" s="25" t="str">
        <f t="shared" si="12"/>
        <v/>
      </c>
      <c r="U81">
        <f>IF(AND(L81="Para Programar",G81&gt;0),COUNTIFS($L$5:L81,"Para Programar",$G$5:G81,"&gt;0"),"")</f>
        <v>3</v>
      </c>
      <c r="W81" t="str">
        <f t="shared" si="13"/>
        <v>N10 - N15|03 Base de asiento - Compactación</v>
      </c>
      <c r="X81">
        <v>0</v>
      </c>
    </row>
    <row r="82" spans="1:24">
      <c r="A82" s="23" t="s">
        <v>79</v>
      </c>
      <c r="B82" s="24" t="s">
        <v>122</v>
      </c>
      <c r="C82" s="25" t="s">
        <v>80</v>
      </c>
      <c r="D82" s="23" t="s">
        <v>81</v>
      </c>
      <c r="E82" s="23">
        <v>1</v>
      </c>
      <c r="F82" s="23">
        <f>IF(E82="","",MIN(E82,$X82+SUMIFS('05_Parte_Diario'!$H$5:$H$204,'05_Parte_Diario'!$D$5:$D$204,B82,'05_Parte_Diario'!$E$5:$E$204,C82)))</f>
        <v>0</v>
      </c>
      <c r="G82" s="23">
        <f t="shared" si="7"/>
        <v>1</v>
      </c>
      <c r="H82" s="26">
        <f t="shared" si="8"/>
        <v>0</v>
      </c>
      <c r="I82" s="26">
        <f>IF(OR(B82="",C82="",$V$1=""),"",MIN(E82,SUMIFS('03_Planificacion'!$G$99:$G$178,'03_Planificacion'!$E$99:$E$178,B82,'03_Planificacion'!$F$99:$F$178,C82,'03_Planificacion'!$D$99:$D$178,"&lt;="&amp;$V$1)))</f>
        <v>0</v>
      </c>
      <c r="J82" s="26">
        <f t="shared" si="9"/>
        <v>0</v>
      </c>
      <c r="K82" s="27">
        <f t="shared" si="10"/>
        <v>0</v>
      </c>
      <c r="L82" s="25" t="s">
        <v>68</v>
      </c>
      <c r="M82" s="25"/>
      <c r="N82" s="25"/>
      <c r="O82" s="25"/>
      <c r="P82" s="28">
        <f t="shared" si="11"/>
        <v>46287</v>
      </c>
      <c r="Q82" s="25" t="s">
        <v>125</v>
      </c>
      <c r="R82" s="25">
        <v>110</v>
      </c>
      <c r="S82" s="25" t="s">
        <v>70</v>
      </c>
      <c r="T82" s="25" t="str">
        <f t="shared" si="12"/>
        <v/>
      </c>
      <c r="U82" t="str">
        <f>IF(AND(L82="Para Programar",G82&gt;0),COUNTIFS($L$5:L82,"Para Programar",$G$5:G82,"&gt;0"),"")</f>
        <v/>
      </c>
      <c r="W82" t="str">
        <f t="shared" si="13"/>
        <v>N10 - N15|04 Inspecciones previas - Laboratorio base de asiento</v>
      </c>
      <c r="X82">
        <v>0</v>
      </c>
    </row>
    <row r="83" spans="1:24">
      <c r="A83" s="23" t="s">
        <v>82</v>
      </c>
      <c r="B83" s="24" t="s">
        <v>122</v>
      </c>
      <c r="C83" s="25" t="s">
        <v>83</v>
      </c>
      <c r="D83" s="23" t="s">
        <v>81</v>
      </c>
      <c r="E83" s="23">
        <v>1</v>
      </c>
      <c r="F83" s="23">
        <f>IF(E83="","",MIN(E83,$X83+SUMIFS('05_Parte_Diario'!$H$5:$H$204,'05_Parte_Diario'!$D$5:$D$204,B83,'05_Parte_Diario'!$E$5:$E$204,C83)))</f>
        <v>0</v>
      </c>
      <c r="G83" s="23">
        <f t="shared" si="7"/>
        <v>1</v>
      </c>
      <c r="H83" s="26">
        <f t="shared" si="8"/>
        <v>0</v>
      </c>
      <c r="I83" s="26">
        <f>IF(OR(B83="",C83="",$V$1=""),"",MIN(E83,SUMIFS('03_Planificacion'!$G$99:$G$178,'03_Planificacion'!$E$99:$E$178,B83,'03_Planificacion'!$F$99:$F$178,C83,'03_Planificacion'!$D$99:$D$178,"&lt;="&amp;$V$1)))</f>
        <v>0</v>
      </c>
      <c r="J83" s="26">
        <f t="shared" si="9"/>
        <v>0</v>
      </c>
      <c r="K83" s="27">
        <f t="shared" si="10"/>
        <v>0</v>
      </c>
      <c r="L83" s="25" t="s">
        <v>68</v>
      </c>
      <c r="M83" s="25"/>
      <c r="N83" s="25"/>
      <c r="O83" s="25"/>
      <c r="P83" s="28">
        <f t="shared" si="11"/>
        <v>46287</v>
      </c>
      <c r="Q83" s="25" t="s">
        <v>125</v>
      </c>
      <c r="R83" s="25">
        <v>110</v>
      </c>
      <c r="S83" s="25" t="s">
        <v>70</v>
      </c>
      <c r="T83" s="25" t="str">
        <f t="shared" si="12"/>
        <v/>
      </c>
      <c r="U83" t="str">
        <f>IF(AND(L83="Para Programar",G83&gt;0),COUNTIFS($L$5:L83,"Para Programar",$G$5:G83,"&gt;0"),"")</f>
        <v/>
      </c>
      <c r="W83" t="str">
        <f t="shared" si="13"/>
        <v>N10 - N15|04 Inspecciones previas - Zanja y materiales</v>
      </c>
      <c r="X83">
        <v>0</v>
      </c>
    </row>
    <row r="84" spans="1:24">
      <c r="A84" s="23" t="s">
        <v>84</v>
      </c>
      <c r="B84" s="24" t="s">
        <v>122</v>
      </c>
      <c r="C84" s="25" t="s">
        <v>85</v>
      </c>
      <c r="D84" s="23" t="s">
        <v>67</v>
      </c>
      <c r="E84" s="23">
        <v>81</v>
      </c>
      <c r="F84" s="23">
        <f>IF(E84="","",MIN(E84,$X84+SUMIFS('05_Parte_Diario'!$H$5:$H$204,'05_Parte_Diario'!$D$5:$D$204,B84,'05_Parte_Diario'!$E$5:$E$204,C84)))</f>
        <v>0</v>
      </c>
      <c r="G84" s="23">
        <f t="shared" si="7"/>
        <v>81</v>
      </c>
      <c r="H84" s="26">
        <f t="shared" si="8"/>
        <v>0</v>
      </c>
      <c r="I84" s="26">
        <f>IF(OR(B84="",C84="",$V$1=""),"",MIN(E84,SUMIFS('03_Planificacion'!$G$99:$G$178,'03_Planificacion'!$E$99:$E$178,B84,'03_Planificacion'!$F$99:$F$178,C84,'03_Planificacion'!$D$99:$D$178,"&lt;="&amp;$V$1)))</f>
        <v>0</v>
      </c>
      <c r="J84" s="26">
        <f t="shared" si="9"/>
        <v>0</v>
      </c>
      <c r="K84" s="27">
        <f t="shared" si="10"/>
        <v>0</v>
      </c>
      <c r="L84" s="25" t="s">
        <v>68</v>
      </c>
      <c r="M84" s="25"/>
      <c r="N84" s="25"/>
      <c r="O84" s="25"/>
      <c r="P84" s="28">
        <f t="shared" si="11"/>
        <v>46287</v>
      </c>
      <c r="Q84" s="25" t="s">
        <v>125</v>
      </c>
      <c r="R84" s="25">
        <v>110</v>
      </c>
      <c r="S84" s="25" t="s">
        <v>70</v>
      </c>
      <c r="T84" s="25" t="str">
        <f t="shared" si="12"/>
        <v/>
      </c>
      <c r="U84" t="str">
        <f>IF(AND(L84="Para Programar",G84&gt;0),COUNTIFS($L$5:L84,"Para Programar",$G$5:G84,"&gt;0"),"")</f>
        <v/>
      </c>
      <c r="W84" t="str">
        <f t="shared" si="13"/>
        <v>N10 - N15|05 Tendido de cañería - Cañería principal</v>
      </c>
      <c r="X84">
        <v>0</v>
      </c>
    </row>
    <row r="85" spans="1:24">
      <c r="A85" s="23" t="s">
        <v>86</v>
      </c>
      <c r="B85" s="24" t="s">
        <v>122</v>
      </c>
      <c r="C85" s="25" t="s">
        <v>87</v>
      </c>
      <c r="D85" s="23" t="s">
        <v>67</v>
      </c>
      <c r="E85" s="23">
        <v>81</v>
      </c>
      <c r="F85" s="23">
        <f>IF(E85="","",MIN(E85,$X85+SUMIFS('05_Parte_Diario'!$H$5:$H$204,'05_Parte_Diario'!$D$5:$D$204,B85,'05_Parte_Diario'!$E$5:$E$204,C85)))</f>
        <v>0</v>
      </c>
      <c r="G85" s="23">
        <f t="shared" si="7"/>
        <v>81</v>
      </c>
      <c r="H85" s="26">
        <f t="shared" si="8"/>
        <v>0</v>
      </c>
      <c r="I85" s="26">
        <f>IF(OR(B85="",C85="",$V$1=""),"",MIN(E85,SUMIFS('03_Planificacion'!$G$99:$G$178,'03_Planificacion'!$E$99:$E$178,B85,'03_Planificacion'!$F$99:$F$178,C85,'03_Planificacion'!$D$99:$D$178,"&lt;="&amp;$V$1)))</f>
        <v>0</v>
      </c>
      <c r="J85" s="26">
        <f t="shared" si="9"/>
        <v>0</v>
      </c>
      <c r="K85" s="27">
        <f t="shared" si="10"/>
        <v>0</v>
      </c>
      <c r="L85" s="25" t="s">
        <v>68</v>
      </c>
      <c r="M85" s="25"/>
      <c r="N85" s="25"/>
      <c r="O85" s="25"/>
      <c r="P85" s="28">
        <f t="shared" si="11"/>
        <v>46287</v>
      </c>
      <c r="Q85" s="25" t="s">
        <v>125</v>
      </c>
      <c r="R85" s="25">
        <v>110</v>
      </c>
      <c r="S85" s="25" t="s">
        <v>70</v>
      </c>
      <c r="T85" s="25" t="str">
        <f t="shared" si="12"/>
        <v/>
      </c>
      <c r="U85" t="str">
        <f>IF(AND(L85="Para Programar",G85&gt;0),COUNTIFS($L$5:L85,"Para Programar",$G$5:G85,"&gt;0"),"")</f>
        <v/>
      </c>
      <c r="W85" t="str">
        <f t="shared" si="13"/>
        <v>N10 - N15|05 Tendido de cañería - Relevamiento planialtimétrico</v>
      </c>
      <c r="X85">
        <v>0</v>
      </c>
    </row>
    <row r="86" spans="1:24" hidden="1">
      <c r="A86" s="23" t="s">
        <v>88</v>
      </c>
      <c r="B86" s="24" t="s">
        <v>122</v>
      </c>
      <c r="C86" s="25" t="s">
        <v>89</v>
      </c>
      <c r="D86" s="23" t="s">
        <v>81</v>
      </c>
      <c r="E86" s="23">
        <v>1</v>
      </c>
      <c r="F86" s="23">
        <f>IF(E86="","",MIN(E86,$X86+SUMIFS('05_Parte_Diario'!$H$5:$H$204,'05_Parte_Diario'!$D$5:$D$204,B86,'05_Parte_Diario'!$E$5:$E$204,C86)))</f>
        <v>0</v>
      </c>
      <c r="G86" s="23">
        <f t="shared" si="7"/>
        <v>1</v>
      </c>
      <c r="H86" s="26">
        <f t="shared" si="8"/>
        <v>0</v>
      </c>
      <c r="I86" s="26">
        <f>IF(OR(B86="",C86="",$V$1=""),"",MIN(E86,SUMIFS('03_Planificacion'!$G$99:$G$178,'03_Planificacion'!$E$99:$E$178,B86,'03_Planificacion'!$F$99:$F$178,C86,'03_Planificacion'!$D$99:$D$178,"&lt;="&amp;$V$1)))</f>
        <v>0</v>
      </c>
      <c r="J86" s="26">
        <f t="shared" si="9"/>
        <v>0</v>
      </c>
      <c r="K86" s="27">
        <f t="shared" si="10"/>
        <v>0</v>
      </c>
      <c r="L86" s="25" t="s">
        <v>68</v>
      </c>
      <c r="M86" s="25"/>
      <c r="N86" s="25"/>
      <c r="O86" s="25"/>
      <c r="P86" s="28">
        <f t="shared" si="11"/>
        <v>46287</v>
      </c>
      <c r="Q86" s="25" t="s">
        <v>125</v>
      </c>
      <c r="R86" s="25">
        <v>110</v>
      </c>
      <c r="S86" s="25" t="s">
        <v>70</v>
      </c>
      <c r="T86" s="25" t="str">
        <f t="shared" si="12"/>
        <v/>
      </c>
      <c r="U86" t="str">
        <f>IF(AND(L86="Para Programar",G86&gt;0),COUNTIFS($L$5:L86,"Para Programar",$G$5:G86,"&gt;0"),"")</f>
        <v/>
      </c>
      <c r="W86" t="str">
        <f t="shared" si="13"/>
        <v>N10 - N15|08 Prueba hidráulica - Preparación del sistema</v>
      </c>
      <c r="X86">
        <v>0</v>
      </c>
    </row>
    <row r="87" spans="1:24" hidden="1">
      <c r="A87" s="23" t="s">
        <v>90</v>
      </c>
      <c r="B87" s="24" t="s">
        <v>122</v>
      </c>
      <c r="C87" s="25" t="s">
        <v>91</v>
      </c>
      <c r="D87" s="23" t="s">
        <v>81</v>
      </c>
      <c r="E87" s="23">
        <v>1</v>
      </c>
      <c r="F87" s="23">
        <f>IF(E87="","",MIN(E87,$X87+SUMIFS('05_Parte_Diario'!$H$5:$H$204,'05_Parte_Diario'!$D$5:$D$204,B87,'05_Parte_Diario'!$E$5:$E$204,C87)))</f>
        <v>0</v>
      </c>
      <c r="G87" s="23">
        <f t="shared" si="7"/>
        <v>1</v>
      </c>
      <c r="H87" s="26">
        <f t="shared" si="8"/>
        <v>0</v>
      </c>
      <c r="I87" s="26">
        <f>IF(OR(B87="",C87="",$V$1=""),"",MIN(E87,SUMIFS('03_Planificacion'!$G$99:$G$178,'03_Planificacion'!$E$99:$E$178,B87,'03_Planificacion'!$F$99:$F$178,C87,'03_Planificacion'!$D$99:$D$178,"&lt;="&amp;$V$1)))</f>
        <v>0</v>
      </c>
      <c r="J87" s="26">
        <f t="shared" si="9"/>
        <v>0</v>
      </c>
      <c r="K87" s="27">
        <f t="shared" si="10"/>
        <v>0</v>
      </c>
      <c r="L87" s="25" t="s">
        <v>68</v>
      </c>
      <c r="M87" s="25"/>
      <c r="N87" s="25"/>
      <c r="O87" s="25"/>
      <c r="P87" s="28">
        <f t="shared" si="11"/>
        <v>46287</v>
      </c>
      <c r="Q87" s="25" t="s">
        <v>125</v>
      </c>
      <c r="R87" s="25">
        <v>110</v>
      </c>
      <c r="S87" s="25" t="s">
        <v>70</v>
      </c>
      <c r="T87" s="25" t="str">
        <f t="shared" si="12"/>
        <v/>
      </c>
      <c r="U87" t="str">
        <f>IF(AND(L87="Para Programar",G87&gt;0),COUNTIFS($L$5:L87,"Para Programar",$G$5:G87,"&gt;0"),"")</f>
        <v/>
      </c>
      <c r="W87" t="str">
        <f t="shared" si="13"/>
        <v>N10 - N15|08 Prueba hidráulica - Interna N° 1</v>
      </c>
      <c r="X87">
        <v>0</v>
      </c>
    </row>
    <row r="88" spans="1:24" hidden="1">
      <c r="A88" s="23" t="s">
        <v>92</v>
      </c>
      <c r="B88" s="24" t="s">
        <v>122</v>
      </c>
      <c r="C88" s="25" t="s">
        <v>93</v>
      </c>
      <c r="D88" s="23" t="s">
        <v>81</v>
      </c>
      <c r="E88" s="23">
        <v>1</v>
      </c>
      <c r="F88" s="23">
        <f>IF(E88="","",MIN(E88,$X88+SUMIFS('05_Parte_Diario'!$H$5:$H$204,'05_Parte_Diario'!$D$5:$D$204,B88,'05_Parte_Diario'!$E$5:$E$204,C88)))</f>
        <v>0</v>
      </c>
      <c r="G88" s="23">
        <f t="shared" si="7"/>
        <v>1</v>
      </c>
      <c r="H88" s="26">
        <f t="shared" si="8"/>
        <v>0</v>
      </c>
      <c r="I88" s="26">
        <f>IF(OR(B88="",C88="",$V$1=""),"",MIN(E88,SUMIFS('03_Planificacion'!$G$99:$G$178,'03_Planificacion'!$E$99:$E$178,B88,'03_Planificacion'!$F$99:$F$178,C88,'03_Planificacion'!$D$99:$D$178,"&lt;="&amp;$V$1)))</f>
        <v>0</v>
      </c>
      <c r="J88" s="26">
        <f t="shared" si="9"/>
        <v>0</v>
      </c>
      <c r="K88" s="27">
        <f t="shared" si="10"/>
        <v>0</v>
      </c>
      <c r="L88" s="25" t="s">
        <v>68</v>
      </c>
      <c r="M88" s="25"/>
      <c r="N88" s="25"/>
      <c r="O88" s="25"/>
      <c r="P88" s="28">
        <f t="shared" si="11"/>
        <v>46287</v>
      </c>
      <c r="Q88" s="25" t="s">
        <v>125</v>
      </c>
      <c r="R88" s="25">
        <v>110</v>
      </c>
      <c r="S88" s="25" t="s">
        <v>70</v>
      </c>
      <c r="T88" s="25" t="str">
        <f t="shared" si="12"/>
        <v/>
      </c>
      <c r="U88" t="str">
        <f>IF(AND(L88="Para Programar",G88&gt;0),COUNTIFS($L$5:L88,"Para Programar",$G$5:G88,"&gt;0"),"")</f>
        <v/>
      </c>
      <c r="W88" t="str">
        <f t="shared" si="13"/>
        <v>N10 - N15|08 Prueba hidráulica - Interna N° 2</v>
      </c>
      <c r="X88">
        <v>0</v>
      </c>
    </row>
    <row r="89" spans="1:24" hidden="1">
      <c r="A89" s="23" t="s">
        <v>94</v>
      </c>
      <c r="B89" s="24" t="s">
        <v>122</v>
      </c>
      <c r="C89" s="25" t="s">
        <v>95</v>
      </c>
      <c r="D89" s="23" t="s">
        <v>81</v>
      </c>
      <c r="E89" s="23">
        <v>1</v>
      </c>
      <c r="F89" s="23">
        <f>IF(E89="","",MIN(E89,$X89+SUMIFS('05_Parte_Diario'!$H$5:$H$204,'05_Parte_Diario'!$D$5:$D$204,B89,'05_Parte_Diario'!$E$5:$E$204,C89)))</f>
        <v>0</v>
      </c>
      <c r="G89" s="23">
        <f t="shared" si="7"/>
        <v>1</v>
      </c>
      <c r="H89" s="26">
        <f t="shared" si="8"/>
        <v>0</v>
      </c>
      <c r="I89" s="26">
        <f>IF(OR(B89="",C89="",$V$1=""),"",MIN(E89,SUMIFS('03_Planificacion'!$G$99:$G$178,'03_Planificacion'!$E$99:$E$178,B89,'03_Planificacion'!$F$99:$F$178,C89,'03_Planificacion'!$D$99:$D$178,"&lt;="&amp;$V$1)))</f>
        <v>0</v>
      </c>
      <c r="J89" s="26">
        <f t="shared" si="9"/>
        <v>0</v>
      </c>
      <c r="K89" s="27">
        <f t="shared" si="10"/>
        <v>0</v>
      </c>
      <c r="L89" s="25" t="s">
        <v>68</v>
      </c>
      <c r="M89" s="25"/>
      <c r="N89" s="25"/>
      <c r="O89" s="25"/>
      <c r="P89" s="28">
        <f t="shared" si="11"/>
        <v>46287</v>
      </c>
      <c r="Q89" s="25" t="s">
        <v>125</v>
      </c>
      <c r="R89" s="25">
        <v>110</v>
      </c>
      <c r="S89" s="25" t="s">
        <v>70</v>
      </c>
      <c r="T89" s="25" t="str">
        <f t="shared" si="12"/>
        <v/>
      </c>
      <c r="U89" t="str">
        <f>IF(AND(L89="Para Programar",G89&gt;0),COUNTIFS($L$5:L89,"Para Programar",$G$5:G89,"&gt;0"),"")</f>
        <v/>
      </c>
      <c r="W89" t="str">
        <f t="shared" si="13"/>
        <v>N10 - N15|08 Prueba hidráulica - Primera prueba oficial</v>
      </c>
      <c r="X89">
        <v>0</v>
      </c>
    </row>
    <row r="90" spans="1:24" hidden="1">
      <c r="A90" s="23" t="s">
        <v>96</v>
      </c>
      <c r="B90" s="24" t="s">
        <v>122</v>
      </c>
      <c r="C90" s="25" t="s">
        <v>97</v>
      </c>
      <c r="D90" s="23" t="s">
        <v>67</v>
      </c>
      <c r="E90" s="23">
        <v>81</v>
      </c>
      <c r="F90" s="23">
        <f>IF(E90="","",MIN(E90,$X90+SUMIFS('05_Parte_Diario'!$H$5:$H$204,'05_Parte_Diario'!$D$5:$D$204,B90,'05_Parte_Diario'!$E$5:$E$204,C90)))</f>
        <v>0</v>
      </c>
      <c r="G90" s="23">
        <f t="shared" si="7"/>
        <v>81</v>
      </c>
      <c r="H90" s="26">
        <f t="shared" si="8"/>
        <v>0</v>
      </c>
      <c r="I90" s="26">
        <f>IF(OR(B90="",C90="",$V$1=""),"",MIN(E90,SUMIFS('03_Planificacion'!$G$99:$G$178,'03_Planificacion'!$E$99:$E$178,B90,'03_Planificacion'!$F$99:$F$178,C90,'03_Planificacion'!$D$99:$D$178,"&lt;="&amp;$V$1)))</f>
        <v>0</v>
      </c>
      <c r="J90" s="26">
        <f t="shared" si="9"/>
        <v>0</v>
      </c>
      <c r="K90" s="27">
        <f t="shared" si="10"/>
        <v>0</v>
      </c>
      <c r="L90" s="25" t="s">
        <v>68</v>
      </c>
      <c r="M90" s="25"/>
      <c r="N90" s="25"/>
      <c r="O90" s="25"/>
      <c r="P90" s="28">
        <f t="shared" si="11"/>
        <v>46287</v>
      </c>
      <c r="Q90" s="25" t="s">
        <v>125</v>
      </c>
      <c r="R90" s="25">
        <v>110</v>
      </c>
      <c r="S90" s="25" t="s">
        <v>70</v>
      </c>
      <c r="T90" s="25" t="str">
        <f t="shared" si="12"/>
        <v/>
      </c>
      <c r="U90" t="str">
        <f>IF(AND(L90="Para Programar",G90&gt;0),COUNTIFS($L$5:L90,"Para Programar",$G$5:G90,"&gt;0"),"")</f>
        <v/>
      </c>
      <c r="W90" t="str">
        <f t="shared" si="13"/>
        <v>N10 - N15|09 Paquete estructural - Aporte e=0,30 m</v>
      </c>
      <c r="X90">
        <v>0</v>
      </c>
    </row>
    <row r="91" spans="1:24" hidden="1">
      <c r="A91" s="23" t="s">
        <v>98</v>
      </c>
      <c r="B91" s="24" t="s">
        <v>122</v>
      </c>
      <c r="C91" s="25" t="s">
        <v>99</v>
      </c>
      <c r="D91" s="23" t="s">
        <v>67</v>
      </c>
      <c r="E91" s="23">
        <v>81</v>
      </c>
      <c r="F91" s="23">
        <f>IF(E91="","",MIN(E91,$X91+SUMIFS('05_Parte_Diario'!$H$5:$H$204,'05_Parte_Diario'!$D$5:$D$204,B91,'05_Parte_Diario'!$E$5:$E$204,C91)))</f>
        <v>0</v>
      </c>
      <c r="G91" s="23">
        <f t="shared" si="7"/>
        <v>81</v>
      </c>
      <c r="H91" s="26">
        <f t="shared" si="8"/>
        <v>0</v>
      </c>
      <c r="I91" s="26">
        <f>IF(OR(B91="",C91="",$V$1=""),"",MIN(E91,SUMIFS('03_Planificacion'!$G$99:$G$178,'03_Planificacion'!$E$99:$E$178,B91,'03_Planificacion'!$F$99:$F$178,C91,'03_Planificacion'!$D$99:$D$178,"&lt;="&amp;$V$1)))</f>
        <v>0</v>
      </c>
      <c r="J91" s="26">
        <f t="shared" si="9"/>
        <v>0</v>
      </c>
      <c r="K91" s="27">
        <f t="shared" si="10"/>
        <v>0</v>
      </c>
      <c r="L91" s="25" t="s">
        <v>68</v>
      </c>
      <c r="M91" s="25"/>
      <c r="N91" s="25"/>
      <c r="O91" s="25"/>
      <c r="P91" s="28">
        <f t="shared" si="11"/>
        <v>46287</v>
      </c>
      <c r="Q91" s="25" t="s">
        <v>125</v>
      </c>
      <c r="R91" s="25">
        <v>110</v>
      </c>
      <c r="S91" s="25" t="s">
        <v>70</v>
      </c>
      <c r="T91" s="25" t="str">
        <f t="shared" si="12"/>
        <v/>
      </c>
      <c r="U91" t="str">
        <f>IF(AND(L91="Para Programar",G91&gt;0),COUNTIFS($L$5:L91,"Para Programar",$G$5:G91,"&gt;0"),"")</f>
        <v/>
      </c>
      <c r="W91" t="str">
        <f t="shared" si="13"/>
        <v>N10 - N15|09 Paquete estructural - Compactación</v>
      </c>
      <c r="X91">
        <v>0</v>
      </c>
    </row>
    <row r="92" spans="1:24" hidden="1">
      <c r="A92" s="23" t="s">
        <v>100</v>
      </c>
      <c r="B92" s="24" t="s">
        <v>122</v>
      </c>
      <c r="C92" s="25" t="s">
        <v>101</v>
      </c>
      <c r="D92" s="23" t="s">
        <v>81</v>
      </c>
      <c r="E92" s="23">
        <v>1</v>
      </c>
      <c r="F92" s="23">
        <f>IF(E92="","",MIN(E92,$X92+SUMIFS('05_Parte_Diario'!$H$5:$H$204,'05_Parte_Diario'!$D$5:$D$204,B92,'05_Parte_Diario'!$E$5:$E$204,C92)))</f>
        <v>0</v>
      </c>
      <c r="G92" s="23">
        <f t="shared" si="7"/>
        <v>1</v>
      </c>
      <c r="H92" s="26">
        <f t="shared" si="8"/>
        <v>0</v>
      </c>
      <c r="I92" s="26">
        <f>IF(OR(B92="",C92="",$V$1=""),"",MIN(E92,SUMIFS('03_Planificacion'!$G$99:$G$178,'03_Planificacion'!$E$99:$E$178,B92,'03_Planificacion'!$F$99:$F$178,C92,'03_Planificacion'!$D$99:$D$178,"&lt;="&amp;$V$1)))</f>
        <v>0</v>
      </c>
      <c r="J92" s="26">
        <f t="shared" si="9"/>
        <v>0</v>
      </c>
      <c r="K92" s="27">
        <f t="shared" si="10"/>
        <v>0</v>
      </c>
      <c r="L92" s="25" t="s">
        <v>68</v>
      </c>
      <c r="M92" s="25"/>
      <c r="N92" s="25"/>
      <c r="O92" s="25"/>
      <c r="P92" s="28">
        <f t="shared" si="11"/>
        <v>46287</v>
      </c>
      <c r="Q92" s="25" t="s">
        <v>125</v>
      </c>
      <c r="R92" s="25">
        <v>110</v>
      </c>
      <c r="S92" s="25" t="s">
        <v>70</v>
      </c>
      <c r="T92" s="25" t="str">
        <f t="shared" si="12"/>
        <v/>
      </c>
      <c r="U92" t="str">
        <f>IF(AND(L92="Para Programar",G92&gt;0),COUNTIFS($L$5:L92,"Para Programar",$G$5:G92,"&gt;0"),"")</f>
        <v/>
      </c>
      <c r="W92" t="str">
        <f t="shared" si="13"/>
        <v>N10 - N15|09 Paquete estructural - Inspección laboratorio</v>
      </c>
      <c r="X92">
        <v>0</v>
      </c>
    </row>
    <row r="93" spans="1:24" hidden="1">
      <c r="A93" s="23" t="s">
        <v>102</v>
      </c>
      <c r="B93" s="24" t="s">
        <v>122</v>
      </c>
      <c r="C93" s="25" t="s">
        <v>103</v>
      </c>
      <c r="D93" s="23" t="s">
        <v>67</v>
      </c>
      <c r="E93" s="23">
        <v>81</v>
      </c>
      <c r="F93" s="23">
        <f>IF(E93="","",MIN(E93,$X93+SUMIFS('05_Parte_Diario'!$H$5:$H$204,'05_Parte_Diario'!$D$5:$D$204,B93,'05_Parte_Diario'!$E$5:$E$204,C93)))</f>
        <v>0</v>
      </c>
      <c r="G93" s="23">
        <f t="shared" si="7"/>
        <v>81</v>
      </c>
      <c r="H93" s="26">
        <f t="shared" si="8"/>
        <v>0</v>
      </c>
      <c r="I93" s="26">
        <f>IF(OR(B93="",C93="",$V$1=""),"",MIN(E93,SUMIFS('03_Planificacion'!$G$99:$G$178,'03_Planificacion'!$E$99:$E$178,B93,'03_Planificacion'!$F$99:$F$178,C93,'03_Planificacion'!$D$99:$D$178,"&lt;="&amp;$V$1)))</f>
        <v>0</v>
      </c>
      <c r="J93" s="26">
        <f t="shared" si="9"/>
        <v>0</v>
      </c>
      <c r="K93" s="27">
        <f t="shared" si="10"/>
        <v>0</v>
      </c>
      <c r="L93" s="25" t="s">
        <v>68</v>
      </c>
      <c r="M93" s="25"/>
      <c r="N93" s="25"/>
      <c r="O93" s="25"/>
      <c r="P93" s="28">
        <f t="shared" si="11"/>
        <v>46287</v>
      </c>
      <c r="Q93" s="25" t="s">
        <v>125</v>
      </c>
      <c r="R93" s="25">
        <v>110</v>
      </c>
      <c r="S93" s="25" t="s">
        <v>70</v>
      </c>
      <c r="T93" s="25" t="str">
        <f t="shared" si="12"/>
        <v/>
      </c>
      <c r="U93" t="str">
        <f>IF(AND(L93="Para Programar",G93&gt;0),COUNTIFS($L$5:L93,"Para Programar",$G$5:G93,"&gt;0"),"")</f>
        <v/>
      </c>
      <c r="W93" t="str">
        <f t="shared" si="13"/>
        <v>N10 - N15|10 Relleno -0,60 - Conformación de capa</v>
      </c>
      <c r="X93">
        <v>0</v>
      </c>
    </row>
    <row r="94" spans="1:24" hidden="1">
      <c r="A94" s="23" t="s">
        <v>104</v>
      </c>
      <c r="B94" s="24" t="s">
        <v>122</v>
      </c>
      <c r="C94" s="25" t="s">
        <v>105</v>
      </c>
      <c r="D94" s="23" t="s">
        <v>67</v>
      </c>
      <c r="E94" s="23">
        <v>81</v>
      </c>
      <c r="F94" s="23">
        <f>IF(E94="","",MIN(E94,$X94+SUMIFS('05_Parte_Diario'!$H$5:$H$204,'05_Parte_Diario'!$D$5:$D$204,B94,'05_Parte_Diario'!$E$5:$E$204,C94)))</f>
        <v>0</v>
      </c>
      <c r="G94" s="23">
        <f t="shared" si="7"/>
        <v>81</v>
      </c>
      <c r="H94" s="26">
        <f t="shared" si="8"/>
        <v>0</v>
      </c>
      <c r="I94" s="26">
        <f>IF(OR(B94="",C94="",$V$1=""),"",MIN(E94,SUMIFS('03_Planificacion'!$G$99:$G$178,'03_Planificacion'!$E$99:$E$178,B94,'03_Planificacion'!$F$99:$F$178,C94,'03_Planificacion'!$D$99:$D$178,"&lt;="&amp;$V$1)))</f>
        <v>0</v>
      </c>
      <c r="J94" s="26">
        <f t="shared" si="9"/>
        <v>0</v>
      </c>
      <c r="K94" s="27">
        <f t="shared" si="10"/>
        <v>0</v>
      </c>
      <c r="L94" s="25" t="s">
        <v>68</v>
      </c>
      <c r="M94" s="25"/>
      <c r="N94" s="25"/>
      <c r="O94" s="25"/>
      <c r="P94" s="28">
        <f t="shared" si="11"/>
        <v>46287</v>
      </c>
      <c r="Q94" s="25" t="s">
        <v>125</v>
      </c>
      <c r="R94" s="25">
        <v>110</v>
      </c>
      <c r="S94" s="25" t="s">
        <v>70</v>
      </c>
      <c r="T94" s="25" t="str">
        <f t="shared" si="12"/>
        <v/>
      </c>
      <c r="U94" t="str">
        <f>IF(AND(L94="Para Programar",G94&gt;0),COUNTIFS($L$5:L94,"Para Programar",$G$5:G94,"&gt;0"),"")</f>
        <v/>
      </c>
      <c r="W94" t="str">
        <f t="shared" si="13"/>
        <v>N10 - N15|10 Relleno -0,60 - Humectación</v>
      </c>
      <c r="X94">
        <v>0</v>
      </c>
    </row>
    <row r="95" spans="1:24" hidden="1">
      <c r="A95" s="23" t="s">
        <v>106</v>
      </c>
      <c r="B95" s="24" t="s">
        <v>122</v>
      </c>
      <c r="C95" s="25" t="s">
        <v>107</v>
      </c>
      <c r="D95" s="23" t="s">
        <v>67</v>
      </c>
      <c r="E95" s="23">
        <v>81</v>
      </c>
      <c r="F95" s="23">
        <f>IF(E95="","",MIN(E95,$X95+SUMIFS('05_Parte_Diario'!$H$5:$H$204,'05_Parte_Diario'!$D$5:$D$204,B95,'05_Parte_Diario'!$E$5:$E$204,C95)))</f>
        <v>0</v>
      </c>
      <c r="G95" s="23">
        <f t="shared" si="7"/>
        <v>81</v>
      </c>
      <c r="H95" s="26">
        <f t="shared" si="8"/>
        <v>0</v>
      </c>
      <c r="I95" s="26">
        <f>IF(OR(B95="",C95="",$V$1=""),"",MIN(E95,SUMIFS('03_Planificacion'!$G$99:$G$178,'03_Planificacion'!$E$99:$E$178,B95,'03_Planificacion'!$F$99:$F$178,C95,'03_Planificacion'!$D$99:$D$178,"&lt;="&amp;$V$1)))</f>
        <v>0</v>
      </c>
      <c r="J95" s="26">
        <f t="shared" si="9"/>
        <v>0</v>
      </c>
      <c r="K95" s="27">
        <f t="shared" si="10"/>
        <v>0</v>
      </c>
      <c r="L95" s="25" t="s">
        <v>68</v>
      </c>
      <c r="M95" s="25"/>
      <c r="N95" s="25"/>
      <c r="O95" s="25"/>
      <c r="P95" s="28">
        <f t="shared" si="11"/>
        <v>46287</v>
      </c>
      <c r="Q95" s="25" t="s">
        <v>125</v>
      </c>
      <c r="R95" s="25">
        <v>110</v>
      </c>
      <c r="S95" s="25" t="s">
        <v>70</v>
      </c>
      <c r="T95" s="25" t="str">
        <f t="shared" si="12"/>
        <v/>
      </c>
      <c r="U95" t="str">
        <f>IF(AND(L95="Para Programar",G95&gt;0),COUNTIFS($L$5:L95,"Para Programar",$G$5:G95,"&gt;0"),"")</f>
        <v/>
      </c>
      <c r="W95" t="str">
        <f t="shared" si="13"/>
        <v>N10 - N15|10 Relleno -0,60 - Compactación</v>
      </c>
      <c r="X95">
        <v>0</v>
      </c>
    </row>
    <row r="96" spans="1:24" hidden="1">
      <c r="A96" s="23" t="s">
        <v>108</v>
      </c>
      <c r="B96" s="24" t="s">
        <v>122</v>
      </c>
      <c r="C96" s="25" t="s">
        <v>109</v>
      </c>
      <c r="D96" s="23" t="s">
        <v>81</v>
      </c>
      <c r="E96" s="23">
        <v>1</v>
      </c>
      <c r="F96" s="23">
        <f>IF(E96="","",MIN(E96,$X96+SUMIFS('05_Parte_Diario'!$H$5:$H$204,'05_Parte_Diario'!$D$5:$D$204,B96,'05_Parte_Diario'!$E$5:$E$204,C96)))</f>
        <v>0</v>
      </c>
      <c r="G96" s="23">
        <f t="shared" si="7"/>
        <v>1</v>
      </c>
      <c r="H96" s="26">
        <f t="shared" si="8"/>
        <v>0</v>
      </c>
      <c r="I96" s="26">
        <f>IF(OR(B96="",C96="",$V$1=""),"",MIN(E96,SUMIFS('03_Planificacion'!$G$99:$G$178,'03_Planificacion'!$E$99:$E$178,B96,'03_Planificacion'!$F$99:$F$178,C96,'03_Planificacion'!$D$99:$D$178,"&lt;="&amp;$V$1)))</f>
        <v>0</v>
      </c>
      <c r="J96" s="26">
        <f t="shared" si="9"/>
        <v>0</v>
      </c>
      <c r="K96" s="27">
        <f t="shared" si="10"/>
        <v>0</v>
      </c>
      <c r="L96" s="25" t="s">
        <v>68</v>
      </c>
      <c r="M96" s="25"/>
      <c r="N96" s="25"/>
      <c r="O96" s="25"/>
      <c r="P96" s="28">
        <f t="shared" si="11"/>
        <v>46287</v>
      </c>
      <c r="Q96" s="25" t="s">
        <v>125</v>
      </c>
      <c r="R96" s="25">
        <v>110</v>
      </c>
      <c r="S96" s="25" t="s">
        <v>70</v>
      </c>
      <c r="T96" s="25" t="str">
        <f t="shared" si="12"/>
        <v/>
      </c>
      <c r="U96" t="str">
        <f>IF(AND(L96="Para Programar",G96&gt;0),COUNTIFS($L$5:L96,"Para Programar",$G$5:G96,"&gt;0"),"")</f>
        <v/>
      </c>
      <c r="W96" t="str">
        <f t="shared" si="13"/>
        <v>N10 - N15|10 Relleno -0,60 - Inspección laboratorio</v>
      </c>
      <c r="X96">
        <v>0</v>
      </c>
    </row>
    <row r="97" spans="1:24" hidden="1">
      <c r="A97" s="23" t="s">
        <v>110</v>
      </c>
      <c r="B97" s="24" t="s">
        <v>122</v>
      </c>
      <c r="C97" s="25" t="s">
        <v>111</v>
      </c>
      <c r="D97" s="23" t="s">
        <v>67</v>
      </c>
      <c r="E97" s="23">
        <v>81</v>
      </c>
      <c r="F97" s="23">
        <f>IF(E97="","",MIN(E97,$X97+SUMIFS('05_Parte_Diario'!$H$5:$H$204,'05_Parte_Diario'!$D$5:$D$204,B97,'05_Parte_Diario'!$E$5:$E$204,C97)))</f>
        <v>0</v>
      </c>
      <c r="G97" s="23">
        <f t="shared" si="7"/>
        <v>81</v>
      </c>
      <c r="H97" s="26">
        <f t="shared" si="8"/>
        <v>0</v>
      </c>
      <c r="I97" s="26">
        <f>IF(OR(B97="",C97="",$V$1=""),"",MIN(E97,SUMIFS('03_Planificacion'!$G$99:$G$178,'03_Planificacion'!$E$99:$E$178,B97,'03_Planificacion'!$F$99:$F$178,C97,'03_Planificacion'!$D$99:$D$178,"&lt;="&amp;$V$1)))</f>
        <v>0</v>
      </c>
      <c r="J97" s="26">
        <f t="shared" si="9"/>
        <v>0</v>
      </c>
      <c r="K97" s="27">
        <f t="shared" si="10"/>
        <v>0</v>
      </c>
      <c r="L97" s="25" t="s">
        <v>68</v>
      </c>
      <c r="M97" s="25"/>
      <c r="N97" s="25"/>
      <c r="O97" s="25"/>
      <c r="P97" s="28">
        <f t="shared" si="11"/>
        <v>46287</v>
      </c>
      <c r="Q97" s="25" t="s">
        <v>125</v>
      </c>
      <c r="R97" s="25">
        <v>110</v>
      </c>
      <c r="S97" s="25" t="s">
        <v>70</v>
      </c>
      <c r="T97" s="25" t="str">
        <f t="shared" si="12"/>
        <v/>
      </c>
      <c r="U97" t="str">
        <f>IF(AND(L97="Para Programar",G97&gt;0),COUNTIFS($L$5:L97,"Para Programar",$G$5:G97,"&gt;0"),"")</f>
        <v/>
      </c>
      <c r="W97" t="str">
        <f t="shared" si="13"/>
        <v>N10 - N15|11 Relleno -0,30 - Conformación de capa</v>
      </c>
      <c r="X97">
        <v>0</v>
      </c>
    </row>
    <row r="98" spans="1:24" hidden="1">
      <c r="A98" s="23" t="s">
        <v>112</v>
      </c>
      <c r="B98" s="24" t="s">
        <v>122</v>
      </c>
      <c r="C98" s="25" t="s">
        <v>113</v>
      </c>
      <c r="D98" s="23" t="s">
        <v>67</v>
      </c>
      <c r="E98" s="23">
        <v>81</v>
      </c>
      <c r="F98" s="23">
        <f>IF(E98="","",MIN(E98,$X98+SUMIFS('05_Parte_Diario'!$H$5:$H$204,'05_Parte_Diario'!$D$5:$D$204,B98,'05_Parte_Diario'!$E$5:$E$204,C98)))</f>
        <v>0</v>
      </c>
      <c r="G98" s="23">
        <f t="shared" si="7"/>
        <v>81</v>
      </c>
      <c r="H98" s="26">
        <f t="shared" si="8"/>
        <v>0</v>
      </c>
      <c r="I98" s="26">
        <f>IF(OR(B98="",C98="",$V$1=""),"",MIN(E98,SUMIFS('03_Planificacion'!$G$99:$G$178,'03_Planificacion'!$E$99:$E$178,B98,'03_Planificacion'!$F$99:$F$178,C98,'03_Planificacion'!$D$99:$D$178,"&lt;="&amp;$V$1)))</f>
        <v>0</v>
      </c>
      <c r="J98" s="26">
        <f t="shared" si="9"/>
        <v>0</v>
      </c>
      <c r="K98" s="27">
        <f t="shared" si="10"/>
        <v>0</v>
      </c>
      <c r="L98" s="25" t="s">
        <v>68</v>
      </c>
      <c r="M98" s="25"/>
      <c r="N98" s="25"/>
      <c r="O98" s="25"/>
      <c r="P98" s="28">
        <f t="shared" si="11"/>
        <v>46287</v>
      </c>
      <c r="Q98" s="25" t="s">
        <v>125</v>
      </c>
      <c r="R98" s="25">
        <v>110</v>
      </c>
      <c r="S98" s="25" t="s">
        <v>70</v>
      </c>
      <c r="T98" s="25" t="str">
        <f t="shared" si="12"/>
        <v/>
      </c>
      <c r="U98" t="str">
        <f>IF(AND(L98="Para Programar",G98&gt;0),COUNTIFS($L$5:L98,"Para Programar",$G$5:G98,"&gt;0"),"")</f>
        <v/>
      </c>
      <c r="W98" t="str">
        <f t="shared" si="13"/>
        <v>N10 - N15|11 Relleno -0,30 - Humectación</v>
      </c>
      <c r="X98">
        <v>0</v>
      </c>
    </row>
    <row r="99" spans="1:24" hidden="1">
      <c r="A99" s="23" t="s">
        <v>114</v>
      </c>
      <c r="B99" s="24" t="s">
        <v>122</v>
      </c>
      <c r="C99" s="25" t="s">
        <v>115</v>
      </c>
      <c r="D99" s="23" t="s">
        <v>67</v>
      </c>
      <c r="E99" s="23">
        <v>81</v>
      </c>
      <c r="F99" s="23">
        <f>IF(E99="","",MIN(E99,$X99+SUMIFS('05_Parte_Diario'!$H$5:$H$204,'05_Parte_Diario'!$D$5:$D$204,B99,'05_Parte_Diario'!$E$5:$E$204,C99)))</f>
        <v>0</v>
      </c>
      <c r="G99" s="23">
        <f t="shared" si="7"/>
        <v>81</v>
      </c>
      <c r="H99" s="26">
        <f t="shared" si="8"/>
        <v>0</v>
      </c>
      <c r="I99" s="26">
        <f>IF(OR(B99="",C99="",$V$1=""),"",MIN(E99,SUMIFS('03_Planificacion'!$G$99:$G$178,'03_Planificacion'!$E$99:$E$178,B99,'03_Planificacion'!$F$99:$F$178,C99,'03_Planificacion'!$D$99:$D$178,"&lt;="&amp;$V$1)))</f>
        <v>0</v>
      </c>
      <c r="J99" s="26">
        <f t="shared" si="9"/>
        <v>0</v>
      </c>
      <c r="K99" s="27">
        <f t="shared" si="10"/>
        <v>0</v>
      </c>
      <c r="L99" s="25" t="s">
        <v>68</v>
      </c>
      <c r="M99" s="25"/>
      <c r="N99" s="25"/>
      <c r="O99" s="25"/>
      <c r="P99" s="28">
        <f t="shared" si="11"/>
        <v>46287</v>
      </c>
      <c r="Q99" s="25" t="s">
        <v>125</v>
      </c>
      <c r="R99" s="25">
        <v>110</v>
      </c>
      <c r="S99" s="25" t="s">
        <v>70</v>
      </c>
      <c r="T99" s="25" t="str">
        <f t="shared" si="12"/>
        <v/>
      </c>
      <c r="U99" t="str">
        <f>IF(AND(L99="Para Programar",G99&gt;0),COUNTIFS($L$5:L99,"Para Programar",$G$5:G99,"&gt;0"),"")</f>
        <v/>
      </c>
      <c r="W99" t="str">
        <f t="shared" si="13"/>
        <v>N10 - N15|11 Relleno -0,30 - Compactación</v>
      </c>
      <c r="X99">
        <v>0</v>
      </c>
    </row>
    <row r="100" spans="1:24" hidden="1">
      <c r="A100" s="23" t="s">
        <v>116</v>
      </c>
      <c r="B100" s="24" t="s">
        <v>122</v>
      </c>
      <c r="C100" s="25" t="s">
        <v>117</v>
      </c>
      <c r="D100" s="23" t="s">
        <v>81</v>
      </c>
      <c r="E100" s="23">
        <v>1</v>
      </c>
      <c r="F100" s="23">
        <f>IF(E100="","",MIN(E100,$X100+SUMIFS('05_Parte_Diario'!$H$5:$H$204,'05_Parte_Diario'!$D$5:$D$204,B100,'05_Parte_Diario'!$E$5:$E$204,C100)))</f>
        <v>0</v>
      </c>
      <c r="G100" s="23">
        <f t="shared" si="7"/>
        <v>1</v>
      </c>
      <c r="H100" s="26">
        <f t="shared" si="8"/>
        <v>0</v>
      </c>
      <c r="I100" s="26">
        <f>IF(OR(B100="",C100="",$V$1=""),"",MIN(E100,SUMIFS('03_Planificacion'!$G$99:$G$178,'03_Planificacion'!$E$99:$E$178,B100,'03_Planificacion'!$F$99:$F$178,C100,'03_Planificacion'!$D$99:$D$178,"&lt;="&amp;$V$1)))</f>
        <v>0</v>
      </c>
      <c r="J100" s="26">
        <f t="shared" si="9"/>
        <v>0</v>
      </c>
      <c r="K100" s="27">
        <f t="shared" si="10"/>
        <v>0</v>
      </c>
      <c r="L100" s="25" t="s">
        <v>68</v>
      </c>
      <c r="M100" s="25"/>
      <c r="N100" s="25"/>
      <c r="O100" s="25"/>
      <c r="P100" s="28">
        <f t="shared" si="11"/>
        <v>46287</v>
      </c>
      <c r="Q100" s="25" t="s">
        <v>125</v>
      </c>
      <c r="R100" s="25">
        <v>110</v>
      </c>
      <c r="S100" s="25" t="s">
        <v>70</v>
      </c>
      <c r="T100" s="25" t="str">
        <f t="shared" si="12"/>
        <v/>
      </c>
      <c r="U100" t="str">
        <f>IF(AND(L100="Para Programar",G100&gt;0),COUNTIFS($L$5:L100,"Para Programar",$G$5:G100,"&gt;0"),"")</f>
        <v/>
      </c>
      <c r="W100" t="str">
        <f t="shared" si="13"/>
        <v>N10 - N15|11 Relleno -0,30 - Inspección laboratorio</v>
      </c>
      <c r="X100">
        <v>0</v>
      </c>
    </row>
    <row r="101" spans="1:24" hidden="1">
      <c r="A101" s="23" t="s">
        <v>64</v>
      </c>
      <c r="B101" s="24" t="s">
        <v>127</v>
      </c>
      <c r="C101" s="25" t="s">
        <v>66</v>
      </c>
      <c r="D101" s="23" t="s">
        <v>67</v>
      </c>
      <c r="E101" s="23">
        <v>182</v>
      </c>
      <c r="F101" s="23">
        <f>IF(E101="","",MIN(E101,$X101+SUMIFS('05_Parte_Diario'!$H$5:$H$204,'05_Parte_Diario'!$D$5:$D$204,B101,'05_Parte_Diario'!$E$5:$E$204,C101)))</f>
        <v>0</v>
      </c>
      <c r="G101" s="23">
        <f t="shared" si="7"/>
        <v>182</v>
      </c>
      <c r="H101" s="26">
        <f t="shared" si="8"/>
        <v>0</v>
      </c>
      <c r="I101" s="26">
        <f>IF(OR(B101="",C101="",$V$1=""),"",MIN(E101,SUMIFS('03_Planificacion'!$G$99:$G$178,'03_Planificacion'!$E$99:$E$178,B101,'03_Planificacion'!$F$99:$F$178,C101,'03_Planificacion'!$D$99:$D$178,"&lt;="&amp;$V$1)))</f>
        <v>0</v>
      </c>
      <c r="J101" s="26">
        <f t="shared" si="9"/>
        <v>0</v>
      </c>
      <c r="K101" s="27">
        <f t="shared" si="10"/>
        <v>0</v>
      </c>
      <c r="L101" s="25" t="s">
        <v>68</v>
      </c>
      <c r="M101" s="25"/>
      <c r="N101" s="25"/>
      <c r="O101" s="25"/>
      <c r="P101" s="28">
        <f t="shared" si="11"/>
        <v>46287</v>
      </c>
      <c r="Q101" s="25" t="s">
        <v>121</v>
      </c>
      <c r="R101" s="25">
        <v>75</v>
      </c>
      <c r="S101" s="25" t="s">
        <v>70</v>
      </c>
      <c r="T101" s="25" t="str">
        <f t="shared" si="12"/>
        <v/>
      </c>
      <c r="U101" t="str">
        <f>IF(AND(L101="Para Programar",G101&gt;0),COUNTIFS($L$5:L101,"Para Programar",$G$5:G101,"&gt;0"),"")</f>
        <v/>
      </c>
      <c r="W101" t="str">
        <f t="shared" si="13"/>
        <v>N11 - N12|01 Replanteo - Marcación de tramo de cañería principal</v>
      </c>
      <c r="X101">
        <v>0</v>
      </c>
    </row>
    <row r="102" spans="1:24" hidden="1">
      <c r="A102" s="23" t="s">
        <v>71</v>
      </c>
      <c r="B102" s="24" t="s">
        <v>127</v>
      </c>
      <c r="C102" s="25" t="s">
        <v>72</v>
      </c>
      <c r="D102" s="23" t="s">
        <v>67</v>
      </c>
      <c r="E102" s="23">
        <v>182</v>
      </c>
      <c r="F102" s="23">
        <f>IF(E102="","",MIN(E102,$X102+SUMIFS('05_Parte_Diario'!$H$5:$H$204,'05_Parte_Diario'!$D$5:$D$204,B102,'05_Parte_Diario'!$E$5:$E$204,C102)))</f>
        <v>0</v>
      </c>
      <c r="G102" s="23">
        <f t="shared" si="7"/>
        <v>182</v>
      </c>
      <c r="H102" s="26">
        <f t="shared" si="8"/>
        <v>0</v>
      </c>
      <c r="I102" s="26">
        <f>IF(OR(B102="",C102="",$V$1=""),"",MIN(E102,SUMIFS('03_Planificacion'!$G$99:$G$178,'03_Planificacion'!$E$99:$E$178,B102,'03_Planificacion'!$F$99:$F$178,C102,'03_Planificacion'!$D$99:$D$178,"&lt;="&amp;$V$1)))</f>
        <v>0</v>
      </c>
      <c r="J102" s="26">
        <f t="shared" si="9"/>
        <v>0</v>
      </c>
      <c r="K102" s="27">
        <f t="shared" si="10"/>
        <v>0</v>
      </c>
      <c r="L102" s="25" t="s">
        <v>68</v>
      </c>
      <c r="M102" s="25"/>
      <c r="N102" s="25"/>
      <c r="O102" s="25"/>
      <c r="P102" s="28">
        <f t="shared" si="11"/>
        <v>46287</v>
      </c>
      <c r="Q102" s="25" t="s">
        <v>121</v>
      </c>
      <c r="R102" s="25">
        <v>75</v>
      </c>
      <c r="S102" s="25" t="s">
        <v>70</v>
      </c>
      <c r="T102" s="25" t="str">
        <f t="shared" si="12"/>
        <v/>
      </c>
      <c r="U102" t="str">
        <f>IF(AND(L102="Para Programar",G102&gt;0),COUNTIFS($L$5:L102,"Para Programar",$G$5:G102,"&gt;0"),"")</f>
        <v/>
      </c>
      <c r="W102" t="str">
        <f t="shared" si="13"/>
        <v>N11 - N12|02 Excavación - Zanja principal</v>
      </c>
      <c r="X102">
        <v>0</v>
      </c>
    </row>
    <row r="103" spans="1:24" hidden="1">
      <c r="A103" s="23" t="s">
        <v>73</v>
      </c>
      <c r="B103" s="24" t="s">
        <v>127</v>
      </c>
      <c r="C103" s="25" t="s">
        <v>74</v>
      </c>
      <c r="D103" s="23" t="s">
        <v>67</v>
      </c>
      <c r="E103" s="23">
        <v>182</v>
      </c>
      <c r="F103" s="23">
        <f>IF(E103="","",MIN(E103,$X103+SUMIFS('05_Parte_Diario'!$H$5:$H$204,'05_Parte_Diario'!$D$5:$D$204,B103,'05_Parte_Diario'!$E$5:$E$204,C103)))</f>
        <v>0</v>
      </c>
      <c r="G103" s="23">
        <f t="shared" si="7"/>
        <v>182</v>
      </c>
      <c r="H103" s="26">
        <f t="shared" si="8"/>
        <v>0</v>
      </c>
      <c r="I103" s="26">
        <f>IF(OR(B103="",C103="",$V$1=""),"",MIN(E103,SUMIFS('03_Planificacion'!$G$99:$G$178,'03_Planificacion'!$E$99:$E$178,B103,'03_Planificacion'!$F$99:$F$178,C103,'03_Planificacion'!$D$99:$D$178,"&lt;="&amp;$V$1)))</f>
        <v>0</v>
      </c>
      <c r="J103" s="26">
        <f t="shared" si="9"/>
        <v>0</v>
      </c>
      <c r="K103" s="27">
        <f t="shared" si="10"/>
        <v>0</v>
      </c>
      <c r="L103" s="25" t="s">
        <v>68</v>
      </c>
      <c r="M103" s="25"/>
      <c r="N103" s="25"/>
      <c r="O103" s="25"/>
      <c r="P103" s="28">
        <f t="shared" si="11"/>
        <v>46287</v>
      </c>
      <c r="Q103" s="25" t="s">
        <v>121</v>
      </c>
      <c r="R103" s="25">
        <v>75</v>
      </c>
      <c r="S103" s="25" t="s">
        <v>70</v>
      </c>
      <c r="T103" s="25" t="str">
        <f t="shared" si="12"/>
        <v/>
      </c>
      <c r="U103" t="str">
        <f>IF(AND(L103="Para Programar",G103&gt;0),COUNTIFS($L$5:L103,"Para Programar",$G$5:G103,"&gt;0"),"")</f>
        <v/>
      </c>
      <c r="W103" t="str">
        <f t="shared" si="13"/>
        <v>N11 - N12|03 Base de asiento - Nivelación de fondo de zanja</v>
      </c>
      <c r="X103">
        <v>0</v>
      </c>
    </row>
    <row r="104" spans="1:24" hidden="1">
      <c r="A104" s="23" t="s">
        <v>75</v>
      </c>
      <c r="B104" s="24" t="s">
        <v>127</v>
      </c>
      <c r="C104" s="25" t="s">
        <v>76</v>
      </c>
      <c r="D104" s="23" t="s">
        <v>67</v>
      </c>
      <c r="E104" s="23">
        <v>182</v>
      </c>
      <c r="F104" s="23">
        <f>IF(E104="","",MIN(E104,$X104+SUMIFS('05_Parte_Diario'!$H$5:$H$204,'05_Parte_Diario'!$D$5:$D$204,B104,'05_Parte_Diario'!$E$5:$E$204,C104)))</f>
        <v>0</v>
      </c>
      <c r="G104" s="23">
        <f t="shared" si="7"/>
        <v>182</v>
      </c>
      <c r="H104" s="26">
        <f t="shared" si="8"/>
        <v>0</v>
      </c>
      <c r="I104" s="26">
        <f>IF(OR(B104="",C104="",$V$1=""),"",MIN(E104,SUMIFS('03_Planificacion'!$G$99:$G$178,'03_Planificacion'!$E$99:$E$178,B104,'03_Planificacion'!$F$99:$F$178,C104,'03_Planificacion'!$D$99:$D$178,"&lt;="&amp;$V$1)))</f>
        <v>0</v>
      </c>
      <c r="J104" s="26">
        <f t="shared" si="9"/>
        <v>0</v>
      </c>
      <c r="K104" s="27">
        <f t="shared" si="10"/>
        <v>0</v>
      </c>
      <c r="L104" s="25" t="s">
        <v>68</v>
      </c>
      <c r="M104" s="25"/>
      <c r="N104" s="25"/>
      <c r="O104" s="25"/>
      <c r="P104" s="28">
        <f t="shared" si="11"/>
        <v>46287</v>
      </c>
      <c r="Q104" s="25" t="s">
        <v>121</v>
      </c>
      <c r="R104" s="25">
        <v>75</v>
      </c>
      <c r="S104" s="25" t="s">
        <v>70</v>
      </c>
      <c r="T104" s="25" t="str">
        <f t="shared" si="12"/>
        <v/>
      </c>
      <c r="U104" t="str">
        <f>IF(AND(L104="Para Programar",G104&gt;0),COUNTIFS($L$5:L104,"Para Programar",$G$5:G104,"&gt;0"),"")</f>
        <v/>
      </c>
      <c r="W104" t="str">
        <f t="shared" si="13"/>
        <v>N11 - N12|03 Base de asiento - Aporte de material base e=0,10 m</v>
      </c>
      <c r="X104">
        <v>0</v>
      </c>
    </row>
    <row r="105" spans="1:24" hidden="1">
      <c r="A105" s="23" t="s">
        <v>77</v>
      </c>
      <c r="B105" s="24" t="s">
        <v>127</v>
      </c>
      <c r="C105" s="25" t="s">
        <v>78</v>
      </c>
      <c r="D105" s="23" t="s">
        <v>67</v>
      </c>
      <c r="E105" s="23">
        <v>182</v>
      </c>
      <c r="F105" s="23">
        <f>IF(E105="","",MIN(E105,$X105+SUMIFS('05_Parte_Diario'!$H$5:$H$204,'05_Parte_Diario'!$D$5:$D$204,B105,'05_Parte_Diario'!$E$5:$E$204,C105)))</f>
        <v>0</v>
      </c>
      <c r="G105" s="23">
        <f t="shared" si="7"/>
        <v>182</v>
      </c>
      <c r="H105" s="26">
        <f t="shared" si="8"/>
        <v>0</v>
      </c>
      <c r="I105" s="26">
        <f>IF(OR(B105="",C105="",$V$1=""),"",MIN(E105,SUMIFS('03_Planificacion'!$G$99:$G$178,'03_Planificacion'!$E$99:$E$178,B105,'03_Planificacion'!$F$99:$F$178,C105,'03_Planificacion'!$D$99:$D$178,"&lt;="&amp;$V$1)))</f>
        <v>0</v>
      </c>
      <c r="J105" s="26">
        <f t="shared" si="9"/>
        <v>0</v>
      </c>
      <c r="K105" s="27">
        <f t="shared" si="10"/>
        <v>0</v>
      </c>
      <c r="L105" s="25" t="s">
        <v>68</v>
      </c>
      <c r="M105" s="25"/>
      <c r="N105" s="25"/>
      <c r="O105" s="25"/>
      <c r="P105" s="28">
        <f t="shared" si="11"/>
        <v>46287</v>
      </c>
      <c r="Q105" s="25" t="s">
        <v>121</v>
      </c>
      <c r="R105" s="25">
        <v>75</v>
      </c>
      <c r="S105" s="25" t="s">
        <v>70</v>
      </c>
      <c r="T105" s="25" t="str">
        <f t="shared" si="12"/>
        <v/>
      </c>
      <c r="U105" t="str">
        <f>IF(AND(L105="Para Programar",G105&gt;0),COUNTIFS($L$5:L105,"Para Programar",$G$5:G105,"&gt;0"),"")</f>
        <v/>
      </c>
      <c r="W105" t="str">
        <f t="shared" si="13"/>
        <v>N11 - N12|03 Base de asiento - Compactación</v>
      </c>
      <c r="X105">
        <v>0</v>
      </c>
    </row>
    <row r="106" spans="1:24" hidden="1">
      <c r="A106" s="23" t="s">
        <v>79</v>
      </c>
      <c r="B106" s="24" t="s">
        <v>127</v>
      </c>
      <c r="C106" s="25" t="s">
        <v>80</v>
      </c>
      <c r="D106" s="23" t="s">
        <v>81</v>
      </c>
      <c r="E106" s="23">
        <v>1</v>
      </c>
      <c r="F106" s="23">
        <f>IF(E106="","",MIN(E106,$X106+SUMIFS('05_Parte_Diario'!$H$5:$H$204,'05_Parte_Diario'!$D$5:$D$204,B106,'05_Parte_Diario'!$E$5:$E$204,C106)))</f>
        <v>0</v>
      </c>
      <c r="G106" s="23">
        <f t="shared" si="7"/>
        <v>1</v>
      </c>
      <c r="H106" s="26">
        <f t="shared" si="8"/>
        <v>0</v>
      </c>
      <c r="I106" s="26">
        <f>IF(OR(B106="",C106="",$V$1=""),"",MIN(E106,SUMIFS('03_Planificacion'!$G$99:$G$178,'03_Planificacion'!$E$99:$E$178,B106,'03_Planificacion'!$F$99:$F$178,C106,'03_Planificacion'!$D$99:$D$178,"&lt;="&amp;$V$1)))</f>
        <v>0</v>
      </c>
      <c r="J106" s="26">
        <f t="shared" si="9"/>
        <v>0</v>
      </c>
      <c r="K106" s="27">
        <f t="shared" si="10"/>
        <v>0</v>
      </c>
      <c r="L106" s="25" t="s">
        <v>68</v>
      </c>
      <c r="M106" s="25"/>
      <c r="N106" s="25"/>
      <c r="O106" s="25"/>
      <c r="P106" s="28">
        <f t="shared" si="11"/>
        <v>46287</v>
      </c>
      <c r="Q106" s="25" t="s">
        <v>121</v>
      </c>
      <c r="R106" s="25">
        <v>75</v>
      </c>
      <c r="S106" s="25" t="s">
        <v>70</v>
      </c>
      <c r="T106" s="25" t="str">
        <f t="shared" si="12"/>
        <v/>
      </c>
      <c r="U106" t="str">
        <f>IF(AND(L106="Para Programar",G106&gt;0),COUNTIFS($L$5:L106,"Para Programar",$G$5:G106,"&gt;0"),"")</f>
        <v/>
      </c>
      <c r="W106" t="str">
        <f t="shared" si="13"/>
        <v>N11 - N12|04 Inspecciones previas - Laboratorio base de asiento</v>
      </c>
      <c r="X106">
        <v>0</v>
      </c>
    </row>
    <row r="107" spans="1:24" hidden="1">
      <c r="A107" s="23" t="s">
        <v>82</v>
      </c>
      <c r="B107" s="24" t="s">
        <v>127</v>
      </c>
      <c r="C107" s="25" t="s">
        <v>83</v>
      </c>
      <c r="D107" s="23" t="s">
        <v>81</v>
      </c>
      <c r="E107" s="23">
        <v>1</v>
      </c>
      <c r="F107" s="23">
        <f>IF(E107="","",MIN(E107,$X107+SUMIFS('05_Parte_Diario'!$H$5:$H$204,'05_Parte_Diario'!$D$5:$D$204,B107,'05_Parte_Diario'!$E$5:$E$204,C107)))</f>
        <v>0</v>
      </c>
      <c r="G107" s="23">
        <f t="shared" si="7"/>
        <v>1</v>
      </c>
      <c r="H107" s="26">
        <f t="shared" si="8"/>
        <v>0</v>
      </c>
      <c r="I107" s="26">
        <f>IF(OR(B107="",C107="",$V$1=""),"",MIN(E107,SUMIFS('03_Planificacion'!$G$99:$G$178,'03_Planificacion'!$E$99:$E$178,B107,'03_Planificacion'!$F$99:$F$178,C107,'03_Planificacion'!$D$99:$D$178,"&lt;="&amp;$V$1)))</f>
        <v>0</v>
      </c>
      <c r="J107" s="26">
        <f t="shared" si="9"/>
        <v>0</v>
      </c>
      <c r="K107" s="27">
        <f t="shared" si="10"/>
        <v>0</v>
      </c>
      <c r="L107" s="25" t="s">
        <v>68</v>
      </c>
      <c r="M107" s="25"/>
      <c r="N107" s="25"/>
      <c r="O107" s="25"/>
      <c r="P107" s="28">
        <f t="shared" si="11"/>
        <v>46287</v>
      </c>
      <c r="Q107" s="25" t="s">
        <v>121</v>
      </c>
      <c r="R107" s="25">
        <v>75</v>
      </c>
      <c r="S107" s="25" t="s">
        <v>70</v>
      </c>
      <c r="T107" s="25" t="str">
        <f t="shared" si="12"/>
        <v/>
      </c>
      <c r="U107" t="str">
        <f>IF(AND(L107="Para Programar",G107&gt;0),COUNTIFS($L$5:L107,"Para Programar",$G$5:G107,"&gt;0"),"")</f>
        <v/>
      </c>
      <c r="W107" t="str">
        <f t="shared" si="13"/>
        <v>N11 - N12|04 Inspecciones previas - Zanja y materiales</v>
      </c>
      <c r="X107">
        <v>0</v>
      </c>
    </row>
    <row r="108" spans="1:24" hidden="1">
      <c r="A108" s="23" t="s">
        <v>84</v>
      </c>
      <c r="B108" s="24" t="s">
        <v>127</v>
      </c>
      <c r="C108" s="25" t="s">
        <v>85</v>
      </c>
      <c r="D108" s="23" t="s">
        <v>67</v>
      </c>
      <c r="E108" s="23">
        <v>182</v>
      </c>
      <c r="F108" s="23">
        <f>IF(E108="","",MIN(E108,$X108+SUMIFS('05_Parte_Diario'!$H$5:$H$204,'05_Parte_Diario'!$D$5:$D$204,B108,'05_Parte_Diario'!$E$5:$E$204,C108)))</f>
        <v>0</v>
      </c>
      <c r="G108" s="23">
        <f t="shared" si="7"/>
        <v>182</v>
      </c>
      <c r="H108" s="26">
        <f t="shared" si="8"/>
        <v>0</v>
      </c>
      <c r="I108" s="26">
        <f>IF(OR(B108="",C108="",$V$1=""),"",MIN(E108,SUMIFS('03_Planificacion'!$G$99:$G$178,'03_Planificacion'!$E$99:$E$178,B108,'03_Planificacion'!$F$99:$F$178,C108,'03_Planificacion'!$D$99:$D$178,"&lt;="&amp;$V$1)))</f>
        <v>0</v>
      </c>
      <c r="J108" s="26">
        <f t="shared" si="9"/>
        <v>0</v>
      </c>
      <c r="K108" s="27">
        <f t="shared" si="10"/>
        <v>0</v>
      </c>
      <c r="L108" s="25" t="s">
        <v>68</v>
      </c>
      <c r="M108" s="25"/>
      <c r="N108" s="25"/>
      <c r="O108" s="25"/>
      <c r="P108" s="28">
        <f t="shared" si="11"/>
        <v>46287</v>
      </c>
      <c r="Q108" s="25" t="s">
        <v>121</v>
      </c>
      <c r="R108" s="25">
        <v>75</v>
      </c>
      <c r="S108" s="25" t="s">
        <v>70</v>
      </c>
      <c r="T108" s="25" t="str">
        <f t="shared" si="12"/>
        <v/>
      </c>
      <c r="U108" t="str">
        <f>IF(AND(L108="Para Programar",G108&gt;0),COUNTIFS($L$5:L108,"Para Programar",$G$5:G108,"&gt;0"),"")</f>
        <v/>
      </c>
      <c r="W108" t="str">
        <f t="shared" si="13"/>
        <v>N11 - N12|05 Tendido de cañería - Cañería principal</v>
      </c>
      <c r="X108">
        <v>0</v>
      </c>
    </row>
    <row r="109" spans="1:24" hidden="1">
      <c r="A109" s="23" t="s">
        <v>86</v>
      </c>
      <c r="B109" s="24" t="s">
        <v>127</v>
      </c>
      <c r="C109" s="25" t="s">
        <v>87</v>
      </c>
      <c r="D109" s="23" t="s">
        <v>67</v>
      </c>
      <c r="E109" s="23">
        <v>182</v>
      </c>
      <c r="F109" s="23">
        <f>IF(E109="","",MIN(E109,$X109+SUMIFS('05_Parte_Diario'!$H$5:$H$204,'05_Parte_Diario'!$D$5:$D$204,B109,'05_Parte_Diario'!$E$5:$E$204,C109)))</f>
        <v>0</v>
      </c>
      <c r="G109" s="23">
        <f t="shared" si="7"/>
        <v>182</v>
      </c>
      <c r="H109" s="26">
        <f t="shared" si="8"/>
        <v>0</v>
      </c>
      <c r="I109" s="26">
        <f>IF(OR(B109="",C109="",$V$1=""),"",MIN(E109,SUMIFS('03_Planificacion'!$G$99:$G$178,'03_Planificacion'!$E$99:$E$178,B109,'03_Planificacion'!$F$99:$F$178,C109,'03_Planificacion'!$D$99:$D$178,"&lt;="&amp;$V$1)))</f>
        <v>0</v>
      </c>
      <c r="J109" s="26">
        <f t="shared" si="9"/>
        <v>0</v>
      </c>
      <c r="K109" s="27">
        <f t="shared" si="10"/>
        <v>0</v>
      </c>
      <c r="L109" s="25" t="s">
        <v>68</v>
      </c>
      <c r="M109" s="25"/>
      <c r="N109" s="25"/>
      <c r="O109" s="25"/>
      <c r="P109" s="28">
        <f t="shared" si="11"/>
        <v>46287</v>
      </c>
      <c r="Q109" s="25" t="s">
        <v>121</v>
      </c>
      <c r="R109" s="25">
        <v>75</v>
      </c>
      <c r="S109" s="25" t="s">
        <v>70</v>
      </c>
      <c r="T109" s="25" t="str">
        <f t="shared" si="12"/>
        <v/>
      </c>
      <c r="U109" t="str">
        <f>IF(AND(L109="Para Programar",G109&gt;0),COUNTIFS($L$5:L109,"Para Programar",$G$5:G109,"&gt;0"),"")</f>
        <v/>
      </c>
      <c r="W109" t="str">
        <f t="shared" si="13"/>
        <v>N11 - N12|05 Tendido de cañería - Relevamiento planialtimétrico</v>
      </c>
      <c r="X109">
        <v>0</v>
      </c>
    </row>
    <row r="110" spans="1:24" hidden="1">
      <c r="A110" s="23" t="s">
        <v>88</v>
      </c>
      <c r="B110" s="24" t="s">
        <v>127</v>
      </c>
      <c r="C110" s="25" t="s">
        <v>89</v>
      </c>
      <c r="D110" s="23" t="s">
        <v>81</v>
      </c>
      <c r="E110" s="23">
        <v>1</v>
      </c>
      <c r="F110" s="23">
        <f>IF(E110="","",MIN(E110,$X110+SUMIFS('05_Parte_Diario'!$H$5:$H$204,'05_Parte_Diario'!$D$5:$D$204,B110,'05_Parte_Diario'!$E$5:$E$204,C110)))</f>
        <v>0</v>
      </c>
      <c r="G110" s="23">
        <f t="shared" si="7"/>
        <v>1</v>
      </c>
      <c r="H110" s="26">
        <f t="shared" si="8"/>
        <v>0</v>
      </c>
      <c r="I110" s="26">
        <f>IF(OR(B110="",C110="",$V$1=""),"",MIN(E110,SUMIFS('03_Planificacion'!$G$99:$G$178,'03_Planificacion'!$E$99:$E$178,B110,'03_Planificacion'!$F$99:$F$178,C110,'03_Planificacion'!$D$99:$D$178,"&lt;="&amp;$V$1)))</f>
        <v>0</v>
      </c>
      <c r="J110" s="26">
        <f t="shared" si="9"/>
        <v>0</v>
      </c>
      <c r="K110" s="27">
        <f t="shared" si="10"/>
        <v>0</v>
      </c>
      <c r="L110" s="25" t="s">
        <v>68</v>
      </c>
      <c r="M110" s="25"/>
      <c r="N110" s="25"/>
      <c r="O110" s="25"/>
      <c r="P110" s="28">
        <f t="shared" si="11"/>
        <v>46287</v>
      </c>
      <c r="Q110" s="25" t="s">
        <v>121</v>
      </c>
      <c r="R110" s="25">
        <v>75</v>
      </c>
      <c r="S110" s="25" t="s">
        <v>70</v>
      </c>
      <c r="T110" s="25" t="str">
        <f t="shared" si="12"/>
        <v/>
      </c>
      <c r="U110" t="str">
        <f>IF(AND(L110="Para Programar",G110&gt;0),COUNTIFS($L$5:L110,"Para Programar",$G$5:G110,"&gt;0"),"")</f>
        <v/>
      </c>
      <c r="W110" t="str">
        <f t="shared" si="13"/>
        <v>N11 - N12|08 Prueba hidráulica - Preparación del sistema</v>
      </c>
      <c r="X110">
        <v>0</v>
      </c>
    </row>
    <row r="111" spans="1:24" hidden="1">
      <c r="A111" s="23" t="s">
        <v>90</v>
      </c>
      <c r="B111" s="24" t="s">
        <v>127</v>
      </c>
      <c r="C111" s="25" t="s">
        <v>91</v>
      </c>
      <c r="D111" s="23" t="s">
        <v>81</v>
      </c>
      <c r="E111" s="23">
        <v>1</v>
      </c>
      <c r="F111" s="23">
        <f>IF(E111="","",MIN(E111,$X111+SUMIFS('05_Parte_Diario'!$H$5:$H$204,'05_Parte_Diario'!$D$5:$D$204,B111,'05_Parte_Diario'!$E$5:$E$204,C111)))</f>
        <v>0</v>
      </c>
      <c r="G111" s="23">
        <f t="shared" si="7"/>
        <v>1</v>
      </c>
      <c r="H111" s="26">
        <f t="shared" si="8"/>
        <v>0</v>
      </c>
      <c r="I111" s="26">
        <f>IF(OR(B111="",C111="",$V$1=""),"",MIN(E111,SUMIFS('03_Planificacion'!$G$99:$G$178,'03_Planificacion'!$E$99:$E$178,B111,'03_Planificacion'!$F$99:$F$178,C111,'03_Planificacion'!$D$99:$D$178,"&lt;="&amp;$V$1)))</f>
        <v>0</v>
      </c>
      <c r="J111" s="26">
        <f t="shared" si="9"/>
        <v>0</v>
      </c>
      <c r="K111" s="27">
        <f t="shared" si="10"/>
        <v>0</v>
      </c>
      <c r="L111" s="25" t="s">
        <v>68</v>
      </c>
      <c r="M111" s="25"/>
      <c r="N111" s="25"/>
      <c r="O111" s="25"/>
      <c r="P111" s="28">
        <f t="shared" si="11"/>
        <v>46287</v>
      </c>
      <c r="Q111" s="25" t="s">
        <v>121</v>
      </c>
      <c r="R111" s="25">
        <v>75</v>
      </c>
      <c r="S111" s="25" t="s">
        <v>70</v>
      </c>
      <c r="T111" s="25" t="str">
        <f t="shared" si="12"/>
        <v/>
      </c>
      <c r="U111" t="str">
        <f>IF(AND(L111="Para Programar",G111&gt;0),COUNTIFS($L$5:L111,"Para Programar",$G$5:G111,"&gt;0"),"")</f>
        <v/>
      </c>
      <c r="W111" t="str">
        <f t="shared" si="13"/>
        <v>N11 - N12|08 Prueba hidráulica - Interna N° 1</v>
      </c>
      <c r="X111">
        <v>0</v>
      </c>
    </row>
    <row r="112" spans="1:24" hidden="1">
      <c r="A112" s="23" t="s">
        <v>92</v>
      </c>
      <c r="B112" s="24" t="s">
        <v>127</v>
      </c>
      <c r="C112" s="25" t="s">
        <v>93</v>
      </c>
      <c r="D112" s="23" t="s">
        <v>81</v>
      </c>
      <c r="E112" s="23">
        <v>1</v>
      </c>
      <c r="F112" s="23">
        <f>IF(E112="","",MIN(E112,$X112+SUMIFS('05_Parte_Diario'!$H$5:$H$204,'05_Parte_Diario'!$D$5:$D$204,B112,'05_Parte_Diario'!$E$5:$E$204,C112)))</f>
        <v>0</v>
      </c>
      <c r="G112" s="23">
        <f t="shared" si="7"/>
        <v>1</v>
      </c>
      <c r="H112" s="26">
        <f t="shared" si="8"/>
        <v>0</v>
      </c>
      <c r="I112" s="26">
        <f>IF(OR(B112="",C112="",$V$1=""),"",MIN(E112,SUMIFS('03_Planificacion'!$G$99:$G$178,'03_Planificacion'!$E$99:$E$178,B112,'03_Planificacion'!$F$99:$F$178,C112,'03_Planificacion'!$D$99:$D$178,"&lt;="&amp;$V$1)))</f>
        <v>0</v>
      </c>
      <c r="J112" s="26">
        <f t="shared" si="9"/>
        <v>0</v>
      </c>
      <c r="K112" s="27">
        <f t="shared" si="10"/>
        <v>0</v>
      </c>
      <c r="L112" s="25" t="s">
        <v>68</v>
      </c>
      <c r="M112" s="25"/>
      <c r="N112" s="25"/>
      <c r="O112" s="25"/>
      <c r="P112" s="28">
        <f t="shared" si="11"/>
        <v>46287</v>
      </c>
      <c r="Q112" s="25" t="s">
        <v>121</v>
      </c>
      <c r="R112" s="25">
        <v>75</v>
      </c>
      <c r="S112" s="25" t="s">
        <v>70</v>
      </c>
      <c r="T112" s="25" t="str">
        <f t="shared" si="12"/>
        <v/>
      </c>
      <c r="U112" t="str">
        <f>IF(AND(L112="Para Programar",G112&gt;0),COUNTIFS($L$5:L112,"Para Programar",$G$5:G112,"&gt;0"),"")</f>
        <v/>
      </c>
      <c r="W112" t="str">
        <f t="shared" si="13"/>
        <v>N11 - N12|08 Prueba hidráulica - Interna N° 2</v>
      </c>
      <c r="X112">
        <v>0</v>
      </c>
    </row>
    <row r="113" spans="1:24" hidden="1">
      <c r="A113" s="23" t="s">
        <v>94</v>
      </c>
      <c r="B113" s="24" t="s">
        <v>127</v>
      </c>
      <c r="C113" s="25" t="s">
        <v>95</v>
      </c>
      <c r="D113" s="23" t="s">
        <v>81</v>
      </c>
      <c r="E113" s="23">
        <v>1</v>
      </c>
      <c r="F113" s="23">
        <f>IF(E113="","",MIN(E113,$X113+SUMIFS('05_Parte_Diario'!$H$5:$H$204,'05_Parte_Diario'!$D$5:$D$204,B113,'05_Parte_Diario'!$E$5:$E$204,C113)))</f>
        <v>0</v>
      </c>
      <c r="G113" s="23">
        <f t="shared" si="7"/>
        <v>1</v>
      </c>
      <c r="H113" s="26">
        <f t="shared" si="8"/>
        <v>0</v>
      </c>
      <c r="I113" s="26">
        <f>IF(OR(B113="",C113="",$V$1=""),"",MIN(E113,SUMIFS('03_Planificacion'!$G$99:$G$178,'03_Planificacion'!$E$99:$E$178,B113,'03_Planificacion'!$F$99:$F$178,C113,'03_Planificacion'!$D$99:$D$178,"&lt;="&amp;$V$1)))</f>
        <v>0</v>
      </c>
      <c r="J113" s="26">
        <f t="shared" si="9"/>
        <v>0</v>
      </c>
      <c r="K113" s="27">
        <f t="shared" si="10"/>
        <v>0</v>
      </c>
      <c r="L113" s="25" t="s">
        <v>68</v>
      </c>
      <c r="M113" s="25"/>
      <c r="N113" s="25"/>
      <c r="O113" s="25"/>
      <c r="P113" s="28">
        <f t="shared" si="11"/>
        <v>46287</v>
      </c>
      <c r="Q113" s="25" t="s">
        <v>121</v>
      </c>
      <c r="R113" s="25">
        <v>75</v>
      </c>
      <c r="S113" s="25" t="s">
        <v>70</v>
      </c>
      <c r="T113" s="25" t="str">
        <f t="shared" si="12"/>
        <v/>
      </c>
      <c r="U113" t="str">
        <f>IF(AND(L113="Para Programar",G113&gt;0),COUNTIFS($L$5:L113,"Para Programar",$G$5:G113,"&gt;0"),"")</f>
        <v/>
      </c>
      <c r="W113" t="str">
        <f t="shared" si="13"/>
        <v>N11 - N12|08 Prueba hidráulica - Primera prueba oficial</v>
      </c>
      <c r="X113">
        <v>0</v>
      </c>
    </row>
    <row r="114" spans="1:24" hidden="1">
      <c r="A114" s="23" t="s">
        <v>96</v>
      </c>
      <c r="B114" s="24" t="s">
        <v>127</v>
      </c>
      <c r="C114" s="25" t="s">
        <v>97</v>
      </c>
      <c r="D114" s="23" t="s">
        <v>67</v>
      </c>
      <c r="E114" s="23">
        <v>182</v>
      </c>
      <c r="F114" s="23">
        <f>IF(E114="","",MIN(E114,$X114+SUMIFS('05_Parte_Diario'!$H$5:$H$204,'05_Parte_Diario'!$D$5:$D$204,B114,'05_Parte_Diario'!$E$5:$E$204,C114)))</f>
        <v>0</v>
      </c>
      <c r="G114" s="23">
        <f t="shared" si="7"/>
        <v>182</v>
      </c>
      <c r="H114" s="26">
        <f t="shared" si="8"/>
        <v>0</v>
      </c>
      <c r="I114" s="26">
        <f>IF(OR(B114="",C114="",$V$1=""),"",MIN(E114,SUMIFS('03_Planificacion'!$G$99:$G$178,'03_Planificacion'!$E$99:$E$178,B114,'03_Planificacion'!$F$99:$F$178,C114,'03_Planificacion'!$D$99:$D$178,"&lt;="&amp;$V$1)))</f>
        <v>0</v>
      </c>
      <c r="J114" s="26">
        <f t="shared" si="9"/>
        <v>0</v>
      </c>
      <c r="K114" s="27">
        <f t="shared" si="10"/>
        <v>0</v>
      </c>
      <c r="L114" s="25" t="s">
        <v>68</v>
      </c>
      <c r="M114" s="25"/>
      <c r="N114" s="25"/>
      <c r="O114" s="25"/>
      <c r="P114" s="28">
        <f t="shared" si="11"/>
        <v>46287</v>
      </c>
      <c r="Q114" s="25" t="s">
        <v>121</v>
      </c>
      <c r="R114" s="25">
        <v>75</v>
      </c>
      <c r="S114" s="25" t="s">
        <v>70</v>
      </c>
      <c r="T114" s="25" t="str">
        <f t="shared" si="12"/>
        <v/>
      </c>
      <c r="U114" t="str">
        <f>IF(AND(L114="Para Programar",G114&gt;0),COUNTIFS($L$5:L114,"Para Programar",$G$5:G114,"&gt;0"),"")</f>
        <v/>
      </c>
      <c r="W114" t="str">
        <f t="shared" si="13"/>
        <v>N11 - N12|09 Paquete estructural - Aporte e=0,30 m</v>
      </c>
      <c r="X114">
        <v>0</v>
      </c>
    </row>
    <row r="115" spans="1:24" hidden="1">
      <c r="A115" s="23" t="s">
        <v>98</v>
      </c>
      <c r="B115" s="24" t="s">
        <v>127</v>
      </c>
      <c r="C115" s="25" t="s">
        <v>99</v>
      </c>
      <c r="D115" s="23" t="s">
        <v>67</v>
      </c>
      <c r="E115" s="23">
        <v>182</v>
      </c>
      <c r="F115" s="23">
        <f>IF(E115="","",MIN(E115,$X115+SUMIFS('05_Parte_Diario'!$H$5:$H$204,'05_Parte_Diario'!$D$5:$D$204,B115,'05_Parte_Diario'!$E$5:$E$204,C115)))</f>
        <v>0</v>
      </c>
      <c r="G115" s="23">
        <f t="shared" si="7"/>
        <v>182</v>
      </c>
      <c r="H115" s="26">
        <f t="shared" si="8"/>
        <v>0</v>
      </c>
      <c r="I115" s="26">
        <f>IF(OR(B115="",C115="",$V$1=""),"",MIN(E115,SUMIFS('03_Planificacion'!$G$99:$G$178,'03_Planificacion'!$E$99:$E$178,B115,'03_Planificacion'!$F$99:$F$178,C115,'03_Planificacion'!$D$99:$D$178,"&lt;="&amp;$V$1)))</f>
        <v>0</v>
      </c>
      <c r="J115" s="26">
        <f t="shared" si="9"/>
        <v>0</v>
      </c>
      <c r="K115" s="27">
        <f t="shared" si="10"/>
        <v>0</v>
      </c>
      <c r="L115" s="25" t="s">
        <v>68</v>
      </c>
      <c r="M115" s="25"/>
      <c r="N115" s="25"/>
      <c r="O115" s="25"/>
      <c r="P115" s="28">
        <f t="shared" si="11"/>
        <v>46287</v>
      </c>
      <c r="Q115" s="25" t="s">
        <v>121</v>
      </c>
      <c r="R115" s="25">
        <v>75</v>
      </c>
      <c r="S115" s="25" t="s">
        <v>70</v>
      </c>
      <c r="T115" s="25" t="str">
        <f t="shared" si="12"/>
        <v/>
      </c>
      <c r="U115" t="str">
        <f>IF(AND(L115="Para Programar",G115&gt;0),COUNTIFS($L$5:L115,"Para Programar",$G$5:G115,"&gt;0"),"")</f>
        <v/>
      </c>
      <c r="W115" t="str">
        <f t="shared" si="13"/>
        <v>N11 - N12|09 Paquete estructural - Compactación</v>
      </c>
      <c r="X115">
        <v>0</v>
      </c>
    </row>
    <row r="116" spans="1:24" hidden="1">
      <c r="A116" s="23" t="s">
        <v>100</v>
      </c>
      <c r="B116" s="24" t="s">
        <v>127</v>
      </c>
      <c r="C116" s="25" t="s">
        <v>101</v>
      </c>
      <c r="D116" s="23" t="s">
        <v>81</v>
      </c>
      <c r="E116" s="23">
        <v>1</v>
      </c>
      <c r="F116" s="23">
        <f>IF(E116="","",MIN(E116,$X116+SUMIFS('05_Parte_Diario'!$H$5:$H$204,'05_Parte_Diario'!$D$5:$D$204,B116,'05_Parte_Diario'!$E$5:$E$204,C116)))</f>
        <v>0</v>
      </c>
      <c r="G116" s="23">
        <f t="shared" si="7"/>
        <v>1</v>
      </c>
      <c r="H116" s="26">
        <f t="shared" si="8"/>
        <v>0</v>
      </c>
      <c r="I116" s="26">
        <f>IF(OR(B116="",C116="",$V$1=""),"",MIN(E116,SUMIFS('03_Planificacion'!$G$99:$G$178,'03_Planificacion'!$E$99:$E$178,B116,'03_Planificacion'!$F$99:$F$178,C116,'03_Planificacion'!$D$99:$D$178,"&lt;="&amp;$V$1)))</f>
        <v>0</v>
      </c>
      <c r="J116" s="26">
        <f t="shared" si="9"/>
        <v>0</v>
      </c>
      <c r="K116" s="27">
        <f t="shared" si="10"/>
        <v>0</v>
      </c>
      <c r="L116" s="25" t="s">
        <v>68</v>
      </c>
      <c r="M116" s="25"/>
      <c r="N116" s="25"/>
      <c r="O116" s="25"/>
      <c r="P116" s="28">
        <f t="shared" si="11"/>
        <v>46287</v>
      </c>
      <c r="Q116" s="25" t="s">
        <v>121</v>
      </c>
      <c r="R116" s="25">
        <v>75</v>
      </c>
      <c r="S116" s="25" t="s">
        <v>70</v>
      </c>
      <c r="T116" s="25" t="str">
        <f t="shared" si="12"/>
        <v/>
      </c>
      <c r="U116" t="str">
        <f>IF(AND(L116="Para Programar",G116&gt;0),COUNTIFS($L$5:L116,"Para Programar",$G$5:G116,"&gt;0"),"")</f>
        <v/>
      </c>
      <c r="W116" t="str">
        <f t="shared" si="13"/>
        <v>N11 - N12|09 Paquete estructural - Inspección laboratorio</v>
      </c>
      <c r="X116">
        <v>0</v>
      </c>
    </row>
    <row r="117" spans="1:24" hidden="1">
      <c r="A117" s="23" t="s">
        <v>102</v>
      </c>
      <c r="B117" s="24" t="s">
        <v>127</v>
      </c>
      <c r="C117" s="25" t="s">
        <v>103</v>
      </c>
      <c r="D117" s="23" t="s">
        <v>67</v>
      </c>
      <c r="E117" s="23">
        <v>182</v>
      </c>
      <c r="F117" s="23">
        <f>IF(E117="","",MIN(E117,$X117+SUMIFS('05_Parte_Diario'!$H$5:$H$204,'05_Parte_Diario'!$D$5:$D$204,B117,'05_Parte_Diario'!$E$5:$E$204,C117)))</f>
        <v>0</v>
      </c>
      <c r="G117" s="23">
        <f t="shared" si="7"/>
        <v>182</v>
      </c>
      <c r="H117" s="26">
        <f t="shared" si="8"/>
        <v>0</v>
      </c>
      <c r="I117" s="26">
        <f>IF(OR(B117="",C117="",$V$1=""),"",MIN(E117,SUMIFS('03_Planificacion'!$G$99:$G$178,'03_Planificacion'!$E$99:$E$178,B117,'03_Planificacion'!$F$99:$F$178,C117,'03_Planificacion'!$D$99:$D$178,"&lt;="&amp;$V$1)))</f>
        <v>0</v>
      </c>
      <c r="J117" s="26">
        <f t="shared" si="9"/>
        <v>0</v>
      </c>
      <c r="K117" s="27">
        <f t="shared" si="10"/>
        <v>0</v>
      </c>
      <c r="L117" s="25" t="s">
        <v>68</v>
      </c>
      <c r="M117" s="25"/>
      <c r="N117" s="25"/>
      <c r="O117" s="25"/>
      <c r="P117" s="28">
        <f t="shared" si="11"/>
        <v>46287</v>
      </c>
      <c r="Q117" s="25" t="s">
        <v>121</v>
      </c>
      <c r="R117" s="25">
        <v>75</v>
      </c>
      <c r="S117" s="25" t="s">
        <v>70</v>
      </c>
      <c r="T117" s="25" t="str">
        <f t="shared" si="12"/>
        <v/>
      </c>
      <c r="U117" t="str">
        <f>IF(AND(L117="Para Programar",G117&gt;0),COUNTIFS($L$5:L117,"Para Programar",$G$5:G117,"&gt;0"),"")</f>
        <v/>
      </c>
      <c r="W117" t="str">
        <f t="shared" si="13"/>
        <v>N11 - N12|10 Relleno -0,60 - Conformación de capa</v>
      </c>
      <c r="X117">
        <v>0</v>
      </c>
    </row>
    <row r="118" spans="1:24" hidden="1">
      <c r="A118" s="23" t="s">
        <v>104</v>
      </c>
      <c r="B118" s="24" t="s">
        <v>127</v>
      </c>
      <c r="C118" s="25" t="s">
        <v>105</v>
      </c>
      <c r="D118" s="23" t="s">
        <v>67</v>
      </c>
      <c r="E118" s="23">
        <v>182</v>
      </c>
      <c r="F118" s="23">
        <f>IF(E118="","",MIN(E118,$X118+SUMIFS('05_Parte_Diario'!$H$5:$H$204,'05_Parte_Diario'!$D$5:$D$204,B118,'05_Parte_Diario'!$E$5:$E$204,C118)))</f>
        <v>0</v>
      </c>
      <c r="G118" s="23">
        <f t="shared" si="7"/>
        <v>182</v>
      </c>
      <c r="H118" s="26">
        <f t="shared" si="8"/>
        <v>0</v>
      </c>
      <c r="I118" s="26">
        <f>IF(OR(B118="",C118="",$V$1=""),"",MIN(E118,SUMIFS('03_Planificacion'!$G$99:$G$178,'03_Planificacion'!$E$99:$E$178,B118,'03_Planificacion'!$F$99:$F$178,C118,'03_Planificacion'!$D$99:$D$178,"&lt;="&amp;$V$1)))</f>
        <v>0</v>
      </c>
      <c r="J118" s="26">
        <f t="shared" si="9"/>
        <v>0</v>
      </c>
      <c r="K118" s="27">
        <f t="shared" si="10"/>
        <v>0</v>
      </c>
      <c r="L118" s="25" t="s">
        <v>68</v>
      </c>
      <c r="M118" s="25"/>
      <c r="N118" s="25"/>
      <c r="O118" s="25"/>
      <c r="P118" s="28">
        <f t="shared" si="11"/>
        <v>46287</v>
      </c>
      <c r="Q118" s="25" t="s">
        <v>121</v>
      </c>
      <c r="R118" s="25">
        <v>75</v>
      </c>
      <c r="S118" s="25" t="s">
        <v>70</v>
      </c>
      <c r="T118" s="25" t="str">
        <f t="shared" si="12"/>
        <v/>
      </c>
      <c r="U118" t="str">
        <f>IF(AND(L118="Para Programar",G118&gt;0),COUNTIFS($L$5:L118,"Para Programar",$G$5:G118,"&gt;0"),"")</f>
        <v/>
      </c>
      <c r="W118" t="str">
        <f t="shared" si="13"/>
        <v>N11 - N12|10 Relleno -0,60 - Humectación</v>
      </c>
      <c r="X118">
        <v>0</v>
      </c>
    </row>
    <row r="119" spans="1:24" hidden="1">
      <c r="A119" s="23" t="s">
        <v>106</v>
      </c>
      <c r="B119" s="24" t="s">
        <v>127</v>
      </c>
      <c r="C119" s="25" t="s">
        <v>107</v>
      </c>
      <c r="D119" s="23" t="s">
        <v>67</v>
      </c>
      <c r="E119" s="23">
        <v>182</v>
      </c>
      <c r="F119" s="23">
        <f>IF(E119="","",MIN(E119,$X119+SUMIFS('05_Parte_Diario'!$H$5:$H$204,'05_Parte_Diario'!$D$5:$D$204,B119,'05_Parte_Diario'!$E$5:$E$204,C119)))</f>
        <v>0</v>
      </c>
      <c r="G119" s="23">
        <f t="shared" si="7"/>
        <v>182</v>
      </c>
      <c r="H119" s="26">
        <f t="shared" si="8"/>
        <v>0</v>
      </c>
      <c r="I119" s="26">
        <f>IF(OR(B119="",C119="",$V$1=""),"",MIN(E119,SUMIFS('03_Planificacion'!$G$99:$G$178,'03_Planificacion'!$E$99:$E$178,B119,'03_Planificacion'!$F$99:$F$178,C119,'03_Planificacion'!$D$99:$D$178,"&lt;="&amp;$V$1)))</f>
        <v>0</v>
      </c>
      <c r="J119" s="26">
        <f t="shared" si="9"/>
        <v>0</v>
      </c>
      <c r="K119" s="27">
        <f t="shared" si="10"/>
        <v>0</v>
      </c>
      <c r="L119" s="25" t="s">
        <v>68</v>
      </c>
      <c r="M119" s="25"/>
      <c r="N119" s="25"/>
      <c r="O119" s="25"/>
      <c r="P119" s="28">
        <f t="shared" si="11"/>
        <v>46287</v>
      </c>
      <c r="Q119" s="25" t="s">
        <v>121</v>
      </c>
      <c r="R119" s="25">
        <v>75</v>
      </c>
      <c r="S119" s="25" t="s">
        <v>70</v>
      </c>
      <c r="T119" s="25" t="str">
        <f t="shared" si="12"/>
        <v/>
      </c>
      <c r="U119" t="str">
        <f>IF(AND(L119="Para Programar",G119&gt;0),COUNTIFS($L$5:L119,"Para Programar",$G$5:G119,"&gt;0"),"")</f>
        <v/>
      </c>
      <c r="W119" t="str">
        <f t="shared" si="13"/>
        <v>N11 - N12|10 Relleno -0,60 - Compactación</v>
      </c>
      <c r="X119">
        <v>0</v>
      </c>
    </row>
    <row r="120" spans="1:24" hidden="1">
      <c r="A120" s="23" t="s">
        <v>108</v>
      </c>
      <c r="B120" s="24" t="s">
        <v>127</v>
      </c>
      <c r="C120" s="25" t="s">
        <v>109</v>
      </c>
      <c r="D120" s="23" t="s">
        <v>81</v>
      </c>
      <c r="E120" s="23">
        <v>1</v>
      </c>
      <c r="F120" s="23">
        <f>IF(E120="","",MIN(E120,$X120+SUMIFS('05_Parte_Diario'!$H$5:$H$204,'05_Parte_Diario'!$D$5:$D$204,B120,'05_Parte_Diario'!$E$5:$E$204,C120)))</f>
        <v>0</v>
      </c>
      <c r="G120" s="23">
        <f t="shared" si="7"/>
        <v>1</v>
      </c>
      <c r="H120" s="26">
        <f t="shared" si="8"/>
        <v>0</v>
      </c>
      <c r="I120" s="26">
        <f>IF(OR(B120="",C120="",$V$1=""),"",MIN(E120,SUMIFS('03_Planificacion'!$G$99:$G$178,'03_Planificacion'!$E$99:$E$178,B120,'03_Planificacion'!$F$99:$F$178,C120,'03_Planificacion'!$D$99:$D$178,"&lt;="&amp;$V$1)))</f>
        <v>0</v>
      </c>
      <c r="J120" s="26">
        <f t="shared" si="9"/>
        <v>0</v>
      </c>
      <c r="K120" s="27">
        <f t="shared" si="10"/>
        <v>0</v>
      </c>
      <c r="L120" s="25" t="s">
        <v>68</v>
      </c>
      <c r="M120" s="25"/>
      <c r="N120" s="25"/>
      <c r="O120" s="25"/>
      <c r="P120" s="28">
        <f t="shared" si="11"/>
        <v>46287</v>
      </c>
      <c r="Q120" s="25" t="s">
        <v>121</v>
      </c>
      <c r="R120" s="25">
        <v>75</v>
      </c>
      <c r="S120" s="25" t="s">
        <v>70</v>
      </c>
      <c r="T120" s="25" t="str">
        <f t="shared" si="12"/>
        <v/>
      </c>
      <c r="U120" t="str">
        <f>IF(AND(L120="Para Programar",G120&gt;0),COUNTIFS($L$5:L120,"Para Programar",$G$5:G120,"&gt;0"),"")</f>
        <v/>
      </c>
      <c r="W120" t="str">
        <f t="shared" si="13"/>
        <v>N11 - N12|10 Relleno -0,60 - Inspección laboratorio</v>
      </c>
      <c r="X120">
        <v>0</v>
      </c>
    </row>
    <row r="121" spans="1:24" hidden="1">
      <c r="A121" s="23" t="s">
        <v>110</v>
      </c>
      <c r="B121" s="24" t="s">
        <v>127</v>
      </c>
      <c r="C121" s="25" t="s">
        <v>111</v>
      </c>
      <c r="D121" s="23" t="s">
        <v>67</v>
      </c>
      <c r="E121" s="23">
        <v>182</v>
      </c>
      <c r="F121" s="23">
        <f>IF(E121="","",MIN(E121,$X121+SUMIFS('05_Parte_Diario'!$H$5:$H$204,'05_Parte_Diario'!$D$5:$D$204,B121,'05_Parte_Diario'!$E$5:$E$204,C121)))</f>
        <v>0</v>
      </c>
      <c r="G121" s="23">
        <f t="shared" si="7"/>
        <v>182</v>
      </c>
      <c r="H121" s="26">
        <f t="shared" si="8"/>
        <v>0</v>
      </c>
      <c r="I121" s="26">
        <f>IF(OR(B121="",C121="",$V$1=""),"",MIN(E121,SUMIFS('03_Planificacion'!$G$99:$G$178,'03_Planificacion'!$E$99:$E$178,B121,'03_Planificacion'!$F$99:$F$178,C121,'03_Planificacion'!$D$99:$D$178,"&lt;="&amp;$V$1)))</f>
        <v>0</v>
      </c>
      <c r="J121" s="26">
        <f t="shared" si="9"/>
        <v>0</v>
      </c>
      <c r="K121" s="27">
        <f t="shared" si="10"/>
        <v>0</v>
      </c>
      <c r="L121" s="25" t="s">
        <v>68</v>
      </c>
      <c r="M121" s="25"/>
      <c r="N121" s="25"/>
      <c r="O121" s="25"/>
      <c r="P121" s="28">
        <f t="shared" si="11"/>
        <v>46287</v>
      </c>
      <c r="Q121" s="25" t="s">
        <v>121</v>
      </c>
      <c r="R121" s="25">
        <v>75</v>
      </c>
      <c r="S121" s="25" t="s">
        <v>70</v>
      </c>
      <c r="T121" s="25" t="str">
        <f t="shared" si="12"/>
        <v/>
      </c>
      <c r="U121" t="str">
        <f>IF(AND(L121="Para Programar",G121&gt;0),COUNTIFS($L$5:L121,"Para Programar",$G$5:G121,"&gt;0"),"")</f>
        <v/>
      </c>
      <c r="W121" t="str">
        <f t="shared" si="13"/>
        <v>N11 - N12|11 Relleno -0,30 - Conformación de capa</v>
      </c>
      <c r="X121">
        <v>0</v>
      </c>
    </row>
    <row r="122" spans="1:24" hidden="1">
      <c r="A122" s="23" t="s">
        <v>112</v>
      </c>
      <c r="B122" s="24" t="s">
        <v>127</v>
      </c>
      <c r="C122" s="25" t="s">
        <v>113</v>
      </c>
      <c r="D122" s="23" t="s">
        <v>67</v>
      </c>
      <c r="E122" s="23">
        <v>182</v>
      </c>
      <c r="F122" s="23">
        <f>IF(E122="","",MIN(E122,$X122+SUMIFS('05_Parte_Diario'!$H$5:$H$204,'05_Parte_Diario'!$D$5:$D$204,B122,'05_Parte_Diario'!$E$5:$E$204,C122)))</f>
        <v>0</v>
      </c>
      <c r="G122" s="23">
        <f t="shared" si="7"/>
        <v>182</v>
      </c>
      <c r="H122" s="26">
        <f t="shared" si="8"/>
        <v>0</v>
      </c>
      <c r="I122" s="26">
        <f>IF(OR(B122="",C122="",$V$1=""),"",MIN(E122,SUMIFS('03_Planificacion'!$G$99:$G$178,'03_Planificacion'!$E$99:$E$178,B122,'03_Planificacion'!$F$99:$F$178,C122,'03_Planificacion'!$D$99:$D$178,"&lt;="&amp;$V$1)))</f>
        <v>0</v>
      </c>
      <c r="J122" s="26">
        <f t="shared" si="9"/>
        <v>0</v>
      </c>
      <c r="K122" s="27">
        <f t="shared" si="10"/>
        <v>0</v>
      </c>
      <c r="L122" s="25" t="s">
        <v>68</v>
      </c>
      <c r="M122" s="25"/>
      <c r="N122" s="25"/>
      <c r="O122" s="25"/>
      <c r="P122" s="28">
        <f t="shared" si="11"/>
        <v>46287</v>
      </c>
      <c r="Q122" s="25" t="s">
        <v>121</v>
      </c>
      <c r="R122" s="25">
        <v>75</v>
      </c>
      <c r="S122" s="25" t="s">
        <v>70</v>
      </c>
      <c r="T122" s="25" t="str">
        <f t="shared" si="12"/>
        <v/>
      </c>
      <c r="U122" t="str">
        <f>IF(AND(L122="Para Programar",G122&gt;0),COUNTIFS($L$5:L122,"Para Programar",$G$5:G122,"&gt;0"),"")</f>
        <v/>
      </c>
      <c r="W122" t="str">
        <f t="shared" si="13"/>
        <v>N11 - N12|11 Relleno -0,30 - Humectación</v>
      </c>
      <c r="X122">
        <v>0</v>
      </c>
    </row>
    <row r="123" spans="1:24" hidden="1">
      <c r="A123" s="23" t="s">
        <v>114</v>
      </c>
      <c r="B123" s="24" t="s">
        <v>127</v>
      </c>
      <c r="C123" s="25" t="s">
        <v>115</v>
      </c>
      <c r="D123" s="23" t="s">
        <v>67</v>
      </c>
      <c r="E123" s="23">
        <v>182</v>
      </c>
      <c r="F123" s="23">
        <f>IF(E123="","",MIN(E123,$X123+SUMIFS('05_Parte_Diario'!$H$5:$H$204,'05_Parte_Diario'!$D$5:$D$204,B123,'05_Parte_Diario'!$E$5:$E$204,C123)))</f>
        <v>0</v>
      </c>
      <c r="G123" s="23">
        <f t="shared" si="7"/>
        <v>182</v>
      </c>
      <c r="H123" s="26">
        <f t="shared" si="8"/>
        <v>0</v>
      </c>
      <c r="I123" s="26">
        <f>IF(OR(B123="",C123="",$V$1=""),"",MIN(E123,SUMIFS('03_Planificacion'!$G$99:$G$178,'03_Planificacion'!$E$99:$E$178,B123,'03_Planificacion'!$F$99:$F$178,C123,'03_Planificacion'!$D$99:$D$178,"&lt;="&amp;$V$1)))</f>
        <v>0</v>
      </c>
      <c r="J123" s="26">
        <f t="shared" si="9"/>
        <v>0</v>
      </c>
      <c r="K123" s="27">
        <f t="shared" si="10"/>
        <v>0</v>
      </c>
      <c r="L123" s="25" t="s">
        <v>68</v>
      </c>
      <c r="M123" s="25"/>
      <c r="N123" s="25"/>
      <c r="O123" s="25"/>
      <c r="P123" s="28">
        <f t="shared" si="11"/>
        <v>46287</v>
      </c>
      <c r="Q123" s="25" t="s">
        <v>121</v>
      </c>
      <c r="R123" s="25">
        <v>75</v>
      </c>
      <c r="S123" s="25" t="s">
        <v>70</v>
      </c>
      <c r="T123" s="25" t="str">
        <f t="shared" si="12"/>
        <v/>
      </c>
      <c r="U123" t="str">
        <f>IF(AND(L123="Para Programar",G123&gt;0),COUNTIFS($L$5:L123,"Para Programar",$G$5:G123,"&gt;0"),"")</f>
        <v/>
      </c>
      <c r="W123" t="str">
        <f t="shared" si="13"/>
        <v>N11 - N12|11 Relleno -0,30 - Compactación</v>
      </c>
      <c r="X123">
        <v>0</v>
      </c>
    </row>
    <row r="124" spans="1:24" hidden="1">
      <c r="A124" s="23" t="s">
        <v>116</v>
      </c>
      <c r="B124" s="24" t="s">
        <v>127</v>
      </c>
      <c r="C124" s="25" t="s">
        <v>117</v>
      </c>
      <c r="D124" s="23" t="s">
        <v>81</v>
      </c>
      <c r="E124" s="23">
        <v>1</v>
      </c>
      <c r="F124" s="23">
        <f>IF(E124="","",MIN(E124,$X124+SUMIFS('05_Parte_Diario'!$H$5:$H$204,'05_Parte_Diario'!$D$5:$D$204,B124,'05_Parte_Diario'!$E$5:$E$204,C124)))</f>
        <v>0</v>
      </c>
      <c r="G124" s="23">
        <f t="shared" si="7"/>
        <v>1</v>
      </c>
      <c r="H124" s="26">
        <f t="shared" si="8"/>
        <v>0</v>
      </c>
      <c r="I124" s="26">
        <f>IF(OR(B124="",C124="",$V$1=""),"",MIN(E124,SUMIFS('03_Planificacion'!$G$99:$G$178,'03_Planificacion'!$E$99:$E$178,B124,'03_Planificacion'!$F$99:$F$178,C124,'03_Planificacion'!$D$99:$D$178,"&lt;="&amp;$V$1)))</f>
        <v>0</v>
      </c>
      <c r="J124" s="26">
        <f t="shared" si="9"/>
        <v>0</v>
      </c>
      <c r="K124" s="27">
        <f t="shared" si="10"/>
        <v>0</v>
      </c>
      <c r="L124" s="25" t="s">
        <v>68</v>
      </c>
      <c r="M124" s="25"/>
      <c r="N124" s="25"/>
      <c r="O124" s="25"/>
      <c r="P124" s="28">
        <f t="shared" si="11"/>
        <v>46287</v>
      </c>
      <c r="Q124" s="25" t="s">
        <v>121</v>
      </c>
      <c r="R124" s="25">
        <v>75</v>
      </c>
      <c r="S124" s="25" t="s">
        <v>70</v>
      </c>
      <c r="T124" s="25" t="str">
        <f t="shared" si="12"/>
        <v/>
      </c>
      <c r="U124" t="str">
        <f>IF(AND(L124="Para Programar",G124&gt;0),COUNTIFS($L$5:L124,"Para Programar",$G$5:G124,"&gt;0"),"")</f>
        <v/>
      </c>
      <c r="W124" t="str">
        <f t="shared" si="13"/>
        <v>N11 - N12|11 Relleno -0,30 - Inspección laboratorio</v>
      </c>
      <c r="X124">
        <v>0</v>
      </c>
    </row>
    <row r="125" spans="1:24" hidden="1">
      <c r="A125" s="23" t="s">
        <v>64</v>
      </c>
      <c r="B125" s="24" t="s">
        <v>128</v>
      </c>
      <c r="C125" s="25" t="s">
        <v>66</v>
      </c>
      <c r="D125" s="23" t="s">
        <v>67</v>
      </c>
      <c r="E125" s="23">
        <v>80</v>
      </c>
      <c r="F125" s="23">
        <f>IF(E125="","",MIN(E125,$X125+SUMIFS('05_Parte_Diario'!$H$5:$H$204,'05_Parte_Diario'!$D$5:$D$204,B125,'05_Parte_Diario'!$E$5:$E$204,C125)))</f>
        <v>0</v>
      </c>
      <c r="G125" s="23">
        <f t="shared" si="7"/>
        <v>80</v>
      </c>
      <c r="H125" s="26">
        <f t="shared" si="8"/>
        <v>0</v>
      </c>
      <c r="I125" s="26">
        <f>IF(OR(B125="",C125="",$V$1=""),"",MIN(E125,SUMIFS('03_Planificacion'!$G$99:$G$178,'03_Planificacion'!$E$99:$E$178,B125,'03_Planificacion'!$F$99:$F$178,C125,'03_Planificacion'!$D$99:$D$178,"&lt;="&amp;$V$1)))</f>
        <v>0</v>
      </c>
      <c r="J125" s="26">
        <f t="shared" si="9"/>
        <v>0</v>
      </c>
      <c r="K125" s="27">
        <f t="shared" si="10"/>
        <v>0</v>
      </c>
      <c r="L125" s="25" t="s">
        <v>68</v>
      </c>
      <c r="M125" s="25"/>
      <c r="N125" s="25"/>
      <c r="O125" s="25"/>
      <c r="P125" s="28">
        <f t="shared" si="11"/>
        <v>46287</v>
      </c>
      <c r="Q125" s="25" t="s">
        <v>129</v>
      </c>
      <c r="R125" s="25">
        <v>75</v>
      </c>
      <c r="S125" s="25" t="s">
        <v>70</v>
      </c>
      <c r="T125" s="25" t="str">
        <f t="shared" si="12"/>
        <v/>
      </c>
      <c r="U125" t="str">
        <f>IF(AND(L125="Para Programar",G125&gt;0),COUNTIFS($L$5:L125,"Para Programar",$G$5:G125,"&gt;0"),"")</f>
        <v/>
      </c>
      <c r="W125" t="str">
        <f t="shared" si="13"/>
        <v>N11 - N17|01 Replanteo - Marcación de tramo de cañería principal</v>
      </c>
      <c r="X125">
        <v>0</v>
      </c>
    </row>
    <row r="126" spans="1:24" hidden="1">
      <c r="A126" s="23" t="s">
        <v>71</v>
      </c>
      <c r="B126" s="24" t="s">
        <v>128</v>
      </c>
      <c r="C126" s="25" t="s">
        <v>72</v>
      </c>
      <c r="D126" s="23" t="s">
        <v>67</v>
      </c>
      <c r="E126" s="23">
        <v>80</v>
      </c>
      <c r="F126" s="23">
        <f>IF(E126="","",MIN(E126,$X126+SUMIFS('05_Parte_Diario'!$H$5:$H$204,'05_Parte_Diario'!$D$5:$D$204,B126,'05_Parte_Diario'!$E$5:$E$204,C126)))</f>
        <v>0</v>
      </c>
      <c r="G126" s="23">
        <f t="shared" si="7"/>
        <v>80</v>
      </c>
      <c r="H126" s="26">
        <f t="shared" si="8"/>
        <v>0</v>
      </c>
      <c r="I126" s="26">
        <f>IF(OR(B126="",C126="",$V$1=""),"",MIN(E126,SUMIFS('03_Planificacion'!$G$99:$G$178,'03_Planificacion'!$E$99:$E$178,B126,'03_Planificacion'!$F$99:$F$178,C126,'03_Planificacion'!$D$99:$D$178,"&lt;="&amp;$V$1)))</f>
        <v>0</v>
      </c>
      <c r="J126" s="26">
        <f t="shared" si="9"/>
        <v>0</v>
      </c>
      <c r="K126" s="27">
        <f t="shared" si="10"/>
        <v>0</v>
      </c>
      <c r="L126" s="25" t="s">
        <v>68</v>
      </c>
      <c r="M126" s="25"/>
      <c r="N126" s="25"/>
      <c r="O126" s="25"/>
      <c r="P126" s="28">
        <f t="shared" si="11"/>
        <v>46287</v>
      </c>
      <c r="Q126" s="25" t="s">
        <v>129</v>
      </c>
      <c r="R126" s="25">
        <v>75</v>
      </c>
      <c r="S126" s="25" t="s">
        <v>70</v>
      </c>
      <c r="T126" s="25" t="str">
        <f t="shared" si="12"/>
        <v/>
      </c>
      <c r="U126" t="str">
        <f>IF(AND(L126="Para Programar",G126&gt;0),COUNTIFS($L$5:L126,"Para Programar",$G$5:G126,"&gt;0"),"")</f>
        <v/>
      </c>
      <c r="W126" t="str">
        <f t="shared" si="13"/>
        <v>N11 - N17|02 Excavación - Zanja principal</v>
      </c>
      <c r="X126">
        <v>0</v>
      </c>
    </row>
    <row r="127" spans="1:24" hidden="1">
      <c r="A127" s="23" t="s">
        <v>73</v>
      </c>
      <c r="B127" s="24" t="s">
        <v>128</v>
      </c>
      <c r="C127" s="25" t="s">
        <v>74</v>
      </c>
      <c r="D127" s="23" t="s">
        <v>67</v>
      </c>
      <c r="E127" s="23">
        <v>80</v>
      </c>
      <c r="F127" s="23">
        <f>IF(E127="","",MIN(E127,$X127+SUMIFS('05_Parte_Diario'!$H$5:$H$204,'05_Parte_Diario'!$D$5:$D$204,B127,'05_Parte_Diario'!$E$5:$E$204,C127)))</f>
        <v>0</v>
      </c>
      <c r="G127" s="23">
        <f t="shared" si="7"/>
        <v>80</v>
      </c>
      <c r="H127" s="26">
        <f t="shared" si="8"/>
        <v>0</v>
      </c>
      <c r="I127" s="26">
        <f>IF(OR(B127="",C127="",$V$1=""),"",MIN(E127,SUMIFS('03_Planificacion'!$G$99:$G$178,'03_Planificacion'!$E$99:$E$178,B127,'03_Planificacion'!$F$99:$F$178,C127,'03_Planificacion'!$D$99:$D$178,"&lt;="&amp;$V$1)))</f>
        <v>0</v>
      </c>
      <c r="J127" s="26">
        <f t="shared" si="9"/>
        <v>0</v>
      </c>
      <c r="K127" s="27">
        <f t="shared" si="10"/>
        <v>0</v>
      </c>
      <c r="L127" s="25" t="s">
        <v>68</v>
      </c>
      <c r="M127" s="25"/>
      <c r="N127" s="25"/>
      <c r="O127" s="25"/>
      <c r="P127" s="28">
        <f t="shared" si="11"/>
        <v>46287</v>
      </c>
      <c r="Q127" s="25" t="s">
        <v>129</v>
      </c>
      <c r="R127" s="25">
        <v>75</v>
      </c>
      <c r="S127" s="25" t="s">
        <v>70</v>
      </c>
      <c r="T127" s="25" t="str">
        <f t="shared" si="12"/>
        <v/>
      </c>
      <c r="U127" t="str">
        <f>IF(AND(L127="Para Programar",G127&gt;0),COUNTIFS($L$5:L127,"Para Programar",$G$5:G127,"&gt;0"),"")</f>
        <v/>
      </c>
      <c r="W127" t="str">
        <f t="shared" si="13"/>
        <v>N11 - N17|03 Base de asiento - Nivelación de fondo de zanja</v>
      </c>
      <c r="X127">
        <v>0</v>
      </c>
    </row>
    <row r="128" spans="1:24" hidden="1">
      <c r="A128" s="23" t="s">
        <v>75</v>
      </c>
      <c r="B128" s="24" t="s">
        <v>128</v>
      </c>
      <c r="C128" s="25" t="s">
        <v>76</v>
      </c>
      <c r="D128" s="23" t="s">
        <v>67</v>
      </c>
      <c r="E128" s="23">
        <v>80</v>
      </c>
      <c r="F128" s="23">
        <f>IF(E128="","",MIN(E128,$X128+SUMIFS('05_Parte_Diario'!$H$5:$H$204,'05_Parte_Diario'!$D$5:$D$204,B128,'05_Parte_Diario'!$E$5:$E$204,C128)))</f>
        <v>0</v>
      </c>
      <c r="G128" s="23">
        <f t="shared" si="7"/>
        <v>80</v>
      </c>
      <c r="H128" s="26">
        <f t="shared" si="8"/>
        <v>0</v>
      </c>
      <c r="I128" s="26">
        <f>IF(OR(B128="",C128="",$V$1=""),"",MIN(E128,SUMIFS('03_Planificacion'!$G$99:$G$178,'03_Planificacion'!$E$99:$E$178,B128,'03_Planificacion'!$F$99:$F$178,C128,'03_Planificacion'!$D$99:$D$178,"&lt;="&amp;$V$1)))</f>
        <v>0</v>
      </c>
      <c r="J128" s="26">
        <f t="shared" si="9"/>
        <v>0</v>
      </c>
      <c r="K128" s="27">
        <f t="shared" si="10"/>
        <v>0</v>
      </c>
      <c r="L128" s="25" t="s">
        <v>68</v>
      </c>
      <c r="M128" s="25"/>
      <c r="N128" s="25"/>
      <c r="O128" s="25"/>
      <c r="P128" s="28">
        <f t="shared" si="11"/>
        <v>46287</v>
      </c>
      <c r="Q128" s="25" t="s">
        <v>129</v>
      </c>
      <c r="R128" s="25">
        <v>75</v>
      </c>
      <c r="S128" s="25" t="s">
        <v>70</v>
      </c>
      <c r="T128" s="25" t="str">
        <f t="shared" si="12"/>
        <v/>
      </c>
      <c r="U128" t="str">
        <f>IF(AND(L128="Para Programar",G128&gt;0),COUNTIFS($L$5:L128,"Para Programar",$G$5:G128,"&gt;0"),"")</f>
        <v/>
      </c>
      <c r="W128" t="str">
        <f t="shared" si="13"/>
        <v>N11 - N17|03 Base de asiento - Aporte de material base e=0,10 m</v>
      </c>
      <c r="X128">
        <v>0</v>
      </c>
    </row>
    <row r="129" spans="1:24" hidden="1">
      <c r="A129" s="23" t="s">
        <v>77</v>
      </c>
      <c r="B129" s="24" t="s">
        <v>128</v>
      </c>
      <c r="C129" s="25" t="s">
        <v>78</v>
      </c>
      <c r="D129" s="23" t="s">
        <v>67</v>
      </c>
      <c r="E129" s="23">
        <v>80</v>
      </c>
      <c r="F129" s="23">
        <f>IF(E129="","",MIN(E129,$X129+SUMIFS('05_Parte_Diario'!$H$5:$H$204,'05_Parte_Diario'!$D$5:$D$204,B129,'05_Parte_Diario'!$E$5:$E$204,C129)))</f>
        <v>0</v>
      </c>
      <c r="G129" s="23">
        <f t="shared" si="7"/>
        <v>80</v>
      </c>
      <c r="H129" s="26">
        <f t="shared" si="8"/>
        <v>0</v>
      </c>
      <c r="I129" s="26">
        <f>IF(OR(B129="",C129="",$V$1=""),"",MIN(E129,SUMIFS('03_Planificacion'!$G$99:$G$178,'03_Planificacion'!$E$99:$E$178,B129,'03_Planificacion'!$F$99:$F$178,C129,'03_Planificacion'!$D$99:$D$178,"&lt;="&amp;$V$1)))</f>
        <v>0</v>
      </c>
      <c r="J129" s="26">
        <f t="shared" si="9"/>
        <v>0</v>
      </c>
      <c r="K129" s="27">
        <f t="shared" si="10"/>
        <v>0</v>
      </c>
      <c r="L129" s="25" t="s">
        <v>68</v>
      </c>
      <c r="M129" s="25"/>
      <c r="N129" s="25"/>
      <c r="O129" s="25"/>
      <c r="P129" s="28">
        <f t="shared" si="11"/>
        <v>46287</v>
      </c>
      <c r="Q129" s="25" t="s">
        <v>129</v>
      </c>
      <c r="R129" s="25">
        <v>75</v>
      </c>
      <c r="S129" s="25" t="s">
        <v>70</v>
      </c>
      <c r="T129" s="25" t="str">
        <f t="shared" si="12"/>
        <v/>
      </c>
      <c r="U129" t="str">
        <f>IF(AND(L129="Para Programar",G129&gt;0),COUNTIFS($L$5:L129,"Para Programar",$G$5:G129,"&gt;0"),"")</f>
        <v/>
      </c>
      <c r="W129" t="str">
        <f t="shared" si="13"/>
        <v>N11 - N17|03 Base de asiento - Compactación</v>
      </c>
      <c r="X129">
        <v>0</v>
      </c>
    </row>
    <row r="130" spans="1:24" hidden="1">
      <c r="A130" s="23" t="s">
        <v>79</v>
      </c>
      <c r="B130" s="24" t="s">
        <v>128</v>
      </c>
      <c r="C130" s="25" t="s">
        <v>80</v>
      </c>
      <c r="D130" s="23" t="s">
        <v>81</v>
      </c>
      <c r="E130" s="23">
        <v>1</v>
      </c>
      <c r="F130" s="23">
        <f>IF(E130="","",MIN(E130,$X130+SUMIFS('05_Parte_Diario'!$H$5:$H$204,'05_Parte_Diario'!$D$5:$D$204,B130,'05_Parte_Diario'!$E$5:$E$204,C130)))</f>
        <v>0</v>
      </c>
      <c r="G130" s="23">
        <f t="shared" si="7"/>
        <v>1</v>
      </c>
      <c r="H130" s="26">
        <f t="shared" si="8"/>
        <v>0</v>
      </c>
      <c r="I130" s="26">
        <f>IF(OR(B130="",C130="",$V$1=""),"",MIN(E130,SUMIFS('03_Planificacion'!$G$99:$G$178,'03_Planificacion'!$E$99:$E$178,B130,'03_Planificacion'!$F$99:$F$178,C130,'03_Planificacion'!$D$99:$D$178,"&lt;="&amp;$V$1)))</f>
        <v>0</v>
      </c>
      <c r="J130" s="26">
        <f t="shared" si="9"/>
        <v>0</v>
      </c>
      <c r="K130" s="27">
        <f t="shared" si="10"/>
        <v>0</v>
      </c>
      <c r="L130" s="25" t="s">
        <v>68</v>
      </c>
      <c r="M130" s="25"/>
      <c r="N130" s="25"/>
      <c r="O130" s="25"/>
      <c r="P130" s="28">
        <f t="shared" si="11"/>
        <v>46287</v>
      </c>
      <c r="Q130" s="25" t="s">
        <v>129</v>
      </c>
      <c r="R130" s="25">
        <v>75</v>
      </c>
      <c r="S130" s="25" t="s">
        <v>70</v>
      </c>
      <c r="T130" s="25" t="str">
        <f t="shared" si="12"/>
        <v/>
      </c>
      <c r="U130" t="str">
        <f>IF(AND(L130="Para Programar",G130&gt;0),COUNTIFS($L$5:L130,"Para Programar",$G$5:G130,"&gt;0"),"")</f>
        <v/>
      </c>
      <c r="W130" t="str">
        <f t="shared" si="13"/>
        <v>N11 - N17|04 Inspecciones previas - Laboratorio base de asiento</v>
      </c>
      <c r="X130">
        <v>0</v>
      </c>
    </row>
    <row r="131" spans="1:24" hidden="1">
      <c r="A131" s="23" t="s">
        <v>82</v>
      </c>
      <c r="B131" s="24" t="s">
        <v>128</v>
      </c>
      <c r="C131" s="25" t="s">
        <v>83</v>
      </c>
      <c r="D131" s="23" t="s">
        <v>81</v>
      </c>
      <c r="E131" s="23">
        <v>1</v>
      </c>
      <c r="F131" s="23">
        <f>IF(E131="","",MIN(E131,$X131+SUMIFS('05_Parte_Diario'!$H$5:$H$204,'05_Parte_Diario'!$D$5:$D$204,B131,'05_Parte_Diario'!$E$5:$E$204,C131)))</f>
        <v>0</v>
      </c>
      <c r="G131" s="23">
        <f t="shared" si="7"/>
        <v>1</v>
      </c>
      <c r="H131" s="26">
        <f t="shared" si="8"/>
        <v>0</v>
      </c>
      <c r="I131" s="26">
        <f>IF(OR(B131="",C131="",$V$1=""),"",MIN(E131,SUMIFS('03_Planificacion'!$G$99:$G$178,'03_Planificacion'!$E$99:$E$178,B131,'03_Planificacion'!$F$99:$F$178,C131,'03_Planificacion'!$D$99:$D$178,"&lt;="&amp;$V$1)))</f>
        <v>0</v>
      </c>
      <c r="J131" s="26">
        <f t="shared" si="9"/>
        <v>0</v>
      </c>
      <c r="K131" s="27">
        <f t="shared" si="10"/>
        <v>0</v>
      </c>
      <c r="L131" s="25" t="s">
        <v>68</v>
      </c>
      <c r="M131" s="25"/>
      <c r="N131" s="25"/>
      <c r="O131" s="25"/>
      <c r="P131" s="28">
        <f t="shared" si="11"/>
        <v>46287</v>
      </c>
      <c r="Q131" s="25" t="s">
        <v>129</v>
      </c>
      <c r="R131" s="25">
        <v>75</v>
      </c>
      <c r="S131" s="25" t="s">
        <v>70</v>
      </c>
      <c r="T131" s="25" t="str">
        <f t="shared" si="12"/>
        <v/>
      </c>
      <c r="U131" t="str">
        <f>IF(AND(L131="Para Programar",G131&gt;0),COUNTIFS($L$5:L131,"Para Programar",$G$5:G131,"&gt;0"),"")</f>
        <v/>
      </c>
      <c r="W131" t="str">
        <f t="shared" si="13"/>
        <v>N11 - N17|04 Inspecciones previas - Zanja y materiales</v>
      </c>
      <c r="X131">
        <v>0</v>
      </c>
    </row>
    <row r="132" spans="1:24" hidden="1">
      <c r="A132" s="23" t="s">
        <v>84</v>
      </c>
      <c r="B132" s="24" t="s">
        <v>128</v>
      </c>
      <c r="C132" s="25" t="s">
        <v>85</v>
      </c>
      <c r="D132" s="23" t="s">
        <v>67</v>
      </c>
      <c r="E132" s="23">
        <v>80</v>
      </c>
      <c r="F132" s="23">
        <f>IF(E132="","",MIN(E132,$X132+SUMIFS('05_Parte_Diario'!$H$5:$H$204,'05_Parte_Diario'!$D$5:$D$204,B132,'05_Parte_Diario'!$E$5:$E$204,C132)))</f>
        <v>0</v>
      </c>
      <c r="G132" s="23">
        <f t="shared" si="7"/>
        <v>80</v>
      </c>
      <c r="H132" s="26">
        <f t="shared" si="8"/>
        <v>0</v>
      </c>
      <c r="I132" s="26">
        <f>IF(OR(B132="",C132="",$V$1=""),"",MIN(E132,SUMIFS('03_Planificacion'!$G$99:$G$178,'03_Planificacion'!$E$99:$E$178,B132,'03_Planificacion'!$F$99:$F$178,C132,'03_Planificacion'!$D$99:$D$178,"&lt;="&amp;$V$1)))</f>
        <v>0</v>
      </c>
      <c r="J132" s="26">
        <f t="shared" si="9"/>
        <v>0</v>
      </c>
      <c r="K132" s="27">
        <f t="shared" si="10"/>
        <v>0</v>
      </c>
      <c r="L132" s="25" t="s">
        <v>68</v>
      </c>
      <c r="M132" s="25"/>
      <c r="N132" s="25"/>
      <c r="O132" s="25"/>
      <c r="P132" s="28">
        <f t="shared" si="11"/>
        <v>46287</v>
      </c>
      <c r="Q132" s="25" t="s">
        <v>129</v>
      </c>
      <c r="R132" s="25">
        <v>75</v>
      </c>
      <c r="S132" s="25" t="s">
        <v>70</v>
      </c>
      <c r="T132" s="25" t="str">
        <f t="shared" si="12"/>
        <v/>
      </c>
      <c r="U132" t="str">
        <f>IF(AND(L132="Para Programar",G132&gt;0),COUNTIFS($L$5:L132,"Para Programar",$G$5:G132,"&gt;0"),"")</f>
        <v/>
      </c>
      <c r="W132" t="str">
        <f t="shared" si="13"/>
        <v>N11 - N17|05 Tendido de cañería - Cañería principal</v>
      </c>
      <c r="X132">
        <v>0</v>
      </c>
    </row>
    <row r="133" spans="1:24" hidden="1">
      <c r="A133" s="23" t="s">
        <v>86</v>
      </c>
      <c r="B133" s="24" t="s">
        <v>128</v>
      </c>
      <c r="C133" s="25" t="s">
        <v>87</v>
      </c>
      <c r="D133" s="23" t="s">
        <v>67</v>
      </c>
      <c r="E133" s="23">
        <v>80</v>
      </c>
      <c r="F133" s="23">
        <f>IF(E133="","",MIN(E133,$X133+SUMIFS('05_Parte_Diario'!$H$5:$H$204,'05_Parte_Diario'!$D$5:$D$204,B133,'05_Parte_Diario'!$E$5:$E$204,C133)))</f>
        <v>0</v>
      </c>
      <c r="G133" s="23">
        <f t="shared" ref="G133:G196" si="14">IF(E133="","",MAX(E133-F133,0))</f>
        <v>80</v>
      </c>
      <c r="H133" s="26">
        <f t="shared" ref="H133:H196" si="15">IFERROR(F133/E133,0)</f>
        <v>0</v>
      </c>
      <c r="I133" s="26">
        <f>IF(OR(B133="",C133="",$V$1=""),"",MIN(E133,SUMIFS('03_Planificacion'!$G$99:$G$178,'03_Planificacion'!$E$99:$E$178,B133,'03_Planificacion'!$F$99:$F$178,C133,'03_Planificacion'!$D$99:$D$178,"&lt;="&amp;$V$1)))</f>
        <v>0</v>
      </c>
      <c r="J133" s="26">
        <f t="shared" ref="J133:J196" si="16">IFERROR(I133/E133,0)</f>
        <v>0</v>
      </c>
      <c r="K133" s="27">
        <f t="shared" ref="K133:K196" si="17">IF(OR(E133="",$V$1=""),"",H133-J133)</f>
        <v>0</v>
      </c>
      <c r="L133" s="25" t="s">
        <v>68</v>
      </c>
      <c r="M133" s="25"/>
      <c r="N133" s="25"/>
      <c r="O133" s="25"/>
      <c r="P133" s="28">
        <f t="shared" ref="P133:P196" si="18">IF(A133="","",$V$1)</f>
        <v>46287</v>
      </c>
      <c r="Q133" s="25" t="s">
        <v>129</v>
      </c>
      <c r="R133" s="25">
        <v>75</v>
      </c>
      <c r="S133" s="25" t="s">
        <v>70</v>
      </c>
      <c r="T133" s="25" t="str">
        <f t="shared" ref="T133:T196" si="19">IF(A133="","",IF(AND(L133="Para Programar",G133=0),"INCONSISTENCIA - REVISAR MANUALMENTE: Para Programar sin saldo",IF(AND(L133="Terminada",G133&gt;0),"INCONSISTENCIA - REVISAR MANUALMENTE: Terminada con saldo","")))</f>
        <v/>
      </c>
      <c r="U133" t="str">
        <f>IF(AND(L133="Para Programar",G133&gt;0),COUNTIFS($L$5:L133,"Para Programar",$G$5:G133,"&gt;0"),"")</f>
        <v/>
      </c>
      <c r="W133" t="str">
        <f t="shared" ref="W133:W196" si="20">IF(OR(B133="",C133=""),"",B133&amp;"|"&amp;C133)</f>
        <v>N11 - N17|05 Tendido de cañería - Relevamiento planialtimétrico</v>
      </c>
      <c r="X133">
        <v>0</v>
      </c>
    </row>
    <row r="134" spans="1:24" hidden="1">
      <c r="A134" s="23" t="s">
        <v>88</v>
      </c>
      <c r="B134" s="24" t="s">
        <v>128</v>
      </c>
      <c r="C134" s="25" t="s">
        <v>89</v>
      </c>
      <c r="D134" s="23" t="s">
        <v>81</v>
      </c>
      <c r="E134" s="23">
        <v>1</v>
      </c>
      <c r="F134" s="23">
        <f>IF(E134="","",MIN(E134,$X134+SUMIFS('05_Parte_Diario'!$H$5:$H$204,'05_Parte_Diario'!$D$5:$D$204,B134,'05_Parte_Diario'!$E$5:$E$204,C134)))</f>
        <v>0</v>
      </c>
      <c r="G134" s="23">
        <f t="shared" si="14"/>
        <v>1</v>
      </c>
      <c r="H134" s="26">
        <f t="shared" si="15"/>
        <v>0</v>
      </c>
      <c r="I134" s="26">
        <f>IF(OR(B134="",C134="",$V$1=""),"",MIN(E134,SUMIFS('03_Planificacion'!$G$99:$G$178,'03_Planificacion'!$E$99:$E$178,B134,'03_Planificacion'!$F$99:$F$178,C134,'03_Planificacion'!$D$99:$D$178,"&lt;="&amp;$V$1)))</f>
        <v>0</v>
      </c>
      <c r="J134" s="26">
        <f t="shared" si="16"/>
        <v>0</v>
      </c>
      <c r="K134" s="27">
        <f t="shared" si="17"/>
        <v>0</v>
      </c>
      <c r="L134" s="25" t="s">
        <v>68</v>
      </c>
      <c r="M134" s="25"/>
      <c r="N134" s="25"/>
      <c r="O134" s="25"/>
      <c r="P134" s="28">
        <f t="shared" si="18"/>
        <v>46287</v>
      </c>
      <c r="Q134" s="25" t="s">
        <v>129</v>
      </c>
      <c r="R134" s="25">
        <v>75</v>
      </c>
      <c r="S134" s="25" t="s">
        <v>70</v>
      </c>
      <c r="T134" s="25" t="str">
        <f t="shared" si="19"/>
        <v/>
      </c>
      <c r="U134" t="str">
        <f>IF(AND(L134="Para Programar",G134&gt;0),COUNTIFS($L$5:L134,"Para Programar",$G$5:G134,"&gt;0"),"")</f>
        <v/>
      </c>
      <c r="W134" t="str">
        <f t="shared" si="20"/>
        <v>N11 - N17|08 Prueba hidráulica - Preparación del sistema</v>
      </c>
      <c r="X134">
        <v>0</v>
      </c>
    </row>
    <row r="135" spans="1:24" hidden="1">
      <c r="A135" s="23" t="s">
        <v>90</v>
      </c>
      <c r="B135" s="24" t="s">
        <v>128</v>
      </c>
      <c r="C135" s="25" t="s">
        <v>91</v>
      </c>
      <c r="D135" s="23" t="s">
        <v>81</v>
      </c>
      <c r="E135" s="23">
        <v>1</v>
      </c>
      <c r="F135" s="23">
        <f>IF(E135="","",MIN(E135,$X135+SUMIFS('05_Parte_Diario'!$H$5:$H$204,'05_Parte_Diario'!$D$5:$D$204,B135,'05_Parte_Diario'!$E$5:$E$204,C135)))</f>
        <v>0</v>
      </c>
      <c r="G135" s="23">
        <f t="shared" si="14"/>
        <v>1</v>
      </c>
      <c r="H135" s="26">
        <f t="shared" si="15"/>
        <v>0</v>
      </c>
      <c r="I135" s="26">
        <f>IF(OR(B135="",C135="",$V$1=""),"",MIN(E135,SUMIFS('03_Planificacion'!$G$99:$G$178,'03_Planificacion'!$E$99:$E$178,B135,'03_Planificacion'!$F$99:$F$178,C135,'03_Planificacion'!$D$99:$D$178,"&lt;="&amp;$V$1)))</f>
        <v>0</v>
      </c>
      <c r="J135" s="26">
        <f t="shared" si="16"/>
        <v>0</v>
      </c>
      <c r="K135" s="27">
        <f t="shared" si="17"/>
        <v>0</v>
      </c>
      <c r="L135" s="25" t="s">
        <v>68</v>
      </c>
      <c r="M135" s="25"/>
      <c r="N135" s="25"/>
      <c r="O135" s="25"/>
      <c r="P135" s="28">
        <f t="shared" si="18"/>
        <v>46287</v>
      </c>
      <c r="Q135" s="25" t="s">
        <v>129</v>
      </c>
      <c r="R135" s="25">
        <v>75</v>
      </c>
      <c r="S135" s="25" t="s">
        <v>70</v>
      </c>
      <c r="T135" s="25" t="str">
        <f t="shared" si="19"/>
        <v/>
      </c>
      <c r="U135" t="str">
        <f>IF(AND(L135="Para Programar",G135&gt;0),COUNTIFS($L$5:L135,"Para Programar",$G$5:G135,"&gt;0"),"")</f>
        <v/>
      </c>
      <c r="W135" t="str">
        <f t="shared" si="20"/>
        <v>N11 - N17|08 Prueba hidráulica - Interna N° 1</v>
      </c>
      <c r="X135">
        <v>0</v>
      </c>
    </row>
    <row r="136" spans="1:24" hidden="1">
      <c r="A136" s="23" t="s">
        <v>92</v>
      </c>
      <c r="B136" s="24" t="s">
        <v>128</v>
      </c>
      <c r="C136" s="25" t="s">
        <v>93</v>
      </c>
      <c r="D136" s="23" t="s">
        <v>81</v>
      </c>
      <c r="E136" s="23">
        <v>1</v>
      </c>
      <c r="F136" s="23">
        <f>IF(E136="","",MIN(E136,$X136+SUMIFS('05_Parte_Diario'!$H$5:$H$204,'05_Parte_Diario'!$D$5:$D$204,B136,'05_Parte_Diario'!$E$5:$E$204,C136)))</f>
        <v>0</v>
      </c>
      <c r="G136" s="23">
        <f t="shared" si="14"/>
        <v>1</v>
      </c>
      <c r="H136" s="26">
        <f t="shared" si="15"/>
        <v>0</v>
      </c>
      <c r="I136" s="26">
        <f>IF(OR(B136="",C136="",$V$1=""),"",MIN(E136,SUMIFS('03_Planificacion'!$G$99:$G$178,'03_Planificacion'!$E$99:$E$178,B136,'03_Planificacion'!$F$99:$F$178,C136,'03_Planificacion'!$D$99:$D$178,"&lt;="&amp;$V$1)))</f>
        <v>0</v>
      </c>
      <c r="J136" s="26">
        <f t="shared" si="16"/>
        <v>0</v>
      </c>
      <c r="K136" s="27">
        <f t="shared" si="17"/>
        <v>0</v>
      </c>
      <c r="L136" s="25" t="s">
        <v>68</v>
      </c>
      <c r="M136" s="25"/>
      <c r="N136" s="25"/>
      <c r="O136" s="25"/>
      <c r="P136" s="28">
        <f t="shared" si="18"/>
        <v>46287</v>
      </c>
      <c r="Q136" s="25" t="s">
        <v>129</v>
      </c>
      <c r="R136" s="25">
        <v>75</v>
      </c>
      <c r="S136" s="25" t="s">
        <v>70</v>
      </c>
      <c r="T136" s="25" t="str">
        <f t="shared" si="19"/>
        <v/>
      </c>
      <c r="U136" t="str">
        <f>IF(AND(L136="Para Programar",G136&gt;0),COUNTIFS($L$5:L136,"Para Programar",$G$5:G136,"&gt;0"),"")</f>
        <v/>
      </c>
      <c r="W136" t="str">
        <f t="shared" si="20"/>
        <v>N11 - N17|08 Prueba hidráulica - Interna N° 2</v>
      </c>
      <c r="X136">
        <v>0</v>
      </c>
    </row>
    <row r="137" spans="1:24" hidden="1">
      <c r="A137" s="23" t="s">
        <v>94</v>
      </c>
      <c r="B137" s="24" t="s">
        <v>128</v>
      </c>
      <c r="C137" s="25" t="s">
        <v>95</v>
      </c>
      <c r="D137" s="23" t="s">
        <v>81</v>
      </c>
      <c r="E137" s="23">
        <v>1</v>
      </c>
      <c r="F137" s="23">
        <f>IF(E137="","",MIN(E137,$X137+SUMIFS('05_Parte_Diario'!$H$5:$H$204,'05_Parte_Diario'!$D$5:$D$204,B137,'05_Parte_Diario'!$E$5:$E$204,C137)))</f>
        <v>0</v>
      </c>
      <c r="G137" s="23">
        <f t="shared" si="14"/>
        <v>1</v>
      </c>
      <c r="H137" s="26">
        <f t="shared" si="15"/>
        <v>0</v>
      </c>
      <c r="I137" s="26">
        <f>IF(OR(B137="",C137="",$V$1=""),"",MIN(E137,SUMIFS('03_Planificacion'!$G$99:$G$178,'03_Planificacion'!$E$99:$E$178,B137,'03_Planificacion'!$F$99:$F$178,C137,'03_Planificacion'!$D$99:$D$178,"&lt;="&amp;$V$1)))</f>
        <v>0</v>
      </c>
      <c r="J137" s="26">
        <f t="shared" si="16"/>
        <v>0</v>
      </c>
      <c r="K137" s="27">
        <f t="shared" si="17"/>
        <v>0</v>
      </c>
      <c r="L137" s="25" t="s">
        <v>68</v>
      </c>
      <c r="M137" s="25"/>
      <c r="N137" s="25"/>
      <c r="O137" s="25"/>
      <c r="P137" s="28">
        <f t="shared" si="18"/>
        <v>46287</v>
      </c>
      <c r="Q137" s="25" t="s">
        <v>129</v>
      </c>
      <c r="R137" s="25">
        <v>75</v>
      </c>
      <c r="S137" s="25" t="s">
        <v>70</v>
      </c>
      <c r="T137" s="25" t="str">
        <f t="shared" si="19"/>
        <v/>
      </c>
      <c r="U137" t="str">
        <f>IF(AND(L137="Para Programar",G137&gt;0),COUNTIFS($L$5:L137,"Para Programar",$G$5:G137,"&gt;0"),"")</f>
        <v/>
      </c>
      <c r="W137" t="str">
        <f t="shared" si="20"/>
        <v>N11 - N17|08 Prueba hidráulica - Primera prueba oficial</v>
      </c>
      <c r="X137">
        <v>0</v>
      </c>
    </row>
    <row r="138" spans="1:24" hidden="1">
      <c r="A138" s="23" t="s">
        <v>96</v>
      </c>
      <c r="B138" s="24" t="s">
        <v>128</v>
      </c>
      <c r="C138" s="25" t="s">
        <v>97</v>
      </c>
      <c r="D138" s="23" t="s">
        <v>67</v>
      </c>
      <c r="E138" s="23">
        <v>80</v>
      </c>
      <c r="F138" s="23">
        <f>IF(E138="","",MIN(E138,$X138+SUMIFS('05_Parte_Diario'!$H$5:$H$204,'05_Parte_Diario'!$D$5:$D$204,B138,'05_Parte_Diario'!$E$5:$E$204,C138)))</f>
        <v>0</v>
      </c>
      <c r="G138" s="23">
        <f t="shared" si="14"/>
        <v>80</v>
      </c>
      <c r="H138" s="26">
        <f t="shared" si="15"/>
        <v>0</v>
      </c>
      <c r="I138" s="26">
        <f>IF(OR(B138="",C138="",$V$1=""),"",MIN(E138,SUMIFS('03_Planificacion'!$G$99:$G$178,'03_Planificacion'!$E$99:$E$178,B138,'03_Planificacion'!$F$99:$F$178,C138,'03_Planificacion'!$D$99:$D$178,"&lt;="&amp;$V$1)))</f>
        <v>0</v>
      </c>
      <c r="J138" s="26">
        <f t="shared" si="16"/>
        <v>0</v>
      </c>
      <c r="K138" s="27">
        <f t="shared" si="17"/>
        <v>0</v>
      </c>
      <c r="L138" s="25" t="s">
        <v>68</v>
      </c>
      <c r="M138" s="25"/>
      <c r="N138" s="25"/>
      <c r="O138" s="25"/>
      <c r="P138" s="28">
        <f t="shared" si="18"/>
        <v>46287</v>
      </c>
      <c r="Q138" s="25" t="s">
        <v>129</v>
      </c>
      <c r="R138" s="25">
        <v>75</v>
      </c>
      <c r="S138" s="25" t="s">
        <v>70</v>
      </c>
      <c r="T138" s="25" t="str">
        <f t="shared" si="19"/>
        <v/>
      </c>
      <c r="U138" t="str">
        <f>IF(AND(L138="Para Programar",G138&gt;0),COUNTIFS($L$5:L138,"Para Programar",$G$5:G138,"&gt;0"),"")</f>
        <v/>
      </c>
      <c r="W138" t="str">
        <f t="shared" si="20"/>
        <v>N11 - N17|09 Paquete estructural - Aporte e=0,30 m</v>
      </c>
      <c r="X138">
        <v>0</v>
      </c>
    </row>
    <row r="139" spans="1:24" hidden="1">
      <c r="A139" s="23" t="s">
        <v>98</v>
      </c>
      <c r="B139" s="24" t="s">
        <v>128</v>
      </c>
      <c r="C139" s="25" t="s">
        <v>99</v>
      </c>
      <c r="D139" s="23" t="s">
        <v>67</v>
      </c>
      <c r="E139" s="23">
        <v>80</v>
      </c>
      <c r="F139" s="23">
        <f>IF(E139="","",MIN(E139,$X139+SUMIFS('05_Parte_Diario'!$H$5:$H$204,'05_Parte_Diario'!$D$5:$D$204,B139,'05_Parte_Diario'!$E$5:$E$204,C139)))</f>
        <v>0</v>
      </c>
      <c r="G139" s="23">
        <f t="shared" si="14"/>
        <v>80</v>
      </c>
      <c r="H139" s="26">
        <f t="shared" si="15"/>
        <v>0</v>
      </c>
      <c r="I139" s="26">
        <f>IF(OR(B139="",C139="",$V$1=""),"",MIN(E139,SUMIFS('03_Planificacion'!$G$99:$G$178,'03_Planificacion'!$E$99:$E$178,B139,'03_Planificacion'!$F$99:$F$178,C139,'03_Planificacion'!$D$99:$D$178,"&lt;="&amp;$V$1)))</f>
        <v>0</v>
      </c>
      <c r="J139" s="26">
        <f t="shared" si="16"/>
        <v>0</v>
      </c>
      <c r="K139" s="27">
        <f t="shared" si="17"/>
        <v>0</v>
      </c>
      <c r="L139" s="25" t="s">
        <v>68</v>
      </c>
      <c r="M139" s="25"/>
      <c r="N139" s="25"/>
      <c r="O139" s="25"/>
      <c r="P139" s="28">
        <f t="shared" si="18"/>
        <v>46287</v>
      </c>
      <c r="Q139" s="25" t="s">
        <v>129</v>
      </c>
      <c r="R139" s="25">
        <v>75</v>
      </c>
      <c r="S139" s="25" t="s">
        <v>70</v>
      </c>
      <c r="T139" s="25" t="str">
        <f t="shared" si="19"/>
        <v/>
      </c>
      <c r="U139" t="str">
        <f>IF(AND(L139="Para Programar",G139&gt;0),COUNTIFS($L$5:L139,"Para Programar",$G$5:G139,"&gt;0"),"")</f>
        <v/>
      </c>
      <c r="W139" t="str">
        <f t="shared" si="20"/>
        <v>N11 - N17|09 Paquete estructural - Compactación</v>
      </c>
      <c r="X139">
        <v>0</v>
      </c>
    </row>
    <row r="140" spans="1:24" hidden="1">
      <c r="A140" s="23" t="s">
        <v>100</v>
      </c>
      <c r="B140" s="24" t="s">
        <v>128</v>
      </c>
      <c r="C140" s="25" t="s">
        <v>101</v>
      </c>
      <c r="D140" s="23" t="s">
        <v>81</v>
      </c>
      <c r="E140" s="23">
        <v>1</v>
      </c>
      <c r="F140" s="23">
        <f>IF(E140="","",MIN(E140,$X140+SUMIFS('05_Parte_Diario'!$H$5:$H$204,'05_Parte_Diario'!$D$5:$D$204,B140,'05_Parte_Diario'!$E$5:$E$204,C140)))</f>
        <v>0</v>
      </c>
      <c r="G140" s="23">
        <f t="shared" si="14"/>
        <v>1</v>
      </c>
      <c r="H140" s="26">
        <f t="shared" si="15"/>
        <v>0</v>
      </c>
      <c r="I140" s="26">
        <f>IF(OR(B140="",C140="",$V$1=""),"",MIN(E140,SUMIFS('03_Planificacion'!$G$99:$G$178,'03_Planificacion'!$E$99:$E$178,B140,'03_Planificacion'!$F$99:$F$178,C140,'03_Planificacion'!$D$99:$D$178,"&lt;="&amp;$V$1)))</f>
        <v>0</v>
      </c>
      <c r="J140" s="26">
        <f t="shared" si="16"/>
        <v>0</v>
      </c>
      <c r="K140" s="27">
        <f t="shared" si="17"/>
        <v>0</v>
      </c>
      <c r="L140" s="25" t="s">
        <v>68</v>
      </c>
      <c r="M140" s="25"/>
      <c r="N140" s="25"/>
      <c r="O140" s="25"/>
      <c r="P140" s="28">
        <f t="shared" si="18"/>
        <v>46287</v>
      </c>
      <c r="Q140" s="25" t="s">
        <v>129</v>
      </c>
      <c r="R140" s="25">
        <v>75</v>
      </c>
      <c r="S140" s="25" t="s">
        <v>70</v>
      </c>
      <c r="T140" s="25" t="str">
        <f t="shared" si="19"/>
        <v/>
      </c>
      <c r="U140" t="str">
        <f>IF(AND(L140="Para Programar",G140&gt;0),COUNTIFS($L$5:L140,"Para Programar",$G$5:G140,"&gt;0"),"")</f>
        <v/>
      </c>
      <c r="W140" t="str">
        <f t="shared" si="20"/>
        <v>N11 - N17|09 Paquete estructural - Inspección laboratorio</v>
      </c>
      <c r="X140">
        <v>0</v>
      </c>
    </row>
    <row r="141" spans="1:24" hidden="1">
      <c r="A141" s="23" t="s">
        <v>102</v>
      </c>
      <c r="B141" s="24" t="s">
        <v>128</v>
      </c>
      <c r="C141" s="25" t="s">
        <v>103</v>
      </c>
      <c r="D141" s="23" t="s">
        <v>67</v>
      </c>
      <c r="E141" s="23">
        <v>80</v>
      </c>
      <c r="F141" s="23">
        <f>IF(E141="","",MIN(E141,$X141+SUMIFS('05_Parte_Diario'!$H$5:$H$204,'05_Parte_Diario'!$D$5:$D$204,B141,'05_Parte_Diario'!$E$5:$E$204,C141)))</f>
        <v>0</v>
      </c>
      <c r="G141" s="23">
        <f t="shared" si="14"/>
        <v>80</v>
      </c>
      <c r="H141" s="26">
        <f t="shared" si="15"/>
        <v>0</v>
      </c>
      <c r="I141" s="26">
        <f>IF(OR(B141="",C141="",$V$1=""),"",MIN(E141,SUMIFS('03_Planificacion'!$G$99:$G$178,'03_Planificacion'!$E$99:$E$178,B141,'03_Planificacion'!$F$99:$F$178,C141,'03_Planificacion'!$D$99:$D$178,"&lt;="&amp;$V$1)))</f>
        <v>0</v>
      </c>
      <c r="J141" s="26">
        <f t="shared" si="16"/>
        <v>0</v>
      </c>
      <c r="K141" s="27">
        <f t="shared" si="17"/>
        <v>0</v>
      </c>
      <c r="L141" s="25" t="s">
        <v>68</v>
      </c>
      <c r="M141" s="25"/>
      <c r="N141" s="25"/>
      <c r="O141" s="25"/>
      <c r="P141" s="28">
        <f t="shared" si="18"/>
        <v>46287</v>
      </c>
      <c r="Q141" s="25" t="s">
        <v>129</v>
      </c>
      <c r="R141" s="25">
        <v>75</v>
      </c>
      <c r="S141" s="25" t="s">
        <v>70</v>
      </c>
      <c r="T141" s="25" t="str">
        <f t="shared" si="19"/>
        <v/>
      </c>
      <c r="U141" t="str">
        <f>IF(AND(L141="Para Programar",G141&gt;0),COUNTIFS($L$5:L141,"Para Programar",$G$5:G141,"&gt;0"),"")</f>
        <v/>
      </c>
      <c r="W141" t="str">
        <f t="shared" si="20"/>
        <v>N11 - N17|10 Relleno -0,60 - Conformación de capa</v>
      </c>
      <c r="X141">
        <v>0</v>
      </c>
    </row>
    <row r="142" spans="1:24" hidden="1">
      <c r="A142" s="23" t="s">
        <v>104</v>
      </c>
      <c r="B142" s="24" t="s">
        <v>128</v>
      </c>
      <c r="C142" s="25" t="s">
        <v>105</v>
      </c>
      <c r="D142" s="23" t="s">
        <v>67</v>
      </c>
      <c r="E142" s="23">
        <v>80</v>
      </c>
      <c r="F142" s="23">
        <f>IF(E142="","",MIN(E142,$X142+SUMIFS('05_Parte_Diario'!$H$5:$H$204,'05_Parte_Diario'!$D$5:$D$204,B142,'05_Parte_Diario'!$E$5:$E$204,C142)))</f>
        <v>0</v>
      </c>
      <c r="G142" s="23">
        <f t="shared" si="14"/>
        <v>80</v>
      </c>
      <c r="H142" s="26">
        <f t="shared" si="15"/>
        <v>0</v>
      </c>
      <c r="I142" s="26">
        <f>IF(OR(B142="",C142="",$V$1=""),"",MIN(E142,SUMIFS('03_Planificacion'!$G$99:$G$178,'03_Planificacion'!$E$99:$E$178,B142,'03_Planificacion'!$F$99:$F$178,C142,'03_Planificacion'!$D$99:$D$178,"&lt;="&amp;$V$1)))</f>
        <v>0</v>
      </c>
      <c r="J142" s="26">
        <f t="shared" si="16"/>
        <v>0</v>
      </c>
      <c r="K142" s="27">
        <f t="shared" si="17"/>
        <v>0</v>
      </c>
      <c r="L142" s="25" t="s">
        <v>68</v>
      </c>
      <c r="M142" s="25"/>
      <c r="N142" s="25"/>
      <c r="O142" s="25"/>
      <c r="P142" s="28">
        <f t="shared" si="18"/>
        <v>46287</v>
      </c>
      <c r="Q142" s="25" t="s">
        <v>129</v>
      </c>
      <c r="R142" s="25">
        <v>75</v>
      </c>
      <c r="S142" s="25" t="s">
        <v>70</v>
      </c>
      <c r="T142" s="25" t="str">
        <f t="shared" si="19"/>
        <v/>
      </c>
      <c r="U142" t="str">
        <f>IF(AND(L142="Para Programar",G142&gt;0),COUNTIFS($L$5:L142,"Para Programar",$G$5:G142,"&gt;0"),"")</f>
        <v/>
      </c>
      <c r="W142" t="str">
        <f t="shared" si="20"/>
        <v>N11 - N17|10 Relleno -0,60 - Humectación</v>
      </c>
      <c r="X142">
        <v>0</v>
      </c>
    </row>
    <row r="143" spans="1:24" hidden="1">
      <c r="A143" s="23" t="s">
        <v>106</v>
      </c>
      <c r="B143" s="24" t="s">
        <v>128</v>
      </c>
      <c r="C143" s="25" t="s">
        <v>107</v>
      </c>
      <c r="D143" s="23" t="s">
        <v>67</v>
      </c>
      <c r="E143" s="23">
        <v>80</v>
      </c>
      <c r="F143" s="23">
        <f>IF(E143="","",MIN(E143,$X143+SUMIFS('05_Parte_Diario'!$H$5:$H$204,'05_Parte_Diario'!$D$5:$D$204,B143,'05_Parte_Diario'!$E$5:$E$204,C143)))</f>
        <v>0</v>
      </c>
      <c r="G143" s="23">
        <f t="shared" si="14"/>
        <v>80</v>
      </c>
      <c r="H143" s="26">
        <f t="shared" si="15"/>
        <v>0</v>
      </c>
      <c r="I143" s="26">
        <f>IF(OR(B143="",C143="",$V$1=""),"",MIN(E143,SUMIFS('03_Planificacion'!$G$99:$G$178,'03_Planificacion'!$E$99:$E$178,B143,'03_Planificacion'!$F$99:$F$178,C143,'03_Planificacion'!$D$99:$D$178,"&lt;="&amp;$V$1)))</f>
        <v>0</v>
      </c>
      <c r="J143" s="26">
        <f t="shared" si="16"/>
        <v>0</v>
      </c>
      <c r="K143" s="27">
        <f t="shared" si="17"/>
        <v>0</v>
      </c>
      <c r="L143" s="25" t="s">
        <v>68</v>
      </c>
      <c r="M143" s="25"/>
      <c r="N143" s="25"/>
      <c r="O143" s="25"/>
      <c r="P143" s="28">
        <f t="shared" si="18"/>
        <v>46287</v>
      </c>
      <c r="Q143" s="25" t="s">
        <v>129</v>
      </c>
      <c r="R143" s="25">
        <v>75</v>
      </c>
      <c r="S143" s="25" t="s">
        <v>70</v>
      </c>
      <c r="T143" s="25" t="str">
        <f t="shared" si="19"/>
        <v/>
      </c>
      <c r="U143" t="str">
        <f>IF(AND(L143="Para Programar",G143&gt;0),COUNTIFS($L$5:L143,"Para Programar",$G$5:G143,"&gt;0"),"")</f>
        <v/>
      </c>
      <c r="W143" t="str">
        <f t="shared" si="20"/>
        <v>N11 - N17|10 Relleno -0,60 - Compactación</v>
      </c>
      <c r="X143">
        <v>0</v>
      </c>
    </row>
    <row r="144" spans="1:24" hidden="1">
      <c r="A144" s="23" t="s">
        <v>108</v>
      </c>
      <c r="B144" s="24" t="s">
        <v>128</v>
      </c>
      <c r="C144" s="25" t="s">
        <v>109</v>
      </c>
      <c r="D144" s="23" t="s">
        <v>81</v>
      </c>
      <c r="E144" s="23">
        <v>1</v>
      </c>
      <c r="F144" s="23">
        <f>IF(E144="","",MIN(E144,$X144+SUMIFS('05_Parte_Diario'!$H$5:$H$204,'05_Parte_Diario'!$D$5:$D$204,B144,'05_Parte_Diario'!$E$5:$E$204,C144)))</f>
        <v>0</v>
      </c>
      <c r="G144" s="23">
        <f t="shared" si="14"/>
        <v>1</v>
      </c>
      <c r="H144" s="26">
        <f t="shared" si="15"/>
        <v>0</v>
      </c>
      <c r="I144" s="26">
        <f>IF(OR(B144="",C144="",$V$1=""),"",MIN(E144,SUMIFS('03_Planificacion'!$G$99:$G$178,'03_Planificacion'!$E$99:$E$178,B144,'03_Planificacion'!$F$99:$F$178,C144,'03_Planificacion'!$D$99:$D$178,"&lt;="&amp;$V$1)))</f>
        <v>0</v>
      </c>
      <c r="J144" s="26">
        <f t="shared" si="16"/>
        <v>0</v>
      </c>
      <c r="K144" s="27">
        <f t="shared" si="17"/>
        <v>0</v>
      </c>
      <c r="L144" s="25" t="s">
        <v>68</v>
      </c>
      <c r="M144" s="25"/>
      <c r="N144" s="25"/>
      <c r="O144" s="25"/>
      <c r="P144" s="28">
        <f t="shared" si="18"/>
        <v>46287</v>
      </c>
      <c r="Q144" s="25" t="s">
        <v>129</v>
      </c>
      <c r="R144" s="25">
        <v>75</v>
      </c>
      <c r="S144" s="25" t="s">
        <v>70</v>
      </c>
      <c r="T144" s="25" t="str">
        <f t="shared" si="19"/>
        <v/>
      </c>
      <c r="U144" t="str">
        <f>IF(AND(L144="Para Programar",G144&gt;0),COUNTIFS($L$5:L144,"Para Programar",$G$5:G144,"&gt;0"),"")</f>
        <v/>
      </c>
      <c r="W144" t="str">
        <f t="shared" si="20"/>
        <v>N11 - N17|10 Relleno -0,60 - Inspección laboratorio</v>
      </c>
      <c r="X144">
        <v>0</v>
      </c>
    </row>
    <row r="145" spans="1:24" hidden="1">
      <c r="A145" s="23" t="s">
        <v>110</v>
      </c>
      <c r="B145" s="24" t="s">
        <v>128</v>
      </c>
      <c r="C145" s="25" t="s">
        <v>111</v>
      </c>
      <c r="D145" s="23" t="s">
        <v>67</v>
      </c>
      <c r="E145" s="23">
        <v>80</v>
      </c>
      <c r="F145" s="23">
        <f>IF(E145="","",MIN(E145,$X145+SUMIFS('05_Parte_Diario'!$H$5:$H$204,'05_Parte_Diario'!$D$5:$D$204,B145,'05_Parte_Diario'!$E$5:$E$204,C145)))</f>
        <v>0</v>
      </c>
      <c r="G145" s="23">
        <f t="shared" si="14"/>
        <v>80</v>
      </c>
      <c r="H145" s="26">
        <f t="shared" si="15"/>
        <v>0</v>
      </c>
      <c r="I145" s="26">
        <f>IF(OR(B145="",C145="",$V$1=""),"",MIN(E145,SUMIFS('03_Planificacion'!$G$99:$G$178,'03_Planificacion'!$E$99:$E$178,B145,'03_Planificacion'!$F$99:$F$178,C145,'03_Planificacion'!$D$99:$D$178,"&lt;="&amp;$V$1)))</f>
        <v>0</v>
      </c>
      <c r="J145" s="26">
        <f t="shared" si="16"/>
        <v>0</v>
      </c>
      <c r="K145" s="27">
        <f t="shared" si="17"/>
        <v>0</v>
      </c>
      <c r="L145" s="25" t="s">
        <v>68</v>
      </c>
      <c r="M145" s="25"/>
      <c r="N145" s="25"/>
      <c r="O145" s="25"/>
      <c r="P145" s="28">
        <f t="shared" si="18"/>
        <v>46287</v>
      </c>
      <c r="Q145" s="25" t="s">
        <v>129</v>
      </c>
      <c r="R145" s="25">
        <v>75</v>
      </c>
      <c r="S145" s="25" t="s">
        <v>70</v>
      </c>
      <c r="T145" s="25" t="str">
        <f t="shared" si="19"/>
        <v/>
      </c>
      <c r="U145" t="str">
        <f>IF(AND(L145="Para Programar",G145&gt;0),COUNTIFS($L$5:L145,"Para Programar",$G$5:G145,"&gt;0"),"")</f>
        <v/>
      </c>
      <c r="W145" t="str">
        <f t="shared" si="20"/>
        <v>N11 - N17|11 Relleno -0,30 - Conformación de capa</v>
      </c>
      <c r="X145">
        <v>0</v>
      </c>
    </row>
    <row r="146" spans="1:24" hidden="1">
      <c r="A146" s="23" t="s">
        <v>112</v>
      </c>
      <c r="B146" s="24" t="s">
        <v>128</v>
      </c>
      <c r="C146" s="25" t="s">
        <v>113</v>
      </c>
      <c r="D146" s="23" t="s">
        <v>67</v>
      </c>
      <c r="E146" s="23">
        <v>80</v>
      </c>
      <c r="F146" s="23">
        <f>IF(E146="","",MIN(E146,$X146+SUMIFS('05_Parte_Diario'!$H$5:$H$204,'05_Parte_Diario'!$D$5:$D$204,B146,'05_Parte_Diario'!$E$5:$E$204,C146)))</f>
        <v>0</v>
      </c>
      <c r="G146" s="23">
        <f t="shared" si="14"/>
        <v>80</v>
      </c>
      <c r="H146" s="26">
        <f t="shared" si="15"/>
        <v>0</v>
      </c>
      <c r="I146" s="26">
        <f>IF(OR(B146="",C146="",$V$1=""),"",MIN(E146,SUMIFS('03_Planificacion'!$G$99:$G$178,'03_Planificacion'!$E$99:$E$178,B146,'03_Planificacion'!$F$99:$F$178,C146,'03_Planificacion'!$D$99:$D$178,"&lt;="&amp;$V$1)))</f>
        <v>0</v>
      </c>
      <c r="J146" s="26">
        <f t="shared" si="16"/>
        <v>0</v>
      </c>
      <c r="K146" s="27">
        <f t="shared" si="17"/>
        <v>0</v>
      </c>
      <c r="L146" s="25" t="s">
        <v>68</v>
      </c>
      <c r="M146" s="25"/>
      <c r="N146" s="25"/>
      <c r="O146" s="25"/>
      <c r="P146" s="28">
        <f t="shared" si="18"/>
        <v>46287</v>
      </c>
      <c r="Q146" s="25" t="s">
        <v>129</v>
      </c>
      <c r="R146" s="25">
        <v>75</v>
      </c>
      <c r="S146" s="25" t="s">
        <v>70</v>
      </c>
      <c r="T146" s="25" t="str">
        <f t="shared" si="19"/>
        <v/>
      </c>
      <c r="U146" t="str">
        <f>IF(AND(L146="Para Programar",G146&gt;0),COUNTIFS($L$5:L146,"Para Programar",$G$5:G146,"&gt;0"),"")</f>
        <v/>
      </c>
      <c r="W146" t="str">
        <f t="shared" si="20"/>
        <v>N11 - N17|11 Relleno -0,30 - Humectación</v>
      </c>
      <c r="X146">
        <v>0</v>
      </c>
    </row>
    <row r="147" spans="1:24" hidden="1">
      <c r="A147" s="23" t="s">
        <v>114</v>
      </c>
      <c r="B147" s="24" t="s">
        <v>128</v>
      </c>
      <c r="C147" s="25" t="s">
        <v>115</v>
      </c>
      <c r="D147" s="23" t="s">
        <v>67</v>
      </c>
      <c r="E147" s="23">
        <v>80</v>
      </c>
      <c r="F147" s="23">
        <f>IF(E147="","",MIN(E147,$X147+SUMIFS('05_Parte_Diario'!$H$5:$H$204,'05_Parte_Diario'!$D$5:$D$204,B147,'05_Parte_Diario'!$E$5:$E$204,C147)))</f>
        <v>0</v>
      </c>
      <c r="G147" s="23">
        <f t="shared" si="14"/>
        <v>80</v>
      </c>
      <c r="H147" s="26">
        <f t="shared" si="15"/>
        <v>0</v>
      </c>
      <c r="I147" s="26">
        <f>IF(OR(B147="",C147="",$V$1=""),"",MIN(E147,SUMIFS('03_Planificacion'!$G$99:$G$178,'03_Planificacion'!$E$99:$E$178,B147,'03_Planificacion'!$F$99:$F$178,C147,'03_Planificacion'!$D$99:$D$178,"&lt;="&amp;$V$1)))</f>
        <v>0</v>
      </c>
      <c r="J147" s="26">
        <f t="shared" si="16"/>
        <v>0</v>
      </c>
      <c r="K147" s="27">
        <f t="shared" si="17"/>
        <v>0</v>
      </c>
      <c r="L147" s="25" t="s">
        <v>68</v>
      </c>
      <c r="M147" s="25"/>
      <c r="N147" s="25"/>
      <c r="O147" s="25"/>
      <c r="P147" s="28">
        <f t="shared" si="18"/>
        <v>46287</v>
      </c>
      <c r="Q147" s="25" t="s">
        <v>129</v>
      </c>
      <c r="R147" s="25">
        <v>75</v>
      </c>
      <c r="S147" s="25" t="s">
        <v>70</v>
      </c>
      <c r="T147" s="25" t="str">
        <f t="shared" si="19"/>
        <v/>
      </c>
      <c r="U147" t="str">
        <f>IF(AND(L147="Para Programar",G147&gt;0),COUNTIFS($L$5:L147,"Para Programar",$G$5:G147,"&gt;0"),"")</f>
        <v/>
      </c>
      <c r="W147" t="str">
        <f t="shared" si="20"/>
        <v>N11 - N17|11 Relleno -0,30 - Compactación</v>
      </c>
      <c r="X147">
        <v>0</v>
      </c>
    </row>
    <row r="148" spans="1:24" hidden="1">
      <c r="A148" s="23" t="s">
        <v>116</v>
      </c>
      <c r="B148" s="24" t="s">
        <v>128</v>
      </c>
      <c r="C148" s="25" t="s">
        <v>117</v>
      </c>
      <c r="D148" s="23" t="s">
        <v>81</v>
      </c>
      <c r="E148" s="23">
        <v>1</v>
      </c>
      <c r="F148" s="23">
        <f>IF(E148="","",MIN(E148,$X148+SUMIFS('05_Parte_Diario'!$H$5:$H$204,'05_Parte_Diario'!$D$5:$D$204,B148,'05_Parte_Diario'!$E$5:$E$204,C148)))</f>
        <v>0</v>
      </c>
      <c r="G148" s="23">
        <f t="shared" si="14"/>
        <v>1</v>
      </c>
      <c r="H148" s="26">
        <f t="shared" si="15"/>
        <v>0</v>
      </c>
      <c r="I148" s="26">
        <f>IF(OR(B148="",C148="",$V$1=""),"",MIN(E148,SUMIFS('03_Planificacion'!$G$99:$G$178,'03_Planificacion'!$E$99:$E$178,B148,'03_Planificacion'!$F$99:$F$178,C148,'03_Planificacion'!$D$99:$D$178,"&lt;="&amp;$V$1)))</f>
        <v>0</v>
      </c>
      <c r="J148" s="26">
        <f t="shared" si="16"/>
        <v>0</v>
      </c>
      <c r="K148" s="27">
        <f t="shared" si="17"/>
        <v>0</v>
      </c>
      <c r="L148" s="25" t="s">
        <v>68</v>
      </c>
      <c r="M148" s="25"/>
      <c r="N148" s="25"/>
      <c r="O148" s="25"/>
      <c r="P148" s="28">
        <f t="shared" si="18"/>
        <v>46287</v>
      </c>
      <c r="Q148" s="25" t="s">
        <v>129</v>
      </c>
      <c r="R148" s="25">
        <v>75</v>
      </c>
      <c r="S148" s="25" t="s">
        <v>70</v>
      </c>
      <c r="T148" s="25" t="str">
        <f t="shared" si="19"/>
        <v/>
      </c>
      <c r="U148" t="str">
        <f>IF(AND(L148="Para Programar",G148&gt;0),COUNTIFS($L$5:L148,"Para Programar",$G$5:G148,"&gt;0"),"")</f>
        <v/>
      </c>
      <c r="W148" t="str">
        <f t="shared" si="20"/>
        <v>N11 - N17|11 Relleno -0,30 - Inspección laboratorio</v>
      </c>
      <c r="X148">
        <v>0</v>
      </c>
    </row>
    <row r="149" spans="1:24">
      <c r="A149" s="23" t="s">
        <v>64</v>
      </c>
      <c r="B149" s="24" t="s">
        <v>130</v>
      </c>
      <c r="C149" s="25" t="s">
        <v>66</v>
      </c>
      <c r="D149" s="23" t="s">
        <v>67</v>
      </c>
      <c r="E149" s="23">
        <v>200</v>
      </c>
      <c r="F149" s="23">
        <f>IF(E149="","",MIN(E149,$X149+SUMIFS('05_Parte_Diario'!$H$5:$H$204,'05_Parte_Diario'!$D$5:$D$204,B149,'05_Parte_Diario'!$E$5:$E$204,C149)))</f>
        <v>200</v>
      </c>
      <c r="G149" s="23">
        <f t="shared" si="14"/>
        <v>0</v>
      </c>
      <c r="H149" s="26">
        <f t="shared" si="15"/>
        <v>1</v>
      </c>
      <c r="I149" s="26">
        <f>IF(OR(B149="",C149="",$V$1=""),"",MIN(E149,SUMIFS('03_Planificacion'!$G$99:$G$178,'03_Planificacion'!$E$99:$E$178,B149,'03_Planificacion'!$F$99:$F$178,C149,'03_Planificacion'!$D$99:$D$178,"&lt;="&amp;$V$1)))</f>
        <v>0</v>
      </c>
      <c r="J149" s="26">
        <f t="shared" si="16"/>
        <v>0</v>
      </c>
      <c r="K149" s="27">
        <f t="shared" si="17"/>
        <v>1</v>
      </c>
      <c r="L149" s="25" t="s">
        <v>123</v>
      </c>
      <c r="M149" s="25"/>
      <c r="N149" s="25"/>
      <c r="O149" s="25"/>
      <c r="P149" s="28">
        <f t="shared" si="18"/>
        <v>46287</v>
      </c>
      <c r="Q149" s="25" t="s">
        <v>121</v>
      </c>
      <c r="R149" s="25">
        <v>75</v>
      </c>
      <c r="S149" s="25" t="s">
        <v>70</v>
      </c>
      <c r="T149" s="25" t="str">
        <f t="shared" si="19"/>
        <v/>
      </c>
      <c r="U149" t="str">
        <f>IF(AND(L149="Para Programar",G149&gt;0),COUNTIFS($L$5:L149,"Para Programar",$G$5:G149,"&gt;0"),"")</f>
        <v/>
      </c>
      <c r="W149" t="str">
        <f t="shared" si="20"/>
        <v>N12 - N13|01 Replanteo - Marcación de tramo de cañería principal</v>
      </c>
      <c r="X149">
        <v>200</v>
      </c>
    </row>
    <row r="150" spans="1:24">
      <c r="A150" s="23" t="s">
        <v>71</v>
      </c>
      <c r="B150" s="24" t="s">
        <v>130</v>
      </c>
      <c r="C150" s="25" t="s">
        <v>72</v>
      </c>
      <c r="D150" s="23" t="s">
        <v>67</v>
      </c>
      <c r="E150" s="23">
        <v>200</v>
      </c>
      <c r="F150" s="23">
        <f>IF(E150="","",MIN(E150,$X150+SUMIFS('05_Parte_Diario'!$H$5:$H$204,'05_Parte_Diario'!$D$5:$D$204,B150,'05_Parte_Diario'!$E$5:$E$204,C150)))</f>
        <v>200</v>
      </c>
      <c r="G150" s="23">
        <f t="shared" si="14"/>
        <v>0</v>
      </c>
      <c r="H150" s="26">
        <f t="shared" si="15"/>
        <v>1</v>
      </c>
      <c r="I150" s="26">
        <f>IF(OR(B150="",C150="",$V$1=""),"",MIN(E150,SUMIFS('03_Planificacion'!$G$99:$G$178,'03_Planificacion'!$E$99:$E$178,B150,'03_Planificacion'!$F$99:$F$178,C150,'03_Planificacion'!$D$99:$D$178,"&lt;="&amp;$V$1)))</f>
        <v>0</v>
      </c>
      <c r="J150" s="26">
        <f t="shared" si="16"/>
        <v>0</v>
      </c>
      <c r="K150" s="27">
        <f t="shared" si="17"/>
        <v>1</v>
      </c>
      <c r="L150" s="25" t="s">
        <v>123</v>
      </c>
      <c r="M150" s="25"/>
      <c r="N150" s="25"/>
      <c r="O150" s="25"/>
      <c r="P150" s="28">
        <f t="shared" si="18"/>
        <v>46287</v>
      </c>
      <c r="Q150" s="25" t="s">
        <v>121</v>
      </c>
      <c r="R150" s="25">
        <v>75</v>
      </c>
      <c r="S150" s="25" t="s">
        <v>70</v>
      </c>
      <c r="T150" s="25" t="str">
        <f t="shared" si="19"/>
        <v/>
      </c>
      <c r="U150" t="str">
        <f>IF(AND(L150="Para Programar",G150&gt;0),COUNTIFS($L$5:L150,"Para Programar",$G$5:G150,"&gt;0"),"")</f>
        <v/>
      </c>
      <c r="W150" t="str">
        <f t="shared" si="20"/>
        <v>N12 - N13|02 Excavación - Zanja principal</v>
      </c>
      <c r="X150">
        <v>200</v>
      </c>
    </row>
    <row r="151" spans="1:24">
      <c r="A151" s="23" t="s">
        <v>73</v>
      </c>
      <c r="B151" s="24" t="s">
        <v>130</v>
      </c>
      <c r="C151" s="25" t="s">
        <v>74</v>
      </c>
      <c r="D151" s="23" t="s">
        <v>67</v>
      </c>
      <c r="E151" s="23">
        <v>200</v>
      </c>
      <c r="F151" s="23">
        <f>IF(E151="","",MIN(E151,$X151+SUMIFS('05_Parte_Diario'!$H$5:$H$204,'05_Parte_Diario'!$D$5:$D$204,B151,'05_Parte_Diario'!$E$5:$E$204,C151)))</f>
        <v>200</v>
      </c>
      <c r="G151" s="23">
        <f t="shared" si="14"/>
        <v>0</v>
      </c>
      <c r="H151" s="26">
        <f t="shared" si="15"/>
        <v>1</v>
      </c>
      <c r="I151" s="26">
        <f>IF(OR(B151="",C151="",$V$1=""),"",MIN(E151,SUMIFS('03_Planificacion'!$G$99:$G$178,'03_Planificacion'!$E$99:$E$178,B151,'03_Planificacion'!$F$99:$F$178,C151,'03_Planificacion'!$D$99:$D$178,"&lt;="&amp;$V$1)))</f>
        <v>0</v>
      </c>
      <c r="J151" s="26">
        <f t="shared" si="16"/>
        <v>0</v>
      </c>
      <c r="K151" s="27">
        <f t="shared" si="17"/>
        <v>1</v>
      </c>
      <c r="L151" s="25" t="s">
        <v>123</v>
      </c>
      <c r="M151" s="25"/>
      <c r="N151" s="25"/>
      <c r="O151" s="25"/>
      <c r="P151" s="28">
        <f t="shared" si="18"/>
        <v>46287</v>
      </c>
      <c r="Q151" s="25" t="s">
        <v>121</v>
      </c>
      <c r="R151" s="25">
        <v>75</v>
      </c>
      <c r="S151" s="25" t="s">
        <v>70</v>
      </c>
      <c r="T151" s="25" t="str">
        <f t="shared" si="19"/>
        <v/>
      </c>
      <c r="U151" t="str">
        <f>IF(AND(L151="Para Programar",G151&gt;0),COUNTIFS($L$5:L151,"Para Programar",$G$5:G151,"&gt;0"),"")</f>
        <v/>
      </c>
      <c r="W151" t="str">
        <f t="shared" si="20"/>
        <v>N12 - N13|03 Base de asiento - Nivelación de fondo de zanja</v>
      </c>
      <c r="X151">
        <v>200</v>
      </c>
    </row>
    <row r="152" spans="1:24">
      <c r="A152" s="23" t="s">
        <v>75</v>
      </c>
      <c r="B152" s="24" t="s">
        <v>130</v>
      </c>
      <c r="C152" s="25" t="s">
        <v>76</v>
      </c>
      <c r="D152" s="23" t="s">
        <v>67</v>
      </c>
      <c r="E152" s="23">
        <v>200</v>
      </c>
      <c r="F152" s="23">
        <f>IF(E152="","",MIN(E152,$X152+SUMIFS('05_Parte_Diario'!$H$5:$H$204,'05_Parte_Diario'!$D$5:$D$204,B152,'05_Parte_Diario'!$E$5:$E$204,C152)))</f>
        <v>200</v>
      </c>
      <c r="G152" s="23">
        <f t="shared" si="14"/>
        <v>0</v>
      </c>
      <c r="H152" s="26">
        <f t="shared" si="15"/>
        <v>1</v>
      </c>
      <c r="I152" s="26">
        <f>IF(OR(B152="",C152="",$V$1=""),"",MIN(E152,SUMIFS('03_Planificacion'!$G$99:$G$178,'03_Planificacion'!$E$99:$E$178,B152,'03_Planificacion'!$F$99:$F$178,C152,'03_Planificacion'!$D$99:$D$178,"&lt;="&amp;$V$1)))</f>
        <v>0</v>
      </c>
      <c r="J152" s="26">
        <f t="shared" si="16"/>
        <v>0</v>
      </c>
      <c r="K152" s="27">
        <f t="shared" si="17"/>
        <v>1</v>
      </c>
      <c r="L152" s="25" t="s">
        <v>123</v>
      </c>
      <c r="M152" s="25"/>
      <c r="N152" s="25"/>
      <c r="O152" s="25"/>
      <c r="P152" s="28">
        <f t="shared" si="18"/>
        <v>46287</v>
      </c>
      <c r="Q152" s="25" t="s">
        <v>121</v>
      </c>
      <c r="R152" s="25">
        <v>75</v>
      </c>
      <c r="S152" s="25" t="s">
        <v>70</v>
      </c>
      <c r="T152" s="25" t="str">
        <f t="shared" si="19"/>
        <v/>
      </c>
      <c r="U152" t="str">
        <f>IF(AND(L152="Para Programar",G152&gt;0),COUNTIFS($L$5:L152,"Para Programar",$G$5:G152,"&gt;0"),"")</f>
        <v/>
      </c>
      <c r="W152" t="str">
        <f t="shared" si="20"/>
        <v>N12 - N13|03 Base de asiento - Aporte de material base e=0,10 m</v>
      </c>
      <c r="X152">
        <v>200</v>
      </c>
    </row>
    <row r="153" spans="1:24">
      <c r="A153" s="23" t="s">
        <v>77</v>
      </c>
      <c r="B153" s="24" t="s">
        <v>130</v>
      </c>
      <c r="C153" s="25" t="s">
        <v>78</v>
      </c>
      <c r="D153" s="23" t="s">
        <v>67</v>
      </c>
      <c r="E153" s="23">
        <v>200</v>
      </c>
      <c r="F153" s="23">
        <f>IF(E153="","",MIN(E153,$X153+SUMIFS('05_Parte_Diario'!$H$5:$H$204,'05_Parte_Diario'!$D$5:$D$204,B153,'05_Parte_Diario'!$E$5:$E$204,C153)))</f>
        <v>0</v>
      </c>
      <c r="G153" s="23">
        <f t="shared" si="14"/>
        <v>200</v>
      </c>
      <c r="H153" s="26">
        <f t="shared" si="15"/>
        <v>0</v>
      </c>
      <c r="I153" s="26">
        <f>IF(OR(B153="",C153="",$V$1=""),"",MIN(E153,SUMIFS('03_Planificacion'!$G$99:$G$178,'03_Planificacion'!$E$99:$E$178,B153,'03_Planificacion'!$F$99:$F$178,C153,'03_Planificacion'!$D$99:$D$178,"&lt;="&amp;$V$1)))</f>
        <v>0</v>
      </c>
      <c r="J153" s="26">
        <f t="shared" si="16"/>
        <v>0</v>
      </c>
      <c r="K153" s="27">
        <f t="shared" si="17"/>
        <v>0</v>
      </c>
      <c r="L153" s="25" t="s">
        <v>123</v>
      </c>
      <c r="M153" s="25"/>
      <c r="N153" s="25" t="s">
        <v>126</v>
      </c>
      <c r="O153" s="25"/>
      <c r="P153" s="28">
        <f t="shared" si="18"/>
        <v>46287</v>
      </c>
      <c r="Q153" s="25" t="s">
        <v>121</v>
      </c>
      <c r="R153" s="25">
        <v>75</v>
      </c>
      <c r="S153" s="25" t="s">
        <v>70</v>
      </c>
      <c r="T153" s="25" t="str">
        <f t="shared" si="19"/>
        <v>INCONSISTENCIA - REVISAR MANUALMENTE: Terminada con saldo</v>
      </c>
      <c r="U153" t="str">
        <f>IF(AND(L153="Para Programar",G153&gt;0),COUNTIFS($L$5:L153,"Para Programar",$G$5:G153,"&gt;0"),"")</f>
        <v/>
      </c>
      <c r="W153" t="str">
        <f t="shared" si="20"/>
        <v>N12 - N13|03 Base de asiento - Compactación</v>
      </c>
      <c r="X153">
        <v>0</v>
      </c>
    </row>
    <row r="154" spans="1:24">
      <c r="A154" s="23" t="s">
        <v>79</v>
      </c>
      <c r="B154" s="24" t="s">
        <v>130</v>
      </c>
      <c r="C154" s="25" t="s">
        <v>80</v>
      </c>
      <c r="D154" s="23" t="s">
        <v>81</v>
      </c>
      <c r="E154" s="23">
        <v>1</v>
      </c>
      <c r="F154" s="23">
        <f>IF(E154="","",MIN(E154,$X154+SUMIFS('05_Parte_Diario'!$H$5:$H$204,'05_Parte_Diario'!$D$5:$D$204,B154,'05_Parte_Diario'!$E$5:$E$204,C154)))</f>
        <v>0</v>
      </c>
      <c r="G154" s="23">
        <f t="shared" si="14"/>
        <v>1</v>
      </c>
      <c r="H154" s="26">
        <f t="shared" si="15"/>
        <v>0</v>
      </c>
      <c r="I154" s="26">
        <f>IF(OR(B154="",C154="",$V$1=""),"",MIN(E154,SUMIFS('03_Planificacion'!$G$99:$G$178,'03_Planificacion'!$E$99:$E$178,B154,'03_Planificacion'!$F$99:$F$178,C154,'03_Planificacion'!$D$99:$D$178,"&lt;="&amp;$V$1)))</f>
        <v>0</v>
      </c>
      <c r="J154" s="26">
        <f t="shared" si="16"/>
        <v>0</v>
      </c>
      <c r="K154" s="27">
        <f t="shared" si="17"/>
        <v>0</v>
      </c>
      <c r="L154" s="25" t="s">
        <v>123</v>
      </c>
      <c r="M154" s="25"/>
      <c r="N154" s="25"/>
      <c r="O154" s="25"/>
      <c r="P154" s="28">
        <f t="shared" si="18"/>
        <v>46287</v>
      </c>
      <c r="Q154" s="25" t="s">
        <v>121</v>
      </c>
      <c r="R154" s="25">
        <v>75</v>
      </c>
      <c r="S154" s="25" t="s">
        <v>70</v>
      </c>
      <c r="T154" s="25" t="str">
        <f t="shared" si="19"/>
        <v>INCONSISTENCIA - REVISAR MANUALMENTE: Terminada con saldo</v>
      </c>
      <c r="U154" t="str">
        <f>IF(AND(L154="Para Programar",G154&gt;0),COUNTIFS($L$5:L154,"Para Programar",$G$5:G154,"&gt;0"),"")</f>
        <v/>
      </c>
      <c r="W154" t="str">
        <f t="shared" si="20"/>
        <v>N12 - N13|04 Inspecciones previas - Laboratorio base de asiento</v>
      </c>
      <c r="X154">
        <v>0</v>
      </c>
    </row>
    <row r="155" spans="1:24">
      <c r="A155" s="23" t="s">
        <v>82</v>
      </c>
      <c r="B155" s="24" t="s">
        <v>130</v>
      </c>
      <c r="C155" s="25" t="s">
        <v>83</v>
      </c>
      <c r="D155" s="23" t="s">
        <v>81</v>
      </c>
      <c r="E155" s="23">
        <v>1</v>
      </c>
      <c r="F155" s="23">
        <f>IF(E155="","",MIN(E155,$X155+SUMIFS('05_Parte_Diario'!$H$5:$H$204,'05_Parte_Diario'!$D$5:$D$204,B155,'05_Parte_Diario'!$E$5:$E$204,C155)))</f>
        <v>0</v>
      </c>
      <c r="G155" s="23">
        <f t="shared" si="14"/>
        <v>1</v>
      </c>
      <c r="H155" s="26">
        <f t="shared" si="15"/>
        <v>0</v>
      </c>
      <c r="I155" s="26">
        <f>IF(OR(B155="",C155="",$V$1=""),"",MIN(E155,SUMIFS('03_Planificacion'!$G$99:$G$178,'03_Planificacion'!$E$99:$E$178,B155,'03_Planificacion'!$F$99:$F$178,C155,'03_Planificacion'!$D$99:$D$178,"&lt;="&amp;$V$1)))</f>
        <v>0</v>
      </c>
      <c r="J155" s="26">
        <f t="shared" si="16"/>
        <v>0</v>
      </c>
      <c r="K155" s="27">
        <f t="shared" si="17"/>
        <v>0</v>
      </c>
      <c r="L155" s="25" t="s">
        <v>123</v>
      </c>
      <c r="M155" s="25"/>
      <c r="N155" s="25"/>
      <c r="O155" s="25"/>
      <c r="P155" s="28">
        <f t="shared" si="18"/>
        <v>46287</v>
      </c>
      <c r="Q155" s="25" t="s">
        <v>121</v>
      </c>
      <c r="R155" s="25">
        <v>75</v>
      </c>
      <c r="S155" s="25" t="s">
        <v>70</v>
      </c>
      <c r="T155" s="25" t="str">
        <f t="shared" si="19"/>
        <v>INCONSISTENCIA - REVISAR MANUALMENTE: Terminada con saldo</v>
      </c>
      <c r="U155" t="str">
        <f>IF(AND(L155="Para Programar",G155&gt;0),COUNTIFS($L$5:L155,"Para Programar",$G$5:G155,"&gt;0"),"")</f>
        <v/>
      </c>
      <c r="W155" t="str">
        <f t="shared" si="20"/>
        <v>N12 - N13|04 Inspecciones previas - Zanja y materiales</v>
      </c>
      <c r="X155">
        <v>0</v>
      </c>
    </row>
    <row r="156" spans="1:24">
      <c r="A156" s="23" t="s">
        <v>84</v>
      </c>
      <c r="B156" s="24" t="s">
        <v>130</v>
      </c>
      <c r="C156" s="25" t="s">
        <v>85</v>
      </c>
      <c r="D156" s="23" t="s">
        <v>67</v>
      </c>
      <c r="E156" s="23">
        <v>200</v>
      </c>
      <c r="F156" s="23">
        <f>IF(E156="","",MIN(E156,$X156+SUMIFS('05_Parte_Diario'!$H$5:$H$204,'05_Parte_Diario'!$D$5:$D$204,B156,'05_Parte_Diario'!$E$5:$E$204,C156)))</f>
        <v>0</v>
      </c>
      <c r="G156" s="23">
        <f t="shared" si="14"/>
        <v>200</v>
      </c>
      <c r="H156" s="26">
        <f t="shared" si="15"/>
        <v>0</v>
      </c>
      <c r="I156" s="26">
        <f>IF(OR(B156="",C156="",$V$1=""),"",MIN(E156,SUMIFS('03_Planificacion'!$G$99:$G$178,'03_Planificacion'!$E$99:$E$178,B156,'03_Planificacion'!$F$99:$F$178,C156,'03_Planificacion'!$D$99:$D$178,"&lt;="&amp;$V$1)))</f>
        <v>0</v>
      </c>
      <c r="J156" s="26">
        <f t="shared" si="16"/>
        <v>0</v>
      </c>
      <c r="K156" s="27">
        <f t="shared" si="17"/>
        <v>0</v>
      </c>
      <c r="L156" s="25" t="s">
        <v>12</v>
      </c>
      <c r="M156" s="25"/>
      <c r="N156" s="25"/>
      <c r="O156" s="25"/>
      <c r="P156" s="28">
        <f t="shared" si="18"/>
        <v>46287</v>
      </c>
      <c r="Q156" s="25" t="s">
        <v>121</v>
      </c>
      <c r="R156" s="25">
        <v>75</v>
      </c>
      <c r="S156" s="25" t="s">
        <v>70</v>
      </c>
      <c r="T156" s="25" t="str">
        <f t="shared" si="19"/>
        <v/>
      </c>
      <c r="U156">
        <f>IF(AND(L156="Para Programar",G156&gt;0),COUNTIFS($L$5:L156,"Para Programar",$G$5:G156,"&gt;0"),"")</f>
        <v>4</v>
      </c>
      <c r="W156" t="str">
        <f t="shared" si="20"/>
        <v>N12 - N13|05 Tendido de cañería - Cañería principal</v>
      </c>
      <c r="X156">
        <v>0</v>
      </c>
    </row>
    <row r="157" spans="1:24">
      <c r="A157" s="23" t="s">
        <v>86</v>
      </c>
      <c r="B157" s="24" t="s">
        <v>130</v>
      </c>
      <c r="C157" s="25" t="s">
        <v>87</v>
      </c>
      <c r="D157" s="23" t="s">
        <v>67</v>
      </c>
      <c r="E157" s="23">
        <v>200</v>
      </c>
      <c r="F157" s="23">
        <f>IF(E157="","",MIN(E157,$X157+SUMIFS('05_Parte_Diario'!$H$5:$H$204,'05_Parte_Diario'!$D$5:$D$204,B157,'05_Parte_Diario'!$E$5:$E$204,C157)))</f>
        <v>0</v>
      </c>
      <c r="G157" s="23">
        <f t="shared" si="14"/>
        <v>200</v>
      </c>
      <c r="H157" s="26">
        <f t="shared" si="15"/>
        <v>0</v>
      </c>
      <c r="I157" s="26">
        <f>IF(OR(B157="",C157="",$V$1=""),"",MIN(E157,SUMIFS('03_Planificacion'!$G$99:$G$178,'03_Planificacion'!$E$99:$E$178,B157,'03_Planificacion'!$F$99:$F$178,C157,'03_Planificacion'!$D$99:$D$178,"&lt;="&amp;$V$1)))</f>
        <v>0</v>
      </c>
      <c r="J157" s="26">
        <f t="shared" si="16"/>
        <v>0</v>
      </c>
      <c r="K157" s="27">
        <f t="shared" si="17"/>
        <v>0</v>
      </c>
      <c r="L157" s="25" t="s">
        <v>68</v>
      </c>
      <c r="M157" s="25"/>
      <c r="N157" s="25"/>
      <c r="O157" s="25"/>
      <c r="P157" s="28">
        <f t="shared" si="18"/>
        <v>46287</v>
      </c>
      <c r="Q157" s="25" t="s">
        <v>121</v>
      </c>
      <c r="R157" s="25">
        <v>75</v>
      </c>
      <c r="S157" s="25" t="s">
        <v>70</v>
      </c>
      <c r="T157" s="25" t="str">
        <f t="shared" si="19"/>
        <v/>
      </c>
      <c r="U157" t="str">
        <f>IF(AND(L157="Para Programar",G157&gt;0),COUNTIFS($L$5:L157,"Para Programar",$G$5:G157,"&gt;0"),"")</f>
        <v/>
      </c>
      <c r="W157" t="str">
        <f t="shared" si="20"/>
        <v>N12 - N13|05 Tendido de cañería - Relevamiento planialtimétrico</v>
      </c>
      <c r="X157">
        <v>0</v>
      </c>
    </row>
    <row r="158" spans="1:24">
      <c r="A158" s="23" t="s">
        <v>88</v>
      </c>
      <c r="B158" s="24" t="s">
        <v>130</v>
      </c>
      <c r="C158" s="25" t="s">
        <v>89</v>
      </c>
      <c r="D158" s="23" t="s">
        <v>81</v>
      </c>
      <c r="E158" s="23">
        <v>1</v>
      </c>
      <c r="F158" s="23">
        <f>IF(E158="","",MIN(E158,$X158+SUMIFS('05_Parte_Diario'!$H$5:$H$204,'05_Parte_Diario'!$D$5:$D$204,B158,'05_Parte_Diario'!$E$5:$E$204,C158)))</f>
        <v>0</v>
      </c>
      <c r="G158" s="23">
        <f t="shared" si="14"/>
        <v>1</v>
      </c>
      <c r="H158" s="26">
        <f t="shared" si="15"/>
        <v>0</v>
      </c>
      <c r="I158" s="26">
        <f>IF(OR(B158="",C158="",$V$1=""),"",MIN(E158,SUMIFS('03_Planificacion'!$G$99:$G$178,'03_Planificacion'!$E$99:$E$178,B158,'03_Planificacion'!$F$99:$F$178,C158,'03_Planificacion'!$D$99:$D$178,"&lt;="&amp;$V$1)))</f>
        <v>0</v>
      </c>
      <c r="J158" s="26">
        <f t="shared" si="16"/>
        <v>0</v>
      </c>
      <c r="K158" s="27">
        <f t="shared" si="17"/>
        <v>0</v>
      </c>
      <c r="L158" s="25" t="s">
        <v>68</v>
      </c>
      <c r="M158" s="25"/>
      <c r="N158" s="25"/>
      <c r="O158" s="25"/>
      <c r="P158" s="28">
        <f t="shared" si="18"/>
        <v>46287</v>
      </c>
      <c r="Q158" s="25" t="s">
        <v>121</v>
      </c>
      <c r="R158" s="25">
        <v>75</v>
      </c>
      <c r="S158" s="25" t="s">
        <v>70</v>
      </c>
      <c r="T158" s="25" t="str">
        <f t="shared" si="19"/>
        <v/>
      </c>
      <c r="U158" t="str">
        <f>IF(AND(L158="Para Programar",G158&gt;0),COUNTIFS($L$5:L158,"Para Programar",$G$5:G158,"&gt;0"),"")</f>
        <v/>
      </c>
      <c r="W158" t="str">
        <f t="shared" si="20"/>
        <v>N12 - N13|08 Prueba hidráulica - Preparación del sistema</v>
      </c>
      <c r="X158">
        <v>0</v>
      </c>
    </row>
    <row r="159" spans="1:24">
      <c r="A159" s="23" t="s">
        <v>90</v>
      </c>
      <c r="B159" s="24" t="s">
        <v>130</v>
      </c>
      <c r="C159" s="25" t="s">
        <v>91</v>
      </c>
      <c r="D159" s="23" t="s">
        <v>81</v>
      </c>
      <c r="E159" s="23">
        <v>1</v>
      </c>
      <c r="F159" s="23">
        <f>IF(E159="","",MIN(E159,$X159+SUMIFS('05_Parte_Diario'!$H$5:$H$204,'05_Parte_Diario'!$D$5:$D$204,B159,'05_Parte_Diario'!$E$5:$E$204,C159)))</f>
        <v>0</v>
      </c>
      <c r="G159" s="23">
        <f t="shared" si="14"/>
        <v>1</v>
      </c>
      <c r="H159" s="26">
        <f t="shared" si="15"/>
        <v>0</v>
      </c>
      <c r="I159" s="26">
        <f>IF(OR(B159="",C159="",$V$1=""),"",MIN(E159,SUMIFS('03_Planificacion'!$G$99:$G$178,'03_Planificacion'!$E$99:$E$178,B159,'03_Planificacion'!$F$99:$F$178,C159,'03_Planificacion'!$D$99:$D$178,"&lt;="&amp;$V$1)))</f>
        <v>0</v>
      </c>
      <c r="J159" s="26">
        <f t="shared" si="16"/>
        <v>0</v>
      </c>
      <c r="K159" s="27">
        <f t="shared" si="17"/>
        <v>0</v>
      </c>
      <c r="L159" s="25" t="s">
        <v>68</v>
      </c>
      <c r="M159" s="25"/>
      <c r="N159" s="25"/>
      <c r="O159" s="25"/>
      <c r="P159" s="28">
        <f t="shared" si="18"/>
        <v>46287</v>
      </c>
      <c r="Q159" s="25" t="s">
        <v>121</v>
      </c>
      <c r="R159" s="25">
        <v>75</v>
      </c>
      <c r="S159" s="25" t="s">
        <v>70</v>
      </c>
      <c r="T159" s="25" t="str">
        <f t="shared" si="19"/>
        <v/>
      </c>
      <c r="U159" t="str">
        <f>IF(AND(L159="Para Programar",G159&gt;0),COUNTIFS($L$5:L159,"Para Programar",$G$5:G159,"&gt;0"),"")</f>
        <v/>
      </c>
      <c r="W159" t="str">
        <f t="shared" si="20"/>
        <v>N12 - N13|08 Prueba hidráulica - Interna N° 1</v>
      </c>
      <c r="X159">
        <v>0</v>
      </c>
    </row>
    <row r="160" spans="1:24">
      <c r="A160" s="23" t="s">
        <v>92</v>
      </c>
      <c r="B160" s="24" t="s">
        <v>130</v>
      </c>
      <c r="C160" s="25" t="s">
        <v>93</v>
      </c>
      <c r="D160" s="23" t="s">
        <v>81</v>
      </c>
      <c r="E160" s="23">
        <v>1</v>
      </c>
      <c r="F160" s="23">
        <f>IF(E160="","",MIN(E160,$X160+SUMIFS('05_Parte_Diario'!$H$5:$H$204,'05_Parte_Diario'!$D$5:$D$204,B160,'05_Parte_Diario'!$E$5:$E$204,C160)))</f>
        <v>0</v>
      </c>
      <c r="G160" s="23">
        <f t="shared" si="14"/>
        <v>1</v>
      </c>
      <c r="H160" s="26">
        <f t="shared" si="15"/>
        <v>0</v>
      </c>
      <c r="I160" s="26">
        <f>IF(OR(B160="",C160="",$V$1=""),"",MIN(E160,SUMIFS('03_Planificacion'!$G$99:$G$178,'03_Planificacion'!$E$99:$E$178,B160,'03_Planificacion'!$F$99:$F$178,C160,'03_Planificacion'!$D$99:$D$178,"&lt;="&amp;$V$1)))</f>
        <v>0</v>
      </c>
      <c r="J160" s="26">
        <f t="shared" si="16"/>
        <v>0</v>
      </c>
      <c r="K160" s="27">
        <f t="shared" si="17"/>
        <v>0</v>
      </c>
      <c r="L160" s="25" t="s">
        <v>68</v>
      </c>
      <c r="M160" s="25"/>
      <c r="N160" s="25"/>
      <c r="O160" s="25"/>
      <c r="P160" s="28">
        <f t="shared" si="18"/>
        <v>46287</v>
      </c>
      <c r="Q160" s="25" t="s">
        <v>121</v>
      </c>
      <c r="R160" s="25">
        <v>75</v>
      </c>
      <c r="S160" s="25" t="s">
        <v>70</v>
      </c>
      <c r="T160" s="25" t="str">
        <f t="shared" si="19"/>
        <v/>
      </c>
      <c r="U160" t="str">
        <f>IF(AND(L160="Para Programar",G160&gt;0),COUNTIFS($L$5:L160,"Para Programar",$G$5:G160,"&gt;0"),"")</f>
        <v/>
      </c>
      <c r="W160" t="str">
        <f t="shared" si="20"/>
        <v>N12 - N13|08 Prueba hidráulica - Interna N° 2</v>
      </c>
      <c r="X160">
        <v>0</v>
      </c>
    </row>
    <row r="161" spans="1:24">
      <c r="A161" s="23" t="s">
        <v>94</v>
      </c>
      <c r="B161" s="24" t="s">
        <v>130</v>
      </c>
      <c r="C161" s="25" t="s">
        <v>95</v>
      </c>
      <c r="D161" s="23" t="s">
        <v>81</v>
      </c>
      <c r="E161" s="23">
        <v>1</v>
      </c>
      <c r="F161" s="23">
        <f>IF(E161="","",MIN(E161,$X161+SUMIFS('05_Parte_Diario'!$H$5:$H$204,'05_Parte_Diario'!$D$5:$D$204,B161,'05_Parte_Diario'!$E$5:$E$204,C161)))</f>
        <v>0</v>
      </c>
      <c r="G161" s="23">
        <f t="shared" si="14"/>
        <v>1</v>
      </c>
      <c r="H161" s="26">
        <f t="shared" si="15"/>
        <v>0</v>
      </c>
      <c r="I161" s="26">
        <f>IF(OR(B161="",C161="",$V$1=""),"",MIN(E161,SUMIFS('03_Planificacion'!$G$99:$G$178,'03_Planificacion'!$E$99:$E$178,B161,'03_Planificacion'!$F$99:$F$178,C161,'03_Planificacion'!$D$99:$D$178,"&lt;="&amp;$V$1)))</f>
        <v>0</v>
      </c>
      <c r="J161" s="26">
        <f t="shared" si="16"/>
        <v>0</v>
      </c>
      <c r="K161" s="27">
        <f t="shared" si="17"/>
        <v>0</v>
      </c>
      <c r="L161" s="25" t="s">
        <v>68</v>
      </c>
      <c r="M161" s="25"/>
      <c r="N161" s="25"/>
      <c r="O161" s="25"/>
      <c r="P161" s="28">
        <f t="shared" si="18"/>
        <v>46287</v>
      </c>
      <c r="Q161" s="25" t="s">
        <v>121</v>
      </c>
      <c r="R161" s="25">
        <v>75</v>
      </c>
      <c r="S161" s="25" t="s">
        <v>70</v>
      </c>
      <c r="T161" s="25" t="str">
        <f t="shared" si="19"/>
        <v/>
      </c>
      <c r="U161" t="str">
        <f>IF(AND(L161="Para Programar",G161&gt;0),COUNTIFS($L$5:L161,"Para Programar",$G$5:G161,"&gt;0"),"")</f>
        <v/>
      </c>
      <c r="W161" t="str">
        <f t="shared" si="20"/>
        <v>N12 - N13|08 Prueba hidráulica - Primera prueba oficial</v>
      </c>
      <c r="X161">
        <v>0</v>
      </c>
    </row>
    <row r="162" spans="1:24">
      <c r="A162" s="23" t="s">
        <v>96</v>
      </c>
      <c r="B162" s="24" t="s">
        <v>130</v>
      </c>
      <c r="C162" s="25" t="s">
        <v>97</v>
      </c>
      <c r="D162" s="23" t="s">
        <v>67</v>
      </c>
      <c r="E162" s="23">
        <v>200</v>
      </c>
      <c r="F162" s="23">
        <f>IF(E162="","",MIN(E162,$X162+SUMIFS('05_Parte_Diario'!$H$5:$H$204,'05_Parte_Diario'!$D$5:$D$204,B162,'05_Parte_Diario'!$E$5:$E$204,C162)))</f>
        <v>0</v>
      </c>
      <c r="G162" s="23">
        <f t="shared" si="14"/>
        <v>200</v>
      </c>
      <c r="H162" s="26">
        <f t="shared" si="15"/>
        <v>0</v>
      </c>
      <c r="I162" s="26">
        <f>IF(OR(B162="",C162="",$V$1=""),"",MIN(E162,SUMIFS('03_Planificacion'!$G$99:$G$178,'03_Planificacion'!$E$99:$E$178,B162,'03_Planificacion'!$F$99:$F$178,C162,'03_Planificacion'!$D$99:$D$178,"&lt;="&amp;$V$1)))</f>
        <v>0</v>
      </c>
      <c r="J162" s="26">
        <f t="shared" si="16"/>
        <v>0</v>
      </c>
      <c r="K162" s="27">
        <f t="shared" si="17"/>
        <v>0</v>
      </c>
      <c r="L162" s="25" t="s">
        <v>68</v>
      </c>
      <c r="M162" s="25"/>
      <c r="N162" s="25"/>
      <c r="O162" s="25"/>
      <c r="P162" s="28">
        <f t="shared" si="18"/>
        <v>46287</v>
      </c>
      <c r="Q162" s="25" t="s">
        <v>121</v>
      </c>
      <c r="R162" s="25">
        <v>75</v>
      </c>
      <c r="S162" s="25" t="s">
        <v>70</v>
      </c>
      <c r="T162" s="25" t="str">
        <f t="shared" si="19"/>
        <v/>
      </c>
      <c r="U162" t="str">
        <f>IF(AND(L162="Para Programar",G162&gt;0),COUNTIFS($L$5:L162,"Para Programar",$G$5:G162,"&gt;0"),"")</f>
        <v/>
      </c>
      <c r="W162" t="str">
        <f t="shared" si="20"/>
        <v>N12 - N13|09 Paquete estructural - Aporte e=0,30 m</v>
      </c>
      <c r="X162">
        <v>0</v>
      </c>
    </row>
    <row r="163" spans="1:24">
      <c r="A163" s="23" t="s">
        <v>98</v>
      </c>
      <c r="B163" s="24" t="s">
        <v>130</v>
      </c>
      <c r="C163" s="25" t="s">
        <v>99</v>
      </c>
      <c r="D163" s="23" t="s">
        <v>67</v>
      </c>
      <c r="E163" s="23">
        <v>200</v>
      </c>
      <c r="F163" s="23">
        <f>IF(E163="","",MIN(E163,$X163+SUMIFS('05_Parte_Diario'!$H$5:$H$204,'05_Parte_Diario'!$D$5:$D$204,B163,'05_Parte_Diario'!$E$5:$E$204,C163)))</f>
        <v>0</v>
      </c>
      <c r="G163" s="23">
        <f t="shared" si="14"/>
        <v>200</v>
      </c>
      <c r="H163" s="26">
        <f t="shared" si="15"/>
        <v>0</v>
      </c>
      <c r="I163" s="26">
        <f>IF(OR(B163="",C163="",$V$1=""),"",MIN(E163,SUMIFS('03_Planificacion'!$G$99:$G$178,'03_Planificacion'!$E$99:$E$178,B163,'03_Planificacion'!$F$99:$F$178,C163,'03_Planificacion'!$D$99:$D$178,"&lt;="&amp;$V$1)))</f>
        <v>0</v>
      </c>
      <c r="J163" s="26">
        <f t="shared" si="16"/>
        <v>0</v>
      </c>
      <c r="K163" s="27">
        <f t="shared" si="17"/>
        <v>0</v>
      </c>
      <c r="L163" s="25" t="s">
        <v>68</v>
      </c>
      <c r="M163" s="25"/>
      <c r="N163" s="25"/>
      <c r="O163" s="25"/>
      <c r="P163" s="28">
        <f t="shared" si="18"/>
        <v>46287</v>
      </c>
      <c r="Q163" s="25" t="s">
        <v>121</v>
      </c>
      <c r="R163" s="25">
        <v>75</v>
      </c>
      <c r="S163" s="25" t="s">
        <v>70</v>
      </c>
      <c r="T163" s="25" t="str">
        <f t="shared" si="19"/>
        <v/>
      </c>
      <c r="U163" t="str">
        <f>IF(AND(L163="Para Programar",G163&gt;0),COUNTIFS($L$5:L163,"Para Programar",$G$5:G163,"&gt;0"),"")</f>
        <v/>
      </c>
      <c r="W163" t="str">
        <f t="shared" si="20"/>
        <v>N12 - N13|09 Paquete estructural - Compactación</v>
      </c>
      <c r="X163">
        <v>0</v>
      </c>
    </row>
    <row r="164" spans="1:24">
      <c r="A164" s="23" t="s">
        <v>100</v>
      </c>
      <c r="B164" s="24" t="s">
        <v>130</v>
      </c>
      <c r="C164" s="25" t="s">
        <v>101</v>
      </c>
      <c r="D164" s="23" t="s">
        <v>81</v>
      </c>
      <c r="E164" s="23">
        <v>1</v>
      </c>
      <c r="F164" s="23">
        <f>IF(E164="","",MIN(E164,$X164+SUMIFS('05_Parte_Diario'!$H$5:$H$204,'05_Parte_Diario'!$D$5:$D$204,B164,'05_Parte_Diario'!$E$5:$E$204,C164)))</f>
        <v>0</v>
      </c>
      <c r="G164" s="23">
        <f t="shared" si="14"/>
        <v>1</v>
      </c>
      <c r="H164" s="26">
        <f t="shared" si="15"/>
        <v>0</v>
      </c>
      <c r="I164" s="26">
        <f>IF(OR(B164="",C164="",$V$1=""),"",MIN(E164,SUMIFS('03_Planificacion'!$G$99:$G$178,'03_Planificacion'!$E$99:$E$178,B164,'03_Planificacion'!$F$99:$F$178,C164,'03_Planificacion'!$D$99:$D$178,"&lt;="&amp;$V$1)))</f>
        <v>0</v>
      </c>
      <c r="J164" s="26">
        <f t="shared" si="16"/>
        <v>0</v>
      </c>
      <c r="K164" s="27">
        <f t="shared" si="17"/>
        <v>0</v>
      </c>
      <c r="L164" s="25" t="s">
        <v>68</v>
      </c>
      <c r="M164" s="25"/>
      <c r="N164" s="25"/>
      <c r="O164" s="25"/>
      <c r="P164" s="28">
        <f t="shared" si="18"/>
        <v>46287</v>
      </c>
      <c r="Q164" s="25" t="s">
        <v>121</v>
      </c>
      <c r="R164" s="25">
        <v>75</v>
      </c>
      <c r="S164" s="25" t="s">
        <v>70</v>
      </c>
      <c r="T164" s="25" t="str">
        <f t="shared" si="19"/>
        <v/>
      </c>
      <c r="U164" t="str">
        <f>IF(AND(L164="Para Programar",G164&gt;0),COUNTIFS($L$5:L164,"Para Programar",$G$5:G164,"&gt;0"),"")</f>
        <v/>
      </c>
      <c r="W164" t="str">
        <f t="shared" si="20"/>
        <v>N12 - N13|09 Paquete estructural - Inspección laboratorio</v>
      </c>
      <c r="X164">
        <v>0</v>
      </c>
    </row>
    <row r="165" spans="1:24">
      <c r="A165" s="23" t="s">
        <v>102</v>
      </c>
      <c r="B165" s="24" t="s">
        <v>130</v>
      </c>
      <c r="C165" s="25" t="s">
        <v>103</v>
      </c>
      <c r="D165" s="23" t="s">
        <v>67</v>
      </c>
      <c r="E165" s="23">
        <v>200</v>
      </c>
      <c r="F165" s="23">
        <f>IF(E165="","",MIN(E165,$X165+SUMIFS('05_Parte_Diario'!$H$5:$H$204,'05_Parte_Diario'!$D$5:$D$204,B165,'05_Parte_Diario'!$E$5:$E$204,C165)))</f>
        <v>0</v>
      </c>
      <c r="G165" s="23">
        <f t="shared" si="14"/>
        <v>200</v>
      </c>
      <c r="H165" s="26">
        <f t="shared" si="15"/>
        <v>0</v>
      </c>
      <c r="I165" s="26">
        <f>IF(OR(B165="",C165="",$V$1=""),"",MIN(E165,SUMIFS('03_Planificacion'!$G$99:$G$178,'03_Planificacion'!$E$99:$E$178,B165,'03_Planificacion'!$F$99:$F$178,C165,'03_Planificacion'!$D$99:$D$178,"&lt;="&amp;$V$1)))</f>
        <v>0</v>
      </c>
      <c r="J165" s="26">
        <f t="shared" si="16"/>
        <v>0</v>
      </c>
      <c r="K165" s="27">
        <f t="shared" si="17"/>
        <v>0</v>
      </c>
      <c r="L165" s="25" t="s">
        <v>68</v>
      </c>
      <c r="M165" s="25"/>
      <c r="N165" s="25"/>
      <c r="O165" s="25"/>
      <c r="P165" s="28">
        <f t="shared" si="18"/>
        <v>46287</v>
      </c>
      <c r="Q165" s="25" t="s">
        <v>121</v>
      </c>
      <c r="R165" s="25">
        <v>75</v>
      </c>
      <c r="S165" s="25" t="s">
        <v>70</v>
      </c>
      <c r="T165" s="25" t="str">
        <f t="shared" si="19"/>
        <v/>
      </c>
      <c r="U165" t="str">
        <f>IF(AND(L165="Para Programar",G165&gt;0),COUNTIFS($L$5:L165,"Para Programar",$G$5:G165,"&gt;0"),"")</f>
        <v/>
      </c>
      <c r="W165" t="str">
        <f t="shared" si="20"/>
        <v>N12 - N13|10 Relleno -0,60 - Conformación de capa</v>
      </c>
      <c r="X165">
        <v>0</v>
      </c>
    </row>
    <row r="166" spans="1:24">
      <c r="A166" s="23" t="s">
        <v>104</v>
      </c>
      <c r="B166" s="24" t="s">
        <v>130</v>
      </c>
      <c r="C166" s="25" t="s">
        <v>105</v>
      </c>
      <c r="D166" s="23" t="s">
        <v>67</v>
      </c>
      <c r="E166" s="23">
        <v>200</v>
      </c>
      <c r="F166" s="23">
        <f>IF(E166="","",MIN(E166,$X166+SUMIFS('05_Parte_Diario'!$H$5:$H$204,'05_Parte_Diario'!$D$5:$D$204,B166,'05_Parte_Diario'!$E$5:$E$204,C166)))</f>
        <v>0</v>
      </c>
      <c r="G166" s="23">
        <f t="shared" si="14"/>
        <v>200</v>
      </c>
      <c r="H166" s="26">
        <f t="shared" si="15"/>
        <v>0</v>
      </c>
      <c r="I166" s="26">
        <f>IF(OR(B166="",C166="",$V$1=""),"",MIN(E166,SUMIFS('03_Planificacion'!$G$99:$G$178,'03_Planificacion'!$E$99:$E$178,B166,'03_Planificacion'!$F$99:$F$178,C166,'03_Planificacion'!$D$99:$D$178,"&lt;="&amp;$V$1)))</f>
        <v>0</v>
      </c>
      <c r="J166" s="26">
        <f t="shared" si="16"/>
        <v>0</v>
      </c>
      <c r="K166" s="27">
        <f t="shared" si="17"/>
        <v>0</v>
      </c>
      <c r="L166" s="25" t="s">
        <v>68</v>
      </c>
      <c r="M166" s="25"/>
      <c r="N166" s="25"/>
      <c r="O166" s="25"/>
      <c r="P166" s="28">
        <f t="shared" si="18"/>
        <v>46287</v>
      </c>
      <c r="Q166" s="25" t="s">
        <v>121</v>
      </c>
      <c r="R166" s="25">
        <v>75</v>
      </c>
      <c r="S166" s="25" t="s">
        <v>70</v>
      </c>
      <c r="T166" s="25" t="str">
        <f t="shared" si="19"/>
        <v/>
      </c>
      <c r="U166" t="str">
        <f>IF(AND(L166="Para Programar",G166&gt;0),COUNTIFS($L$5:L166,"Para Programar",$G$5:G166,"&gt;0"),"")</f>
        <v/>
      </c>
      <c r="W166" t="str">
        <f t="shared" si="20"/>
        <v>N12 - N13|10 Relleno -0,60 - Humectación</v>
      </c>
      <c r="X166">
        <v>0</v>
      </c>
    </row>
    <row r="167" spans="1:24">
      <c r="A167" s="23" t="s">
        <v>106</v>
      </c>
      <c r="B167" s="24" t="s">
        <v>130</v>
      </c>
      <c r="C167" s="25" t="s">
        <v>107</v>
      </c>
      <c r="D167" s="23" t="s">
        <v>67</v>
      </c>
      <c r="E167" s="23">
        <v>200</v>
      </c>
      <c r="F167" s="23">
        <f>IF(E167="","",MIN(E167,$X167+SUMIFS('05_Parte_Diario'!$H$5:$H$204,'05_Parte_Diario'!$D$5:$D$204,B167,'05_Parte_Diario'!$E$5:$E$204,C167)))</f>
        <v>0</v>
      </c>
      <c r="G167" s="23">
        <f t="shared" si="14"/>
        <v>200</v>
      </c>
      <c r="H167" s="26">
        <f t="shared" si="15"/>
        <v>0</v>
      </c>
      <c r="I167" s="26">
        <f>IF(OR(B167="",C167="",$V$1=""),"",MIN(E167,SUMIFS('03_Planificacion'!$G$99:$G$178,'03_Planificacion'!$E$99:$E$178,B167,'03_Planificacion'!$F$99:$F$178,C167,'03_Planificacion'!$D$99:$D$178,"&lt;="&amp;$V$1)))</f>
        <v>0</v>
      </c>
      <c r="J167" s="26">
        <f t="shared" si="16"/>
        <v>0</v>
      </c>
      <c r="K167" s="27">
        <f t="shared" si="17"/>
        <v>0</v>
      </c>
      <c r="L167" s="25" t="s">
        <v>68</v>
      </c>
      <c r="M167" s="25"/>
      <c r="N167" s="25"/>
      <c r="O167" s="25"/>
      <c r="P167" s="28">
        <f t="shared" si="18"/>
        <v>46287</v>
      </c>
      <c r="Q167" s="25" t="s">
        <v>121</v>
      </c>
      <c r="R167" s="25">
        <v>75</v>
      </c>
      <c r="S167" s="25" t="s">
        <v>70</v>
      </c>
      <c r="T167" s="25" t="str">
        <f t="shared" si="19"/>
        <v/>
      </c>
      <c r="U167" t="str">
        <f>IF(AND(L167="Para Programar",G167&gt;0),COUNTIFS($L$5:L167,"Para Programar",$G$5:G167,"&gt;0"),"")</f>
        <v/>
      </c>
      <c r="W167" t="str">
        <f t="shared" si="20"/>
        <v>N12 - N13|10 Relleno -0,60 - Compactación</v>
      </c>
      <c r="X167">
        <v>0</v>
      </c>
    </row>
    <row r="168" spans="1:24">
      <c r="A168" s="23" t="s">
        <v>108</v>
      </c>
      <c r="B168" s="24" t="s">
        <v>130</v>
      </c>
      <c r="C168" s="25" t="s">
        <v>109</v>
      </c>
      <c r="D168" s="23" t="s">
        <v>81</v>
      </c>
      <c r="E168" s="23">
        <v>1</v>
      </c>
      <c r="F168" s="23">
        <f>IF(E168="","",MIN(E168,$X168+SUMIFS('05_Parte_Diario'!$H$5:$H$204,'05_Parte_Diario'!$D$5:$D$204,B168,'05_Parte_Diario'!$E$5:$E$204,C168)))</f>
        <v>0</v>
      </c>
      <c r="G168" s="23">
        <f t="shared" si="14"/>
        <v>1</v>
      </c>
      <c r="H168" s="26">
        <f t="shared" si="15"/>
        <v>0</v>
      </c>
      <c r="I168" s="26">
        <f>IF(OR(B168="",C168="",$V$1=""),"",MIN(E168,SUMIFS('03_Planificacion'!$G$99:$G$178,'03_Planificacion'!$E$99:$E$178,B168,'03_Planificacion'!$F$99:$F$178,C168,'03_Planificacion'!$D$99:$D$178,"&lt;="&amp;$V$1)))</f>
        <v>0</v>
      </c>
      <c r="J168" s="26">
        <f t="shared" si="16"/>
        <v>0</v>
      </c>
      <c r="K168" s="27">
        <f t="shared" si="17"/>
        <v>0</v>
      </c>
      <c r="L168" s="25" t="s">
        <v>68</v>
      </c>
      <c r="M168" s="25"/>
      <c r="N168" s="25"/>
      <c r="O168" s="25"/>
      <c r="P168" s="28">
        <f t="shared" si="18"/>
        <v>46287</v>
      </c>
      <c r="Q168" s="25" t="s">
        <v>121</v>
      </c>
      <c r="R168" s="25">
        <v>75</v>
      </c>
      <c r="S168" s="25" t="s">
        <v>70</v>
      </c>
      <c r="T168" s="25" t="str">
        <f t="shared" si="19"/>
        <v/>
      </c>
      <c r="U168" t="str">
        <f>IF(AND(L168="Para Programar",G168&gt;0),COUNTIFS($L$5:L168,"Para Programar",$G$5:G168,"&gt;0"),"")</f>
        <v/>
      </c>
      <c r="W168" t="str">
        <f t="shared" si="20"/>
        <v>N12 - N13|10 Relleno -0,60 - Inspección laboratorio</v>
      </c>
      <c r="X168">
        <v>0</v>
      </c>
    </row>
    <row r="169" spans="1:24">
      <c r="A169" s="23" t="s">
        <v>110</v>
      </c>
      <c r="B169" s="24" t="s">
        <v>130</v>
      </c>
      <c r="C169" s="25" t="s">
        <v>111</v>
      </c>
      <c r="D169" s="23" t="s">
        <v>67</v>
      </c>
      <c r="E169" s="23">
        <v>200</v>
      </c>
      <c r="F169" s="23">
        <f>IF(E169="","",MIN(E169,$X169+SUMIFS('05_Parte_Diario'!$H$5:$H$204,'05_Parte_Diario'!$D$5:$D$204,B169,'05_Parte_Diario'!$E$5:$E$204,C169)))</f>
        <v>0</v>
      </c>
      <c r="G169" s="23">
        <f t="shared" si="14"/>
        <v>200</v>
      </c>
      <c r="H169" s="26">
        <f t="shared" si="15"/>
        <v>0</v>
      </c>
      <c r="I169" s="26">
        <f>IF(OR(B169="",C169="",$V$1=""),"",MIN(E169,SUMIFS('03_Planificacion'!$G$99:$G$178,'03_Planificacion'!$E$99:$E$178,B169,'03_Planificacion'!$F$99:$F$178,C169,'03_Planificacion'!$D$99:$D$178,"&lt;="&amp;$V$1)))</f>
        <v>0</v>
      </c>
      <c r="J169" s="26">
        <f t="shared" si="16"/>
        <v>0</v>
      </c>
      <c r="K169" s="27">
        <f t="shared" si="17"/>
        <v>0</v>
      </c>
      <c r="L169" s="25" t="s">
        <v>68</v>
      </c>
      <c r="M169" s="25"/>
      <c r="N169" s="25"/>
      <c r="O169" s="25"/>
      <c r="P169" s="28">
        <f t="shared" si="18"/>
        <v>46287</v>
      </c>
      <c r="Q169" s="25" t="s">
        <v>121</v>
      </c>
      <c r="R169" s="25">
        <v>75</v>
      </c>
      <c r="S169" s="25" t="s">
        <v>70</v>
      </c>
      <c r="T169" s="25" t="str">
        <f t="shared" si="19"/>
        <v/>
      </c>
      <c r="U169" t="str">
        <f>IF(AND(L169="Para Programar",G169&gt;0),COUNTIFS($L$5:L169,"Para Programar",$G$5:G169,"&gt;0"),"")</f>
        <v/>
      </c>
      <c r="W169" t="str">
        <f t="shared" si="20"/>
        <v>N12 - N13|11 Relleno -0,30 - Conformación de capa</v>
      </c>
      <c r="X169">
        <v>0</v>
      </c>
    </row>
    <row r="170" spans="1:24">
      <c r="A170" s="23" t="s">
        <v>112</v>
      </c>
      <c r="B170" s="24" t="s">
        <v>130</v>
      </c>
      <c r="C170" s="25" t="s">
        <v>113</v>
      </c>
      <c r="D170" s="23" t="s">
        <v>67</v>
      </c>
      <c r="E170" s="23">
        <v>200</v>
      </c>
      <c r="F170" s="23">
        <f>IF(E170="","",MIN(E170,$X170+SUMIFS('05_Parte_Diario'!$H$5:$H$204,'05_Parte_Diario'!$D$5:$D$204,B170,'05_Parte_Diario'!$E$5:$E$204,C170)))</f>
        <v>0</v>
      </c>
      <c r="G170" s="23">
        <f t="shared" si="14"/>
        <v>200</v>
      </c>
      <c r="H170" s="26">
        <f t="shared" si="15"/>
        <v>0</v>
      </c>
      <c r="I170" s="26">
        <f>IF(OR(B170="",C170="",$V$1=""),"",MIN(E170,SUMIFS('03_Planificacion'!$G$99:$G$178,'03_Planificacion'!$E$99:$E$178,B170,'03_Planificacion'!$F$99:$F$178,C170,'03_Planificacion'!$D$99:$D$178,"&lt;="&amp;$V$1)))</f>
        <v>0</v>
      </c>
      <c r="J170" s="26">
        <f t="shared" si="16"/>
        <v>0</v>
      </c>
      <c r="K170" s="27">
        <f t="shared" si="17"/>
        <v>0</v>
      </c>
      <c r="L170" s="25" t="s">
        <v>68</v>
      </c>
      <c r="M170" s="25"/>
      <c r="N170" s="25"/>
      <c r="O170" s="25"/>
      <c r="P170" s="28">
        <f t="shared" si="18"/>
        <v>46287</v>
      </c>
      <c r="Q170" s="25" t="s">
        <v>121</v>
      </c>
      <c r="R170" s="25">
        <v>75</v>
      </c>
      <c r="S170" s="25" t="s">
        <v>70</v>
      </c>
      <c r="T170" s="25" t="str">
        <f t="shared" si="19"/>
        <v/>
      </c>
      <c r="U170" t="str">
        <f>IF(AND(L170="Para Programar",G170&gt;0),COUNTIFS($L$5:L170,"Para Programar",$G$5:G170,"&gt;0"),"")</f>
        <v/>
      </c>
      <c r="W170" t="str">
        <f t="shared" si="20"/>
        <v>N12 - N13|11 Relleno -0,30 - Humectación</v>
      </c>
      <c r="X170">
        <v>0</v>
      </c>
    </row>
    <row r="171" spans="1:24">
      <c r="A171" s="23" t="s">
        <v>114</v>
      </c>
      <c r="B171" s="24" t="s">
        <v>130</v>
      </c>
      <c r="C171" s="25" t="s">
        <v>115</v>
      </c>
      <c r="D171" s="23" t="s">
        <v>67</v>
      </c>
      <c r="E171" s="23">
        <v>200</v>
      </c>
      <c r="F171" s="23">
        <f>IF(E171="","",MIN(E171,$X171+SUMIFS('05_Parte_Diario'!$H$5:$H$204,'05_Parte_Diario'!$D$5:$D$204,B171,'05_Parte_Diario'!$E$5:$E$204,C171)))</f>
        <v>0</v>
      </c>
      <c r="G171" s="23">
        <f t="shared" si="14"/>
        <v>200</v>
      </c>
      <c r="H171" s="26">
        <f t="shared" si="15"/>
        <v>0</v>
      </c>
      <c r="I171" s="26">
        <f>IF(OR(B171="",C171="",$V$1=""),"",MIN(E171,SUMIFS('03_Planificacion'!$G$99:$G$178,'03_Planificacion'!$E$99:$E$178,B171,'03_Planificacion'!$F$99:$F$178,C171,'03_Planificacion'!$D$99:$D$178,"&lt;="&amp;$V$1)))</f>
        <v>0</v>
      </c>
      <c r="J171" s="26">
        <f t="shared" si="16"/>
        <v>0</v>
      </c>
      <c r="K171" s="27">
        <f t="shared" si="17"/>
        <v>0</v>
      </c>
      <c r="L171" s="25" t="s">
        <v>68</v>
      </c>
      <c r="M171" s="25"/>
      <c r="N171" s="25"/>
      <c r="O171" s="25"/>
      <c r="P171" s="28">
        <f t="shared" si="18"/>
        <v>46287</v>
      </c>
      <c r="Q171" s="25" t="s">
        <v>121</v>
      </c>
      <c r="R171" s="25">
        <v>75</v>
      </c>
      <c r="S171" s="25" t="s">
        <v>70</v>
      </c>
      <c r="T171" s="25" t="str">
        <f t="shared" si="19"/>
        <v/>
      </c>
      <c r="U171" t="str">
        <f>IF(AND(L171="Para Programar",G171&gt;0),COUNTIFS($L$5:L171,"Para Programar",$G$5:G171,"&gt;0"),"")</f>
        <v/>
      </c>
      <c r="W171" t="str">
        <f t="shared" si="20"/>
        <v>N12 - N13|11 Relleno -0,30 - Compactación</v>
      </c>
      <c r="X171">
        <v>0</v>
      </c>
    </row>
    <row r="172" spans="1:24">
      <c r="A172" s="23" t="s">
        <v>116</v>
      </c>
      <c r="B172" s="24" t="s">
        <v>130</v>
      </c>
      <c r="C172" s="25" t="s">
        <v>117</v>
      </c>
      <c r="D172" s="23" t="s">
        <v>81</v>
      </c>
      <c r="E172" s="23">
        <v>1</v>
      </c>
      <c r="F172" s="23">
        <f>IF(E172="","",MIN(E172,$X172+SUMIFS('05_Parte_Diario'!$H$5:$H$204,'05_Parte_Diario'!$D$5:$D$204,B172,'05_Parte_Diario'!$E$5:$E$204,C172)))</f>
        <v>0</v>
      </c>
      <c r="G172" s="23">
        <f t="shared" si="14"/>
        <v>1</v>
      </c>
      <c r="H172" s="26">
        <f t="shared" si="15"/>
        <v>0</v>
      </c>
      <c r="I172" s="26">
        <f>IF(OR(B172="",C172="",$V$1=""),"",MIN(E172,SUMIFS('03_Planificacion'!$G$99:$G$178,'03_Planificacion'!$E$99:$E$178,B172,'03_Planificacion'!$F$99:$F$178,C172,'03_Planificacion'!$D$99:$D$178,"&lt;="&amp;$V$1)))</f>
        <v>0</v>
      </c>
      <c r="J172" s="26">
        <f t="shared" si="16"/>
        <v>0</v>
      </c>
      <c r="K172" s="27">
        <f t="shared" si="17"/>
        <v>0</v>
      </c>
      <c r="L172" s="25" t="s">
        <v>68</v>
      </c>
      <c r="M172" s="25"/>
      <c r="N172" s="25"/>
      <c r="O172" s="25"/>
      <c r="P172" s="28">
        <f t="shared" si="18"/>
        <v>46287</v>
      </c>
      <c r="Q172" s="25" t="s">
        <v>121</v>
      </c>
      <c r="R172" s="25">
        <v>75</v>
      </c>
      <c r="S172" s="25" t="s">
        <v>70</v>
      </c>
      <c r="T172" s="25" t="str">
        <f t="shared" si="19"/>
        <v/>
      </c>
      <c r="U172" t="str">
        <f>IF(AND(L172="Para Programar",G172&gt;0),COUNTIFS($L$5:L172,"Para Programar",$G$5:G172,"&gt;0"),"")</f>
        <v/>
      </c>
      <c r="W172" t="str">
        <f t="shared" si="20"/>
        <v>N12 - N13|11 Relleno -0,30 - Inspección laboratorio</v>
      </c>
      <c r="X172">
        <v>0</v>
      </c>
    </row>
    <row r="173" spans="1:24">
      <c r="A173" s="23" t="s">
        <v>64</v>
      </c>
      <c r="B173" s="24" t="s">
        <v>131</v>
      </c>
      <c r="C173" s="25" t="s">
        <v>66</v>
      </c>
      <c r="D173" s="23" t="s">
        <v>67</v>
      </c>
      <c r="E173" s="23">
        <v>98</v>
      </c>
      <c r="F173" s="23">
        <f>IF(E173="","",MIN(E173,$X173+SUMIFS('05_Parte_Diario'!$H$5:$H$204,'05_Parte_Diario'!$D$5:$D$204,B173,'05_Parte_Diario'!$E$5:$E$204,C173)))</f>
        <v>98</v>
      </c>
      <c r="G173" s="23">
        <f t="shared" si="14"/>
        <v>0</v>
      </c>
      <c r="H173" s="26">
        <f t="shared" si="15"/>
        <v>1</v>
      </c>
      <c r="I173" s="26">
        <f>IF(OR(B173="",C173="",$V$1=""),"",MIN(E173,SUMIFS('03_Planificacion'!$G$99:$G$178,'03_Planificacion'!$E$99:$E$178,B173,'03_Planificacion'!$F$99:$F$178,C173,'03_Planificacion'!$D$99:$D$178,"&lt;="&amp;$V$1)))</f>
        <v>0</v>
      </c>
      <c r="J173" s="26">
        <f t="shared" si="16"/>
        <v>0</v>
      </c>
      <c r="K173" s="27">
        <f t="shared" si="17"/>
        <v>1</v>
      </c>
      <c r="L173" s="25" t="s">
        <v>123</v>
      </c>
      <c r="M173" s="25"/>
      <c r="N173" s="25"/>
      <c r="O173" s="25"/>
      <c r="P173" s="28">
        <f t="shared" si="18"/>
        <v>46287</v>
      </c>
      <c r="Q173" s="25" t="s">
        <v>132</v>
      </c>
      <c r="R173" s="25">
        <v>75</v>
      </c>
      <c r="S173" s="25" t="s">
        <v>70</v>
      </c>
      <c r="T173" s="25" t="str">
        <f t="shared" si="19"/>
        <v/>
      </c>
      <c r="U173" t="str">
        <f>IF(AND(L173="Para Programar",G173&gt;0),COUNTIFS($L$5:L173,"Para Programar",$G$5:G173,"&gt;0"),"")</f>
        <v/>
      </c>
      <c r="W173" t="str">
        <f t="shared" si="20"/>
        <v>N12 - N20|01 Replanteo - Marcación de tramo de cañería principal</v>
      </c>
      <c r="X173">
        <v>98</v>
      </c>
    </row>
    <row r="174" spans="1:24">
      <c r="A174" s="23" t="s">
        <v>71</v>
      </c>
      <c r="B174" s="24" t="s">
        <v>131</v>
      </c>
      <c r="C174" s="25" t="s">
        <v>72</v>
      </c>
      <c r="D174" s="23" t="s">
        <v>67</v>
      </c>
      <c r="E174" s="23">
        <v>98</v>
      </c>
      <c r="F174" s="23">
        <f>IF(E174="","",MIN(E174,$X174+SUMIFS('05_Parte_Diario'!$H$5:$H$204,'05_Parte_Diario'!$D$5:$D$204,B174,'05_Parte_Diario'!$E$5:$E$204,C174)))</f>
        <v>98</v>
      </c>
      <c r="G174" s="23">
        <f t="shared" si="14"/>
        <v>0</v>
      </c>
      <c r="H174" s="26">
        <f t="shared" si="15"/>
        <v>1</v>
      </c>
      <c r="I174" s="26">
        <f>IF(OR(B174="",C174="",$V$1=""),"",MIN(E174,SUMIFS('03_Planificacion'!$G$99:$G$178,'03_Planificacion'!$E$99:$E$178,B174,'03_Planificacion'!$F$99:$F$178,C174,'03_Planificacion'!$D$99:$D$178,"&lt;="&amp;$V$1)))</f>
        <v>0</v>
      </c>
      <c r="J174" s="26">
        <f t="shared" si="16"/>
        <v>0</v>
      </c>
      <c r="K174" s="27">
        <f t="shared" si="17"/>
        <v>1</v>
      </c>
      <c r="L174" s="25" t="s">
        <v>123</v>
      </c>
      <c r="M174" s="25"/>
      <c r="N174" s="25"/>
      <c r="O174" s="25"/>
      <c r="P174" s="28">
        <f t="shared" si="18"/>
        <v>46287</v>
      </c>
      <c r="Q174" s="25" t="s">
        <v>132</v>
      </c>
      <c r="R174" s="25">
        <v>75</v>
      </c>
      <c r="S174" s="25" t="s">
        <v>70</v>
      </c>
      <c r="T174" s="25" t="str">
        <f t="shared" si="19"/>
        <v/>
      </c>
      <c r="U174" t="str">
        <f>IF(AND(L174="Para Programar",G174&gt;0),COUNTIFS($L$5:L174,"Para Programar",$G$5:G174,"&gt;0"),"")</f>
        <v/>
      </c>
      <c r="W174" t="str">
        <f t="shared" si="20"/>
        <v>N12 - N20|02 Excavación - Zanja principal</v>
      </c>
      <c r="X174">
        <v>98</v>
      </c>
    </row>
    <row r="175" spans="1:24">
      <c r="A175" s="23" t="s">
        <v>73</v>
      </c>
      <c r="B175" s="24" t="s">
        <v>131</v>
      </c>
      <c r="C175" s="25" t="s">
        <v>74</v>
      </c>
      <c r="D175" s="23" t="s">
        <v>67</v>
      </c>
      <c r="E175" s="23">
        <v>98</v>
      </c>
      <c r="F175" s="23">
        <f>IF(E175="","",MIN(E175,$X175+SUMIFS('05_Parte_Diario'!$H$5:$H$204,'05_Parte_Diario'!$D$5:$D$204,B175,'05_Parte_Diario'!$E$5:$E$204,C175)))</f>
        <v>98</v>
      </c>
      <c r="G175" s="23">
        <f t="shared" si="14"/>
        <v>0</v>
      </c>
      <c r="H175" s="26">
        <f t="shared" si="15"/>
        <v>1</v>
      </c>
      <c r="I175" s="26">
        <f>IF(OR(B175="",C175="",$V$1=""),"",MIN(E175,SUMIFS('03_Planificacion'!$G$99:$G$178,'03_Planificacion'!$E$99:$E$178,B175,'03_Planificacion'!$F$99:$F$178,C175,'03_Planificacion'!$D$99:$D$178,"&lt;="&amp;$V$1)))</f>
        <v>0</v>
      </c>
      <c r="J175" s="26">
        <f t="shared" si="16"/>
        <v>0</v>
      </c>
      <c r="K175" s="27">
        <f t="shared" si="17"/>
        <v>1</v>
      </c>
      <c r="L175" s="25" t="s">
        <v>123</v>
      </c>
      <c r="M175" s="25" t="s">
        <v>133</v>
      </c>
      <c r="N175" s="25"/>
      <c r="O175" s="25"/>
      <c r="P175" s="28">
        <f t="shared" si="18"/>
        <v>46287</v>
      </c>
      <c r="Q175" s="25" t="s">
        <v>132</v>
      </c>
      <c r="R175" s="25">
        <v>75</v>
      </c>
      <c r="S175" s="25" t="s">
        <v>70</v>
      </c>
      <c r="T175" s="25" t="str">
        <f t="shared" si="19"/>
        <v/>
      </c>
      <c r="U175" t="str">
        <f>IF(AND(L175="Para Programar",G175&gt;0),COUNTIFS($L$5:L175,"Para Programar",$G$5:G175,"&gt;0"),"")</f>
        <v/>
      </c>
      <c r="W175" t="str">
        <f t="shared" si="20"/>
        <v>N12 - N20|03 Base de asiento - Nivelación de fondo de zanja</v>
      </c>
      <c r="X175">
        <v>98</v>
      </c>
    </row>
    <row r="176" spans="1:24">
      <c r="A176" s="23" t="s">
        <v>75</v>
      </c>
      <c r="B176" s="24" t="s">
        <v>131</v>
      </c>
      <c r="C176" s="25" t="s">
        <v>76</v>
      </c>
      <c r="D176" s="23" t="s">
        <v>67</v>
      </c>
      <c r="E176" s="23">
        <v>98</v>
      </c>
      <c r="F176" s="23">
        <f>IF(E176="","",MIN(E176,$X176+SUMIFS('05_Parte_Diario'!$H$5:$H$204,'05_Parte_Diario'!$D$5:$D$204,B176,'05_Parte_Diario'!$E$5:$E$204,C176)))</f>
        <v>98</v>
      </c>
      <c r="G176" s="23">
        <f t="shared" si="14"/>
        <v>0</v>
      </c>
      <c r="H176" s="26">
        <f t="shared" si="15"/>
        <v>1</v>
      </c>
      <c r="I176" s="26">
        <f>IF(OR(B176="",C176="",$V$1=""),"",MIN(E176,SUMIFS('03_Planificacion'!$G$99:$G$178,'03_Planificacion'!$E$99:$E$178,B176,'03_Planificacion'!$F$99:$F$178,C176,'03_Planificacion'!$D$99:$D$178,"&lt;="&amp;$V$1)))</f>
        <v>0</v>
      </c>
      <c r="J176" s="26">
        <f t="shared" si="16"/>
        <v>0</v>
      </c>
      <c r="K176" s="27">
        <f t="shared" si="17"/>
        <v>1</v>
      </c>
      <c r="L176" s="25" t="s">
        <v>123</v>
      </c>
      <c r="M176" s="25"/>
      <c r="N176" s="25"/>
      <c r="O176" s="25"/>
      <c r="P176" s="28">
        <f t="shared" si="18"/>
        <v>46287</v>
      </c>
      <c r="Q176" s="25" t="s">
        <v>132</v>
      </c>
      <c r="R176" s="25">
        <v>75</v>
      </c>
      <c r="S176" s="25" t="s">
        <v>70</v>
      </c>
      <c r="T176" s="25" t="str">
        <f t="shared" si="19"/>
        <v/>
      </c>
      <c r="U176" t="str">
        <f>IF(AND(L176="Para Programar",G176&gt;0),COUNTIFS($L$5:L176,"Para Programar",$G$5:G176,"&gt;0"),"")</f>
        <v/>
      </c>
      <c r="W176" t="str">
        <f t="shared" si="20"/>
        <v>N12 - N20|03 Base de asiento - Aporte de material base e=0,10 m</v>
      </c>
      <c r="X176">
        <v>98</v>
      </c>
    </row>
    <row r="177" spans="1:24">
      <c r="A177" s="23" t="s">
        <v>77</v>
      </c>
      <c r="B177" s="24" t="s">
        <v>131</v>
      </c>
      <c r="C177" s="25" t="s">
        <v>78</v>
      </c>
      <c r="D177" s="23" t="s">
        <v>67</v>
      </c>
      <c r="E177" s="23">
        <v>98</v>
      </c>
      <c r="F177" s="23">
        <f>IF(E177="","",MIN(E177,$X177+SUMIFS('05_Parte_Diario'!$H$5:$H$204,'05_Parte_Diario'!$D$5:$D$204,B177,'05_Parte_Diario'!$E$5:$E$204,C177)))</f>
        <v>0</v>
      </c>
      <c r="G177" s="23">
        <f t="shared" si="14"/>
        <v>98</v>
      </c>
      <c r="H177" s="26">
        <f t="shared" si="15"/>
        <v>0</v>
      </c>
      <c r="I177" s="26">
        <f>IF(OR(B177="",C177="",$V$1=""),"",MIN(E177,SUMIFS('03_Planificacion'!$G$99:$G$178,'03_Planificacion'!$E$99:$E$178,B177,'03_Planificacion'!$F$99:$F$178,C177,'03_Planificacion'!$D$99:$D$178,"&lt;="&amp;$V$1)))</f>
        <v>0</v>
      </c>
      <c r="J177" s="26">
        <f t="shared" si="16"/>
        <v>0</v>
      </c>
      <c r="K177" s="27">
        <f t="shared" si="17"/>
        <v>0</v>
      </c>
      <c r="L177" s="25" t="s">
        <v>12</v>
      </c>
      <c r="M177" s="25"/>
      <c r="N177" s="25"/>
      <c r="O177" s="25"/>
      <c r="P177" s="28">
        <f t="shared" si="18"/>
        <v>46287</v>
      </c>
      <c r="Q177" s="25" t="s">
        <v>132</v>
      </c>
      <c r="R177" s="25">
        <v>75</v>
      </c>
      <c r="S177" s="25" t="s">
        <v>70</v>
      </c>
      <c r="T177" s="25" t="str">
        <f t="shared" si="19"/>
        <v/>
      </c>
      <c r="U177">
        <f>IF(AND(L177="Para Programar",G177&gt;0),COUNTIFS($L$5:L177,"Para Programar",$G$5:G177,"&gt;0"),"")</f>
        <v>5</v>
      </c>
      <c r="W177" t="str">
        <f t="shared" si="20"/>
        <v>N12 - N20|03 Base de asiento - Compactación</v>
      </c>
      <c r="X177">
        <v>0</v>
      </c>
    </row>
    <row r="178" spans="1:24">
      <c r="A178" s="23" t="s">
        <v>79</v>
      </c>
      <c r="B178" s="24" t="s">
        <v>131</v>
      </c>
      <c r="C178" s="25" t="s">
        <v>80</v>
      </c>
      <c r="D178" s="23" t="s">
        <v>81</v>
      </c>
      <c r="E178" s="23">
        <v>1</v>
      </c>
      <c r="F178" s="23">
        <f>IF(E178="","",MIN(E178,$X178+SUMIFS('05_Parte_Diario'!$H$5:$H$204,'05_Parte_Diario'!$D$5:$D$204,B178,'05_Parte_Diario'!$E$5:$E$204,C178)))</f>
        <v>0</v>
      </c>
      <c r="G178" s="23">
        <f t="shared" si="14"/>
        <v>1</v>
      </c>
      <c r="H178" s="26">
        <f t="shared" si="15"/>
        <v>0</v>
      </c>
      <c r="I178" s="26">
        <f>IF(OR(B178="",C178="",$V$1=""),"",MIN(E178,SUMIFS('03_Planificacion'!$G$99:$G$178,'03_Planificacion'!$E$99:$E$178,B178,'03_Planificacion'!$F$99:$F$178,C178,'03_Planificacion'!$D$99:$D$178,"&lt;="&amp;$V$1)))</f>
        <v>0</v>
      </c>
      <c r="J178" s="26">
        <f t="shared" si="16"/>
        <v>0</v>
      </c>
      <c r="K178" s="27">
        <f t="shared" si="17"/>
        <v>0</v>
      </c>
      <c r="L178" s="25" t="s">
        <v>12</v>
      </c>
      <c r="M178" s="25"/>
      <c r="N178" s="25"/>
      <c r="O178" s="25"/>
      <c r="P178" s="28">
        <f t="shared" si="18"/>
        <v>46287</v>
      </c>
      <c r="Q178" s="25" t="s">
        <v>132</v>
      </c>
      <c r="R178" s="25">
        <v>75</v>
      </c>
      <c r="S178" s="25" t="s">
        <v>70</v>
      </c>
      <c r="T178" s="25" t="str">
        <f t="shared" si="19"/>
        <v/>
      </c>
      <c r="U178">
        <f>IF(AND(L178="Para Programar",G178&gt;0),COUNTIFS($L$5:L178,"Para Programar",$G$5:G178,"&gt;0"),"")</f>
        <v>6</v>
      </c>
      <c r="W178" t="str">
        <f t="shared" si="20"/>
        <v>N12 - N20|04 Inspecciones previas - Laboratorio base de asiento</v>
      </c>
      <c r="X178">
        <v>0</v>
      </c>
    </row>
    <row r="179" spans="1:24">
      <c r="A179" s="23" t="s">
        <v>82</v>
      </c>
      <c r="B179" s="24" t="s">
        <v>131</v>
      </c>
      <c r="C179" s="25" t="s">
        <v>83</v>
      </c>
      <c r="D179" s="23" t="s">
        <v>81</v>
      </c>
      <c r="E179" s="23">
        <v>1</v>
      </c>
      <c r="F179" s="23">
        <f>IF(E179="","",MIN(E179,$X179+SUMIFS('05_Parte_Diario'!$H$5:$H$204,'05_Parte_Diario'!$D$5:$D$204,B179,'05_Parte_Diario'!$E$5:$E$204,C179)))</f>
        <v>0</v>
      </c>
      <c r="G179" s="23">
        <f t="shared" si="14"/>
        <v>1</v>
      </c>
      <c r="H179" s="26">
        <f t="shared" si="15"/>
        <v>0</v>
      </c>
      <c r="I179" s="26">
        <f>IF(OR(B179="",C179="",$V$1=""),"",MIN(E179,SUMIFS('03_Planificacion'!$G$99:$G$178,'03_Planificacion'!$E$99:$E$178,B179,'03_Planificacion'!$F$99:$F$178,C179,'03_Planificacion'!$D$99:$D$178,"&lt;="&amp;$V$1)))</f>
        <v>0</v>
      </c>
      <c r="J179" s="26">
        <f t="shared" si="16"/>
        <v>0</v>
      </c>
      <c r="K179" s="27">
        <f t="shared" si="17"/>
        <v>0</v>
      </c>
      <c r="L179" s="25" t="s">
        <v>12</v>
      </c>
      <c r="M179" s="25"/>
      <c r="N179" s="25"/>
      <c r="O179" s="25"/>
      <c r="P179" s="28">
        <f t="shared" si="18"/>
        <v>46287</v>
      </c>
      <c r="Q179" s="25" t="s">
        <v>132</v>
      </c>
      <c r="R179" s="25">
        <v>75</v>
      </c>
      <c r="S179" s="25" t="s">
        <v>70</v>
      </c>
      <c r="T179" s="25" t="str">
        <f t="shared" si="19"/>
        <v/>
      </c>
      <c r="U179">
        <f>IF(AND(L179="Para Programar",G179&gt;0),COUNTIFS($L$5:L179,"Para Programar",$G$5:G179,"&gt;0"),"")</f>
        <v>7</v>
      </c>
      <c r="W179" t="str">
        <f t="shared" si="20"/>
        <v>N12 - N20|04 Inspecciones previas - Zanja y materiales</v>
      </c>
      <c r="X179">
        <v>0</v>
      </c>
    </row>
    <row r="180" spans="1:24">
      <c r="A180" s="23" t="s">
        <v>84</v>
      </c>
      <c r="B180" s="24" t="s">
        <v>131</v>
      </c>
      <c r="C180" s="25" t="s">
        <v>85</v>
      </c>
      <c r="D180" s="23" t="s">
        <v>67</v>
      </c>
      <c r="E180" s="23">
        <v>98</v>
      </c>
      <c r="F180" s="23">
        <f>IF(E180="","",MIN(E180,$X180+SUMIFS('05_Parte_Diario'!$H$5:$H$204,'05_Parte_Diario'!$D$5:$D$204,B180,'05_Parte_Diario'!$E$5:$E$204,C180)))</f>
        <v>0</v>
      </c>
      <c r="G180" s="23">
        <f t="shared" si="14"/>
        <v>98</v>
      </c>
      <c r="H180" s="26">
        <f t="shared" si="15"/>
        <v>0</v>
      </c>
      <c r="I180" s="26">
        <f>IF(OR(B180="",C180="",$V$1=""),"",MIN(E180,SUMIFS('03_Planificacion'!$G$99:$G$178,'03_Planificacion'!$E$99:$E$178,B180,'03_Planificacion'!$F$99:$F$178,C180,'03_Planificacion'!$D$99:$D$178,"&lt;="&amp;$V$1)))</f>
        <v>0</v>
      </c>
      <c r="J180" s="26">
        <f t="shared" si="16"/>
        <v>0</v>
      </c>
      <c r="K180" s="27">
        <f t="shared" si="17"/>
        <v>0</v>
      </c>
      <c r="L180" s="25" t="s">
        <v>12</v>
      </c>
      <c r="M180" s="25"/>
      <c r="N180" s="25"/>
      <c r="O180" s="25"/>
      <c r="P180" s="28">
        <f t="shared" si="18"/>
        <v>46287</v>
      </c>
      <c r="Q180" s="25" t="s">
        <v>132</v>
      </c>
      <c r="R180" s="25">
        <v>75</v>
      </c>
      <c r="S180" s="25" t="s">
        <v>70</v>
      </c>
      <c r="T180" s="25" t="str">
        <f t="shared" si="19"/>
        <v/>
      </c>
      <c r="U180">
        <f>IF(AND(L180="Para Programar",G180&gt;0),COUNTIFS($L$5:L180,"Para Programar",$G$5:G180,"&gt;0"),"")</f>
        <v>8</v>
      </c>
      <c r="W180" t="str">
        <f t="shared" si="20"/>
        <v>N12 - N20|05 Tendido de cañería - Cañería principal</v>
      </c>
      <c r="X180">
        <v>0</v>
      </c>
    </row>
    <row r="181" spans="1:24">
      <c r="A181" s="23" t="s">
        <v>86</v>
      </c>
      <c r="B181" s="24" t="s">
        <v>131</v>
      </c>
      <c r="C181" s="25" t="s">
        <v>87</v>
      </c>
      <c r="D181" s="23" t="s">
        <v>67</v>
      </c>
      <c r="E181" s="23">
        <v>98</v>
      </c>
      <c r="F181" s="23">
        <f>IF(E181="","",MIN(E181,$X181+SUMIFS('05_Parte_Diario'!$H$5:$H$204,'05_Parte_Diario'!$D$5:$D$204,B181,'05_Parte_Diario'!$E$5:$E$204,C181)))</f>
        <v>0</v>
      </c>
      <c r="G181" s="23">
        <f t="shared" si="14"/>
        <v>98</v>
      </c>
      <c r="H181" s="26">
        <f t="shared" si="15"/>
        <v>0</v>
      </c>
      <c r="I181" s="26">
        <f>IF(OR(B181="",C181="",$V$1=""),"",MIN(E181,SUMIFS('03_Planificacion'!$G$99:$G$178,'03_Planificacion'!$E$99:$E$178,B181,'03_Planificacion'!$F$99:$F$178,C181,'03_Planificacion'!$D$99:$D$178,"&lt;="&amp;$V$1)))</f>
        <v>0</v>
      </c>
      <c r="J181" s="26">
        <f t="shared" si="16"/>
        <v>0</v>
      </c>
      <c r="K181" s="27">
        <f t="shared" si="17"/>
        <v>0</v>
      </c>
      <c r="L181" s="25" t="s">
        <v>12</v>
      </c>
      <c r="M181" s="25"/>
      <c r="N181" s="25"/>
      <c r="O181" s="25"/>
      <c r="P181" s="28">
        <f t="shared" si="18"/>
        <v>46287</v>
      </c>
      <c r="Q181" s="25" t="s">
        <v>132</v>
      </c>
      <c r="R181" s="25">
        <v>75</v>
      </c>
      <c r="S181" s="25" t="s">
        <v>70</v>
      </c>
      <c r="T181" s="25" t="str">
        <f t="shared" si="19"/>
        <v/>
      </c>
      <c r="U181">
        <f>IF(AND(L181="Para Programar",G181&gt;0),COUNTIFS($L$5:L181,"Para Programar",$G$5:G181,"&gt;0"),"")</f>
        <v>9</v>
      </c>
      <c r="W181" t="str">
        <f t="shared" si="20"/>
        <v>N12 - N20|05 Tendido de cañería - Relevamiento planialtimétrico</v>
      </c>
      <c r="X181">
        <v>0</v>
      </c>
    </row>
    <row r="182" spans="1:24">
      <c r="A182" s="23" t="s">
        <v>88</v>
      </c>
      <c r="B182" s="24" t="s">
        <v>131</v>
      </c>
      <c r="C182" s="25" t="s">
        <v>89</v>
      </c>
      <c r="D182" s="23" t="s">
        <v>81</v>
      </c>
      <c r="E182" s="23">
        <v>1</v>
      </c>
      <c r="F182" s="23">
        <f>IF(E182="","",MIN(E182,$X182+SUMIFS('05_Parte_Diario'!$H$5:$H$204,'05_Parte_Diario'!$D$5:$D$204,B182,'05_Parte_Diario'!$E$5:$E$204,C182)))</f>
        <v>0</v>
      </c>
      <c r="G182" s="23">
        <f t="shared" si="14"/>
        <v>1</v>
      </c>
      <c r="H182" s="26">
        <f t="shared" si="15"/>
        <v>0</v>
      </c>
      <c r="I182" s="26">
        <f>IF(OR(B182="",C182="",$V$1=""),"",MIN(E182,SUMIFS('03_Planificacion'!$G$99:$G$178,'03_Planificacion'!$E$99:$E$178,B182,'03_Planificacion'!$F$99:$F$178,C182,'03_Planificacion'!$D$99:$D$178,"&lt;="&amp;$V$1)))</f>
        <v>0</v>
      </c>
      <c r="J182" s="26">
        <f t="shared" si="16"/>
        <v>0</v>
      </c>
      <c r="K182" s="27">
        <f t="shared" si="17"/>
        <v>0</v>
      </c>
      <c r="L182" s="25" t="s">
        <v>12</v>
      </c>
      <c r="M182" s="25"/>
      <c r="N182" s="25"/>
      <c r="O182" s="25"/>
      <c r="P182" s="28">
        <f t="shared" si="18"/>
        <v>46287</v>
      </c>
      <c r="Q182" s="25" t="s">
        <v>132</v>
      </c>
      <c r="R182" s="25">
        <v>75</v>
      </c>
      <c r="S182" s="25" t="s">
        <v>70</v>
      </c>
      <c r="T182" s="25" t="str">
        <f t="shared" si="19"/>
        <v/>
      </c>
      <c r="U182">
        <f>IF(AND(L182="Para Programar",G182&gt;0),COUNTIFS($L$5:L182,"Para Programar",$G$5:G182,"&gt;0"),"")</f>
        <v>10</v>
      </c>
      <c r="W182" t="str">
        <f t="shared" si="20"/>
        <v>N12 - N20|08 Prueba hidráulica - Preparación del sistema</v>
      </c>
      <c r="X182">
        <v>0</v>
      </c>
    </row>
    <row r="183" spans="1:24">
      <c r="A183" s="23" t="s">
        <v>90</v>
      </c>
      <c r="B183" s="24" t="s">
        <v>131</v>
      </c>
      <c r="C183" s="25" t="s">
        <v>91</v>
      </c>
      <c r="D183" s="23" t="s">
        <v>81</v>
      </c>
      <c r="E183" s="23">
        <v>1</v>
      </c>
      <c r="F183" s="23">
        <f>IF(E183="","",MIN(E183,$X183+SUMIFS('05_Parte_Diario'!$H$5:$H$204,'05_Parte_Diario'!$D$5:$D$204,B183,'05_Parte_Diario'!$E$5:$E$204,C183)))</f>
        <v>0</v>
      </c>
      <c r="G183" s="23">
        <f t="shared" si="14"/>
        <v>1</v>
      </c>
      <c r="H183" s="26">
        <f t="shared" si="15"/>
        <v>0</v>
      </c>
      <c r="I183" s="26">
        <f>IF(OR(B183="",C183="",$V$1=""),"",MIN(E183,SUMIFS('03_Planificacion'!$G$99:$G$178,'03_Planificacion'!$E$99:$E$178,B183,'03_Planificacion'!$F$99:$F$178,C183,'03_Planificacion'!$D$99:$D$178,"&lt;="&amp;$V$1)))</f>
        <v>0</v>
      </c>
      <c r="J183" s="26">
        <f t="shared" si="16"/>
        <v>0</v>
      </c>
      <c r="K183" s="27">
        <f t="shared" si="17"/>
        <v>0</v>
      </c>
      <c r="L183" s="25" t="s">
        <v>12</v>
      </c>
      <c r="M183" s="25"/>
      <c r="N183" s="25"/>
      <c r="O183" s="25"/>
      <c r="P183" s="28">
        <f t="shared" si="18"/>
        <v>46287</v>
      </c>
      <c r="Q183" s="25" t="s">
        <v>132</v>
      </c>
      <c r="R183" s="25">
        <v>75</v>
      </c>
      <c r="S183" s="25" t="s">
        <v>70</v>
      </c>
      <c r="T183" s="25" t="str">
        <f t="shared" si="19"/>
        <v/>
      </c>
      <c r="U183">
        <f>IF(AND(L183="Para Programar",G183&gt;0),COUNTIFS($L$5:L183,"Para Programar",$G$5:G183,"&gt;0"),"")</f>
        <v>11</v>
      </c>
      <c r="W183" t="str">
        <f t="shared" si="20"/>
        <v>N12 - N20|08 Prueba hidráulica - Interna N° 1</v>
      </c>
      <c r="X183">
        <v>0</v>
      </c>
    </row>
    <row r="184" spans="1:24">
      <c r="A184" s="23" t="s">
        <v>92</v>
      </c>
      <c r="B184" s="24" t="s">
        <v>131</v>
      </c>
      <c r="C184" s="25" t="s">
        <v>93</v>
      </c>
      <c r="D184" s="23" t="s">
        <v>81</v>
      </c>
      <c r="E184" s="23">
        <v>1</v>
      </c>
      <c r="F184" s="23">
        <f>IF(E184="","",MIN(E184,$X184+SUMIFS('05_Parte_Diario'!$H$5:$H$204,'05_Parte_Diario'!$D$5:$D$204,B184,'05_Parte_Diario'!$E$5:$E$204,C184)))</f>
        <v>0</v>
      </c>
      <c r="G184" s="23">
        <f t="shared" si="14"/>
        <v>1</v>
      </c>
      <c r="H184" s="26">
        <f t="shared" si="15"/>
        <v>0</v>
      </c>
      <c r="I184" s="26">
        <f>IF(OR(B184="",C184="",$V$1=""),"",MIN(E184,SUMIFS('03_Planificacion'!$G$99:$G$178,'03_Planificacion'!$E$99:$E$178,B184,'03_Planificacion'!$F$99:$F$178,C184,'03_Planificacion'!$D$99:$D$178,"&lt;="&amp;$V$1)))</f>
        <v>0</v>
      </c>
      <c r="J184" s="26">
        <f t="shared" si="16"/>
        <v>0</v>
      </c>
      <c r="K184" s="27">
        <f t="shared" si="17"/>
        <v>0</v>
      </c>
      <c r="L184" s="25" t="s">
        <v>68</v>
      </c>
      <c r="M184" s="25"/>
      <c r="N184" s="25"/>
      <c r="O184" s="25"/>
      <c r="P184" s="28">
        <f t="shared" si="18"/>
        <v>46287</v>
      </c>
      <c r="Q184" s="25" t="s">
        <v>132</v>
      </c>
      <c r="R184" s="25">
        <v>75</v>
      </c>
      <c r="S184" s="25" t="s">
        <v>70</v>
      </c>
      <c r="T184" s="25" t="str">
        <f t="shared" si="19"/>
        <v/>
      </c>
      <c r="U184" t="str">
        <f>IF(AND(L184="Para Programar",G184&gt;0),COUNTIFS($L$5:L184,"Para Programar",$G$5:G184,"&gt;0"),"")</f>
        <v/>
      </c>
      <c r="W184" t="str">
        <f t="shared" si="20"/>
        <v>N12 - N20|08 Prueba hidráulica - Interna N° 2</v>
      </c>
      <c r="X184">
        <v>0</v>
      </c>
    </row>
    <row r="185" spans="1:24">
      <c r="A185" s="23" t="s">
        <v>94</v>
      </c>
      <c r="B185" s="24" t="s">
        <v>131</v>
      </c>
      <c r="C185" s="25" t="s">
        <v>95</v>
      </c>
      <c r="D185" s="23" t="s">
        <v>81</v>
      </c>
      <c r="E185" s="23">
        <v>1</v>
      </c>
      <c r="F185" s="23">
        <f>IF(E185="","",MIN(E185,$X185+SUMIFS('05_Parte_Diario'!$H$5:$H$204,'05_Parte_Diario'!$D$5:$D$204,B185,'05_Parte_Diario'!$E$5:$E$204,C185)))</f>
        <v>0</v>
      </c>
      <c r="G185" s="23">
        <f t="shared" si="14"/>
        <v>1</v>
      </c>
      <c r="H185" s="26">
        <f t="shared" si="15"/>
        <v>0</v>
      </c>
      <c r="I185" s="26">
        <f>IF(OR(B185="",C185="",$V$1=""),"",MIN(E185,SUMIFS('03_Planificacion'!$G$99:$G$178,'03_Planificacion'!$E$99:$E$178,B185,'03_Planificacion'!$F$99:$F$178,C185,'03_Planificacion'!$D$99:$D$178,"&lt;="&amp;$V$1)))</f>
        <v>0</v>
      </c>
      <c r="J185" s="26">
        <f t="shared" si="16"/>
        <v>0</v>
      </c>
      <c r="K185" s="27">
        <f t="shared" si="17"/>
        <v>0</v>
      </c>
      <c r="L185" s="25" t="s">
        <v>68</v>
      </c>
      <c r="M185" s="25"/>
      <c r="N185" s="25"/>
      <c r="O185" s="25"/>
      <c r="P185" s="28">
        <f t="shared" si="18"/>
        <v>46287</v>
      </c>
      <c r="Q185" s="25" t="s">
        <v>132</v>
      </c>
      <c r="R185" s="25">
        <v>75</v>
      </c>
      <c r="S185" s="25" t="s">
        <v>70</v>
      </c>
      <c r="T185" s="25" t="str">
        <f t="shared" si="19"/>
        <v/>
      </c>
      <c r="U185" t="str">
        <f>IF(AND(L185="Para Programar",G185&gt;0),COUNTIFS($L$5:L185,"Para Programar",$G$5:G185,"&gt;0"),"")</f>
        <v/>
      </c>
      <c r="W185" t="str">
        <f t="shared" si="20"/>
        <v>N12 - N20|08 Prueba hidráulica - Primera prueba oficial</v>
      </c>
      <c r="X185">
        <v>0</v>
      </c>
    </row>
    <row r="186" spans="1:24">
      <c r="A186" s="23" t="s">
        <v>96</v>
      </c>
      <c r="B186" s="24" t="s">
        <v>131</v>
      </c>
      <c r="C186" s="25" t="s">
        <v>97</v>
      </c>
      <c r="D186" s="23" t="s">
        <v>67</v>
      </c>
      <c r="E186" s="23">
        <v>98</v>
      </c>
      <c r="F186" s="23">
        <f>IF(E186="","",MIN(E186,$X186+SUMIFS('05_Parte_Diario'!$H$5:$H$204,'05_Parte_Diario'!$D$5:$D$204,B186,'05_Parte_Diario'!$E$5:$E$204,C186)))</f>
        <v>0</v>
      </c>
      <c r="G186" s="23">
        <f t="shared" si="14"/>
        <v>98</v>
      </c>
      <c r="H186" s="26">
        <f t="shared" si="15"/>
        <v>0</v>
      </c>
      <c r="I186" s="26">
        <f>IF(OR(B186="",C186="",$V$1=""),"",MIN(E186,SUMIFS('03_Planificacion'!$G$99:$G$178,'03_Planificacion'!$E$99:$E$178,B186,'03_Planificacion'!$F$99:$F$178,C186,'03_Planificacion'!$D$99:$D$178,"&lt;="&amp;$V$1)))</f>
        <v>0</v>
      </c>
      <c r="J186" s="26">
        <f t="shared" si="16"/>
        <v>0</v>
      </c>
      <c r="K186" s="27">
        <f t="shared" si="17"/>
        <v>0</v>
      </c>
      <c r="L186" s="25" t="s">
        <v>68</v>
      </c>
      <c r="M186" s="25"/>
      <c r="N186" s="25"/>
      <c r="O186" s="25"/>
      <c r="P186" s="28">
        <f t="shared" si="18"/>
        <v>46287</v>
      </c>
      <c r="Q186" s="25" t="s">
        <v>132</v>
      </c>
      <c r="R186" s="25">
        <v>75</v>
      </c>
      <c r="S186" s="25" t="s">
        <v>70</v>
      </c>
      <c r="T186" s="25" t="str">
        <f t="shared" si="19"/>
        <v/>
      </c>
      <c r="U186" t="str">
        <f>IF(AND(L186="Para Programar",G186&gt;0),COUNTIFS($L$5:L186,"Para Programar",$G$5:G186,"&gt;0"),"")</f>
        <v/>
      </c>
      <c r="W186" t="str">
        <f t="shared" si="20"/>
        <v>N12 - N20|09 Paquete estructural - Aporte e=0,30 m</v>
      </c>
      <c r="X186">
        <v>0</v>
      </c>
    </row>
    <row r="187" spans="1:24">
      <c r="A187" s="23" t="s">
        <v>98</v>
      </c>
      <c r="B187" s="24" t="s">
        <v>131</v>
      </c>
      <c r="C187" s="25" t="s">
        <v>99</v>
      </c>
      <c r="D187" s="23" t="s">
        <v>67</v>
      </c>
      <c r="E187" s="23">
        <v>98</v>
      </c>
      <c r="F187" s="23">
        <f>IF(E187="","",MIN(E187,$X187+SUMIFS('05_Parte_Diario'!$H$5:$H$204,'05_Parte_Diario'!$D$5:$D$204,B187,'05_Parte_Diario'!$E$5:$E$204,C187)))</f>
        <v>0</v>
      </c>
      <c r="G187" s="23">
        <f t="shared" si="14"/>
        <v>98</v>
      </c>
      <c r="H187" s="26">
        <f t="shared" si="15"/>
        <v>0</v>
      </c>
      <c r="I187" s="26">
        <f>IF(OR(B187="",C187="",$V$1=""),"",MIN(E187,SUMIFS('03_Planificacion'!$G$99:$G$178,'03_Planificacion'!$E$99:$E$178,B187,'03_Planificacion'!$F$99:$F$178,C187,'03_Planificacion'!$D$99:$D$178,"&lt;="&amp;$V$1)))</f>
        <v>0</v>
      </c>
      <c r="J187" s="26">
        <f t="shared" si="16"/>
        <v>0</v>
      </c>
      <c r="K187" s="27">
        <f t="shared" si="17"/>
        <v>0</v>
      </c>
      <c r="L187" s="25" t="s">
        <v>68</v>
      </c>
      <c r="M187" s="25"/>
      <c r="N187" s="25"/>
      <c r="O187" s="25"/>
      <c r="P187" s="28">
        <f t="shared" si="18"/>
        <v>46287</v>
      </c>
      <c r="Q187" s="25" t="s">
        <v>132</v>
      </c>
      <c r="R187" s="25">
        <v>75</v>
      </c>
      <c r="S187" s="25" t="s">
        <v>70</v>
      </c>
      <c r="T187" s="25" t="str">
        <f t="shared" si="19"/>
        <v/>
      </c>
      <c r="U187" t="str">
        <f>IF(AND(L187="Para Programar",G187&gt;0),COUNTIFS($L$5:L187,"Para Programar",$G$5:G187,"&gt;0"),"")</f>
        <v/>
      </c>
      <c r="W187" t="str">
        <f t="shared" si="20"/>
        <v>N12 - N20|09 Paquete estructural - Compactación</v>
      </c>
      <c r="X187">
        <v>0</v>
      </c>
    </row>
    <row r="188" spans="1:24">
      <c r="A188" s="23" t="s">
        <v>100</v>
      </c>
      <c r="B188" s="24" t="s">
        <v>131</v>
      </c>
      <c r="C188" s="25" t="s">
        <v>101</v>
      </c>
      <c r="D188" s="23" t="s">
        <v>81</v>
      </c>
      <c r="E188" s="23">
        <v>1</v>
      </c>
      <c r="F188" s="23">
        <f>IF(E188="","",MIN(E188,$X188+SUMIFS('05_Parte_Diario'!$H$5:$H$204,'05_Parte_Diario'!$D$5:$D$204,B188,'05_Parte_Diario'!$E$5:$E$204,C188)))</f>
        <v>0</v>
      </c>
      <c r="G188" s="23">
        <f t="shared" si="14"/>
        <v>1</v>
      </c>
      <c r="H188" s="26">
        <f t="shared" si="15"/>
        <v>0</v>
      </c>
      <c r="I188" s="26">
        <f>IF(OR(B188="",C188="",$V$1=""),"",MIN(E188,SUMIFS('03_Planificacion'!$G$99:$G$178,'03_Planificacion'!$E$99:$E$178,B188,'03_Planificacion'!$F$99:$F$178,C188,'03_Planificacion'!$D$99:$D$178,"&lt;="&amp;$V$1)))</f>
        <v>0</v>
      </c>
      <c r="J188" s="26">
        <f t="shared" si="16"/>
        <v>0</v>
      </c>
      <c r="K188" s="27">
        <f t="shared" si="17"/>
        <v>0</v>
      </c>
      <c r="L188" s="25" t="s">
        <v>68</v>
      </c>
      <c r="M188" s="25"/>
      <c r="N188" s="25"/>
      <c r="O188" s="25"/>
      <c r="P188" s="28">
        <f t="shared" si="18"/>
        <v>46287</v>
      </c>
      <c r="Q188" s="25" t="s">
        <v>132</v>
      </c>
      <c r="R188" s="25">
        <v>75</v>
      </c>
      <c r="S188" s="25" t="s">
        <v>70</v>
      </c>
      <c r="T188" s="25" t="str">
        <f t="shared" si="19"/>
        <v/>
      </c>
      <c r="U188" t="str">
        <f>IF(AND(L188="Para Programar",G188&gt;0),COUNTIFS($L$5:L188,"Para Programar",$G$5:G188,"&gt;0"),"")</f>
        <v/>
      </c>
      <c r="W188" t="str">
        <f t="shared" si="20"/>
        <v>N12 - N20|09 Paquete estructural - Inspección laboratorio</v>
      </c>
      <c r="X188">
        <v>0</v>
      </c>
    </row>
    <row r="189" spans="1:24">
      <c r="A189" s="23" t="s">
        <v>102</v>
      </c>
      <c r="B189" s="24" t="s">
        <v>131</v>
      </c>
      <c r="C189" s="25" t="s">
        <v>103</v>
      </c>
      <c r="D189" s="23" t="s">
        <v>67</v>
      </c>
      <c r="E189" s="23">
        <v>98</v>
      </c>
      <c r="F189" s="23">
        <f>IF(E189="","",MIN(E189,$X189+SUMIFS('05_Parte_Diario'!$H$5:$H$204,'05_Parte_Diario'!$D$5:$D$204,B189,'05_Parte_Diario'!$E$5:$E$204,C189)))</f>
        <v>0</v>
      </c>
      <c r="G189" s="23">
        <f t="shared" si="14"/>
        <v>98</v>
      </c>
      <c r="H189" s="26">
        <f t="shared" si="15"/>
        <v>0</v>
      </c>
      <c r="I189" s="26">
        <f>IF(OR(B189="",C189="",$V$1=""),"",MIN(E189,SUMIFS('03_Planificacion'!$G$99:$G$178,'03_Planificacion'!$E$99:$E$178,B189,'03_Planificacion'!$F$99:$F$178,C189,'03_Planificacion'!$D$99:$D$178,"&lt;="&amp;$V$1)))</f>
        <v>0</v>
      </c>
      <c r="J189" s="26">
        <f t="shared" si="16"/>
        <v>0</v>
      </c>
      <c r="K189" s="27">
        <f t="shared" si="17"/>
        <v>0</v>
      </c>
      <c r="L189" s="25" t="s">
        <v>68</v>
      </c>
      <c r="M189" s="25"/>
      <c r="N189" s="25"/>
      <c r="O189" s="25"/>
      <c r="P189" s="28">
        <f t="shared" si="18"/>
        <v>46287</v>
      </c>
      <c r="Q189" s="25" t="s">
        <v>132</v>
      </c>
      <c r="R189" s="25">
        <v>75</v>
      </c>
      <c r="S189" s="25" t="s">
        <v>70</v>
      </c>
      <c r="T189" s="25" t="str">
        <f t="shared" si="19"/>
        <v/>
      </c>
      <c r="U189" t="str">
        <f>IF(AND(L189="Para Programar",G189&gt;0),COUNTIFS($L$5:L189,"Para Programar",$G$5:G189,"&gt;0"),"")</f>
        <v/>
      </c>
      <c r="W189" t="str">
        <f t="shared" si="20"/>
        <v>N12 - N20|10 Relleno -0,60 - Conformación de capa</v>
      </c>
      <c r="X189">
        <v>0</v>
      </c>
    </row>
    <row r="190" spans="1:24">
      <c r="A190" s="23" t="s">
        <v>104</v>
      </c>
      <c r="B190" s="24" t="s">
        <v>131</v>
      </c>
      <c r="C190" s="25" t="s">
        <v>105</v>
      </c>
      <c r="D190" s="23" t="s">
        <v>67</v>
      </c>
      <c r="E190" s="23">
        <v>98</v>
      </c>
      <c r="F190" s="23">
        <f>IF(E190="","",MIN(E190,$X190+SUMIFS('05_Parte_Diario'!$H$5:$H$204,'05_Parte_Diario'!$D$5:$D$204,B190,'05_Parte_Diario'!$E$5:$E$204,C190)))</f>
        <v>0</v>
      </c>
      <c r="G190" s="23">
        <f t="shared" si="14"/>
        <v>98</v>
      </c>
      <c r="H190" s="26">
        <f t="shared" si="15"/>
        <v>0</v>
      </c>
      <c r="I190" s="26">
        <f>IF(OR(B190="",C190="",$V$1=""),"",MIN(E190,SUMIFS('03_Planificacion'!$G$99:$G$178,'03_Planificacion'!$E$99:$E$178,B190,'03_Planificacion'!$F$99:$F$178,C190,'03_Planificacion'!$D$99:$D$178,"&lt;="&amp;$V$1)))</f>
        <v>0</v>
      </c>
      <c r="J190" s="26">
        <f t="shared" si="16"/>
        <v>0</v>
      </c>
      <c r="K190" s="27">
        <f t="shared" si="17"/>
        <v>0</v>
      </c>
      <c r="L190" s="25" t="s">
        <v>68</v>
      </c>
      <c r="M190" s="25"/>
      <c r="N190" s="25"/>
      <c r="O190" s="25"/>
      <c r="P190" s="28">
        <f t="shared" si="18"/>
        <v>46287</v>
      </c>
      <c r="Q190" s="25" t="s">
        <v>132</v>
      </c>
      <c r="R190" s="25">
        <v>75</v>
      </c>
      <c r="S190" s="25" t="s">
        <v>70</v>
      </c>
      <c r="T190" s="25" t="str">
        <f t="shared" si="19"/>
        <v/>
      </c>
      <c r="U190" t="str">
        <f>IF(AND(L190="Para Programar",G190&gt;0),COUNTIFS($L$5:L190,"Para Programar",$G$5:G190,"&gt;0"),"")</f>
        <v/>
      </c>
      <c r="W190" t="str">
        <f t="shared" si="20"/>
        <v>N12 - N20|10 Relleno -0,60 - Humectación</v>
      </c>
      <c r="X190">
        <v>0</v>
      </c>
    </row>
    <row r="191" spans="1:24">
      <c r="A191" s="23" t="s">
        <v>106</v>
      </c>
      <c r="B191" s="24" t="s">
        <v>131</v>
      </c>
      <c r="C191" s="25" t="s">
        <v>107</v>
      </c>
      <c r="D191" s="23" t="s">
        <v>67</v>
      </c>
      <c r="E191" s="23">
        <v>98</v>
      </c>
      <c r="F191" s="23">
        <f>IF(E191="","",MIN(E191,$X191+SUMIFS('05_Parte_Diario'!$H$5:$H$204,'05_Parte_Diario'!$D$5:$D$204,B191,'05_Parte_Diario'!$E$5:$E$204,C191)))</f>
        <v>0</v>
      </c>
      <c r="G191" s="23">
        <f t="shared" si="14"/>
        <v>98</v>
      </c>
      <c r="H191" s="26">
        <f t="shared" si="15"/>
        <v>0</v>
      </c>
      <c r="I191" s="26">
        <f>IF(OR(B191="",C191="",$V$1=""),"",MIN(E191,SUMIFS('03_Planificacion'!$G$99:$G$178,'03_Planificacion'!$E$99:$E$178,B191,'03_Planificacion'!$F$99:$F$178,C191,'03_Planificacion'!$D$99:$D$178,"&lt;="&amp;$V$1)))</f>
        <v>0</v>
      </c>
      <c r="J191" s="26">
        <f t="shared" si="16"/>
        <v>0</v>
      </c>
      <c r="K191" s="27">
        <f t="shared" si="17"/>
        <v>0</v>
      </c>
      <c r="L191" s="25" t="s">
        <v>68</v>
      </c>
      <c r="M191" s="25"/>
      <c r="N191" s="25"/>
      <c r="O191" s="25"/>
      <c r="P191" s="28">
        <f t="shared" si="18"/>
        <v>46287</v>
      </c>
      <c r="Q191" s="25" t="s">
        <v>132</v>
      </c>
      <c r="R191" s="25">
        <v>75</v>
      </c>
      <c r="S191" s="25" t="s">
        <v>70</v>
      </c>
      <c r="T191" s="25" t="str">
        <f t="shared" si="19"/>
        <v/>
      </c>
      <c r="U191" t="str">
        <f>IF(AND(L191="Para Programar",G191&gt;0),COUNTIFS($L$5:L191,"Para Programar",$G$5:G191,"&gt;0"),"")</f>
        <v/>
      </c>
      <c r="W191" t="str">
        <f t="shared" si="20"/>
        <v>N12 - N20|10 Relleno -0,60 - Compactación</v>
      </c>
      <c r="X191">
        <v>0</v>
      </c>
    </row>
    <row r="192" spans="1:24">
      <c r="A192" s="23" t="s">
        <v>108</v>
      </c>
      <c r="B192" s="24" t="s">
        <v>131</v>
      </c>
      <c r="C192" s="25" t="s">
        <v>109</v>
      </c>
      <c r="D192" s="23" t="s">
        <v>81</v>
      </c>
      <c r="E192" s="23">
        <v>1</v>
      </c>
      <c r="F192" s="23">
        <f>IF(E192="","",MIN(E192,$X192+SUMIFS('05_Parte_Diario'!$H$5:$H$204,'05_Parte_Diario'!$D$5:$D$204,B192,'05_Parte_Diario'!$E$5:$E$204,C192)))</f>
        <v>0</v>
      </c>
      <c r="G192" s="23">
        <f t="shared" si="14"/>
        <v>1</v>
      </c>
      <c r="H192" s="26">
        <f t="shared" si="15"/>
        <v>0</v>
      </c>
      <c r="I192" s="26">
        <f>IF(OR(B192="",C192="",$V$1=""),"",MIN(E192,SUMIFS('03_Planificacion'!$G$99:$G$178,'03_Planificacion'!$E$99:$E$178,B192,'03_Planificacion'!$F$99:$F$178,C192,'03_Planificacion'!$D$99:$D$178,"&lt;="&amp;$V$1)))</f>
        <v>0</v>
      </c>
      <c r="J192" s="26">
        <f t="shared" si="16"/>
        <v>0</v>
      </c>
      <c r="K192" s="27">
        <f t="shared" si="17"/>
        <v>0</v>
      </c>
      <c r="L192" s="25" t="s">
        <v>68</v>
      </c>
      <c r="M192" s="25"/>
      <c r="N192" s="25"/>
      <c r="O192" s="25"/>
      <c r="P192" s="28">
        <f t="shared" si="18"/>
        <v>46287</v>
      </c>
      <c r="Q192" s="25" t="s">
        <v>132</v>
      </c>
      <c r="R192" s="25">
        <v>75</v>
      </c>
      <c r="S192" s="25" t="s">
        <v>70</v>
      </c>
      <c r="T192" s="25" t="str">
        <f t="shared" si="19"/>
        <v/>
      </c>
      <c r="U192" t="str">
        <f>IF(AND(L192="Para Programar",G192&gt;0),COUNTIFS($L$5:L192,"Para Programar",$G$5:G192,"&gt;0"),"")</f>
        <v/>
      </c>
      <c r="W192" t="str">
        <f t="shared" si="20"/>
        <v>N12 - N20|10 Relleno -0,60 - Inspección laboratorio</v>
      </c>
      <c r="X192">
        <v>0</v>
      </c>
    </row>
    <row r="193" spans="1:24">
      <c r="A193" s="23" t="s">
        <v>110</v>
      </c>
      <c r="B193" s="24" t="s">
        <v>131</v>
      </c>
      <c r="C193" s="25" t="s">
        <v>111</v>
      </c>
      <c r="D193" s="23" t="s">
        <v>67</v>
      </c>
      <c r="E193" s="23">
        <v>98</v>
      </c>
      <c r="F193" s="23">
        <f>IF(E193="","",MIN(E193,$X193+SUMIFS('05_Parte_Diario'!$H$5:$H$204,'05_Parte_Diario'!$D$5:$D$204,B193,'05_Parte_Diario'!$E$5:$E$204,C193)))</f>
        <v>0</v>
      </c>
      <c r="G193" s="23">
        <f t="shared" si="14"/>
        <v>98</v>
      </c>
      <c r="H193" s="26">
        <f t="shared" si="15"/>
        <v>0</v>
      </c>
      <c r="I193" s="26">
        <f>IF(OR(B193="",C193="",$V$1=""),"",MIN(E193,SUMIFS('03_Planificacion'!$G$99:$G$178,'03_Planificacion'!$E$99:$E$178,B193,'03_Planificacion'!$F$99:$F$178,C193,'03_Planificacion'!$D$99:$D$178,"&lt;="&amp;$V$1)))</f>
        <v>0</v>
      </c>
      <c r="J193" s="26">
        <f t="shared" si="16"/>
        <v>0</v>
      </c>
      <c r="K193" s="27">
        <f t="shared" si="17"/>
        <v>0</v>
      </c>
      <c r="L193" s="25" t="s">
        <v>68</v>
      </c>
      <c r="M193" s="25"/>
      <c r="N193" s="25"/>
      <c r="O193" s="25"/>
      <c r="P193" s="28">
        <f t="shared" si="18"/>
        <v>46287</v>
      </c>
      <c r="Q193" s="25" t="s">
        <v>132</v>
      </c>
      <c r="R193" s="25">
        <v>75</v>
      </c>
      <c r="S193" s="25" t="s">
        <v>70</v>
      </c>
      <c r="T193" s="25" t="str">
        <f t="shared" si="19"/>
        <v/>
      </c>
      <c r="U193" t="str">
        <f>IF(AND(L193="Para Programar",G193&gt;0),COUNTIFS($L$5:L193,"Para Programar",$G$5:G193,"&gt;0"),"")</f>
        <v/>
      </c>
      <c r="W193" t="str">
        <f t="shared" si="20"/>
        <v>N12 - N20|11 Relleno -0,30 - Conformación de capa</v>
      </c>
      <c r="X193">
        <v>0</v>
      </c>
    </row>
    <row r="194" spans="1:24">
      <c r="A194" s="23" t="s">
        <v>112</v>
      </c>
      <c r="B194" s="24" t="s">
        <v>131</v>
      </c>
      <c r="C194" s="25" t="s">
        <v>113</v>
      </c>
      <c r="D194" s="23" t="s">
        <v>67</v>
      </c>
      <c r="E194" s="23">
        <v>98</v>
      </c>
      <c r="F194" s="23">
        <f>IF(E194="","",MIN(E194,$X194+SUMIFS('05_Parte_Diario'!$H$5:$H$204,'05_Parte_Diario'!$D$5:$D$204,B194,'05_Parte_Diario'!$E$5:$E$204,C194)))</f>
        <v>0</v>
      </c>
      <c r="G194" s="23">
        <f t="shared" si="14"/>
        <v>98</v>
      </c>
      <c r="H194" s="26">
        <f t="shared" si="15"/>
        <v>0</v>
      </c>
      <c r="I194" s="26">
        <f>IF(OR(B194="",C194="",$V$1=""),"",MIN(E194,SUMIFS('03_Planificacion'!$G$99:$G$178,'03_Planificacion'!$E$99:$E$178,B194,'03_Planificacion'!$F$99:$F$178,C194,'03_Planificacion'!$D$99:$D$178,"&lt;="&amp;$V$1)))</f>
        <v>0</v>
      </c>
      <c r="J194" s="26">
        <f t="shared" si="16"/>
        <v>0</v>
      </c>
      <c r="K194" s="27">
        <f t="shared" si="17"/>
        <v>0</v>
      </c>
      <c r="L194" s="25" t="s">
        <v>68</v>
      </c>
      <c r="M194" s="25"/>
      <c r="N194" s="25"/>
      <c r="O194" s="25"/>
      <c r="P194" s="28">
        <f t="shared" si="18"/>
        <v>46287</v>
      </c>
      <c r="Q194" s="25" t="s">
        <v>132</v>
      </c>
      <c r="R194" s="25">
        <v>75</v>
      </c>
      <c r="S194" s="25" t="s">
        <v>70</v>
      </c>
      <c r="T194" s="25" t="str">
        <f t="shared" si="19"/>
        <v/>
      </c>
      <c r="U194" t="str">
        <f>IF(AND(L194="Para Programar",G194&gt;0),COUNTIFS($L$5:L194,"Para Programar",$G$5:G194,"&gt;0"),"")</f>
        <v/>
      </c>
      <c r="W194" t="str">
        <f t="shared" si="20"/>
        <v>N12 - N20|11 Relleno -0,30 - Humectación</v>
      </c>
      <c r="X194">
        <v>0</v>
      </c>
    </row>
    <row r="195" spans="1:24">
      <c r="A195" s="23" t="s">
        <v>114</v>
      </c>
      <c r="B195" s="24" t="s">
        <v>131</v>
      </c>
      <c r="C195" s="25" t="s">
        <v>115</v>
      </c>
      <c r="D195" s="23" t="s">
        <v>67</v>
      </c>
      <c r="E195" s="23">
        <v>98</v>
      </c>
      <c r="F195" s="23">
        <f>IF(E195="","",MIN(E195,$X195+SUMIFS('05_Parte_Diario'!$H$5:$H$204,'05_Parte_Diario'!$D$5:$D$204,B195,'05_Parte_Diario'!$E$5:$E$204,C195)))</f>
        <v>0</v>
      </c>
      <c r="G195" s="23">
        <f t="shared" si="14"/>
        <v>98</v>
      </c>
      <c r="H195" s="26">
        <f t="shared" si="15"/>
        <v>0</v>
      </c>
      <c r="I195" s="26">
        <f>IF(OR(B195="",C195="",$V$1=""),"",MIN(E195,SUMIFS('03_Planificacion'!$G$99:$G$178,'03_Planificacion'!$E$99:$E$178,B195,'03_Planificacion'!$F$99:$F$178,C195,'03_Planificacion'!$D$99:$D$178,"&lt;="&amp;$V$1)))</f>
        <v>0</v>
      </c>
      <c r="J195" s="26">
        <f t="shared" si="16"/>
        <v>0</v>
      </c>
      <c r="K195" s="27">
        <f t="shared" si="17"/>
        <v>0</v>
      </c>
      <c r="L195" s="25" t="s">
        <v>68</v>
      </c>
      <c r="M195" s="25"/>
      <c r="N195" s="25"/>
      <c r="O195" s="25"/>
      <c r="P195" s="28">
        <f t="shared" si="18"/>
        <v>46287</v>
      </c>
      <c r="Q195" s="25" t="s">
        <v>132</v>
      </c>
      <c r="R195" s="25">
        <v>75</v>
      </c>
      <c r="S195" s="25" t="s">
        <v>70</v>
      </c>
      <c r="T195" s="25" t="str">
        <f t="shared" si="19"/>
        <v/>
      </c>
      <c r="U195" t="str">
        <f>IF(AND(L195="Para Programar",G195&gt;0),COUNTIFS($L$5:L195,"Para Programar",$G$5:G195,"&gt;0"),"")</f>
        <v/>
      </c>
      <c r="W195" t="str">
        <f t="shared" si="20"/>
        <v>N12 - N20|11 Relleno -0,30 - Compactación</v>
      </c>
      <c r="X195">
        <v>0</v>
      </c>
    </row>
    <row r="196" spans="1:24">
      <c r="A196" s="23" t="s">
        <v>116</v>
      </c>
      <c r="B196" s="24" t="s">
        <v>131</v>
      </c>
      <c r="C196" s="25" t="s">
        <v>117</v>
      </c>
      <c r="D196" s="23" t="s">
        <v>81</v>
      </c>
      <c r="E196" s="23">
        <v>1</v>
      </c>
      <c r="F196" s="23">
        <f>IF(E196="","",MIN(E196,$X196+SUMIFS('05_Parte_Diario'!$H$5:$H$204,'05_Parte_Diario'!$D$5:$D$204,B196,'05_Parte_Diario'!$E$5:$E$204,C196)))</f>
        <v>0</v>
      </c>
      <c r="G196" s="23">
        <f t="shared" si="14"/>
        <v>1</v>
      </c>
      <c r="H196" s="26">
        <f t="shared" si="15"/>
        <v>0</v>
      </c>
      <c r="I196" s="26">
        <f>IF(OR(B196="",C196="",$V$1=""),"",MIN(E196,SUMIFS('03_Planificacion'!$G$99:$G$178,'03_Planificacion'!$E$99:$E$178,B196,'03_Planificacion'!$F$99:$F$178,C196,'03_Planificacion'!$D$99:$D$178,"&lt;="&amp;$V$1)))</f>
        <v>0</v>
      </c>
      <c r="J196" s="26">
        <f t="shared" si="16"/>
        <v>0</v>
      </c>
      <c r="K196" s="27">
        <f t="shared" si="17"/>
        <v>0</v>
      </c>
      <c r="L196" s="25" t="s">
        <v>68</v>
      </c>
      <c r="M196" s="25"/>
      <c r="N196" s="25"/>
      <c r="O196" s="25"/>
      <c r="P196" s="28">
        <f t="shared" si="18"/>
        <v>46287</v>
      </c>
      <c r="Q196" s="25" t="s">
        <v>132</v>
      </c>
      <c r="R196" s="25">
        <v>75</v>
      </c>
      <c r="S196" s="25" t="s">
        <v>70</v>
      </c>
      <c r="T196" s="25" t="str">
        <f t="shared" si="19"/>
        <v/>
      </c>
      <c r="U196" t="str">
        <f>IF(AND(L196="Para Programar",G196&gt;0),COUNTIFS($L$5:L196,"Para Programar",$G$5:G196,"&gt;0"),"")</f>
        <v/>
      </c>
      <c r="W196" t="str">
        <f t="shared" si="20"/>
        <v>N12 - N20|11 Relleno -0,30 - Inspección laboratorio</v>
      </c>
      <c r="X196">
        <v>0</v>
      </c>
    </row>
    <row r="197" spans="1:24">
      <c r="A197" s="23" t="s">
        <v>64</v>
      </c>
      <c r="B197" s="24" t="s">
        <v>134</v>
      </c>
      <c r="C197" s="25" t="s">
        <v>66</v>
      </c>
      <c r="D197" s="23" t="s">
        <v>67</v>
      </c>
      <c r="E197" s="23">
        <v>78</v>
      </c>
      <c r="F197" s="23">
        <f>IF(E197="","",MIN(E197,$X197+SUMIFS('05_Parte_Diario'!$H$5:$H$204,'05_Parte_Diario'!$D$5:$D$204,B197,'05_Parte_Diario'!$E$5:$E$204,C197)))</f>
        <v>78</v>
      </c>
      <c r="G197" s="23">
        <f t="shared" ref="G197:G260" si="21">IF(E197="","",MAX(E197-F197,0))</f>
        <v>0</v>
      </c>
      <c r="H197" s="26">
        <f t="shared" ref="H197:H260" si="22">IFERROR(F197/E197,0)</f>
        <v>1</v>
      </c>
      <c r="I197" s="26">
        <f>IF(OR(B197="",C197="",$V$1=""),"",MIN(E197,SUMIFS('03_Planificacion'!$G$99:$G$178,'03_Planificacion'!$E$99:$E$178,B197,'03_Planificacion'!$F$99:$F$178,C197,'03_Planificacion'!$D$99:$D$178,"&lt;="&amp;$V$1)))</f>
        <v>0</v>
      </c>
      <c r="J197" s="26">
        <f t="shared" ref="J197:J260" si="23">IFERROR(I197/E197,0)</f>
        <v>0</v>
      </c>
      <c r="K197" s="27">
        <f t="shared" ref="K197:K260" si="24">IF(OR(E197="",$V$1=""),"",H197-J197)</f>
        <v>1</v>
      </c>
      <c r="L197" s="25" t="s">
        <v>123</v>
      </c>
      <c r="M197" s="25"/>
      <c r="N197" s="25"/>
      <c r="O197" s="25"/>
      <c r="P197" s="28">
        <f t="shared" ref="P197:P260" si="25">IF(A197="","",$V$1)</f>
        <v>46287</v>
      </c>
      <c r="Q197" s="25" t="s">
        <v>135</v>
      </c>
      <c r="R197" s="25">
        <v>75</v>
      </c>
      <c r="S197" s="25" t="s">
        <v>70</v>
      </c>
      <c r="T197" s="25" t="str">
        <f t="shared" ref="T197:T260" si="26">IF(A197="","",IF(AND(L197="Para Programar",G197=0),"INCONSISTENCIA - REVISAR MANUALMENTE: Para Programar sin saldo",IF(AND(L197="Terminada",G197&gt;0),"INCONSISTENCIA - REVISAR MANUALMENTE: Terminada con saldo","")))</f>
        <v/>
      </c>
      <c r="U197" t="str">
        <f>IF(AND(L197="Para Programar",G197&gt;0),COUNTIFS($L$5:L197,"Para Programar",$G$5:G197,"&gt;0"),"")</f>
        <v/>
      </c>
      <c r="W197" t="str">
        <f t="shared" ref="W197:W260" si="27">IF(OR(B197="",C197=""),"",B197&amp;"|"&amp;C197)</f>
        <v>N13 - N23|01 Replanteo - Marcación de tramo de cañería principal</v>
      </c>
      <c r="X197">
        <v>78</v>
      </c>
    </row>
    <row r="198" spans="1:24">
      <c r="A198" s="23" t="s">
        <v>71</v>
      </c>
      <c r="B198" s="24" t="s">
        <v>134</v>
      </c>
      <c r="C198" s="25" t="s">
        <v>72</v>
      </c>
      <c r="D198" s="23" t="s">
        <v>67</v>
      </c>
      <c r="E198" s="23">
        <v>78</v>
      </c>
      <c r="F198" s="23">
        <f>IF(E198="","",MIN(E198,$X198+SUMIFS('05_Parte_Diario'!$H$5:$H$204,'05_Parte_Diario'!$D$5:$D$204,B198,'05_Parte_Diario'!$E$5:$E$204,C198)))</f>
        <v>78</v>
      </c>
      <c r="G198" s="23">
        <f t="shared" si="21"/>
        <v>0</v>
      </c>
      <c r="H198" s="26">
        <f t="shared" si="22"/>
        <v>1</v>
      </c>
      <c r="I198" s="26">
        <f>IF(OR(B198="",C198="",$V$1=""),"",MIN(E198,SUMIFS('03_Planificacion'!$G$99:$G$178,'03_Planificacion'!$E$99:$E$178,B198,'03_Planificacion'!$F$99:$F$178,C198,'03_Planificacion'!$D$99:$D$178,"&lt;="&amp;$V$1)))</f>
        <v>0</v>
      </c>
      <c r="J198" s="26">
        <f t="shared" si="23"/>
        <v>0</v>
      </c>
      <c r="K198" s="27">
        <f t="shared" si="24"/>
        <v>1</v>
      </c>
      <c r="L198" s="25" t="s">
        <v>123</v>
      </c>
      <c r="M198" s="25"/>
      <c r="N198" s="25"/>
      <c r="O198" s="25"/>
      <c r="P198" s="28">
        <f t="shared" si="25"/>
        <v>46287</v>
      </c>
      <c r="Q198" s="25" t="s">
        <v>135</v>
      </c>
      <c r="R198" s="25">
        <v>75</v>
      </c>
      <c r="S198" s="25" t="s">
        <v>70</v>
      </c>
      <c r="T198" s="25" t="str">
        <f t="shared" si="26"/>
        <v/>
      </c>
      <c r="U198" t="str">
        <f>IF(AND(L198="Para Programar",G198&gt;0),COUNTIFS($L$5:L198,"Para Programar",$G$5:G198,"&gt;0"),"")</f>
        <v/>
      </c>
      <c r="W198" t="str">
        <f t="shared" si="27"/>
        <v>N13 - N23|02 Excavación - Zanja principal</v>
      </c>
      <c r="X198">
        <v>78</v>
      </c>
    </row>
    <row r="199" spans="1:24">
      <c r="A199" s="23" t="s">
        <v>73</v>
      </c>
      <c r="B199" s="24" t="s">
        <v>134</v>
      </c>
      <c r="C199" s="25" t="s">
        <v>74</v>
      </c>
      <c r="D199" s="23" t="s">
        <v>67</v>
      </c>
      <c r="E199" s="23">
        <v>78</v>
      </c>
      <c r="F199" s="23">
        <f>IF(E199="","",MIN(E199,$X199+SUMIFS('05_Parte_Diario'!$H$5:$H$204,'05_Parte_Diario'!$D$5:$D$204,B199,'05_Parte_Diario'!$E$5:$E$204,C199)))</f>
        <v>78</v>
      </c>
      <c r="G199" s="23">
        <f t="shared" si="21"/>
        <v>0</v>
      </c>
      <c r="H199" s="26">
        <f t="shared" si="22"/>
        <v>1</v>
      </c>
      <c r="I199" s="26">
        <f>IF(OR(B199="",C199="",$V$1=""),"",MIN(E199,SUMIFS('03_Planificacion'!$G$99:$G$178,'03_Planificacion'!$E$99:$E$178,B199,'03_Planificacion'!$F$99:$F$178,C199,'03_Planificacion'!$D$99:$D$178,"&lt;="&amp;$V$1)))</f>
        <v>0</v>
      </c>
      <c r="J199" s="26">
        <f t="shared" si="23"/>
        <v>0</v>
      </c>
      <c r="K199" s="27">
        <f t="shared" si="24"/>
        <v>1</v>
      </c>
      <c r="L199" s="25" t="s">
        <v>123</v>
      </c>
      <c r="M199" s="25"/>
      <c r="N199" s="25"/>
      <c r="O199" s="25"/>
      <c r="P199" s="28">
        <f t="shared" si="25"/>
        <v>46287</v>
      </c>
      <c r="Q199" s="25" t="s">
        <v>135</v>
      </c>
      <c r="R199" s="25">
        <v>75</v>
      </c>
      <c r="S199" s="25" t="s">
        <v>70</v>
      </c>
      <c r="T199" s="25" t="str">
        <f t="shared" si="26"/>
        <v/>
      </c>
      <c r="U199" t="str">
        <f>IF(AND(L199="Para Programar",G199&gt;0),COUNTIFS($L$5:L199,"Para Programar",$G$5:G199,"&gt;0"),"")</f>
        <v/>
      </c>
      <c r="W199" t="str">
        <f t="shared" si="27"/>
        <v>N13 - N23|03 Base de asiento - Nivelación de fondo de zanja</v>
      </c>
      <c r="X199">
        <v>78</v>
      </c>
    </row>
    <row r="200" spans="1:24">
      <c r="A200" s="23" t="s">
        <v>75</v>
      </c>
      <c r="B200" s="24" t="s">
        <v>134</v>
      </c>
      <c r="C200" s="25" t="s">
        <v>76</v>
      </c>
      <c r="D200" s="23" t="s">
        <v>67</v>
      </c>
      <c r="E200" s="23">
        <v>78</v>
      </c>
      <c r="F200" s="23">
        <f>IF(E200="","",MIN(E200,$X200+SUMIFS('05_Parte_Diario'!$H$5:$H$204,'05_Parte_Diario'!$D$5:$D$204,B200,'05_Parte_Diario'!$E$5:$E$204,C200)))</f>
        <v>78</v>
      </c>
      <c r="G200" s="23">
        <f t="shared" si="21"/>
        <v>0</v>
      </c>
      <c r="H200" s="26">
        <f t="shared" si="22"/>
        <v>1</v>
      </c>
      <c r="I200" s="26">
        <f>IF(OR(B200="",C200="",$V$1=""),"",MIN(E200,SUMIFS('03_Planificacion'!$G$99:$G$178,'03_Planificacion'!$E$99:$E$178,B200,'03_Planificacion'!$F$99:$F$178,C200,'03_Planificacion'!$D$99:$D$178,"&lt;="&amp;$V$1)))</f>
        <v>0</v>
      </c>
      <c r="J200" s="26">
        <f t="shared" si="23"/>
        <v>0</v>
      </c>
      <c r="K200" s="27">
        <f t="shared" si="24"/>
        <v>1</v>
      </c>
      <c r="L200" s="25" t="s">
        <v>123</v>
      </c>
      <c r="M200" s="25"/>
      <c r="N200" s="25"/>
      <c r="O200" s="25"/>
      <c r="P200" s="28">
        <f t="shared" si="25"/>
        <v>46287</v>
      </c>
      <c r="Q200" s="25" t="s">
        <v>135</v>
      </c>
      <c r="R200" s="25">
        <v>75</v>
      </c>
      <c r="S200" s="25" t="s">
        <v>70</v>
      </c>
      <c r="T200" s="25" t="str">
        <f t="shared" si="26"/>
        <v/>
      </c>
      <c r="U200" t="str">
        <f>IF(AND(L200="Para Programar",G200&gt;0),COUNTIFS($L$5:L200,"Para Programar",$G$5:G200,"&gt;0"),"")</f>
        <v/>
      </c>
      <c r="W200" t="str">
        <f t="shared" si="27"/>
        <v>N13 - N23|03 Base de asiento - Aporte de material base e=0,10 m</v>
      </c>
      <c r="X200">
        <v>78</v>
      </c>
    </row>
    <row r="201" spans="1:24">
      <c r="A201" s="23" t="s">
        <v>77</v>
      </c>
      <c r="B201" s="24" t="s">
        <v>134</v>
      </c>
      <c r="C201" s="25" t="s">
        <v>78</v>
      </c>
      <c r="D201" s="23" t="s">
        <v>67</v>
      </c>
      <c r="E201" s="23">
        <v>78</v>
      </c>
      <c r="F201" s="23">
        <f>IF(E201="","",MIN(E201,$X201+SUMIFS('05_Parte_Diario'!$H$5:$H$204,'05_Parte_Diario'!$D$5:$D$204,B201,'05_Parte_Diario'!$E$5:$E$204,C201)))</f>
        <v>0</v>
      </c>
      <c r="G201" s="23">
        <f t="shared" si="21"/>
        <v>78</v>
      </c>
      <c r="H201" s="26">
        <f t="shared" si="22"/>
        <v>0</v>
      </c>
      <c r="I201" s="26">
        <f>IF(OR(B201="",C201="",$V$1=""),"",MIN(E201,SUMIFS('03_Planificacion'!$G$99:$G$178,'03_Planificacion'!$E$99:$E$178,B201,'03_Planificacion'!$F$99:$F$178,C201,'03_Planificacion'!$D$99:$D$178,"&lt;="&amp;$V$1)))</f>
        <v>0</v>
      </c>
      <c r="J201" s="26">
        <f t="shared" si="23"/>
        <v>0</v>
      </c>
      <c r="K201" s="27">
        <f t="shared" si="24"/>
        <v>0</v>
      </c>
      <c r="L201" s="25" t="s">
        <v>12</v>
      </c>
      <c r="M201" s="25"/>
      <c r="N201" s="25"/>
      <c r="O201" s="25"/>
      <c r="P201" s="28">
        <f t="shared" si="25"/>
        <v>46287</v>
      </c>
      <c r="Q201" s="25" t="s">
        <v>135</v>
      </c>
      <c r="R201" s="25">
        <v>75</v>
      </c>
      <c r="S201" s="25" t="s">
        <v>70</v>
      </c>
      <c r="T201" s="25" t="str">
        <f t="shared" si="26"/>
        <v/>
      </c>
      <c r="U201">
        <f>IF(AND(L201="Para Programar",G201&gt;0),COUNTIFS($L$5:L201,"Para Programar",$G$5:G201,"&gt;0"),"")</f>
        <v>12</v>
      </c>
      <c r="W201" t="str">
        <f t="shared" si="27"/>
        <v>N13 - N23|03 Base de asiento - Compactación</v>
      </c>
      <c r="X201">
        <v>0</v>
      </c>
    </row>
    <row r="202" spans="1:24">
      <c r="A202" s="23" t="s">
        <v>79</v>
      </c>
      <c r="B202" s="24" t="s">
        <v>134</v>
      </c>
      <c r="C202" s="25" t="s">
        <v>80</v>
      </c>
      <c r="D202" s="23" t="s">
        <v>81</v>
      </c>
      <c r="E202" s="23">
        <v>1</v>
      </c>
      <c r="F202" s="23">
        <f>IF(E202="","",MIN(E202,$X202+SUMIFS('05_Parte_Diario'!$H$5:$H$204,'05_Parte_Diario'!$D$5:$D$204,B202,'05_Parte_Diario'!$E$5:$E$204,C202)))</f>
        <v>0</v>
      </c>
      <c r="G202" s="23">
        <f t="shared" si="21"/>
        <v>1</v>
      </c>
      <c r="H202" s="26">
        <f t="shared" si="22"/>
        <v>0</v>
      </c>
      <c r="I202" s="26">
        <f>IF(OR(B202="",C202="",$V$1=""),"",MIN(E202,SUMIFS('03_Planificacion'!$G$99:$G$178,'03_Planificacion'!$E$99:$E$178,B202,'03_Planificacion'!$F$99:$F$178,C202,'03_Planificacion'!$D$99:$D$178,"&lt;="&amp;$V$1)))</f>
        <v>0</v>
      </c>
      <c r="J202" s="26">
        <f t="shared" si="23"/>
        <v>0</v>
      </c>
      <c r="K202" s="27">
        <f t="shared" si="24"/>
        <v>0</v>
      </c>
      <c r="L202" s="25" t="s">
        <v>12</v>
      </c>
      <c r="M202" s="25"/>
      <c r="N202" s="25"/>
      <c r="O202" s="25"/>
      <c r="P202" s="28">
        <f t="shared" si="25"/>
        <v>46287</v>
      </c>
      <c r="Q202" s="25" t="s">
        <v>135</v>
      </c>
      <c r="R202" s="25">
        <v>75</v>
      </c>
      <c r="S202" s="25" t="s">
        <v>70</v>
      </c>
      <c r="T202" s="25" t="str">
        <f t="shared" si="26"/>
        <v/>
      </c>
      <c r="U202">
        <f>IF(AND(L202="Para Programar",G202&gt;0),COUNTIFS($L$5:L202,"Para Programar",$G$5:G202,"&gt;0"),"")</f>
        <v>13</v>
      </c>
      <c r="W202" t="str">
        <f t="shared" si="27"/>
        <v>N13 - N23|04 Inspecciones previas - Laboratorio base de asiento</v>
      </c>
      <c r="X202">
        <v>0</v>
      </c>
    </row>
    <row r="203" spans="1:24">
      <c r="A203" s="23" t="s">
        <v>82</v>
      </c>
      <c r="B203" s="24" t="s">
        <v>134</v>
      </c>
      <c r="C203" s="25" t="s">
        <v>83</v>
      </c>
      <c r="D203" s="23" t="s">
        <v>81</v>
      </c>
      <c r="E203" s="23">
        <v>1</v>
      </c>
      <c r="F203" s="23">
        <f>IF(E203="","",MIN(E203,$X203+SUMIFS('05_Parte_Diario'!$H$5:$H$204,'05_Parte_Diario'!$D$5:$D$204,B203,'05_Parte_Diario'!$E$5:$E$204,C203)))</f>
        <v>0</v>
      </c>
      <c r="G203" s="23">
        <f t="shared" si="21"/>
        <v>1</v>
      </c>
      <c r="H203" s="26">
        <f t="shared" si="22"/>
        <v>0</v>
      </c>
      <c r="I203" s="26">
        <f>IF(OR(B203="",C203="",$V$1=""),"",MIN(E203,SUMIFS('03_Planificacion'!$G$99:$G$178,'03_Planificacion'!$E$99:$E$178,B203,'03_Planificacion'!$F$99:$F$178,C203,'03_Planificacion'!$D$99:$D$178,"&lt;="&amp;$V$1)))</f>
        <v>0</v>
      </c>
      <c r="J203" s="26">
        <f t="shared" si="23"/>
        <v>0</v>
      </c>
      <c r="K203" s="27">
        <f t="shared" si="24"/>
        <v>0</v>
      </c>
      <c r="L203" s="25" t="s">
        <v>12</v>
      </c>
      <c r="M203" s="25"/>
      <c r="N203" s="25"/>
      <c r="O203" s="25"/>
      <c r="P203" s="28">
        <f t="shared" si="25"/>
        <v>46287</v>
      </c>
      <c r="Q203" s="25" t="s">
        <v>135</v>
      </c>
      <c r="R203" s="25">
        <v>75</v>
      </c>
      <c r="S203" s="25" t="s">
        <v>70</v>
      </c>
      <c r="T203" s="25" t="str">
        <f t="shared" si="26"/>
        <v/>
      </c>
      <c r="U203">
        <f>IF(AND(L203="Para Programar",G203&gt;0),COUNTIFS($L$5:L203,"Para Programar",$G$5:G203,"&gt;0"),"")</f>
        <v>14</v>
      </c>
      <c r="W203" t="str">
        <f t="shared" si="27"/>
        <v>N13 - N23|04 Inspecciones previas - Zanja y materiales</v>
      </c>
      <c r="X203">
        <v>0</v>
      </c>
    </row>
    <row r="204" spans="1:24">
      <c r="A204" s="23" t="s">
        <v>84</v>
      </c>
      <c r="B204" s="24" t="s">
        <v>134</v>
      </c>
      <c r="C204" s="25" t="s">
        <v>85</v>
      </c>
      <c r="D204" s="23" t="s">
        <v>67</v>
      </c>
      <c r="E204" s="23">
        <v>78</v>
      </c>
      <c r="F204" s="23">
        <f>IF(E204="","",MIN(E204,$X204+SUMIFS('05_Parte_Diario'!$H$5:$H$204,'05_Parte_Diario'!$D$5:$D$204,B204,'05_Parte_Diario'!$E$5:$E$204,C204)))</f>
        <v>0</v>
      </c>
      <c r="G204" s="23">
        <f t="shared" si="21"/>
        <v>78</v>
      </c>
      <c r="H204" s="26">
        <f t="shared" si="22"/>
        <v>0</v>
      </c>
      <c r="I204" s="26">
        <f>IF(OR(B204="",C204="",$V$1=""),"",MIN(E204,SUMIFS('03_Planificacion'!$G$99:$G$178,'03_Planificacion'!$E$99:$E$178,B204,'03_Planificacion'!$F$99:$F$178,C204,'03_Planificacion'!$D$99:$D$178,"&lt;="&amp;$V$1)))</f>
        <v>0</v>
      </c>
      <c r="J204" s="26">
        <f t="shared" si="23"/>
        <v>0</v>
      </c>
      <c r="K204" s="27">
        <f t="shared" si="24"/>
        <v>0</v>
      </c>
      <c r="L204" s="25" t="s">
        <v>12</v>
      </c>
      <c r="M204" s="25"/>
      <c r="N204" s="25"/>
      <c r="O204" s="25"/>
      <c r="P204" s="28">
        <f t="shared" si="25"/>
        <v>46287</v>
      </c>
      <c r="Q204" s="25" t="s">
        <v>135</v>
      </c>
      <c r="R204" s="25">
        <v>75</v>
      </c>
      <c r="S204" s="25" t="s">
        <v>70</v>
      </c>
      <c r="T204" s="25" t="str">
        <f t="shared" si="26"/>
        <v/>
      </c>
      <c r="U204">
        <f>IF(AND(L204="Para Programar",G204&gt;0),COUNTIFS($L$5:L204,"Para Programar",$G$5:G204,"&gt;0"),"")</f>
        <v>15</v>
      </c>
      <c r="W204" t="str">
        <f t="shared" si="27"/>
        <v>N13 - N23|05 Tendido de cañería - Cañería principal</v>
      </c>
      <c r="X204">
        <v>0</v>
      </c>
    </row>
    <row r="205" spans="1:24">
      <c r="A205" s="23" t="s">
        <v>86</v>
      </c>
      <c r="B205" s="24" t="s">
        <v>134</v>
      </c>
      <c r="C205" s="25" t="s">
        <v>87</v>
      </c>
      <c r="D205" s="23" t="s">
        <v>67</v>
      </c>
      <c r="E205" s="23">
        <v>78</v>
      </c>
      <c r="F205" s="23">
        <f>IF(E205="","",MIN(E205,$X205+SUMIFS('05_Parte_Diario'!$H$5:$H$204,'05_Parte_Diario'!$D$5:$D$204,B205,'05_Parte_Diario'!$E$5:$E$204,C205)))</f>
        <v>0</v>
      </c>
      <c r="G205" s="23">
        <f t="shared" si="21"/>
        <v>78</v>
      </c>
      <c r="H205" s="26">
        <f t="shared" si="22"/>
        <v>0</v>
      </c>
      <c r="I205" s="26">
        <f>IF(OR(B205="",C205="",$V$1=""),"",MIN(E205,SUMIFS('03_Planificacion'!$G$99:$G$178,'03_Planificacion'!$E$99:$E$178,B205,'03_Planificacion'!$F$99:$F$178,C205,'03_Planificacion'!$D$99:$D$178,"&lt;="&amp;$V$1)))</f>
        <v>0</v>
      </c>
      <c r="J205" s="26">
        <f t="shared" si="23"/>
        <v>0</v>
      </c>
      <c r="K205" s="27">
        <f t="shared" si="24"/>
        <v>0</v>
      </c>
      <c r="L205" s="25" t="s">
        <v>12</v>
      </c>
      <c r="M205" s="25"/>
      <c r="N205" s="25"/>
      <c r="O205" s="25"/>
      <c r="P205" s="28">
        <f t="shared" si="25"/>
        <v>46287</v>
      </c>
      <c r="Q205" s="25" t="s">
        <v>135</v>
      </c>
      <c r="R205" s="25">
        <v>75</v>
      </c>
      <c r="S205" s="25" t="s">
        <v>70</v>
      </c>
      <c r="T205" s="25" t="str">
        <f t="shared" si="26"/>
        <v/>
      </c>
      <c r="U205">
        <f>IF(AND(L205="Para Programar",G205&gt;0),COUNTIFS($L$5:L205,"Para Programar",$G$5:G205,"&gt;0"),"")</f>
        <v>16</v>
      </c>
      <c r="W205" t="str">
        <f t="shared" si="27"/>
        <v>N13 - N23|05 Tendido de cañería - Relevamiento planialtimétrico</v>
      </c>
      <c r="X205">
        <v>0</v>
      </c>
    </row>
    <row r="206" spans="1:24">
      <c r="A206" s="23" t="s">
        <v>88</v>
      </c>
      <c r="B206" s="24" t="s">
        <v>134</v>
      </c>
      <c r="C206" s="25" t="s">
        <v>89</v>
      </c>
      <c r="D206" s="23" t="s">
        <v>81</v>
      </c>
      <c r="E206" s="23">
        <v>1</v>
      </c>
      <c r="F206" s="23">
        <f>IF(E206="","",MIN(E206,$X206+SUMIFS('05_Parte_Diario'!$H$5:$H$204,'05_Parte_Diario'!$D$5:$D$204,B206,'05_Parte_Diario'!$E$5:$E$204,C206)))</f>
        <v>0</v>
      </c>
      <c r="G206" s="23">
        <f t="shared" si="21"/>
        <v>1</v>
      </c>
      <c r="H206" s="26">
        <f t="shared" si="22"/>
        <v>0</v>
      </c>
      <c r="I206" s="26">
        <f>IF(OR(B206="",C206="",$V$1=""),"",MIN(E206,SUMIFS('03_Planificacion'!$G$99:$G$178,'03_Planificacion'!$E$99:$E$178,B206,'03_Planificacion'!$F$99:$F$178,C206,'03_Planificacion'!$D$99:$D$178,"&lt;="&amp;$V$1)))</f>
        <v>0</v>
      </c>
      <c r="J206" s="26">
        <f t="shared" si="23"/>
        <v>0</v>
      </c>
      <c r="K206" s="27">
        <f t="shared" si="24"/>
        <v>0</v>
      </c>
      <c r="L206" s="25" t="s">
        <v>12</v>
      </c>
      <c r="M206" s="25"/>
      <c r="N206" s="25"/>
      <c r="O206" s="25"/>
      <c r="P206" s="28">
        <f t="shared" si="25"/>
        <v>46287</v>
      </c>
      <c r="Q206" s="25" t="s">
        <v>135</v>
      </c>
      <c r="R206" s="25">
        <v>75</v>
      </c>
      <c r="S206" s="25" t="s">
        <v>70</v>
      </c>
      <c r="T206" s="25" t="str">
        <f t="shared" si="26"/>
        <v/>
      </c>
      <c r="U206">
        <f>IF(AND(L206="Para Programar",G206&gt;0),COUNTIFS($L$5:L206,"Para Programar",$G$5:G206,"&gt;0"),"")</f>
        <v>17</v>
      </c>
      <c r="W206" t="str">
        <f t="shared" si="27"/>
        <v>N13 - N23|08 Prueba hidráulica - Preparación del sistema</v>
      </c>
      <c r="X206">
        <v>0</v>
      </c>
    </row>
    <row r="207" spans="1:24">
      <c r="A207" s="23" t="s">
        <v>90</v>
      </c>
      <c r="B207" s="24" t="s">
        <v>134</v>
      </c>
      <c r="C207" s="25" t="s">
        <v>91</v>
      </c>
      <c r="D207" s="23" t="s">
        <v>81</v>
      </c>
      <c r="E207" s="23">
        <v>1</v>
      </c>
      <c r="F207" s="23">
        <f>IF(E207="","",MIN(E207,$X207+SUMIFS('05_Parte_Diario'!$H$5:$H$204,'05_Parte_Diario'!$D$5:$D$204,B207,'05_Parte_Diario'!$E$5:$E$204,C207)))</f>
        <v>0</v>
      </c>
      <c r="G207" s="23">
        <f t="shared" si="21"/>
        <v>1</v>
      </c>
      <c r="H207" s="26">
        <f t="shared" si="22"/>
        <v>0</v>
      </c>
      <c r="I207" s="26">
        <f>IF(OR(B207="",C207="",$V$1=""),"",MIN(E207,SUMIFS('03_Planificacion'!$G$99:$G$178,'03_Planificacion'!$E$99:$E$178,B207,'03_Planificacion'!$F$99:$F$178,C207,'03_Planificacion'!$D$99:$D$178,"&lt;="&amp;$V$1)))</f>
        <v>0</v>
      </c>
      <c r="J207" s="26">
        <f t="shared" si="23"/>
        <v>0</v>
      </c>
      <c r="K207" s="27">
        <f t="shared" si="24"/>
        <v>0</v>
      </c>
      <c r="L207" s="25" t="s">
        <v>12</v>
      </c>
      <c r="M207" s="25"/>
      <c r="N207" s="25"/>
      <c r="O207" s="25"/>
      <c r="P207" s="28">
        <f t="shared" si="25"/>
        <v>46287</v>
      </c>
      <c r="Q207" s="25" t="s">
        <v>135</v>
      </c>
      <c r="R207" s="25">
        <v>75</v>
      </c>
      <c r="S207" s="25" t="s">
        <v>70</v>
      </c>
      <c r="T207" s="25" t="str">
        <f t="shared" si="26"/>
        <v/>
      </c>
      <c r="U207">
        <f>IF(AND(L207="Para Programar",G207&gt;0),COUNTIFS($L$5:L207,"Para Programar",$G$5:G207,"&gt;0"),"")</f>
        <v>18</v>
      </c>
      <c r="W207" t="str">
        <f t="shared" si="27"/>
        <v>N13 - N23|08 Prueba hidráulica - Interna N° 1</v>
      </c>
      <c r="X207">
        <v>0</v>
      </c>
    </row>
    <row r="208" spans="1:24">
      <c r="A208" s="23" t="s">
        <v>92</v>
      </c>
      <c r="B208" s="24" t="s">
        <v>134</v>
      </c>
      <c r="C208" s="25" t="s">
        <v>93</v>
      </c>
      <c r="D208" s="23" t="s">
        <v>81</v>
      </c>
      <c r="E208" s="23">
        <v>1</v>
      </c>
      <c r="F208" s="23">
        <f>IF(E208="","",MIN(E208,$X208+SUMIFS('05_Parte_Diario'!$H$5:$H$204,'05_Parte_Diario'!$D$5:$D$204,B208,'05_Parte_Diario'!$E$5:$E$204,C208)))</f>
        <v>0</v>
      </c>
      <c r="G208" s="23">
        <f t="shared" si="21"/>
        <v>1</v>
      </c>
      <c r="H208" s="26">
        <f t="shared" si="22"/>
        <v>0</v>
      </c>
      <c r="I208" s="26">
        <f>IF(OR(B208="",C208="",$V$1=""),"",MIN(E208,SUMIFS('03_Planificacion'!$G$99:$G$178,'03_Planificacion'!$E$99:$E$178,B208,'03_Planificacion'!$F$99:$F$178,C208,'03_Planificacion'!$D$99:$D$178,"&lt;="&amp;$V$1)))</f>
        <v>0</v>
      </c>
      <c r="J208" s="26">
        <f t="shared" si="23"/>
        <v>0</v>
      </c>
      <c r="K208" s="27">
        <f t="shared" si="24"/>
        <v>0</v>
      </c>
      <c r="L208" s="25" t="s">
        <v>12</v>
      </c>
      <c r="M208" s="25"/>
      <c r="N208" s="25"/>
      <c r="O208" s="25"/>
      <c r="P208" s="28">
        <f t="shared" si="25"/>
        <v>46287</v>
      </c>
      <c r="Q208" s="25" t="s">
        <v>135</v>
      </c>
      <c r="R208" s="25">
        <v>75</v>
      </c>
      <c r="S208" s="25" t="s">
        <v>70</v>
      </c>
      <c r="T208" s="25" t="str">
        <f t="shared" si="26"/>
        <v/>
      </c>
      <c r="U208">
        <f>IF(AND(L208="Para Programar",G208&gt;0),COUNTIFS($L$5:L208,"Para Programar",$G$5:G208,"&gt;0"),"")</f>
        <v>19</v>
      </c>
      <c r="W208" t="str">
        <f t="shared" si="27"/>
        <v>N13 - N23|08 Prueba hidráulica - Interna N° 2</v>
      </c>
      <c r="X208">
        <v>0</v>
      </c>
    </row>
    <row r="209" spans="1:24">
      <c r="A209" s="23" t="s">
        <v>94</v>
      </c>
      <c r="B209" s="24" t="s">
        <v>134</v>
      </c>
      <c r="C209" s="25" t="s">
        <v>95</v>
      </c>
      <c r="D209" s="23" t="s">
        <v>81</v>
      </c>
      <c r="E209" s="23">
        <v>1</v>
      </c>
      <c r="F209" s="23">
        <f>IF(E209="","",MIN(E209,$X209+SUMIFS('05_Parte_Diario'!$H$5:$H$204,'05_Parte_Diario'!$D$5:$D$204,B209,'05_Parte_Diario'!$E$5:$E$204,C209)))</f>
        <v>0</v>
      </c>
      <c r="G209" s="23">
        <f t="shared" si="21"/>
        <v>1</v>
      </c>
      <c r="H209" s="26">
        <f t="shared" si="22"/>
        <v>0</v>
      </c>
      <c r="I209" s="26">
        <f>IF(OR(B209="",C209="",$V$1=""),"",MIN(E209,SUMIFS('03_Planificacion'!$G$99:$G$178,'03_Planificacion'!$E$99:$E$178,B209,'03_Planificacion'!$F$99:$F$178,C209,'03_Planificacion'!$D$99:$D$178,"&lt;="&amp;$V$1)))</f>
        <v>0</v>
      </c>
      <c r="J209" s="26">
        <f t="shared" si="23"/>
        <v>0</v>
      </c>
      <c r="K209" s="27">
        <f t="shared" si="24"/>
        <v>0</v>
      </c>
      <c r="L209" s="25" t="s">
        <v>12</v>
      </c>
      <c r="M209" s="25"/>
      <c r="N209" s="25"/>
      <c r="O209" s="25"/>
      <c r="P209" s="28">
        <f t="shared" si="25"/>
        <v>46287</v>
      </c>
      <c r="Q209" s="25" t="s">
        <v>135</v>
      </c>
      <c r="R209" s="25">
        <v>75</v>
      </c>
      <c r="S209" s="25" t="s">
        <v>70</v>
      </c>
      <c r="T209" s="25" t="str">
        <f t="shared" si="26"/>
        <v/>
      </c>
      <c r="U209">
        <f>IF(AND(L209="Para Programar",G209&gt;0),COUNTIFS($L$5:L209,"Para Programar",$G$5:G209,"&gt;0"),"")</f>
        <v>20</v>
      </c>
      <c r="W209" t="str">
        <f t="shared" si="27"/>
        <v>N13 - N23|08 Prueba hidráulica - Primera prueba oficial</v>
      </c>
      <c r="X209">
        <v>0</v>
      </c>
    </row>
    <row r="210" spans="1:24">
      <c r="A210" s="23" t="s">
        <v>96</v>
      </c>
      <c r="B210" s="24" t="s">
        <v>134</v>
      </c>
      <c r="C210" s="25" t="s">
        <v>97</v>
      </c>
      <c r="D210" s="23" t="s">
        <v>67</v>
      </c>
      <c r="E210" s="23">
        <v>78</v>
      </c>
      <c r="F210" s="23">
        <f>IF(E210="","",MIN(E210,$X210+SUMIFS('05_Parte_Diario'!$H$5:$H$204,'05_Parte_Diario'!$D$5:$D$204,B210,'05_Parte_Diario'!$E$5:$E$204,C210)))</f>
        <v>0</v>
      </c>
      <c r="G210" s="23">
        <f t="shared" si="21"/>
        <v>78</v>
      </c>
      <c r="H210" s="26">
        <f t="shared" si="22"/>
        <v>0</v>
      </c>
      <c r="I210" s="26">
        <f>IF(OR(B210="",C210="",$V$1=""),"",MIN(E210,SUMIFS('03_Planificacion'!$G$99:$G$178,'03_Planificacion'!$E$99:$E$178,B210,'03_Planificacion'!$F$99:$F$178,C210,'03_Planificacion'!$D$99:$D$178,"&lt;="&amp;$V$1)))</f>
        <v>0</v>
      </c>
      <c r="J210" s="26">
        <f t="shared" si="23"/>
        <v>0</v>
      </c>
      <c r="K210" s="27">
        <f t="shared" si="24"/>
        <v>0</v>
      </c>
      <c r="L210" s="25" t="s">
        <v>12</v>
      </c>
      <c r="M210" s="25"/>
      <c r="N210" s="25"/>
      <c r="O210" s="25"/>
      <c r="P210" s="28">
        <f t="shared" si="25"/>
        <v>46287</v>
      </c>
      <c r="Q210" s="25" t="s">
        <v>135</v>
      </c>
      <c r="R210" s="25">
        <v>75</v>
      </c>
      <c r="S210" s="25" t="s">
        <v>70</v>
      </c>
      <c r="T210" s="25" t="str">
        <f t="shared" si="26"/>
        <v/>
      </c>
      <c r="U210">
        <f>IF(AND(L210="Para Programar",G210&gt;0),COUNTIFS($L$5:L210,"Para Programar",$G$5:G210,"&gt;0"),"")</f>
        <v>21</v>
      </c>
      <c r="W210" t="str">
        <f t="shared" si="27"/>
        <v>N13 - N23|09 Paquete estructural - Aporte e=0,30 m</v>
      </c>
      <c r="X210">
        <v>0</v>
      </c>
    </row>
    <row r="211" spans="1:24">
      <c r="A211" s="23" t="s">
        <v>98</v>
      </c>
      <c r="B211" s="24" t="s">
        <v>134</v>
      </c>
      <c r="C211" s="25" t="s">
        <v>99</v>
      </c>
      <c r="D211" s="23" t="s">
        <v>67</v>
      </c>
      <c r="E211" s="23">
        <v>78</v>
      </c>
      <c r="F211" s="23">
        <f>IF(E211="","",MIN(E211,$X211+SUMIFS('05_Parte_Diario'!$H$5:$H$204,'05_Parte_Diario'!$D$5:$D$204,B211,'05_Parte_Diario'!$E$5:$E$204,C211)))</f>
        <v>0</v>
      </c>
      <c r="G211" s="23">
        <f t="shared" si="21"/>
        <v>78</v>
      </c>
      <c r="H211" s="26">
        <f t="shared" si="22"/>
        <v>0</v>
      </c>
      <c r="I211" s="26">
        <f>IF(OR(B211="",C211="",$V$1=""),"",MIN(E211,SUMIFS('03_Planificacion'!$G$99:$G$178,'03_Planificacion'!$E$99:$E$178,B211,'03_Planificacion'!$F$99:$F$178,C211,'03_Planificacion'!$D$99:$D$178,"&lt;="&amp;$V$1)))</f>
        <v>0</v>
      </c>
      <c r="J211" s="26">
        <f t="shared" si="23"/>
        <v>0</v>
      </c>
      <c r="K211" s="27">
        <f t="shared" si="24"/>
        <v>0</v>
      </c>
      <c r="L211" s="25" t="s">
        <v>12</v>
      </c>
      <c r="M211" s="25"/>
      <c r="N211" s="25"/>
      <c r="O211" s="25"/>
      <c r="P211" s="28">
        <f t="shared" si="25"/>
        <v>46287</v>
      </c>
      <c r="Q211" s="25" t="s">
        <v>135</v>
      </c>
      <c r="R211" s="25">
        <v>75</v>
      </c>
      <c r="S211" s="25" t="s">
        <v>70</v>
      </c>
      <c r="T211" s="25" t="str">
        <f t="shared" si="26"/>
        <v/>
      </c>
      <c r="U211">
        <f>IF(AND(L211="Para Programar",G211&gt;0),COUNTIFS($L$5:L211,"Para Programar",$G$5:G211,"&gt;0"),"")</f>
        <v>22</v>
      </c>
      <c r="W211" t="str">
        <f t="shared" si="27"/>
        <v>N13 - N23|09 Paquete estructural - Compactación</v>
      </c>
      <c r="X211">
        <v>0</v>
      </c>
    </row>
    <row r="212" spans="1:24">
      <c r="A212" s="23" t="s">
        <v>100</v>
      </c>
      <c r="B212" s="24" t="s">
        <v>134</v>
      </c>
      <c r="C212" s="25" t="s">
        <v>101</v>
      </c>
      <c r="D212" s="23" t="s">
        <v>81</v>
      </c>
      <c r="E212" s="23">
        <v>1</v>
      </c>
      <c r="F212" s="23">
        <f>IF(E212="","",MIN(E212,$X212+SUMIFS('05_Parte_Diario'!$H$5:$H$204,'05_Parte_Diario'!$D$5:$D$204,B212,'05_Parte_Diario'!$E$5:$E$204,C212)))</f>
        <v>0</v>
      </c>
      <c r="G212" s="23">
        <f t="shared" si="21"/>
        <v>1</v>
      </c>
      <c r="H212" s="26">
        <f t="shared" si="22"/>
        <v>0</v>
      </c>
      <c r="I212" s="26">
        <f>IF(OR(B212="",C212="",$V$1=""),"",MIN(E212,SUMIFS('03_Planificacion'!$G$99:$G$178,'03_Planificacion'!$E$99:$E$178,B212,'03_Planificacion'!$F$99:$F$178,C212,'03_Planificacion'!$D$99:$D$178,"&lt;="&amp;$V$1)))</f>
        <v>0</v>
      </c>
      <c r="J212" s="26">
        <f t="shared" si="23"/>
        <v>0</v>
      </c>
      <c r="K212" s="27">
        <f t="shared" si="24"/>
        <v>0</v>
      </c>
      <c r="L212" s="25" t="s">
        <v>12</v>
      </c>
      <c r="M212" s="25"/>
      <c r="N212" s="25"/>
      <c r="O212" s="25"/>
      <c r="P212" s="28">
        <f t="shared" si="25"/>
        <v>46287</v>
      </c>
      <c r="Q212" s="25" t="s">
        <v>135</v>
      </c>
      <c r="R212" s="25">
        <v>75</v>
      </c>
      <c r="S212" s="25" t="s">
        <v>70</v>
      </c>
      <c r="T212" s="25" t="str">
        <f t="shared" si="26"/>
        <v/>
      </c>
      <c r="U212">
        <f>IF(AND(L212="Para Programar",G212&gt;0),COUNTIFS($L$5:L212,"Para Programar",$G$5:G212,"&gt;0"),"")</f>
        <v>23</v>
      </c>
      <c r="W212" t="str">
        <f t="shared" si="27"/>
        <v>N13 - N23|09 Paquete estructural - Inspección laboratorio</v>
      </c>
      <c r="X212">
        <v>0</v>
      </c>
    </row>
    <row r="213" spans="1:24">
      <c r="A213" s="23" t="s">
        <v>102</v>
      </c>
      <c r="B213" s="24" t="s">
        <v>134</v>
      </c>
      <c r="C213" s="25" t="s">
        <v>103</v>
      </c>
      <c r="D213" s="23" t="s">
        <v>67</v>
      </c>
      <c r="E213" s="23">
        <v>78</v>
      </c>
      <c r="F213" s="23">
        <f>IF(E213="","",MIN(E213,$X213+SUMIFS('05_Parte_Diario'!$H$5:$H$204,'05_Parte_Diario'!$D$5:$D$204,B213,'05_Parte_Diario'!$E$5:$E$204,C213)))</f>
        <v>0</v>
      </c>
      <c r="G213" s="23">
        <f t="shared" si="21"/>
        <v>78</v>
      </c>
      <c r="H213" s="26">
        <f t="shared" si="22"/>
        <v>0</v>
      </c>
      <c r="I213" s="26">
        <f>IF(OR(B213="",C213="",$V$1=""),"",MIN(E213,SUMIFS('03_Planificacion'!$G$99:$G$178,'03_Planificacion'!$E$99:$E$178,B213,'03_Planificacion'!$F$99:$F$178,C213,'03_Planificacion'!$D$99:$D$178,"&lt;="&amp;$V$1)))</f>
        <v>0</v>
      </c>
      <c r="J213" s="26">
        <f t="shared" si="23"/>
        <v>0</v>
      </c>
      <c r="K213" s="27">
        <f t="shared" si="24"/>
        <v>0</v>
      </c>
      <c r="L213" s="25" t="s">
        <v>12</v>
      </c>
      <c r="M213" s="25"/>
      <c r="N213" s="25"/>
      <c r="O213" s="25"/>
      <c r="P213" s="28">
        <f t="shared" si="25"/>
        <v>46287</v>
      </c>
      <c r="Q213" s="25" t="s">
        <v>135</v>
      </c>
      <c r="R213" s="25">
        <v>75</v>
      </c>
      <c r="S213" s="25" t="s">
        <v>70</v>
      </c>
      <c r="T213" s="25" t="str">
        <f t="shared" si="26"/>
        <v/>
      </c>
      <c r="U213">
        <f>IF(AND(L213="Para Programar",G213&gt;0),COUNTIFS($L$5:L213,"Para Programar",$G$5:G213,"&gt;0"),"")</f>
        <v>24</v>
      </c>
      <c r="W213" t="str">
        <f t="shared" si="27"/>
        <v>N13 - N23|10 Relleno -0,60 - Conformación de capa</v>
      </c>
      <c r="X213">
        <v>0</v>
      </c>
    </row>
    <row r="214" spans="1:24">
      <c r="A214" s="23" t="s">
        <v>104</v>
      </c>
      <c r="B214" s="24" t="s">
        <v>134</v>
      </c>
      <c r="C214" s="25" t="s">
        <v>105</v>
      </c>
      <c r="D214" s="23" t="s">
        <v>67</v>
      </c>
      <c r="E214" s="23">
        <v>78</v>
      </c>
      <c r="F214" s="23">
        <f>IF(E214="","",MIN(E214,$X214+SUMIFS('05_Parte_Diario'!$H$5:$H$204,'05_Parte_Diario'!$D$5:$D$204,B214,'05_Parte_Diario'!$E$5:$E$204,C214)))</f>
        <v>0</v>
      </c>
      <c r="G214" s="23">
        <f t="shared" si="21"/>
        <v>78</v>
      </c>
      <c r="H214" s="26">
        <f t="shared" si="22"/>
        <v>0</v>
      </c>
      <c r="I214" s="26">
        <f>IF(OR(B214="",C214="",$V$1=""),"",MIN(E214,SUMIFS('03_Planificacion'!$G$99:$G$178,'03_Planificacion'!$E$99:$E$178,B214,'03_Planificacion'!$F$99:$F$178,C214,'03_Planificacion'!$D$99:$D$178,"&lt;="&amp;$V$1)))</f>
        <v>0</v>
      </c>
      <c r="J214" s="26">
        <f t="shared" si="23"/>
        <v>0</v>
      </c>
      <c r="K214" s="27">
        <f t="shared" si="24"/>
        <v>0</v>
      </c>
      <c r="L214" s="25" t="s">
        <v>12</v>
      </c>
      <c r="M214" s="25"/>
      <c r="N214" s="25"/>
      <c r="O214" s="25"/>
      <c r="P214" s="28">
        <f t="shared" si="25"/>
        <v>46287</v>
      </c>
      <c r="Q214" s="25" t="s">
        <v>135</v>
      </c>
      <c r="R214" s="25">
        <v>75</v>
      </c>
      <c r="S214" s="25" t="s">
        <v>70</v>
      </c>
      <c r="T214" s="25" t="str">
        <f t="shared" si="26"/>
        <v/>
      </c>
      <c r="U214">
        <f>IF(AND(L214="Para Programar",G214&gt;0),COUNTIFS($L$5:L214,"Para Programar",$G$5:G214,"&gt;0"),"")</f>
        <v>25</v>
      </c>
      <c r="W214" t="str">
        <f t="shared" si="27"/>
        <v>N13 - N23|10 Relleno -0,60 - Humectación</v>
      </c>
      <c r="X214">
        <v>0</v>
      </c>
    </row>
    <row r="215" spans="1:24">
      <c r="A215" s="23" t="s">
        <v>106</v>
      </c>
      <c r="B215" s="24" t="s">
        <v>134</v>
      </c>
      <c r="C215" s="25" t="s">
        <v>107</v>
      </c>
      <c r="D215" s="23" t="s">
        <v>67</v>
      </c>
      <c r="E215" s="23">
        <v>78</v>
      </c>
      <c r="F215" s="23">
        <f>IF(E215="","",MIN(E215,$X215+SUMIFS('05_Parte_Diario'!$H$5:$H$204,'05_Parte_Diario'!$D$5:$D$204,B215,'05_Parte_Diario'!$E$5:$E$204,C215)))</f>
        <v>0</v>
      </c>
      <c r="G215" s="23">
        <f t="shared" si="21"/>
        <v>78</v>
      </c>
      <c r="H215" s="26">
        <f t="shared" si="22"/>
        <v>0</v>
      </c>
      <c r="I215" s="26">
        <f>IF(OR(B215="",C215="",$V$1=""),"",MIN(E215,SUMIFS('03_Planificacion'!$G$99:$G$178,'03_Planificacion'!$E$99:$E$178,B215,'03_Planificacion'!$F$99:$F$178,C215,'03_Planificacion'!$D$99:$D$178,"&lt;="&amp;$V$1)))</f>
        <v>0</v>
      </c>
      <c r="J215" s="26">
        <f t="shared" si="23"/>
        <v>0</v>
      </c>
      <c r="K215" s="27">
        <f t="shared" si="24"/>
        <v>0</v>
      </c>
      <c r="L215" s="25" t="s">
        <v>12</v>
      </c>
      <c r="M215" s="25"/>
      <c r="N215" s="25"/>
      <c r="O215" s="25"/>
      <c r="P215" s="28">
        <f t="shared" si="25"/>
        <v>46287</v>
      </c>
      <c r="Q215" s="25" t="s">
        <v>135</v>
      </c>
      <c r="R215" s="25">
        <v>75</v>
      </c>
      <c r="S215" s="25" t="s">
        <v>70</v>
      </c>
      <c r="T215" s="25" t="str">
        <f t="shared" si="26"/>
        <v/>
      </c>
      <c r="U215">
        <f>IF(AND(L215="Para Programar",G215&gt;0),COUNTIFS($L$5:L215,"Para Programar",$G$5:G215,"&gt;0"),"")</f>
        <v>26</v>
      </c>
      <c r="W215" t="str">
        <f t="shared" si="27"/>
        <v>N13 - N23|10 Relleno -0,60 - Compactación</v>
      </c>
      <c r="X215">
        <v>0</v>
      </c>
    </row>
    <row r="216" spans="1:24">
      <c r="A216" s="23" t="s">
        <v>108</v>
      </c>
      <c r="B216" s="24" t="s">
        <v>134</v>
      </c>
      <c r="C216" s="25" t="s">
        <v>109</v>
      </c>
      <c r="D216" s="23" t="s">
        <v>81</v>
      </c>
      <c r="E216" s="23">
        <v>1</v>
      </c>
      <c r="F216" s="23">
        <f>IF(E216="","",MIN(E216,$X216+SUMIFS('05_Parte_Diario'!$H$5:$H$204,'05_Parte_Diario'!$D$5:$D$204,B216,'05_Parte_Diario'!$E$5:$E$204,C216)))</f>
        <v>0</v>
      </c>
      <c r="G216" s="23">
        <f t="shared" si="21"/>
        <v>1</v>
      </c>
      <c r="H216" s="26">
        <f t="shared" si="22"/>
        <v>0</v>
      </c>
      <c r="I216" s="26">
        <f>IF(OR(B216="",C216="",$V$1=""),"",MIN(E216,SUMIFS('03_Planificacion'!$G$99:$G$178,'03_Planificacion'!$E$99:$E$178,B216,'03_Planificacion'!$F$99:$F$178,C216,'03_Planificacion'!$D$99:$D$178,"&lt;="&amp;$V$1)))</f>
        <v>0</v>
      </c>
      <c r="J216" s="26">
        <f t="shared" si="23"/>
        <v>0</v>
      </c>
      <c r="K216" s="27">
        <f t="shared" si="24"/>
        <v>0</v>
      </c>
      <c r="L216" s="25" t="s">
        <v>12</v>
      </c>
      <c r="M216" s="25"/>
      <c r="N216" s="25"/>
      <c r="O216" s="25"/>
      <c r="P216" s="28">
        <f t="shared" si="25"/>
        <v>46287</v>
      </c>
      <c r="Q216" s="25" t="s">
        <v>135</v>
      </c>
      <c r="R216" s="25">
        <v>75</v>
      </c>
      <c r="S216" s="25" t="s">
        <v>70</v>
      </c>
      <c r="T216" s="25" t="str">
        <f t="shared" si="26"/>
        <v/>
      </c>
      <c r="U216">
        <f>IF(AND(L216="Para Programar",G216&gt;0),COUNTIFS($L$5:L216,"Para Programar",$G$5:G216,"&gt;0"),"")</f>
        <v>27</v>
      </c>
      <c r="W216" t="str">
        <f t="shared" si="27"/>
        <v>N13 - N23|10 Relleno -0,60 - Inspección laboratorio</v>
      </c>
      <c r="X216">
        <v>0</v>
      </c>
    </row>
    <row r="217" spans="1:24">
      <c r="A217" s="23" t="s">
        <v>110</v>
      </c>
      <c r="B217" s="24" t="s">
        <v>134</v>
      </c>
      <c r="C217" s="25" t="s">
        <v>111</v>
      </c>
      <c r="D217" s="23" t="s">
        <v>67</v>
      </c>
      <c r="E217" s="23">
        <v>78</v>
      </c>
      <c r="F217" s="23">
        <f>IF(E217="","",MIN(E217,$X217+SUMIFS('05_Parte_Diario'!$H$5:$H$204,'05_Parte_Diario'!$D$5:$D$204,B217,'05_Parte_Diario'!$E$5:$E$204,C217)))</f>
        <v>0</v>
      </c>
      <c r="G217" s="23">
        <f t="shared" si="21"/>
        <v>78</v>
      </c>
      <c r="H217" s="26">
        <f t="shared" si="22"/>
        <v>0</v>
      </c>
      <c r="I217" s="26">
        <f>IF(OR(B217="",C217="",$V$1=""),"",MIN(E217,SUMIFS('03_Planificacion'!$G$99:$G$178,'03_Planificacion'!$E$99:$E$178,B217,'03_Planificacion'!$F$99:$F$178,C217,'03_Planificacion'!$D$99:$D$178,"&lt;="&amp;$V$1)))</f>
        <v>0</v>
      </c>
      <c r="J217" s="26">
        <f t="shared" si="23"/>
        <v>0</v>
      </c>
      <c r="K217" s="27">
        <f t="shared" si="24"/>
        <v>0</v>
      </c>
      <c r="L217" s="25" t="s">
        <v>12</v>
      </c>
      <c r="M217" s="25"/>
      <c r="N217" s="25"/>
      <c r="O217" s="25"/>
      <c r="P217" s="28">
        <f t="shared" si="25"/>
        <v>46287</v>
      </c>
      <c r="Q217" s="25" t="s">
        <v>135</v>
      </c>
      <c r="R217" s="25">
        <v>75</v>
      </c>
      <c r="S217" s="25" t="s">
        <v>70</v>
      </c>
      <c r="T217" s="25" t="str">
        <f t="shared" si="26"/>
        <v/>
      </c>
      <c r="U217">
        <f>IF(AND(L217="Para Programar",G217&gt;0),COUNTIFS($L$5:L217,"Para Programar",$G$5:G217,"&gt;0"),"")</f>
        <v>28</v>
      </c>
      <c r="W217" t="str">
        <f t="shared" si="27"/>
        <v>N13 - N23|11 Relleno -0,30 - Conformación de capa</v>
      </c>
      <c r="X217">
        <v>0</v>
      </c>
    </row>
    <row r="218" spans="1:24">
      <c r="A218" s="23" t="s">
        <v>112</v>
      </c>
      <c r="B218" s="24" t="s">
        <v>134</v>
      </c>
      <c r="C218" s="25" t="s">
        <v>113</v>
      </c>
      <c r="D218" s="23" t="s">
        <v>67</v>
      </c>
      <c r="E218" s="23">
        <v>78</v>
      </c>
      <c r="F218" s="23">
        <f>IF(E218="","",MIN(E218,$X218+SUMIFS('05_Parte_Diario'!$H$5:$H$204,'05_Parte_Diario'!$D$5:$D$204,B218,'05_Parte_Diario'!$E$5:$E$204,C218)))</f>
        <v>0</v>
      </c>
      <c r="G218" s="23">
        <f t="shared" si="21"/>
        <v>78</v>
      </c>
      <c r="H218" s="26">
        <f t="shared" si="22"/>
        <v>0</v>
      </c>
      <c r="I218" s="26">
        <f>IF(OR(B218="",C218="",$V$1=""),"",MIN(E218,SUMIFS('03_Planificacion'!$G$99:$G$178,'03_Planificacion'!$E$99:$E$178,B218,'03_Planificacion'!$F$99:$F$178,C218,'03_Planificacion'!$D$99:$D$178,"&lt;="&amp;$V$1)))</f>
        <v>0</v>
      </c>
      <c r="J218" s="26">
        <f t="shared" si="23"/>
        <v>0</v>
      </c>
      <c r="K218" s="27">
        <f t="shared" si="24"/>
        <v>0</v>
      </c>
      <c r="L218" s="25" t="s">
        <v>12</v>
      </c>
      <c r="M218" s="25"/>
      <c r="N218" s="25"/>
      <c r="O218" s="25"/>
      <c r="P218" s="28">
        <f t="shared" si="25"/>
        <v>46287</v>
      </c>
      <c r="Q218" s="25" t="s">
        <v>135</v>
      </c>
      <c r="R218" s="25">
        <v>75</v>
      </c>
      <c r="S218" s="25" t="s">
        <v>70</v>
      </c>
      <c r="T218" s="25" t="str">
        <f t="shared" si="26"/>
        <v/>
      </c>
      <c r="U218">
        <f>IF(AND(L218="Para Programar",G218&gt;0),COUNTIFS($L$5:L218,"Para Programar",$G$5:G218,"&gt;0"),"")</f>
        <v>29</v>
      </c>
      <c r="W218" t="str">
        <f t="shared" si="27"/>
        <v>N13 - N23|11 Relleno -0,30 - Humectación</v>
      </c>
      <c r="X218">
        <v>0</v>
      </c>
    </row>
    <row r="219" spans="1:24">
      <c r="A219" s="23" t="s">
        <v>114</v>
      </c>
      <c r="B219" s="24" t="s">
        <v>134</v>
      </c>
      <c r="C219" s="25" t="s">
        <v>115</v>
      </c>
      <c r="D219" s="23" t="s">
        <v>67</v>
      </c>
      <c r="E219" s="23">
        <v>78</v>
      </c>
      <c r="F219" s="23">
        <f>IF(E219="","",MIN(E219,$X219+SUMIFS('05_Parte_Diario'!$H$5:$H$204,'05_Parte_Diario'!$D$5:$D$204,B219,'05_Parte_Diario'!$E$5:$E$204,C219)))</f>
        <v>0</v>
      </c>
      <c r="G219" s="23">
        <f t="shared" si="21"/>
        <v>78</v>
      </c>
      <c r="H219" s="26">
        <f t="shared" si="22"/>
        <v>0</v>
      </c>
      <c r="I219" s="26">
        <f>IF(OR(B219="",C219="",$V$1=""),"",MIN(E219,SUMIFS('03_Planificacion'!$G$99:$G$178,'03_Planificacion'!$E$99:$E$178,B219,'03_Planificacion'!$F$99:$F$178,C219,'03_Planificacion'!$D$99:$D$178,"&lt;="&amp;$V$1)))</f>
        <v>0</v>
      </c>
      <c r="J219" s="26">
        <f t="shared" si="23"/>
        <v>0</v>
      </c>
      <c r="K219" s="27">
        <f t="shared" si="24"/>
        <v>0</v>
      </c>
      <c r="L219" s="25" t="s">
        <v>12</v>
      </c>
      <c r="M219" s="25"/>
      <c r="N219" s="25"/>
      <c r="O219" s="25"/>
      <c r="P219" s="28">
        <f t="shared" si="25"/>
        <v>46287</v>
      </c>
      <c r="Q219" s="25" t="s">
        <v>135</v>
      </c>
      <c r="R219" s="25">
        <v>75</v>
      </c>
      <c r="S219" s="25" t="s">
        <v>70</v>
      </c>
      <c r="T219" s="25" t="str">
        <f t="shared" si="26"/>
        <v/>
      </c>
      <c r="U219">
        <f>IF(AND(L219="Para Programar",G219&gt;0),COUNTIFS($L$5:L219,"Para Programar",$G$5:G219,"&gt;0"),"")</f>
        <v>30</v>
      </c>
      <c r="W219" t="str">
        <f t="shared" si="27"/>
        <v>N13 - N23|11 Relleno -0,30 - Compactación</v>
      </c>
      <c r="X219">
        <v>0</v>
      </c>
    </row>
    <row r="220" spans="1:24">
      <c r="A220" s="23" t="s">
        <v>116</v>
      </c>
      <c r="B220" s="24" t="s">
        <v>134</v>
      </c>
      <c r="C220" s="25" t="s">
        <v>117</v>
      </c>
      <c r="D220" s="23" t="s">
        <v>81</v>
      </c>
      <c r="E220" s="23">
        <v>1</v>
      </c>
      <c r="F220" s="23">
        <f>IF(E220="","",MIN(E220,$X220+SUMIFS('05_Parte_Diario'!$H$5:$H$204,'05_Parte_Diario'!$D$5:$D$204,B220,'05_Parte_Diario'!$E$5:$E$204,C220)))</f>
        <v>0</v>
      </c>
      <c r="G220" s="23">
        <f t="shared" si="21"/>
        <v>1</v>
      </c>
      <c r="H220" s="26">
        <f t="shared" si="22"/>
        <v>0</v>
      </c>
      <c r="I220" s="26">
        <f>IF(OR(B220="",C220="",$V$1=""),"",MIN(E220,SUMIFS('03_Planificacion'!$G$99:$G$178,'03_Planificacion'!$E$99:$E$178,B220,'03_Planificacion'!$F$99:$F$178,C220,'03_Planificacion'!$D$99:$D$178,"&lt;="&amp;$V$1)))</f>
        <v>0</v>
      </c>
      <c r="J220" s="26">
        <f t="shared" si="23"/>
        <v>0</v>
      </c>
      <c r="K220" s="27">
        <f t="shared" si="24"/>
        <v>0</v>
      </c>
      <c r="L220" s="25" t="s">
        <v>12</v>
      </c>
      <c r="M220" s="25"/>
      <c r="N220" s="25"/>
      <c r="O220" s="25"/>
      <c r="P220" s="28">
        <f t="shared" si="25"/>
        <v>46287</v>
      </c>
      <c r="Q220" s="25" t="s">
        <v>135</v>
      </c>
      <c r="R220" s="25">
        <v>75</v>
      </c>
      <c r="S220" s="25" t="s">
        <v>70</v>
      </c>
      <c r="T220" s="25" t="str">
        <f t="shared" si="26"/>
        <v/>
      </c>
      <c r="U220">
        <f>IF(AND(L220="Para Programar",G220&gt;0),COUNTIFS($L$5:L220,"Para Programar",$G$5:G220,"&gt;0"),"")</f>
        <v>31</v>
      </c>
      <c r="W220" t="str">
        <f t="shared" si="27"/>
        <v>N13 - N23|11 Relleno -0,30 - Inspección laboratorio</v>
      </c>
      <c r="X220">
        <v>0</v>
      </c>
    </row>
    <row r="221" spans="1:24">
      <c r="A221" s="23" t="s">
        <v>64</v>
      </c>
      <c r="B221" s="24" t="s">
        <v>136</v>
      </c>
      <c r="C221" s="25" t="s">
        <v>66</v>
      </c>
      <c r="D221" s="23" t="s">
        <v>67</v>
      </c>
      <c r="E221" s="23">
        <v>136</v>
      </c>
      <c r="F221" s="23">
        <f>IF(E221="","",MIN(E221,$X221+SUMIFS('05_Parte_Diario'!$H$5:$H$204,'05_Parte_Diario'!$D$5:$D$204,B221,'05_Parte_Diario'!$E$5:$E$204,C221)))</f>
        <v>0</v>
      </c>
      <c r="G221" s="23">
        <f t="shared" si="21"/>
        <v>136</v>
      </c>
      <c r="H221" s="26">
        <f t="shared" si="22"/>
        <v>0</v>
      </c>
      <c r="I221" s="26">
        <f>IF(OR(B221="",C221="",$V$1=""),"",MIN(E221,SUMIFS('03_Planificacion'!$G$99:$G$178,'03_Planificacion'!$E$99:$E$178,B221,'03_Planificacion'!$F$99:$F$178,C221,'03_Planificacion'!$D$99:$D$178,"&lt;="&amp;$V$1)))</f>
        <v>0</v>
      </c>
      <c r="J221" s="26">
        <f t="shared" si="23"/>
        <v>0</v>
      </c>
      <c r="K221" s="27">
        <f t="shared" si="24"/>
        <v>0</v>
      </c>
      <c r="L221" s="25" t="s">
        <v>68</v>
      </c>
      <c r="M221" s="25"/>
      <c r="N221" s="25"/>
      <c r="O221" s="25"/>
      <c r="P221" s="28">
        <f t="shared" si="25"/>
        <v>46287</v>
      </c>
      <c r="Q221" s="25" t="s">
        <v>137</v>
      </c>
      <c r="R221" s="25">
        <v>75</v>
      </c>
      <c r="S221" s="25" t="s">
        <v>70</v>
      </c>
      <c r="T221" s="25" t="str">
        <f t="shared" si="26"/>
        <v/>
      </c>
      <c r="U221" t="str">
        <f>IF(AND(L221="Para Programar",G221&gt;0),COUNTIFS($L$5:L221,"Para Programar",$G$5:G221,"&gt;0"),"")</f>
        <v/>
      </c>
      <c r="W221" t="str">
        <f t="shared" si="27"/>
        <v>N14 - N16|01 Replanteo - Marcación de tramo de cañería principal</v>
      </c>
      <c r="X221">
        <v>0</v>
      </c>
    </row>
    <row r="222" spans="1:24">
      <c r="A222" s="25" t="s">
        <v>71</v>
      </c>
      <c r="B222" s="24" t="s">
        <v>136</v>
      </c>
      <c r="C222" s="25" t="s">
        <v>72</v>
      </c>
      <c r="D222" s="23" t="s">
        <v>67</v>
      </c>
      <c r="E222" s="23">
        <v>136</v>
      </c>
      <c r="F222" s="23">
        <f>IF(E222="","",MIN(E222,$X222+SUMIFS('05_Parte_Diario'!$H$5:$H$204,'05_Parte_Diario'!$D$5:$D$204,B222,'05_Parte_Diario'!$E$5:$E$204,C222)))</f>
        <v>0</v>
      </c>
      <c r="G222" s="23">
        <f t="shared" si="21"/>
        <v>136</v>
      </c>
      <c r="H222" s="26">
        <f t="shared" si="22"/>
        <v>0</v>
      </c>
      <c r="I222" s="26">
        <f>IF(OR(B222="",C222="",$V$1=""),"",MIN(E222,SUMIFS('03_Planificacion'!$G$99:$G$178,'03_Planificacion'!$E$99:$E$178,B222,'03_Planificacion'!$F$99:$F$178,C222,'03_Planificacion'!$D$99:$D$178,"&lt;="&amp;$V$1)))</f>
        <v>0</v>
      </c>
      <c r="J222" s="26">
        <f t="shared" si="23"/>
        <v>0</v>
      </c>
      <c r="K222" s="27">
        <f t="shared" si="24"/>
        <v>0</v>
      </c>
      <c r="L222" s="25" t="s">
        <v>68</v>
      </c>
      <c r="M222" s="25"/>
      <c r="N222" s="25"/>
      <c r="O222" s="25"/>
      <c r="P222" s="28">
        <f t="shared" si="25"/>
        <v>46287</v>
      </c>
      <c r="Q222" s="25" t="s">
        <v>137</v>
      </c>
      <c r="R222" s="25">
        <v>75</v>
      </c>
      <c r="S222" s="25" t="s">
        <v>70</v>
      </c>
      <c r="T222" s="25" t="str">
        <f t="shared" si="26"/>
        <v/>
      </c>
      <c r="U222" t="str">
        <f>IF(AND(L222="Para Programar",G222&gt;0),COUNTIFS($L$5:L222,"Para Programar",$G$5:G222,"&gt;0"),"")</f>
        <v/>
      </c>
      <c r="W222" t="str">
        <f t="shared" si="27"/>
        <v>N14 - N16|02 Excavación - Zanja principal</v>
      </c>
      <c r="X222">
        <v>0</v>
      </c>
    </row>
    <row r="223" spans="1:24">
      <c r="A223" s="25" t="s">
        <v>73</v>
      </c>
      <c r="B223" s="24" t="s">
        <v>136</v>
      </c>
      <c r="C223" s="25" t="s">
        <v>74</v>
      </c>
      <c r="D223" s="23" t="s">
        <v>67</v>
      </c>
      <c r="E223" s="23">
        <v>136</v>
      </c>
      <c r="F223" s="23">
        <f>IF(E223="","",MIN(E223,$X223+SUMIFS('05_Parte_Diario'!$H$5:$H$204,'05_Parte_Diario'!$D$5:$D$204,B223,'05_Parte_Diario'!$E$5:$E$204,C223)))</f>
        <v>0</v>
      </c>
      <c r="G223" s="23">
        <f t="shared" si="21"/>
        <v>136</v>
      </c>
      <c r="H223" s="26">
        <f t="shared" si="22"/>
        <v>0</v>
      </c>
      <c r="I223" s="26">
        <f>IF(OR(B223="",C223="",$V$1=""),"",MIN(E223,SUMIFS('03_Planificacion'!$G$99:$G$178,'03_Planificacion'!$E$99:$E$178,B223,'03_Planificacion'!$F$99:$F$178,C223,'03_Planificacion'!$D$99:$D$178,"&lt;="&amp;$V$1)))</f>
        <v>0</v>
      </c>
      <c r="J223" s="26">
        <f t="shared" si="23"/>
        <v>0</v>
      </c>
      <c r="K223" s="27">
        <f t="shared" si="24"/>
        <v>0</v>
      </c>
      <c r="L223" s="25" t="s">
        <v>68</v>
      </c>
      <c r="M223" s="25"/>
      <c r="N223" s="25"/>
      <c r="O223" s="25"/>
      <c r="P223" s="28">
        <f t="shared" si="25"/>
        <v>46287</v>
      </c>
      <c r="Q223" s="25" t="s">
        <v>137</v>
      </c>
      <c r="R223" s="25">
        <v>75</v>
      </c>
      <c r="S223" s="25" t="s">
        <v>70</v>
      </c>
      <c r="T223" s="25" t="str">
        <f t="shared" si="26"/>
        <v/>
      </c>
      <c r="U223" t="str">
        <f>IF(AND(L223="Para Programar",G223&gt;0),COUNTIFS($L$5:L223,"Para Programar",$G$5:G223,"&gt;0"),"")</f>
        <v/>
      </c>
      <c r="W223" t="str">
        <f t="shared" si="27"/>
        <v>N14 - N16|03 Base de asiento - Nivelación de fondo de zanja</v>
      </c>
      <c r="X223">
        <v>0</v>
      </c>
    </row>
    <row r="224" spans="1:24">
      <c r="A224" s="25" t="s">
        <v>75</v>
      </c>
      <c r="B224" s="24" t="s">
        <v>136</v>
      </c>
      <c r="C224" s="25" t="s">
        <v>76</v>
      </c>
      <c r="D224" s="23" t="s">
        <v>67</v>
      </c>
      <c r="E224" s="23">
        <v>136</v>
      </c>
      <c r="F224" s="23">
        <f>IF(E224="","",MIN(E224,$X224+SUMIFS('05_Parte_Diario'!$H$5:$H$204,'05_Parte_Diario'!$D$5:$D$204,B224,'05_Parte_Diario'!$E$5:$E$204,C224)))</f>
        <v>0</v>
      </c>
      <c r="G224" s="23">
        <f t="shared" si="21"/>
        <v>136</v>
      </c>
      <c r="H224" s="26">
        <f t="shared" si="22"/>
        <v>0</v>
      </c>
      <c r="I224" s="26">
        <f>IF(OR(B224="",C224="",$V$1=""),"",MIN(E224,SUMIFS('03_Planificacion'!$G$99:$G$178,'03_Planificacion'!$E$99:$E$178,B224,'03_Planificacion'!$F$99:$F$178,C224,'03_Planificacion'!$D$99:$D$178,"&lt;="&amp;$V$1)))</f>
        <v>0</v>
      </c>
      <c r="J224" s="26">
        <f t="shared" si="23"/>
        <v>0</v>
      </c>
      <c r="K224" s="27">
        <f t="shared" si="24"/>
        <v>0</v>
      </c>
      <c r="L224" s="25" t="s">
        <v>68</v>
      </c>
      <c r="M224" s="25"/>
      <c r="N224" s="25"/>
      <c r="O224" s="25"/>
      <c r="P224" s="28">
        <f t="shared" si="25"/>
        <v>46287</v>
      </c>
      <c r="Q224" s="25" t="s">
        <v>137</v>
      </c>
      <c r="R224" s="25">
        <v>75</v>
      </c>
      <c r="S224" s="25" t="s">
        <v>70</v>
      </c>
      <c r="T224" s="25" t="str">
        <f t="shared" si="26"/>
        <v/>
      </c>
      <c r="U224" t="str">
        <f>IF(AND(L224="Para Programar",G224&gt;0),COUNTIFS($L$5:L224,"Para Programar",$G$5:G224,"&gt;0"),"")</f>
        <v/>
      </c>
      <c r="W224" t="str">
        <f t="shared" si="27"/>
        <v>N14 - N16|03 Base de asiento - Aporte de material base e=0,10 m</v>
      </c>
      <c r="X224">
        <v>0</v>
      </c>
    </row>
    <row r="225" spans="1:24">
      <c r="A225" s="25" t="s">
        <v>77</v>
      </c>
      <c r="B225" s="24" t="s">
        <v>136</v>
      </c>
      <c r="C225" s="25" t="s">
        <v>78</v>
      </c>
      <c r="D225" s="23" t="s">
        <v>67</v>
      </c>
      <c r="E225" s="23">
        <v>136</v>
      </c>
      <c r="F225" s="23">
        <f>IF(E225="","",MIN(E225,$X225+SUMIFS('05_Parte_Diario'!$H$5:$H$204,'05_Parte_Diario'!$D$5:$D$204,B225,'05_Parte_Diario'!$E$5:$E$204,C225)))</f>
        <v>0</v>
      </c>
      <c r="G225" s="23">
        <f t="shared" si="21"/>
        <v>136</v>
      </c>
      <c r="H225" s="26">
        <f t="shared" si="22"/>
        <v>0</v>
      </c>
      <c r="I225" s="26">
        <f>IF(OR(B225="",C225="",$V$1=""),"",MIN(E225,SUMIFS('03_Planificacion'!$G$99:$G$178,'03_Planificacion'!$E$99:$E$178,B225,'03_Planificacion'!$F$99:$F$178,C225,'03_Planificacion'!$D$99:$D$178,"&lt;="&amp;$V$1)))</f>
        <v>0</v>
      </c>
      <c r="J225" s="26">
        <f t="shared" si="23"/>
        <v>0</v>
      </c>
      <c r="K225" s="27">
        <f t="shared" si="24"/>
        <v>0</v>
      </c>
      <c r="L225" s="25" t="s">
        <v>68</v>
      </c>
      <c r="M225" s="25"/>
      <c r="N225" s="25"/>
      <c r="O225" s="25"/>
      <c r="P225" s="28">
        <f t="shared" si="25"/>
        <v>46287</v>
      </c>
      <c r="Q225" s="25" t="s">
        <v>137</v>
      </c>
      <c r="R225" s="25">
        <v>75</v>
      </c>
      <c r="S225" s="25" t="s">
        <v>70</v>
      </c>
      <c r="T225" s="25" t="str">
        <f t="shared" si="26"/>
        <v/>
      </c>
      <c r="U225" t="str">
        <f>IF(AND(L225="Para Programar",G225&gt;0),COUNTIFS($L$5:L225,"Para Programar",$G$5:G225,"&gt;0"),"")</f>
        <v/>
      </c>
      <c r="W225" t="str">
        <f t="shared" si="27"/>
        <v>N14 - N16|03 Base de asiento - Compactación</v>
      </c>
      <c r="X225">
        <v>0</v>
      </c>
    </row>
    <row r="226" spans="1:24">
      <c r="A226" s="25" t="s">
        <v>79</v>
      </c>
      <c r="B226" s="24" t="s">
        <v>136</v>
      </c>
      <c r="C226" s="25" t="s">
        <v>80</v>
      </c>
      <c r="D226" s="23" t="s">
        <v>81</v>
      </c>
      <c r="E226" s="23">
        <v>1</v>
      </c>
      <c r="F226" s="23">
        <f>IF(E226="","",MIN(E226,$X226+SUMIFS('05_Parte_Diario'!$H$5:$H$204,'05_Parte_Diario'!$D$5:$D$204,B226,'05_Parte_Diario'!$E$5:$E$204,C226)))</f>
        <v>0</v>
      </c>
      <c r="G226" s="23">
        <f t="shared" si="21"/>
        <v>1</v>
      </c>
      <c r="H226" s="26">
        <f t="shared" si="22"/>
        <v>0</v>
      </c>
      <c r="I226" s="26">
        <f>IF(OR(B226="",C226="",$V$1=""),"",MIN(E226,SUMIFS('03_Planificacion'!$G$99:$G$178,'03_Planificacion'!$E$99:$E$178,B226,'03_Planificacion'!$F$99:$F$178,C226,'03_Planificacion'!$D$99:$D$178,"&lt;="&amp;$V$1)))</f>
        <v>0</v>
      </c>
      <c r="J226" s="26">
        <f t="shared" si="23"/>
        <v>0</v>
      </c>
      <c r="K226" s="27">
        <f t="shared" si="24"/>
        <v>0</v>
      </c>
      <c r="L226" s="25" t="s">
        <v>68</v>
      </c>
      <c r="M226" s="25"/>
      <c r="N226" s="25"/>
      <c r="O226" s="25"/>
      <c r="P226" s="28">
        <f t="shared" si="25"/>
        <v>46287</v>
      </c>
      <c r="Q226" s="25" t="s">
        <v>137</v>
      </c>
      <c r="R226" s="25">
        <v>75</v>
      </c>
      <c r="S226" s="25" t="s">
        <v>70</v>
      </c>
      <c r="T226" s="25" t="str">
        <f t="shared" si="26"/>
        <v/>
      </c>
      <c r="U226" t="str">
        <f>IF(AND(L226="Para Programar",G226&gt;0),COUNTIFS($L$5:L226,"Para Programar",$G$5:G226,"&gt;0"),"")</f>
        <v/>
      </c>
      <c r="W226" t="str">
        <f t="shared" si="27"/>
        <v>N14 - N16|04 Inspecciones previas - Laboratorio base de asiento</v>
      </c>
      <c r="X226">
        <v>0</v>
      </c>
    </row>
    <row r="227" spans="1:24">
      <c r="A227" s="25" t="s">
        <v>82</v>
      </c>
      <c r="B227" s="24" t="s">
        <v>136</v>
      </c>
      <c r="C227" s="25" t="s">
        <v>83</v>
      </c>
      <c r="D227" s="23" t="s">
        <v>81</v>
      </c>
      <c r="E227" s="23">
        <v>1</v>
      </c>
      <c r="F227" s="23">
        <f>IF(E227="","",MIN(E227,$X227+SUMIFS('05_Parte_Diario'!$H$5:$H$204,'05_Parte_Diario'!$D$5:$D$204,B227,'05_Parte_Diario'!$E$5:$E$204,C227)))</f>
        <v>0</v>
      </c>
      <c r="G227" s="23">
        <f t="shared" si="21"/>
        <v>1</v>
      </c>
      <c r="H227" s="26">
        <f t="shared" si="22"/>
        <v>0</v>
      </c>
      <c r="I227" s="26">
        <f>IF(OR(B227="",C227="",$V$1=""),"",MIN(E227,SUMIFS('03_Planificacion'!$G$99:$G$178,'03_Planificacion'!$E$99:$E$178,B227,'03_Planificacion'!$F$99:$F$178,C227,'03_Planificacion'!$D$99:$D$178,"&lt;="&amp;$V$1)))</f>
        <v>0</v>
      </c>
      <c r="J227" s="26">
        <f t="shared" si="23"/>
        <v>0</v>
      </c>
      <c r="K227" s="27">
        <f t="shared" si="24"/>
        <v>0</v>
      </c>
      <c r="L227" s="25" t="s">
        <v>68</v>
      </c>
      <c r="M227" s="25"/>
      <c r="N227" s="25"/>
      <c r="O227" s="25"/>
      <c r="P227" s="28">
        <f t="shared" si="25"/>
        <v>46287</v>
      </c>
      <c r="Q227" s="25" t="s">
        <v>137</v>
      </c>
      <c r="R227" s="25">
        <v>75</v>
      </c>
      <c r="S227" s="25" t="s">
        <v>70</v>
      </c>
      <c r="T227" s="25" t="str">
        <f t="shared" si="26"/>
        <v/>
      </c>
      <c r="U227" t="str">
        <f>IF(AND(L227="Para Programar",G227&gt;0),COUNTIFS($L$5:L227,"Para Programar",$G$5:G227,"&gt;0"),"")</f>
        <v/>
      </c>
      <c r="W227" t="str">
        <f t="shared" si="27"/>
        <v>N14 - N16|04 Inspecciones previas - Zanja y materiales</v>
      </c>
      <c r="X227">
        <v>0</v>
      </c>
    </row>
    <row r="228" spans="1:24">
      <c r="A228" s="25" t="s">
        <v>84</v>
      </c>
      <c r="B228" s="24" t="s">
        <v>136</v>
      </c>
      <c r="C228" s="25" t="s">
        <v>85</v>
      </c>
      <c r="D228" s="23" t="s">
        <v>67</v>
      </c>
      <c r="E228" s="23">
        <v>136</v>
      </c>
      <c r="F228" s="23">
        <f>IF(E228="","",MIN(E228,$X228+SUMIFS('05_Parte_Diario'!$H$5:$H$204,'05_Parte_Diario'!$D$5:$D$204,B228,'05_Parte_Diario'!$E$5:$E$204,C228)))</f>
        <v>0</v>
      </c>
      <c r="G228" s="23">
        <f t="shared" si="21"/>
        <v>136</v>
      </c>
      <c r="H228" s="26">
        <f t="shared" si="22"/>
        <v>0</v>
      </c>
      <c r="I228" s="26">
        <f>IF(OR(B228="",C228="",$V$1=""),"",MIN(E228,SUMIFS('03_Planificacion'!$G$99:$G$178,'03_Planificacion'!$E$99:$E$178,B228,'03_Planificacion'!$F$99:$F$178,C228,'03_Planificacion'!$D$99:$D$178,"&lt;="&amp;$V$1)))</f>
        <v>0</v>
      </c>
      <c r="J228" s="26">
        <f t="shared" si="23"/>
        <v>0</v>
      </c>
      <c r="K228" s="27">
        <f t="shared" si="24"/>
        <v>0</v>
      </c>
      <c r="L228" s="25" t="s">
        <v>68</v>
      </c>
      <c r="M228" s="25"/>
      <c r="N228" s="25"/>
      <c r="O228" s="25"/>
      <c r="P228" s="28">
        <f t="shared" si="25"/>
        <v>46287</v>
      </c>
      <c r="Q228" s="25" t="s">
        <v>137</v>
      </c>
      <c r="R228" s="25">
        <v>75</v>
      </c>
      <c r="S228" s="25" t="s">
        <v>70</v>
      </c>
      <c r="T228" s="25" t="str">
        <f t="shared" si="26"/>
        <v/>
      </c>
      <c r="U228" t="str">
        <f>IF(AND(L228="Para Programar",G228&gt;0),COUNTIFS($L$5:L228,"Para Programar",$G$5:G228,"&gt;0"),"")</f>
        <v/>
      </c>
      <c r="W228" t="str">
        <f t="shared" si="27"/>
        <v>N14 - N16|05 Tendido de cañería - Cañería principal</v>
      </c>
      <c r="X228">
        <v>0</v>
      </c>
    </row>
    <row r="229" spans="1:24">
      <c r="A229" s="25" t="s">
        <v>86</v>
      </c>
      <c r="B229" s="24" t="s">
        <v>136</v>
      </c>
      <c r="C229" s="25" t="s">
        <v>87</v>
      </c>
      <c r="D229" s="23" t="s">
        <v>67</v>
      </c>
      <c r="E229" s="23">
        <v>136</v>
      </c>
      <c r="F229" s="23">
        <f>IF(E229="","",MIN(E229,$X229+SUMIFS('05_Parte_Diario'!$H$5:$H$204,'05_Parte_Diario'!$D$5:$D$204,B229,'05_Parte_Diario'!$E$5:$E$204,C229)))</f>
        <v>0</v>
      </c>
      <c r="G229" s="23">
        <f t="shared" si="21"/>
        <v>136</v>
      </c>
      <c r="H229" s="26">
        <f t="shared" si="22"/>
        <v>0</v>
      </c>
      <c r="I229" s="26">
        <f>IF(OR(B229="",C229="",$V$1=""),"",MIN(E229,SUMIFS('03_Planificacion'!$G$99:$G$178,'03_Planificacion'!$E$99:$E$178,B229,'03_Planificacion'!$F$99:$F$178,C229,'03_Planificacion'!$D$99:$D$178,"&lt;="&amp;$V$1)))</f>
        <v>0</v>
      </c>
      <c r="J229" s="26">
        <f t="shared" si="23"/>
        <v>0</v>
      </c>
      <c r="K229" s="27">
        <f t="shared" si="24"/>
        <v>0</v>
      </c>
      <c r="L229" s="25" t="s">
        <v>68</v>
      </c>
      <c r="M229" s="25"/>
      <c r="N229" s="25"/>
      <c r="O229" s="25"/>
      <c r="P229" s="28">
        <f t="shared" si="25"/>
        <v>46287</v>
      </c>
      <c r="Q229" s="25" t="s">
        <v>137</v>
      </c>
      <c r="R229" s="25">
        <v>75</v>
      </c>
      <c r="S229" s="25" t="s">
        <v>70</v>
      </c>
      <c r="T229" s="25" t="str">
        <f t="shared" si="26"/>
        <v/>
      </c>
      <c r="U229" t="str">
        <f>IF(AND(L229="Para Programar",G229&gt;0),COUNTIFS($L$5:L229,"Para Programar",$G$5:G229,"&gt;0"),"")</f>
        <v/>
      </c>
      <c r="W229" t="str">
        <f t="shared" si="27"/>
        <v>N14 - N16|05 Tendido de cañería - Relevamiento planialtimétrico</v>
      </c>
      <c r="X229">
        <v>0</v>
      </c>
    </row>
    <row r="230" spans="1:24">
      <c r="A230" s="25" t="s">
        <v>88</v>
      </c>
      <c r="B230" s="24" t="s">
        <v>136</v>
      </c>
      <c r="C230" s="25" t="s">
        <v>89</v>
      </c>
      <c r="D230" s="23" t="s">
        <v>81</v>
      </c>
      <c r="E230" s="23">
        <v>1</v>
      </c>
      <c r="F230" s="23">
        <f>IF(E230="","",MIN(E230,$X230+SUMIFS('05_Parte_Diario'!$H$5:$H$204,'05_Parte_Diario'!$D$5:$D$204,B230,'05_Parte_Diario'!$E$5:$E$204,C230)))</f>
        <v>0</v>
      </c>
      <c r="G230" s="23">
        <f t="shared" si="21"/>
        <v>1</v>
      </c>
      <c r="H230" s="26">
        <f t="shared" si="22"/>
        <v>0</v>
      </c>
      <c r="I230" s="26">
        <f>IF(OR(B230="",C230="",$V$1=""),"",MIN(E230,SUMIFS('03_Planificacion'!$G$99:$G$178,'03_Planificacion'!$E$99:$E$178,B230,'03_Planificacion'!$F$99:$F$178,C230,'03_Planificacion'!$D$99:$D$178,"&lt;="&amp;$V$1)))</f>
        <v>0</v>
      </c>
      <c r="J230" s="26">
        <f t="shared" si="23"/>
        <v>0</v>
      </c>
      <c r="K230" s="27">
        <f t="shared" si="24"/>
        <v>0</v>
      </c>
      <c r="L230" s="25" t="s">
        <v>68</v>
      </c>
      <c r="M230" s="25"/>
      <c r="N230" s="25"/>
      <c r="O230" s="25"/>
      <c r="P230" s="28">
        <f t="shared" si="25"/>
        <v>46287</v>
      </c>
      <c r="Q230" s="25" t="s">
        <v>137</v>
      </c>
      <c r="R230" s="25">
        <v>75</v>
      </c>
      <c r="S230" s="25" t="s">
        <v>70</v>
      </c>
      <c r="T230" s="25" t="str">
        <f t="shared" si="26"/>
        <v/>
      </c>
      <c r="U230" t="str">
        <f>IF(AND(L230="Para Programar",G230&gt;0),COUNTIFS($L$5:L230,"Para Programar",$G$5:G230,"&gt;0"),"")</f>
        <v/>
      </c>
      <c r="W230" t="str">
        <f t="shared" si="27"/>
        <v>N14 - N16|08 Prueba hidráulica - Preparación del sistema</v>
      </c>
      <c r="X230">
        <v>0</v>
      </c>
    </row>
    <row r="231" spans="1:24">
      <c r="A231" s="25" t="s">
        <v>90</v>
      </c>
      <c r="B231" s="24" t="s">
        <v>136</v>
      </c>
      <c r="C231" s="25" t="s">
        <v>91</v>
      </c>
      <c r="D231" s="23" t="s">
        <v>81</v>
      </c>
      <c r="E231" s="23">
        <v>1</v>
      </c>
      <c r="F231" s="23">
        <f>IF(E231="","",MIN(E231,$X231+SUMIFS('05_Parte_Diario'!$H$5:$H$204,'05_Parte_Diario'!$D$5:$D$204,B231,'05_Parte_Diario'!$E$5:$E$204,C231)))</f>
        <v>0</v>
      </c>
      <c r="G231" s="23">
        <f t="shared" si="21"/>
        <v>1</v>
      </c>
      <c r="H231" s="26">
        <f t="shared" si="22"/>
        <v>0</v>
      </c>
      <c r="I231" s="26">
        <f>IF(OR(B231="",C231="",$V$1=""),"",MIN(E231,SUMIFS('03_Planificacion'!$G$99:$G$178,'03_Planificacion'!$E$99:$E$178,B231,'03_Planificacion'!$F$99:$F$178,C231,'03_Planificacion'!$D$99:$D$178,"&lt;="&amp;$V$1)))</f>
        <v>0</v>
      </c>
      <c r="J231" s="26">
        <f t="shared" si="23"/>
        <v>0</v>
      </c>
      <c r="K231" s="27">
        <f t="shared" si="24"/>
        <v>0</v>
      </c>
      <c r="L231" s="25" t="s">
        <v>68</v>
      </c>
      <c r="M231" s="25"/>
      <c r="N231" s="25"/>
      <c r="O231" s="25"/>
      <c r="P231" s="28">
        <f t="shared" si="25"/>
        <v>46287</v>
      </c>
      <c r="Q231" s="25" t="s">
        <v>137</v>
      </c>
      <c r="R231" s="25">
        <v>75</v>
      </c>
      <c r="S231" s="25" t="s">
        <v>70</v>
      </c>
      <c r="T231" s="25" t="str">
        <f t="shared" si="26"/>
        <v/>
      </c>
      <c r="U231" t="str">
        <f>IF(AND(L231="Para Programar",G231&gt;0),COUNTIFS($L$5:L231,"Para Programar",$G$5:G231,"&gt;0"),"")</f>
        <v/>
      </c>
      <c r="W231" t="str">
        <f t="shared" si="27"/>
        <v>N14 - N16|08 Prueba hidráulica - Interna N° 1</v>
      </c>
      <c r="X231">
        <v>0</v>
      </c>
    </row>
    <row r="232" spans="1:24">
      <c r="A232" s="25" t="s">
        <v>92</v>
      </c>
      <c r="B232" s="24" t="s">
        <v>136</v>
      </c>
      <c r="C232" s="25" t="s">
        <v>93</v>
      </c>
      <c r="D232" s="23" t="s">
        <v>81</v>
      </c>
      <c r="E232" s="23">
        <v>1</v>
      </c>
      <c r="F232" s="23">
        <f>IF(E232="","",MIN(E232,$X232+SUMIFS('05_Parte_Diario'!$H$5:$H$204,'05_Parte_Diario'!$D$5:$D$204,B232,'05_Parte_Diario'!$E$5:$E$204,C232)))</f>
        <v>0</v>
      </c>
      <c r="G232" s="23">
        <f t="shared" si="21"/>
        <v>1</v>
      </c>
      <c r="H232" s="26">
        <f t="shared" si="22"/>
        <v>0</v>
      </c>
      <c r="I232" s="26">
        <f>IF(OR(B232="",C232="",$V$1=""),"",MIN(E232,SUMIFS('03_Planificacion'!$G$99:$G$178,'03_Planificacion'!$E$99:$E$178,B232,'03_Planificacion'!$F$99:$F$178,C232,'03_Planificacion'!$D$99:$D$178,"&lt;="&amp;$V$1)))</f>
        <v>0</v>
      </c>
      <c r="J232" s="26">
        <f t="shared" si="23"/>
        <v>0</v>
      </c>
      <c r="K232" s="27">
        <f t="shared" si="24"/>
        <v>0</v>
      </c>
      <c r="L232" s="25" t="s">
        <v>68</v>
      </c>
      <c r="M232" s="25"/>
      <c r="N232" s="25"/>
      <c r="O232" s="25"/>
      <c r="P232" s="28">
        <f t="shared" si="25"/>
        <v>46287</v>
      </c>
      <c r="Q232" s="25" t="s">
        <v>137</v>
      </c>
      <c r="R232" s="25">
        <v>75</v>
      </c>
      <c r="S232" s="25" t="s">
        <v>70</v>
      </c>
      <c r="T232" s="25" t="str">
        <f t="shared" si="26"/>
        <v/>
      </c>
      <c r="U232" t="str">
        <f>IF(AND(L232="Para Programar",G232&gt;0),COUNTIFS($L$5:L232,"Para Programar",$G$5:G232,"&gt;0"),"")</f>
        <v/>
      </c>
      <c r="W232" t="str">
        <f t="shared" si="27"/>
        <v>N14 - N16|08 Prueba hidráulica - Interna N° 2</v>
      </c>
      <c r="X232">
        <v>0</v>
      </c>
    </row>
    <row r="233" spans="1:24">
      <c r="A233" s="25" t="s">
        <v>94</v>
      </c>
      <c r="B233" s="24" t="s">
        <v>136</v>
      </c>
      <c r="C233" s="25" t="s">
        <v>95</v>
      </c>
      <c r="D233" s="23" t="s">
        <v>81</v>
      </c>
      <c r="E233" s="23">
        <v>1</v>
      </c>
      <c r="F233" s="23">
        <f>IF(E233="","",MIN(E233,$X233+SUMIFS('05_Parte_Diario'!$H$5:$H$204,'05_Parte_Diario'!$D$5:$D$204,B233,'05_Parte_Diario'!$E$5:$E$204,C233)))</f>
        <v>0</v>
      </c>
      <c r="G233" s="23">
        <f t="shared" si="21"/>
        <v>1</v>
      </c>
      <c r="H233" s="26">
        <f t="shared" si="22"/>
        <v>0</v>
      </c>
      <c r="I233" s="26">
        <f>IF(OR(B233="",C233="",$V$1=""),"",MIN(E233,SUMIFS('03_Planificacion'!$G$99:$G$178,'03_Planificacion'!$E$99:$E$178,B233,'03_Planificacion'!$F$99:$F$178,C233,'03_Planificacion'!$D$99:$D$178,"&lt;="&amp;$V$1)))</f>
        <v>0</v>
      </c>
      <c r="J233" s="26">
        <f t="shared" si="23"/>
        <v>0</v>
      </c>
      <c r="K233" s="27">
        <f t="shared" si="24"/>
        <v>0</v>
      </c>
      <c r="L233" s="25" t="s">
        <v>68</v>
      </c>
      <c r="M233" s="25"/>
      <c r="N233" s="25"/>
      <c r="O233" s="25"/>
      <c r="P233" s="28">
        <f t="shared" si="25"/>
        <v>46287</v>
      </c>
      <c r="Q233" s="25" t="s">
        <v>137</v>
      </c>
      <c r="R233" s="25">
        <v>75</v>
      </c>
      <c r="S233" s="25" t="s">
        <v>70</v>
      </c>
      <c r="T233" s="25" t="str">
        <f t="shared" si="26"/>
        <v/>
      </c>
      <c r="U233" t="str">
        <f>IF(AND(L233="Para Programar",G233&gt;0),COUNTIFS($L$5:L233,"Para Programar",$G$5:G233,"&gt;0"),"")</f>
        <v/>
      </c>
      <c r="W233" t="str">
        <f t="shared" si="27"/>
        <v>N14 - N16|08 Prueba hidráulica - Primera prueba oficial</v>
      </c>
      <c r="X233">
        <v>0</v>
      </c>
    </row>
    <row r="234" spans="1:24">
      <c r="A234" s="25" t="s">
        <v>96</v>
      </c>
      <c r="B234" s="24" t="s">
        <v>136</v>
      </c>
      <c r="C234" s="25" t="s">
        <v>97</v>
      </c>
      <c r="D234" s="23" t="s">
        <v>67</v>
      </c>
      <c r="E234" s="23">
        <v>136</v>
      </c>
      <c r="F234" s="23">
        <f>IF(E234="","",MIN(E234,$X234+SUMIFS('05_Parte_Diario'!$H$5:$H$204,'05_Parte_Diario'!$D$5:$D$204,B234,'05_Parte_Diario'!$E$5:$E$204,C234)))</f>
        <v>0</v>
      </c>
      <c r="G234" s="23">
        <f t="shared" si="21"/>
        <v>136</v>
      </c>
      <c r="H234" s="26">
        <f t="shared" si="22"/>
        <v>0</v>
      </c>
      <c r="I234" s="26">
        <f>IF(OR(B234="",C234="",$V$1=""),"",MIN(E234,SUMIFS('03_Planificacion'!$G$99:$G$178,'03_Planificacion'!$E$99:$E$178,B234,'03_Planificacion'!$F$99:$F$178,C234,'03_Planificacion'!$D$99:$D$178,"&lt;="&amp;$V$1)))</f>
        <v>0</v>
      </c>
      <c r="J234" s="26">
        <f t="shared" si="23"/>
        <v>0</v>
      </c>
      <c r="K234" s="27">
        <f t="shared" si="24"/>
        <v>0</v>
      </c>
      <c r="L234" s="25" t="s">
        <v>68</v>
      </c>
      <c r="M234" s="25"/>
      <c r="N234" s="25"/>
      <c r="O234" s="25"/>
      <c r="P234" s="28">
        <f t="shared" si="25"/>
        <v>46287</v>
      </c>
      <c r="Q234" s="25" t="s">
        <v>137</v>
      </c>
      <c r="R234" s="25">
        <v>75</v>
      </c>
      <c r="S234" s="25" t="s">
        <v>70</v>
      </c>
      <c r="T234" s="25" t="str">
        <f t="shared" si="26"/>
        <v/>
      </c>
      <c r="U234" t="str">
        <f>IF(AND(L234="Para Programar",G234&gt;0),COUNTIFS($L$5:L234,"Para Programar",$G$5:G234,"&gt;0"),"")</f>
        <v/>
      </c>
      <c r="W234" t="str">
        <f t="shared" si="27"/>
        <v>N14 - N16|09 Paquete estructural - Aporte e=0,30 m</v>
      </c>
      <c r="X234">
        <v>0</v>
      </c>
    </row>
    <row r="235" spans="1:24">
      <c r="A235" s="25" t="s">
        <v>98</v>
      </c>
      <c r="B235" s="24" t="s">
        <v>136</v>
      </c>
      <c r="C235" s="25" t="s">
        <v>99</v>
      </c>
      <c r="D235" s="23" t="s">
        <v>67</v>
      </c>
      <c r="E235" s="23">
        <v>136</v>
      </c>
      <c r="F235" s="23">
        <f>IF(E235="","",MIN(E235,$X235+SUMIFS('05_Parte_Diario'!$H$5:$H$204,'05_Parte_Diario'!$D$5:$D$204,B235,'05_Parte_Diario'!$E$5:$E$204,C235)))</f>
        <v>0</v>
      </c>
      <c r="G235" s="23">
        <f t="shared" si="21"/>
        <v>136</v>
      </c>
      <c r="H235" s="26">
        <f t="shared" si="22"/>
        <v>0</v>
      </c>
      <c r="I235" s="26">
        <f>IF(OR(B235="",C235="",$V$1=""),"",MIN(E235,SUMIFS('03_Planificacion'!$G$99:$G$178,'03_Planificacion'!$E$99:$E$178,B235,'03_Planificacion'!$F$99:$F$178,C235,'03_Planificacion'!$D$99:$D$178,"&lt;="&amp;$V$1)))</f>
        <v>0</v>
      </c>
      <c r="J235" s="26">
        <f t="shared" si="23"/>
        <v>0</v>
      </c>
      <c r="K235" s="27">
        <f t="shared" si="24"/>
        <v>0</v>
      </c>
      <c r="L235" s="25" t="s">
        <v>68</v>
      </c>
      <c r="M235" s="25"/>
      <c r="N235" s="25"/>
      <c r="O235" s="25"/>
      <c r="P235" s="28">
        <f t="shared" si="25"/>
        <v>46287</v>
      </c>
      <c r="Q235" s="25" t="s">
        <v>137</v>
      </c>
      <c r="R235" s="25">
        <v>75</v>
      </c>
      <c r="S235" s="25" t="s">
        <v>70</v>
      </c>
      <c r="T235" s="25" t="str">
        <f t="shared" si="26"/>
        <v/>
      </c>
      <c r="U235" t="str">
        <f>IF(AND(L235="Para Programar",G235&gt;0),COUNTIFS($L$5:L235,"Para Programar",$G$5:G235,"&gt;0"),"")</f>
        <v/>
      </c>
      <c r="W235" t="str">
        <f t="shared" si="27"/>
        <v>N14 - N16|09 Paquete estructural - Compactación</v>
      </c>
      <c r="X235">
        <v>0</v>
      </c>
    </row>
    <row r="236" spans="1:24">
      <c r="A236" s="25" t="s">
        <v>100</v>
      </c>
      <c r="B236" s="24" t="s">
        <v>136</v>
      </c>
      <c r="C236" s="25" t="s">
        <v>101</v>
      </c>
      <c r="D236" s="23" t="s">
        <v>81</v>
      </c>
      <c r="E236" s="23">
        <v>1</v>
      </c>
      <c r="F236" s="23">
        <f>IF(E236="","",MIN(E236,$X236+SUMIFS('05_Parte_Diario'!$H$5:$H$204,'05_Parte_Diario'!$D$5:$D$204,B236,'05_Parte_Diario'!$E$5:$E$204,C236)))</f>
        <v>0</v>
      </c>
      <c r="G236" s="23">
        <f t="shared" si="21"/>
        <v>1</v>
      </c>
      <c r="H236" s="26">
        <f t="shared" si="22"/>
        <v>0</v>
      </c>
      <c r="I236" s="26">
        <f>IF(OR(B236="",C236="",$V$1=""),"",MIN(E236,SUMIFS('03_Planificacion'!$G$99:$G$178,'03_Planificacion'!$E$99:$E$178,B236,'03_Planificacion'!$F$99:$F$178,C236,'03_Planificacion'!$D$99:$D$178,"&lt;="&amp;$V$1)))</f>
        <v>0</v>
      </c>
      <c r="J236" s="26">
        <f t="shared" si="23"/>
        <v>0</v>
      </c>
      <c r="K236" s="27">
        <f t="shared" si="24"/>
        <v>0</v>
      </c>
      <c r="L236" s="25" t="s">
        <v>68</v>
      </c>
      <c r="M236" s="25"/>
      <c r="N236" s="25"/>
      <c r="O236" s="25"/>
      <c r="P236" s="28">
        <f t="shared" si="25"/>
        <v>46287</v>
      </c>
      <c r="Q236" s="25" t="s">
        <v>137</v>
      </c>
      <c r="R236" s="25">
        <v>75</v>
      </c>
      <c r="S236" s="25" t="s">
        <v>70</v>
      </c>
      <c r="T236" s="25" t="str">
        <f t="shared" si="26"/>
        <v/>
      </c>
      <c r="U236" t="str">
        <f>IF(AND(L236="Para Programar",G236&gt;0),COUNTIFS($L$5:L236,"Para Programar",$G$5:G236,"&gt;0"),"")</f>
        <v/>
      </c>
      <c r="W236" t="str">
        <f t="shared" si="27"/>
        <v>N14 - N16|09 Paquete estructural - Inspección laboratorio</v>
      </c>
      <c r="X236">
        <v>0</v>
      </c>
    </row>
    <row r="237" spans="1:24">
      <c r="A237" s="25" t="s">
        <v>102</v>
      </c>
      <c r="B237" s="24" t="s">
        <v>136</v>
      </c>
      <c r="C237" s="25" t="s">
        <v>103</v>
      </c>
      <c r="D237" s="23" t="s">
        <v>67</v>
      </c>
      <c r="E237" s="23">
        <v>136</v>
      </c>
      <c r="F237" s="23">
        <f>IF(E237="","",MIN(E237,$X237+SUMIFS('05_Parte_Diario'!$H$5:$H$204,'05_Parte_Diario'!$D$5:$D$204,B237,'05_Parte_Diario'!$E$5:$E$204,C237)))</f>
        <v>0</v>
      </c>
      <c r="G237" s="23">
        <f t="shared" si="21"/>
        <v>136</v>
      </c>
      <c r="H237" s="26">
        <f t="shared" si="22"/>
        <v>0</v>
      </c>
      <c r="I237" s="26">
        <f>IF(OR(B237="",C237="",$V$1=""),"",MIN(E237,SUMIFS('03_Planificacion'!$G$99:$G$178,'03_Planificacion'!$E$99:$E$178,B237,'03_Planificacion'!$F$99:$F$178,C237,'03_Planificacion'!$D$99:$D$178,"&lt;="&amp;$V$1)))</f>
        <v>0</v>
      </c>
      <c r="J237" s="26">
        <f t="shared" si="23"/>
        <v>0</v>
      </c>
      <c r="K237" s="27">
        <f t="shared" si="24"/>
        <v>0</v>
      </c>
      <c r="L237" s="25" t="s">
        <v>68</v>
      </c>
      <c r="M237" s="25"/>
      <c r="N237" s="25"/>
      <c r="O237" s="25"/>
      <c r="P237" s="28">
        <f t="shared" si="25"/>
        <v>46287</v>
      </c>
      <c r="Q237" s="25" t="s">
        <v>137</v>
      </c>
      <c r="R237" s="25">
        <v>75</v>
      </c>
      <c r="S237" s="25" t="s">
        <v>70</v>
      </c>
      <c r="T237" s="25" t="str">
        <f t="shared" si="26"/>
        <v/>
      </c>
      <c r="U237" t="str">
        <f>IF(AND(L237="Para Programar",G237&gt;0),COUNTIFS($L$5:L237,"Para Programar",$G$5:G237,"&gt;0"),"")</f>
        <v/>
      </c>
      <c r="W237" t="str">
        <f t="shared" si="27"/>
        <v>N14 - N16|10 Relleno -0,60 - Conformación de capa</v>
      </c>
      <c r="X237">
        <v>0</v>
      </c>
    </row>
    <row r="238" spans="1:24">
      <c r="A238" s="25" t="s">
        <v>104</v>
      </c>
      <c r="B238" s="24" t="s">
        <v>136</v>
      </c>
      <c r="C238" s="25" t="s">
        <v>105</v>
      </c>
      <c r="D238" s="23" t="s">
        <v>67</v>
      </c>
      <c r="E238" s="23">
        <v>136</v>
      </c>
      <c r="F238" s="23">
        <f>IF(E238="","",MIN(E238,$X238+SUMIFS('05_Parte_Diario'!$H$5:$H$204,'05_Parte_Diario'!$D$5:$D$204,B238,'05_Parte_Diario'!$E$5:$E$204,C238)))</f>
        <v>0</v>
      </c>
      <c r="G238" s="23">
        <f t="shared" si="21"/>
        <v>136</v>
      </c>
      <c r="H238" s="26">
        <f t="shared" si="22"/>
        <v>0</v>
      </c>
      <c r="I238" s="26">
        <f>IF(OR(B238="",C238="",$V$1=""),"",MIN(E238,SUMIFS('03_Planificacion'!$G$99:$G$178,'03_Planificacion'!$E$99:$E$178,B238,'03_Planificacion'!$F$99:$F$178,C238,'03_Planificacion'!$D$99:$D$178,"&lt;="&amp;$V$1)))</f>
        <v>0</v>
      </c>
      <c r="J238" s="26">
        <f t="shared" si="23"/>
        <v>0</v>
      </c>
      <c r="K238" s="27">
        <f t="shared" si="24"/>
        <v>0</v>
      </c>
      <c r="L238" s="25" t="s">
        <v>68</v>
      </c>
      <c r="M238" s="25"/>
      <c r="N238" s="25"/>
      <c r="O238" s="25"/>
      <c r="P238" s="28">
        <f t="shared" si="25"/>
        <v>46287</v>
      </c>
      <c r="Q238" s="25" t="s">
        <v>137</v>
      </c>
      <c r="R238" s="25">
        <v>75</v>
      </c>
      <c r="S238" s="25" t="s">
        <v>70</v>
      </c>
      <c r="T238" s="25" t="str">
        <f t="shared" si="26"/>
        <v/>
      </c>
      <c r="U238" t="str">
        <f>IF(AND(L238="Para Programar",G238&gt;0),COUNTIFS($L$5:L238,"Para Programar",$G$5:G238,"&gt;0"),"")</f>
        <v/>
      </c>
      <c r="W238" t="str">
        <f t="shared" si="27"/>
        <v>N14 - N16|10 Relleno -0,60 - Humectación</v>
      </c>
      <c r="X238">
        <v>0</v>
      </c>
    </row>
    <row r="239" spans="1:24">
      <c r="A239" s="25" t="s">
        <v>106</v>
      </c>
      <c r="B239" s="24" t="s">
        <v>136</v>
      </c>
      <c r="C239" s="25" t="s">
        <v>107</v>
      </c>
      <c r="D239" s="23" t="s">
        <v>67</v>
      </c>
      <c r="E239" s="23">
        <v>136</v>
      </c>
      <c r="F239" s="23">
        <f>IF(E239="","",MIN(E239,$X239+SUMIFS('05_Parte_Diario'!$H$5:$H$204,'05_Parte_Diario'!$D$5:$D$204,B239,'05_Parte_Diario'!$E$5:$E$204,C239)))</f>
        <v>0</v>
      </c>
      <c r="G239" s="23">
        <f t="shared" si="21"/>
        <v>136</v>
      </c>
      <c r="H239" s="26">
        <f t="shared" si="22"/>
        <v>0</v>
      </c>
      <c r="I239" s="26">
        <f>IF(OR(B239="",C239="",$V$1=""),"",MIN(E239,SUMIFS('03_Planificacion'!$G$99:$G$178,'03_Planificacion'!$E$99:$E$178,B239,'03_Planificacion'!$F$99:$F$178,C239,'03_Planificacion'!$D$99:$D$178,"&lt;="&amp;$V$1)))</f>
        <v>0</v>
      </c>
      <c r="J239" s="26">
        <f t="shared" si="23"/>
        <v>0</v>
      </c>
      <c r="K239" s="27">
        <f t="shared" si="24"/>
        <v>0</v>
      </c>
      <c r="L239" s="25" t="s">
        <v>68</v>
      </c>
      <c r="M239" s="25"/>
      <c r="N239" s="25"/>
      <c r="O239" s="25"/>
      <c r="P239" s="28">
        <f t="shared" si="25"/>
        <v>46287</v>
      </c>
      <c r="Q239" s="25" t="s">
        <v>137</v>
      </c>
      <c r="R239" s="25">
        <v>75</v>
      </c>
      <c r="S239" s="25" t="s">
        <v>70</v>
      </c>
      <c r="T239" s="25" t="str">
        <f t="shared" si="26"/>
        <v/>
      </c>
      <c r="U239" t="str">
        <f>IF(AND(L239="Para Programar",G239&gt;0),COUNTIFS($L$5:L239,"Para Programar",$G$5:G239,"&gt;0"),"")</f>
        <v/>
      </c>
      <c r="W239" t="str">
        <f t="shared" si="27"/>
        <v>N14 - N16|10 Relleno -0,60 - Compactación</v>
      </c>
      <c r="X239">
        <v>0</v>
      </c>
    </row>
    <row r="240" spans="1:24">
      <c r="A240" s="25" t="s">
        <v>108</v>
      </c>
      <c r="B240" s="24" t="s">
        <v>136</v>
      </c>
      <c r="C240" s="25" t="s">
        <v>109</v>
      </c>
      <c r="D240" s="23" t="s">
        <v>81</v>
      </c>
      <c r="E240" s="23">
        <v>1</v>
      </c>
      <c r="F240" s="23">
        <f>IF(E240="","",MIN(E240,$X240+SUMIFS('05_Parte_Diario'!$H$5:$H$204,'05_Parte_Diario'!$D$5:$D$204,B240,'05_Parte_Diario'!$E$5:$E$204,C240)))</f>
        <v>0</v>
      </c>
      <c r="G240" s="23">
        <f t="shared" si="21"/>
        <v>1</v>
      </c>
      <c r="H240" s="26">
        <f t="shared" si="22"/>
        <v>0</v>
      </c>
      <c r="I240" s="26">
        <f>IF(OR(B240="",C240="",$V$1=""),"",MIN(E240,SUMIFS('03_Planificacion'!$G$99:$G$178,'03_Planificacion'!$E$99:$E$178,B240,'03_Planificacion'!$F$99:$F$178,C240,'03_Planificacion'!$D$99:$D$178,"&lt;="&amp;$V$1)))</f>
        <v>0</v>
      </c>
      <c r="J240" s="26">
        <f t="shared" si="23"/>
        <v>0</v>
      </c>
      <c r="K240" s="27">
        <f t="shared" si="24"/>
        <v>0</v>
      </c>
      <c r="L240" s="25" t="s">
        <v>68</v>
      </c>
      <c r="M240" s="25"/>
      <c r="N240" s="25"/>
      <c r="O240" s="25"/>
      <c r="P240" s="28">
        <f t="shared" si="25"/>
        <v>46287</v>
      </c>
      <c r="Q240" s="25" t="s">
        <v>137</v>
      </c>
      <c r="R240" s="25">
        <v>75</v>
      </c>
      <c r="S240" s="25" t="s">
        <v>70</v>
      </c>
      <c r="T240" s="25" t="str">
        <f t="shared" si="26"/>
        <v/>
      </c>
      <c r="U240" t="str">
        <f>IF(AND(L240="Para Programar",G240&gt;0),COUNTIFS($L$5:L240,"Para Programar",$G$5:G240,"&gt;0"),"")</f>
        <v/>
      </c>
      <c r="W240" t="str">
        <f t="shared" si="27"/>
        <v>N14 - N16|10 Relleno -0,60 - Inspección laboratorio</v>
      </c>
      <c r="X240">
        <v>0</v>
      </c>
    </row>
    <row r="241" spans="1:24">
      <c r="A241" s="25" t="s">
        <v>110</v>
      </c>
      <c r="B241" s="24" t="s">
        <v>136</v>
      </c>
      <c r="C241" s="25" t="s">
        <v>111</v>
      </c>
      <c r="D241" s="23" t="s">
        <v>67</v>
      </c>
      <c r="E241" s="23">
        <v>136</v>
      </c>
      <c r="F241" s="23">
        <f>IF(E241="","",MIN(E241,$X241+SUMIFS('05_Parte_Diario'!$H$5:$H$204,'05_Parte_Diario'!$D$5:$D$204,B241,'05_Parte_Diario'!$E$5:$E$204,C241)))</f>
        <v>0</v>
      </c>
      <c r="G241" s="23">
        <f t="shared" si="21"/>
        <v>136</v>
      </c>
      <c r="H241" s="26">
        <f t="shared" si="22"/>
        <v>0</v>
      </c>
      <c r="I241" s="26">
        <f>IF(OR(B241="",C241="",$V$1=""),"",MIN(E241,SUMIFS('03_Planificacion'!$G$99:$G$178,'03_Planificacion'!$E$99:$E$178,B241,'03_Planificacion'!$F$99:$F$178,C241,'03_Planificacion'!$D$99:$D$178,"&lt;="&amp;$V$1)))</f>
        <v>0</v>
      </c>
      <c r="J241" s="26">
        <f t="shared" si="23"/>
        <v>0</v>
      </c>
      <c r="K241" s="27">
        <f t="shared" si="24"/>
        <v>0</v>
      </c>
      <c r="L241" s="25" t="s">
        <v>68</v>
      </c>
      <c r="M241" s="25"/>
      <c r="N241" s="25"/>
      <c r="O241" s="25"/>
      <c r="P241" s="28">
        <f t="shared" si="25"/>
        <v>46287</v>
      </c>
      <c r="Q241" s="25" t="s">
        <v>137</v>
      </c>
      <c r="R241" s="25">
        <v>75</v>
      </c>
      <c r="S241" s="25" t="s">
        <v>70</v>
      </c>
      <c r="T241" s="25" t="str">
        <f t="shared" si="26"/>
        <v/>
      </c>
      <c r="U241" t="str">
        <f>IF(AND(L241="Para Programar",G241&gt;0),COUNTIFS($L$5:L241,"Para Programar",$G$5:G241,"&gt;0"),"")</f>
        <v/>
      </c>
      <c r="W241" t="str">
        <f t="shared" si="27"/>
        <v>N14 - N16|11 Relleno -0,30 - Conformación de capa</v>
      </c>
      <c r="X241">
        <v>0</v>
      </c>
    </row>
    <row r="242" spans="1:24">
      <c r="A242" s="25" t="s">
        <v>112</v>
      </c>
      <c r="B242" s="24" t="s">
        <v>136</v>
      </c>
      <c r="C242" s="25" t="s">
        <v>113</v>
      </c>
      <c r="D242" s="23" t="s">
        <v>67</v>
      </c>
      <c r="E242" s="23">
        <v>136</v>
      </c>
      <c r="F242" s="23">
        <f>IF(E242="","",MIN(E242,$X242+SUMIFS('05_Parte_Diario'!$H$5:$H$204,'05_Parte_Diario'!$D$5:$D$204,B242,'05_Parte_Diario'!$E$5:$E$204,C242)))</f>
        <v>0</v>
      </c>
      <c r="G242" s="23">
        <f t="shared" si="21"/>
        <v>136</v>
      </c>
      <c r="H242" s="26">
        <f t="shared" si="22"/>
        <v>0</v>
      </c>
      <c r="I242" s="26">
        <f>IF(OR(B242="",C242="",$V$1=""),"",MIN(E242,SUMIFS('03_Planificacion'!$G$99:$G$178,'03_Planificacion'!$E$99:$E$178,B242,'03_Planificacion'!$F$99:$F$178,C242,'03_Planificacion'!$D$99:$D$178,"&lt;="&amp;$V$1)))</f>
        <v>0</v>
      </c>
      <c r="J242" s="26">
        <f t="shared" si="23"/>
        <v>0</v>
      </c>
      <c r="K242" s="27">
        <f t="shared" si="24"/>
        <v>0</v>
      </c>
      <c r="L242" s="25" t="s">
        <v>68</v>
      </c>
      <c r="M242" s="25"/>
      <c r="N242" s="25"/>
      <c r="O242" s="25"/>
      <c r="P242" s="28">
        <f t="shared" si="25"/>
        <v>46287</v>
      </c>
      <c r="Q242" s="25" t="s">
        <v>137</v>
      </c>
      <c r="R242" s="25">
        <v>75</v>
      </c>
      <c r="S242" s="25" t="s">
        <v>70</v>
      </c>
      <c r="T242" s="25" t="str">
        <f t="shared" si="26"/>
        <v/>
      </c>
      <c r="U242" t="str">
        <f>IF(AND(L242="Para Programar",G242&gt;0),COUNTIFS($L$5:L242,"Para Programar",$G$5:G242,"&gt;0"),"")</f>
        <v/>
      </c>
      <c r="W242" t="str">
        <f t="shared" si="27"/>
        <v>N14 - N16|11 Relleno -0,30 - Humectación</v>
      </c>
      <c r="X242">
        <v>0</v>
      </c>
    </row>
    <row r="243" spans="1:24">
      <c r="A243" s="25" t="s">
        <v>114</v>
      </c>
      <c r="B243" s="24" t="s">
        <v>136</v>
      </c>
      <c r="C243" s="25" t="s">
        <v>115</v>
      </c>
      <c r="D243" s="23" t="s">
        <v>67</v>
      </c>
      <c r="E243" s="23">
        <v>136</v>
      </c>
      <c r="F243" s="23">
        <f>IF(E243="","",MIN(E243,$X243+SUMIFS('05_Parte_Diario'!$H$5:$H$204,'05_Parte_Diario'!$D$5:$D$204,B243,'05_Parte_Diario'!$E$5:$E$204,C243)))</f>
        <v>0</v>
      </c>
      <c r="G243" s="23">
        <f t="shared" si="21"/>
        <v>136</v>
      </c>
      <c r="H243" s="26">
        <f t="shared" si="22"/>
        <v>0</v>
      </c>
      <c r="I243" s="26">
        <f>IF(OR(B243="",C243="",$V$1=""),"",MIN(E243,SUMIFS('03_Planificacion'!$G$99:$G$178,'03_Planificacion'!$E$99:$E$178,B243,'03_Planificacion'!$F$99:$F$178,C243,'03_Planificacion'!$D$99:$D$178,"&lt;="&amp;$V$1)))</f>
        <v>0</v>
      </c>
      <c r="J243" s="26">
        <f t="shared" si="23"/>
        <v>0</v>
      </c>
      <c r="K243" s="27">
        <f t="shared" si="24"/>
        <v>0</v>
      </c>
      <c r="L243" s="25" t="s">
        <v>68</v>
      </c>
      <c r="M243" s="25"/>
      <c r="N243" s="25"/>
      <c r="O243" s="25"/>
      <c r="P243" s="28">
        <f t="shared" si="25"/>
        <v>46287</v>
      </c>
      <c r="Q243" s="25" t="s">
        <v>137</v>
      </c>
      <c r="R243" s="25">
        <v>75</v>
      </c>
      <c r="S243" s="25" t="s">
        <v>70</v>
      </c>
      <c r="T243" s="25" t="str">
        <f t="shared" si="26"/>
        <v/>
      </c>
      <c r="U243" t="str">
        <f>IF(AND(L243="Para Programar",G243&gt;0),COUNTIFS($L$5:L243,"Para Programar",$G$5:G243,"&gt;0"),"")</f>
        <v/>
      </c>
      <c r="W243" t="str">
        <f t="shared" si="27"/>
        <v>N14 - N16|11 Relleno -0,30 - Compactación</v>
      </c>
      <c r="X243">
        <v>0</v>
      </c>
    </row>
    <row r="244" spans="1:24">
      <c r="A244" s="25" t="s">
        <v>116</v>
      </c>
      <c r="B244" s="24" t="s">
        <v>136</v>
      </c>
      <c r="C244" s="25" t="s">
        <v>117</v>
      </c>
      <c r="D244" s="23" t="s">
        <v>81</v>
      </c>
      <c r="E244" s="23">
        <v>1</v>
      </c>
      <c r="F244" s="23">
        <f>IF(E244="","",MIN(E244,$X244+SUMIFS('05_Parte_Diario'!$H$5:$H$204,'05_Parte_Diario'!$D$5:$D$204,B244,'05_Parte_Diario'!$E$5:$E$204,C244)))</f>
        <v>0</v>
      </c>
      <c r="G244" s="23">
        <f t="shared" si="21"/>
        <v>1</v>
      </c>
      <c r="H244" s="26">
        <f t="shared" si="22"/>
        <v>0</v>
      </c>
      <c r="I244" s="26">
        <f>IF(OR(B244="",C244="",$V$1=""),"",MIN(E244,SUMIFS('03_Planificacion'!$G$99:$G$178,'03_Planificacion'!$E$99:$E$178,B244,'03_Planificacion'!$F$99:$F$178,C244,'03_Planificacion'!$D$99:$D$178,"&lt;="&amp;$V$1)))</f>
        <v>0</v>
      </c>
      <c r="J244" s="26">
        <f t="shared" si="23"/>
        <v>0</v>
      </c>
      <c r="K244" s="27">
        <f t="shared" si="24"/>
        <v>0</v>
      </c>
      <c r="L244" s="25" t="s">
        <v>68</v>
      </c>
      <c r="M244" s="25"/>
      <c r="N244" s="25"/>
      <c r="O244" s="25"/>
      <c r="P244" s="28">
        <f t="shared" si="25"/>
        <v>46287</v>
      </c>
      <c r="Q244" s="25" t="s">
        <v>137</v>
      </c>
      <c r="R244" s="25">
        <v>75</v>
      </c>
      <c r="S244" s="25" t="s">
        <v>70</v>
      </c>
      <c r="T244" s="25" t="str">
        <f t="shared" si="26"/>
        <v/>
      </c>
      <c r="U244" t="str">
        <f>IF(AND(L244="Para Programar",G244&gt;0),COUNTIFS($L$5:L244,"Para Programar",$G$5:G244,"&gt;0"),"")</f>
        <v/>
      </c>
      <c r="W244" t="str">
        <f t="shared" si="27"/>
        <v>N14 - N16|11 Relleno -0,30 - Inspección laboratorio</v>
      </c>
      <c r="X244">
        <v>0</v>
      </c>
    </row>
    <row r="245" spans="1:24">
      <c r="A245" s="25" t="s">
        <v>64</v>
      </c>
      <c r="B245" s="24" t="s">
        <v>138</v>
      </c>
      <c r="C245" s="25" t="s">
        <v>66</v>
      </c>
      <c r="D245" s="23" t="s">
        <v>67</v>
      </c>
      <c r="E245" s="23">
        <v>7</v>
      </c>
      <c r="F245" s="23">
        <f>IF(E245="","",MIN(E245,$X245+SUMIFS('05_Parte_Diario'!$H$5:$H$204,'05_Parte_Diario'!$D$5:$D$204,B245,'05_Parte_Diario'!$E$5:$E$204,C245)))</f>
        <v>0</v>
      </c>
      <c r="G245" s="23">
        <f t="shared" si="21"/>
        <v>7</v>
      </c>
      <c r="H245" s="26">
        <f t="shared" si="22"/>
        <v>0</v>
      </c>
      <c r="I245" s="26">
        <f>IF(OR(B245="",C245="",$V$1=""),"",MIN(E245,SUMIFS('03_Planificacion'!$G$99:$G$178,'03_Planificacion'!$E$99:$E$178,B245,'03_Planificacion'!$F$99:$F$178,C245,'03_Planificacion'!$D$99:$D$178,"&lt;="&amp;$V$1)))</f>
        <v>0</v>
      </c>
      <c r="J245" s="26">
        <f t="shared" si="23"/>
        <v>0</v>
      </c>
      <c r="K245" s="27">
        <f t="shared" si="24"/>
        <v>0</v>
      </c>
      <c r="L245" s="25" t="s">
        <v>12</v>
      </c>
      <c r="M245" s="25"/>
      <c r="N245" s="25"/>
      <c r="O245" s="25"/>
      <c r="P245" s="28">
        <f t="shared" si="25"/>
        <v>46287</v>
      </c>
      <c r="Q245" s="25" t="s">
        <v>125</v>
      </c>
      <c r="R245" s="25">
        <v>110</v>
      </c>
      <c r="S245" s="25" t="s">
        <v>70</v>
      </c>
      <c r="T245" s="25" t="str">
        <f t="shared" si="26"/>
        <v/>
      </c>
      <c r="U245">
        <f>IF(AND(L245="Para Programar",G245&gt;0),COUNTIFS($L$5:L245,"Para Programar",$G$5:G245,"&gt;0"),"")</f>
        <v>32</v>
      </c>
      <c r="W245" t="str">
        <f t="shared" si="27"/>
        <v>N15 - N16|01 Replanteo - Marcación de tramo de cañería principal</v>
      </c>
      <c r="X245">
        <v>0</v>
      </c>
    </row>
    <row r="246" spans="1:24">
      <c r="A246" s="25" t="s">
        <v>71</v>
      </c>
      <c r="B246" s="24" t="s">
        <v>138</v>
      </c>
      <c r="C246" s="25" t="s">
        <v>72</v>
      </c>
      <c r="D246" s="23" t="s">
        <v>67</v>
      </c>
      <c r="E246" s="23">
        <v>7</v>
      </c>
      <c r="F246" s="23">
        <f>IF(E246="","",MIN(E246,$X246+SUMIFS('05_Parte_Diario'!$H$5:$H$204,'05_Parte_Diario'!$D$5:$D$204,B246,'05_Parte_Diario'!$E$5:$E$204,C246)))</f>
        <v>0</v>
      </c>
      <c r="G246" s="23">
        <f t="shared" si="21"/>
        <v>7</v>
      </c>
      <c r="H246" s="26">
        <f t="shared" si="22"/>
        <v>0</v>
      </c>
      <c r="I246" s="26">
        <f>IF(OR(B246="",C246="",$V$1=""),"",MIN(E246,SUMIFS('03_Planificacion'!$G$99:$G$178,'03_Planificacion'!$E$99:$E$178,B246,'03_Planificacion'!$F$99:$F$178,C246,'03_Planificacion'!$D$99:$D$178,"&lt;="&amp;$V$1)))</f>
        <v>0</v>
      </c>
      <c r="J246" s="26">
        <f t="shared" si="23"/>
        <v>0</v>
      </c>
      <c r="K246" s="27">
        <f t="shared" si="24"/>
        <v>0</v>
      </c>
      <c r="L246" s="25" t="s">
        <v>12</v>
      </c>
      <c r="M246" s="25"/>
      <c r="N246" s="25"/>
      <c r="O246" s="25"/>
      <c r="P246" s="28">
        <f t="shared" si="25"/>
        <v>46287</v>
      </c>
      <c r="Q246" s="25" t="s">
        <v>125</v>
      </c>
      <c r="R246" s="25">
        <v>110</v>
      </c>
      <c r="S246" s="25" t="s">
        <v>70</v>
      </c>
      <c r="T246" s="25" t="str">
        <f t="shared" si="26"/>
        <v/>
      </c>
      <c r="U246">
        <f>IF(AND(L246="Para Programar",G246&gt;0),COUNTIFS($L$5:L246,"Para Programar",$G$5:G246,"&gt;0"),"")</f>
        <v>33</v>
      </c>
      <c r="W246" t="str">
        <f t="shared" si="27"/>
        <v>N15 - N16|02 Excavación - Zanja principal</v>
      </c>
      <c r="X246">
        <v>0</v>
      </c>
    </row>
    <row r="247" spans="1:24">
      <c r="A247" s="25" t="s">
        <v>73</v>
      </c>
      <c r="B247" s="24" t="s">
        <v>138</v>
      </c>
      <c r="C247" s="25" t="s">
        <v>74</v>
      </c>
      <c r="D247" s="23" t="s">
        <v>67</v>
      </c>
      <c r="E247" s="23">
        <v>7</v>
      </c>
      <c r="F247" s="23">
        <f>IF(E247="","",MIN(E247,$X247+SUMIFS('05_Parte_Diario'!$H$5:$H$204,'05_Parte_Diario'!$D$5:$D$204,B247,'05_Parte_Diario'!$E$5:$E$204,C247)))</f>
        <v>0</v>
      </c>
      <c r="G247" s="23">
        <f t="shared" si="21"/>
        <v>7</v>
      </c>
      <c r="H247" s="26">
        <f t="shared" si="22"/>
        <v>0</v>
      </c>
      <c r="I247" s="26">
        <f>IF(OR(B247="",C247="",$V$1=""),"",MIN(E247,SUMIFS('03_Planificacion'!$G$99:$G$178,'03_Planificacion'!$E$99:$E$178,B247,'03_Planificacion'!$F$99:$F$178,C247,'03_Planificacion'!$D$99:$D$178,"&lt;="&amp;$V$1)))</f>
        <v>0</v>
      </c>
      <c r="J247" s="26">
        <f t="shared" si="23"/>
        <v>0</v>
      </c>
      <c r="K247" s="27">
        <f t="shared" si="24"/>
        <v>0</v>
      </c>
      <c r="L247" s="25" t="s">
        <v>12</v>
      </c>
      <c r="M247" s="25"/>
      <c r="N247" s="25"/>
      <c r="O247" s="25"/>
      <c r="P247" s="28">
        <f t="shared" si="25"/>
        <v>46287</v>
      </c>
      <c r="Q247" s="25" t="s">
        <v>125</v>
      </c>
      <c r="R247" s="25">
        <v>110</v>
      </c>
      <c r="S247" s="25" t="s">
        <v>70</v>
      </c>
      <c r="T247" s="25" t="str">
        <f t="shared" si="26"/>
        <v/>
      </c>
      <c r="U247">
        <f>IF(AND(L247="Para Programar",G247&gt;0),COUNTIFS($L$5:L247,"Para Programar",$G$5:G247,"&gt;0"),"")</f>
        <v>34</v>
      </c>
      <c r="W247" t="str">
        <f t="shared" si="27"/>
        <v>N15 - N16|03 Base de asiento - Nivelación de fondo de zanja</v>
      </c>
      <c r="X247">
        <v>0</v>
      </c>
    </row>
    <row r="248" spans="1:24">
      <c r="A248" s="25" t="s">
        <v>75</v>
      </c>
      <c r="B248" s="24" t="s">
        <v>138</v>
      </c>
      <c r="C248" s="25" t="s">
        <v>76</v>
      </c>
      <c r="D248" s="23" t="s">
        <v>67</v>
      </c>
      <c r="E248" s="23">
        <v>7</v>
      </c>
      <c r="F248" s="23">
        <f>IF(E248="","",MIN(E248,$X248+SUMIFS('05_Parte_Diario'!$H$5:$H$204,'05_Parte_Diario'!$D$5:$D$204,B248,'05_Parte_Diario'!$E$5:$E$204,C248)))</f>
        <v>0</v>
      </c>
      <c r="G248" s="23">
        <f t="shared" si="21"/>
        <v>7</v>
      </c>
      <c r="H248" s="26">
        <f t="shared" si="22"/>
        <v>0</v>
      </c>
      <c r="I248" s="26">
        <f>IF(OR(B248="",C248="",$V$1=""),"",MIN(E248,SUMIFS('03_Planificacion'!$G$99:$G$178,'03_Planificacion'!$E$99:$E$178,B248,'03_Planificacion'!$F$99:$F$178,C248,'03_Planificacion'!$D$99:$D$178,"&lt;="&amp;$V$1)))</f>
        <v>0</v>
      </c>
      <c r="J248" s="26">
        <f t="shared" si="23"/>
        <v>0</v>
      </c>
      <c r="K248" s="27">
        <f t="shared" si="24"/>
        <v>0</v>
      </c>
      <c r="L248" s="25" t="s">
        <v>12</v>
      </c>
      <c r="M248" s="25"/>
      <c r="N248" s="25"/>
      <c r="O248" s="25"/>
      <c r="P248" s="28">
        <f t="shared" si="25"/>
        <v>46287</v>
      </c>
      <c r="Q248" s="25" t="s">
        <v>125</v>
      </c>
      <c r="R248" s="25">
        <v>110</v>
      </c>
      <c r="S248" s="25" t="s">
        <v>70</v>
      </c>
      <c r="T248" s="25" t="str">
        <f t="shared" si="26"/>
        <v/>
      </c>
      <c r="U248">
        <f>IF(AND(L248="Para Programar",G248&gt;0),COUNTIFS($L$5:L248,"Para Programar",$G$5:G248,"&gt;0"),"")</f>
        <v>35</v>
      </c>
      <c r="W248" t="str">
        <f t="shared" si="27"/>
        <v>N15 - N16|03 Base de asiento - Aporte de material base e=0,10 m</v>
      </c>
      <c r="X248">
        <v>0</v>
      </c>
    </row>
    <row r="249" spans="1:24">
      <c r="A249" s="25" t="s">
        <v>77</v>
      </c>
      <c r="B249" s="24" t="s">
        <v>138</v>
      </c>
      <c r="C249" s="25" t="s">
        <v>78</v>
      </c>
      <c r="D249" s="23" t="s">
        <v>67</v>
      </c>
      <c r="E249" s="23">
        <v>7</v>
      </c>
      <c r="F249" s="23">
        <f>IF(E249="","",MIN(E249,$X249+SUMIFS('05_Parte_Diario'!$H$5:$H$204,'05_Parte_Diario'!$D$5:$D$204,B249,'05_Parte_Diario'!$E$5:$E$204,C249)))</f>
        <v>0</v>
      </c>
      <c r="G249" s="23">
        <f t="shared" si="21"/>
        <v>7</v>
      </c>
      <c r="H249" s="26">
        <f t="shared" si="22"/>
        <v>0</v>
      </c>
      <c r="I249" s="26">
        <f>IF(OR(B249="",C249="",$V$1=""),"",MIN(E249,SUMIFS('03_Planificacion'!$G$99:$G$178,'03_Planificacion'!$E$99:$E$178,B249,'03_Planificacion'!$F$99:$F$178,C249,'03_Planificacion'!$D$99:$D$178,"&lt;="&amp;$V$1)))</f>
        <v>0</v>
      </c>
      <c r="J249" s="26">
        <f t="shared" si="23"/>
        <v>0</v>
      </c>
      <c r="K249" s="27">
        <f t="shared" si="24"/>
        <v>0</v>
      </c>
      <c r="L249" s="25" t="s">
        <v>12</v>
      </c>
      <c r="M249" s="25"/>
      <c r="N249" s="25"/>
      <c r="O249" s="25"/>
      <c r="P249" s="28">
        <f t="shared" si="25"/>
        <v>46287</v>
      </c>
      <c r="Q249" s="25" t="s">
        <v>125</v>
      </c>
      <c r="R249" s="25">
        <v>110</v>
      </c>
      <c r="S249" s="25" t="s">
        <v>70</v>
      </c>
      <c r="T249" s="25" t="str">
        <f t="shared" si="26"/>
        <v/>
      </c>
      <c r="U249">
        <f>IF(AND(L249="Para Programar",G249&gt;0),COUNTIFS($L$5:L249,"Para Programar",$G$5:G249,"&gt;0"),"")</f>
        <v>36</v>
      </c>
      <c r="W249" t="str">
        <f t="shared" si="27"/>
        <v>N15 - N16|03 Base de asiento - Compactación</v>
      </c>
      <c r="X249">
        <v>0</v>
      </c>
    </row>
    <row r="250" spans="1:24">
      <c r="A250" s="25" t="s">
        <v>79</v>
      </c>
      <c r="B250" s="24" t="s">
        <v>138</v>
      </c>
      <c r="C250" s="25" t="s">
        <v>80</v>
      </c>
      <c r="D250" s="23" t="s">
        <v>81</v>
      </c>
      <c r="E250" s="23">
        <v>1</v>
      </c>
      <c r="F250" s="23">
        <f>IF(E250="","",MIN(E250,$X250+SUMIFS('05_Parte_Diario'!$H$5:$H$204,'05_Parte_Diario'!$D$5:$D$204,B250,'05_Parte_Diario'!$E$5:$E$204,C250)))</f>
        <v>1</v>
      </c>
      <c r="G250" s="23">
        <f t="shared" si="21"/>
        <v>0</v>
      </c>
      <c r="H250" s="26">
        <f t="shared" si="22"/>
        <v>1</v>
      </c>
      <c r="I250" s="26">
        <f>IF(OR(B250="",C250="",$V$1=""),"",MIN(E250,SUMIFS('03_Planificacion'!$G$99:$G$178,'03_Planificacion'!$E$99:$E$178,B250,'03_Planificacion'!$F$99:$F$178,C250,'03_Planificacion'!$D$99:$D$178,"&lt;="&amp;$V$1)))</f>
        <v>0</v>
      </c>
      <c r="J250" s="26">
        <f t="shared" si="23"/>
        <v>0</v>
      </c>
      <c r="K250" s="27">
        <f t="shared" si="24"/>
        <v>1</v>
      </c>
      <c r="L250" s="25" t="s">
        <v>123</v>
      </c>
      <c r="M250" s="25"/>
      <c r="N250" s="25"/>
      <c r="O250" s="25"/>
      <c r="P250" s="28">
        <f t="shared" si="25"/>
        <v>46287</v>
      </c>
      <c r="Q250" s="25" t="s">
        <v>125</v>
      </c>
      <c r="R250" s="25">
        <v>110</v>
      </c>
      <c r="S250" s="25" t="s">
        <v>70</v>
      </c>
      <c r="T250" s="25" t="str">
        <f t="shared" si="26"/>
        <v/>
      </c>
      <c r="U250" t="str">
        <f>IF(AND(L250="Para Programar",G250&gt;0),COUNTIFS($L$5:L250,"Para Programar",$G$5:G250,"&gt;0"),"")</f>
        <v/>
      </c>
      <c r="W250" t="str">
        <f t="shared" si="27"/>
        <v>N15 - N16|04 Inspecciones previas - Laboratorio base de asiento</v>
      </c>
      <c r="X250">
        <v>1</v>
      </c>
    </row>
    <row r="251" spans="1:24">
      <c r="A251" s="25" t="s">
        <v>82</v>
      </c>
      <c r="B251" s="24" t="s">
        <v>138</v>
      </c>
      <c r="C251" s="25" t="s">
        <v>83</v>
      </c>
      <c r="D251" s="23" t="s">
        <v>81</v>
      </c>
      <c r="E251" s="23">
        <v>1</v>
      </c>
      <c r="F251" s="23">
        <f>IF(E251="","",MIN(E251,$X251+SUMIFS('05_Parte_Diario'!$H$5:$H$204,'05_Parte_Diario'!$D$5:$D$204,B251,'05_Parte_Diario'!$E$5:$E$204,C251)))</f>
        <v>0</v>
      </c>
      <c r="G251" s="23">
        <f t="shared" si="21"/>
        <v>1</v>
      </c>
      <c r="H251" s="26">
        <f t="shared" si="22"/>
        <v>0</v>
      </c>
      <c r="I251" s="26">
        <f>IF(OR(B251="",C251="",$V$1=""),"",MIN(E251,SUMIFS('03_Planificacion'!$G$99:$G$178,'03_Planificacion'!$E$99:$E$178,B251,'03_Planificacion'!$F$99:$F$178,C251,'03_Planificacion'!$D$99:$D$178,"&lt;="&amp;$V$1)))</f>
        <v>0</v>
      </c>
      <c r="J251" s="26">
        <f t="shared" si="23"/>
        <v>0</v>
      </c>
      <c r="K251" s="27">
        <f t="shared" si="24"/>
        <v>0</v>
      </c>
      <c r="L251" s="25" t="s">
        <v>12</v>
      </c>
      <c r="M251" s="25"/>
      <c r="N251" s="25"/>
      <c r="O251" s="25"/>
      <c r="P251" s="28">
        <f t="shared" si="25"/>
        <v>46287</v>
      </c>
      <c r="Q251" s="25" t="s">
        <v>125</v>
      </c>
      <c r="R251" s="25">
        <v>110</v>
      </c>
      <c r="S251" s="25" t="s">
        <v>70</v>
      </c>
      <c r="T251" s="25" t="str">
        <f t="shared" si="26"/>
        <v/>
      </c>
      <c r="U251">
        <f>IF(AND(L251="Para Programar",G251&gt;0),COUNTIFS($L$5:L251,"Para Programar",$G$5:G251,"&gt;0"),"")</f>
        <v>37</v>
      </c>
      <c r="W251" t="str">
        <f t="shared" si="27"/>
        <v>N15 - N16|04 Inspecciones previas - Zanja y materiales</v>
      </c>
      <c r="X251">
        <v>0</v>
      </c>
    </row>
    <row r="252" spans="1:24">
      <c r="A252" s="25" t="s">
        <v>84</v>
      </c>
      <c r="B252" s="24" t="s">
        <v>138</v>
      </c>
      <c r="C252" s="25" t="s">
        <v>85</v>
      </c>
      <c r="D252" s="23" t="s">
        <v>67</v>
      </c>
      <c r="E252" s="23">
        <v>7</v>
      </c>
      <c r="F252" s="23">
        <f>IF(E252="","",MIN(E252,$X252+SUMIFS('05_Parte_Diario'!$H$5:$H$204,'05_Parte_Diario'!$D$5:$D$204,B252,'05_Parte_Diario'!$E$5:$E$204,C252)))</f>
        <v>0</v>
      </c>
      <c r="G252" s="23">
        <f t="shared" si="21"/>
        <v>7</v>
      </c>
      <c r="H252" s="26">
        <f t="shared" si="22"/>
        <v>0</v>
      </c>
      <c r="I252" s="26">
        <f>IF(OR(B252="",C252="",$V$1=""),"",MIN(E252,SUMIFS('03_Planificacion'!$G$99:$G$178,'03_Planificacion'!$E$99:$E$178,B252,'03_Planificacion'!$F$99:$F$178,C252,'03_Planificacion'!$D$99:$D$178,"&lt;="&amp;$V$1)))</f>
        <v>0</v>
      </c>
      <c r="J252" s="26">
        <f t="shared" si="23"/>
        <v>0</v>
      </c>
      <c r="K252" s="27">
        <f t="shared" si="24"/>
        <v>0</v>
      </c>
      <c r="L252" s="25" t="s">
        <v>12</v>
      </c>
      <c r="M252" s="25"/>
      <c r="N252" s="25"/>
      <c r="O252" s="25"/>
      <c r="P252" s="28">
        <f t="shared" si="25"/>
        <v>46287</v>
      </c>
      <c r="Q252" s="25" t="s">
        <v>125</v>
      </c>
      <c r="R252" s="25">
        <v>110</v>
      </c>
      <c r="S252" s="25" t="s">
        <v>70</v>
      </c>
      <c r="T252" s="25" t="str">
        <f t="shared" si="26"/>
        <v/>
      </c>
      <c r="U252">
        <f>IF(AND(L252="Para Programar",G252&gt;0),COUNTIFS($L$5:L252,"Para Programar",$G$5:G252,"&gt;0"),"")</f>
        <v>38</v>
      </c>
      <c r="W252" t="str">
        <f t="shared" si="27"/>
        <v>N15 - N16|05 Tendido de cañería - Cañería principal</v>
      </c>
      <c r="X252">
        <v>0</v>
      </c>
    </row>
    <row r="253" spans="1:24">
      <c r="A253" s="25" t="s">
        <v>86</v>
      </c>
      <c r="B253" s="24" t="s">
        <v>138</v>
      </c>
      <c r="C253" s="25" t="s">
        <v>87</v>
      </c>
      <c r="D253" s="23" t="s">
        <v>67</v>
      </c>
      <c r="E253" s="23">
        <v>7</v>
      </c>
      <c r="F253" s="23">
        <f>IF(E253="","",MIN(E253,$X253+SUMIFS('05_Parte_Diario'!$H$5:$H$204,'05_Parte_Diario'!$D$5:$D$204,B253,'05_Parte_Diario'!$E$5:$E$204,C253)))</f>
        <v>0</v>
      </c>
      <c r="G253" s="23">
        <f t="shared" si="21"/>
        <v>7</v>
      </c>
      <c r="H253" s="26">
        <f t="shared" si="22"/>
        <v>0</v>
      </c>
      <c r="I253" s="26">
        <f>IF(OR(B253="",C253="",$V$1=""),"",MIN(E253,SUMIFS('03_Planificacion'!$G$99:$G$178,'03_Planificacion'!$E$99:$E$178,B253,'03_Planificacion'!$F$99:$F$178,C253,'03_Planificacion'!$D$99:$D$178,"&lt;="&amp;$V$1)))</f>
        <v>0</v>
      </c>
      <c r="J253" s="26">
        <f t="shared" si="23"/>
        <v>0</v>
      </c>
      <c r="K253" s="27">
        <f t="shared" si="24"/>
        <v>0</v>
      </c>
      <c r="L253" s="25" t="s">
        <v>12</v>
      </c>
      <c r="M253" s="25"/>
      <c r="N253" s="25"/>
      <c r="O253" s="25"/>
      <c r="P253" s="28">
        <f t="shared" si="25"/>
        <v>46287</v>
      </c>
      <c r="Q253" s="25" t="s">
        <v>125</v>
      </c>
      <c r="R253" s="25">
        <v>110</v>
      </c>
      <c r="S253" s="25" t="s">
        <v>70</v>
      </c>
      <c r="T253" s="25" t="str">
        <f t="shared" si="26"/>
        <v/>
      </c>
      <c r="U253">
        <f>IF(AND(L253="Para Programar",G253&gt;0),COUNTIFS($L$5:L253,"Para Programar",$G$5:G253,"&gt;0"),"")</f>
        <v>39</v>
      </c>
      <c r="W253" t="str">
        <f t="shared" si="27"/>
        <v>N15 - N16|05 Tendido de cañería - Relevamiento planialtimétrico</v>
      </c>
      <c r="X253">
        <v>0</v>
      </c>
    </row>
    <row r="254" spans="1:24">
      <c r="A254" s="25" t="s">
        <v>88</v>
      </c>
      <c r="B254" s="24" t="s">
        <v>138</v>
      </c>
      <c r="C254" s="25" t="s">
        <v>89</v>
      </c>
      <c r="D254" s="23" t="s">
        <v>81</v>
      </c>
      <c r="E254" s="23">
        <v>1</v>
      </c>
      <c r="F254" s="23">
        <f>IF(E254="","",MIN(E254,$X254+SUMIFS('05_Parte_Diario'!$H$5:$H$204,'05_Parte_Diario'!$D$5:$D$204,B254,'05_Parte_Diario'!$E$5:$E$204,C254)))</f>
        <v>0</v>
      </c>
      <c r="G254" s="23">
        <f t="shared" si="21"/>
        <v>1</v>
      </c>
      <c r="H254" s="26">
        <f t="shared" si="22"/>
        <v>0</v>
      </c>
      <c r="I254" s="26">
        <f>IF(OR(B254="",C254="",$V$1=""),"",MIN(E254,SUMIFS('03_Planificacion'!$G$99:$G$178,'03_Planificacion'!$E$99:$E$178,B254,'03_Planificacion'!$F$99:$F$178,C254,'03_Planificacion'!$D$99:$D$178,"&lt;="&amp;$V$1)))</f>
        <v>0</v>
      </c>
      <c r="J254" s="26">
        <f t="shared" si="23"/>
        <v>0</v>
      </c>
      <c r="K254" s="27">
        <f t="shared" si="24"/>
        <v>0</v>
      </c>
      <c r="L254" s="25" t="s">
        <v>12</v>
      </c>
      <c r="M254" s="25"/>
      <c r="N254" s="25"/>
      <c r="O254" s="25"/>
      <c r="P254" s="28">
        <f t="shared" si="25"/>
        <v>46287</v>
      </c>
      <c r="Q254" s="25" t="s">
        <v>125</v>
      </c>
      <c r="R254" s="25">
        <v>110</v>
      </c>
      <c r="S254" s="25" t="s">
        <v>70</v>
      </c>
      <c r="T254" s="25" t="str">
        <f t="shared" si="26"/>
        <v/>
      </c>
      <c r="U254">
        <f>IF(AND(L254="Para Programar",G254&gt;0),COUNTIFS($L$5:L254,"Para Programar",$G$5:G254,"&gt;0"),"")</f>
        <v>40</v>
      </c>
      <c r="W254" t="str">
        <f t="shared" si="27"/>
        <v>N15 - N16|08 Prueba hidráulica - Preparación del sistema</v>
      </c>
      <c r="X254">
        <v>0</v>
      </c>
    </row>
    <row r="255" spans="1:24">
      <c r="A255" s="25" t="s">
        <v>90</v>
      </c>
      <c r="B255" s="24" t="s">
        <v>138</v>
      </c>
      <c r="C255" s="25" t="s">
        <v>91</v>
      </c>
      <c r="D255" s="23" t="s">
        <v>81</v>
      </c>
      <c r="E255" s="23">
        <v>1</v>
      </c>
      <c r="F255" s="23">
        <f>IF(E255="","",MIN(E255,$X255+SUMIFS('05_Parte_Diario'!$H$5:$H$204,'05_Parte_Diario'!$D$5:$D$204,B255,'05_Parte_Diario'!$E$5:$E$204,C255)))</f>
        <v>0</v>
      </c>
      <c r="G255" s="23">
        <f t="shared" si="21"/>
        <v>1</v>
      </c>
      <c r="H255" s="26">
        <f t="shared" si="22"/>
        <v>0</v>
      </c>
      <c r="I255" s="26">
        <f>IF(OR(B255="",C255="",$V$1=""),"",MIN(E255,SUMIFS('03_Planificacion'!$G$99:$G$178,'03_Planificacion'!$E$99:$E$178,B255,'03_Planificacion'!$F$99:$F$178,C255,'03_Planificacion'!$D$99:$D$178,"&lt;="&amp;$V$1)))</f>
        <v>0</v>
      </c>
      <c r="J255" s="26">
        <f t="shared" si="23"/>
        <v>0</v>
      </c>
      <c r="K255" s="27">
        <f t="shared" si="24"/>
        <v>0</v>
      </c>
      <c r="L255" s="25" t="s">
        <v>12</v>
      </c>
      <c r="M255" s="25"/>
      <c r="N255" s="25"/>
      <c r="O255" s="25"/>
      <c r="P255" s="28">
        <f t="shared" si="25"/>
        <v>46287</v>
      </c>
      <c r="Q255" s="25" t="s">
        <v>125</v>
      </c>
      <c r="R255" s="25">
        <v>110</v>
      </c>
      <c r="S255" s="25" t="s">
        <v>70</v>
      </c>
      <c r="T255" s="25" t="str">
        <f t="shared" si="26"/>
        <v/>
      </c>
      <c r="U255">
        <f>IF(AND(L255="Para Programar",G255&gt;0),COUNTIFS($L$5:L255,"Para Programar",$G$5:G255,"&gt;0"),"")</f>
        <v>41</v>
      </c>
      <c r="W255" t="str">
        <f t="shared" si="27"/>
        <v>N15 - N16|08 Prueba hidráulica - Interna N° 1</v>
      </c>
      <c r="X255">
        <v>0</v>
      </c>
    </row>
    <row r="256" spans="1:24">
      <c r="A256" s="25" t="s">
        <v>92</v>
      </c>
      <c r="B256" s="24" t="s">
        <v>138</v>
      </c>
      <c r="C256" s="25" t="s">
        <v>93</v>
      </c>
      <c r="D256" s="23" t="s">
        <v>81</v>
      </c>
      <c r="E256" s="23">
        <v>1</v>
      </c>
      <c r="F256" s="23">
        <f>IF(E256="","",MIN(E256,$X256+SUMIFS('05_Parte_Diario'!$H$5:$H$204,'05_Parte_Diario'!$D$5:$D$204,B256,'05_Parte_Diario'!$E$5:$E$204,C256)))</f>
        <v>0</v>
      </c>
      <c r="G256" s="23">
        <f t="shared" si="21"/>
        <v>1</v>
      </c>
      <c r="H256" s="26">
        <f t="shared" si="22"/>
        <v>0</v>
      </c>
      <c r="I256" s="26">
        <f>IF(OR(B256="",C256="",$V$1=""),"",MIN(E256,SUMIFS('03_Planificacion'!$G$99:$G$178,'03_Planificacion'!$E$99:$E$178,B256,'03_Planificacion'!$F$99:$F$178,C256,'03_Planificacion'!$D$99:$D$178,"&lt;="&amp;$V$1)))</f>
        <v>0</v>
      </c>
      <c r="J256" s="26">
        <f t="shared" si="23"/>
        <v>0</v>
      </c>
      <c r="K256" s="27">
        <f t="shared" si="24"/>
        <v>0</v>
      </c>
      <c r="L256" s="25" t="s">
        <v>12</v>
      </c>
      <c r="M256" s="25"/>
      <c r="N256" s="25"/>
      <c r="O256" s="25"/>
      <c r="P256" s="28">
        <f t="shared" si="25"/>
        <v>46287</v>
      </c>
      <c r="Q256" s="25" t="s">
        <v>125</v>
      </c>
      <c r="R256" s="25">
        <v>110</v>
      </c>
      <c r="S256" s="25" t="s">
        <v>70</v>
      </c>
      <c r="T256" s="25" t="str">
        <f t="shared" si="26"/>
        <v/>
      </c>
      <c r="U256">
        <f>IF(AND(L256="Para Programar",G256&gt;0),COUNTIFS($L$5:L256,"Para Programar",$G$5:G256,"&gt;0"),"")</f>
        <v>42</v>
      </c>
      <c r="W256" t="str">
        <f t="shared" si="27"/>
        <v>N15 - N16|08 Prueba hidráulica - Interna N° 2</v>
      </c>
      <c r="X256">
        <v>0</v>
      </c>
    </row>
    <row r="257" spans="1:24">
      <c r="A257" s="25" t="s">
        <v>94</v>
      </c>
      <c r="B257" s="24" t="s">
        <v>138</v>
      </c>
      <c r="C257" s="25" t="s">
        <v>95</v>
      </c>
      <c r="D257" s="23" t="s">
        <v>81</v>
      </c>
      <c r="E257" s="23">
        <v>1</v>
      </c>
      <c r="F257" s="23">
        <f>IF(E257="","",MIN(E257,$X257+SUMIFS('05_Parte_Diario'!$H$5:$H$204,'05_Parte_Diario'!$D$5:$D$204,B257,'05_Parte_Diario'!$E$5:$E$204,C257)))</f>
        <v>0</v>
      </c>
      <c r="G257" s="23">
        <f t="shared" si="21"/>
        <v>1</v>
      </c>
      <c r="H257" s="26">
        <f t="shared" si="22"/>
        <v>0</v>
      </c>
      <c r="I257" s="26">
        <f>IF(OR(B257="",C257="",$V$1=""),"",MIN(E257,SUMIFS('03_Planificacion'!$G$99:$G$178,'03_Planificacion'!$E$99:$E$178,B257,'03_Planificacion'!$F$99:$F$178,C257,'03_Planificacion'!$D$99:$D$178,"&lt;="&amp;$V$1)))</f>
        <v>0</v>
      </c>
      <c r="J257" s="26">
        <f t="shared" si="23"/>
        <v>0</v>
      </c>
      <c r="K257" s="27">
        <f t="shared" si="24"/>
        <v>0</v>
      </c>
      <c r="L257" s="25" t="s">
        <v>12</v>
      </c>
      <c r="M257" s="25"/>
      <c r="N257" s="25"/>
      <c r="O257" s="25"/>
      <c r="P257" s="28">
        <f t="shared" si="25"/>
        <v>46287</v>
      </c>
      <c r="Q257" s="25" t="s">
        <v>125</v>
      </c>
      <c r="R257" s="25">
        <v>110</v>
      </c>
      <c r="S257" s="25" t="s">
        <v>70</v>
      </c>
      <c r="T257" s="25" t="str">
        <f t="shared" si="26"/>
        <v/>
      </c>
      <c r="U257">
        <f>IF(AND(L257="Para Programar",G257&gt;0),COUNTIFS($L$5:L257,"Para Programar",$G$5:G257,"&gt;0"),"")</f>
        <v>43</v>
      </c>
      <c r="W257" t="str">
        <f t="shared" si="27"/>
        <v>N15 - N16|08 Prueba hidráulica - Primera prueba oficial</v>
      </c>
      <c r="X257">
        <v>0</v>
      </c>
    </row>
    <row r="258" spans="1:24">
      <c r="A258" s="25" t="s">
        <v>96</v>
      </c>
      <c r="B258" s="24" t="s">
        <v>138</v>
      </c>
      <c r="C258" s="25" t="s">
        <v>97</v>
      </c>
      <c r="D258" s="23" t="s">
        <v>67</v>
      </c>
      <c r="E258" s="23">
        <v>7</v>
      </c>
      <c r="F258" s="23">
        <f>IF(E258="","",MIN(E258,$X258+SUMIFS('05_Parte_Diario'!$H$5:$H$204,'05_Parte_Diario'!$D$5:$D$204,B258,'05_Parte_Diario'!$E$5:$E$204,C258)))</f>
        <v>0</v>
      </c>
      <c r="G258" s="23">
        <f t="shared" si="21"/>
        <v>7</v>
      </c>
      <c r="H258" s="26">
        <f t="shared" si="22"/>
        <v>0</v>
      </c>
      <c r="I258" s="26">
        <f>IF(OR(B258="",C258="",$V$1=""),"",MIN(E258,SUMIFS('03_Planificacion'!$G$99:$G$178,'03_Planificacion'!$E$99:$E$178,B258,'03_Planificacion'!$F$99:$F$178,C258,'03_Planificacion'!$D$99:$D$178,"&lt;="&amp;$V$1)))</f>
        <v>0</v>
      </c>
      <c r="J258" s="26">
        <f t="shared" si="23"/>
        <v>0</v>
      </c>
      <c r="K258" s="27">
        <f t="shared" si="24"/>
        <v>0</v>
      </c>
      <c r="L258" s="25" t="s">
        <v>68</v>
      </c>
      <c r="M258" s="25"/>
      <c r="N258" s="25"/>
      <c r="O258" s="25"/>
      <c r="P258" s="28">
        <f t="shared" si="25"/>
        <v>46287</v>
      </c>
      <c r="Q258" s="25" t="s">
        <v>125</v>
      </c>
      <c r="R258" s="25">
        <v>110</v>
      </c>
      <c r="S258" s="25" t="s">
        <v>70</v>
      </c>
      <c r="T258" s="25" t="str">
        <f t="shared" si="26"/>
        <v/>
      </c>
      <c r="U258" t="str">
        <f>IF(AND(L258="Para Programar",G258&gt;0),COUNTIFS($L$5:L258,"Para Programar",$G$5:G258,"&gt;0"),"")</f>
        <v/>
      </c>
      <c r="W258" t="str">
        <f t="shared" si="27"/>
        <v>N15 - N16|09 Paquete estructural - Aporte e=0,30 m</v>
      </c>
      <c r="X258">
        <v>0</v>
      </c>
    </row>
    <row r="259" spans="1:24">
      <c r="A259" s="25" t="s">
        <v>98</v>
      </c>
      <c r="B259" s="24" t="s">
        <v>138</v>
      </c>
      <c r="C259" s="25" t="s">
        <v>99</v>
      </c>
      <c r="D259" s="23" t="s">
        <v>67</v>
      </c>
      <c r="E259" s="23">
        <v>7</v>
      </c>
      <c r="F259" s="23">
        <f>IF(E259="","",MIN(E259,$X259+SUMIFS('05_Parte_Diario'!$H$5:$H$204,'05_Parte_Diario'!$D$5:$D$204,B259,'05_Parte_Diario'!$E$5:$E$204,C259)))</f>
        <v>0</v>
      </c>
      <c r="G259" s="23">
        <f t="shared" si="21"/>
        <v>7</v>
      </c>
      <c r="H259" s="26">
        <f t="shared" si="22"/>
        <v>0</v>
      </c>
      <c r="I259" s="26">
        <f>IF(OR(B259="",C259="",$V$1=""),"",MIN(E259,SUMIFS('03_Planificacion'!$G$99:$G$178,'03_Planificacion'!$E$99:$E$178,B259,'03_Planificacion'!$F$99:$F$178,C259,'03_Planificacion'!$D$99:$D$178,"&lt;="&amp;$V$1)))</f>
        <v>0</v>
      </c>
      <c r="J259" s="26">
        <f t="shared" si="23"/>
        <v>0</v>
      </c>
      <c r="K259" s="27">
        <f t="shared" si="24"/>
        <v>0</v>
      </c>
      <c r="L259" s="25" t="s">
        <v>68</v>
      </c>
      <c r="M259" s="25"/>
      <c r="N259" s="25"/>
      <c r="O259" s="25"/>
      <c r="P259" s="28">
        <f t="shared" si="25"/>
        <v>46287</v>
      </c>
      <c r="Q259" s="25" t="s">
        <v>125</v>
      </c>
      <c r="R259" s="25">
        <v>110</v>
      </c>
      <c r="S259" s="25" t="s">
        <v>70</v>
      </c>
      <c r="T259" s="25" t="str">
        <f t="shared" si="26"/>
        <v/>
      </c>
      <c r="U259" t="str">
        <f>IF(AND(L259="Para Programar",G259&gt;0),COUNTIFS($L$5:L259,"Para Programar",$G$5:G259,"&gt;0"),"")</f>
        <v/>
      </c>
      <c r="W259" t="str">
        <f t="shared" si="27"/>
        <v>N15 - N16|09 Paquete estructural - Compactación</v>
      </c>
      <c r="X259">
        <v>0</v>
      </c>
    </row>
    <row r="260" spans="1:24">
      <c r="A260" s="25" t="s">
        <v>100</v>
      </c>
      <c r="B260" s="24" t="s">
        <v>138</v>
      </c>
      <c r="C260" s="25" t="s">
        <v>101</v>
      </c>
      <c r="D260" s="23" t="s">
        <v>81</v>
      </c>
      <c r="E260" s="23">
        <v>1</v>
      </c>
      <c r="F260" s="23">
        <f>IF(E260="","",MIN(E260,$X260+SUMIFS('05_Parte_Diario'!$H$5:$H$204,'05_Parte_Diario'!$D$5:$D$204,B260,'05_Parte_Diario'!$E$5:$E$204,C260)))</f>
        <v>0</v>
      </c>
      <c r="G260" s="23">
        <f t="shared" si="21"/>
        <v>1</v>
      </c>
      <c r="H260" s="26">
        <f t="shared" si="22"/>
        <v>0</v>
      </c>
      <c r="I260" s="26">
        <f>IF(OR(B260="",C260="",$V$1=""),"",MIN(E260,SUMIFS('03_Planificacion'!$G$99:$G$178,'03_Planificacion'!$E$99:$E$178,B260,'03_Planificacion'!$F$99:$F$178,C260,'03_Planificacion'!$D$99:$D$178,"&lt;="&amp;$V$1)))</f>
        <v>0</v>
      </c>
      <c r="J260" s="26">
        <f t="shared" si="23"/>
        <v>0</v>
      </c>
      <c r="K260" s="27">
        <f t="shared" si="24"/>
        <v>0</v>
      </c>
      <c r="L260" s="25" t="s">
        <v>68</v>
      </c>
      <c r="M260" s="25"/>
      <c r="N260" s="25"/>
      <c r="O260" s="25"/>
      <c r="P260" s="28">
        <f t="shared" si="25"/>
        <v>46287</v>
      </c>
      <c r="Q260" s="25" t="s">
        <v>125</v>
      </c>
      <c r="R260" s="25">
        <v>110</v>
      </c>
      <c r="S260" s="25" t="s">
        <v>70</v>
      </c>
      <c r="T260" s="25" t="str">
        <f t="shared" si="26"/>
        <v/>
      </c>
      <c r="U260" t="str">
        <f>IF(AND(L260="Para Programar",G260&gt;0),COUNTIFS($L$5:L260,"Para Programar",$G$5:G260,"&gt;0"),"")</f>
        <v/>
      </c>
      <c r="W260" t="str">
        <f t="shared" si="27"/>
        <v>N15 - N16|09 Paquete estructural - Inspección laboratorio</v>
      </c>
      <c r="X260">
        <v>0</v>
      </c>
    </row>
    <row r="261" spans="1:24">
      <c r="A261" s="25" t="s">
        <v>102</v>
      </c>
      <c r="B261" s="24" t="s">
        <v>138</v>
      </c>
      <c r="C261" s="25" t="s">
        <v>103</v>
      </c>
      <c r="D261" s="23" t="s">
        <v>67</v>
      </c>
      <c r="E261" s="23">
        <v>7</v>
      </c>
      <c r="F261" s="23">
        <f>IF(E261="","",MIN(E261,$X261+SUMIFS('05_Parte_Diario'!$H$5:$H$204,'05_Parte_Diario'!$D$5:$D$204,B261,'05_Parte_Diario'!$E$5:$E$204,C261)))</f>
        <v>0</v>
      </c>
      <c r="G261" s="23">
        <f t="shared" ref="G261:G324" si="28">IF(E261="","",MAX(E261-F261,0))</f>
        <v>7</v>
      </c>
      <c r="H261" s="26">
        <f t="shared" ref="H261:H324" si="29">IFERROR(F261/E261,0)</f>
        <v>0</v>
      </c>
      <c r="I261" s="26">
        <f>IF(OR(B261="",C261="",$V$1=""),"",MIN(E261,SUMIFS('03_Planificacion'!$G$99:$G$178,'03_Planificacion'!$E$99:$E$178,B261,'03_Planificacion'!$F$99:$F$178,C261,'03_Planificacion'!$D$99:$D$178,"&lt;="&amp;$V$1)))</f>
        <v>0</v>
      </c>
      <c r="J261" s="26">
        <f t="shared" ref="J261:J324" si="30">IFERROR(I261/E261,0)</f>
        <v>0</v>
      </c>
      <c r="K261" s="27">
        <f t="shared" ref="K261:K324" si="31">IF(OR(E261="",$V$1=""),"",H261-J261)</f>
        <v>0</v>
      </c>
      <c r="L261" s="25" t="s">
        <v>68</v>
      </c>
      <c r="M261" s="25"/>
      <c r="N261" s="25"/>
      <c r="O261" s="25"/>
      <c r="P261" s="28">
        <f t="shared" ref="P261:P324" si="32">IF(A261="","",$V$1)</f>
        <v>46287</v>
      </c>
      <c r="Q261" s="25" t="s">
        <v>125</v>
      </c>
      <c r="R261" s="25">
        <v>110</v>
      </c>
      <c r="S261" s="25" t="s">
        <v>70</v>
      </c>
      <c r="T261" s="25" t="str">
        <f t="shared" ref="T261:T324" si="33">IF(A261="","",IF(AND(L261="Para Programar",G261=0),"INCONSISTENCIA - REVISAR MANUALMENTE: Para Programar sin saldo",IF(AND(L261="Terminada",G261&gt;0),"INCONSISTENCIA - REVISAR MANUALMENTE: Terminada con saldo","")))</f>
        <v/>
      </c>
      <c r="U261" t="str">
        <f>IF(AND(L261="Para Programar",G261&gt;0),COUNTIFS($L$5:L261,"Para Programar",$G$5:G261,"&gt;0"),"")</f>
        <v/>
      </c>
      <c r="W261" t="str">
        <f t="shared" ref="W261:W324" si="34">IF(OR(B261="",C261=""),"",B261&amp;"|"&amp;C261)</f>
        <v>N15 - N16|10 Relleno -0,60 - Conformación de capa</v>
      </c>
      <c r="X261">
        <v>0</v>
      </c>
    </row>
    <row r="262" spans="1:24">
      <c r="A262" t="s">
        <v>104</v>
      </c>
      <c r="B262" s="14" t="s">
        <v>138</v>
      </c>
      <c r="C262" t="s">
        <v>105</v>
      </c>
      <c r="D262" s="13" t="s">
        <v>67</v>
      </c>
      <c r="E262" s="13">
        <v>7</v>
      </c>
      <c r="F262" s="13">
        <f>IF(E262="","",MIN(E262,$X262+SUMIFS('05_Parte_Diario'!$H$5:$H$204,'05_Parte_Diario'!$D$5:$D$204,B262,'05_Parte_Diario'!$E$5:$E$204,C262)))</f>
        <v>0</v>
      </c>
      <c r="G262" s="13">
        <f t="shared" si="28"/>
        <v>7</v>
      </c>
      <c r="H262" s="21">
        <f t="shared" si="29"/>
        <v>0</v>
      </c>
      <c r="I262" s="21">
        <f>IF(OR(B262="",C262="",$V$1=""),"",MIN(E262,SUMIFS('03_Planificacion'!$G$99:$G$178,'03_Planificacion'!$E$99:$E$178,B262,'03_Planificacion'!$F$99:$F$178,C262,'03_Planificacion'!$D$99:$D$178,"&lt;="&amp;$V$1)))</f>
        <v>0</v>
      </c>
      <c r="J262" s="21">
        <f t="shared" si="30"/>
        <v>0</v>
      </c>
      <c r="K262" s="6">
        <f t="shared" si="31"/>
        <v>0</v>
      </c>
      <c r="L262" t="s">
        <v>68</v>
      </c>
      <c r="P262" s="5">
        <f t="shared" si="32"/>
        <v>46287</v>
      </c>
      <c r="Q262" t="s">
        <v>125</v>
      </c>
      <c r="R262">
        <v>110</v>
      </c>
      <c r="S262" t="s">
        <v>70</v>
      </c>
      <c r="T262" t="str">
        <f t="shared" si="33"/>
        <v/>
      </c>
      <c r="U262" t="str">
        <f>IF(AND(L262="Para Programar",G262&gt;0),COUNTIFS($L$5:L262,"Para Programar",$G$5:G262,"&gt;0"),"")</f>
        <v/>
      </c>
      <c r="W262" t="str">
        <f t="shared" si="34"/>
        <v>N15 - N16|10 Relleno -0,60 - Humectación</v>
      </c>
      <c r="X262">
        <v>0</v>
      </c>
    </row>
    <row r="263" spans="1:24">
      <c r="A263" t="s">
        <v>106</v>
      </c>
      <c r="B263" s="14" t="s">
        <v>138</v>
      </c>
      <c r="C263" t="s">
        <v>107</v>
      </c>
      <c r="D263" s="13" t="s">
        <v>67</v>
      </c>
      <c r="E263" s="13">
        <v>7</v>
      </c>
      <c r="F263" s="13">
        <f>IF(E263="","",MIN(E263,$X263+SUMIFS('05_Parte_Diario'!$H$5:$H$204,'05_Parte_Diario'!$D$5:$D$204,B263,'05_Parte_Diario'!$E$5:$E$204,C263)))</f>
        <v>0</v>
      </c>
      <c r="G263" s="13">
        <f t="shared" si="28"/>
        <v>7</v>
      </c>
      <c r="H263" s="21">
        <f t="shared" si="29"/>
        <v>0</v>
      </c>
      <c r="I263" s="21">
        <f>IF(OR(B263="",C263="",$V$1=""),"",MIN(E263,SUMIFS('03_Planificacion'!$G$99:$G$178,'03_Planificacion'!$E$99:$E$178,B263,'03_Planificacion'!$F$99:$F$178,C263,'03_Planificacion'!$D$99:$D$178,"&lt;="&amp;$V$1)))</f>
        <v>0</v>
      </c>
      <c r="J263" s="21">
        <f t="shared" si="30"/>
        <v>0</v>
      </c>
      <c r="K263" s="6">
        <f t="shared" si="31"/>
        <v>0</v>
      </c>
      <c r="L263" t="s">
        <v>68</v>
      </c>
      <c r="P263" s="5">
        <f t="shared" si="32"/>
        <v>46287</v>
      </c>
      <c r="Q263" t="s">
        <v>125</v>
      </c>
      <c r="R263">
        <v>110</v>
      </c>
      <c r="S263" t="s">
        <v>70</v>
      </c>
      <c r="T263" t="str">
        <f t="shared" si="33"/>
        <v/>
      </c>
      <c r="U263" t="str">
        <f>IF(AND(L263="Para Programar",G263&gt;0),COUNTIFS($L$5:L263,"Para Programar",$G$5:G263,"&gt;0"),"")</f>
        <v/>
      </c>
      <c r="W263" t="str">
        <f t="shared" si="34"/>
        <v>N15 - N16|10 Relleno -0,60 - Compactación</v>
      </c>
      <c r="X263">
        <v>0</v>
      </c>
    </row>
    <row r="264" spans="1:24">
      <c r="A264" t="s">
        <v>108</v>
      </c>
      <c r="B264" s="14" t="s">
        <v>138</v>
      </c>
      <c r="C264" t="s">
        <v>109</v>
      </c>
      <c r="D264" s="13" t="s">
        <v>81</v>
      </c>
      <c r="E264" s="13">
        <v>1</v>
      </c>
      <c r="F264" s="13">
        <f>IF(E264="","",MIN(E264,$X264+SUMIFS('05_Parte_Diario'!$H$5:$H$204,'05_Parte_Diario'!$D$5:$D$204,B264,'05_Parte_Diario'!$E$5:$E$204,C264)))</f>
        <v>0</v>
      </c>
      <c r="G264" s="13">
        <f t="shared" si="28"/>
        <v>1</v>
      </c>
      <c r="H264" s="21">
        <f t="shared" si="29"/>
        <v>0</v>
      </c>
      <c r="I264" s="21">
        <f>IF(OR(B264="",C264="",$V$1=""),"",MIN(E264,SUMIFS('03_Planificacion'!$G$99:$G$178,'03_Planificacion'!$E$99:$E$178,B264,'03_Planificacion'!$F$99:$F$178,C264,'03_Planificacion'!$D$99:$D$178,"&lt;="&amp;$V$1)))</f>
        <v>0</v>
      </c>
      <c r="J264" s="21">
        <f t="shared" si="30"/>
        <v>0</v>
      </c>
      <c r="K264" s="6">
        <f t="shared" si="31"/>
        <v>0</v>
      </c>
      <c r="L264" t="s">
        <v>68</v>
      </c>
      <c r="P264" s="5">
        <f t="shared" si="32"/>
        <v>46287</v>
      </c>
      <c r="Q264" t="s">
        <v>125</v>
      </c>
      <c r="R264">
        <v>110</v>
      </c>
      <c r="S264" t="s">
        <v>70</v>
      </c>
      <c r="T264" t="str">
        <f t="shared" si="33"/>
        <v/>
      </c>
      <c r="U264" t="str">
        <f>IF(AND(L264="Para Programar",G264&gt;0),COUNTIFS($L$5:L264,"Para Programar",$G$5:G264,"&gt;0"),"")</f>
        <v/>
      </c>
      <c r="W264" t="str">
        <f t="shared" si="34"/>
        <v>N15 - N16|10 Relleno -0,60 - Inspección laboratorio</v>
      </c>
      <c r="X264">
        <v>0</v>
      </c>
    </row>
    <row r="265" spans="1:24">
      <c r="A265" t="s">
        <v>110</v>
      </c>
      <c r="B265" s="14" t="s">
        <v>138</v>
      </c>
      <c r="C265" t="s">
        <v>111</v>
      </c>
      <c r="D265" s="13" t="s">
        <v>67</v>
      </c>
      <c r="E265" s="13">
        <v>7</v>
      </c>
      <c r="F265" s="13">
        <f>IF(E265="","",MIN(E265,$X265+SUMIFS('05_Parte_Diario'!$H$5:$H$204,'05_Parte_Diario'!$D$5:$D$204,B265,'05_Parte_Diario'!$E$5:$E$204,C265)))</f>
        <v>0</v>
      </c>
      <c r="G265" s="13">
        <f t="shared" si="28"/>
        <v>7</v>
      </c>
      <c r="H265" s="21">
        <f t="shared" si="29"/>
        <v>0</v>
      </c>
      <c r="I265" s="21">
        <f>IF(OR(B265="",C265="",$V$1=""),"",MIN(E265,SUMIFS('03_Planificacion'!$G$99:$G$178,'03_Planificacion'!$E$99:$E$178,B265,'03_Planificacion'!$F$99:$F$178,C265,'03_Planificacion'!$D$99:$D$178,"&lt;="&amp;$V$1)))</f>
        <v>0</v>
      </c>
      <c r="J265" s="21">
        <f t="shared" si="30"/>
        <v>0</v>
      </c>
      <c r="K265" s="6">
        <f t="shared" si="31"/>
        <v>0</v>
      </c>
      <c r="L265" t="s">
        <v>68</v>
      </c>
      <c r="P265" s="5">
        <f t="shared" si="32"/>
        <v>46287</v>
      </c>
      <c r="Q265" t="s">
        <v>125</v>
      </c>
      <c r="R265">
        <v>110</v>
      </c>
      <c r="S265" t="s">
        <v>70</v>
      </c>
      <c r="T265" t="str">
        <f t="shared" si="33"/>
        <v/>
      </c>
      <c r="U265" t="str">
        <f>IF(AND(L265="Para Programar",G265&gt;0),COUNTIFS($L$5:L265,"Para Programar",$G$5:G265,"&gt;0"),"")</f>
        <v/>
      </c>
      <c r="W265" t="str">
        <f t="shared" si="34"/>
        <v>N15 - N16|11 Relleno -0,30 - Conformación de capa</v>
      </c>
      <c r="X265">
        <v>0</v>
      </c>
    </row>
    <row r="266" spans="1:24">
      <c r="A266" t="s">
        <v>112</v>
      </c>
      <c r="B266" s="14" t="s">
        <v>138</v>
      </c>
      <c r="C266" t="s">
        <v>113</v>
      </c>
      <c r="D266" s="13" t="s">
        <v>67</v>
      </c>
      <c r="E266" s="13">
        <v>7</v>
      </c>
      <c r="F266" s="13">
        <f>IF(E266="","",MIN(E266,$X266+SUMIFS('05_Parte_Diario'!$H$5:$H$204,'05_Parte_Diario'!$D$5:$D$204,B266,'05_Parte_Diario'!$E$5:$E$204,C266)))</f>
        <v>0</v>
      </c>
      <c r="G266" s="13">
        <f t="shared" si="28"/>
        <v>7</v>
      </c>
      <c r="H266" s="21">
        <f t="shared" si="29"/>
        <v>0</v>
      </c>
      <c r="I266" s="21">
        <f>IF(OR(B266="",C266="",$V$1=""),"",MIN(E266,SUMIFS('03_Planificacion'!$G$99:$G$178,'03_Planificacion'!$E$99:$E$178,B266,'03_Planificacion'!$F$99:$F$178,C266,'03_Planificacion'!$D$99:$D$178,"&lt;="&amp;$V$1)))</f>
        <v>0</v>
      </c>
      <c r="J266" s="21">
        <f t="shared" si="30"/>
        <v>0</v>
      </c>
      <c r="K266" s="6">
        <f t="shared" si="31"/>
        <v>0</v>
      </c>
      <c r="L266" t="s">
        <v>68</v>
      </c>
      <c r="P266" s="5">
        <f t="shared" si="32"/>
        <v>46287</v>
      </c>
      <c r="Q266" t="s">
        <v>125</v>
      </c>
      <c r="R266">
        <v>110</v>
      </c>
      <c r="S266" t="s">
        <v>70</v>
      </c>
      <c r="T266" t="str">
        <f t="shared" si="33"/>
        <v/>
      </c>
      <c r="U266" t="str">
        <f>IF(AND(L266="Para Programar",G266&gt;0),COUNTIFS($L$5:L266,"Para Programar",$G$5:G266,"&gt;0"),"")</f>
        <v/>
      </c>
      <c r="W266" t="str">
        <f t="shared" si="34"/>
        <v>N15 - N16|11 Relleno -0,30 - Humectación</v>
      </c>
      <c r="X266">
        <v>0</v>
      </c>
    </row>
    <row r="267" spans="1:24">
      <c r="A267" t="s">
        <v>114</v>
      </c>
      <c r="B267" s="14" t="s">
        <v>138</v>
      </c>
      <c r="C267" t="s">
        <v>115</v>
      </c>
      <c r="D267" s="13" t="s">
        <v>67</v>
      </c>
      <c r="E267" s="13">
        <v>7</v>
      </c>
      <c r="F267" s="13">
        <f>IF(E267="","",MIN(E267,$X267+SUMIFS('05_Parte_Diario'!$H$5:$H$204,'05_Parte_Diario'!$D$5:$D$204,B267,'05_Parte_Diario'!$E$5:$E$204,C267)))</f>
        <v>0</v>
      </c>
      <c r="G267" s="13">
        <f t="shared" si="28"/>
        <v>7</v>
      </c>
      <c r="H267" s="21">
        <f t="shared" si="29"/>
        <v>0</v>
      </c>
      <c r="I267" s="21">
        <f>IF(OR(B267="",C267="",$V$1=""),"",MIN(E267,SUMIFS('03_Planificacion'!$G$99:$G$178,'03_Planificacion'!$E$99:$E$178,B267,'03_Planificacion'!$F$99:$F$178,C267,'03_Planificacion'!$D$99:$D$178,"&lt;="&amp;$V$1)))</f>
        <v>0</v>
      </c>
      <c r="J267" s="21">
        <f t="shared" si="30"/>
        <v>0</v>
      </c>
      <c r="K267" s="6">
        <f t="shared" si="31"/>
        <v>0</v>
      </c>
      <c r="L267" t="s">
        <v>68</v>
      </c>
      <c r="P267" s="5">
        <f t="shared" si="32"/>
        <v>46287</v>
      </c>
      <c r="Q267" t="s">
        <v>125</v>
      </c>
      <c r="R267">
        <v>110</v>
      </c>
      <c r="S267" t="s">
        <v>70</v>
      </c>
      <c r="T267" t="str">
        <f t="shared" si="33"/>
        <v/>
      </c>
      <c r="U267" t="str">
        <f>IF(AND(L267="Para Programar",G267&gt;0),COUNTIFS($L$5:L267,"Para Programar",$G$5:G267,"&gt;0"),"")</f>
        <v/>
      </c>
      <c r="W267" t="str">
        <f t="shared" si="34"/>
        <v>N15 - N16|11 Relleno -0,30 - Compactación</v>
      </c>
      <c r="X267">
        <v>0</v>
      </c>
    </row>
    <row r="268" spans="1:24">
      <c r="A268" t="s">
        <v>116</v>
      </c>
      <c r="B268" s="14" t="s">
        <v>138</v>
      </c>
      <c r="C268" t="s">
        <v>117</v>
      </c>
      <c r="D268" s="13" t="s">
        <v>81</v>
      </c>
      <c r="E268" s="13">
        <v>1</v>
      </c>
      <c r="F268" s="13">
        <f>IF(E268="","",MIN(E268,$X268+SUMIFS('05_Parte_Diario'!$H$5:$H$204,'05_Parte_Diario'!$D$5:$D$204,B268,'05_Parte_Diario'!$E$5:$E$204,C268)))</f>
        <v>0</v>
      </c>
      <c r="G268" s="13">
        <f t="shared" si="28"/>
        <v>1</v>
      </c>
      <c r="H268" s="21">
        <f t="shared" si="29"/>
        <v>0</v>
      </c>
      <c r="I268" s="21">
        <f>IF(OR(B268="",C268="",$V$1=""),"",MIN(E268,SUMIFS('03_Planificacion'!$G$99:$G$178,'03_Planificacion'!$E$99:$E$178,B268,'03_Planificacion'!$F$99:$F$178,C268,'03_Planificacion'!$D$99:$D$178,"&lt;="&amp;$V$1)))</f>
        <v>0</v>
      </c>
      <c r="J268" s="21">
        <f t="shared" si="30"/>
        <v>0</v>
      </c>
      <c r="K268" s="6">
        <f t="shared" si="31"/>
        <v>0</v>
      </c>
      <c r="L268" t="s">
        <v>68</v>
      </c>
      <c r="P268" s="5">
        <f t="shared" si="32"/>
        <v>46287</v>
      </c>
      <c r="Q268" t="s">
        <v>125</v>
      </c>
      <c r="R268">
        <v>110</v>
      </c>
      <c r="S268" t="s">
        <v>70</v>
      </c>
      <c r="T268" t="str">
        <f t="shared" si="33"/>
        <v/>
      </c>
      <c r="U268" t="str">
        <f>IF(AND(L268="Para Programar",G268&gt;0),COUNTIFS($L$5:L268,"Para Programar",$G$5:G268,"&gt;0"),"")</f>
        <v/>
      </c>
      <c r="W268" t="str">
        <f t="shared" si="34"/>
        <v>N15 - N16|11 Relleno -0,30 - Inspección laboratorio</v>
      </c>
      <c r="X268">
        <v>0</v>
      </c>
    </row>
    <row r="269" spans="1:24">
      <c r="A269" t="s">
        <v>64</v>
      </c>
      <c r="B269" s="14" t="s">
        <v>139</v>
      </c>
      <c r="C269" t="s">
        <v>66</v>
      </c>
      <c r="D269" s="13" t="s">
        <v>67</v>
      </c>
      <c r="E269" s="13">
        <v>245</v>
      </c>
      <c r="F269" s="13">
        <f>IF(E269="","",MIN(E269,$X269+SUMIFS('05_Parte_Diario'!$H$5:$H$204,'05_Parte_Diario'!$D$5:$D$204,B269,'05_Parte_Diario'!$E$5:$E$204,C269)))</f>
        <v>245</v>
      </c>
      <c r="G269" s="13">
        <f t="shared" si="28"/>
        <v>0</v>
      </c>
      <c r="H269" s="21">
        <f t="shared" si="29"/>
        <v>1</v>
      </c>
      <c r="I269" s="21">
        <f>IF(OR(B269="",C269="",$V$1=""),"",MIN(E269,SUMIFS('03_Planificacion'!$G$99:$G$178,'03_Planificacion'!$E$99:$E$178,B269,'03_Planificacion'!$F$99:$F$178,C269,'03_Planificacion'!$D$99:$D$178,"&lt;="&amp;$V$1)))</f>
        <v>0</v>
      </c>
      <c r="J269" s="21">
        <f t="shared" si="30"/>
        <v>0</v>
      </c>
      <c r="K269" s="6">
        <f t="shared" si="31"/>
        <v>1</v>
      </c>
      <c r="L269" t="s">
        <v>123</v>
      </c>
      <c r="P269" s="5">
        <f t="shared" si="32"/>
        <v>46287</v>
      </c>
      <c r="Q269" t="s">
        <v>125</v>
      </c>
      <c r="R269">
        <v>110</v>
      </c>
      <c r="S269" t="s">
        <v>70</v>
      </c>
      <c r="T269" t="str">
        <f t="shared" si="33"/>
        <v/>
      </c>
      <c r="U269" t="str">
        <f>IF(AND(L269="Para Programar",G269&gt;0),COUNTIFS($L$5:L269,"Para Programar",$G$5:G269,"&gt;0"),"")</f>
        <v/>
      </c>
      <c r="W269" t="str">
        <f t="shared" si="34"/>
        <v>N15 - N17|01 Replanteo - Marcación de tramo de cañería principal</v>
      </c>
      <c r="X269">
        <v>245</v>
      </c>
    </row>
    <row r="270" spans="1:24">
      <c r="A270" t="s">
        <v>71</v>
      </c>
      <c r="B270" s="14" t="s">
        <v>139</v>
      </c>
      <c r="C270" t="s">
        <v>72</v>
      </c>
      <c r="D270" s="13" t="s">
        <v>67</v>
      </c>
      <c r="E270" s="13">
        <v>245</v>
      </c>
      <c r="F270" s="13">
        <f>IF(E270="","",MIN(E270,$X270+SUMIFS('05_Parte_Diario'!$H$5:$H$204,'05_Parte_Diario'!$D$5:$D$204,B270,'05_Parte_Diario'!$E$5:$E$204,C270)))</f>
        <v>245</v>
      </c>
      <c r="G270" s="13">
        <f t="shared" si="28"/>
        <v>0</v>
      </c>
      <c r="H270" s="21">
        <f t="shared" si="29"/>
        <v>1</v>
      </c>
      <c r="I270" s="21">
        <f>IF(OR(B270="",C270="",$V$1=""),"",MIN(E270,SUMIFS('03_Planificacion'!$G$99:$G$178,'03_Planificacion'!$E$99:$E$178,B270,'03_Planificacion'!$F$99:$F$178,C270,'03_Planificacion'!$D$99:$D$178,"&lt;="&amp;$V$1)))</f>
        <v>0</v>
      </c>
      <c r="J270" s="21">
        <f t="shared" si="30"/>
        <v>0</v>
      </c>
      <c r="K270" s="6">
        <f t="shared" si="31"/>
        <v>1</v>
      </c>
      <c r="L270" t="s">
        <v>123</v>
      </c>
      <c r="P270" s="5">
        <f t="shared" si="32"/>
        <v>46287</v>
      </c>
      <c r="Q270" t="s">
        <v>125</v>
      </c>
      <c r="R270">
        <v>110</v>
      </c>
      <c r="S270" t="s">
        <v>70</v>
      </c>
      <c r="T270" t="str">
        <f t="shared" si="33"/>
        <v/>
      </c>
      <c r="U270" t="str">
        <f>IF(AND(L270="Para Programar",G270&gt;0),COUNTIFS($L$5:L270,"Para Programar",$G$5:G270,"&gt;0"),"")</f>
        <v/>
      </c>
      <c r="W270" t="str">
        <f t="shared" si="34"/>
        <v>N15 - N17|02 Excavación - Zanja principal</v>
      </c>
      <c r="X270">
        <v>245</v>
      </c>
    </row>
    <row r="271" spans="1:24">
      <c r="A271" t="s">
        <v>73</v>
      </c>
      <c r="B271" s="14" t="s">
        <v>139</v>
      </c>
      <c r="C271" t="s">
        <v>74</v>
      </c>
      <c r="D271" s="13" t="s">
        <v>67</v>
      </c>
      <c r="E271" s="13">
        <v>245</v>
      </c>
      <c r="F271" s="13">
        <f>IF(E271="","",MIN(E271,$X271+SUMIFS('05_Parte_Diario'!$H$5:$H$204,'05_Parte_Diario'!$D$5:$D$204,B271,'05_Parte_Diario'!$E$5:$E$204,C271)))</f>
        <v>245</v>
      </c>
      <c r="G271" s="13">
        <f t="shared" si="28"/>
        <v>0</v>
      </c>
      <c r="H271" s="21">
        <f t="shared" si="29"/>
        <v>1</v>
      </c>
      <c r="I271" s="21">
        <f>IF(OR(B271="",C271="",$V$1=""),"",MIN(E271,SUMIFS('03_Planificacion'!$G$99:$G$178,'03_Planificacion'!$E$99:$E$178,B271,'03_Planificacion'!$F$99:$F$178,C271,'03_Planificacion'!$D$99:$D$178,"&lt;="&amp;$V$1)))</f>
        <v>0</v>
      </c>
      <c r="J271" s="21">
        <f t="shared" si="30"/>
        <v>0</v>
      </c>
      <c r="K271" s="6">
        <f t="shared" si="31"/>
        <v>1</v>
      </c>
      <c r="L271" t="s">
        <v>123</v>
      </c>
      <c r="P271" s="5">
        <f t="shared" si="32"/>
        <v>46287</v>
      </c>
      <c r="Q271" t="s">
        <v>125</v>
      </c>
      <c r="R271">
        <v>110</v>
      </c>
      <c r="S271" t="s">
        <v>70</v>
      </c>
      <c r="T271" t="str">
        <f t="shared" si="33"/>
        <v/>
      </c>
      <c r="U271" t="str">
        <f>IF(AND(L271="Para Programar",G271&gt;0),COUNTIFS($L$5:L271,"Para Programar",$G$5:G271,"&gt;0"),"")</f>
        <v/>
      </c>
      <c r="W271" t="str">
        <f t="shared" si="34"/>
        <v>N15 - N17|03 Base de asiento - Nivelación de fondo de zanja</v>
      </c>
      <c r="X271">
        <v>245</v>
      </c>
    </row>
    <row r="272" spans="1:24">
      <c r="A272" t="s">
        <v>75</v>
      </c>
      <c r="B272" s="14" t="s">
        <v>139</v>
      </c>
      <c r="C272" t="s">
        <v>76</v>
      </c>
      <c r="D272" s="13" t="s">
        <v>67</v>
      </c>
      <c r="E272" s="13">
        <v>245</v>
      </c>
      <c r="F272" s="13">
        <f>IF(E272="","",MIN(E272,$X272+SUMIFS('05_Parte_Diario'!$H$5:$H$204,'05_Parte_Diario'!$D$5:$D$204,B272,'05_Parte_Diario'!$E$5:$E$204,C272)))</f>
        <v>245</v>
      </c>
      <c r="G272" s="13">
        <f t="shared" si="28"/>
        <v>0</v>
      </c>
      <c r="H272" s="21">
        <f t="shared" si="29"/>
        <v>1</v>
      </c>
      <c r="I272" s="21">
        <f>IF(OR(B272="",C272="",$V$1=""),"",MIN(E272,SUMIFS('03_Planificacion'!$G$99:$G$178,'03_Planificacion'!$E$99:$E$178,B272,'03_Planificacion'!$F$99:$F$178,C272,'03_Planificacion'!$D$99:$D$178,"&lt;="&amp;$V$1)))</f>
        <v>0</v>
      </c>
      <c r="J272" s="21">
        <f t="shared" si="30"/>
        <v>0</v>
      </c>
      <c r="K272" s="6">
        <f t="shared" si="31"/>
        <v>1</v>
      </c>
      <c r="L272" t="s">
        <v>123</v>
      </c>
      <c r="M272" t="s">
        <v>140</v>
      </c>
      <c r="P272" s="5">
        <f t="shared" si="32"/>
        <v>46287</v>
      </c>
      <c r="Q272" t="s">
        <v>125</v>
      </c>
      <c r="R272">
        <v>110</v>
      </c>
      <c r="S272" t="s">
        <v>70</v>
      </c>
      <c r="T272" t="str">
        <f t="shared" si="33"/>
        <v/>
      </c>
      <c r="U272" t="str">
        <f>IF(AND(L272="Para Programar",G272&gt;0),COUNTIFS($L$5:L272,"Para Programar",$G$5:G272,"&gt;0"),"")</f>
        <v/>
      </c>
      <c r="W272" t="str">
        <f t="shared" si="34"/>
        <v>N15 - N17|03 Base de asiento - Aporte de material base e=0,10 m</v>
      </c>
      <c r="X272">
        <v>245</v>
      </c>
    </row>
    <row r="273" spans="1:24">
      <c r="A273" t="s">
        <v>77</v>
      </c>
      <c r="B273" s="14" t="s">
        <v>139</v>
      </c>
      <c r="C273" t="s">
        <v>78</v>
      </c>
      <c r="D273" s="13" t="s">
        <v>67</v>
      </c>
      <c r="E273" s="13">
        <v>245</v>
      </c>
      <c r="F273" s="13">
        <f>IF(E273="","",MIN(E273,$X273+SUMIFS('05_Parte_Diario'!$H$5:$H$204,'05_Parte_Diario'!$D$5:$D$204,B273,'05_Parte_Diario'!$E$5:$E$204,C273)))</f>
        <v>0</v>
      </c>
      <c r="G273" s="13">
        <f t="shared" si="28"/>
        <v>245</v>
      </c>
      <c r="H273" s="21">
        <f t="shared" si="29"/>
        <v>0</v>
      </c>
      <c r="I273" s="21">
        <f>IF(OR(B273="",C273="",$V$1=""),"",MIN(E273,SUMIFS('03_Planificacion'!$G$99:$G$178,'03_Planificacion'!$E$99:$E$178,B273,'03_Planificacion'!$F$99:$F$178,C273,'03_Planificacion'!$D$99:$D$178,"&lt;="&amp;$V$1)))</f>
        <v>0</v>
      </c>
      <c r="J273" s="21">
        <f t="shared" si="30"/>
        <v>0</v>
      </c>
      <c r="K273" s="6">
        <f t="shared" si="31"/>
        <v>0</v>
      </c>
      <c r="L273" t="s">
        <v>12</v>
      </c>
      <c r="M273" t="s">
        <v>141</v>
      </c>
      <c r="P273" s="5">
        <f t="shared" si="32"/>
        <v>46287</v>
      </c>
      <c r="Q273" t="s">
        <v>125</v>
      </c>
      <c r="R273">
        <v>110</v>
      </c>
      <c r="S273" t="s">
        <v>70</v>
      </c>
      <c r="T273" t="str">
        <f t="shared" si="33"/>
        <v/>
      </c>
      <c r="U273">
        <f>IF(AND(L273="Para Programar",G273&gt;0),COUNTIFS($L$5:L273,"Para Programar",$G$5:G273,"&gt;0"),"")</f>
        <v>44</v>
      </c>
      <c r="W273" t="str">
        <f t="shared" si="34"/>
        <v>N15 - N17|03 Base de asiento - Compactación</v>
      </c>
      <c r="X273">
        <v>0</v>
      </c>
    </row>
    <row r="274" spans="1:24">
      <c r="A274" t="s">
        <v>79</v>
      </c>
      <c r="B274" s="14" t="s">
        <v>139</v>
      </c>
      <c r="C274" t="s">
        <v>80</v>
      </c>
      <c r="D274" s="13" t="s">
        <v>81</v>
      </c>
      <c r="E274" s="13">
        <v>1</v>
      </c>
      <c r="F274" s="13">
        <f>IF(E274="","",MIN(E274,$X274+SUMIFS('05_Parte_Diario'!$H$5:$H$204,'05_Parte_Diario'!$D$5:$D$204,B274,'05_Parte_Diario'!$E$5:$E$204,C274)))</f>
        <v>0</v>
      </c>
      <c r="G274" s="13">
        <f t="shared" si="28"/>
        <v>1</v>
      </c>
      <c r="H274" s="21">
        <f t="shared" si="29"/>
        <v>0</v>
      </c>
      <c r="I274" s="21">
        <f>IF(OR(B274="",C274="",$V$1=""),"",MIN(E274,SUMIFS('03_Planificacion'!$G$99:$G$178,'03_Planificacion'!$E$99:$E$178,B274,'03_Planificacion'!$F$99:$F$178,C274,'03_Planificacion'!$D$99:$D$178,"&lt;="&amp;$V$1)))</f>
        <v>0</v>
      </c>
      <c r="J274" s="21">
        <f t="shared" si="30"/>
        <v>0</v>
      </c>
      <c r="K274" s="6">
        <f t="shared" si="31"/>
        <v>0</v>
      </c>
      <c r="L274" t="s">
        <v>12</v>
      </c>
      <c r="P274" s="5">
        <f t="shared" si="32"/>
        <v>46287</v>
      </c>
      <c r="Q274" t="s">
        <v>125</v>
      </c>
      <c r="R274">
        <v>110</v>
      </c>
      <c r="S274" t="s">
        <v>70</v>
      </c>
      <c r="T274" t="str">
        <f t="shared" si="33"/>
        <v/>
      </c>
      <c r="U274">
        <f>IF(AND(L274="Para Programar",G274&gt;0),COUNTIFS($L$5:L274,"Para Programar",$G$5:G274,"&gt;0"),"")</f>
        <v>45</v>
      </c>
      <c r="W274" t="str">
        <f t="shared" si="34"/>
        <v>N15 - N17|04 Inspecciones previas - Laboratorio base de asiento</v>
      </c>
      <c r="X274">
        <v>0</v>
      </c>
    </row>
    <row r="275" spans="1:24">
      <c r="A275" t="s">
        <v>82</v>
      </c>
      <c r="B275" s="14" t="s">
        <v>139</v>
      </c>
      <c r="C275" t="s">
        <v>83</v>
      </c>
      <c r="D275" s="13" t="s">
        <v>81</v>
      </c>
      <c r="E275" s="13">
        <v>1</v>
      </c>
      <c r="F275" s="13">
        <f>IF(E275="","",MIN(E275,$X275+SUMIFS('05_Parte_Diario'!$H$5:$H$204,'05_Parte_Diario'!$D$5:$D$204,B275,'05_Parte_Diario'!$E$5:$E$204,C275)))</f>
        <v>0</v>
      </c>
      <c r="G275" s="13">
        <f t="shared" si="28"/>
        <v>1</v>
      </c>
      <c r="H275" s="21">
        <f t="shared" si="29"/>
        <v>0</v>
      </c>
      <c r="I275" s="21">
        <f>IF(OR(B275="",C275="",$V$1=""),"",MIN(E275,SUMIFS('03_Planificacion'!$G$99:$G$178,'03_Planificacion'!$E$99:$E$178,B275,'03_Planificacion'!$F$99:$F$178,C275,'03_Planificacion'!$D$99:$D$178,"&lt;="&amp;$V$1)))</f>
        <v>0</v>
      </c>
      <c r="J275" s="21">
        <f t="shared" si="30"/>
        <v>0</v>
      </c>
      <c r="K275" s="6">
        <f t="shared" si="31"/>
        <v>0</v>
      </c>
      <c r="L275" t="s">
        <v>12</v>
      </c>
      <c r="P275" s="5">
        <f t="shared" si="32"/>
        <v>46287</v>
      </c>
      <c r="Q275" t="s">
        <v>125</v>
      </c>
      <c r="R275">
        <v>110</v>
      </c>
      <c r="S275" t="s">
        <v>70</v>
      </c>
      <c r="T275" t="str">
        <f t="shared" si="33"/>
        <v/>
      </c>
      <c r="U275">
        <f>IF(AND(L275="Para Programar",G275&gt;0),COUNTIFS($L$5:L275,"Para Programar",$G$5:G275,"&gt;0"),"")</f>
        <v>46</v>
      </c>
      <c r="W275" t="str">
        <f t="shared" si="34"/>
        <v>N15 - N17|04 Inspecciones previas - Zanja y materiales</v>
      </c>
      <c r="X275">
        <v>0</v>
      </c>
    </row>
    <row r="276" spans="1:24">
      <c r="A276" t="s">
        <v>84</v>
      </c>
      <c r="B276" s="14" t="s">
        <v>139</v>
      </c>
      <c r="C276" t="s">
        <v>85</v>
      </c>
      <c r="D276" s="13" t="s">
        <v>67</v>
      </c>
      <c r="E276" s="13">
        <v>245</v>
      </c>
      <c r="F276" s="13">
        <f>IF(E276="","",MIN(E276,$X276+SUMIFS('05_Parte_Diario'!$H$5:$H$204,'05_Parte_Diario'!$D$5:$D$204,B276,'05_Parte_Diario'!$E$5:$E$204,C276)))</f>
        <v>0</v>
      </c>
      <c r="G276" s="13">
        <f t="shared" si="28"/>
        <v>245</v>
      </c>
      <c r="H276" s="21">
        <f t="shared" si="29"/>
        <v>0</v>
      </c>
      <c r="I276" s="21">
        <f>IF(OR(B276="",C276="",$V$1=""),"",MIN(E276,SUMIFS('03_Planificacion'!$G$99:$G$178,'03_Planificacion'!$E$99:$E$178,B276,'03_Planificacion'!$F$99:$F$178,C276,'03_Planificacion'!$D$99:$D$178,"&lt;="&amp;$V$1)))</f>
        <v>0</v>
      </c>
      <c r="J276" s="21">
        <f t="shared" si="30"/>
        <v>0</v>
      </c>
      <c r="K276" s="6">
        <f t="shared" si="31"/>
        <v>0</v>
      </c>
      <c r="L276" t="s">
        <v>12</v>
      </c>
      <c r="P276" s="5">
        <f t="shared" si="32"/>
        <v>46287</v>
      </c>
      <c r="Q276" t="s">
        <v>125</v>
      </c>
      <c r="R276">
        <v>110</v>
      </c>
      <c r="S276" t="s">
        <v>70</v>
      </c>
      <c r="T276" t="str">
        <f t="shared" si="33"/>
        <v/>
      </c>
      <c r="U276">
        <f>IF(AND(L276="Para Programar",G276&gt;0),COUNTIFS($L$5:L276,"Para Programar",$G$5:G276,"&gt;0"),"")</f>
        <v>47</v>
      </c>
      <c r="W276" t="str">
        <f t="shared" si="34"/>
        <v>N15 - N17|05 Tendido de cañería - Cañería principal</v>
      </c>
      <c r="X276">
        <v>0</v>
      </c>
    </row>
    <row r="277" spans="1:24">
      <c r="A277" t="s">
        <v>86</v>
      </c>
      <c r="B277" s="14" t="s">
        <v>139</v>
      </c>
      <c r="C277" t="s">
        <v>87</v>
      </c>
      <c r="D277" s="13" t="s">
        <v>67</v>
      </c>
      <c r="E277" s="13">
        <v>245</v>
      </c>
      <c r="F277" s="13">
        <f>IF(E277="","",MIN(E277,$X277+SUMIFS('05_Parte_Diario'!$H$5:$H$204,'05_Parte_Diario'!$D$5:$D$204,B277,'05_Parte_Diario'!$E$5:$E$204,C277)))</f>
        <v>0</v>
      </c>
      <c r="G277" s="13">
        <f t="shared" si="28"/>
        <v>245</v>
      </c>
      <c r="H277" s="21">
        <f t="shared" si="29"/>
        <v>0</v>
      </c>
      <c r="I277" s="21">
        <f>IF(OR(B277="",C277="",$V$1=""),"",MIN(E277,SUMIFS('03_Planificacion'!$G$99:$G$178,'03_Planificacion'!$E$99:$E$178,B277,'03_Planificacion'!$F$99:$F$178,C277,'03_Planificacion'!$D$99:$D$178,"&lt;="&amp;$V$1)))</f>
        <v>0</v>
      </c>
      <c r="J277" s="21">
        <f t="shared" si="30"/>
        <v>0</v>
      </c>
      <c r="K277" s="6">
        <f t="shared" si="31"/>
        <v>0</v>
      </c>
      <c r="L277" t="s">
        <v>12</v>
      </c>
      <c r="P277" s="5">
        <f t="shared" si="32"/>
        <v>46287</v>
      </c>
      <c r="Q277" t="s">
        <v>125</v>
      </c>
      <c r="R277">
        <v>110</v>
      </c>
      <c r="S277" t="s">
        <v>70</v>
      </c>
      <c r="T277" t="str">
        <f t="shared" si="33"/>
        <v/>
      </c>
      <c r="U277">
        <f>IF(AND(L277="Para Programar",G277&gt;0),COUNTIFS($L$5:L277,"Para Programar",$G$5:G277,"&gt;0"),"")</f>
        <v>48</v>
      </c>
      <c r="W277" t="str">
        <f t="shared" si="34"/>
        <v>N15 - N17|05 Tendido de cañería - Relevamiento planialtimétrico</v>
      </c>
      <c r="X277">
        <v>0</v>
      </c>
    </row>
    <row r="278" spans="1:24">
      <c r="A278" t="s">
        <v>88</v>
      </c>
      <c r="B278" s="14" t="s">
        <v>139</v>
      </c>
      <c r="C278" t="s">
        <v>89</v>
      </c>
      <c r="D278" s="13" t="s">
        <v>81</v>
      </c>
      <c r="E278" s="13">
        <v>1</v>
      </c>
      <c r="F278" s="13">
        <f>IF(E278="","",MIN(E278,$X278+SUMIFS('05_Parte_Diario'!$H$5:$H$204,'05_Parte_Diario'!$D$5:$D$204,B278,'05_Parte_Diario'!$E$5:$E$204,C278)))</f>
        <v>0</v>
      </c>
      <c r="G278" s="13">
        <f t="shared" si="28"/>
        <v>1</v>
      </c>
      <c r="H278" s="21">
        <f t="shared" si="29"/>
        <v>0</v>
      </c>
      <c r="I278" s="21">
        <f>IF(OR(B278="",C278="",$V$1=""),"",MIN(E278,SUMIFS('03_Planificacion'!$G$99:$G$178,'03_Planificacion'!$E$99:$E$178,B278,'03_Planificacion'!$F$99:$F$178,C278,'03_Planificacion'!$D$99:$D$178,"&lt;="&amp;$V$1)))</f>
        <v>0</v>
      </c>
      <c r="J278" s="21">
        <f t="shared" si="30"/>
        <v>0</v>
      </c>
      <c r="K278" s="6">
        <f t="shared" si="31"/>
        <v>0</v>
      </c>
      <c r="L278" t="s">
        <v>12</v>
      </c>
      <c r="P278" s="5">
        <f t="shared" si="32"/>
        <v>46287</v>
      </c>
      <c r="Q278" t="s">
        <v>125</v>
      </c>
      <c r="R278">
        <v>110</v>
      </c>
      <c r="S278" t="s">
        <v>70</v>
      </c>
      <c r="T278" t="str">
        <f t="shared" si="33"/>
        <v/>
      </c>
      <c r="U278">
        <f>IF(AND(L278="Para Programar",G278&gt;0),COUNTIFS($L$5:L278,"Para Programar",$G$5:G278,"&gt;0"),"")</f>
        <v>49</v>
      </c>
      <c r="W278" t="str">
        <f t="shared" si="34"/>
        <v>N15 - N17|08 Prueba hidráulica - Preparación del sistema</v>
      </c>
      <c r="X278">
        <v>0</v>
      </c>
    </row>
    <row r="279" spans="1:24">
      <c r="A279" t="s">
        <v>90</v>
      </c>
      <c r="B279" s="14" t="s">
        <v>139</v>
      </c>
      <c r="C279" t="s">
        <v>91</v>
      </c>
      <c r="D279" s="13" t="s">
        <v>81</v>
      </c>
      <c r="E279" s="13">
        <v>1</v>
      </c>
      <c r="F279" s="13">
        <f>IF(E279="","",MIN(E279,$X279+SUMIFS('05_Parte_Diario'!$H$5:$H$204,'05_Parte_Diario'!$D$5:$D$204,B279,'05_Parte_Diario'!$E$5:$E$204,C279)))</f>
        <v>0</v>
      </c>
      <c r="G279" s="13">
        <f t="shared" si="28"/>
        <v>1</v>
      </c>
      <c r="H279" s="21">
        <f t="shared" si="29"/>
        <v>0</v>
      </c>
      <c r="I279" s="21">
        <f>IF(OR(B279="",C279="",$V$1=""),"",MIN(E279,SUMIFS('03_Planificacion'!$G$99:$G$178,'03_Planificacion'!$E$99:$E$178,B279,'03_Planificacion'!$F$99:$F$178,C279,'03_Planificacion'!$D$99:$D$178,"&lt;="&amp;$V$1)))</f>
        <v>0</v>
      </c>
      <c r="J279" s="21">
        <f t="shared" si="30"/>
        <v>0</v>
      </c>
      <c r="K279" s="6">
        <f t="shared" si="31"/>
        <v>0</v>
      </c>
      <c r="L279" t="s">
        <v>12</v>
      </c>
      <c r="P279" s="5">
        <f t="shared" si="32"/>
        <v>46287</v>
      </c>
      <c r="Q279" t="s">
        <v>125</v>
      </c>
      <c r="R279">
        <v>110</v>
      </c>
      <c r="S279" t="s">
        <v>70</v>
      </c>
      <c r="T279" t="str">
        <f t="shared" si="33"/>
        <v/>
      </c>
      <c r="U279">
        <f>IF(AND(L279="Para Programar",G279&gt;0),COUNTIFS($L$5:L279,"Para Programar",$G$5:G279,"&gt;0"),"")</f>
        <v>50</v>
      </c>
      <c r="W279" t="str">
        <f t="shared" si="34"/>
        <v>N15 - N17|08 Prueba hidráulica - Interna N° 1</v>
      </c>
      <c r="X279">
        <v>0</v>
      </c>
    </row>
    <row r="280" spans="1:24">
      <c r="A280" t="s">
        <v>92</v>
      </c>
      <c r="B280" s="14" t="s">
        <v>139</v>
      </c>
      <c r="C280" t="s">
        <v>93</v>
      </c>
      <c r="D280" s="13" t="s">
        <v>81</v>
      </c>
      <c r="E280" s="13">
        <v>1</v>
      </c>
      <c r="F280" s="13">
        <f>IF(E280="","",MIN(E280,$X280+SUMIFS('05_Parte_Diario'!$H$5:$H$204,'05_Parte_Diario'!$D$5:$D$204,B280,'05_Parte_Diario'!$E$5:$E$204,C280)))</f>
        <v>0</v>
      </c>
      <c r="G280" s="13">
        <f t="shared" si="28"/>
        <v>1</v>
      </c>
      <c r="H280" s="21">
        <f t="shared" si="29"/>
        <v>0</v>
      </c>
      <c r="I280" s="21">
        <f>IF(OR(B280="",C280="",$V$1=""),"",MIN(E280,SUMIFS('03_Planificacion'!$G$99:$G$178,'03_Planificacion'!$E$99:$E$178,B280,'03_Planificacion'!$F$99:$F$178,C280,'03_Planificacion'!$D$99:$D$178,"&lt;="&amp;$V$1)))</f>
        <v>0</v>
      </c>
      <c r="J280" s="21">
        <f t="shared" si="30"/>
        <v>0</v>
      </c>
      <c r="K280" s="6">
        <f t="shared" si="31"/>
        <v>0</v>
      </c>
      <c r="L280" t="s">
        <v>68</v>
      </c>
      <c r="P280" s="5">
        <f t="shared" si="32"/>
        <v>46287</v>
      </c>
      <c r="Q280" t="s">
        <v>125</v>
      </c>
      <c r="R280">
        <v>110</v>
      </c>
      <c r="S280" t="s">
        <v>70</v>
      </c>
      <c r="T280" t="str">
        <f t="shared" si="33"/>
        <v/>
      </c>
      <c r="U280" t="str">
        <f>IF(AND(L280="Para Programar",G280&gt;0),COUNTIFS($L$5:L280,"Para Programar",$G$5:G280,"&gt;0"),"")</f>
        <v/>
      </c>
      <c r="W280" t="str">
        <f t="shared" si="34"/>
        <v>N15 - N17|08 Prueba hidráulica - Interna N° 2</v>
      </c>
      <c r="X280">
        <v>0</v>
      </c>
    </row>
    <row r="281" spans="1:24">
      <c r="A281" t="s">
        <v>94</v>
      </c>
      <c r="B281" s="14" t="s">
        <v>139</v>
      </c>
      <c r="C281" t="s">
        <v>95</v>
      </c>
      <c r="D281" s="13" t="s">
        <v>81</v>
      </c>
      <c r="E281" s="13">
        <v>1</v>
      </c>
      <c r="F281" s="13">
        <f>IF(E281="","",MIN(E281,$X281+SUMIFS('05_Parte_Diario'!$H$5:$H$204,'05_Parte_Diario'!$D$5:$D$204,B281,'05_Parte_Diario'!$E$5:$E$204,C281)))</f>
        <v>0</v>
      </c>
      <c r="G281" s="13">
        <f t="shared" si="28"/>
        <v>1</v>
      </c>
      <c r="H281" s="21">
        <f t="shared" si="29"/>
        <v>0</v>
      </c>
      <c r="I281" s="21">
        <f>IF(OR(B281="",C281="",$V$1=""),"",MIN(E281,SUMIFS('03_Planificacion'!$G$99:$G$178,'03_Planificacion'!$E$99:$E$178,B281,'03_Planificacion'!$F$99:$F$178,C281,'03_Planificacion'!$D$99:$D$178,"&lt;="&amp;$V$1)))</f>
        <v>0</v>
      </c>
      <c r="J281" s="21">
        <f t="shared" si="30"/>
        <v>0</v>
      </c>
      <c r="K281" s="6">
        <f t="shared" si="31"/>
        <v>0</v>
      </c>
      <c r="L281" t="s">
        <v>68</v>
      </c>
      <c r="P281" s="5">
        <f t="shared" si="32"/>
        <v>46287</v>
      </c>
      <c r="Q281" t="s">
        <v>125</v>
      </c>
      <c r="R281">
        <v>110</v>
      </c>
      <c r="S281" t="s">
        <v>70</v>
      </c>
      <c r="T281" t="str">
        <f t="shared" si="33"/>
        <v/>
      </c>
      <c r="U281" t="str">
        <f>IF(AND(L281="Para Programar",G281&gt;0),COUNTIFS($L$5:L281,"Para Programar",$G$5:G281,"&gt;0"),"")</f>
        <v/>
      </c>
      <c r="W281" t="str">
        <f t="shared" si="34"/>
        <v>N15 - N17|08 Prueba hidráulica - Primera prueba oficial</v>
      </c>
      <c r="X281">
        <v>0</v>
      </c>
    </row>
    <row r="282" spans="1:24">
      <c r="A282" t="s">
        <v>96</v>
      </c>
      <c r="B282" s="14" t="s">
        <v>139</v>
      </c>
      <c r="C282" t="s">
        <v>97</v>
      </c>
      <c r="D282" s="13" t="s">
        <v>67</v>
      </c>
      <c r="E282" s="13">
        <v>245</v>
      </c>
      <c r="F282" s="13">
        <f>IF(E282="","",MIN(E282,$X282+SUMIFS('05_Parte_Diario'!$H$5:$H$204,'05_Parte_Diario'!$D$5:$D$204,B282,'05_Parte_Diario'!$E$5:$E$204,C282)))</f>
        <v>0</v>
      </c>
      <c r="G282" s="13">
        <f t="shared" si="28"/>
        <v>245</v>
      </c>
      <c r="H282" s="21">
        <f t="shared" si="29"/>
        <v>0</v>
      </c>
      <c r="I282" s="21">
        <f>IF(OR(B282="",C282="",$V$1=""),"",MIN(E282,SUMIFS('03_Planificacion'!$G$99:$G$178,'03_Planificacion'!$E$99:$E$178,B282,'03_Planificacion'!$F$99:$F$178,C282,'03_Planificacion'!$D$99:$D$178,"&lt;="&amp;$V$1)))</f>
        <v>0</v>
      </c>
      <c r="J282" s="21">
        <f t="shared" si="30"/>
        <v>0</v>
      </c>
      <c r="K282" s="6">
        <f t="shared" si="31"/>
        <v>0</v>
      </c>
      <c r="L282" t="s">
        <v>68</v>
      </c>
      <c r="P282" s="5">
        <f t="shared" si="32"/>
        <v>46287</v>
      </c>
      <c r="Q282" t="s">
        <v>125</v>
      </c>
      <c r="R282">
        <v>110</v>
      </c>
      <c r="S282" t="s">
        <v>70</v>
      </c>
      <c r="T282" t="str">
        <f t="shared" si="33"/>
        <v/>
      </c>
      <c r="U282" t="str">
        <f>IF(AND(L282="Para Programar",G282&gt;0),COUNTIFS($L$5:L282,"Para Programar",$G$5:G282,"&gt;0"),"")</f>
        <v/>
      </c>
      <c r="W282" t="str">
        <f t="shared" si="34"/>
        <v>N15 - N17|09 Paquete estructural - Aporte e=0,30 m</v>
      </c>
      <c r="X282">
        <v>0</v>
      </c>
    </row>
    <row r="283" spans="1:24">
      <c r="A283" t="s">
        <v>98</v>
      </c>
      <c r="B283" s="14" t="s">
        <v>139</v>
      </c>
      <c r="C283" t="s">
        <v>99</v>
      </c>
      <c r="D283" s="13" t="s">
        <v>67</v>
      </c>
      <c r="E283" s="13">
        <v>245</v>
      </c>
      <c r="F283" s="13">
        <f>IF(E283="","",MIN(E283,$X283+SUMIFS('05_Parte_Diario'!$H$5:$H$204,'05_Parte_Diario'!$D$5:$D$204,B283,'05_Parte_Diario'!$E$5:$E$204,C283)))</f>
        <v>0</v>
      </c>
      <c r="G283" s="13">
        <f t="shared" si="28"/>
        <v>245</v>
      </c>
      <c r="H283" s="21">
        <f t="shared" si="29"/>
        <v>0</v>
      </c>
      <c r="I283" s="21">
        <f>IF(OR(B283="",C283="",$V$1=""),"",MIN(E283,SUMIFS('03_Planificacion'!$G$99:$G$178,'03_Planificacion'!$E$99:$E$178,B283,'03_Planificacion'!$F$99:$F$178,C283,'03_Planificacion'!$D$99:$D$178,"&lt;="&amp;$V$1)))</f>
        <v>0</v>
      </c>
      <c r="J283" s="21">
        <f t="shared" si="30"/>
        <v>0</v>
      </c>
      <c r="K283" s="6">
        <f t="shared" si="31"/>
        <v>0</v>
      </c>
      <c r="L283" t="s">
        <v>68</v>
      </c>
      <c r="P283" s="5">
        <f t="shared" si="32"/>
        <v>46287</v>
      </c>
      <c r="Q283" t="s">
        <v>125</v>
      </c>
      <c r="R283">
        <v>110</v>
      </c>
      <c r="S283" t="s">
        <v>70</v>
      </c>
      <c r="T283" t="str">
        <f t="shared" si="33"/>
        <v/>
      </c>
      <c r="U283" t="str">
        <f>IF(AND(L283="Para Programar",G283&gt;0),COUNTIFS($L$5:L283,"Para Programar",$G$5:G283,"&gt;0"),"")</f>
        <v/>
      </c>
      <c r="W283" t="str">
        <f t="shared" si="34"/>
        <v>N15 - N17|09 Paquete estructural - Compactación</v>
      </c>
      <c r="X283">
        <v>0</v>
      </c>
    </row>
    <row r="284" spans="1:24">
      <c r="A284" t="s">
        <v>100</v>
      </c>
      <c r="B284" s="14" t="s">
        <v>139</v>
      </c>
      <c r="C284" t="s">
        <v>101</v>
      </c>
      <c r="D284" s="13" t="s">
        <v>81</v>
      </c>
      <c r="E284" s="13">
        <v>1</v>
      </c>
      <c r="F284" s="13">
        <f>IF(E284="","",MIN(E284,$X284+SUMIFS('05_Parte_Diario'!$H$5:$H$204,'05_Parte_Diario'!$D$5:$D$204,B284,'05_Parte_Diario'!$E$5:$E$204,C284)))</f>
        <v>0</v>
      </c>
      <c r="G284" s="13">
        <f t="shared" si="28"/>
        <v>1</v>
      </c>
      <c r="H284" s="21">
        <f t="shared" si="29"/>
        <v>0</v>
      </c>
      <c r="I284" s="21">
        <f>IF(OR(B284="",C284="",$V$1=""),"",MIN(E284,SUMIFS('03_Planificacion'!$G$99:$G$178,'03_Planificacion'!$E$99:$E$178,B284,'03_Planificacion'!$F$99:$F$178,C284,'03_Planificacion'!$D$99:$D$178,"&lt;="&amp;$V$1)))</f>
        <v>0</v>
      </c>
      <c r="J284" s="21">
        <f t="shared" si="30"/>
        <v>0</v>
      </c>
      <c r="K284" s="6">
        <f t="shared" si="31"/>
        <v>0</v>
      </c>
      <c r="L284" t="s">
        <v>68</v>
      </c>
      <c r="P284" s="5">
        <f t="shared" si="32"/>
        <v>46287</v>
      </c>
      <c r="Q284" t="s">
        <v>125</v>
      </c>
      <c r="R284">
        <v>110</v>
      </c>
      <c r="S284" t="s">
        <v>70</v>
      </c>
      <c r="T284" t="str">
        <f t="shared" si="33"/>
        <v/>
      </c>
      <c r="U284" t="str">
        <f>IF(AND(L284="Para Programar",G284&gt;0),COUNTIFS($L$5:L284,"Para Programar",$G$5:G284,"&gt;0"),"")</f>
        <v/>
      </c>
      <c r="W284" t="str">
        <f t="shared" si="34"/>
        <v>N15 - N17|09 Paquete estructural - Inspección laboratorio</v>
      </c>
      <c r="X284">
        <v>0</v>
      </c>
    </row>
    <row r="285" spans="1:24">
      <c r="A285" t="s">
        <v>102</v>
      </c>
      <c r="B285" s="14" t="s">
        <v>139</v>
      </c>
      <c r="C285" t="s">
        <v>103</v>
      </c>
      <c r="D285" s="13" t="s">
        <v>67</v>
      </c>
      <c r="E285" s="13">
        <v>245</v>
      </c>
      <c r="F285" s="13">
        <f>IF(E285="","",MIN(E285,$X285+SUMIFS('05_Parte_Diario'!$H$5:$H$204,'05_Parte_Diario'!$D$5:$D$204,B285,'05_Parte_Diario'!$E$5:$E$204,C285)))</f>
        <v>0</v>
      </c>
      <c r="G285" s="13">
        <f t="shared" si="28"/>
        <v>245</v>
      </c>
      <c r="H285" s="21">
        <f t="shared" si="29"/>
        <v>0</v>
      </c>
      <c r="I285" s="21">
        <f>IF(OR(B285="",C285="",$V$1=""),"",MIN(E285,SUMIFS('03_Planificacion'!$G$99:$G$178,'03_Planificacion'!$E$99:$E$178,B285,'03_Planificacion'!$F$99:$F$178,C285,'03_Planificacion'!$D$99:$D$178,"&lt;="&amp;$V$1)))</f>
        <v>0</v>
      </c>
      <c r="J285" s="21">
        <f t="shared" si="30"/>
        <v>0</v>
      </c>
      <c r="K285" s="6">
        <f t="shared" si="31"/>
        <v>0</v>
      </c>
      <c r="L285" t="s">
        <v>68</v>
      </c>
      <c r="P285" s="5">
        <f t="shared" si="32"/>
        <v>46287</v>
      </c>
      <c r="Q285" t="s">
        <v>125</v>
      </c>
      <c r="R285">
        <v>110</v>
      </c>
      <c r="S285" t="s">
        <v>70</v>
      </c>
      <c r="T285" t="str">
        <f t="shared" si="33"/>
        <v/>
      </c>
      <c r="U285" t="str">
        <f>IF(AND(L285="Para Programar",G285&gt;0),COUNTIFS($L$5:L285,"Para Programar",$G$5:G285,"&gt;0"),"")</f>
        <v/>
      </c>
      <c r="W285" t="str">
        <f t="shared" si="34"/>
        <v>N15 - N17|10 Relleno -0,60 - Conformación de capa</v>
      </c>
      <c r="X285">
        <v>0</v>
      </c>
    </row>
    <row r="286" spans="1:24">
      <c r="A286" t="s">
        <v>104</v>
      </c>
      <c r="B286" s="14" t="s">
        <v>139</v>
      </c>
      <c r="C286" t="s">
        <v>105</v>
      </c>
      <c r="D286" s="13" t="s">
        <v>67</v>
      </c>
      <c r="E286" s="13">
        <v>245</v>
      </c>
      <c r="F286" s="13">
        <f>IF(E286="","",MIN(E286,$X286+SUMIFS('05_Parte_Diario'!$H$5:$H$204,'05_Parte_Diario'!$D$5:$D$204,B286,'05_Parte_Diario'!$E$5:$E$204,C286)))</f>
        <v>0</v>
      </c>
      <c r="G286" s="13">
        <f t="shared" si="28"/>
        <v>245</v>
      </c>
      <c r="H286" s="21">
        <f t="shared" si="29"/>
        <v>0</v>
      </c>
      <c r="I286" s="21">
        <f>IF(OR(B286="",C286="",$V$1=""),"",MIN(E286,SUMIFS('03_Planificacion'!$G$99:$G$178,'03_Planificacion'!$E$99:$E$178,B286,'03_Planificacion'!$F$99:$F$178,C286,'03_Planificacion'!$D$99:$D$178,"&lt;="&amp;$V$1)))</f>
        <v>0</v>
      </c>
      <c r="J286" s="21">
        <f t="shared" si="30"/>
        <v>0</v>
      </c>
      <c r="K286" s="6">
        <f t="shared" si="31"/>
        <v>0</v>
      </c>
      <c r="L286" t="s">
        <v>68</v>
      </c>
      <c r="P286" s="5">
        <f t="shared" si="32"/>
        <v>46287</v>
      </c>
      <c r="Q286" t="s">
        <v>125</v>
      </c>
      <c r="R286">
        <v>110</v>
      </c>
      <c r="S286" t="s">
        <v>70</v>
      </c>
      <c r="T286" t="str">
        <f t="shared" si="33"/>
        <v/>
      </c>
      <c r="U286" t="str">
        <f>IF(AND(L286="Para Programar",G286&gt;0),COUNTIFS($L$5:L286,"Para Programar",$G$5:G286,"&gt;0"),"")</f>
        <v/>
      </c>
      <c r="W286" t="str">
        <f t="shared" si="34"/>
        <v>N15 - N17|10 Relleno -0,60 - Humectación</v>
      </c>
      <c r="X286">
        <v>0</v>
      </c>
    </row>
    <row r="287" spans="1:24">
      <c r="A287" t="s">
        <v>106</v>
      </c>
      <c r="B287" s="14" t="s">
        <v>139</v>
      </c>
      <c r="C287" t="s">
        <v>107</v>
      </c>
      <c r="D287" s="13" t="s">
        <v>67</v>
      </c>
      <c r="E287" s="13">
        <v>245</v>
      </c>
      <c r="F287" s="13">
        <f>IF(E287="","",MIN(E287,$X287+SUMIFS('05_Parte_Diario'!$H$5:$H$204,'05_Parte_Diario'!$D$5:$D$204,B287,'05_Parte_Diario'!$E$5:$E$204,C287)))</f>
        <v>0</v>
      </c>
      <c r="G287" s="13">
        <f t="shared" si="28"/>
        <v>245</v>
      </c>
      <c r="H287" s="21">
        <f t="shared" si="29"/>
        <v>0</v>
      </c>
      <c r="I287" s="21">
        <f>IF(OR(B287="",C287="",$V$1=""),"",MIN(E287,SUMIFS('03_Planificacion'!$G$99:$G$178,'03_Planificacion'!$E$99:$E$178,B287,'03_Planificacion'!$F$99:$F$178,C287,'03_Planificacion'!$D$99:$D$178,"&lt;="&amp;$V$1)))</f>
        <v>0</v>
      </c>
      <c r="J287" s="21">
        <f t="shared" si="30"/>
        <v>0</v>
      </c>
      <c r="K287" s="6">
        <f t="shared" si="31"/>
        <v>0</v>
      </c>
      <c r="L287" t="s">
        <v>68</v>
      </c>
      <c r="P287" s="5">
        <f t="shared" si="32"/>
        <v>46287</v>
      </c>
      <c r="Q287" t="s">
        <v>125</v>
      </c>
      <c r="R287">
        <v>110</v>
      </c>
      <c r="S287" t="s">
        <v>70</v>
      </c>
      <c r="T287" t="str">
        <f t="shared" si="33"/>
        <v/>
      </c>
      <c r="U287" t="str">
        <f>IF(AND(L287="Para Programar",G287&gt;0),COUNTIFS($L$5:L287,"Para Programar",$G$5:G287,"&gt;0"),"")</f>
        <v/>
      </c>
      <c r="W287" t="str">
        <f t="shared" si="34"/>
        <v>N15 - N17|10 Relleno -0,60 - Compactación</v>
      </c>
      <c r="X287">
        <v>0</v>
      </c>
    </row>
    <row r="288" spans="1:24">
      <c r="A288" t="s">
        <v>108</v>
      </c>
      <c r="B288" s="14" t="s">
        <v>139</v>
      </c>
      <c r="C288" t="s">
        <v>109</v>
      </c>
      <c r="D288" s="13" t="s">
        <v>81</v>
      </c>
      <c r="E288" s="13">
        <v>1</v>
      </c>
      <c r="F288" s="13">
        <f>IF(E288="","",MIN(E288,$X288+SUMIFS('05_Parte_Diario'!$H$5:$H$204,'05_Parte_Diario'!$D$5:$D$204,B288,'05_Parte_Diario'!$E$5:$E$204,C288)))</f>
        <v>0</v>
      </c>
      <c r="G288" s="13">
        <f t="shared" si="28"/>
        <v>1</v>
      </c>
      <c r="H288" s="21">
        <f t="shared" si="29"/>
        <v>0</v>
      </c>
      <c r="I288" s="21">
        <f>IF(OR(B288="",C288="",$V$1=""),"",MIN(E288,SUMIFS('03_Planificacion'!$G$99:$G$178,'03_Planificacion'!$E$99:$E$178,B288,'03_Planificacion'!$F$99:$F$178,C288,'03_Planificacion'!$D$99:$D$178,"&lt;="&amp;$V$1)))</f>
        <v>0</v>
      </c>
      <c r="J288" s="21">
        <f t="shared" si="30"/>
        <v>0</v>
      </c>
      <c r="K288" s="6">
        <f t="shared" si="31"/>
        <v>0</v>
      </c>
      <c r="L288" t="s">
        <v>68</v>
      </c>
      <c r="P288" s="5">
        <f t="shared" si="32"/>
        <v>46287</v>
      </c>
      <c r="Q288" t="s">
        <v>125</v>
      </c>
      <c r="R288">
        <v>110</v>
      </c>
      <c r="S288" t="s">
        <v>70</v>
      </c>
      <c r="T288" t="str">
        <f t="shared" si="33"/>
        <v/>
      </c>
      <c r="U288" t="str">
        <f>IF(AND(L288="Para Programar",G288&gt;0),COUNTIFS($L$5:L288,"Para Programar",$G$5:G288,"&gt;0"),"")</f>
        <v/>
      </c>
      <c r="W288" t="str">
        <f t="shared" si="34"/>
        <v>N15 - N17|10 Relleno -0,60 - Inspección laboratorio</v>
      </c>
      <c r="X288">
        <v>0</v>
      </c>
    </row>
    <row r="289" spans="1:24">
      <c r="A289" t="s">
        <v>110</v>
      </c>
      <c r="B289" s="14" t="s">
        <v>139</v>
      </c>
      <c r="C289" t="s">
        <v>111</v>
      </c>
      <c r="D289" s="13" t="s">
        <v>67</v>
      </c>
      <c r="E289" s="13">
        <v>245</v>
      </c>
      <c r="F289" s="13">
        <f>IF(E289="","",MIN(E289,$X289+SUMIFS('05_Parte_Diario'!$H$5:$H$204,'05_Parte_Diario'!$D$5:$D$204,B289,'05_Parte_Diario'!$E$5:$E$204,C289)))</f>
        <v>0</v>
      </c>
      <c r="G289" s="13">
        <f t="shared" si="28"/>
        <v>245</v>
      </c>
      <c r="H289" s="21">
        <f t="shared" si="29"/>
        <v>0</v>
      </c>
      <c r="I289" s="21">
        <f>IF(OR(B289="",C289="",$V$1=""),"",MIN(E289,SUMIFS('03_Planificacion'!$G$99:$G$178,'03_Planificacion'!$E$99:$E$178,B289,'03_Planificacion'!$F$99:$F$178,C289,'03_Planificacion'!$D$99:$D$178,"&lt;="&amp;$V$1)))</f>
        <v>0</v>
      </c>
      <c r="J289" s="21">
        <f t="shared" si="30"/>
        <v>0</v>
      </c>
      <c r="K289" s="6">
        <f t="shared" si="31"/>
        <v>0</v>
      </c>
      <c r="L289" t="s">
        <v>68</v>
      </c>
      <c r="P289" s="5">
        <f t="shared" si="32"/>
        <v>46287</v>
      </c>
      <c r="Q289" t="s">
        <v>125</v>
      </c>
      <c r="R289">
        <v>110</v>
      </c>
      <c r="S289" t="s">
        <v>70</v>
      </c>
      <c r="T289" t="str">
        <f t="shared" si="33"/>
        <v/>
      </c>
      <c r="U289" t="str">
        <f>IF(AND(L289="Para Programar",G289&gt;0),COUNTIFS($L$5:L289,"Para Programar",$G$5:G289,"&gt;0"),"")</f>
        <v/>
      </c>
      <c r="W289" t="str">
        <f t="shared" si="34"/>
        <v>N15 - N17|11 Relleno -0,30 - Conformación de capa</v>
      </c>
      <c r="X289">
        <v>0</v>
      </c>
    </row>
    <row r="290" spans="1:24">
      <c r="A290" t="s">
        <v>112</v>
      </c>
      <c r="B290" s="14" t="s">
        <v>139</v>
      </c>
      <c r="C290" t="s">
        <v>113</v>
      </c>
      <c r="D290" s="13" t="s">
        <v>67</v>
      </c>
      <c r="E290" s="13">
        <v>245</v>
      </c>
      <c r="F290" s="13">
        <f>IF(E290="","",MIN(E290,$X290+SUMIFS('05_Parte_Diario'!$H$5:$H$204,'05_Parte_Diario'!$D$5:$D$204,B290,'05_Parte_Diario'!$E$5:$E$204,C290)))</f>
        <v>0</v>
      </c>
      <c r="G290" s="13">
        <f t="shared" si="28"/>
        <v>245</v>
      </c>
      <c r="H290" s="21">
        <f t="shared" si="29"/>
        <v>0</v>
      </c>
      <c r="I290" s="21">
        <f>IF(OR(B290="",C290="",$V$1=""),"",MIN(E290,SUMIFS('03_Planificacion'!$G$99:$G$178,'03_Planificacion'!$E$99:$E$178,B290,'03_Planificacion'!$F$99:$F$178,C290,'03_Planificacion'!$D$99:$D$178,"&lt;="&amp;$V$1)))</f>
        <v>0</v>
      </c>
      <c r="J290" s="21">
        <f t="shared" si="30"/>
        <v>0</v>
      </c>
      <c r="K290" s="6">
        <f t="shared" si="31"/>
        <v>0</v>
      </c>
      <c r="L290" t="s">
        <v>68</v>
      </c>
      <c r="P290" s="5">
        <f t="shared" si="32"/>
        <v>46287</v>
      </c>
      <c r="Q290" t="s">
        <v>125</v>
      </c>
      <c r="R290">
        <v>110</v>
      </c>
      <c r="S290" t="s">
        <v>70</v>
      </c>
      <c r="T290" t="str">
        <f t="shared" si="33"/>
        <v/>
      </c>
      <c r="U290" t="str">
        <f>IF(AND(L290="Para Programar",G290&gt;0),COUNTIFS($L$5:L290,"Para Programar",$G$5:G290,"&gt;0"),"")</f>
        <v/>
      </c>
      <c r="W290" t="str">
        <f t="shared" si="34"/>
        <v>N15 - N17|11 Relleno -0,30 - Humectación</v>
      </c>
      <c r="X290">
        <v>0</v>
      </c>
    </row>
    <row r="291" spans="1:24">
      <c r="A291" t="s">
        <v>114</v>
      </c>
      <c r="B291" s="14" t="s">
        <v>139</v>
      </c>
      <c r="C291" t="s">
        <v>115</v>
      </c>
      <c r="D291" s="13" t="s">
        <v>67</v>
      </c>
      <c r="E291" s="13">
        <v>245</v>
      </c>
      <c r="F291" s="13">
        <f>IF(E291="","",MIN(E291,$X291+SUMIFS('05_Parte_Diario'!$H$5:$H$204,'05_Parte_Diario'!$D$5:$D$204,B291,'05_Parte_Diario'!$E$5:$E$204,C291)))</f>
        <v>0</v>
      </c>
      <c r="G291" s="13">
        <f t="shared" si="28"/>
        <v>245</v>
      </c>
      <c r="H291" s="21">
        <f t="shared" si="29"/>
        <v>0</v>
      </c>
      <c r="I291" s="21">
        <f>IF(OR(B291="",C291="",$V$1=""),"",MIN(E291,SUMIFS('03_Planificacion'!$G$99:$G$178,'03_Planificacion'!$E$99:$E$178,B291,'03_Planificacion'!$F$99:$F$178,C291,'03_Planificacion'!$D$99:$D$178,"&lt;="&amp;$V$1)))</f>
        <v>0</v>
      </c>
      <c r="J291" s="21">
        <f t="shared" si="30"/>
        <v>0</v>
      </c>
      <c r="K291" s="6">
        <f t="shared" si="31"/>
        <v>0</v>
      </c>
      <c r="L291" t="s">
        <v>68</v>
      </c>
      <c r="P291" s="5">
        <f t="shared" si="32"/>
        <v>46287</v>
      </c>
      <c r="Q291" t="s">
        <v>125</v>
      </c>
      <c r="R291">
        <v>110</v>
      </c>
      <c r="S291" t="s">
        <v>70</v>
      </c>
      <c r="T291" t="str">
        <f t="shared" si="33"/>
        <v/>
      </c>
      <c r="U291" t="str">
        <f>IF(AND(L291="Para Programar",G291&gt;0),COUNTIFS($L$5:L291,"Para Programar",$G$5:G291,"&gt;0"),"")</f>
        <v/>
      </c>
      <c r="W291" t="str">
        <f t="shared" si="34"/>
        <v>N15 - N17|11 Relleno -0,30 - Compactación</v>
      </c>
      <c r="X291">
        <v>0</v>
      </c>
    </row>
    <row r="292" spans="1:24">
      <c r="A292" t="s">
        <v>116</v>
      </c>
      <c r="B292" s="14" t="s">
        <v>139</v>
      </c>
      <c r="C292" t="s">
        <v>117</v>
      </c>
      <c r="D292" s="13" t="s">
        <v>81</v>
      </c>
      <c r="E292" s="13">
        <v>1</v>
      </c>
      <c r="F292" s="13">
        <f>IF(E292="","",MIN(E292,$X292+SUMIFS('05_Parte_Diario'!$H$5:$H$204,'05_Parte_Diario'!$D$5:$D$204,B292,'05_Parte_Diario'!$E$5:$E$204,C292)))</f>
        <v>0</v>
      </c>
      <c r="G292" s="13">
        <f t="shared" si="28"/>
        <v>1</v>
      </c>
      <c r="H292" s="21">
        <f t="shared" si="29"/>
        <v>0</v>
      </c>
      <c r="I292" s="21">
        <f>IF(OR(B292="",C292="",$V$1=""),"",MIN(E292,SUMIFS('03_Planificacion'!$G$99:$G$178,'03_Planificacion'!$E$99:$E$178,B292,'03_Planificacion'!$F$99:$F$178,C292,'03_Planificacion'!$D$99:$D$178,"&lt;="&amp;$V$1)))</f>
        <v>0</v>
      </c>
      <c r="J292" s="21">
        <f t="shared" si="30"/>
        <v>0</v>
      </c>
      <c r="K292" s="6">
        <f t="shared" si="31"/>
        <v>0</v>
      </c>
      <c r="L292" t="s">
        <v>68</v>
      </c>
      <c r="P292" s="5">
        <f t="shared" si="32"/>
        <v>46287</v>
      </c>
      <c r="Q292" t="s">
        <v>125</v>
      </c>
      <c r="R292">
        <v>110</v>
      </c>
      <c r="S292" t="s">
        <v>70</v>
      </c>
      <c r="T292" t="str">
        <f t="shared" si="33"/>
        <v/>
      </c>
      <c r="U292" t="str">
        <f>IF(AND(L292="Para Programar",G292&gt;0),COUNTIFS($L$5:L292,"Para Programar",$G$5:G292,"&gt;0"),"")</f>
        <v/>
      </c>
      <c r="W292" t="str">
        <f t="shared" si="34"/>
        <v>N15 - N17|11 Relleno -0,30 - Inspección laboratorio</v>
      </c>
      <c r="X292">
        <v>0</v>
      </c>
    </row>
    <row r="293" spans="1:24">
      <c r="A293" t="s">
        <v>64</v>
      </c>
      <c r="B293" s="14" t="s">
        <v>142</v>
      </c>
      <c r="C293" t="s">
        <v>66</v>
      </c>
      <c r="D293" s="13" t="s">
        <v>67</v>
      </c>
      <c r="E293" s="13">
        <v>24</v>
      </c>
      <c r="F293" s="13">
        <f>IF(E293="","",MIN(E293,$X293+SUMIFS('05_Parte_Diario'!$H$5:$H$204,'05_Parte_Diario'!$D$5:$D$204,B293,'05_Parte_Diario'!$E$5:$E$204,C293)))</f>
        <v>24</v>
      </c>
      <c r="G293" s="13">
        <f t="shared" si="28"/>
        <v>0</v>
      </c>
      <c r="H293" s="21">
        <f t="shared" si="29"/>
        <v>1</v>
      </c>
      <c r="I293" s="21">
        <f>IF(OR(B293="",C293="",$V$1=""),"",MIN(E293,SUMIFS('03_Planificacion'!$G$99:$G$178,'03_Planificacion'!$E$99:$E$178,B293,'03_Planificacion'!$F$99:$F$178,C293,'03_Planificacion'!$D$99:$D$178,"&lt;="&amp;$V$1)))</f>
        <v>0</v>
      </c>
      <c r="J293" s="21">
        <f t="shared" si="30"/>
        <v>0</v>
      </c>
      <c r="K293" s="6">
        <f t="shared" si="31"/>
        <v>1</v>
      </c>
      <c r="L293" t="s">
        <v>123</v>
      </c>
      <c r="P293" s="5">
        <f t="shared" si="32"/>
        <v>46287</v>
      </c>
      <c r="Q293" t="s">
        <v>119</v>
      </c>
      <c r="R293">
        <v>110</v>
      </c>
      <c r="S293" t="s">
        <v>70</v>
      </c>
      <c r="T293" t="str">
        <f t="shared" si="33"/>
        <v/>
      </c>
      <c r="U293" t="str">
        <f>IF(AND(L293="Para Programar",G293&gt;0),COUNTIFS($L$5:L293,"Para Programar",$G$5:G293,"&gt;0"),"")</f>
        <v/>
      </c>
      <c r="W293" t="str">
        <f t="shared" si="34"/>
        <v>N17 - N18|01 Replanteo - Marcación de tramo de cañería principal</v>
      </c>
      <c r="X293">
        <v>24</v>
      </c>
    </row>
    <row r="294" spans="1:24">
      <c r="A294" t="s">
        <v>71</v>
      </c>
      <c r="B294" s="14" t="s">
        <v>142</v>
      </c>
      <c r="C294" t="s">
        <v>72</v>
      </c>
      <c r="D294" s="13" t="s">
        <v>67</v>
      </c>
      <c r="E294" s="13">
        <v>24</v>
      </c>
      <c r="F294" s="13">
        <f>IF(E294="","",MIN(E294,$X294+SUMIFS('05_Parte_Diario'!$H$5:$H$204,'05_Parte_Diario'!$D$5:$D$204,B294,'05_Parte_Diario'!$E$5:$E$204,C294)))</f>
        <v>24</v>
      </c>
      <c r="G294" s="13">
        <f t="shared" si="28"/>
        <v>0</v>
      </c>
      <c r="H294" s="21">
        <f t="shared" si="29"/>
        <v>1</v>
      </c>
      <c r="I294" s="21">
        <f>IF(OR(B294="",C294="",$V$1=""),"",MIN(E294,SUMIFS('03_Planificacion'!$G$99:$G$178,'03_Planificacion'!$E$99:$E$178,B294,'03_Planificacion'!$F$99:$F$178,C294,'03_Planificacion'!$D$99:$D$178,"&lt;="&amp;$V$1)))</f>
        <v>0</v>
      </c>
      <c r="J294" s="21">
        <f t="shared" si="30"/>
        <v>0</v>
      </c>
      <c r="K294" s="6">
        <f t="shared" si="31"/>
        <v>1</v>
      </c>
      <c r="L294" t="s">
        <v>123</v>
      </c>
      <c r="P294" s="5">
        <f t="shared" si="32"/>
        <v>46287</v>
      </c>
      <c r="Q294" t="s">
        <v>119</v>
      </c>
      <c r="R294">
        <v>110</v>
      </c>
      <c r="S294" t="s">
        <v>70</v>
      </c>
      <c r="T294" t="str">
        <f t="shared" si="33"/>
        <v/>
      </c>
      <c r="U294" t="str">
        <f>IF(AND(L294="Para Programar",G294&gt;0),COUNTIFS($L$5:L294,"Para Programar",$G$5:G294,"&gt;0"),"")</f>
        <v/>
      </c>
      <c r="W294" t="str">
        <f t="shared" si="34"/>
        <v>N17 - N18|02 Excavación - Zanja principal</v>
      </c>
      <c r="X294">
        <v>24</v>
      </c>
    </row>
    <row r="295" spans="1:24">
      <c r="A295" t="s">
        <v>73</v>
      </c>
      <c r="B295" s="14" t="s">
        <v>142</v>
      </c>
      <c r="C295" t="s">
        <v>74</v>
      </c>
      <c r="D295" s="13" t="s">
        <v>67</v>
      </c>
      <c r="E295" s="13">
        <v>24</v>
      </c>
      <c r="F295" s="13">
        <f>IF(E295="","",MIN(E295,$X295+SUMIFS('05_Parte_Diario'!$H$5:$H$204,'05_Parte_Diario'!$D$5:$D$204,B295,'05_Parte_Diario'!$E$5:$E$204,C295)))</f>
        <v>24</v>
      </c>
      <c r="G295" s="13">
        <f t="shared" si="28"/>
        <v>0</v>
      </c>
      <c r="H295" s="21">
        <f t="shared" si="29"/>
        <v>1</v>
      </c>
      <c r="I295" s="21">
        <f>IF(OR(B295="",C295="",$V$1=""),"",MIN(E295,SUMIFS('03_Planificacion'!$G$99:$G$178,'03_Planificacion'!$E$99:$E$178,B295,'03_Planificacion'!$F$99:$F$178,C295,'03_Planificacion'!$D$99:$D$178,"&lt;="&amp;$V$1)))</f>
        <v>0</v>
      </c>
      <c r="J295" s="21">
        <f t="shared" si="30"/>
        <v>0</v>
      </c>
      <c r="K295" s="6">
        <f t="shared" si="31"/>
        <v>1</v>
      </c>
      <c r="L295" t="s">
        <v>123</v>
      </c>
      <c r="P295" s="5">
        <f t="shared" si="32"/>
        <v>46287</v>
      </c>
      <c r="Q295" t="s">
        <v>119</v>
      </c>
      <c r="R295">
        <v>110</v>
      </c>
      <c r="S295" t="s">
        <v>70</v>
      </c>
      <c r="T295" t="str">
        <f t="shared" si="33"/>
        <v/>
      </c>
      <c r="U295" t="str">
        <f>IF(AND(L295="Para Programar",G295&gt;0),COUNTIFS($L$5:L295,"Para Programar",$G$5:G295,"&gt;0"),"")</f>
        <v/>
      </c>
      <c r="W295" t="str">
        <f t="shared" si="34"/>
        <v>N17 - N18|03 Base de asiento - Nivelación de fondo de zanja</v>
      </c>
      <c r="X295">
        <v>24</v>
      </c>
    </row>
    <row r="296" spans="1:24">
      <c r="A296" t="s">
        <v>75</v>
      </c>
      <c r="B296" s="14" t="s">
        <v>142</v>
      </c>
      <c r="C296" t="s">
        <v>76</v>
      </c>
      <c r="D296" s="13" t="s">
        <v>67</v>
      </c>
      <c r="E296" s="13">
        <v>24</v>
      </c>
      <c r="F296" s="13">
        <f>IF(E296="","",MIN(E296,$X296+SUMIFS('05_Parte_Diario'!$H$5:$H$204,'05_Parte_Diario'!$D$5:$D$204,B296,'05_Parte_Diario'!$E$5:$E$204,C296)))</f>
        <v>24</v>
      </c>
      <c r="G296" s="13">
        <f t="shared" si="28"/>
        <v>0</v>
      </c>
      <c r="H296" s="21">
        <f t="shared" si="29"/>
        <v>1</v>
      </c>
      <c r="I296" s="21">
        <f>IF(OR(B296="",C296="",$V$1=""),"",MIN(E296,SUMIFS('03_Planificacion'!$G$99:$G$178,'03_Planificacion'!$E$99:$E$178,B296,'03_Planificacion'!$F$99:$F$178,C296,'03_Planificacion'!$D$99:$D$178,"&lt;="&amp;$V$1)))</f>
        <v>0</v>
      </c>
      <c r="J296" s="21">
        <f t="shared" si="30"/>
        <v>0</v>
      </c>
      <c r="K296" s="6">
        <f t="shared" si="31"/>
        <v>1</v>
      </c>
      <c r="L296" t="s">
        <v>123</v>
      </c>
      <c r="M296" t="s">
        <v>140</v>
      </c>
      <c r="P296" s="5">
        <f t="shared" si="32"/>
        <v>46287</v>
      </c>
      <c r="Q296" t="s">
        <v>119</v>
      </c>
      <c r="R296">
        <v>110</v>
      </c>
      <c r="S296" t="s">
        <v>70</v>
      </c>
      <c r="T296" t="str">
        <f t="shared" si="33"/>
        <v/>
      </c>
      <c r="U296" t="str">
        <f>IF(AND(L296="Para Programar",G296&gt;0),COUNTIFS($L$5:L296,"Para Programar",$G$5:G296,"&gt;0"),"")</f>
        <v/>
      </c>
      <c r="W296" t="str">
        <f t="shared" si="34"/>
        <v>N17 - N18|03 Base de asiento - Aporte de material base e=0,10 m</v>
      </c>
      <c r="X296">
        <v>24</v>
      </c>
    </row>
    <row r="297" spans="1:24">
      <c r="A297" t="s">
        <v>77</v>
      </c>
      <c r="B297" s="14" t="s">
        <v>142</v>
      </c>
      <c r="C297" t="s">
        <v>78</v>
      </c>
      <c r="D297" s="13" t="s">
        <v>67</v>
      </c>
      <c r="E297" s="13">
        <v>24</v>
      </c>
      <c r="F297" s="13">
        <f>IF(E297="","",MIN(E297,$X297+SUMIFS('05_Parte_Diario'!$H$5:$H$204,'05_Parte_Diario'!$D$5:$D$204,B297,'05_Parte_Diario'!$E$5:$E$204,C297)))</f>
        <v>0</v>
      </c>
      <c r="G297" s="13">
        <f t="shared" si="28"/>
        <v>24</v>
      </c>
      <c r="H297" s="21">
        <f t="shared" si="29"/>
        <v>0</v>
      </c>
      <c r="I297" s="21">
        <f>IF(OR(B297="",C297="",$V$1=""),"",MIN(E297,SUMIFS('03_Planificacion'!$G$99:$G$178,'03_Planificacion'!$E$99:$E$178,B297,'03_Planificacion'!$F$99:$F$178,C297,'03_Planificacion'!$D$99:$D$178,"&lt;="&amp;$V$1)))</f>
        <v>0</v>
      </c>
      <c r="J297" s="21">
        <f t="shared" si="30"/>
        <v>0</v>
      </c>
      <c r="K297" s="6">
        <f t="shared" si="31"/>
        <v>0</v>
      </c>
      <c r="L297" t="s">
        <v>12</v>
      </c>
      <c r="M297" t="s">
        <v>141</v>
      </c>
      <c r="P297" s="5">
        <f t="shared" si="32"/>
        <v>46287</v>
      </c>
      <c r="Q297" t="s">
        <v>119</v>
      </c>
      <c r="R297">
        <v>110</v>
      </c>
      <c r="S297" t="s">
        <v>70</v>
      </c>
      <c r="T297" t="str">
        <f t="shared" si="33"/>
        <v/>
      </c>
      <c r="U297">
        <f>IF(AND(L297="Para Programar",G297&gt;0),COUNTIFS($L$5:L297,"Para Programar",$G$5:G297,"&gt;0"),"")</f>
        <v>51</v>
      </c>
      <c r="W297" t="str">
        <f t="shared" si="34"/>
        <v>N17 - N18|03 Base de asiento - Compactación</v>
      </c>
      <c r="X297">
        <v>0</v>
      </c>
    </row>
    <row r="298" spans="1:24">
      <c r="A298" t="s">
        <v>79</v>
      </c>
      <c r="B298" s="14" t="s">
        <v>142</v>
      </c>
      <c r="C298" t="s">
        <v>80</v>
      </c>
      <c r="D298" s="13" t="s">
        <v>81</v>
      </c>
      <c r="E298" s="13">
        <v>1</v>
      </c>
      <c r="F298" s="13">
        <f>IF(E298="","",MIN(E298,$X298+SUMIFS('05_Parte_Diario'!$H$5:$H$204,'05_Parte_Diario'!$D$5:$D$204,B298,'05_Parte_Diario'!$E$5:$E$204,C298)))</f>
        <v>0</v>
      </c>
      <c r="G298" s="13">
        <f t="shared" si="28"/>
        <v>1</v>
      </c>
      <c r="H298" s="21">
        <f t="shared" si="29"/>
        <v>0</v>
      </c>
      <c r="I298" s="21">
        <f>IF(OR(B298="",C298="",$V$1=""),"",MIN(E298,SUMIFS('03_Planificacion'!$G$99:$G$178,'03_Planificacion'!$E$99:$E$178,B298,'03_Planificacion'!$F$99:$F$178,C298,'03_Planificacion'!$D$99:$D$178,"&lt;="&amp;$V$1)))</f>
        <v>0</v>
      </c>
      <c r="J298" s="21">
        <f t="shared" si="30"/>
        <v>0</v>
      </c>
      <c r="K298" s="6">
        <f t="shared" si="31"/>
        <v>0</v>
      </c>
      <c r="L298" t="s">
        <v>12</v>
      </c>
      <c r="P298" s="5">
        <f t="shared" si="32"/>
        <v>46287</v>
      </c>
      <c r="Q298" t="s">
        <v>119</v>
      </c>
      <c r="R298">
        <v>110</v>
      </c>
      <c r="S298" t="s">
        <v>70</v>
      </c>
      <c r="T298" t="str">
        <f t="shared" si="33"/>
        <v/>
      </c>
      <c r="U298">
        <f>IF(AND(L298="Para Programar",G298&gt;0),COUNTIFS($L$5:L298,"Para Programar",$G$5:G298,"&gt;0"),"")</f>
        <v>52</v>
      </c>
      <c r="W298" t="str">
        <f t="shared" si="34"/>
        <v>N17 - N18|04 Inspecciones previas - Laboratorio base de asiento</v>
      </c>
      <c r="X298">
        <v>0</v>
      </c>
    </row>
    <row r="299" spans="1:24">
      <c r="A299" t="s">
        <v>82</v>
      </c>
      <c r="B299" s="14" t="s">
        <v>142</v>
      </c>
      <c r="C299" t="s">
        <v>83</v>
      </c>
      <c r="D299" s="13" t="s">
        <v>81</v>
      </c>
      <c r="E299" s="13">
        <v>1</v>
      </c>
      <c r="F299" s="13">
        <f>IF(E299="","",MIN(E299,$X299+SUMIFS('05_Parte_Diario'!$H$5:$H$204,'05_Parte_Diario'!$D$5:$D$204,B299,'05_Parte_Diario'!$E$5:$E$204,C299)))</f>
        <v>0</v>
      </c>
      <c r="G299" s="13">
        <f t="shared" si="28"/>
        <v>1</v>
      </c>
      <c r="H299" s="21">
        <f t="shared" si="29"/>
        <v>0</v>
      </c>
      <c r="I299" s="21">
        <f>IF(OR(B299="",C299="",$V$1=""),"",MIN(E299,SUMIFS('03_Planificacion'!$G$99:$G$178,'03_Planificacion'!$E$99:$E$178,B299,'03_Planificacion'!$F$99:$F$178,C299,'03_Planificacion'!$D$99:$D$178,"&lt;="&amp;$V$1)))</f>
        <v>0</v>
      </c>
      <c r="J299" s="21">
        <f t="shared" si="30"/>
        <v>0</v>
      </c>
      <c r="K299" s="6">
        <f t="shared" si="31"/>
        <v>0</v>
      </c>
      <c r="L299" t="s">
        <v>12</v>
      </c>
      <c r="P299" s="5">
        <f t="shared" si="32"/>
        <v>46287</v>
      </c>
      <c r="Q299" t="s">
        <v>119</v>
      </c>
      <c r="R299">
        <v>110</v>
      </c>
      <c r="S299" t="s">
        <v>70</v>
      </c>
      <c r="T299" t="str">
        <f t="shared" si="33"/>
        <v/>
      </c>
      <c r="U299">
        <f>IF(AND(L299="Para Programar",G299&gt;0),COUNTIFS($L$5:L299,"Para Programar",$G$5:G299,"&gt;0"),"")</f>
        <v>53</v>
      </c>
      <c r="W299" t="str">
        <f t="shared" si="34"/>
        <v>N17 - N18|04 Inspecciones previas - Zanja y materiales</v>
      </c>
      <c r="X299">
        <v>0</v>
      </c>
    </row>
    <row r="300" spans="1:24">
      <c r="A300" t="s">
        <v>84</v>
      </c>
      <c r="B300" s="14" t="s">
        <v>142</v>
      </c>
      <c r="C300" t="s">
        <v>85</v>
      </c>
      <c r="D300" s="13" t="s">
        <v>67</v>
      </c>
      <c r="E300" s="13">
        <v>24</v>
      </c>
      <c r="F300" s="13">
        <f>IF(E300="","",MIN(E300,$X300+SUMIFS('05_Parte_Diario'!$H$5:$H$204,'05_Parte_Diario'!$D$5:$D$204,B300,'05_Parte_Diario'!$E$5:$E$204,C300)))</f>
        <v>0</v>
      </c>
      <c r="G300" s="13">
        <f t="shared" si="28"/>
        <v>24</v>
      </c>
      <c r="H300" s="21">
        <f t="shared" si="29"/>
        <v>0</v>
      </c>
      <c r="I300" s="21">
        <f>IF(OR(B300="",C300="",$V$1=""),"",MIN(E300,SUMIFS('03_Planificacion'!$G$99:$G$178,'03_Planificacion'!$E$99:$E$178,B300,'03_Planificacion'!$F$99:$F$178,C300,'03_Planificacion'!$D$99:$D$178,"&lt;="&amp;$V$1)))</f>
        <v>0</v>
      </c>
      <c r="J300" s="21">
        <f t="shared" si="30"/>
        <v>0</v>
      </c>
      <c r="K300" s="6">
        <f t="shared" si="31"/>
        <v>0</v>
      </c>
      <c r="L300" t="s">
        <v>12</v>
      </c>
      <c r="P300" s="5">
        <f t="shared" si="32"/>
        <v>46287</v>
      </c>
      <c r="Q300" t="s">
        <v>119</v>
      </c>
      <c r="R300">
        <v>110</v>
      </c>
      <c r="S300" t="s">
        <v>70</v>
      </c>
      <c r="T300" t="str">
        <f t="shared" si="33"/>
        <v/>
      </c>
      <c r="U300">
        <f>IF(AND(L300="Para Programar",G300&gt;0),COUNTIFS($L$5:L300,"Para Programar",$G$5:G300,"&gt;0"),"")</f>
        <v>54</v>
      </c>
      <c r="W300" t="str">
        <f t="shared" si="34"/>
        <v>N17 - N18|05 Tendido de cañería - Cañería principal</v>
      </c>
      <c r="X300">
        <v>0</v>
      </c>
    </row>
    <row r="301" spans="1:24">
      <c r="A301" t="s">
        <v>86</v>
      </c>
      <c r="B301" s="14" t="s">
        <v>142</v>
      </c>
      <c r="C301" t="s">
        <v>87</v>
      </c>
      <c r="D301" s="13" t="s">
        <v>67</v>
      </c>
      <c r="E301" s="13">
        <v>24</v>
      </c>
      <c r="F301" s="13">
        <f>IF(E301="","",MIN(E301,$X301+SUMIFS('05_Parte_Diario'!$H$5:$H$204,'05_Parte_Diario'!$D$5:$D$204,B301,'05_Parte_Diario'!$E$5:$E$204,C301)))</f>
        <v>0</v>
      </c>
      <c r="G301" s="13">
        <f t="shared" si="28"/>
        <v>24</v>
      </c>
      <c r="H301" s="21">
        <f t="shared" si="29"/>
        <v>0</v>
      </c>
      <c r="I301" s="21">
        <f>IF(OR(B301="",C301="",$V$1=""),"",MIN(E301,SUMIFS('03_Planificacion'!$G$99:$G$178,'03_Planificacion'!$E$99:$E$178,B301,'03_Planificacion'!$F$99:$F$178,C301,'03_Planificacion'!$D$99:$D$178,"&lt;="&amp;$V$1)))</f>
        <v>0</v>
      </c>
      <c r="J301" s="21">
        <f t="shared" si="30"/>
        <v>0</v>
      </c>
      <c r="K301" s="6">
        <f t="shared" si="31"/>
        <v>0</v>
      </c>
      <c r="L301" t="s">
        <v>12</v>
      </c>
      <c r="P301" s="5">
        <f t="shared" si="32"/>
        <v>46287</v>
      </c>
      <c r="Q301" t="s">
        <v>119</v>
      </c>
      <c r="R301">
        <v>110</v>
      </c>
      <c r="S301" t="s">
        <v>70</v>
      </c>
      <c r="T301" t="str">
        <f t="shared" si="33"/>
        <v/>
      </c>
      <c r="U301">
        <f>IF(AND(L301="Para Programar",G301&gt;0),COUNTIFS($L$5:L301,"Para Programar",$G$5:G301,"&gt;0"),"")</f>
        <v>55</v>
      </c>
      <c r="W301" t="str">
        <f t="shared" si="34"/>
        <v>N17 - N18|05 Tendido de cañería - Relevamiento planialtimétrico</v>
      </c>
      <c r="X301">
        <v>0</v>
      </c>
    </row>
    <row r="302" spans="1:24">
      <c r="A302" t="s">
        <v>88</v>
      </c>
      <c r="B302" s="14" t="s">
        <v>142</v>
      </c>
      <c r="C302" t="s">
        <v>89</v>
      </c>
      <c r="D302" s="13" t="s">
        <v>81</v>
      </c>
      <c r="E302" s="13">
        <v>1</v>
      </c>
      <c r="F302" s="13">
        <f>IF(E302="","",MIN(E302,$X302+SUMIFS('05_Parte_Diario'!$H$5:$H$204,'05_Parte_Diario'!$D$5:$D$204,B302,'05_Parte_Diario'!$E$5:$E$204,C302)))</f>
        <v>0</v>
      </c>
      <c r="G302" s="13">
        <f t="shared" si="28"/>
        <v>1</v>
      </c>
      <c r="H302" s="21">
        <f t="shared" si="29"/>
        <v>0</v>
      </c>
      <c r="I302" s="21">
        <f>IF(OR(B302="",C302="",$V$1=""),"",MIN(E302,SUMIFS('03_Planificacion'!$G$99:$G$178,'03_Planificacion'!$E$99:$E$178,B302,'03_Planificacion'!$F$99:$F$178,C302,'03_Planificacion'!$D$99:$D$178,"&lt;="&amp;$V$1)))</f>
        <v>0</v>
      </c>
      <c r="J302" s="21">
        <f t="shared" si="30"/>
        <v>0</v>
      </c>
      <c r="K302" s="6">
        <f t="shared" si="31"/>
        <v>0</v>
      </c>
      <c r="L302" t="s">
        <v>12</v>
      </c>
      <c r="P302" s="5">
        <f t="shared" si="32"/>
        <v>46287</v>
      </c>
      <c r="Q302" t="s">
        <v>119</v>
      </c>
      <c r="R302">
        <v>110</v>
      </c>
      <c r="S302" t="s">
        <v>70</v>
      </c>
      <c r="T302" t="str">
        <f t="shared" si="33"/>
        <v/>
      </c>
      <c r="U302">
        <f>IF(AND(L302="Para Programar",G302&gt;0),COUNTIFS($L$5:L302,"Para Programar",$G$5:G302,"&gt;0"),"")</f>
        <v>56</v>
      </c>
      <c r="W302" t="str">
        <f t="shared" si="34"/>
        <v>N17 - N18|08 Prueba hidráulica - Preparación del sistema</v>
      </c>
      <c r="X302">
        <v>0</v>
      </c>
    </row>
    <row r="303" spans="1:24">
      <c r="A303" t="s">
        <v>90</v>
      </c>
      <c r="B303" s="14" t="s">
        <v>142</v>
      </c>
      <c r="C303" t="s">
        <v>91</v>
      </c>
      <c r="D303" s="13" t="s">
        <v>81</v>
      </c>
      <c r="E303" s="13">
        <v>1</v>
      </c>
      <c r="F303" s="13">
        <f>IF(E303="","",MIN(E303,$X303+SUMIFS('05_Parte_Diario'!$H$5:$H$204,'05_Parte_Diario'!$D$5:$D$204,B303,'05_Parte_Diario'!$E$5:$E$204,C303)))</f>
        <v>0</v>
      </c>
      <c r="G303" s="13">
        <f t="shared" si="28"/>
        <v>1</v>
      </c>
      <c r="H303" s="21">
        <f t="shared" si="29"/>
        <v>0</v>
      </c>
      <c r="I303" s="21">
        <f>IF(OR(B303="",C303="",$V$1=""),"",MIN(E303,SUMIFS('03_Planificacion'!$G$99:$G$178,'03_Planificacion'!$E$99:$E$178,B303,'03_Planificacion'!$F$99:$F$178,C303,'03_Planificacion'!$D$99:$D$178,"&lt;="&amp;$V$1)))</f>
        <v>0</v>
      </c>
      <c r="J303" s="21">
        <f t="shared" si="30"/>
        <v>0</v>
      </c>
      <c r="K303" s="6">
        <f t="shared" si="31"/>
        <v>0</v>
      </c>
      <c r="L303" t="s">
        <v>12</v>
      </c>
      <c r="P303" s="5">
        <f t="shared" si="32"/>
        <v>46287</v>
      </c>
      <c r="Q303" t="s">
        <v>119</v>
      </c>
      <c r="R303">
        <v>110</v>
      </c>
      <c r="S303" t="s">
        <v>70</v>
      </c>
      <c r="T303" t="str">
        <f t="shared" si="33"/>
        <v/>
      </c>
      <c r="U303">
        <f>IF(AND(L303="Para Programar",G303&gt;0),COUNTIFS($L$5:L303,"Para Programar",$G$5:G303,"&gt;0"),"")</f>
        <v>57</v>
      </c>
      <c r="W303" t="str">
        <f t="shared" si="34"/>
        <v>N17 - N18|08 Prueba hidráulica - Interna N° 1</v>
      </c>
      <c r="X303">
        <v>0</v>
      </c>
    </row>
    <row r="304" spans="1:24">
      <c r="A304" t="s">
        <v>92</v>
      </c>
      <c r="B304" s="14" t="s">
        <v>142</v>
      </c>
      <c r="C304" t="s">
        <v>93</v>
      </c>
      <c r="D304" s="13" t="s">
        <v>81</v>
      </c>
      <c r="E304" s="13">
        <v>1</v>
      </c>
      <c r="F304" s="13">
        <f>IF(E304="","",MIN(E304,$X304+SUMIFS('05_Parte_Diario'!$H$5:$H$204,'05_Parte_Diario'!$D$5:$D$204,B304,'05_Parte_Diario'!$E$5:$E$204,C304)))</f>
        <v>0</v>
      </c>
      <c r="G304" s="13">
        <f t="shared" si="28"/>
        <v>1</v>
      </c>
      <c r="H304" s="21">
        <f t="shared" si="29"/>
        <v>0</v>
      </c>
      <c r="I304" s="21">
        <f>IF(OR(B304="",C304="",$V$1=""),"",MIN(E304,SUMIFS('03_Planificacion'!$G$99:$G$178,'03_Planificacion'!$E$99:$E$178,B304,'03_Planificacion'!$F$99:$F$178,C304,'03_Planificacion'!$D$99:$D$178,"&lt;="&amp;$V$1)))</f>
        <v>0</v>
      </c>
      <c r="J304" s="21">
        <f t="shared" si="30"/>
        <v>0</v>
      </c>
      <c r="K304" s="6">
        <f t="shared" si="31"/>
        <v>0</v>
      </c>
      <c r="L304" t="s">
        <v>68</v>
      </c>
      <c r="P304" s="5">
        <f t="shared" si="32"/>
        <v>46287</v>
      </c>
      <c r="Q304" t="s">
        <v>119</v>
      </c>
      <c r="R304">
        <v>110</v>
      </c>
      <c r="S304" t="s">
        <v>70</v>
      </c>
      <c r="T304" t="str">
        <f t="shared" si="33"/>
        <v/>
      </c>
      <c r="U304" t="str">
        <f>IF(AND(L304="Para Programar",G304&gt;0),COUNTIFS($L$5:L304,"Para Programar",$G$5:G304,"&gt;0"),"")</f>
        <v/>
      </c>
      <c r="W304" t="str">
        <f t="shared" si="34"/>
        <v>N17 - N18|08 Prueba hidráulica - Interna N° 2</v>
      </c>
      <c r="X304">
        <v>0</v>
      </c>
    </row>
    <row r="305" spans="1:24">
      <c r="A305" t="s">
        <v>94</v>
      </c>
      <c r="B305" s="14" t="s">
        <v>142</v>
      </c>
      <c r="C305" t="s">
        <v>95</v>
      </c>
      <c r="D305" s="13" t="s">
        <v>81</v>
      </c>
      <c r="E305" s="13">
        <v>1</v>
      </c>
      <c r="F305" s="13">
        <f>IF(E305="","",MIN(E305,$X305+SUMIFS('05_Parte_Diario'!$H$5:$H$204,'05_Parte_Diario'!$D$5:$D$204,B305,'05_Parte_Diario'!$E$5:$E$204,C305)))</f>
        <v>0</v>
      </c>
      <c r="G305" s="13">
        <f t="shared" si="28"/>
        <v>1</v>
      </c>
      <c r="H305" s="21">
        <f t="shared" si="29"/>
        <v>0</v>
      </c>
      <c r="I305" s="21">
        <f>IF(OR(B305="",C305="",$V$1=""),"",MIN(E305,SUMIFS('03_Planificacion'!$G$99:$G$178,'03_Planificacion'!$E$99:$E$178,B305,'03_Planificacion'!$F$99:$F$178,C305,'03_Planificacion'!$D$99:$D$178,"&lt;="&amp;$V$1)))</f>
        <v>0</v>
      </c>
      <c r="J305" s="21">
        <f t="shared" si="30"/>
        <v>0</v>
      </c>
      <c r="K305" s="6">
        <f t="shared" si="31"/>
        <v>0</v>
      </c>
      <c r="L305" t="s">
        <v>68</v>
      </c>
      <c r="P305" s="5">
        <f t="shared" si="32"/>
        <v>46287</v>
      </c>
      <c r="Q305" t="s">
        <v>119</v>
      </c>
      <c r="R305">
        <v>110</v>
      </c>
      <c r="S305" t="s">
        <v>70</v>
      </c>
      <c r="T305" t="str">
        <f t="shared" si="33"/>
        <v/>
      </c>
      <c r="U305" t="str">
        <f>IF(AND(L305="Para Programar",G305&gt;0),COUNTIFS($L$5:L305,"Para Programar",$G$5:G305,"&gt;0"),"")</f>
        <v/>
      </c>
      <c r="W305" t="str">
        <f t="shared" si="34"/>
        <v>N17 - N18|08 Prueba hidráulica - Primera prueba oficial</v>
      </c>
      <c r="X305">
        <v>0</v>
      </c>
    </row>
    <row r="306" spans="1:24">
      <c r="A306" t="s">
        <v>96</v>
      </c>
      <c r="B306" s="14" t="s">
        <v>142</v>
      </c>
      <c r="C306" t="s">
        <v>97</v>
      </c>
      <c r="D306" s="13" t="s">
        <v>67</v>
      </c>
      <c r="E306" s="13">
        <v>24</v>
      </c>
      <c r="F306" s="13">
        <f>IF(E306="","",MIN(E306,$X306+SUMIFS('05_Parte_Diario'!$H$5:$H$204,'05_Parte_Diario'!$D$5:$D$204,B306,'05_Parte_Diario'!$E$5:$E$204,C306)))</f>
        <v>0</v>
      </c>
      <c r="G306" s="13">
        <f t="shared" si="28"/>
        <v>24</v>
      </c>
      <c r="H306" s="21">
        <f t="shared" si="29"/>
        <v>0</v>
      </c>
      <c r="I306" s="21">
        <f>IF(OR(B306="",C306="",$V$1=""),"",MIN(E306,SUMIFS('03_Planificacion'!$G$99:$G$178,'03_Planificacion'!$E$99:$E$178,B306,'03_Planificacion'!$F$99:$F$178,C306,'03_Planificacion'!$D$99:$D$178,"&lt;="&amp;$V$1)))</f>
        <v>0</v>
      </c>
      <c r="J306" s="21">
        <f t="shared" si="30"/>
        <v>0</v>
      </c>
      <c r="K306" s="6">
        <f t="shared" si="31"/>
        <v>0</v>
      </c>
      <c r="L306" t="s">
        <v>68</v>
      </c>
      <c r="P306" s="5">
        <f t="shared" si="32"/>
        <v>46287</v>
      </c>
      <c r="Q306" t="s">
        <v>119</v>
      </c>
      <c r="R306">
        <v>110</v>
      </c>
      <c r="S306" t="s">
        <v>70</v>
      </c>
      <c r="T306" t="str">
        <f t="shared" si="33"/>
        <v/>
      </c>
      <c r="U306" t="str">
        <f>IF(AND(L306="Para Programar",G306&gt;0),COUNTIFS($L$5:L306,"Para Programar",$G$5:G306,"&gt;0"),"")</f>
        <v/>
      </c>
      <c r="W306" t="str">
        <f t="shared" si="34"/>
        <v>N17 - N18|09 Paquete estructural - Aporte e=0,30 m</v>
      </c>
      <c r="X306">
        <v>0</v>
      </c>
    </row>
    <row r="307" spans="1:24">
      <c r="A307" t="s">
        <v>98</v>
      </c>
      <c r="B307" s="14" t="s">
        <v>142</v>
      </c>
      <c r="C307" t="s">
        <v>99</v>
      </c>
      <c r="D307" s="13" t="s">
        <v>67</v>
      </c>
      <c r="E307" s="13">
        <v>24</v>
      </c>
      <c r="F307" s="13">
        <f>IF(E307="","",MIN(E307,$X307+SUMIFS('05_Parte_Diario'!$H$5:$H$204,'05_Parte_Diario'!$D$5:$D$204,B307,'05_Parte_Diario'!$E$5:$E$204,C307)))</f>
        <v>0</v>
      </c>
      <c r="G307" s="13">
        <f t="shared" si="28"/>
        <v>24</v>
      </c>
      <c r="H307" s="21">
        <f t="shared" si="29"/>
        <v>0</v>
      </c>
      <c r="I307" s="21">
        <f>IF(OR(B307="",C307="",$V$1=""),"",MIN(E307,SUMIFS('03_Planificacion'!$G$99:$G$178,'03_Planificacion'!$E$99:$E$178,B307,'03_Planificacion'!$F$99:$F$178,C307,'03_Planificacion'!$D$99:$D$178,"&lt;="&amp;$V$1)))</f>
        <v>0</v>
      </c>
      <c r="J307" s="21">
        <f t="shared" si="30"/>
        <v>0</v>
      </c>
      <c r="K307" s="6">
        <f t="shared" si="31"/>
        <v>0</v>
      </c>
      <c r="L307" t="s">
        <v>68</v>
      </c>
      <c r="P307" s="5">
        <f t="shared" si="32"/>
        <v>46287</v>
      </c>
      <c r="Q307" t="s">
        <v>119</v>
      </c>
      <c r="R307">
        <v>110</v>
      </c>
      <c r="S307" t="s">
        <v>70</v>
      </c>
      <c r="T307" t="str">
        <f t="shared" si="33"/>
        <v/>
      </c>
      <c r="U307" t="str">
        <f>IF(AND(L307="Para Programar",G307&gt;0),COUNTIFS($L$5:L307,"Para Programar",$G$5:G307,"&gt;0"),"")</f>
        <v/>
      </c>
      <c r="W307" t="str">
        <f t="shared" si="34"/>
        <v>N17 - N18|09 Paquete estructural - Compactación</v>
      </c>
      <c r="X307">
        <v>0</v>
      </c>
    </row>
    <row r="308" spans="1:24">
      <c r="A308" t="s">
        <v>100</v>
      </c>
      <c r="B308" s="14" t="s">
        <v>142</v>
      </c>
      <c r="C308" t="s">
        <v>101</v>
      </c>
      <c r="D308" s="13" t="s">
        <v>81</v>
      </c>
      <c r="E308" s="13">
        <v>1</v>
      </c>
      <c r="F308" s="13">
        <f>IF(E308="","",MIN(E308,$X308+SUMIFS('05_Parte_Diario'!$H$5:$H$204,'05_Parte_Diario'!$D$5:$D$204,B308,'05_Parte_Diario'!$E$5:$E$204,C308)))</f>
        <v>0</v>
      </c>
      <c r="G308" s="13">
        <f t="shared" si="28"/>
        <v>1</v>
      </c>
      <c r="H308" s="21">
        <f t="shared" si="29"/>
        <v>0</v>
      </c>
      <c r="I308" s="21">
        <f>IF(OR(B308="",C308="",$V$1=""),"",MIN(E308,SUMIFS('03_Planificacion'!$G$99:$G$178,'03_Planificacion'!$E$99:$E$178,B308,'03_Planificacion'!$F$99:$F$178,C308,'03_Planificacion'!$D$99:$D$178,"&lt;="&amp;$V$1)))</f>
        <v>0</v>
      </c>
      <c r="J308" s="21">
        <f t="shared" si="30"/>
        <v>0</v>
      </c>
      <c r="K308" s="6">
        <f t="shared" si="31"/>
        <v>0</v>
      </c>
      <c r="L308" t="s">
        <v>68</v>
      </c>
      <c r="P308" s="5">
        <f t="shared" si="32"/>
        <v>46287</v>
      </c>
      <c r="Q308" t="s">
        <v>119</v>
      </c>
      <c r="R308">
        <v>110</v>
      </c>
      <c r="S308" t="s">
        <v>70</v>
      </c>
      <c r="T308" t="str">
        <f t="shared" si="33"/>
        <v/>
      </c>
      <c r="U308" t="str">
        <f>IF(AND(L308="Para Programar",G308&gt;0),COUNTIFS($L$5:L308,"Para Programar",$G$5:G308,"&gt;0"),"")</f>
        <v/>
      </c>
      <c r="W308" t="str">
        <f t="shared" si="34"/>
        <v>N17 - N18|09 Paquete estructural - Inspección laboratorio</v>
      </c>
      <c r="X308">
        <v>0</v>
      </c>
    </row>
    <row r="309" spans="1:24">
      <c r="A309" t="s">
        <v>102</v>
      </c>
      <c r="B309" s="14" t="s">
        <v>142</v>
      </c>
      <c r="C309" t="s">
        <v>103</v>
      </c>
      <c r="D309" s="13" t="s">
        <v>67</v>
      </c>
      <c r="E309" s="13">
        <v>24</v>
      </c>
      <c r="F309" s="13">
        <f>IF(E309="","",MIN(E309,$X309+SUMIFS('05_Parte_Diario'!$H$5:$H$204,'05_Parte_Diario'!$D$5:$D$204,B309,'05_Parte_Diario'!$E$5:$E$204,C309)))</f>
        <v>0</v>
      </c>
      <c r="G309" s="13">
        <f t="shared" si="28"/>
        <v>24</v>
      </c>
      <c r="H309" s="21">
        <f t="shared" si="29"/>
        <v>0</v>
      </c>
      <c r="I309" s="21">
        <f>IF(OR(B309="",C309="",$V$1=""),"",MIN(E309,SUMIFS('03_Planificacion'!$G$99:$G$178,'03_Planificacion'!$E$99:$E$178,B309,'03_Planificacion'!$F$99:$F$178,C309,'03_Planificacion'!$D$99:$D$178,"&lt;="&amp;$V$1)))</f>
        <v>0</v>
      </c>
      <c r="J309" s="21">
        <f t="shared" si="30"/>
        <v>0</v>
      </c>
      <c r="K309" s="6">
        <f t="shared" si="31"/>
        <v>0</v>
      </c>
      <c r="L309" t="s">
        <v>68</v>
      </c>
      <c r="P309" s="5">
        <f t="shared" si="32"/>
        <v>46287</v>
      </c>
      <c r="Q309" t="s">
        <v>119</v>
      </c>
      <c r="R309">
        <v>110</v>
      </c>
      <c r="S309" t="s">
        <v>70</v>
      </c>
      <c r="T309" t="str">
        <f t="shared" si="33"/>
        <v/>
      </c>
      <c r="U309" t="str">
        <f>IF(AND(L309="Para Programar",G309&gt;0),COUNTIFS($L$5:L309,"Para Programar",$G$5:G309,"&gt;0"),"")</f>
        <v/>
      </c>
      <c r="W309" t="str">
        <f t="shared" si="34"/>
        <v>N17 - N18|10 Relleno -0,60 - Conformación de capa</v>
      </c>
      <c r="X309">
        <v>0</v>
      </c>
    </row>
    <row r="310" spans="1:24">
      <c r="A310" t="s">
        <v>104</v>
      </c>
      <c r="B310" s="14" t="s">
        <v>142</v>
      </c>
      <c r="C310" t="s">
        <v>105</v>
      </c>
      <c r="D310" s="13" t="s">
        <v>67</v>
      </c>
      <c r="E310" s="13">
        <v>24</v>
      </c>
      <c r="F310" s="13">
        <f>IF(E310="","",MIN(E310,$X310+SUMIFS('05_Parte_Diario'!$H$5:$H$204,'05_Parte_Diario'!$D$5:$D$204,B310,'05_Parte_Diario'!$E$5:$E$204,C310)))</f>
        <v>0</v>
      </c>
      <c r="G310" s="13">
        <f t="shared" si="28"/>
        <v>24</v>
      </c>
      <c r="H310" s="21">
        <f t="shared" si="29"/>
        <v>0</v>
      </c>
      <c r="I310" s="21">
        <f>IF(OR(B310="",C310="",$V$1=""),"",MIN(E310,SUMIFS('03_Planificacion'!$G$99:$G$178,'03_Planificacion'!$E$99:$E$178,B310,'03_Planificacion'!$F$99:$F$178,C310,'03_Planificacion'!$D$99:$D$178,"&lt;="&amp;$V$1)))</f>
        <v>0</v>
      </c>
      <c r="J310" s="21">
        <f t="shared" si="30"/>
        <v>0</v>
      </c>
      <c r="K310" s="6">
        <f t="shared" si="31"/>
        <v>0</v>
      </c>
      <c r="L310" t="s">
        <v>68</v>
      </c>
      <c r="P310" s="5">
        <f t="shared" si="32"/>
        <v>46287</v>
      </c>
      <c r="Q310" t="s">
        <v>119</v>
      </c>
      <c r="R310">
        <v>110</v>
      </c>
      <c r="S310" t="s">
        <v>70</v>
      </c>
      <c r="T310" t="str">
        <f t="shared" si="33"/>
        <v/>
      </c>
      <c r="U310" t="str">
        <f>IF(AND(L310="Para Programar",G310&gt;0),COUNTIFS($L$5:L310,"Para Programar",$G$5:G310,"&gt;0"),"")</f>
        <v/>
      </c>
      <c r="W310" t="str">
        <f t="shared" si="34"/>
        <v>N17 - N18|10 Relleno -0,60 - Humectación</v>
      </c>
      <c r="X310">
        <v>0</v>
      </c>
    </row>
    <row r="311" spans="1:24">
      <c r="A311" t="s">
        <v>106</v>
      </c>
      <c r="B311" s="14" t="s">
        <v>142</v>
      </c>
      <c r="C311" t="s">
        <v>107</v>
      </c>
      <c r="D311" s="13" t="s">
        <v>67</v>
      </c>
      <c r="E311" s="13">
        <v>24</v>
      </c>
      <c r="F311" s="13">
        <f>IF(E311="","",MIN(E311,$X311+SUMIFS('05_Parte_Diario'!$H$5:$H$204,'05_Parte_Diario'!$D$5:$D$204,B311,'05_Parte_Diario'!$E$5:$E$204,C311)))</f>
        <v>0</v>
      </c>
      <c r="G311" s="13">
        <f t="shared" si="28"/>
        <v>24</v>
      </c>
      <c r="H311" s="21">
        <f t="shared" si="29"/>
        <v>0</v>
      </c>
      <c r="I311" s="21">
        <f>IF(OR(B311="",C311="",$V$1=""),"",MIN(E311,SUMIFS('03_Planificacion'!$G$99:$G$178,'03_Planificacion'!$E$99:$E$178,B311,'03_Planificacion'!$F$99:$F$178,C311,'03_Planificacion'!$D$99:$D$178,"&lt;="&amp;$V$1)))</f>
        <v>0</v>
      </c>
      <c r="J311" s="21">
        <f t="shared" si="30"/>
        <v>0</v>
      </c>
      <c r="K311" s="6">
        <f t="shared" si="31"/>
        <v>0</v>
      </c>
      <c r="L311" t="s">
        <v>68</v>
      </c>
      <c r="P311" s="5">
        <f t="shared" si="32"/>
        <v>46287</v>
      </c>
      <c r="Q311" t="s">
        <v>119</v>
      </c>
      <c r="R311">
        <v>110</v>
      </c>
      <c r="S311" t="s">
        <v>70</v>
      </c>
      <c r="T311" t="str">
        <f t="shared" si="33"/>
        <v/>
      </c>
      <c r="U311" t="str">
        <f>IF(AND(L311="Para Programar",G311&gt;0),COUNTIFS($L$5:L311,"Para Programar",$G$5:G311,"&gt;0"),"")</f>
        <v/>
      </c>
      <c r="W311" t="str">
        <f t="shared" si="34"/>
        <v>N17 - N18|10 Relleno -0,60 - Compactación</v>
      </c>
      <c r="X311">
        <v>0</v>
      </c>
    </row>
    <row r="312" spans="1:24">
      <c r="A312" t="s">
        <v>108</v>
      </c>
      <c r="B312" s="14" t="s">
        <v>142</v>
      </c>
      <c r="C312" t="s">
        <v>109</v>
      </c>
      <c r="D312" s="13" t="s">
        <v>81</v>
      </c>
      <c r="E312" s="13">
        <v>1</v>
      </c>
      <c r="F312" s="13">
        <f>IF(E312="","",MIN(E312,$X312+SUMIFS('05_Parte_Diario'!$H$5:$H$204,'05_Parte_Diario'!$D$5:$D$204,B312,'05_Parte_Diario'!$E$5:$E$204,C312)))</f>
        <v>0</v>
      </c>
      <c r="G312" s="13">
        <f t="shared" si="28"/>
        <v>1</v>
      </c>
      <c r="H312" s="21">
        <f t="shared" si="29"/>
        <v>0</v>
      </c>
      <c r="I312" s="21">
        <f>IF(OR(B312="",C312="",$V$1=""),"",MIN(E312,SUMIFS('03_Planificacion'!$G$99:$G$178,'03_Planificacion'!$E$99:$E$178,B312,'03_Planificacion'!$F$99:$F$178,C312,'03_Planificacion'!$D$99:$D$178,"&lt;="&amp;$V$1)))</f>
        <v>0</v>
      </c>
      <c r="J312" s="21">
        <f t="shared" si="30"/>
        <v>0</v>
      </c>
      <c r="K312" s="6">
        <f t="shared" si="31"/>
        <v>0</v>
      </c>
      <c r="L312" t="s">
        <v>68</v>
      </c>
      <c r="P312" s="5">
        <f t="shared" si="32"/>
        <v>46287</v>
      </c>
      <c r="Q312" t="s">
        <v>119</v>
      </c>
      <c r="R312">
        <v>110</v>
      </c>
      <c r="S312" t="s">
        <v>70</v>
      </c>
      <c r="T312" t="str">
        <f t="shared" si="33"/>
        <v/>
      </c>
      <c r="U312" t="str">
        <f>IF(AND(L312="Para Programar",G312&gt;0),COUNTIFS($L$5:L312,"Para Programar",$G$5:G312,"&gt;0"),"")</f>
        <v/>
      </c>
      <c r="W312" t="str">
        <f t="shared" si="34"/>
        <v>N17 - N18|10 Relleno -0,60 - Inspección laboratorio</v>
      </c>
      <c r="X312">
        <v>0</v>
      </c>
    </row>
    <row r="313" spans="1:24">
      <c r="A313" t="s">
        <v>110</v>
      </c>
      <c r="B313" s="14" t="s">
        <v>142</v>
      </c>
      <c r="C313" t="s">
        <v>111</v>
      </c>
      <c r="D313" s="13" t="s">
        <v>67</v>
      </c>
      <c r="E313" s="13">
        <v>24</v>
      </c>
      <c r="F313" s="13">
        <f>IF(E313="","",MIN(E313,$X313+SUMIFS('05_Parte_Diario'!$H$5:$H$204,'05_Parte_Diario'!$D$5:$D$204,B313,'05_Parte_Diario'!$E$5:$E$204,C313)))</f>
        <v>0</v>
      </c>
      <c r="G313" s="13">
        <f t="shared" si="28"/>
        <v>24</v>
      </c>
      <c r="H313" s="21">
        <f t="shared" si="29"/>
        <v>0</v>
      </c>
      <c r="I313" s="21">
        <f>IF(OR(B313="",C313="",$V$1=""),"",MIN(E313,SUMIFS('03_Planificacion'!$G$99:$G$178,'03_Planificacion'!$E$99:$E$178,B313,'03_Planificacion'!$F$99:$F$178,C313,'03_Planificacion'!$D$99:$D$178,"&lt;="&amp;$V$1)))</f>
        <v>0</v>
      </c>
      <c r="J313" s="21">
        <f t="shared" si="30"/>
        <v>0</v>
      </c>
      <c r="K313" s="6">
        <f t="shared" si="31"/>
        <v>0</v>
      </c>
      <c r="L313" t="s">
        <v>68</v>
      </c>
      <c r="P313" s="5">
        <f t="shared" si="32"/>
        <v>46287</v>
      </c>
      <c r="Q313" t="s">
        <v>119</v>
      </c>
      <c r="R313">
        <v>110</v>
      </c>
      <c r="S313" t="s">
        <v>70</v>
      </c>
      <c r="T313" t="str">
        <f t="shared" si="33"/>
        <v/>
      </c>
      <c r="U313" t="str">
        <f>IF(AND(L313="Para Programar",G313&gt;0),COUNTIFS($L$5:L313,"Para Programar",$G$5:G313,"&gt;0"),"")</f>
        <v/>
      </c>
      <c r="W313" t="str">
        <f t="shared" si="34"/>
        <v>N17 - N18|11 Relleno -0,30 - Conformación de capa</v>
      </c>
      <c r="X313">
        <v>0</v>
      </c>
    </row>
    <row r="314" spans="1:24">
      <c r="A314" t="s">
        <v>112</v>
      </c>
      <c r="B314" s="14" t="s">
        <v>142</v>
      </c>
      <c r="C314" t="s">
        <v>113</v>
      </c>
      <c r="D314" s="13" t="s">
        <v>67</v>
      </c>
      <c r="E314" s="13">
        <v>24</v>
      </c>
      <c r="F314" s="13">
        <f>IF(E314="","",MIN(E314,$X314+SUMIFS('05_Parte_Diario'!$H$5:$H$204,'05_Parte_Diario'!$D$5:$D$204,B314,'05_Parte_Diario'!$E$5:$E$204,C314)))</f>
        <v>0</v>
      </c>
      <c r="G314" s="13">
        <f t="shared" si="28"/>
        <v>24</v>
      </c>
      <c r="H314" s="21">
        <f t="shared" si="29"/>
        <v>0</v>
      </c>
      <c r="I314" s="21">
        <f>IF(OR(B314="",C314="",$V$1=""),"",MIN(E314,SUMIFS('03_Planificacion'!$G$99:$G$178,'03_Planificacion'!$E$99:$E$178,B314,'03_Planificacion'!$F$99:$F$178,C314,'03_Planificacion'!$D$99:$D$178,"&lt;="&amp;$V$1)))</f>
        <v>0</v>
      </c>
      <c r="J314" s="21">
        <f t="shared" si="30"/>
        <v>0</v>
      </c>
      <c r="K314" s="6">
        <f t="shared" si="31"/>
        <v>0</v>
      </c>
      <c r="L314" t="s">
        <v>68</v>
      </c>
      <c r="P314" s="5">
        <f t="shared" si="32"/>
        <v>46287</v>
      </c>
      <c r="Q314" t="s">
        <v>119</v>
      </c>
      <c r="R314">
        <v>110</v>
      </c>
      <c r="S314" t="s">
        <v>70</v>
      </c>
      <c r="T314" t="str">
        <f t="shared" si="33"/>
        <v/>
      </c>
      <c r="U314" t="str">
        <f>IF(AND(L314="Para Programar",G314&gt;0),COUNTIFS($L$5:L314,"Para Programar",$G$5:G314,"&gt;0"),"")</f>
        <v/>
      </c>
      <c r="W314" t="str">
        <f t="shared" si="34"/>
        <v>N17 - N18|11 Relleno -0,30 - Humectación</v>
      </c>
      <c r="X314">
        <v>0</v>
      </c>
    </row>
    <row r="315" spans="1:24">
      <c r="A315" t="s">
        <v>114</v>
      </c>
      <c r="B315" s="14" t="s">
        <v>142</v>
      </c>
      <c r="C315" t="s">
        <v>115</v>
      </c>
      <c r="D315" s="13" t="s">
        <v>67</v>
      </c>
      <c r="E315" s="13">
        <v>24</v>
      </c>
      <c r="F315" s="13">
        <f>IF(E315="","",MIN(E315,$X315+SUMIFS('05_Parte_Diario'!$H$5:$H$204,'05_Parte_Diario'!$D$5:$D$204,B315,'05_Parte_Diario'!$E$5:$E$204,C315)))</f>
        <v>0</v>
      </c>
      <c r="G315" s="13">
        <f t="shared" si="28"/>
        <v>24</v>
      </c>
      <c r="H315" s="21">
        <f t="shared" si="29"/>
        <v>0</v>
      </c>
      <c r="I315" s="21">
        <f>IF(OR(B315="",C315="",$V$1=""),"",MIN(E315,SUMIFS('03_Planificacion'!$G$99:$G$178,'03_Planificacion'!$E$99:$E$178,B315,'03_Planificacion'!$F$99:$F$178,C315,'03_Planificacion'!$D$99:$D$178,"&lt;="&amp;$V$1)))</f>
        <v>0</v>
      </c>
      <c r="J315" s="21">
        <f t="shared" si="30"/>
        <v>0</v>
      </c>
      <c r="K315" s="6">
        <f t="shared" si="31"/>
        <v>0</v>
      </c>
      <c r="L315" t="s">
        <v>68</v>
      </c>
      <c r="P315" s="5">
        <f t="shared" si="32"/>
        <v>46287</v>
      </c>
      <c r="Q315" t="s">
        <v>119</v>
      </c>
      <c r="R315">
        <v>110</v>
      </c>
      <c r="S315" t="s">
        <v>70</v>
      </c>
      <c r="T315" t="str">
        <f t="shared" si="33"/>
        <v/>
      </c>
      <c r="U315" t="str">
        <f>IF(AND(L315="Para Programar",G315&gt;0),COUNTIFS($L$5:L315,"Para Programar",$G$5:G315,"&gt;0"),"")</f>
        <v/>
      </c>
      <c r="W315" t="str">
        <f t="shared" si="34"/>
        <v>N17 - N18|11 Relleno -0,30 - Compactación</v>
      </c>
      <c r="X315">
        <v>0</v>
      </c>
    </row>
    <row r="316" spans="1:24">
      <c r="A316" t="s">
        <v>116</v>
      </c>
      <c r="B316" s="14" t="s">
        <v>142</v>
      </c>
      <c r="C316" t="s">
        <v>117</v>
      </c>
      <c r="D316" s="13" t="s">
        <v>81</v>
      </c>
      <c r="E316" s="13">
        <v>1</v>
      </c>
      <c r="F316" s="13">
        <f>IF(E316="","",MIN(E316,$X316+SUMIFS('05_Parte_Diario'!$H$5:$H$204,'05_Parte_Diario'!$D$5:$D$204,B316,'05_Parte_Diario'!$E$5:$E$204,C316)))</f>
        <v>0</v>
      </c>
      <c r="G316" s="13">
        <f t="shared" si="28"/>
        <v>1</v>
      </c>
      <c r="H316" s="21">
        <f t="shared" si="29"/>
        <v>0</v>
      </c>
      <c r="I316" s="21">
        <f>IF(OR(B316="",C316="",$V$1=""),"",MIN(E316,SUMIFS('03_Planificacion'!$G$99:$G$178,'03_Planificacion'!$E$99:$E$178,B316,'03_Planificacion'!$F$99:$F$178,C316,'03_Planificacion'!$D$99:$D$178,"&lt;="&amp;$V$1)))</f>
        <v>0</v>
      </c>
      <c r="J316" s="21">
        <f t="shared" si="30"/>
        <v>0</v>
      </c>
      <c r="K316" s="6">
        <f t="shared" si="31"/>
        <v>0</v>
      </c>
      <c r="L316" t="s">
        <v>68</v>
      </c>
      <c r="P316" s="5">
        <f t="shared" si="32"/>
        <v>46287</v>
      </c>
      <c r="Q316" t="s">
        <v>119</v>
      </c>
      <c r="R316">
        <v>110</v>
      </c>
      <c r="S316" t="s">
        <v>70</v>
      </c>
      <c r="T316" t="str">
        <f t="shared" si="33"/>
        <v/>
      </c>
      <c r="U316" t="str">
        <f>IF(AND(L316="Para Programar",G316&gt;0),COUNTIFS($L$5:L316,"Para Programar",$G$5:G316,"&gt;0"),"")</f>
        <v/>
      </c>
      <c r="W316" t="str">
        <f t="shared" si="34"/>
        <v>N17 - N18|11 Relleno -0,30 - Inspección laboratorio</v>
      </c>
      <c r="X316">
        <v>0</v>
      </c>
    </row>
    <row r="317" spans="1:24">
      <c r="A317" t="s">
        <v>64</v>
      </c>
      <c r="B317" s="14" t="s">
        <v>143</v>
      </c>
      <c r="C317" t="s">
        <v>66</v>
      </c>
      <c r="D317" s="13" t="s">
        <v>67</v>
      </c>
      <c r="E317" s="13">
        <v>88</v>
      </c>
      <c r="F317" s="13">
        <f>IF(E317="","",MIN(E317,$X317+SUMIFS('05_Parte_Diario'!$H$5:$H$204,'05_Parte_Diario'!$D$5:$D$204,B317,'05_Parte_Diario'!$E$5:$E$204,C317)))</f>
        <v>88</v>
      </c>
      <c r="G317" s="13">
        <f t="shared" si="28"/>
        <v>0</v>
      </c>
      <c r="H317" s="21">
        <f t="shared" si="29"/>
        <v>1</v>
      </c>
      <c r="I317" s="21">
        <f>IF(OR(B317="",C317="",$V$1=""),"",MIN(E317,SUMIFS('03_Planificacion'!$G$99:$G$178,'03_Planificacion'!$E$99:$E$178,B317,'03_Planificacion'!$F$99:$F$178,C317,'03_Planificacion'!$D$99:$D$178,"&lt;="&amp;$V$1)))</f>
        <v>0</v>
      </c>
      <c r="J317" s="21">
        <f t="shared" si="30"/>
        <v>0</v>
      </c>
      <c r="K317" s="6">
        <f t="shared" si="31"/>
        <v>1</v>
      </c>
      <c r="L317" t="s">
        <v>123</v>
      </c>
      <c r="P317" s="5">
        <f t="shared" si="32"/>
        <v>46287</v>
      </c>
      <c r="Q317" t="s">
        <v>125</v>
      </c>
      <c r="R317">
        <v>110</v>
      </c>
      <c r="S317" t="s">
        <v>70</v>
      </c>
      <c r="T317" t="str">
        <f t="shared" si="33"/>
        <v/>
      </c>
      <c r="U317" t="str">
        <f>IF(AND(L317="Para Programar",G317&gt;0),COUNTIFS($L$5:L317,"Para Programar",$G$5:G317,"&gt;0"),"")</f>
        <v/>
      </c>
      <c r="W317" t="str">
        <f t="shared" si="34"/>
        <v>N18 - N19|01 Replanteo - Marcación de tramo de cañería principal</v>
      </c>
      <c r="X317">
        <v>88</v>
      </c>
    </row>
    <row r="318" spans="1:24">
      <c r="A318" t="s">
        <v>71</v>
      </c>
      <c r="B318" s="14" t="s">
        <v>143</v>
      </c>
      <c r="C318" t="s">
        <v>72</v>
      </c>
      <c r="D318" s="13" t="s">
        <v>67</v>
      </c>
      <c r="E318" s="13">
        <v>88</v>
      </c>
      <c r="F318" s="13">
        <f>IF(E318="","",MIN(E318,$X318+SUMIFS('05_Parte_Diario'!$H$5:$H$204,'05_Parte_Diario'!$D$5:$D$204,B318,'05_Parte_Diario'!$E$5:$E$204,C318)))</f>
        <v>88</v>
      </c>
      <c r="G318" s="13">
        <f t="shared" si="28"/>
        <v>0</v>
      </c>
      <c r="H318" s="21">
        <f t="shared" si="29"/>
        <v>1</v>
      </c>
      <c r="I318" s="21">
        <f>IF(OR(B318="",C318="",$V$1=""),"",MIN(E318,SUMIFS('03_Planificacion'!$G$99:$G$178,'03_Planificacion'!$E$99:$E$178,B318,'03_Planificacion'!$F$99:$F$178,C318,'03_Planificacion'!$D$99:$D$178,"&lt;="&amp;$V$1)))</f>
        <v>0</v>
      </c>
      <c r="J318" s="21">
        <f t="shared" si="30"/>
        <v>0</v>
      </c>
      <c r="K318" s="6">
        <f t="shared" si="31"/>
        <v>1</v>
      </c>
      <c r="L318" t="s">
        <v>123</v>
      </c>
      <c r="P318" s="5">
        <f t="shared" si="32"/>
        <v>46287</v>
      </c>
      <c r="Q318" t="s">
        <v>125</v>
      </c>
      <c r="R318">
        <v>110</v>
      </c>
      <c r="S318" t="s">
        <v>70</v>
      </c>
      <c r="T318" t="str">
        <f t="shared" si="33"/>
        <v/>
      </c>
      <c r="U318" t="str">
        <f>IF(AND(L318="Para Programar",G318&gt;0),COUNTIFS($L$5:L318,"Para Programar",$G$5:G318,"&gt;0"),"")</f>
        <v/>
      </c>
      <c r="W318" t="str">
        <f t="shared" si="34"/>
        <v>N18 - N19|02 Excavación - Zanja principal</v>
      </c>
      <c r="X318">
        <v>88</v>
      </c>
    </row>
    <row r="319" spans="1:24">
      <c r="A319" t="s">
        <v>73</v>
      </c>
      <c r="B319" s="14" t="s">
        <v>143</v>
      </c>
      <c r="C319" t="s">
        <v>74</v>
      </c>
      <c r="D319" s="13" t="s">
        <v>67</v>
      </c>
      <c r="E319" s="13">
        <v>88</v>
      </c>
      <c r="F319" s="13">
        <f>IF(E319="","",MIN(E319,$X319+SUMIFS('05_Parte_Diario'!$H$5:$H$204,'05_Parte_Diario'!$D$5:$D$204,B319,'05_Parte_Diario'!$E$5:$E$204,C319)))</f>
        <v>88</v>
      </c>
      <c r="G319" s="13">
        <f t="shared" si="28"/>
        <v>0</v>
      </c>
      <c r="H319" s="21">
        <f t="shared" si="29"/>
        <v>1</v>
      </c>
      <c r="I319" s="21">
        <f>IF(OR(B319="",C319="",$V$1=""),"",MIN(E319,SUMIFS('03_Planificacion'!$G$99:$G$178,'03_Planificacion'!$E$99:$E$178,B319,'03_Planificacion'!$F$99:$F$178,C319,'03_Planificacion'!$D$99:$D$178,"&lt;="&amp;$V$1)))</f>
        <v>0</v>
      </c>
      <c r="J319" s="21">
        <f t="shared" si="30"/>
        <v>0</v>
      </c>
      <c r="K319" s="6">
        <f t="shared" si="31"/>
        <v>1</v>
      </c>
      <c r="L319" t="s">
        <v>123</v>
      </c>
      <c r="P319" s="5">
        <f t="shared" si="32"/>
        <v>46287</v>
      </c>
      <c r="Q319" t="s">
        <v>125</v>
      </c>
      <c r="R319">
        <v>110</v>
      </c>
      <c r="S319" t="s">
        <v>70</v>
      </c>
      <c r="T319" t="str">
        <f t="shared" si="33"/>
        <v/>
      </c>
      <c r="U319" t="str">
        <f>IF(AND(L319="Para Programar",G319&gt;0),COUNTIFS($L$5:L319,"Para Programar",$G$5:G319,"&gt;0"),"")</f>
        <v/>
      </c>
      <c r="W319" t="str">
        <f t="shared" si="34"/>
        <v>N18 - N19|03 Base de asiento - Nivelación de fondo de zanja</v>
      </c>
      <c r="X319">
        <v>88</v>
      </c>
    </row>
    <row r="320" spans="1:24">
      <c r="A320" t="s">
        <v>75</v>
      </c>
      <c r="B320" s="14" t="s">
        <v>143</v>
      </c>
      <c r="C320" t="s">
        <v>76</v>
      </c>
      <c r="D320" s="13" t="s">
        <v>67</v>
      </c>
      <c r="E320" s="13">
        <v>88</v>
      </c>
      <c r="F320" s="13">
        <f>IF(E320="","",MIN(E320,$X320+SUMIFS('05_Parte_Diario'!$H$5:$H$204,'05_Parte_Diario'!$D$5:$D$204,B320,'05_Parte_Diario'!$E$5:$E$204,C320)))</f>
        <v>88</v>
      </c>
      <c r="G320" s="13">
        <f t="shared" si="28"/>
        <v>0</v>
      </c>
      <c r="H320" s="21">
        <f t="shared" si="29"/>
        <v>1</v>
      </c>
      <c r="I320" s="21">
        <f>IF(OR(B320="",C320="",$V$1=""),"",MIN(E320,SUMIFS('03_Planificacion'!$G$99:$G$178,'03_Planificacion'!$E$99:$E$178,B320,'03_Planificacion'!$F$99:$F$178,C320,'03_Planificacion'!$D$99:$D$178,"&lt;="&amp;$V$1)))</f>
        <v>0</v>
      </c>
      <c r="J320" s="21">
        <f t="shared" si="30"/>
        <v>0</v>
      </c>
      <c r="K320" s="6">
        <f t="shared" si="31"/>
        <v>1</v>
      </c>
      <c r="L320" t="s">
        <v>123</v>
      </c>
      <c r="P320" s="5">
        <f t="shared" si="32"/>
        <v>46287</v>
      </c>
      <c r="Q320" t="s">
        <v>125</v>
      </c>
      <c r="R320">
        <v>110</v>
      </c>
      <c r="S320" t="s">
        <v>70</v>
      </c>
      <c r="T320" t="str">
        <f t="shared" si="33"/>
        <v/>
      </c>
      <c r="U320" t="str">
        <f>IF(AND(L320="Para Programar",G320&gt;0),COUNTIFS($L$5:L320,"Para Programar",$G$5:G320,"&gt;0"),"")</f>
        <v/>
      </c>
      <c r="W320" t="str">
        <f t="shared" si="34"/>
        <v>N18 - N19|03 Base de asiento - Aporte de material base e=0,10 m</v>
      </c>
      <c r="X320">
        <v>88</v>
      </c>
    </row>
    <row r="321" spans="1:24">
      <c r="A321" t="s">
        <v>77</v>
      </c>
      <c r="B321" s="14" t="s">
        <v>143</v>
      </c>
      <c r="C321" t="s">
        <v>78</v>
      </c>
      <c r="D321" s="13" t="s">
        <v>67</v>
      </c>
      <c r="E321" s="13">
        <v>88</v>
      </c>
      <c r="F321" s="13">
        <f>IF(E321="","",MIN(E321,$X321+SUMIFS('05_Parte_Diario'!$H$5:$H$204,'05_Parte_Diario'!$D$5:$D$204,B321,'05_Parte_Diario'!$E$5:$E$204,C321)))</f>
        <v>88</v>
      </c>
      <c r="G321" s="13">
        <f t="shared" si="28"/>
        <v>0</v>
      </c>
      <c r="H321" s="21">
        <f t="shared" si="29"/>
        <v>1</v>
      </c>
      <c r="I321" s="21">
        <f>IF(OR(B321="",C321="",$V$1=""),"",MIN(E321,SUMIFS('03_Planificacion'!$G$99:$G$178,'03_Planificacion'!$E$99:$E$178,B321,'03_Planificacion'!$F$99:$F$178,C321,'03_Planificacion'!$D$99:$D$178,"&lt;="&amp;$V$1)))</f>
        <v>0</v>
      </c>
      <c r="J321" s="21">
        <f t="shared" si="30"/>
        <v>0</v>
      </c>
      <c r="K321" s="6">
        <f t="shared" si="31"/>
        <v>1</v>
      </c>
      <c r="L321" t="s">
        <v>123</v>
      </c>
      <c r="P321" s="5">
        <f t="shared" si="32"/>
        <v>46287</v>
      </c>
      <c r="Q321" t="s">
        <v>125</v>
      </c>
      <c r="R321">
        <v>110</v>
      </c>
      <c r="S321" t="s">
        <v>70</v>
      </c>
      <c r="T321" t="str">
        <f t="shared" si="33"/>
        <v/>
      </c>
      <c r="U321" t="str">
        <f>IF(AND(L321="Para Programar",G321&gt;0),COUNTIFS($L$5:L321,"Para Programar",$G$5:G321,"&gt;0"),"")</f>
        <v/>
      </c>
      <c r="W321" t="str">
        <f t="shared" si="34"/>
        <v>N18 - N19|03 Base de asiento - Compactación</v>
      </c>
      <c r="X321">
        <v>88</v>
      </c>
    </row>
    <row r="322" spans="1:24">
      <c r="A322" t="s">
        <v>79</v>
      </c>
      <c r="B322" s="14" t="s">
        <v>143</v>
      </c>
      <c r="C322" t="s">
        <v>80</v>
      </c>
      <c r="D322" s="13" t="s">
        <v>81</v>
      </c>
      <c r="E322" s="13">
        <v>1</v>
      </c>
      <c r="F322" s="13">
        <f>IF(E322="","",MIN(E322,$X322+SUMIFS('05_Parte_Diario'!$H$5:$H$204,'05_Parte_Diario'!$D$5:$D$204,B322,'05_Parte_Diario'!$E$5:$E$204,C322)))</f>
        <v>1</v>
      </c>
      <c r="G322" s="13">
        <f t="shared" si="28"/>
        <v>0</v>
      </c>
      <c r="H322" s="21">
        <f t="shared" si="29"/>
        <v>1</v>
      </c>
      <c r="I322" s="21">
        <f>IF(OR(B322="",C322="",$V$1=""),"",MIN(E322,SUMIFS('03_Planificacion'!$G$99:$G$178,'03_Planificacion'!$E$99:$E$178,B322,'03_Planificacion'!$F$99:$F$178,C322,'03_Planificacion'!$D$99:$D$178,"&lt;="&amp;$V$1)))</f>
        <v>0</v>
      </c>
      <c r="J322" s="21">
        <f t="shared" si="30"/>
        <v>0</v>
      </c>
      <c r="K322" s="6">
        <f t="shared" si="31"/>
        <v>1</v>
      </c>
      <c r="L322" t="s">
        <v>123</v>
      </c>
      <c r="P322" s="5">
        <f t="shared" si="32"/>
        <v>46287</v>
      </c>
      <c r="Q322" t="s">
        <v>125</v>
      </c>
      <c r="R322">
        <v>110</v>
      </c>
      <c r="S322" t="s">
        <v>70</v>
      </c>
      <c r="T322" t="str">
        <f t="shared" si="33"/>
        <v/>
      </c>
      <c r="U322" t="str">
        <f>IF(AND(L322="Para Programar",G322&gt;0),COUNTIFS($L$5:L322,"Para Programar",$G$5:G322,"&gt;0"),"")</f>
        <v/>
      </c>
      <c r="W322" t="str">
        <f t="shared" si="34"/>
        <v>N18 - N19|04 Inspecciones previas - Laboratorio base de asiento</v>
      </c>
      <c r="X322">
        <v>1</v>
      </c>
    </row>
    <row r="323" spans="1:24">
      <c r="A323" t="s">
        <v>82</v>
      </c>
      <c r="B323" s="14" t="s">
        <v>143</v>
      </c>
      <c r="C323" t="s">
        <v>83</v>
      </c>
      <c r="D323" s="13" t="s">
        <v>81</v>
      </c>
      <c r="E323" s="13">
        <v>1</v>
      </c>
      <c r="F323" s="13">
        <f>IF(E323="","",MIN(E323,$X323+SUMIFS('05_Parte_Diario'!$H$5:$H$204,'05_Parte_Diario'!$D$5:$D$204,B323,'05_Parte_Diario'!$E$5:$E$204,C323)))</f>
        <v>1</v>
      </c>
      <c r="G323" s="13">
        <f t="shared" si="28"/>
        <v>0</v>
      </c>
      <c r="H323" s="21">
        <f t="shared" si="29"/>
        <v>1</v>
      </c>
      <c r="I323" s="21">
        <f>IF(OR(B323="",C323="",$V$1=""),"",MIN(E323,SUMIFS('03_Planificacion'!$G$99:$G$178,'03_Planificacion'!$E$99:$E$178,B323,'03_Planificacion'!$F$99:$F$178,C323,'03_Planificacion'!$D$99:$D$178,"&lt;="&amp;$V$1)))</f>
        <v>0</v>
      </c>
      <c r="J323" s="21">
        <f t="shared" si="30"/>
        <v>0</v>
      </c>
      <c r="K323" s="6">
        <f t="shared" si="31"/>
        <v>1</v>
      </c>
      <c r="L323" t="s">
        <v>123</v>
      </c>
      <c r="P323" s="5">
        <f t="shared" si="32"/>
        <v>46287</v>
      </c>
      <c r="Q323" t="s">
        <v>125</v>
      </c>
      <c r="R323">
        <v>110</v>
      </c>
      <c r="S323" t="s">
        <v>70</v>
      </c>
      <c r="T323" t="str">
        <f t="shared" si="33"/>
        <v/>
      </c>
      <c r="U323" t="str">
        <f>IF(AND(L323="Para Programar",G323&gt;0),COUNTIFS($L$5:L323,"Para Programar",$G$5:G323,"&gt;0"),"")</f>
        <v/>
      </c>
      <c r="W323" t="str">
        <f t="shared" si="34"/>
        <v>N18 - N19|04 Inspecciones previas - Zanja y materiales</v>
      </c>
      <c r="X323">
        <v>1</v>
      </c>
    </row>
    <row r="324" spans="1:24">
      <c r="A324" t="s">
        <v>84</v>
      </c>
      <c r="B324" s="14" t="s">
        <v>143</v>
      </c>
      <c r="C324" t="s">
        <v>85</v>
      </c>
      <c r="D324" s="13" t="s">
        <v>67</v>
      </c>
      <c r="E324" s="13">
        <v>88</v>
      </c>
      <c r="F324" s="13">
        <f>IF(E324="","",MIN(E324,$X324+SUMIFS('05_Parte_Diario'!$H$5:$H$204,'05_Parte_Diario'!$D$5:$D$204,B324,'05_Parte_Diario'!$E$5:$E$204,C324)))</f>
        <v>88</v>
      </c>
      <c r="G324" s="13">
        <f t="shared" si="28"/>
        <v>0</v>
      </c>
      <c r="H324" s="21">
        <f t="shared" si="29"/>
        <v>1</v>
      </c>
      <c r="I324" s="21">
        <f>IF(OR(B324="",C324="",$V$1=""),"",MIN(E324,SUMIFS('03_Planificacion'!$G$99:$G$178,'03_Planificacion'!$E$99:$E$178,B324,'03_Planificacion'!$F$99:$F$178,C324,'03_Planificacion'!$D$99:$D$178,"&lt;="&amp;$V$1)))</f>
        <v>0</v>
      </c>
      <c r="J324" s="21">
        <f t="shared" si="30"/>
        <v>0</v>
      </c>
      <c r="K324" s="6">
        <f t="shared" si="31"/>
        <v>1</v>
      </c>
      <c r="L324" t="s">
        <v>123</v>
      </c>
      <c r="P324" s="5">
        <f t="shared" si="32"/>
        <v>46287</v>
      </c>
      <c r="Q324" t="s">
        <v>125</v>
      </c>
      <c r="R324">
        <v>110</v>
      </c>
      <c r="S324" t="s">
        <v>70</v>
      </c>
      <c r="T324" t="str">
        <f t="shared" si="33"/>
        <v/>
      </c>
      <c r="U324" t="str">
        <f>IF(AND(L324="Para Programar",G324&gt;0),COUNTIFS($L$5:L324,"Para Programar",$G$5:G324,"&gt;0"),"")</f>
        <v/>
      </c>
      <c r="W324" t="str">
        <f t="shared" si="34"/>
        <v>N18 - N19|05 Tendido de cañería - Cañería principal</v>
      </c>
      <c r="X324">
        <v>88</v>
      </c>
    </row>
    <row r="325" spans="1:24">
      <c r="A325" t="s">
        <v>86</v>
      </c>
      <c r="B325" s="14" t="s">
        <v>143</v>
      </c>
      <c r="C325" t="s">
        <v>87</v>
      </c>
      <c r="D325" s="13" t="s">
        <v>67</v>
      </c>
      <c r="E325" s="13">
        <v>88</v>
      </c>
      <c r="F325" s="13">
        <f>IF(E325="","",MIN(E325,$X325+SUMIFS('05_Parte_Diario'!$H$5:$H$204,'05_Parte_Diario'!$D$5:$D$204,B325,'05_Parte_Diario'!$E$5:$E$204,C325)))</f>
        <v>88</v>
      </c>
      <c r="G325" s="13">
        <f t="shared" ref="G325:G388" si="35">IF(E325="","",MAX(E325-F325,0))</f>
        <v>0</v>
      </c>
      <c r="H325" s="21">
        <f t="shared" ref="H325:H388" si="36">IFERROR(F325/E325,0)</f>
        <v>1</v>
      </c>
      <c r="I325" s="21">
        <f>IF(OR(B325="",C325="",$V$1=""),"",MIN(E325,SUMIFS('03_Planificacion'!$G$99:$G$178,'03_Planificacion'!$E$99:$E$178,B325,'03_Planificacion'!$F$99:$F$178,C325,'03_Planificacion'!$D$99:$D$178,"&lt;="&amp;$V$1)))</f>
        <v>0</v>
      </c>
      <c r="J325" s="21">
        <f t="shared" ref="J325:J388" si="37">IFERROR(I325/E325,0)</f>
        <v>0</v>
      </c>
      <c r="K325" s="6">
        <f t="shared" ref="K325:K388" si="38">IF(OR(E325="",$V$1=""),"",H325-J325)</f>
        <v>1</v>
      </c>
      <c r="L325" t="s">
        <v>123</v>
      </c>
      <c r="P325" s="5">
        <f t="shared" ref="P325:P388" si="39">IF(A325="","",$V$1)</f>
        <v>46287</v>
      </c>
      <c r="Q325" t="s">
        <v>125</v>
      </c>
      <c r="R325">
        <v>110</v>
      </c>
      <c r="S325" t="s">
        <v>70</v>
      </c>
      <c r="T325" t="str">
        <f t="shared" ref="T325:T388" si="40">IF(A325="","",IF(AND(L325="Para Programar",G325=0),"INCONSISTENCIA - REVISAR MANUALMENTE: Para Programar sin saldo",IF(AND(L325="Terminada",G325&gt;0),"INCONSISTENCIA - REVISAR MANUALMENTE: Terminada con saldo","")))</f>
        <v/>
      </c>
      <c r="U325" t="str">
        <f>IF(AND(L325="Para Programar",G325&gt;0),COUNTIFS($L$5:L325,"Para Programar",$G$5:G325,"&gt;0"),"")</f>
        <v/>
      </c>
      <c r="W325" t="str">
        <f t="shared" ref="W325:W388" si="41">IF(OR(B325="",C325=""),"",B325&amp;"|"&amp;C325)</f>
        <v>N18 - N19|05 Tendido de cañería - Relevamiento planialtimétrico</v>
      </c>
      <c r="X325">
        <v>88</v>
      </c>
    </row>
    <row r="326" spans="1:24">
      <c r="A326" t="s">
        <v>88</v>
      </c>
      <c r="B326" s="14" t="s">
        <v>143</v>
      </c>
      <c r="C326" t="s">
        <v>89</v>
      </c>
      <c r="D326" s="13" t="s">
        <v>81</v>
      </c>
      <c r="E326" s="13">
        <v>1</v>
      </c>
      <c r="F326" s="13">
        <f>IF(E326="","",MIN(E326,$X326+SUMIFS('05_Parte_Diario'!$H$5:$H$204,'05_Parte_Diario'!$D$5:$D$204,B326,'05_Parte_Diario'!$E$5:$E$204,C326)))</f>
        <v>0</v>
      </c>
      <c r="G326" s="13">
        <f t="shared" si="35"/>
        <v>1</v>
      </c>
      <c r="H326" s="21">
        <f t="shared" si="36"/>
        <v>0</v>
      </c>
      <c r="I326" s="21">
        <f>IF(OR(B326="",C326="",$V$1=""),"",MIN(E326,SUMIFS('03_Planificacion'!$G$99:$G$178,'03_Planificacion'!$E$99:$E$178,B326,'03_Planificacion'!$F$99:$F$178,C326,'03_Planificacion'!$D$99:$D$178,"&lt;="&amp;$V$1)))</f>
        <v>0</v>
      </c>
      <c r="J326" s="21">
        <f t="shared" si="37"/>
        <v>0</v>
      </c>
      <c r="K326" s="6">
        <f t="shared" si="38"/>
        <v>0</v>
      </c>
      <c r="L326" t="s">
        <v>123</v>
      </c>
      <c r="P326" s="5">
        <f t="shared" si="39"/>
        <v>46287</v>
      </c>
      <c r="Q326" t="s">
        <v>125</v>
      </c>
      <c r="R326">
        <v>110</v>
      </c>
      <c r="S326" t="s">
        <v>70</v>
      </c>
      <c r="T326" t="str">
        <f t="shared" si="40"/>
        <v>INCONSISTENCIA - REVISAR MANUALMENTE: Terminada con saldo</v>
      </c>
      <c r="U326" t="str">
        <f>IF(AND(L326="Para Programar",G326&gt;0),COUNTIFS($L$5:L326,"Para Programar",$G$5:G326,"&gt;0"),"")</f>
        <v/>
      </c>
      <c r="W326" t="str">
        <f t="shared" si="41"/>
        <v>N18 - N19|08 Prueba hidráulica - Preparación del sistema</v>
      </c>
      <c r="X326">
        <v>0</v>
      </c>
    </row>
    <row r="327" spans="1:24">
      <c r="A327" t="s">
        <v>90</v>
      </c>
      <c r="B327" s="14" t="s">
        <v>143</v>
      </c>
      <c r="C327" t="s">
        <v>91</v>
      </c>
      <c r="D327" s="13" t="s">
        <v>81</v>
      </c>
      <c r="E327" s="13">
        <v>1</v>
      </c>
      <c r="F327" s="13">
        <f>IF(E327="","",MIN(E327,$X327+SUMIFS('05_Parte_Diario'!$H$5:$H$204,'05_Parte_Diario'!$D$5:$D$204,B327,'05_Parte_Diario'!$E$5:$E$204,C327)))</f>
        <v>1</v>
      </c>
      <c r="G327" s="13">
        <f t="shared" si="35"/>
        <v>0</v>
      </c>
      <c r="H327" s="21">
        <f t="shared" si="36"/>
        <v>1</v>
      </c>
      <c r="I327" s="21">
        <f>IF(OR(B327="",C327="",$V$1=""),"",MIN(E327,SUMIFS('03_Planificacion'!$G$99:$G$178,'03_Planificacion'!$E$99:$E$178,B327,'03_Planificacion'!$F$99:$F$178,C327,'03_Planificacion'!$D$99:$D$178,"&lt;="&amp;$V$1)))</f>
        <v>0</v>
      </c>
      <c r="J327" s="21">
        <f t="shared" si="37"/>
        <v>0</v>
      </c>
      <c r="K327" s="6">
        <f t="shared" si="38"/>
        <v>1</v>
      </c>
      <c r="L327" t="s">
        <v>123</v>
      </c>
      <c r="P327" s="5">
        <f t="shared" si="39"/>
        <v>46287</v>
      </c>
      <c r="Q327" t="s">
        <v>125</v>
      </c>
      <c r="R327">
        <v>110</v>
      </c>
      <c r="S327" t="s">
        <v>70</v>
      </c>
      <c r="T327" t="str">
        <f t="shared" si="40"/>
        <v/>
      </c>
      <c r="U327" t="str">
        <f>IF(AND(L327="Para Programar",G327&gt;0),COUNTIFS($L$5:L327,"Para Programar",$G$5:G327,"&gt;0"),"")</f>
        <v/>
      </c>
      <c r="W327" t="str">
        <f t="shared" si="41"/>
        <v>N18 - N19|08 Prueba hidráulica - Interna N° 1</v>
      </c>
      <c r="X327">
        <v>1</v>
      </c>
    </row>
    <row r="328" spans="1:24">
      <c r="A328" t="s">
        <v>92</v>
      </c>
      <c r="B328" s="14" t="s">
        <v>143</v>
      </c>
      <c r="C328" t="s">
        <v>93</v>
      </c>
      <c r="D328" s="13" t="s">
        <v>81</v>
      </c>
      <c r="E328" s="13">
        <v>1</v>
      </c>
      <c r="F328" s="13">
        <f>IF(E328="","",MIN(E328,$X328+SUMIFS('05_Parte_Diario'!$H$5:$H$204,'05_Parte_Diario'!$D$5:$D$204,B328,'05_Parte_Diario'!$E$5:$E$204,C328)))</f>
        <v>0</v>
      </c>
      <c r="G328" s="13">
        <f t="shared" si="35"/>
        <v>1</v>
      </c>
      <c r="H328" s="21">
        <f t="shared" si="36"/>
        <v>0</v>
      </c>
      <c r="I328" s="21">
        <f>IF(OR(B328="",C328="",$V$1=""),"",MIN(E328,SUMIFS('03_Planificacion'!$G$99:$G$178,'03_Planificacion'!$E$99:$E$178,B328,'03_Planificacion'!$F$99:$F$178,C328,'03_Planificacion'!$D$99:$D$178,"&lt;="&amp;$V$1)))</f>
        <v>0</v>
      </c>
      <c r="J328" s="21">
        <f t="shared" si="37"/>
        <v>0</v>
      </c>
      <c r="K328" s="6">
        <f t="shared" si="38"/>
        <v>0</v>
      </c>
      <c r="L328" t="s">
        <v>12</v>
      </c>
      <c r="P328" s="5">
        <f t="shared" si="39"/>
        <v>46287</v>
      </c>
      <c r="Q328" t="s">
        <v>125</v>
      </c>
      <c r="R328">
        <v>110</v>
      </c>
      <c r="S328" t="s">
        <v>70</v>
      </c>
      <c r="T328" t="str">
        <f t="shared" si="40"/>
        <v/>
      </c>
      <c r="U328">
        <f>IF(AND(L328="Para Programar",G328&gt;0),COUNTIFS($L$5:L328,"Para Programar",$G$5:G328,"&gt;0"),"")</f>
        <v>58</v>
      </c>
      <c r="W328" t="str">
        <f t="shared" si="41"/>
        <v>N18 - N19|08 Prueba hidráulica - Interna N° 2</v>
      </c>
      <c r="X328">
        <v>0</v>
      </c>
    </row>
    <row r="329" spans="1:24">
      <c r="A329" t="s">
        <v>94</v>
      </c>
      <c r="B329" s="14" t="s">
        <v>143</v>
      </c>
      <c r="C329" t="s">
        <v>95</v>
      </c>
      <c r="D329" s="13" t="s">
        <v>81</v>
      </c>
      <c r="E329" s="13">
        <v>1</v>
      </c>
      <c r="F329" s="13">
        <f>IF(E329="","",MIN(E329,$X329+SUMIFS('05_Parte_Diario'!$H$5:$H$204,'05_Parte_Diario'!$D$5:$D$204,B329,'05_Parte_Diario'!$E$5:$E$204,C329)))</f>
        <v>0</v>
      </c>
      <c r="G329" s="13">
        <f t="shared" si="35"/>
        <v>1</v>
      </c>
      <c r="H329" s="21">
        <f t="shared" si="36"/>
        <v>0</v>
      </c>
      <c r="I329" s="21">
        <f>IF(OR(B329="",C329="",$V$1=""),"",MIN(E329,SUMIFS('03_Planificacion'!$G$99:$G$178,'03_Planificacion'!$E$99:$E$178,B329,'03_Planificacion'!$F$99:$F$178,C329,'03_Planificacion'!$D$99:$D$178,"&lt;="&amp;$V$1)))</f>
        <v>0</v>
      </c>
      <c r="J329" s="21">
        <f t="shared" si="37"/>
        <v>0</v>
      </c>
      <c r="K329" s="6">
        <f t="shared" si="38"/>
        <v>0</v>
      </c>
      <c r="L329" t="s">
        <v>12</v>
      </c>
      <c r="P329" s="5">
        <f t="shared" si="39"/>
        <v>46287</v>
      </c>
      <c r="Q329" t="s">
        <v>125</v>
      </c>
      <c r="R329">
        <v>110</v>
      </c>
      <c r="S329" t="s">
        <v>70</v>
      </c>
      <c r="T329" t="str">
        <f t="shared" si="40"/>
        <v/>
      </c>
      <c r="U329">
        <f>IF(AND(L329="Para Programar",G329&gt;0),COUNTIFS($L$5:L329,"Para Programar",$G$5:G329,"&gt;0"),"")</f>
        <v>59</v>
      </c>
      <c r="W329" t="str">
        <f t="shared" si="41"/>
        <v>N18 - N19|08 Prueba hidráulica - Primera prueba oficial</v>
      </c>
      <c r="X329">
        <v>0</v>
      </c>
    </row>
    <row r="330" spans="1:24">
      <c r="A330" t="s">
        <v>96</v>
      </c>
      <c r="B330" s="14" t="s">
        <v>143</v>
      </c>
      <c r="C330" t="s">
        <v>97</v>
      </c>
      <c r="D330" s="13" t="s">
        <v>67</v>
      </c>
      <c r="E330" s="13">
        <v>88</v>
      </c>
      <c r="F330" s="13">
        <f>IF(E330="","",MIN(E330,$X330+SUMIFS('05_Parte_Diario'!$H$5:$H$204,'05_Parte_Diario'!$D$5:$D$204,B330,'05_Parte_Diario'!$E$5:$E$204,C330)))</f>
        <v>0</v>
      </c>
      <c r="G330" s="13">
        <f t="shared" si="35"/>
        <v>88</v>
      </c>
      <c r="H330" s="21">
        <f t="shared" si="36"/>
        <v>0</v>
      </c>
      <c r="I330" s="21">
        <f>IF(OR(B330="",C330="",$V$1=""),"",MIN(E330,SUMIFS('03_Planificacion'!$G$99:$G$178,'03_Planificacion'!$E$99:$E$178,B330,'03_Planificacion'!$F$99:$F$178,C330,'03_Planificacion'!$D$99:$D$178,"&lt;="&amp;$V$1)))</f>
        <v>0</v>
      </c>
      <c r="J330" s="21">
        <f t="shared" si="37"/>
        <v>0</v>
      </c>
      <c r="K330" s="6">
        <f t="shared" si="38"/>
        <v>0</v>
      </c>
      <c r="L330" t="s">
        <v>12</v>
      </c>
      <c r="P330" s="5">
        <f t="shared" si="39"/>
        <v>46287</v>
      </c>
      <c r="Q330" t="s">
        <v>125</v>
      </c>
      <c r="R330">
        <v>110</v>
      </c>
      <c r="S330" t="s">
        <v>70</v>
      </c>
      <c r="T330" t="str">
        <f t="shared" si="40"/>
        <v/>
      </c>
      <c r="U330">
        <f>IF(AND(L330="Para Programar",G330&gt;0),COUNTIFS($L$5:L330,"Para Programar",$G$5:G330,"&gt;0"),"")</f>
        <v>60</v>
      </c>
      <c r="W330" t="str">
        <f t="shared" si="41"/>
        <v>N18 - N19|09 Paquete estructural - Aporte e=0,30 m</v>
      </c>
      <c r="X330">
        <v>0</v>
      </c>
    </row>
    <row r="331" spans="1:24">
      <c r="A331" t="s">
        <v>98</v>
      </c>
      <c r="B331" s="14" t="s">
        <v>143</v>
      </c>
      <c r="C331" t="s">
        <v>99</v>
      </c>
      <c r="D331" s="13" t="s">
        <v>67</v>
      </c>
      <c r="E331" s="13">
        <v>88</v>
      </c>
      <c r="F331" s="13">
        <f>IF(E331="","",MIN(E331,$X331+SUMIFS('05_Parte_Diario'!$H$5:$H$204,'05_Parte_Diario'!$D$5:$D$204,B331,'05_Parte_Diario'!$E$5:$E$204,C331)))</f>
        <v>0</v>
      </c>
      <c r="G331" s="13">
        <f t="shared" si="35"/>
        <v>88</v>
      </c>
      <c r="H331" s="21">
        <f t="shared" si="36"/>
        <v>0</v>
      </c>
      <c r="I331" s="21">
        <f>IF(OR(B331="",C331="",$V$1=""),"",MIN(E331,SUMIFS('03_Planificacion'!$G$99:$G$178,'03_Planificacion'!$E$99:$E$178,B331,'03_Planificacion'!$F$99:$F$178,C331,'03_Planificacion'!$D$99:$D$178,"&lt;="&amp;$V$1)))</f>
        <v>0</v>
      </c>
      <c r="J331" s="21">
        <f t="shared" si="37"/>
        <v>0</v>
      </c>
      <c r="K331" s="6">
        <f t="shared" si="38"/>
        <v>0</v>
      </c>
      <c r="L331" t="s">
        <v>12</v>
      </c>
      <c r="P331" s="5">
        <f t="shared" si="39"/>
        <v>46287</v>
      </c>
      <c r="Q331" t="s">
        <v>125</v>
      </c>
      <c r="R331">
        <v>110</v>
      </c>
      <c r="S331" t="s">
        <v>70</v>
      </c>
      <c r="T331" t="str">
        <f t="shared" si="40"/>
        <v/>
      </c>
      <c r="U331">
        <f>IF(AND(L331="Para Programar",G331&gt;0),COUNTIFS($L$5:L331,"Para Programar",$G$5:G331,"&gt;0"),"")</f>
        <v>61</v>
      </c>
      <c r="W331" t="str">
        <f t="shared" si="41"/>
        <v>N18 - N19|09 Paquete estructural - Compactación</v>
      </c>
      <c r="X331">
        <v>0</v>
      </c>
    </row>
    <row r="332" spans="1:24">
      <c r="A332" t="s">
        <v>100</v>
      </c>
      <c r="B332" s="14" t="s">
        <v>143</v>
      </c>
      <c r="C332" t="s">
        <v>101</v>
      </c>
      <c r="D332" s="13" t="s">
        <v>81</v>
      </c>
      <c r="E332" s="13">
        <v>1</v>
      </c>
      <c r="F332" s="13">
        <f>IF(E332="","",MIN(E332,$X332+SUMIFS('05_Parte_Diario'!$H$5:$H$204,'05_Parte_Diario'!$D$5:$D$204,B332,'05_Parte_Diario'!$E$5:$E$204,C332)))</f>
        <v>0</v>
      </c>
      <c r="G332" s="13">
        <f t="shared" si="35"/>
        <v>1</v>
      </c>
      <c r="H332" s="21">
        <f t="shared" si="36"/>
        <v>0</v>
      </c>
      <c r="I332" s="21">
        <f>IF(OR(B332="",C332="",$V$1=""),"",MIN(E332,SUMIFS('03_Planificacion'!$G$99:$G$178,'03_Planificacion'!$E$99:$E$178,B332,'03_Planificacion'!$F$99:$F$178,C332,'03_Planificacion'!$D$99:$D$178,"&lt;="&amp;$V$1)))</f>
        <v>0</v>
      </c>
      <c r="J332" s="21">
        <f t="shared" si="37"/>
        <v>0</v>
      </c>
      <c r="K332" s="6">
        <f t="shared" si="38"/>
        <v>0</v>
      </c>
      <c r="L332" t="s">
        <v>12</v>
      </c>
      <c r="P332" s="5">
        <f t="shared" si="39"/>
        <v>46287</v>
      </c>
      <c r="Q332" t="s">
        <v>125</v>
      </c>
      <c r="R332">
        <v>110</v>
      </c>
      <c r="S332" t="s">
        <v>70</v>
      </c>
      <c r="T332" t="str">
        <f t="shared" si="40"/>
        <v/>
      </c>
      <c r="U332">
        <f>IF(AND(L332="Para Programar",G332&gt;0),COUNTIFS($L$5:L332,"Para Programar",$G$5:G332,"&gt;0"),"")</f>
        <v>62</v>
      </c>
      <c r="W332" t="str">
        <f t="shared" si="41"/>
        <v>N18 - N19|09 Paquete estructural - Inspección laboratorio</v>
      </c>
      <c r="X332">
        <v>0</v>
      </c>
    </row>
    <row r="333" spans="1:24">
      <c r="A333" t="s">
        <v>102</v>
      </c>
      <c r="B333" s="14" t="s">
        <v>143</v>
      </c>
      <c r="C333" t="s">
        <v>103</v>
      </c>
      <c r="D333" s="13" t="s">
        <v>67</v>
      </c>
      <c r="E333" s="13">
        <v>88</v>
      </c>
      <c r="F333" s="13">
        <f>IF(E333="","",MIN(E333,$X333+SUMIFS('05_Parte_Diario'!$H$5:$H$204,'05_Parte_Diario'!$D$5:$D$204,B333,'05_Parte_Diario'!$E$5:$E$204,C333)))</f>
        <v>0</v>
      </c>
      <c r="G333" s="13">
        <f t="shared" si="35"/>
        <v>88</v>
      </c>
      <c r="H333" s="21">
        <f t="shared" si="36"/>
        <v>0</v>
      </c>
      <c r="I333" s="21">
        <f>IF(OR(B333="",C333="",$V$1=""),"",MIN(E333,SUMIFS('03_Planificacion'!$G$99:$G$178,'03_Planificacion'!$E$99:$E$178,B333,'03_Planificacion'!$F$99:$F$178,C333,'03_Planificacion'!$D$99:$D$178,"&lt;="&amp;$V$1)))</f>
        <v>0</v>
      </c>
      <c r="J333" s="21">
        <f t="shared" si="37"/>
        <v>0</v>
      </c>
      <c r="K333" s="6">
        <f t="shared" si="38"/>
        <v>0</v>
      </c>
      <c r="L333" t="s">
        <v>12</v>
      </c>
      <c r="P333" s="5">
        <f t="shared" si="39"/>
        <v>46287</v>
      </c>
      <c r="Q333" t="s">
        <v>125</v>
      </c>
      <c r="R333">
        <v>110</v>
      </c>
      <c r="S333" t="s">
        <v>70</v>
      </c>
      <c r="T333" t="str">
        <f t="shared" si="40"/>
        <v/>
      </c>
      <c r="U333">
        <f>IF(AND(L333="Para Programar",G333&gt;0),COUNTIFS($L$5:L333,"Para Programar",$G$5:G333,"&gt;0"),"")</f>
        <v>63</v>
      </c>
      <c r="W333" t="str">
        <f t="shared" si="41"/>
        <v>N18 - N19|10 Relleno -0,60 - Conformación de capa</v>
      </c>
      <c r="X333">
        <v>0</v>
      </c>
    </row>
    <row r="334" spans="1:24">
      <c r="A334" t="s">
        <v>104</v>
      </c>
      <c r="B334" s="14" t="s">
        <v>143</v>
      </c>
      <c r="C334" t="s">
        <v>105</v>
      </c>
      <c r="D334" s="13" t="s">
        <v>67</v>
      </c>
      <c r="E334" s="13">
        <v>88</v>
      </c>
      <c r="F334" s="13">
        <f>IF(E334="","",MIN(E334,$X334+SUMIFS('05_Parte_Diario'!$H$5:$H$204,'05_Parte_Diario'!$D$5:$D$204,B334,'05_Parte_Diario'!$E$5:$E$204,C334)))</f>
        <v>0</v>
      </c>
      <c r="G334" s="13">
        <f t="shared" si="35"/>
        <v>88</v>
      </c>
      <c r="H334" s="21">
        <f t="shared" si="36"/>
        <v>0</v>
      </c>
      <c r="I334" s="21">
        <f>IF(OR(B334="",C334="",$V$1=""),"",MIN(E334,SUMIFS('03_Planificacion'!$G$99:$G$178,'03_Planificacion'!$E$99:$E$178,B334,'03_Planificacion'!$F$99:$F$178,C334,'03_Planificacion'!$D$99:$D$178,"&lt;="&amp;$V$1)))</f>
        <v>0</v>
      </c>
      <c r="J334" s="21">
        <f t="shared" si="37"/>
        <v>0</v>
      </c>
      <c r="K334" s="6">
        <f t="shared" si="38"/>
        <v>0</v>
      </c>
      <c r="L334" t="s">
        <v>12</v>
      </c>
      <c r="P334" s="5">
        <f t="shared" si="39"/>
        <v>46287</v>
      </c>
      <c r="Q334" t="s">
        <v>125</v>
      </c>
      <c r="R334">
        <v>110</v>
      </c>
      <c r="S334" t="s">
        <v>70</v>
      </c>
      <c r="T334" t="str">
        <f t="shared" si="40"/>
        <v/>
      </c>
      <c r="U334">
        <f>IF(AND(L334="Para Programar",G334&gt;0),COUNTIFS($L$5:L334,"Para Programar",$G$5:G334,"&gt;0"),"")</f>
        <v>64</v>
      </c>
      <c r="W334" t="str">
        <f t="shared" si="41"/>
        <v>N18 - N19|10 Relleno -0,60 - Humectación</v>
      </c>
      <c r="X334">
        <v>0</v>
      </c>
    </row>
    <row r="335" spans="1:24">
      <c r="A335" t="s">
        <v>106</v>
      </c>
      <c r="B335" s="14" t="s">
        <v>143</v>
      </c>
      <c r="C335" t="s">
        <v>107</v>
      </c>
      <c r="D335" s="13" t="s">
        <v>67</v>
      </c>
      <c r="E335" s="13">
        <v>88</v>
      </c>
      <c r="F335" s="13">
        <f>IF(E335="","",MIN(E335,$X335+SUMIFS('05_Parte_Diario'!$H$5:$H$204,'05_Parte_Diario'!$D$5:$D$204,B335,'05_Parte_Diario'!$E$5:$E$204,C335)))</f>
        <v>0</v>
      </c>
      <c r="G335" s="13">
        <f t="shared" si="35"/>
        <v>88</v>
      </c>
      <c r="H335" s="21">
        <f t="shared" si="36"/>
        <v>0</v>
      </c>
      <c r="I335" s="21">
        <f>IF(OR(B335="",C335="",$V$1=""),"",MIN(E335,SUMIFS('03_Planificacion'!$G$99:$G$178,'03_Planificacion'!$E$99:$E$178,B335,'03_Planificacion'!$F$99:$F$178,C335,'03_Planificacion'!$D$99:$D$178,"&lt;="&amp;$V$1)))</f>
        <v>0</v>
      </c>
      <c r="J335" s="21">
        <f t="shared" si="37"/>
        <v>0</v>
      </c>
      <c r="K335" s="6">
        <f t="shared" si="38"/>
        <v>0</v>
      </c>
      <c r="L335" t="s">
        <v>12</v>
      </c>
      <c r="P335" s="5">
        <f t="shared" si="39"/>
        <v>46287</v>
      </c>
      <c r="Q335" t="s">
        <v>125</v>
      </c>
      <c r="R335">
        <v>110</v>
      </c>
      <c r="S335" t="s">
        <v>70</v>
      </c>
      <c r="T335" t="str">
        <f t="shared" si="40"/>
        <v/>
      </c>
      <c r="U335">
        <f>IF(AND(L335="Para Programar",G335&gt;0),COUNTIFS($L$5:L335,"Para Programar",$G$5:G335,"&gt;0"),"")</f>
        <v>65</v>
      </c>
      <c r="W335" t="str">
        <f t="shared" si="41"/>
        <v>N18 - N19|10 Relleno -0,60 - Compactación</v>
      </c>
      <c r="X335">
        <v>0</v>
      </c>
    </row>
    <row r="336" spans="1:24">
      <c r="A336" t="s">
        <v>108</v>
      </c>
      <c r="B336" s="14" t="s">
        <v>143</v>
      </c>
      <c r="C336" t="s">
        <v>109</v>
      </c>
      <c r="D336" s="13" t="s">
        <v>81</v>
      </c>
      <c r="E336" s="13">
        <v>1</v>
      </c>
      <c r="F336" s="13">
        <f>IF(E336="","",MIN(E336,$X336+SUMIFS('05_Parte_Diario'!$H$5:$H$204,'05_Parte_Diario'!$D$5:$D$204,B336,'05_Parte_Diario'!$E$5:$E$204,C336)))</f>
        <v>0</v>
      </c>
      <c r="G336" s="13">
        <f t="shared" si="35"/>
        <v>1</v>
      </c>
      <c r="H336" s="21">
        <f t="shared" si="36"/>
        <v>0</v>
      </c>
      <c r="I336" s="21">
        <f>IF(OR(B336="",C336="",$V$1=""),"",MIN(E336,SUMIFS('03_Planificacion'!$G$99:$G$178,'03_Planificacion'!$E$99:$E$178,B336,'03_Planificacion'!$F$99:$F$178,C336,'03_Planificacion'!$D$99:$D$178,"&lt;="&amp;$V$1)))</f>
        <v>0</v>
      </c>
      <c r="J336" s="21">
        <f t="shared" si="37"/>
        <v>0</v>
      </c>
      <c r="K336" s="6">
        <f t="shared" si="38"/>
        <v>0</v>
      </c>
      <c r="L336" t="s">
        <v>12</v>
      </c>
      <c r="P336" s="5">
        <f t="shared" si="39"/>
        <v>46287</v>
      </c>
      <c r="Q336" t="s">
        <v>125</v>
      </c>
      <c r="R336">
        <v>110</v>
      </c>
      <c r="S336" t="s">
        <v>70</v>
      </c>
      <c r="T336" t="str">
        <f t="shared" si="40"/>
        <v/>
      </c>
      <c r="U336">
        <f>IF(AND(L336="Para Programar",G336&gt;0),COUNTIFS($L$5:L336,"Para Programar",$G$5:G336,"&gt;0"),"")</f>
        <v>66</v>
      </c>
      <c r="W336" t="str">
        <f t="shared" si="41"/>
        <v>N18 - N19|10 Relleno -0,60 - Inspección laboratorio</v>
      </c>
      <c r="X336">
        <v>0</v>
      </c>
    </row>
    <row r="337" spans="1:24">
      <c r="A337" t="s">
        <v>110</v>
      </c>
      <c r="B337" s="14" t="s">
        <v>143</v>
      </c>
      <c r="C337" t="s">
        <v>111</v>
      </c>
      <c r="D337" s="13" t="s">
        <v>67</v>
      </c>
      <c r="E337" s="13">
        <v>88</v>
      </c>
      <c r="F337" s="13">
        <f>IF(E337="","",MIN(E337,$X337+SUMIFS('05_Parte_Diario'!$H$5:$H$204,'05_Parte_Diario'!$D$5:$D$204,B337,'05_Parte_Diario'!$E$5:$E$204,C337)))</f>
        <v>0</v>
      </c>
      <c r="G337" s="13">
        <f t="shared" si="35"/>
        <v>88</v>
      </c>
      <c r="H337" s="21">
        <f t="shared" si="36"/>
        <v>0</v>
      </c>
      <c r="I337" s="21">
        <f>IF(OR(B337="",C337="",$V$1=""),"",MIN(E337,SUMIFS('03_Planificacion'!$G$99:$G$178,'03_Planificacion'!$E$99:$E$178,B337,'03_Planificacion'!$F$99:$F$178,C337,'03_Planificacion'!$D$99:$D$178,"&lt;="&amp;$V$1)))</f>
        <v>0</v>
      </c>
      <c r="J337" s="21">
        <f t="shared" si="37"/>
        <v>0</v>
      </c>
      <c r="K337" s="6">
        <f t="shared" si="38"/>
        <v>0</v>
      </c>
      <c r="L337" t="s">
        <v>12</v>
      </c>
      <c r="P337" s="5">
        <f t="shared" si="39"/>
        <v>46287</v>
      </c>
      <c r="Q337" t="s">
        <v>125</v>
      </c>
      <c r="R337">
        <v>110</v>
      </c>
      <c r="S337" t="s">
        <v>70</v>
      </c>
      <c r="T337" t="str">
        <f t="shared" si="40"/>
        <v/>
      </c>
      <c r="U337">
        <f>IF(AND(L337="Para Programar",G337&gt;0),COUNTIFS($L$5:L337,"Para Programar",$G$5:G337,"&gt;0"),"")</f>
        <v>67</v>
      </c>
      <c r="W337" t="str">
        <f t="shared" si="41"/>
        <v>N18 - N19|11 Relleno -0,30 - Conformación de capa</v>
      </c>
      <c r="X337">
        <v>0</v>
      </c>
    </row>
    <row r="338" spans="1:24">
      <c r="A338" t="s">
        <v>112</v>
      </c>
      <c r="B338" s="14" t="s">
        <v>143</v>
      </c>
      <c r="C338" t="s">
        <v>113</v>
      </c>
      <c r="D338" s="13" t="s">
        <v>67</v>
      </c>
      <c r="E338" s="13">
        <v>88</v>
      </c>
      <c r="F338" s="13">
        <f>IF(E338="","",MIN(E338,$X338+SUMIFS('05_Parte_Diario'!$H$5:$H$204,'05_Parte_Diario'!$D$5:$D$204,B338,'05_Parte_Diario'!$E$5:$E$204,C338)))</f>
        <v>0</v>
      </c>
      <c r="G338" s="13">
        <f t="shared" si="35"/>
        <v>88</v>
      </c>
      <c r="H338" s="21">
        <f t="shared" si="36"/>
        <v>0</v>
      </c>
      <c r="I338" s="21">
        <f>IF(OR(B338="",C338="",$V$1=""),"",MIN(E338,SUMIFS('03_Planificacion'!$G$99:$G$178,'03_Planificacion'!$E$99:$E$178,B338,'03_Planificacion'!$F$99:$F$178,C338,'03_Planificacion'!$D$99:$D$178,"&lt;="&amp;$V$1)))</f>
        <v>0</v>
      </c>
      <c r="J338" s="21">
        <f t="shared" si="37"/>
        <v>0</v>
      </c>
      <c r="K338" s="6">
        <f t="shared" si="38"/>
        <v>0</v>
      </c>
      <c r="L338" t="s">
        <v>12</v>
      </c>
      <c r="P338" s="5">
        <f t="shared" si="39"/>
        <v>46287</v>
      </c>
      <c r="Q338" t="s">
        <v>125</v>
      </c>
      <c r="R338">
        <v>110</v>
      </c>
      <c r="S338" t="s">
        <v>70</v>
      </c>
      <c r="T338" t="str">
        <f t="shared" si="40"/>
        <v/>
      </c>
      <c r="U338">
        <f>IF(AND(L338="Para Programar",G338&gt;0),COUNTIFS($L$5:L338,"Para Programar",$G$5:G338,"&gt;0"),"")</f>
        <v>68</v>
      </c>
      <c r="W338" t="str">
        <f t="shared" si="41"/>
        <v>N18 - N19|11 Relleno -0,30 - Humectación</v>
      </c>
      <c r="X338">
        <v>0</v>
      </c>
    </row>
    <row r="339" spans="1:24">
      <c r="A339" t="s">
        <v>114</v>
      </c>
      <c r="B339" s="14" t="s">
        <v>143</v>
      </c>
      <c r="C339" t="s">
        <v>115</v>
      </c>
      <c r="D339" s="13" t="s">
        <v>67</v>
      </c>
      <c r="E339" s="13">
        <v>88</v>
      </c>
      <c r="F339" s="13">
        <f>IF(E339="","",MIN(E339,$X339+SUMIFS('05_Parte_Diario'!$H$5:$H$204,'05_Parte_Diario'!$D$5:$D$204,B339,'05_Parte_Diario'!$E$5:$E$204,C339)))</f>
        <v>0</v>
      </c>
      <c r="G339" s="13">
        <f t="shared" si="35"/>
        <v>88</v>
      </c>
      <c r="H339" s="21">
        <f t="shared" si="36"/>
        <v>0</v>
      </c>
      <c r="I339" s="21">
        <f>IF(OR(B339="",C339="",$V$1=""),"",MIN(E339,SUMIFS('03_Planificacion'!$G$99:$G$178,'03_Planificacion'!$E$99:$E$178,B339,'03_Planificacion'!$F$99:$F$178,C339,'03_Planificacion'!$D$99:$D$178,"&lt;="&amp;$V$1)))</f>
        <v>0</v>
      </c>
      <c r="J339" s="21">
        <f t="shared" si="37"/>
        <v>0</v>
      </c>
      <c r="K339" s="6">
        <f t="shared" si="38"/>
        <v>0</v>
      </c>
      <c r="L339" t="s">
        <v>12</v>
      </c>
      <c r="P339" s="5">
        <f t="shared" si="39"/>
        <v>46287</v>
      </c>
      <c r="Q339" t="s">
        <v>125</v>
      </c>
      <c r="R339">
        <v>110</v>
      </c>
      <c r="S339" t="s">
        <v>70</v>
      </c>
      <c r="T339" t="str">
        <f t="shared" si="40"/>
        <v/>
      </c>
      <c r="U339">
        <f>IF(AND(L339="Para Programar",G339&gt;0),COUNTIFS($L$5:L339,"Para Programar",$G$5:G339,"&gt;0"),"")</f>
        <v>69</v>
      </c>
      <c r="W339" t="str">
        <f t="shared" si="41"/>
        <v>N18 - N19|11 Relleno -0,30 - Compactación</v>
      </c>
      <c r="X339">
        <v>0</v>
      </c>
    </row>
    <row r="340" spans="1:24">
      <c r="A340" t="s">
        <v>116</v>
      </c>
      <c r="B340" s="14" t="s">
        <v>143</v>
      </c>
      <c r="C340" t="s">
        <v>117</v>
      </c>
      <c r="D340" s="13" t="s">
        <v>81</v>
      </c>
      <c r="E340" s="13">
        <v>1</v>
      </c>
      <c r="F340" s="13">
        <f>IF(E340="","",MIN(E340,$X340+SUMIFS('05_Parte_Diario'!$H$5:$H$204,'05_Parte_Diario'!$D$5:$D$204,B340,'05_Parte_Diario'!$E$5:$E$204,C340)))</f>
        <v>0</v>
      </c>
      <c r="G340" s="13">
        <f t="shared" si="35"/>
        <v>1</v>
      </c>
      <c r="H340" s="21">
        <f t="shared" si="36"/>
        <v>0</v>
      </c>
      <c r="I340" s="21">
        <f>IF(OR(B340="",C340="",$V$1=""),"",MIN(E340,SUMIFS('03_Planificacion'!$G$99:$G$178,'03_Planificacion'!$E$99:$E$178,B340,'03_Planificacion'!$F$99:$F$178,C340,'03_Planificacion'!$D$99:$D$178,"&lt;="&amp;$V$1)))</f>
        <v>0</v>
      </c>
      <c r="J340" s="21">
        <f t="shared" si="37"/>
        <v>0</v>
      </c>
      <c r="K340" s="6">
        <f t="shared" si="38"/>
        <v>0</v>
      </c>
      <c r="L340" t="s">
        <v>12</v>
      </c>
      <c r="P340" s="5">
        <f t="shared" si="39"/>
        <v>46287</v>
      </c>
      <c r="Q340" t="s">
        <v>125</v>
      </c>
      <c r="R340">
        <v>110</v>
      </c>
      <c r="S340" t="s">
        <v>70</v>
      </c>
      <c r="T340" t="str">
        <f t="shared" si="40"/>
        <v/>
      </c>
      <c r="U340">
        <f>IF(AND(L340="Para Programar",G340&gt;0),COUNTIFS($L$5:L340,"Para Programar",$G$5:G340,"&gt;0"),"")</f>
        <v>70</v>
      </c>
      <c r="W340" t="str">
        <f t="shared" si="41"/>
        <v>N18 - N19|11 Relleno -0,30 - Inspección laboratorio</v>
      </c>
      <c r="X340">
        <v>0</v>
      </c>
    </row>
    <row r="341" spans="1:24">
      <c r="A341" t="s">
        <v>64</v>
      </c>
      <c r="B341" s="14" t="s">
        <v>144</v>
      </c>
      <c r="C341" t="s">
        <v>66</v>
      </c>
      <c r="D341" s="13" t="s">
        <v>67</v>
      </c>
      <c r="E341" s="13">
        <v>113</v>
      </c>
      <c r="F341" s="13">
        <f>IF(E341="","",MIN(E341,$X341+SUMIFS('05_Parte_Diario'!$H$5:$H$204,'05_Parte_Diario'!$D$5:$D$204,B341,'05_Parte_Diario'!$E$5:$E$204,C341)))</f>
        <v>113</v>
      </c>
      <c r="G341" s="13">
        <f t="shared" si="35"/>
        <v>0</v>
      </c>
      <c r="H341" s="21">
        <f t="shared" si="36"/>
        <v>1</v>
      </c>
      <c r="I341" s="21">
        <f>IF(OR(B341="",C341="",$V$1=""),"",MIN(E341,SUMIFS('03_Planificacion'!$G$99:$G$178,'03_Planificacion'!$E$99:$E$178,B341,'03_Planificacion'!$F$99:$F$178,C341,'03_Planificacion'!$D$99:$D$178,"&lt;="&amp;$V$1)))</f>
        <v>0</v>
      </c>
      <c r="J341" s="21">
        <f t="shared" si="37"/>
        <v>0</v>
      </c>
      <c r="K341" s="6">
        <f t="shared" si="38"/>
        <v>1</v>
      </c>
      <c r="L341" t="s">
        <v>123</v>
      </c>
      <c r="P341" s="5">
        <f t="shared" si="39"/>
        <v>46287</v>
      </c>
      <c r="Q341" t="s">
        <v>145</v>
      </c>
      <c r="R341">
        <v>75</v>
      </c>
      <c r="S341" t="s">
        <v>70</v>
      </c>
      <c r="T341" t="str">
        <f t="shared" si="40"/>
        <v/>
      </c>
      <c r="U341" t="str">
        <f>IF(AND(L341="Para Programar",G341&gt;0),COUNTIFS($L$5:L341,"Para Programar",$G$5:G341,"&gt;0"),"")</f>
        <v/>
      </c>
      <c r="W341" t="str">
        <f t="shared" si="41"/>
        <v>N18 - N26|01 Replanteo - Marcación de tramo de cañería principal</v>
      </c>
      <c r="X341">
        <v>113</v>
      </c>
    </row>
    <row r="342" spans="1:24">
      <c r="A342" t="s">
        <v>71</v>
      </c>
      <c r="B342" s="14" t="s">
        <v>144</v>
      </c>
      <c r="C342" t="s">
        <v>72</v>
      </c>
      <c r="D342" s="13" t="s">
        <v>67</v>
      </c>
      <c r="E342" s="13">
        <v>113</v>
      </c>
      <c r="F342" s="13">
        <f>IF(E342="","",MIN(E342,$X342+SUMIFS('05_Parte_Diario'!$H$5:$H$204,'05_Parte_Diario'!$D$5:$D$204,B342,'05_Parte_Diario'!$E$5:$E$204,C342)))</f>
        <v>113</v>
      </c>
      <c r="G342" s="13">
        <f t="shared" si="35"/>
        <v>0</v>
      </c>
      <c r="H342" s="21">
        <f t="shared" si="36"/>
        <v>1</v>
      </c>
      <c r="I342" s="21">
        <f>IF(OR(B342="",C342="",$V$1=""),"",MIN(E342,SUMIFS('03_Planificacion'!$G$99:$G$178,'03_Planificacion'!$E$99:$E$178,B342,'03_Planificacion'!$F$99:$F$178,C342,'03_Planificacion'!$D$99:$D$178,"&lt;="&amp;$V$1)))</f>
        <v>0</v>
      </c>
      <c r="J342" s="21">
        <f t="shared" si="37"/>
        <v>0</v>
      </c>
      <c r="K342" s="6">
        <f t="shared" si="38"/>
        <v>1</v>
      </c>
      <c r="L342" t="s">
        <v>123</v>
      </c>
      <c r="P342" s="5">
        <f t="shared" si="39"/>
        <v>46287</v>
      </c>
      <c r="Q342" t="s">
        <v>145</v>
      </c>
      <c r="R342">
        <v>75</v>
      </c>
      <c r="S342" t="s">
        <v>70</v>
      </c>
      <c r="T342" t="str">
        <f t="shared" si="40"/>
        <v/>
      </c>
      <c r="U342" t="str">
        <f>IF(AND(L342="Para Programar",G342&gt;0),COUNTIFS($L$5:L342,"Para Programar",$G$5:G342,"&gt;0"),"")</f>
        <v/>
      </c>
      <c r="W342" t="str">
        <f t="shared" si="41"/>
        <v>N18 - N26|02 Excavación - Zanja principal</v>
      </c>
      <c r="X342">
        <v>113</v>
      </c>
    </row>
    <row r="343" spans="1:24">
      <c r="A343" t="s">
        <v>73</v>
      </c>
      <c r="B343" s="14" t="s">
        <v>144</v>
      </c>
      <c r="C343" t="s">
        <v>74</v>
      </c>
      <c r="D343" s="13" t="s">
        <v>67</v>
      </c>
      <c r="E343" s="13">
        <v>113</v>
      </c>
      <c r="F343" s="13">
        <f>IF(E343="","",MIN(E343,$X343+SUMIFS('05_Parte_Diario'!$H$5:$H$204,'05_Parte_Diario'!$D$5:$D$204,B343,'05_Parte_Diario'!$E$5:$E$204,C343)))</f>
        <v>113</v>
      </c>
      <c r="G343" s="13">
        <f t="shared" si="35"/>
        <v>0</v>
      </c>
      <c r="H343" s="21">
        <f t="shared" si="36"/>
        <v>1</v>
      </c>
      <c r="I343" s="21">
        <f>IF(OR(B343="",C343="",$V$1=""),"",MIN(E343,SUMIFS('03_Planificacion'!$G$99:$G$178,'03_Planificacion'!$E$99:$E$178,B343,'03_Planificacion'!$F$99:$F$178,C343,'03_Planificacion'!$D$99:$D$178,"&lt;="&amp;$V$1)))</f>
        <v>0</v>
      </c>
      <c r="J343" s="21">
        <f t="shared" si="37"/>
        <v>0</v>
      </c>
      <c r="K343" s="6">
        <f t="shared" si="38"/>
        <v>1</v>
      </c>
      <c r="L343" t="s">
        <v>123</v>
      </c>
      <c r="P343" s="5">
        <f t="shared" si="39"/>
        <v>46287</v>
      </c>
      <c r="Q343" t="s">
        <v>145</v>
      </c>
      <c r="R343">
        <v>75</v>
      </c>
      <c r="S343" t="s">
        <v>70</v>
      </c>
      <c r="T343" t="str">
        <f t="shared" si="40"/>
        <v/>
      </c>
      <c r="U343" t="str">
        <f>IF(AND(L343="Para Programar",G343&gt;0),COUNTIFS($L$5:L343,"Para Programar",$G$5:G343,"&gt;0"),"")</f>
        <v/>
      </c>
      <c r="W343" t="str">
        <f t="shared" si="41"/>
        <v>N18 - N26|03 Base de asiento - Nivelación de fondo de zanja</v>
      </c>
      <c r="X343">
        <v>113</v>
      </c>
    </row>
    <row r="344" spans="1:24">
      <c r="A344" t="s">
        <v>75</v>
      </c>
      <c r="B344" s="14" t="s">
        <v>144</v>
      </c>
      <c r="C344" t="s">
        <v>76</v>
      </c>
      <c r="D344" s="13" t="s">
        <v>67</v>
      </c>
      <c r="E344" s="13">
        <v>113</v>
      </c>
      <c r="F344" s="13">
        <f>IF(E344="","",MIN(E344,$X344+SUMIFS('05_Parte_Diario'!$H$5:$H$204,'05_Parte_Diario'!$D$5:$D$204,B344,'05_Parte_Diario'!$E$5:$E$204,C344)))</f>
        <v>113</v>
      </c>
      <c r="G344" s="13">
        <f t="shared" si="35"/>
        <v>0</v>
      </c>
      <c r="H344" s="21">
        <f t="shared" si="36"/>
        <v>1</v>
      </c>
      <c r="I344" s="21">
        <f>IF(OR(B344="",C344="",$V$1=""),"",MIN(E344,SUMIFS('03_Planificacion'!$G$99:$G$178,'03_Planificacion'!$E$99:$E$178,B344,'03_Planificacion'!$F$99:$F$178,C344,'03_Planificacion'!$D$99:$D$178,"&lt;="&amp;$V$1)))</f>
        <v>0</v>
      </c>
      <c r="J344" s="21">
        <f t="shared" si="37"/>
        <v>0</v>
      </c>
      <c r="K344" s="6">
        <f t="shared" si="38"/>
        <v>1</v>
      </c>
      <c r="L344" t="s">
        <v>123</v>
      </c>
      <c r="P344" s="5">
        <f t="shared" si="39"/>
        <v>46287</v>
      </c>
      <c r="Q344" t="s">
        <v>145</v>
      </c>
      <c r="R344">
        <v>75</v>
      </c>
      <c r="S344" t="s">
        <v>70</v>
      </c>
      <c r="T344" t="str">
        <f t="shared" si="40"/>
        <v/>
      </c>
      <c r="U344" t="str">
        <f>IF(AND(L344="Para Programar",G344&gt;0),COUNTIFS($L$5:L344,"Para Programar",$G$5:G344,"&gt;0"),"")</f>
        <v/>
      </c>
      <c r="W344" t="str">
        <f t="shared" si="41"/>
        <v>N18 - N26|03 Base de asiento - Aporte de material base e=0,10 m</v>
      </c>
      <c r="X344">
        <v>113</v>
      </c>
    </row>
    <row r="345" spans="1:24">
      <c r="A345" t="s">
        <v>77</v>
      </c>
      <c r="B345" s="14" t="s">
        <v>144</v>
      </c>
      <c r="C345" t="s">
        <v>78</v>
      </c>
      <c r="D345" s="13" t="s">
        <v>67</v>
      </c>
      <c r="E345" s="13">
        <v>113</v>
      </c>
      <c r="F345" s="13">
        <f>IF(E345="","",MIN(E345,$X345+SUMIFS('05_Parte_Diario'!$H$5:$H$204,'05_Parte_Diario'!$D$5:$D$204,B345,'05_Parte_Diario'!$E$5:$E$204,C345)))</f>
        <v>113</v>
      </c>
      <c r="G345" s="13">
        <f t="shared" si="35"/>
        <v>0</v>
      </c>
      <c r="H345" s="21">
        <f t="shared" si="36"/>
        <v>1</v>
      </c>
      <c r="I345" s="21">
        <f>IF(OR(B345="",C345="",$V$1=""),"",MIN(E345,SUMIFS('03_Planificacion'!$G$99:$G$178,'03_Planificacion'!$E$99:$E$178,B345,'03_Planificacion'!$F$99:$F$178,C345,'03_Planificacion'!$D$99:$D$178,"&lt;="&amp;$V$1)))</f>
        <v>0</v>
      </c>
      <c r="J345" s="21">
        <f t="shared" si="37"/>
        <v>0</v>
      </c>
      <c r="K345" s="6">
        <f t="shared" si="38"/>
        <v>1</v>
      </c>
      <c r="L345" t="s">
        <v>123</v>
      </c>
      <c r="P345" s="5">
        <f t="shared" si="39"/>
        <v>46287</v>
      </c>
      <c r="Q345" t="s">
        <v>145</v>
      </c>
      <c r="R345">
        <v>75</v>
      </c>
      <c r="S345" t="s">
        <v>70</v>
      </c>
      <c r="T345" t="str">
        <f t="shared" si="40"/>
        <v/>
      </c>
      <c r="U345" t="str">
        <f>IF(AND(L345="Para Programar",G345&gt;0),COUNTIFS($L$5:L345,"Para Programar",$G$5:G345,"&gt;0"),"")</f>
        <v/>
      </c>
      <c r="W345" t="str">
        <f t="shared" si="41"/>
        <v>N18 - N26|03 Base de asiento - Compactación</v>
      </c>
      <c r="X345">
        <v>113</v>
      </c>
    </row>
    <row r="346" spans="1:24">
      <c r="A346" t="s">
        <v>79</v>
      </c>
      <c r="B346" s="14" t="s">
        <v>144</v>
      </c>
      <c r="C346" t="s">
        <v>80</v>
      </c>
      <c r="D346" s="13" t="s">
        <v>81</v>
      </c>
      <c r="E346" s="13">
        <v>1</v>
      </c>
      <c r="F346" s="13">
        <f>IF(E346="","",MIN(E346,$X346+SUMIFS('05_Parte_Diario'!$H$5:$H$204,'05_Parte_Diario'!$D$5:$D$204,B346,'05_Parte_Diario'!$E$5:$E$204,C346)))</f>
        <v>1</v>
      </c>
      <c r="G346" s="13">
        <f t="shared" si="35"/>
        <v>0</v>
      </c>
      <c r="H346" s="21">
        <f t="shared" si="36"/>
        <v>1</v>
      </c>
      <c r="I346" s="21">
        <f>IF(OR(B346="",C346="",$V$1=""),"",MIN(E346,SUMIFS('03_Planificacion'!$G$99:$G$178,'03_Planificacion'!$E$99:$E$178,B346,'03_Planificacion'!$F$99:$F$178,C346,'03_Planificacion'!$D$99:$D$178,"&lt;="&amp;$V$1)))</f>
        <v>0</v>
      </c>
      <c r="J346" s="21">
        <f t="shared" si="37"/>
        <v>0</v>
      </c>
      <c r="K346" s="6">
        <f t="shared" si="38"/>
        <v>1</v>
      </c>
      <c r="L346" t="s">
        <v>123</v>
      </c>
      <c r="P346" s="5">
        <f t="shared" si="39"/>
        <v>46287</v>
      </c>
      <c r="Q346" t="s">
        <v>145</v>
      </c>
      <c r="R346">
        <v>75</v>
      </c>
      <c r="S346" t="s">
        <v>70</v>
      </c>
      <c r="T346" t="str">
        <f t="shared" si="40"/>
        <v/>
      </c>
      <c r="U346" t="str">
        <f>IF(AND(L346="Para Programar",G346&gt;0),COUNTIFS($L$5:L346,"Para Programar",$G$5:G346,"&gt;0"),"")</f>
        <v/>
      </c>
      <c r="W346" t="str">
        <f t="shared" si="41"/>
        <v>N18 - N26|04 Inspecciones previas - Laboratorio base de asiento</v>
      </c>
      <c r="X346">
        <v>1</v>
      </c>
    </row>
    <row r="347" spans="1:24">
      <c r="A347" t="s">
        <v>82</v>
      </c>
      <c r="B347" s="14" t="s">
        <v>144</v>
      </c>
      <c r="C347" t="s">
        <v>83</v>
      </c>
      <c r="D347" s="13" t="s">
        <v>81</v>
      </c>
      <c r="E347" s="13">
        <v>1</v>
      </c>
      <c r="F347" s="13">
        <f>IF(E347="","",MIN(E347,$X347+SUMIFS('05_Parte_Diario'!$H$5:$H$204,'05_Parte_Diario'!$D$5:$D$204,B347,'05_Parte_Diario'!$E$5:$E$204,C347)))</f>
        <v>1</v>
      </c>
      <c r="G347" s="13">
        <f t="shared" si="35"/>
        <v>0</v>
      </c>
      <c r="H347" s="21">
        <f t="shared" si="36"/>
        <v>1</v>
      </c>
      <c r="I347" s="21">
        <f>IF(OR(B347="",C347="",$V$1=""),"",MIN(E347,SUMIFS('03_Planificacion'!$G$99:$G$178,'03_Planificacion'!$E$99:$E$178,B347,'03_Planificacion'!$F$99:$F$178,C347,'03_Planificacion'!$D$99:$D$178,"&lt;="&amp;$V$1)))</f>
        <v>0</v>
      </c>
      <c r="J347" s="21">
        <f t="shared" si="37"/>
        <v>0</v>
      </c>
      <c r="K347" s="6">
        <f t="shared" si="38"/>
        <v>1</v>
      </c>
      <c r="L347" t="s">
        <v>123</v>
      </c>
      <c r="P347" s="5">
        <f t="shared" si="39"/>
        <v>46287</v>
      </c>
      <c r="Q347" t="s">
        <v>145</v>
      </c>
      <c r="R347">
        <v>75</v>
      </c>
      <c r="S347" t="s">
        <v>70</v>
      </c>
      <c r="T347" t="str">
        <f t="shared" si="40"/>
        <v/>
      </c>
      <c r="U347" t="str">
        <f>IF(AND(L347="Para Programar",G347&gt;0),COUNTIFS($L$5:L347,"Para Programar",$G$5:G347,"&gt;0"),"")</f>
        <v/>
      </c>
      <c r="W347" t="str">
        <f t="shared" si="41"/>
        <v>N18 - N26|04 Inspecciones previas - Zanja y materiales</v>
      </c>
      <c r="X347">
        <v>1</v>
      </c>
    </row>
    <row r="348" spans="1:24">
      <c r="A348" t="s">
        <v>84</v>
      </c>
      <c r="B348" s="14" t="s">
        <v>144</v>
      </c>
      <c r="C348" t="s">
        <v>85</v>
      </c>
      <c r="D348" s="13" t="s">
        <v>67</v>
      </c>
      <c r="E348" s="13">
        <v>113</v>
      </c>
      <c r="F348" s="13">
        <f>IF(E348="","",MIN(E348,$X348+SUMIFS('05_Parte_Diario'!$H$5:$H$204,'05_Parte_Diario'!$D$5:$D$204,B348,'05_Parte_Diario'!$E$5:$E$204,C348)))</f>
        <v>113</v>
      </c>
      <c r="G348" s="13">
        <f t="shared" si="35"/>
        <v>0</v>
      </c>
      <c r="H348" s="21">
        <f t="shared" si="36"/>
        <v>1</v>
      </c>
      <c r="I348" s="21">
        <f>IF(OR(B348="",C348="",$V$1=""),"",MIN(E348,SUMIFS('03_Planificacion'!$G$99:$G$178,'03_Planificacion'!$E$99:$E$178,B348,'03_Planificacion'!$F$99:$F$178,C348,'03_Planificacion'!$D$99:$D$178,"&lt;="&amp;$V$1)))</f>
        <v>0</v>
      </c>
      <c r="J348" s="21">
        <f t="shared" si="37"/>
        <v>0</v>
      </c>
      <c r="K348" s="6">
        <f t="shared" si="38"/>
        <v>1</v>
      </c>
      <c r="L348" t="s">
        <v>123</v>
      </c>
      <c r="P348" s="5">
        <f t="shared" si="39"/>
        <v>46287</v>
      </c>
      <c r="Q348" t="s">
        <v>145</v>
      </c>
      <c r="R348">
        <v>75</v>
      </c>
      <c r="S348" t="s">
        <v>70</v>
      </c>
      <c r="T348" t="str">
        <f t="shared" si="40"/>
        <v/>
      </c>
      <c r="U348" t="str">
        <f>IF(AND(L348="Para Programar",G348&gt;0),COUNTIFS($L$5:L348,"Para Programar",$G$5:G348,"&gt;0"),"")</f>
        <v/>
      </c>
      <c r="W348" t="str">
        <f t="shared" si="41"/>
        <v>N18 - N26|05 Tendido de cañería - Cañería principal</v>
      </c>
      <c r="X348">
        <v>113</v>
      </c>
    </row>
    <row r="349" spans="1:24">
      <c r="A349" t="s">
        <v>86</v>
      </c>
      <c r="B349" s="14" t="s">
        <v>144</v>
      </c>
      <c r="C349" t="s">
        <v>87</v>
      </c>
      <c r="D349" s="13" t="s">
        <v>67</v>
      </c>
      <c r="E349" s="13">
        <v>113</v>
      </c>
      <c r="F349" s="13">
        <f>IF(E349="","",MIN(E349,$X349+SUMIFS('05_Parte_Diario'!$H$5:$H$204,'05_Parte_Diario'!$D$5:$D$204,B349,'05_Parte_Diario'!$E$5:$E$204,C349)))</f>
        <v>113</v>
      </c>
      <c r="G349" s="13">
        <f t="shared" si="35"/>
        <v>0</v>
      </c>
      <c r="H349" s="21">
        <f t="shared" si="36"/>
        <v>1</v>
      </c>
      <c r="I349" s="21">
        <f>IF(OR(B349="",C349="",$V$1=""),"",MIN(E349,SUMIFS('03_Planificacion'!$G$99:$G$178,'03_Planificacion'!$E$99:$E$178,B349,'03_Planificacion'!$F$99:$F$178,C349,'03_Planificacion'!$D$99:$D$178,"&lt;="&amp;$V$1)))</f>
        <v>0</v>
      </c>
      <c r="J349" s="21">
        <f t="shared" si="37"/>
        <v>0</v>
      </c>
      <c r="K349" s="6">
        <f t="shared" si="38"/>
        <v>1</v>
      </c>
      <c r="L349" t="s">
        <v>123</v>
      </c>
      <c r="P349" s="5">
        <f t="shared" si="39"/>
        <v>46287</v>
      </c>
      <c r="Q349" t="s">
        <v>145</v>
      </c>
      <c r="R349">
        <v>75</v>
      </c>
      <c r="S349" t="s">
        <v>70</v>
      </c>
      <c r="T349" t="str">
        <f t="shared" si="40"/>
        <v/>
      </c>
      <c r="U349" t="str">
        <f>IF(AND(L349="Para Programar",G349&gt;0),COUNTIFS($L$5:L349,"Para Programar",$G$5:G349,"&gt;0"),"")</f>
        <v/>
      </c>
      <c r="W349" t="str">
        <f t="shared" si="41"/>
        <v>N18 - N26|05 Tendido de cañería - Relevamiento planialtimétrico</v>
      </c>
      <c r="X349">
        <v>113</v>
      </c>
    </row>
    <row r="350" spans="1:24">
      <c r="A350" t="s">
        <v>88</v>
      </c>
      <c r="B350" s="14" t="s">
        <v>144</v>
      </c>
      <c r="C350" t="s">
        <v>89</v>
      </c>
      <c r="D350" s="13" t="s">
        <v>81</v>
      </c>
      <c r="E350" s="13">
        <v>1</v>
      </c>
      <c r="F350" s="13">
        <f>IF(E350="","",MIN(E350,$X350+SUMIFS('05_Parte_Diario'!$H$5:$H$204,'05_Parte_Diario'!$D$5:$D$204,B350,'05_Parte_Diario'!$E$5:$E$204,C350)))</f>
        <v>1</v>
      </c>
      <c r="G350" s="13">
        <f t="shared" si="35"/>
        <v>0</v>
      </c>
      <c r="H350" s="21">
        <f t="shared" si="36"/>
        <v>1</v>
      </c>
      <c r="I350" s="21">
        <f>IF(OR(B350="",C350="",$V$1=""),"",MIN(E350,SUMIFS('03_Planificacion'!$G$99:$G$178,'03_Planificacion'!$E$99:$E$178,B350,'03_Planificacion'!$F$99:$F$178,C350,'03_Planificacion'!$D$99:$D$178,"&lt;="&amp;$V$1)))</f>
        <v>0</v>
      </c>
      <c r="J350" s="21">
        <f t="shared" si="37"/>
        <v>0</v>
      </c>
      <c r="K350" s="6">
        <f t="shared" si="38"/>
        <v>1</v>
      </c>
      <c r="L350" t="s">
        <v>123</v>
      </c>
      <c r="P350" s="5">
        <f t="shared" si="39"/>
        <v>46287</v>
      </c>
      <c r="Q350" t="s">
        <v>145</v>
      </c>
      <c r="R350">
        <v>75</v>
      </c>
      <c r="S350" t="s">
        <v>70</v>
      </c>
      <c r="T350" t="str">
        <f t="shared" si="40"/>
        <v/>
      </c>
      <c r="U350" t="str">
        <f>IF(AND(L350="Para Programar",G350&gt;0),COUNTIFS($L$5:L350,"Para Programar",$G$5:G350,"&gt;0"),"")</f>
        <v/>
      </c>
      <c r="W350" t="str">
        <f t="shared" si="41"/>
        <v>N18 - N26|08 Prueba hidráulica - Preparación del sistema</v>
      </c>
      <c r="X350">
        <v>1</v>
      </c>
    </row>
    <row r="351" spans="1:24">
      <c r="A351" t="s">
        <v>90</v>
      </c>
      <c r="B351" s="14" t="s">
        <v>144</v>
      </c>
      <c r="C351" t="s">
        <v>91</v>
      </c>
      <c r="D351" s="13" t="s">
        <v>81</v>
      </c>
      <c r="E351" s="13">
        <v>1</v>
      </c>
      <c r="F351" s="13">
        <f>IF(E351="","",MIN(E351,$X351+SUMIFS('05_Parte_Diario'!$H$5:$H$204,'05_Parte_Diario'!$D$5:$D$204,B351,'05_Parte_Diario'!$E$5:$E$204,C351)))</f>
        <v>1</v>
      </c>
      <c r="G351" s="13">
        <f t="shared" si="35"/>
        <v>0</v>
      </c>
      <c r="H351" s="21">
        <f t="shared" si="36"/>
        <v>1</v>
      </c>
      <c r="I351" s="21">
        <f>IF(OR(B351="",C351="",$V$1=""),"",MIN(E351,SUMIFS('03_Planificacion'!$G$99:$G$178,'03_Planificacion'!$E$99:$E$178,B351,'03_Planificacion'!$F$99:$F$178,C351,'03_Planificacion'!$D$99:$D$178,"&lt;="&amp;$V$1)))</f>
        <v>0</v>
      </c>
      <c r="J351" s="21">
        <f t="shared" si="37"/>
        <v>0</v>
      </c>
      <c r="K351" s="6">
        <f t="shared" si="38"/>
        <v>1</v>
      </c>
      <c r="L351" t="s">
        <v>123</v>
      </c>
      <c r="P351" s="5">
        <f t="shared" si="39"/>
        <v>46287</v>
      </c>
      <c r="Q351" t="s">
        <v>145</v>
      </c>
      <c r="R351">
        <v>75</v>
      </c>
      <c r="S351" t="s">
        <v>70</v>
      </c>
      <c r="T351" t="str">
        <f t="shared" si="40"/>
        <v/>
      </c>
      <c r="U351" t="str">
        <f>IF(AND(L351="Para Programar",G351&gt;0),COUNTIFS($L$5:L351,"Para Programar",$G$5:G351,"&gt;0"),"")</f>
        <v/>
      </c>
      <c r="W351" t="str">
        <f t="shared" si="41"/>
        <v>N18 - N26|08 Prueba hidráulica - Interna N° 1</v>
      </c>
      <c r="X351">
        <v>1</v>
      </c>
    </row>
    <row r="352" spans="1:24">
      <c r="A352" t="s">
        <v>92</v>
      </c>
      <c r="B352" s="14" t="s">
        <v>144</v>
      </c>
      <c r="C352" t="s">
        <v>93</v>
      </c>
      <c r="D352" s="13" t="s">
        <v>81</v>
      </c>
      <c r="E352" s="13">
        <v>1</v>
      </c>
      <c r="F352" s="13">
        <f>IF(E352="","",MIN(E352,$X352+SUMIFS('05_Parte_Diario'!$H$5:$H$204,'05_Parte_Diario'!$D$5:$D$204,B352,'05_Parte_Diario'!$E$5:$E$204,C352)))</f>
        <v>0</v>
      </c>
      <c r="G352" s="13">
        <f t="shared" si="35"/>
        <v>1</v>
      </c>
      <c r="H352" s="21">
        <f t="shared" si="36"/>
        <v>0</v>
      </c>
      <c r="I352" s="21">
        <f>IF(OR(B352="",C352="",$V$1=""),"",MIN(E352,SUMIFS('03_Planificacion'!$G$99:$G$178,'03_Planificacion'!$E$99:$E$178,B352,'03_Planificacion'!$F$99:$F$178,C352,'03_Planificacion'!$D$99:$D$178,"&lt;="&amp;$V$1)))</f>
        <v>0</v>
      </c>
      <c r="J352" s="21">
        <f t="shared" si="37"/>
        <v>0</v>
      </c>
      <c r="K352" s="6">
        <f t="shared" si="38"/>
        <v>0</v>
      </c>
      <c r="L352" t="s">
        <v>12</v>
      </c>
      <c r="P352" s="5">
        <f t="shared" si="39"/>
        <v>46287</v>
      </c>
      <c r="Q352" t="s">
        <v>145</v>
      </c>
      <c r="R352">
        <v>75</v>
      </c>
      <c r="S352" t="s">
        <v>70</v>
      </c>
      <c r="T352" t="str">
        <f t="shared" si="40"/>
        <v/>
      </c>
      <c r="U352">
        <f>IF(AND(L352="Para Programar",G352&gt;0),COUNTIFS($L$5:L352,"Para Programar",$G$5:G352,"&gt;0"),"")</f>
        <v>71</v>
      </c>
      <c r="W352" t="str">
        <f t="shared" si="41"/>
        <v>N18 - N26|08 Prueba hidráulica - Interna N° 2</v>
      </c>
      <c r="X352">
        <v>0</v>
      </c>
    </row>
    <row r="353" spans="1:24">
      <c r="A353" t="s">
        <v>94</v>
      </c>
      <c r="B353" s="14" t="s">
        <v>144</v>
      </c>
      <c r="C353" t="s">
        <v>95</v>
      </c>
      <c r="D353" s="13" t="s">
        <v>81</v>
      </c>
      <c r="E353" s="13">
        <v>1</v>
      </c>
      <c r="F353" s="13">
        <f>IF(E353="","",MIN(E353,$X353+SUMIFS('05_Parte_Diario'!$H$5:$H$204,'05_Parte_Diario'!$D$5:$D$204,B353,'05_Parte_Diario'!$E$5:$E$204,C353)))</f>
        <v>0</v>
      </c>
      <c r="G353" s="13">
        <f t="shared" si="35"/>
        <v>1</v>
      </c>
      <c r="H353" s="21">
        <f t="shared" si="36"/>
        <v>0</v>
      </c>
      <c r="I353" s="21">
        <f>IF(OR(B353="",C353="",$V$1=""),"",MIN(E353,SUMIFS('03_Planificacion'!$G$99:$G$178,'03_Planificacion'!$E$99:$E$178,B353,'03_Planificacion'!$F$99:$F$178,C353,'03_Planificacion'!$D$99:$D$178,"&lt;="&amp;$V$1)))</f>
        <v>0</v>
      </c>
      <c r="J353" s="21">
        <f t="shared" si="37"/>
        <v>0</v>
      </c>
      <c r="K353" s="6">
        <f t="shared" si="38"/>
        <v>0</v>
      </c>
      <c r="L353" t="s">
        <v>12</v>
      </c>
      <c r="P353" s="5">
        <f t="shared" si="39"/>
        <v>46287</v>
      </c>
      <c r="Q353" t="s">
        <v>145</v>
      </c>
      <c r="R353">
        <v>75</v>
      </c>
      <c r="S353" t="s">
        <v>70</v>
      </c>
      <c r="T353" t="str">
        <f t="shared" si="40"/>
        <v/>
      </c>
      <c r="U353">
        <f>IF(AND(L353="Para Programar",G353&gt;0),COUNTIFS($L$5:L353,"Para Programar",$G$5:G353,"&gt;0"),"")</f>
        <v>72</v>
      </c>
      <c r="W353" t="str">
        <f t="shared" si="41"/>
        <v>N18 - N26|08 Prueba hidráulica - Primera prueba oficial</v>
      </c>
      <c r="X353">
        <v>0</v>
      </c>
    </row>
    <row r="354" spans="1:24">
      <c r="A354" t="s">
        <v>96</v>
      </c>
      <c r="B354" s="14" t="s">
        <v>144</v>
      </c>
      <c r="C354" t="s">
        <v>97</v>
      </c>
      <c r="D354" s="13" t="s">
        <v>67</v>
      </c>
      <c r="E354" s="13">
        <v>113</v>
      </c>
      <c r="F354" s="13">
        <f>IF(E354="","",MIN(E354,$X354+SUMIFS('05_Parte_Diario'!$H$5:$H$204,'05_Parte_Diario'!$D$5:$D$204,B354,'05_Parte_Diario'!$E$5:$E$204,C354)))</f>
        <v>0</v>
      </c>
      <c r="G354" s="13">
        <f t="shared" si="35"/>
        <v>113</v>
      </c>
      <c r="H354" s="21">
        <f t="shared" si="36"/>
        <v>0</v>
      </c>
      <c r="I354" s="21">
        <f>IF(OR(B354="",C354="",$V$1=""),"",MIN(E354,SUMIFS('03_Planificacion'!$G$99:$G$178,'03_Planificacion'!$E$99:$E$178,B354,'03_Planificacion'!$F$99:$F$178,C354,'03_Planificacion'!$D$99:$D$178,"&lt;="&amp;$V$1)))</f>
        <v>0</v>
      </c>
      <c r="J354" s="21">
        <f t="shared" si="37"/>
        <v>0</v>
      </c>
      <c r="K354" s="6">
        <f t="shared" si="38"/>
        <v>0</v>
      </c>
      <c r="L354" t="s">
        <v>12</v>
      </c>
      <c r="P354" s="5">
        <f t="shared" si="39"/>
        <v>46287</v>
      </c>
      <c r="Q354" t="s">
        <v>145</v>
      </c>
      <c r="R354">
        <v>75</v>
      </c>
      <c r="S354" t="s">
        <v>70</v>
      </c>
      <c r="T354" t="str">
        <f t="shared" si="40"/>
        <v/>
      </c>
      <c r="U354">
        <f>IF(AND(L354="Para Programar",G354&gt;0),COUNTIFS($L$5:L354,"Para Programar",$G$5:G354,"&gt;0"),"")</f>
        <v>73</v>
      </c>
      <c r="W354" t="str">
        <f t="shared" si="41"/>
        <v>N18 - N26|09 Paquete estructural - Aporte e=0,30 m</v>
      </c>
      <c r="X354">
        <v>0</v>
      </c>
    </row>
    <row r="355" spans="1:24">
      <c r="A355" t="s">
        <v>98</v>
      </c>
      <c r="B355" s="14" t="s">
        <v>144</v>
      </c>
      <c r="C355" t="s">
        <v>99</v>
      </c>
      <c r="D355" s="13" t="s">
        <v>67</v>
      </c>
      <c r="E355" s="13">
        <v>113</v>
      </c>
      <c r="F355" s="13">
        <f>IF(E355="","",MIN(E355,$X355+SUMIFS('05_Parte_Diario'!$H$5:$H$204,'05_Parte_Diario'!$D$5:$D$204,B355,'05_Parte_Diario'!$E$5:$E$204,C355)))</f>
        <v>0</v>
      </c>
      <c r="G355" s="13">
        <f t="shared" si="35"/>
        <v>113</v>
      </c>
      <c r="H355" s="21">
        <f t="shared" si="36"/>
        <v>0</v>
      </c>
      <c r="I355" s="21">
        <f>IF(OR(B355="",C355="",$V$1=""),"",MIN(E355,SUMIFS('03_Planificacion'!$G$99:$G$178,'03_Planificacion'!$E$99:$E$178,B355,'03_Planificacion'!$F$99:$F$178,C355,'03_Planificacion'!$D$99:$D$178,"&lt;="&amp;$V$1)))</f>
        <v>0</v>
      </c>
      <c r="J355" s="21">
        <f t="shared" si="37"/>
        <v>0</v>
      </c>
      <c r="K355" s="6">
        <f t="shared" si="38"/>
        <v>0</v>
      </c>
      <c r="L355" t="s">
        <v>12</v>
      </c>
      <c r="P355" s="5">
        <f t="shared" si="39"/>
        <v>46287</v>
      </c>
      <c r="Q355" t="s">
        <v>145</v>
      </c>
      <c r="R355">
        <v>75</v>
      </c>
      <c r="S355" t="s">
        <v>70</v>
      </c>
      <c r="T355" t="str">
        <f t="shared" si="40"/>
        <v/>
      </c>
      <c r="U355">
        <f>IF(AND(L355="Para Programar",G355&gt;0),COUNTIFS($L$5:L355,"Para Programar",$G$5:G355,"&gt;0"),"")</f>
        <v>74</v>
      </c>
      <c r="W355" t="str">
        <f t="shared" si="41"/>
        <v>N18 - N26|09 Paquete estructural - Compactación</v>
      </c>
      <c r="X355">
        <v>0</v>
      </c>
    </row>
    <row r="356" spans="1:24">
      <c r="A356" t="s">
        <v>100</v>
      </c>
      <c r="B356" s="14" t="s">
        <v>144</v>
      </c>
      <c r="C356" t="s">
        <v>101</v>
      </c>
      <c r="D356" s="13" t="s">
        <v>81</v>
      </c>
      <c r="E356" s="13">
        <v>1</v>
      </c>
      <c r="F356" s="13">
        <f>IF(E356="","",MIN(E356,$X356+SUMIFS('05_Parte_Diario'!$H$5:$H$204,'05_Parte_Diario'!$D$5:$D$204,B356,'05_Parte_Diario'!$E$5:$E$204,C356)))</f>
        <v>0</v>
      </c>
      <c r="G356" s="13">
        <f t="shared" si="35"/>
        <v>1</v>
      </c>
      <c r="H356" s="21">
        <f t="shared" si="36"/>
        <v>0</v>
      </c>
      <c r="I356" s="21">
        <f>IF(OR(B356="",C356="",$V$1=""),"",MIN(E356,SUMIFS('03_Planificacion'!$G$99:$G$178,'03_Planificacion'!$E$99:$E$178,B356,'03_Planificacion'!$F$99:$F$178,C356,'03_Planificacion'!$D$99:$D$178,"&lt;="&amp;$V$1)))</f>
        <v>0</v>
      </c>
      <c r="J356" s="21">
        <f t="shared" si="37"/>
        <v>0</v>
      </c>
      <c r="K356" s="6">
        <f t="shared" si="38"/>
        <v>0</v>
      </c>
      <c r="L356" t="s">
        <v>12</v>
      </c>
      <c r="P356" s="5">
        <f t="shared" si="39"/>
        <v>46287</v>
      </c>
      <c r="Q356" t="s">
        <v>145</v>
      </c>
      <c r="R356">
        <v>75</v>
      </c>
      <c r="S356" t="s">
        <v>70</v>
      </c>
      <c r="T356" t="str">
        <f t="shared" si="40"/>
        <v/>
      </c>
      <c r="U356">
        <f>IF(AND(L356="Para Programar",G356&gt;0),COUNTIFS($L$5:L356,"Para Programar",$G$5:G356,"&gt;0"),"")</f>
        <v>75</v>
      </c>
      <c r="W356" t="str">
        <f t="shared" si="41"/>
        <v>N18 - N26|09 Paquete estructural - Inspección laboratorio</v>
      </c>
      <c r="X356">
        <v>0</v>
      </c>
    </row>
    <row r="357" spans="1:24">
      <c r="A357" t="s">
        <v>102</v>
      </c>
      <c r="B357" s="14" t="s">
        <v>144</v>
      </c>
      <c r="C357" t="s">
        <v>103</v>
      </c>
      <c r="D357" s="13" t="s">
        <v>67</v>
      </c>
      <c r="E357" s="13">
        <v>113</v>
      </c>
      <c r="F357" s="13">
        <f>IF(E357="","",MIN(E357,$X357+SUMIFS('05_Parte_Diario'!$H$5:$H$204,'05_Parte_Diario'!$D$5:$D$204,B357,'05_Parte_Diario'!$E$5:$E$204,C357)))</f>
        <v>0</v>
      </c>
      <c r="G357" s="13">
        <f t="shared" si="35"/>
        <v>113</v>
      </c>
      <c r="H357" s="21">
        <f t="shared" si="36"/>
        <v>0</v>
      </c>
      <c r="I357" s="21">
        <f>IF(OR(B357="",C357="",$V$1=""),"",MIN(E357,SUMIFS('03_Planificacion'!$G$99:$G$178,'03_Planificacion'!$E$99:$E$178,B357,'03_Planificacion'!$F$99:$F$178,C357,'03_Planificacion'!$D$99:$D$178,"&lt;="&amp;$V$1)))</f>
        <v>0</v>
      </c>
      <c r="J357" s="21">
        <f t="shared" si="37"/>
        <v>0</v>
      </c>
      <c r="K357" s="6">
        <f t="shared" si="38"/>
        <v>0</v>
      </c>
      <c r="L357" t="s">
        <v>12</v>
      </c>
      <c r="P357" s="5">
        <f t="shared" si="39"/>
        <v>46287</v>
      </c>
      <c r="Q357" t="s">
        <v>145</v>
      </c>
      <c r="R357">
        <v>75</v>
      </c>
      <c r="S357" t="s">
        <v>70</v>
      </c>
      <c r="T357" t="str">
        <f t="shared" si="40"/>
        <v/>
      </c>
      <c r="U357">
        <f>IF(AND(L357="Para Programar",G357&gt;0),COUNTIFS($L$5:L357,"Para Programar",$G$5:G357,"&gt;0"),"")</f>
        <v>76</v>
      </c>
      <c r="W357" t="str">
        <f t="shared" si="41"/>
        <v>N18 - N26|10 Relleno -0,60 - Conformación de capa</v>
      </c>
      <c r="X357">
        <v>0</v>
      </c>
    </row>
    <row r="358" spans="1:24">
      <c r="A358" t="s">
        <v>104</v>
      </c>
      <c r="B358" s="14" t="s">
        <v>144</v>
      </c>
      <c r="C358" t="s">
        <v>105</v>
      </c>
      <c r="D358" s="13" t="s">
        <v>67</v>
      </c>
      <c r="E358" s="13">
        <v>113</v>
      </c>
      <c r="F358" s="13">
        <f>IF(E358="","",MIN(E358,$X358+SUMIFS('05_Parte_Diario'!$H$5:$H$204,'05_Parte_Diario'!$D$5:$D$204,B358,'05_Parte_Diario'!$E$5:$E$204,C358)))</f>
        <v>0</v>
      </c>
      <c r="G358" s="13">
        <f t="shared" si="35"/>
        <v>113</v>
      </c>
      <c r="H358" s="21">
        <f t="shared" si="36"/>
        <v>0</v>
      </c>
      <c r="I358" s="21">
        <f>IF(OR(B358="",C358="",$V$1=""),"",MIN(E358,SUMIFS('03_Planificacion'!$G$99:$G$178,'03_Planificacion'!$E$99:$E$178,B358,'03_Planificacion'!$F$99:$F$178,C358,'03_Planificacion'!$D$99:$D$178,"&lt;="&amp;$V$1)))</f>
        <v>0</v>
      </c>
      <c r="J358" s="21">
        <f t="shared" si="37"/>
        <v>0</v>
      </c>
      <c r="K358" s="6">
        <f t="shared" si="38"/>
        <v>0</v>
      </c>
      <c r="L358" t="s">
        <v>12</v>
      </c>
      <c r="P358" s="5">
        <f t="shared" si="39"/>
        <v>46287</v>
      </c>
      <c r="Q358" t="s">
        <v>145</v>
      </c>
      <c r="R358">
        <v>75</v>
      </c>
      <c r="S358" t="s">
        <v>70</v>
      </c>
      <c r="T358" t="str">
        <f t="shared" si="40"/>
        <v/>
      </c>
      <c r="U358">
        <f>IF(AND(L358="Para Programar",G358&gt;0),COUNTIFS($L$5:L358,"Para Programar",$G$5:G358,"&gt;0"),"")</f>
        <v>77</v>
      </c>
      <c r="W358" t="str">
        <f t="shared" si="41"/>
        <v>N18 - N26|10 Relleno -0,60 - Humectación</v>
      </c>
      <c r="X358">
        <v>0</v>
      </c>
    </row>
    <row r="359" spans="1:24">
      <c r="A359" t="s">
        <v>106</v>
      </c>
      <c r="B359" s="14" t="s">
        <v>144</v>
      </c>
      <c r="C359" t="s">
        <v>107</v>
      </c>
      <c r="D359" s="13" t="s">
        <v>67</v>
      </c>
      <c r="E359" s="13">
        <v>113</v>
      </c>
      <c r="F359" s="13">
        <f>IF(E359="","",MIN(E359,$X359+SUMIFS('05_Parte_Diario'!$H$5:$H$204,'05_Parte_Diario'!$D$5:$D$204,B359,'05_Parte_Diario'!$E$5:$E$204,C359)))</f>
        <v>0</v>
      </c>
      <c r="G359" s="13">
        <f t="shared" si="35"/>
        <v>113</v>
      </c>
      <c r="H359" s="21">
        <f t="shared" si="36"/>
        <v>0</v>
      </c>
      <c r="I359" s="21">
        <f>IF(OR(B359="",C359="",$V$1=""),"",MIN(E359,SUMIFS('03_Planificacion'!$G$99:$G$178,'03_Planificacion'!$E$99:$E$178,B359,'03_Planificacion'!$F$99:$F$178,C359,'03_Planificacion'!$D$99:$D$178,"&lt;="&amp;$V$1)))</f>
        <v>0</v>
      </c>
      <c r="J359" s="21">
        <f t="shared" si="37"/>
        <v>0</v>
      </c>
      <c r="K359" s="6">
        <f t="shared" si="38"/>
        <v>0</v>
      </c>
      <c r="L359" t="s">
        <v>12</v>
      </c>
      <c r="P359" s="5">
        <f t="shared" si="39"/>
        <v>46287</v>
      </c>
      <c r="Q359" t="s">
        <v>145</v>
      </c>
      <c r="R359">
        <v>75</v>
      </c>
      <c r="S359" t="s">
        <v>70</v>
      </c>
      <c r="T359" t="str">
        <f t="shared" si="40"/>
        <v/>
      </c>
      <c r="U359">
        <f>IF(AND(L359="Para Programar",G359&gt;0),COUNTIFS($L$5:L359,"Para Programar",$G$5:G359,"&gt;0"),"")</f>
        <v>78</v>
      </c>
      <c r="W359" t="str">
        <f t="shared" si="41"/>
        <v>N18 - N26|10 Relleno -0,60 - Compactación</v>
      </c>
      <c r="X359">
        <v>0</v>
      </c>
    </row>
    <row r="360" spans="1:24">
      <c r="A360" t="s">
        <v>108</v>
      </c>
      <c r="B360" s="14" t="s">
        <v>144</v>
      </c>
      <c r="C360" t="s">
        <v>109</v>
      </c>
      <c r="D360" s="13" t="s">
        <v>81</v>
      </c>
      <c r="E360" s="13">
        <v>1</v>
      </c>
      <c r="F360" s="13">
        <f>IF(E360="","",MIN(E360,$X360+SUMIFS('05_Parte_Diario'!$H$5:$H$204,'05_Parte_Diario'!$D$5:$D$204,B360,'05_Parte_Diario'!$E$5:$E$204,C360)))</f>
        <v>0</v>
      </c>
      <c r="G360" s="13">
        <f t="shared" si="35"/>
        <v>1</v>
      </c>
      <c r="H360" s="21">
        <f t="shared" si="36"/>
        <v>0</v>
      </c>
      <c r="I360" s="21">
        <f>IF(OR(B360="",C360="",$V$1=""),"",MIN(E360,SUMIFS('03_Planificacion'!$G$99:$G$178,'03_Planificacion'!$E$99:$E$178,B360,'03_Planificacion'!$F$99:$F$178,C360,'03_Planificacion'!$D$99:$D$178,"&lt;="&amp;$V$1)))</f>
        <v>0</v>
      </c>
      <c r="J360" s="21">
        <f t="shared" si="37"/>
        <v>0</v>
      </c>
      <c r="K360" s="6">
        <f t="shared" si="38"/>
        <v>0</v>
      </c>
      <c r="L360" t="s">
        <v>12</v>
      </c>
      <c r="P360" s="5">
        <f t="shared" si="39"/>
        <v>46287</v>
      </c>
      <c r="Q360" t="s">
        <v>145</v>
      </c>
      <c r="R360">
        <v>75</v>
      </c>
      <c r="S360" t="s">
        <v>70</v>
      </c>
      <c r="T360" t="str">
        <f t="shared" si="40"/>
        <v/>
      </c>
      <c r="U360">
        <f>IF(AND(L360="Para Programar",G360&gt;0),COUNTIFS($L$5:L360,"Para Programar",$G$5:G360,"&gt;0"),"")</f>
        <v>79</v>
      </c>
      <c r="W360" t="str">
        <f t="shared" si="41"/>
        <v>N18 - N26|10 Relleno -0,60 - Inspección laboratorio</v>
      </c>
      <c r="X360">
        <v>0</v>
      </c>
    </row>
    <row r="361" spans="1:24">
      <c r="A361" t="s">
        <v>110</v>
      </c>
      <c r="B361" s="14" t="s">
        <v>144</v>
      </c>
      <c r="C361" t="s">
        <v>111</v>
      </c>
      <c r="D361" s="13" t="s">
        <v>67</v>
      </c>
      <c r="E361" s="13">
        <v>113</v>
      </c>
      <c r="F361" s="13">
        <f>IF(E361="","",MIN(E361,$X361+SUMIFS('05_Parte_Diario'!$H$5:$H$204,'05_Parte_Diario'!$D$5:$D$204,B361,'05_Parte_Diario'!$E$5:$E$204,C361)))</f>
        <v>0</v>
      </c>
      <c r="G361" s="13">
        <f t="shared" si="35"/>
        <v>113</v>
      </c>
      <c r="H361" s="21">
        <f t="shared" si="36"/>
        <v>0</v>
      </c>
      <c r="I361" s="21">
        <f>IF(OR(B361="",C361="",$V$1=""),"",MIN(E361,SUMIFS('03_Planificacion'!$G$99:$G$178,'03_Planificacion'!$E$99:$E$178,B361,'03_Planificacion'!$F$99:$F$178,C361,'03_Planificacion'!$D$99:$D$178,"&lt;="&amp;$V$1)))</f>
        <v>0</v>
      </c>
      <c r="J361" s="21">
        <f t="shared" si="37"/>
        <v>0</v>
      </c>
      <c r="K361" s="6">
        <f t="shared" si="38"/>
        <v>0</v>
      </c>
      <c r="L361" t="s">
        <v>12</v>
      </c>
      <c r="P361" s="5">
        <f t="shared" si="39"/>
        <v>46287</v>
      </c>
      <c r="Q361" t="s">
        <v>145</v>
      </c>
      <c r="R361">
        <v>75</v>
      </c>
      <c r="S361" t="s">
        <v>70</v>
      </c>
      <c r="T361" t="str">
        <f t="shared" si="40"/>
        <v/>
      </c>
      <c r="U361">
        <f>IF(AND(L361="Para Programar",G361&gt;0),COUNTIFS($L$5:L361,"Para Programar",$G$5:G361,"&gt;0"),"")</f>
        <v>80</v>
      </c>
      <c r="W361" t="str">
        <f t="shared" si="41"/>
        <v>N18 - N26|11 Relleno -0,30 - Conformación de capa</v>
      </c>
      <c r="X361">
        <v>0</v>
      </c>
    </row>
    <row r="362" spans="1:24">
      <c r="A362" t="s">
        <v>112</v>
      </c>
      <c r="B362" s="14" t="s">
        <v>144</v>
      </c>
      <c r="C362" t="s">
        <v>113</v>
      </c>
      <c r="D362" s="13" t="s">
        <v>67</v>
      </c>
      <c r="E362" s="13">
        <v>113</v>
      </c>
      <c r="F362" s="13">
        <f>IF(E362="","",MIN(E362,$X362+SUMIFS('05_Parte_Diario'!$H$5:$H$204,'05_Parte_Diario'!$D$5:$D$204,B362,'05_Parte_Diario'!$E$5:$E$204,C362)))</f>
        <v>0</v>
      </c>
      <c r="G362" s="13">
        <f t="shared" si="35"/>
        <v>113</v>
      </c>
      <c r="H362" s="21">
        <f t="shared" si="36"/>
        <v>0</v>
      </c>
      <c r="I362" s="21">
        <f>IF(OR(B362="",C362="",$V$1=""),"",MIN(E362,SUMIFS('03_Planificacion'!$G$99:$G$178,'03_Planificacion'!$E$99:$E$178,B362,'03_Planificacion'!$F$99:$F$178,C362,'03_Planificacion'!$D$99:$D$178,"&lt;="&amp;$V$1)))</f>
        <v>0</v>
      </c>
      <c r="J362" s="21">
        <f t="shared" si="37"/>
        <v>0</v>
      </c>
      <c r="K362" s="6">
        <f t="shared" si="38"/>
        <v>0</v>
      </c>
      <c r="L362" t="s">
        <v>12</v>
      </c>
      <c r="P362" s="5">
        <f t="shared" si="39"/>
        <v>46287</v>
      </c>
      <c r="Q362" t="s">
        <v>145</v>
      </c>
      <c r="R362">
        <v>75</v>
      </c>
      <c r="S362" t="s">
        <v>70</v>
      </c>
      <c r="T362" t="str">
        <f t="shared" si="40"/>
        <v/>
      </c>
      <c r="U362">
        <f>IF(AND(L362="Para Programar",G362&gt;0),COUNTIFS($L$5:L362,"Para Programar",$G$5:G362,"&gt;0"),"")</f>
        <v>81</v>
      </c>
      <c r="W362" t="str">
        <f t="shared" si="41"/>
        <v>N18 - N26|11 Relleno -0,30 - Humectación</v>
      </c>
      <c r="X362">
        <v>0</v>
      </c>
    </row>
    <row r="363" spans="1:24">
      <c r="A363" t="s">
        <v>114</v>
      </c>
      <c r="B363" s="14" t="s">
        <v>144</v>
      </c>
      <c r="C363" t="s">
        <v>115</v>
      </c>
      <c r="D363" s="13" t="s">
        <v>67</v>
      </c>
      <c r="E363" s="13">
        <v>113</v>
      </c>
      <c r="F363" s="13">
        <f>IF(E363="","",MIN(E363,$X363+SUMIFS('05_Parte_Diario'!$H$5:$H$204,'05_Parte_Diario'!$D$5:$D$204,B363,'05_Parte_Diario'!$E$5:$E$204,C363)))</f>
        <v>0</v>
      </c>
      <c r="G363" s="13">
        <f t="shared" si="35"/>
        <v>113</v>
      </c>
      <c r="H363" s="21">
        <f t="shared" si="36"/>
        <v>0</v>
      </c>
      <c r="I363" s="21">
        <f>IF(OR(B363="",C363="",$V$1=""),"",MIN(E363,SUMIFS('03_Planificacion'!$G$99:$G$178,'03_Planificacion'!$E$99:$E$178,B363,'03_Planificacion'!$F$99:$F$178,C363,'03_Planificacion'!$D$99:$D$178,"&lt;="&amp;$V$1)))</f>
        <v>0</v>
      </c>
      <c r="J363" s="21">
        <f t="shared" si="37"/>
        <v>0</v>
      </c>
      <c r="K363" s="6">
        <f t="shared" si="38"/>
        <v>0</v>
      </c>
      <c r="L363" t="s">
        <v>12</v>
      </c>
      <c r="P363" s="5">
        <f t="shared" si="39"/>
        <v>46287</v>
      </c>
      <c r="Q363" t="s">
        <v>145</v>
      </c>
      <c r="R363">
        <v>75</v>
      </c>
      <c r="S363" t="s">
        <v>70</v>
      </c>
      <c r="T363" t="str">
        <f t="shared" si="40"/>
        <v/>
      </c>
      <c r="U363">
        <f>IF(AND(L363="Para Programar",G363&gt;0),COUNTIFS($L$5:L363,"Para Programar",$G$5:G363,"&gt;0"),"")</f>
        <v>82</v>
      </c>
      <c r="W363" t="str">
        <f t="shared" si="41"/>
        <v>N18 - N26|11 Relleno -0,30 - Compactación</v>
      </c>
      <c r="X363">
        <v>0</v>
      </c>
    </row>
    <row r="364" spans="1:24">
      <c r="A364" t="s">
        <v>116</v>
      </c>
      <c r="B364" s="14" t="s">
        <v>144</v>
      </c>
      <c r="C364" t="s">
        <v>117</v>
      </c>
      <c r="D364" s="13" t="s">
        <v>81</v>
      </c>
      <c r="E364" s="13">
        <v>1</v>
      </c>
      <c r="F364" s="13">
        <f>IF(E364="","",MIN(E364,$X364+SUMIFS('05_Parte_Diario'!$H$5:$H$204,'05_Parte_Diario'!$D$5:$D$204,B364,'05_Parte_Diario'!$E$5:$E$204,C364)))</f>
        <v>0</v>
      </c>
      <c r="G364" s="13">
        <f t="shared" si="35"/>
        <v>1</v>
      </c>
      <c r="H364" s="21">
        <f t="shared" si="36"/>
        <v>0</v>
      </c>
      <c r="I364" s="21">
        <f>IF(OR(B364="",C364="",$V$1=""),"",MIN(E364,SUMIFS('03_Planificacion'!$G$99:$G$178,'03_Planificacion'!$E$99:$E$178,B364,'03_Planificacion'!$F$99:$F$178,C364,'03_Planificacion'!$D$99:$D$178,"&lt;="&amp;$V$1)))</f>
        <v>0</v>
      </c>
      <c r="J364" s="21">
        <f t="shared" si="37"/>
        <v>0</v>
      </c>
      <c r="K364" s="6">
        <f t="shared" si="38"/>
        <v>0</v>
      </c>
      <c r="L364" t="s">
        <v>12</v>
      </c>
      <c r="P364" s="5">
        <f t="shared" si="39"/>
        <v>46287</v>
      </c>
      <c r="Q364" t="s">
        <v>145</v>
      </c>
      <c r="R364">
        <v>75</v>
      </c>
      <c r="S364" t="s">
        <v>70</v>
      </c>
      <c r="T364" t="str">
        <f t="shared" si="40"/>
        <v/>
      </c>
      <c r="U364">
        <f>IF(AND(L364="Para Programar",G364&gt;0),COUNTIFS($L$5:L364,"Para Programar",$G$5:G364,"&gt;0"),"")</f>
        <v>83</v>
      </c>
      <c r="W364" t="str">
        <f t="shared" si="41"/>
        <v>N18 - N26|11 Relleno -0,30 - Inspección laboratorio</v>
      </c>
      <c r="X364">
        <v>0</v>
      </c>
    </row>
    <row r="365" spans="1:24">
      <c r="A365" t="s">
        <v>64</v>
      </c>
      <c r="B365" s="14" t="s">
        <v>146</v>
      </c>
      <c r="C365" t="s">
        <v>66</v>
      </c>
      <c r="D365" s="13" t="s">
        <v>67</v>
      </c>
      <c r="E365" s="13">
        <v>77</v>
      </c>
      <c r="F365" s="13">
        <f>IF(E365="","",MIN(E365,$X365+SUMIFS('05_Parte_Diario'!$H$5:$H$204,'05_Parte_Diario'!$D$5:$D$204,B365,'05_Parte_Diario'!$E$5:$E$204,C365)))</f>
        <v>77</v>
      </c>
      <c r="G365" s="13">
        <f t="shared" si="35"/>
        <v>0</v>
      </c>
      <c r="H365" s="21">
        <f t="shared" si="36"/>
        <v>1</v>
      </c>
      <c r="I365" s="21">
        <f>IF(OR(B365="",C365="",$V$1=""),"",MIN(E365,SUMIFS('03_Planificacion'!$G$99:$G$178,'03_Planificacion'!$E$99:$E$178,B365,'03_Planificacion'!$F$99:$F$178,C365,'03_Planificacion'!$D$99:$D$178,"&lt;="&amp;$V$1)))</f>
        <v>0</v>
      </c>
      <c r="J365" s="21">
        <f t="shared" si="37"/>
        <v>0</v>
      </c>
      <c r="K365" s="6">
        <f t="shared" si="38"/>
        <v>1</v>
      </c>
      <c r="L365" t="s">
        <v>123</v>
      </c>
      <c r="P365" s="5">
        <f t="shared" si="39"/>
        <v>46287</v>
      </c>
      <c r="Q365" t="s">
        <v>125</v>
      </c>
      <c r="R365">
        <v>110</v>
      </c>
      <c r="S365" t="s">
        <v>70</v>
      </c>
      <c r="T365" t="str">
        <f t="shared" si="40"/>
        <v/>
      </c>
      <c r="U365" t="str">
        <f>IF(AND(L365="Para Programar",G365&gt;0),COUNTIFS($L$5:L365,"Para Programar",$G$5:G365,"&gt;0"),"")</f>
        <v/>
      </c>
      <c r="W365" t="str">
        <f t="shared" si="41"/>
        <v>N19 - N20|01 Replanteo - Marcación de tramo de cañería principal</v>
      </c>
      <c r="X365">
        <v>77</v>
      </c>
    </row>
    <row r="366" spans="1:24">
      <c r="A366" t="s">
        <v>71</v>
      </c>
      <c r="B366" s="14" t="s">
        <v>146</v>
      </c>
      <c r="C366" t="s">
        <v>72</v>
      </c>
      <c r="D366" s="13" t="s">
        <v>67</v>
      </c>
      <c r="E366" s="13">
        <v>77</v>
      </c>
      <c r="F366" s="13">
        <f>IF(E366="","",MIN(E366,$X366+SUMIFS('05_Parte_Diario'!$H$5:$H$204,'05_Parte_Diario'!$D$5:$D$204,B366,'05_Parte_Diario'!$E$5:$E$204,C366)))</f>
        <v>77</v>
      </c>
      <c r="G366" s="13">
        <f t="shared" si="35"/>
        <v>0</v>
      </c>
      <c r="H366" s="21">
        <f t="shared" si="36"/>
        <v>1</v>
      </c>
      <c r="I366" s="21">
        <f>IF(OR(B366="",C366="",$V$1=""),"",MIN(E366,SUMIFS('03_Planificacion'!$G$99:$G$178,'03_Planificacion'!$E$99:$E$178,B366,'03_Planificacion'!$F$99:$F$178,C366,'03_Planificacion'!$D$99:$D$178,"&lt;="&amp;$V$1)))</f>
        <v>0</v>
      </c>
      <c r="J366" s="21">
        <f t="shared" si="37"/>
        <v>0</v>
      </c>
      <c r="K366" s="6">
        <f t="shared" si="38"/>
        <v>1</v>
      </c>
      <c r="L366" t="s">
        <v>123</v>
      </c>
      <c r="P366" s="5">
        <f t="shared" si="39"/>
        <v>46287</v>
      </c>
      <c r="Q366" t="s">
        <v>125</v>
      </c>
      <c r="R366">
        <v>110</v>
      </c>
      <c r="S366" t="s">
        <v>70</v>
      </c>
      <c r="T366" t="str">
        <f t="shared" si="40"/>
        <v/>
      </c>
      <c r="U366" t="str">
        <f>IF(AND(L366="Para Programar",G366&gt;0),COUNTIFS($L$5:L366,"Para Programar",$G$5:G366,"&gt;0"),"")</f>
        <v/>
      </c>
      <c r="W366" t="str">
        <f t="shared" si="41"/>
        <v>N19 - N20|02 Excavación - Zanja principal</v>
      </c>
      <c r="X366">
        <v>77</v>
      </c>
    </row>
    <row r="367" spans="1:24">
      <c r="A367" t="s">
        <v>73</v>
      </c>
      <c r="B367" s="14" t="s">
        <v>146</v>
      </c>
      <c r="C367" t="s">
        <v>74</v>
      </c>
      <c r="D367" s="13" t="s">
        <v>67</v>
      </c>
      <c r="E367" s="13">
        <v>77</v>
      </c>
      <c r="F367" s="13">
        <f>IF(E367="","",MIN(E367,$X367+SUMIFS('05_Parte_Diario'!$H$5:$H$204,'05_Parte_Diario'!$D$5:$D$204,B367,'05_Parte_Diario'!$E$5:$E$204,C367)))</f>
        <v>0</v>
      </c>
      <c r="G367" s="13">
        <f t="shared" si="35"/>
        <v>77</v>
      </c>
      <c r="H367" s="21">
        <f t="shared" si="36"/>
        <v>0</v>
      </c>
      <c r="I367" s="21">
        <f>IF(OR(B367="",C367="",$V$1=""),"",MIN(E367,SUMIFS('03_Planificacion'!$G$99:$G$178,'03_Planificacion'!$E$99:$E$178,B367,'03_Planificacion'!$F$99:$F$178,C367,'03_Planificacion'!$D$99:$D$178,"&lt;="&amp;$V$1)))</f>
        <v>0</v>
      </c>
      <c r="J367" s="21">
        <f t="shared" si="37"/>
        <v>0</v>
      </c>
      <c r="K367" s="6">
        <f t="shared" si="38"/>
        <v>0</v>
      </c>
      <c r="L367" t="s">
        <v>123</v>
      </c>
      <c r="P367" s="5">
        <f t="shared" si="39"/>
        <v>46287</v>
      </c>
      <c r="Q367" t="s">
        <v>125</v>
      </c>
      <c r="R367">
        <v>110</v>
      </c>
      <c r="S367" t="s">
        <v>70</v>
      </c>
      <c r="T367" t="str">
        <f t="shared" si="40"/>
        <v>INCONSISTENCIA - REVISAR MANUALMENTE: Terminada con saldo</v>
      </c>
      <c r="U367" t="str">
        <f>IF(AND(L367="Para Programar",G367&gt;0),COUNTIFS($L$5:L367,"Para Programar",$G$5:G367,"&gt;0"),"")</f>
        <v/>
      </c>
      <c r="W367" t="str">
        <f t="shared" si="41"/>
        <v>N19 - N20|03 Base de asiento - Nivelación de fondo de zanja</v>
      </c>
      <c r="X367">
        <v>0</v>
      </c>
    </row>
    <row r="368" spans="1:24">
      <c r="A368" t="s">
        <v>75</v>
      </c>
      <c r="B368" s="14" t="s">
        <v>146</v>
      </c>
      <c r="C368" t="s">
        <v>76</v>
      </c>
      <c r="D368" s="13" t="s">
        <v>67</v>
      </c>
      <c r="E368" s="13">
        <v>77</v>
      </c>
      <c r="F368" s="13">
        <f>IF(E368="","",MIN(E368,$X368+SUMIFS('05_Parte_Diario'!$H$5:$H$204,'05_Parte_Diario'!$D$5:$D$204,B368,'05_Parte_Diario'!$E$5:$E$204,C368)))</f>
        <v>77</v>
      </c>
      <c r="G368" s="13">
        <f t="shared" si="35"/>
        <v>0</v>
      </c>
      <c r="H368" s="21">
        <f t="shared" si="36"/>
        <v>1</v>
      </c>
      <c r="I368" s="21">
        <f>IF(OR(B368="",C368="",$V$1=""),"",MIN(E368,SUMIFS('03_Planificacion'!$G$99:$G$178,'03_Planificacion'!$E$99:$E$178,B368,'03_Planificacion'!$F$99:$F$178,C368,'03_Planificacion'!$D$99:$D$178,"&lt;="&amp;$V$1)))</f>
        <v>0</v>
      </c>
      <c r="J368" s="21">
        <f t="shared" si="37"/>
        <v>0</v>
      </c>
      <c r="K368" s="6">
        <f t="shared" si="38"/>
        <v>1</v>
      </c>
      <c r="L368" t="s">
        <v>123</v>
      </c>
      <c r="P368" s="5">
        <f t="shared" si="39"/>
        <v>46287</v>
      </c>
      <c r="Q368" t="s">
        <v>125</v>
      </c>
      <c r="R368">
        <v>110</v>
      </c>
      <c r="S368" t="s">
        <v>70</v>
      </c>
      <c r="T368" t="str">
        <f t="shared" si="40"/>
        <v/>
      </c>
      <c r="U368" t="str">
        <f>IF(AND(L368="Para Programar",G368&gt;0),COUNTIFS($L$5:L368,"Para Programar",$G$5:G368,"&gt;0"),"")</f>
        <v/>
      </c>
      <c r="W368" t="str">
        <f t="shared" si="41"/>
        <v>N19 - N20|03 Base de asiento - Aporte de material base e=0,10 m</v>
      </c>
      <c r="X368">
        <v>77</v>
      </c>
    </row>
    <row r="369" spans="1:24">
      <c r="A369" t="s">
        <v>77</v>
      </c>
      <c r="B369" s="14" t="s">
        <v>146</v>
      </c>
      <c r="C369" t="s">
        <v>78</v>
      </c>
      <c r="D369" s="13" t="s">
        <v>67</v>
      </c>
      <c r="E369" s="13">
        <v>77</v>
      </c>
      <c r="F369" s="13">
        <f>IF(E369="","",MIN(E369,$X369+SUMIFS('05_Parte_Diario'!$H$5:$H$204,'05_Parte_Diario'!$D$5:$D$204,B369,'05_Parte_Diario'!$E$5:$E$204,C369)))</f>
        <v>77</v>
      </c>
      <c r="G369" s="13">
        <f t="shared" si="35"/>
        <v>0</v>
      </c>
      <c r="H369" s="21">
        <f t="shared" si="36"/>
        <v>1</v>
      </c>
      <c r="I369" s="21">
        <f>IF(OR(B369="",C369="",$V$1=""),"",MIN(E369,SUMIFS('03_Planificacion'!$G$99:$G$178,'03_Planificacion'!$E$99:$E$178,B369,'03_Planificacion'!$F$99:$F$178,C369,'03_Planificacion'!$D$99:$D$178,"&lt;="&amp;$V$1)))</f>
        <v>0</v>
      </c>
      <c r="J369" s="21">
        <f t="shared" si="37"/>
        <v>0</v>
      </c>
      <c r="K369" s="6">
        <f t="shared" si="38"/>
        <v>1</v>
      </c>
      <c r="L369" t="s">
        <v>123</v>
      </c>
      <c r="P369" s="5">
        <f t="shared" si="39"/>
        <v>46287</v>
      </c>
      <c r="Q369" t="s">
        <v>125</v>
      </c>
      <c r="R369">
        <v>110</v>
      </c>
      <c r="S369" t="s">
        <v>70</v>
      </c>
      <c r="T369" t="str">
        <f t="shared" si="40"/>
        <v/>
      </c>
      <c r="U369" t="str">
        <f>IF(AND(L369="Para Programar",G369&gt;0),COUNTIFS($L$5:L369,"Para Programar",$G$5:G369,"&gt;0"),"")</f>
        <v/>
      </c>
      <c r="W369" t="str">
        <f t="shared" si="41"/>
        <v>N19 - N20|03 Base de asiento - Compactación</v>
      </c>
      <c r="X369">
        <v>77</v>
      </c>
    </row>
    <row r="370" spans="1:24">
      <c r="A370" t="s">
        <v>79</v>
      </c>
      <c r="B370" s="14" t="s">
        <v>146</v>
      </c>
      <c r="C370" t="s">
        <v>80</v>
      </c>
      <c r="D370" s="13" t="s">
        <v>81</v>
      </c>
      <c r="E370" s="13">
        <v>1</v>
      </c>
      <c r="F370" s="13">
        <f>IF(E370="","",MIN(E370,$X370+SUMIFS('05_Parte_Diario'!$H$5:$H$204,'05_Parte_Diario'!$D$5:$D$204,B370,'05_Parte_Diario'!$E$5:$E$204,C370)))</f>
        <v>1</v>
      </c>
      <c r="G370" s="13">
        <f t="shared" si="35"/>
        <v>0</v>
      </c>
      <c r="H370" s="21">
        <f t="shared" si="36"/>
        <v>1</v>
      </c>
      <c r="I370" s="21">
        <f>IF(OR(B370="",C370="",$V$1=""),"",MIN(E370,SUMIFS('03_Planificacion'!$G$99:$G$178,'03_Planificacion'!$E$99:$E$178,B370,'03_Planificacion'!$F$99:$F$178,C370,'03_Planificacion'!$D$99:$D$178,"&lt;="&amp;$V$1)))</f>
        <v>0</v>
      </c>
      <c r="J370" s="21">
        <f t="shared" si="37"/>
        <v>0</v>
      </c>
      <c r="K370" s="6">
        <f t="shared" si="38"/>
        <v>1</v>
      </c>
      <c r="L370" t="s">
        <v>123</v>
      </c>
      <c r="P370" s="5">
        <f t="shared" si="39"/>
        <v>46287</v>
      </c>
      <c r="Q370" t="s">
        <v>125</v>
      </c>
      <c r="R370">
        <v>110</v>
      </c>
      <c r="S370" t="s">
        <v>70</v>
      </c>
      <c r="T370" t="str">
        <f t="shared" si="40"/>
        <v/>
      </c>
      <c r="U370" t="str">
        <f>IF(AND(L370="Para Programar",G370&gt;0),COUNTIFS($L$5:L370,"Para Programar",$G$5:G370,"&gt;0"),"")</f>
        <v/>
      </c>
      <c r="W370" t="str">
        <f t="shared" si="41"/>
        <v>N19 - N20|04 Inspecciones previas - Laboratorio base de asiento</v>
      </c>
      <c r="X370">
        <v>1</v>
      </c>
    </row>
    <row r="371" spans="1:24">
      <c r="A371" t="s">
        <v>82</v>
      </c>
      <c r="B371" s="14" t="s">
        <v>146</v>
      </c>
      <c r="C371" t="s">
        <v>83</v>
      </c>
      <c r="D371" s="13" t="s">
        <v>81</v>
      </c>
      <c r="E371" s="13">
        <v>1</v>
      </c>
      <c r="F371" s="13">
        <f>IF(E371="","",MIN(E371,$X371+SUMIFS('05_Parte_Diario'!$H$5:$H$204,'05_Parte_Diario'!$D$5:$D$204,B371,'05_Parte_Diario'!$E$5:$E$204,C371)))</f>
        <v>1</v>
      </c>
      <c r="G371" s="13">
        <f t="shared" si="35"/>
        <v>0</v>
      </c>
      <c r="H371" s="21">
        <f t="shared" si="36"/>
        <v>1</v>
      </c>
      <c r="I371" s="21">
        <f>IF(OR(B371="",C371="",$V$1=""),"",MIN(E371,SUMIFS('03_Planificacion'!$G$99:$G$178,'03_Planificacion'!$E$99:$E$178,B371,'03_Planificacion'!$F$99:$F$178,C371,'03_Planificacion'!$D$99:$D$178,"&lt;="&amp;$V$1)))</f>
        <v>0</v>
      </c>
      <c r="J371" s="21">
        <f t="shared" si="37"/>
        <v>0</v>
      </c>
      <c r="K371" s="6">
        <f t="shared" si="38"/>
        <v>1</v>
      </c>
      <c r="L371" t="s">
        <v>123</v>
      </c>
      <c r="P371" s="5">
        <f t="shared" si="39"/>
        <v>46287</v>
      </c>
      <c r="Q371" t="s">
        <v>125</v>
      </c>
      <c r="R371">
        <v>110</v>
      </c>
      <c r="S371" t="s">
        <v>70</v>
      </c>
      <c r="T371" t="str">
        <f t="shared" si="40"/>
        <v/>
      </c>
      <c r="U371" t="str">
        <f>IF(AND(L371="Para Programar",G371&gt;0),COUNTIFS($L$5:L371,"Para Programar",$G$5:G371,"&gt;0"),"")</f>
        <v/>
      </c>
      <c r="W371" t="str">
        <f t="shared" si="41"/>
        <v>N19 - N20|04 Inspecciones previas - Zanja y materiales</v>
      </c>
      <c r="X371">
        <v>1</v>
      </c>
    </row>
    <row r="372" spans="1:24">
      <c r="A372" t="s">
        <v>84</v>
      </c>
      <c r="B372" s="14" t="s">
        <v>146</v>
      </c>
      <c r="C372" t="s">
        <v>85</v>
      </c>
      <c r="D372" s="13" t="s">
        <v>67</v>
      </c>
      <c r="E372" s="13">
        <v>77</v>
      </c>
      <c r="F372" s="13">
        <f>IF(E372="","",MIN(E372,$X372+SUMIFS('05_Parte_Diario'!$H$5:$H$204,'05_Parte_Diario'!$D$5:$D$204,B372,'05_Parte_Diario'!$E$5:$E$204,C372)))</f>
        <v>77</v>
      </c>
      <c r="G372" s="13">
        <f t="shared" si="35"/>
        <v>0</v>
      </c>
      <c r="H372" s="21">
        <f t="shared" si="36"/>
        <v>1</v>
      </c>
      <c r="I372" s="21">
        <f>IF(OR(B372="",C372="",$V$1=""),"",MIN(E372,SUMIFS('03_Planificacion'!$G$99:$G$178,'03_Planificacion'!$E$99:$E$178,B372,'03_Planificacion'!$F$99:$F$178,C372,'03_Planificacion'!$D$99:$D$178,"&lt;="&amp;$V$1)))</f>
        <v>0</v>
      </c>
      <c r="J372" s="21">
        <f t="shared" si="37"/>
        <v>0</v>
      </c>
      <c r="K372" s="6">
        <f t="shared" si="38"/>
        <v>1</v>
      </c>
      <c r="L372" t="s">
        <v>123</v>
      </c>
      <c r="P372" s="5">
        <f t="shared" si="39"/>
        <v>46287</v>
      </c>
      <c r="Q372" t="s">
        <v>125</v>
      </c>
      <c r="R372">
        <v>110</v>
      </c>
      <c r="S372" t="s">
        <v>70</v>
      </c>
      <c r="T372" t="str">
        <f t="shared" si="40"/>
        <v/>
      </c>
      <c r="U372" t="str">
        <f>IF(AND(L372="Para Programar",G372&gt;0),COUNTIFS($L$5:L372,"Para Programar",$G$5:G372,"&gt;0"),"")</f>
        <v/>
      </c>
      <c r="W372" t="str">
        <f t="shared" si="41"/>
        <v>N19 - N20|05 Tendido de cañería - Cañería principal</v>
      </c>
      <c r="X372">
        <v>77</v>
      </c>
    </row>
    <row r="373" spans="1:24">
      <c r="A373" t="s">
        <v>86</v>
      </c>
      <c r="B373" s="14" t="s">
        <v>146</v>
      </c>
      <c r="C373" t="s">
        <v>87</v>
      </c>
      <c r="D373" s="13" t="s">
        <v>67</v>
      </c>
      <c r="E373" s="13">
        <v>77</v>
      </c>
      <c r="F373" s="13">
        <f>IF(E373="","",MIN(E373,$X373+SUMIFS('05_Parte_Diario'!$H$5:$H$204,'05_Parte_Diario'!$D$5:$D$204,B373,'05_Parte_Diario'!$E$5:$E$204,C373)))</f>
        <v>77</v>
      </c>
      <c r="G373" s="13">
        <f t="shared" si="35"/>
        <v>0</v>
      </c>
      <c r="H373" s="21">
        <f t="shared" si="36"/>
        <v>1</v>
      </c>
      <c r="I373" s="21">
        <f>IF(OR(B373="",C373="",$V$1=""),"",MIN(E373,SUMIFS('03_Planificacion'!$G$99:$G$178,'03_Planificacion'!$E$99:$E$178,B373,'03_Planificacion'!$F$99:$F$178,C373,'03_Planificacion'!$D$99:$D$178,"&lt;="&amp;$V$1)))</f>
        <v>0</v>
      </c>
      <c r="J373" s="21">
        <f t="shared" si="37"/>
        <v>0</v>
      </c>
      <c r="K373" s="6">
        <f t="shared" si="38"/>
        <v>1</v>
      </c>
      <c r="L373" t="s">
        <v>123</v>
      </c>
      <c r="P373" s="5">
        <f t="shared" si="39"/>
        <v>46287</v>
      </c>
      <c r="Q373" t="s">
        <v>125</v>
      </c>
      <c r="R373">
        <v>110</v>
      </c>
      <c r="S373" t="s">
        <v>70</v>
      </c>
      <c r="T373" t="str">
        <f t="shared" si="40"/>
        <v/>
      </c>
      <c r="U373" t="str">
        <f>IF(AND(L373="Para Programar",G373&gt;0),COUNTIFS($L$5:L373,"Para Programar",$G$5:G373,"&gt;0"),"")</f>
        <v/>
      </c>
      <c r="W373" t="str">
        <f t="shared" si="41"/>
        <v>N19 - N20|05 Tendido de cañería - Relevamiento planialtimétrico</v>
      </c>
      <c r="X373">
        <v>77</v>
      </c>
    </row>
    <row r="374" spans="1:24">
      <c r="A374" t="s">
        <v>88</v>
      </c>
      <c r="B374" s="14" t="s">
        <v>146</v>
      </c>
      <c r="C374" t="s">
        <v>89</v>
      </c>
      <c r="D374" s="13" t="s">
        <v>81</v>
      </c>
      <c r="E374" s="13">
        <v>1</v>
      </c>
      <c r="F374" s="13">
        <f>IF(E374="","",MIN(E374,$X374+SUMIFS('05_Parte_Diario'!$H$5:$H$204,'05_Parte_Diario'!$D$5:$D$204,B374,'05_Parte_Diario'!$E$5:$E$204,C374)))</f>
        <v>1</v>
      </c>
      <c r="G374" s="13">
        <f t="shared" si="35"/>
        <v>0</v>
      </c>
      <c r="H374" s="21">
        <f t="shared" si="36"/>
        <v>1</v>
      </c>
      <c r="I374" s="21">
        <f>IF(OR(B374="",C374="",$V$1=""),"",MIN(E374,SUMIFS('03_Planificacion'!$G$99:$G$178,'03_Planificacion'!$E$99:$E$178,B374,'03_Planificacion'!$F$99:$F$178,C374,'03_Planificacion'!$D$99:$D$178,"&lt;="&amp;$V$1)))</f>
        <v>0</v>
      </c>
      <c r="J374" s="21">
        <f t="shared" si="37"/>
        <v>0</v>
      </c>
      <c r="K374" s="6">
        <f t="shared" si="38"/>
        <v>1</v>
      </c>
      <c r="L374" t="s">
        <v>123</v>
      </c>
      <c r="P374" s="5">
        <f t="shared" si="39"/>
        <v>46287</v>
      </c>
      <c r="Q374" t="s">
        <v>125</v>
      </c>
      <c r="R374">
        <v>110</v>
      </c>
      <c r="S374" t="s">
        <v>70</v>
      </c>
      <c r="T374" t="str">
        <f t="shared" si="40"/>
        <v/>
      </c>
      <c r="U374" t="str">
        <f>IF(AND(L374="Para Programar",G374&gt;0),COUNTIFS($L$5:L374,"Para Programar",$G$5:G374,"&gt;0"),"")</f>
        <v/>
      </c>
      <c r="W374" t="str">
        <f t="shared" si="41"/>
        <v>N19 - N20|08 Prueba hidráulica - Preparación del sistema</v>
      </c>
      <c r="X374">
        <v>1</v>
      </c>
    </row>
    <row r="375" spans="1:24">
      <c r="A375" t="s">
        <v>90</v>
      </c>
      <c r="B375" s="14" t="s">
        <v>146</v>
      </c>
      <c r="C375" t="s">
        <v>91</v>
      </c>
      <c r="D375" s="13" t="s">
        <v>81</v>
      </c>
      <c r="E375" s="13">
        <v>1</v>
      </c>
      <c r="F375" s="13">
        <f>IF(E375="","",MIN(E375,$X375+SUMIFS('05_Parte_Diario'!$H$5:$H$204,'05_Parte_Diario'!$D$5:$D$204,B375,'05_Parte_Diario'!$E$5:$E$204,C375)))</f>
        <v>1</v>
      </c>
      <c r="G375" s="13">
        <f t="shared" si="35"/>
        <v>0</v>
      </c>
      <c r="H375" s="21">
        <f t="shared" si="36"/>
        <v>1</v>
      </c>
      <c r="I375" s="21">
        <f>IF(OR(B375="",C375="",$V$1=""),"",MIN(E375,SUMIFS('03_Planificacion'!$G$99:$G$178,'03_Planificacion'!$E$99:$E$178,B375,'03_Planificacion'!$F$99:$F$178,C375,'03_Planificacion'!$D$99:$D$178,"&lt;="&amp;$V$1)))</f>
        <v>0</v>
      </c>
      <c r="J375" s="21">
        <f t="shared" si="37"/>
        <v>0</v>
      </c>
      <c r="K375" s="6">
        <f t="shared" si="38"/>
        <v>1</v>
      </c>
      <c r="L375" t="s">
        <v>123</v>
      </c>
      <c r="P375" s="5">
        <f t="shared" si="39"/>
        <v>46287</v>
      </c>
      <c r="Q375" t="s">
        <v>125</v>
      </c>
      <c r="R375">
        <v>110</v>
      </c>
      <c r="S375" t="s">
        <v>70</v>
      </c>
      <c r="T375" t="str">
        <f t="shared" si="40"/>
        <v/>
      </c>
      <c r="U375" t="str">
        <f>IF(AND(L375="Para Programar",G375&gt;0),COUNTIFS($L$5:L375,"Para Programar",$G$5:G375,"&gt;0"),"")</f>
        <v/>
      </c>
      <c r="W375" t="str">
        <f t="shared" si="41"/>
        <v>N19 - N20|08 Prueba hidráulica - Interna N° 1</v>
      </c>
      <c r="X375">
        <v>1</v>
      </c>
    </row>
    <row r="376" spans="1:24">
      <c r="A376" t="s">
        <v>92</v>
      </c>
      <c r="B376" s="14" t="s">
        <v>146</v>
      </c>
      <c r="C376" t="s">
        <v>93</v>
      </c>
      <c r="D376" s="13" t="s">
        <v>81</v>
      </c>
      <c r="E376" s="13">
        <v>1</v>
      </c>
      <c r="F376" s="13">
        <f>IF(E376="","",MIN(E376,$X376+SUMIFS('05_Parte_Diario'!$H$5:$H$204,'05_Parte_Diario'!$D$5:$D$204,B376,'05_Parte_Diario'!$E$5:$E$204,C376)))</f>
        <v>1</v>
      </c>
      <c r="G376" s="13">
        <f t="shared" si="35"/>
        <v>0</v>
      </c>
      <c r="H376" s="21">
        <f t="shared" si="36"/>
        <v>1</v>
      </c>
      <c r="I376" s="21">
        <f>IF(OR(B376="",C376="",$V$1=""),"",MIN(E376,SUMIFS('03_Planificacion'!$G$99:$G$178,'03_Planificacion'!$E$99:$E$178,B376,'03_Planificacion'!$F$99:$F$178,C376,'03_Planificacion'!$D$99:$D$178,"&lt;="&amp;$V$1)))</f>
        <v>0</v>
      </c>
      <c r="J376" s="21">
        <f t="shared" si="37"/>
        <v>0</v>
      </c>
      <c r="K376" s="6">
        <f t="shared" si="38"/>
        <v>1</v>
      </c>
      <c r="L376" t="s">
        <v>123</v>
      </c>
      <c r="P376" s="5">
        <f t="shared" si="39"/>
        <v>46287</v>
      </c>
      <c r="Q376" t="s">
        <v>125</v>
      </c>
      <c r="R376">
        <v>110</v>
      </c>
      <c r="S376" t="s">
        <v>70</v>
      </c>
      <c r="T376" t="str">
        <f t="shared" si="40"/>
        <v/>
      </c>
      <c r="U376" t="str">
        <f>IF(AND(L376="Para Programar",G376&gt;0),COUNTIFS($L$5:L376,"Para Programar",$G$5:G376,"&gt;0"),"")</f>
        <v/>
      </c>
      <c r="W376" t="str">
        <f t="shared" si="41"/>
        <v>N19 - N20|08 Prueba hidráulica - Interna N° 2</v>
      </c>
      <c r="X376">
        <v>1</v>
      </c>
    </row>
    <row r="377" spans="1:24">
      <c r="A377" t="s">
        <v>94</v>
      </c>
      <c r="B377" s="14" t="s">
        <v>146</v>
      </c>
      <c r="C377" t="s">
        <v>95</v>
      </c>
      <c r="D377" s="13" t="s">
        <v>81</v>
      </c>
      <c r="E377" s="13">
        <v>1</v>
      </c>
      <c r="F377" s="13">
        <f>IF(E377="","",MIN(E377,$X377+SUMIFS('05_Parte_Diario'!$H$5:$H$204,'05_Parte_Diario'!$D$5:$D$204,B377,'05_Parte_Diario'!$E$5:$E$204,C377)))</f>
        <v>0</v>
      </c>
      <c r="G377" s="13">
        <f t="shared" si="35"/>
        <v>1</v>
      </c>
      <c r="H377" s="21">
        <f t="shared" si="36"/>
        <v>0</v>
      </c>
      <c r="I377" s="21">
        <f>IF(OR(B377="",C377="",$V$1=""),"",MIN(E377,SUMIFS('03_Planificacion'!$G$99:$G$178,'03_Planificacion'!$E$99:$E$178,B377,'03_Planificacion'!$F$99:$F$178,C377,'03_Planificacion'!$D$99:$D$178,"&lt;="&amp;$V$1)))</f>
        <v>0</v>
      </c>
      <c r="J377" s="21">
        <f t="shared" si="37"/>
        <v>0</v>
      </c>
      <c r="K377" s="6">
        <f t="shared" si="38"/>
        <v>0</v>
      </c>
      <c r="L377" t="s">
        <v>12</v>
      </c>
      <c r="P377" s="5">
        <f t="shared" si="39"/>
        <v>46287</v>
      </c>
      <c r="Q377" t="s">
        <v>125</v>
      </c>
      <c r="R377">
        <v>110</v>
      </c>
      <c r="S377" t="s">
        <v>70</v>
      </c>
      <c r="T377" t="str">
        <f t="shared" si="40"/>
        <v/>
      </c>
      <c r="U377">
        <f>IF(AND(L377="Para Programar",G377&gt;0),COUNTIFS($L$5:L377,"Para Programar",$G$5:G377,"&gt;0"),"")</f>
        <v>84</v>
      </c>
      <c r="W377" t="str">
        <f t="shared" si="41"/>
        <v>N19 - N20|08 Prueba hidráulica - Primera prueba oficial</v>
      </c>
      <c r="X377">
        <v>0</v>
      </c>
    </row>
    <row r="378" spans="1:24">
      <c r="A378" t="s">
        <v>96</v>
      </c>
      <c r="B378" s="14" t="s">
        <v>146</v>
      </c>
      <c r="C378" t="s">
        <v>97</v>
      </c>
      <c r="D378" s="13" t="s">
        <v>67</v>
      </c>
      <c r="E378" s="13">
        <v>77</v>
      </c>
      <c r="F378" s="13">
        <f>IF(E378="","",MIN(E378,$X378+SUMIFS('05_Parte_Diario'!$H$5:$H$204,'05_Parte_Diario'!$D$5:$D$204,B378,'05_Parte_Diario'!$E$5:$E$204,C378)))</f>
        <v>0</v>
      </c>
      <c r="G378" s="13">
        <f t="shared" si="35"/>
        <v>77</v>
      </c>
      <c r="H378" s="21">
        <f t="shared" si="36"/>
        <v>0</v>
      </c>
      <c r="I378" s="21">
        <f>IF(OR(B378="",C378="",$V$1=""),"",MIN(E378,SUMIFS('03_Planificacion'!$G$99:$G$178,'03_Planificacion'!$E$99:$E$178,B378,'03_Planificacion'!$F$99:$F$178,C378,'03_Planificacion'!$D$99:$D$178,"&lt;="&amp;$V$1)))</f>
        <v>0</v>
      </c>
      <c r="J378" s="21">
        <f t="shared" si="37"/>
        <v>0</v>
      </c>
      <c r="K378" s="6">
        <f t="shared" si="38"/>
        <v>0</v>
      </c>
      <c r="L378" t="s">
        <v>12</v>
      </c>
      <c r="P378" s="5">
        <f t="shared" si="39"/>
        <v>46287</v>
      </c>
      <c r="Q378" t="s">
        <v>125</v>
      </c>
      <c r="R378">
        <v>110</v>
      </c>
      <c r="S378" t="s">
        <v>70</v>
      </c>
      <c r="T378" t="str">
        <f t="shared" si="40"/>
        <v/>
      </c>
      <c r="U378">
        <f>IF(AND(L378="Para Programar",G378&gt;0),COUNTIFS($L$5:L378,"Para Programar",$G$5:G378,"&gt;0"),"")</f>
        <v>85</v>
      </c>
      <c r="W378" t="str">
        <f t="shared" si="41"/>
        <v>N19 - N20|09 Paquete estructural - Aporte e=0,30 m</v>
      </c>
      <c r="X378">
        <v>0</v>
      </c>
    </row>
    <row r="379" spans="1:24">
      <c r="A379" t="s">
        <v>98</v>
      </c>
      <c r="B379" s="14" t="s">
        <v>146</v>
      </c>
      <c r="C379" t="s">
        <v>99</v>
      </c>
      <c r="D379" s="13" t="s">
        <v>67</v>
      </c>
      <c r="E379" s="13">
        <v>77</v>
      </c>
      <c r="F379" s="13">
        <f>IF(E379="","",MIN(E379,$X379+SUMIFS('05_Parte_Diario'!$H$5:$H$204,'05_Parte_Diario'!$D$5:$D$204,B379,'05_Parte_Diario'!$E$5:$E$204,C379)))</f>
        <v>0</v>
      </c>
      <c r="G379" s="13">
        <f t="shared" si="35"/>
        <v>77</v>
      </c>
      <c r="H379" s="21">
        <f t="shared" si="36"/>
        <v>0</v>
      </c>
      <c r="I379" s="21">
        <f>IF(OR(B379="",C379="",$V$1=""),"",MIN(E379,SUMIFS('03_Planificacion'!$G$99:$G$178,'03_Planificacion'!$E$99:$E$178,B379,'03_Planificacion'!$F$99:$F$178,C379,'03_Planificacion'!$D$99:$D$178,"&lt;="&amp;$V$1)))</f>
        <v>0</v>
      </c>
      <c r="J379" s="21">
        <f t="shared" si="37"/>
        <v>0</v>
      </c>
      <c r="K379" s="6">
        <f t="shared" si="38"/>
        <v>0</v>
      </c>
      <c r="L379" t="s">
        <v>12</v>
      </c>
      <c r="P379" s="5">
        <f t="shared" si="39"/>
        <v>46287</v>
      </c>
      <c r="Q379" t="s">
        <v>125</v>
      </c>
      <c r="R379">
        <v>110</v>
      </c>
      <c r="S379" t="s">
        <v>70</v>
      </c>
      <c r="T379" t="str">
        <f t="shared" si="40"/>
        <v/>
      </c>
      <c r="U379">
        <f>IF(AND(L379="Para Programar",G379&gt;0),COUNTIFS($L$5:L379,"Para Programar",$G$5:G379,"&gt;0"),"")</f>
        <v>86</v>
      </c>
      <c r="W379" t="str">
        <f t="shared" si="41"/>
        <v>N19 - N20|09 Paquete estructural - Compactación</v>
      </c>
      <c r="X379">
        <v>0</v>
      </c>
    </row>
    <row r="380" spans="1:24">
      <c r="A380" t="s">
        <v>100</v>
      </c>
      <c r="B380" s="14" t="s">
        <v>146</v>
      </c>
      <c r="C380" t="s">
        <v>101</v>
      </c>
      <c r="D380" s="13" t="s">
        <v>81</v>
      </c>
      <c r="E380" s="13">
        <v>1</v>
      </c>
      <c r="F380" s="13">
        <f>IF(E380="","",MIN(E380,$X380+SUMIFS('05_Parte_Diario'!$H$5:$H$204,'05_Parte_Diario'!$D$5:$D$204,B380,'05_Parte_Diario'!$E$5:$E$204,C380)))</f>
        <v>0</v>
      </c>
      <c r="G380" s="13">
        <f t="shared" si="35"/>
        <v>1</v>
      </c>
      <c r="H380" s="21">
        <f t="shared" si="36"/>
        <v>0</v>
      </c>
      <c r="I380" s="21">
        <f>IF(OR(B380="",C380="",$V$1=""),"",MIN(E380,SUMIFS('03_Planificacion'!$G$99:$G$178,'03_Planificacion'!$E$99:$E$178,B380,'03_Planificacion'!$F$99:$F$178,C380,'03_Planificacion'!$D$99:$D$178,"&lt;="&amp;$V$1)))</f>
        <v>0</v>
      </c>
      <c r="J380" s="21">
        <f t="shared" si="37"/>
        <v>0</v>
      </c>
      <c r="K380" s="6">
        <f t="shared" si="38"/>
        <v>0</v>
      </c>
      <c r="L380" t="s">
        <v>12</v>
      </c>
      <c r="P380" s="5">
        <f t="shared" si="39"/>
        <v>46287</v>
      </c>
      <c r="Q380" t="s">
        <v>125</v>
      </c>
      <c r="R380">
        <v>110</v>
      </c>
      <c r="S380" t="s">
        <v>70</v>
      </c>
      <c r="T380" t="str">
        <f t="shared" si="40"/>
        <v/>
      </c>
      <c r="U380">
        <f>IF(AND(L380="Para Programar",G380&gt;0),COUNTIFS($L$5:L380,"Para Programar",$G$5:G380,"&gt;0"),"")</f>
        <v>87</v>
      </c>
      <c r="W380" t="str">
        <f t="shared" si="41"/>
        <v>N19 - N20|09 Paquete estructural - Inspección laboratorio</v>
      </c>
      <c r="X380">
        <v>0</v>
      </c>
    </row>
    <row r="381" spans="1:24">
      <c r="A381" t="s">
        <v>102</v>
      </c>
      <c r="B381" s="14" t="s">
        <v>146</v>
      </c>
      <c r="C381" t="s">
        <v>103</v>
      </c>
      <c r="D381" s="13" t="s">
        <v>67</v>
      </c>
      <c r="E381" s="13">
        <v>77</v>
      </c>
      <c r="F381" s="13">
        <f>IF(E381="","",MIN(E381,$X381+SUMIFS('05_Parte_Diario'!$H$5:$H$204,'05_Parte_Diario'!$D$5:$D$204,B381,'05_Parte_Diario'!$E$5:$E$204,C381)))</f>
        <v>0</v>
      </c>
      <c r="G381" s="13">
        <f t="shared" si="35"/>
        <v>77</v>
      </c>
      <c r="H381" s="21">
        <f t="shared" si="36"/>
        <v>0</v>
      </c>
      <c r="I381" s="21">
        <f>IF(OR(B381="",C381="",$V$1=""),"",MIN(E381,SUMIFS('03_Planificacion'!$G$99:$G$178,'03_Planificacion'!$E$99:$E$178,B381,'03_Planificacion'!$F$99:$F$178,C381,'03_Planificacion'!$D$99:$D$178,"&lt;="&amp;$V$1)))</f>
        <v>0</v>
      </c>
      <c r="J381" s="21">
        <f t="shared" si="37"/>
        <v>0</v>
      </c>
      <c r="K381" s="6">
        <f t="shared" si="38"/>
        <v>0</v>
      </c>
      <c r="L381" t="s">
        <v>12</v>
      </c>
      <c r="P381" s="5">
        <f t="shared" si="39"/>
        <v>46287</v>
      </c>
      <c r="Q381" t="s">
        <v>125</v>
      </c>
      <c r="R381">
        <v>110</v>
      </c>
      <c r="S381" t="s">
        <v>70</v>
      </c>
      <c r="T381" t="str">
        <f t="shared" si="40"/>
        <v/>
      </c>
      <c r="U381">
        <f>IF(AND(L381="Para Programar",G381&gt;0),COUNTIFS($L$5:L381,"Para Programar",$G$5:G381,"&gt;0"),"")</f>
        <v>88</v>
      </c>
      <c r="W381" t="str">
        <f t="shared" si="41"/>
        <v>N19 - N20|10 Relleno -0,60 - Conformación de capa</v>
      </c>
      <c r="X381">
        <v>0</v>
      </c>
    </row>
    <row r="382" spans="1:24">
      <c r="A382" t="s">
        <v>104</v>
      </c>
      <c r="B382" s="14" t="s">
        <v>146</v>
      </c>
      <c r="C382" t="s">
        <v>105</v>
      </c>
      <c r="D382" s="13" t="s">
        <v>67</v>
      </c>
      <c r="E382" s="13">
        <v>77</v>
      </c>
      <c r="F382" s="13">
        <f>IF(E382="","",MIN(E382,$X382+SUMIFS('05_Parte_Diario'!$H$5:$H$204,'05_Parte_Diario'!$D$5:$D$204,B382,'05_Parte_Diario'!$E$5:$E$204,C382)))</f>
        <v>0</v>
      </c>
      <c r="G382" s="13">
        <f t="shared" si="35"/>
        <v>77</v>
      </c>
      <c r="H382" s="21">
        <f t="shared" si="36"/>
        <v>0</v>
      </c>
      <c r="I382" s="21">
        <f>IF(OR(B382="",C382="",$V$1=""),"",MIN(E382,SUMIFS('03_Planificacion'!$G$99:$G$178,'03_Planificacion'!$E$99:$E$178,B382,'03_Planificacion'!$F$99:$F$178,C382,'03_Planificacion'!$D$99:$D$178,"&lt;="&amp;$V$1)))</f>
        <v>0</v>
      </c>
      <c r="J382" s="21">
        <f t="shared" si="37"/>
        <v>0</v>
      </c>
      <c r="K382" s="6">
        <f t="shared" si="38"/>
        <v>0</v>
      </c>
      <c r="L382" t="s">
        <v>12</v>
      </c>
      <c r="P382" s="5">
        <f t="shared" si="39"/>
        <v>46287</v>
      </c>
      <c r="Q382" t="s">
        <v>125</v>
      </c>
      <c r="R382">
        <v>110</v>
      </c>
      <c r="S382" t="s">
        <v>70</v>
      </c>
      <c r="T382" t="str">
        <f t="shared" si="40"/>
        <v/>
      </c>
      <c r="U382">
        <f>IF(AND(L382="Para Programar",G382&gt;0),COUNTIFS($L$5:L382,"Para Programar",$G$5:G382,"&gt;0"),"")</f>
        <v>89</v>
      </c>
      <c r="W382" t="str">
        <f t="shared" si="41"/>
        <v>N19 - N20|10 Relleno -0,60 - Humectación</v>
      </c>
      <c r="X382">
        <v>0</v>
      </c>
    </row>
    <row r="383" spans="1:24">
      <c r="A383" t="s">
        <v>106</v>
      </c>
      <c r="B383" s="14" t="s">
        <v>146</v>
      </c>
      <c r="C383" t="s">
        <v>107</v>
      </c>
      <c r="D383" s="13" t="s">
        <v>67</v>
      </c>
      <c r="E383" s="13">
        <v>77</v>
      </c>
      <c r="F383" s="13">
        <f>IF(E383="","",MIN(E383,$X383+SUMIFS('05_Parte_Diario'!$H$5:$H$204,'05_Parte_Diario'!$D$5:$D$204,B383,'05_Parte_Diario'!$E$5:$E$204,C383)))</f>
        <v>0</v>
      </c>
      <c r="G383" s="13">
        <f t="shared" si="35"/>
        <v>77</v>
      </c>
      <c r="H383" s="21">
        <f t="shared" si="36"/>
        <v>0</v>
      </c>
      <c r="I383" s="21">
        <f>IF(OR(B383="",C383="",$V$1=""),"",MIN(E383,SUMIFS('03_Planificacion'!$G$99:$G$178,'03_Planificacion'!$E$99:$E$178,B383,'03_Planificacion'!$F$99:$F$178,C383,'03_Planificacion'!$D$99:$D$178,"&lt;="&amp;$V$1)))</f>
        <v>0</v>
      </c>
      <c r="J383" s="21">
        <f t="shared" si="37"/>
        <v>0</v>
      </c>
      <c r="K383" s="6">
        <f t="shared" si="38"/>
        <v>0</v>
      </c>
      <c r="L383" t="s">
        <v>12</v>
      </c>
      <c r="P383" s="5">
        <f t="shared" si="39"/>
        <v>46287</v>
      </c>
      <c r="Q383" t="s">
        <v>125</v>
      </c>
      <c r="R383">
        <v>110</v>
      </c>
      <c r="S383" t="s">
        <v>70</v>
      </c>
      <c r="T383" t="str">
        <f t="shared" si="40"/>
        <v/>
      </c>
      <c r="U383">
        <f>IF(AND(L383="Para Programar",G383&gt;0),COUNTIFS($L$5:L383,"Para Programar",$G$5:G383,"&gt;0"),"")</f>
        <v>90</v>
      </c>
      <c r="W383" t="str">
        <f t="shared" si="41"/>
        <v>N19 - N20|10 Relleno -0,60 - Compactación</v>
      </c>
      <c r="X383">
        <v>0</v>
      </c>
    </row>
    <row r="384" spans="1:24">
      <c r="A384" t="s">
        <v>108</v>
      </c>
      <c r="B384" s="14" t="s">
        <v>146</v>
      </c>
      <c r="C384" t="s">
        <v>109</v>
      </c>
      <c r="D384" s="13" t="s">
        <v>81</v>
      </c>
      <c r="E384" s="13">
        <v>1</v>
      </c>
      <c r="F384" s="13">
        <f>IF(E384="","",MIN(E384,$X384+SUMIFS('05_Parte_Diario'!$H$5:$H$204,'05_Parte_Diario'!$D$5:$D$204,B384,'05_Parte_Diario'!$E$5:$E$204,C384)))</f>
        <v>0</v>
      </c>
      <c r="G384" s="13">
        <f t="shared" si="35"/>
        <v>1</v>
      </c>
      <c r="H384" s="21">
        <f t="shared" si="36"/>
        <v>0</v>
      </c>
      <c r="I384" s="21">
        <f>IF(OR(B384="",C384="",$V$1=""),"",MIN(E384,SUMIFS('03_Planificacion'!$G$99:$G$178,'03_Planificacion'!$E$99:$E$178,B384,'03_Planificacion'!$F$99:$F$178,C384,'03_Planificacion'!$D$99:$D$178,"&lt;="&amp;$V$1)))</f>
        <v>0</v>
      </c>
      <c r="J384" s="21">
        <f t="shared" si="37"/>
        <v>0</v>
      </c>
      <c r="K384" s="6">
        <f t="shared" si="38"/>
        <v>0</v>
      </c>
      <c r="L384" t="s">
        <v>12</v>
      </c>
      <c r="P384" s="5">
        <f t="shared" si="39"/>
        <v>46287</v>
      </c>
      <c r="Q384" t="s">
        <v>125</v>
      </c>
      <c r="R384">
        <v>110</v>
      </c>
      <c r="S384" t="s">
        <v>70</v>
      </c>
      <c r="T384" t="str">
        <f t="shared" si="40"/>
        <v/>
      </c>
      <c r="U384">
        <f>IF(AND(L384="Para Programar",G384&gt;0),COUNTIFS($L$5:L384,"Para Programar",$G$5:G384,"&gt;0"),"")</f>
        <v>91</v>
      </c>
      <c r="W384" t="str">
        <f t="shared" si="41"/>
        <v>N19 - N20|10 Relleno -0,60 - Inspección laboratorio</v>
      </c>
      <c r="X384">
        <v>0</v>
      </c>
    </row>
    <row r="385" spans="1:24">
      <c r="A385" t="s">
        <v>110</v>
      </c>
      <c r="B385" s="14" t="s">
        <v>146</v>
      </c>
      <c r="C385" t="s">
        <v>111</v>
      </c>
      <c r="D385" s="13" t="s">
        <v>67</v>
      </c>
      <c r="E385" s="13">
        <v>77</v>
      </c>
      <c r="F385" s="13">
        <f>IF(E385="","",MIN(E385,$X385+SUMIFS('05_Parte_Diario'!$H$5:$H$204,'05_Parte_Diario'!$D$5:$D$204,B385,'05_Parte_Diario'!$E$5:$E$204,C385)))</f>
        <v>0</v>
      </c>
      <c r="G385" s="13">
        <f t="shared" si="35"/>
        <v>77</v>
      </c>
      <c r="H385" s="21">
        <f t="shared" si="36"/>
        <v>0</v>
      </c>
      <c r="I385" s="21">
        <f>IF(OR(B385="",C385="",$V$1=""),"",MIN(E385,SUMIFS('03_Planificacion'!$G$99:$G$178,'03_Planificacion'!$E$99:$E$178,B385,'03_Planificacion'!$F$99:$F$178,C385,'03_Planificacion'!$D$99:$D$178,"&lt;="&amp;$V$1)))</f>
        <v>0</v>
      </c>
      <c r="J385" s="21">
        <f t="shared" si="37"/>
        <v>0</v>
      </c>
      <c r="K385" s="6">
        <f t="shared" si="38"/>
        <v>0</v>
      </c>
      <c r="L385" t="s">
        <v>12</v>
      </c>
      <c r="P385" s="5">
        <f t="shared" si="39"/>
        <v>46287</v>
      </c>
      <c r="Q385" t="s">
        <v>125</v>
      </c>
      <c r="R385">
        <v>110</v>
      </c>
      <c r="S385" t="s">
        <v>70</v>
      </c>
      <c r="T385" t="str">
        <f t="shared" si="40"/>
        <v/>
      </c>
      <c r="U385">
        <f>IF(AND(L385="Para Programar",G385&gt;0),COUNTIFS($L$5:L385,"Para Programar",$G$5:G385,"&gt;0"),"")</f>
        <v>92</v>
      </c>
      <c r="W385" t="str">
        <f t="shared" si="41"/>
        <v>N19 - N20|11 Relleno -0,30 - Conformación de capa</v>
      </c>
      <c r="X385">
        <v>0</v>
      </c>
    </row>
    <row r="386" spans="1:24">
      <c r="A386" t="s">
        <v>112</v>
      </c>
      <c r="B386" s="14" t="s">
        <v>146</v>
      </c>
      <c r="C386" t="s">
        <v>113</v>
      </c>
      <c r="D386" s="13" t="s">
        <v>67</v>
      </c>
      <c r="E386" s="13">
        <v>77</v>
      </c>
      <c r="F386" s="13">
        <f>IF(E386="","",MIN(E386,$X386+SUMIFS('05_Parte_Diario'!$H$5:$H$204,'05_Parte_Diario'!$D$5:$D$204,B386,'05_Parte_Diario'!$E$5:$E$204,C386)))</f>
        <v>0</v>
      </c>
      <c r="G386" s="13">
        <f t="shared" si="35"/>
        <v>77</v>
      </c>
      <c r="H386" s="21">
        <f t="shared" si="36"/>
        <v>0</v>
      </c>
      <c r="I386" s="21">
        <f>IF(OR(B386="",C386="",$V$1=""),"",MIN(E386,SUMIFS('03_Planificacion'!$G$99:$G$178,'03_Planificacion'!$E$99:$E$178,B386,'03_Planificacion'!$F$99:$F$178,C386,'03_Planificacion'!$D$99:$D$178,"&lt;="&amp;$V$1)))</f>
        <v>0</v>
      </c>
      <c r="J386" s="21">
        <f t="shared" si="37"/>
        <v>0</v>
      </c>
      <c r="K386" s="6">
        <f t="shared" si="38"/>
        <v>0</v>
      </c>
      <c r="L386" t="s">
        <v>12</v>
      </c>
      <c r="P386" s="5">
        <f t="shared" si="39"/>
        <v>46287</v>
      </c>
      <c r="Q386" t="s">
        <v>125</v>
      </c>
      <c r="R386">
        <v>110</v>
      </c>
      <c r="S386" t="s">
        <v>70</v>
      </c>
      <c r="T386" t="str">
        <f t="shared" si="40"/>
        <v/>
      </c>
      <c r="U386">
        <f>IF(AND(L386="Para Programar",G386&gt;0),COUNTIFS($L$5:L386,"Para Programar",$G$5:G386,"&gt;0"),"")</f>
        <v>93</v>
      </c>
      <c r="W386" t="str">
        <f t="shared" si="41"/>
        <v>N19 - N20|11 Relleno -0,30 - Humectación</v>
      </c>
      <c r="X386">
        <v>0</v>
      </c>
    </row>
    <row r="387" spans="1:24">
      <c r="A387" t="s">
        <v>114</v>
      </c>
      <c r="B387" s="14" t="s">
        <v>146</v>
      </c>
      <c r="C387" t="s">
        <v>115</v>
      </c>
      <c r="D387" s="13" t="s">
        <v>67</v>
      </c>
      <c r="E387" s="13">
        <v>77</v>
      </c>
      <c r="F387" s="13">
        <f>IF(E387="","",MIN(E387,$X387+SUMIFS('05_Parte_Diario'!$H$5:$H$204,'05_Parte_Diario'!$D$5:$D$204,B387,'05_Parte_Diario'!$E$5:$E$204,C387)))</f>
        <v>0</v>
      </c>
      <c r="G387" s="13">
        <f t="shared" si="35"/>
        <v>77</v>
      </c>
      <c r="H387" s="21">
        <f t="shared" si="36"/>
        <v>0</v>
      </c>
      <c r="I387" s="21">
        <f>IF(OR(B387="",C387="",$V$1=""),"",MIN(E387,SUMIFS('03_Planificacion'!$G$99:$G$178,'03_Planificacion'!$E$99:$E$178,B387,'03_Planificacion'!$F$99:$F$178,C387,'03_Planificacion'!$D$99:$D$178,"&lt;="&amp;$V$1)))</f>
        <v>0</v>
      </c>
      <c r="J387" s="21">
        <f t="shared" si="37"/>
        <v>0</v>
      </c>
      <c r="K387" s="6">
        <f t="shared" si="38"/>
        <v>0</v>
      </c>
      <c r="L387" t="s">
        <v>12</v>
      </c>
      <c r="P387" s="5">
        <f t="shared" si="39"/>
        <v>46287</v>
      </c>
      <c r="Q387" t="s">
        <v>125</v>
      </c>
      <c r="R387">
        <v>110</v>
      </c>
      <c r="S387" t="s">
        <v>70</v>
      </c>
      <c r="T387" t="str">
        <f t="shared" si="40"/>
        <v/>
      </c>
      <c r="U387">
        <f>IF(AND(L387="Para Programar",G387&gt;0),COUNTIFS($L$5:L387,"Para Programar",$G$5:G387,"&gt;0"),"")</f>
        <v>94</v>
      </c>
      <c r="W387" t="str">
        <f t="shared" si="41"/>
        <v>N19 - N20|11 Relleno -0,30 - Compactación</v>
      </c>
      <c r="X387">
        <v>0</v>
      </c>
    </row>
    <row r="388" spans="1:24">
      <c r="A388" t="s">
        <v>116</v>
      </c>
      <c r="B388" s="14" t="s">
        <v>146</v>
      </c>
      <c r="C388" t="s">
        <v>117</v>
      </c>
      <c r="D388" s="13" t="s">
        <v>81</v>
      </c>
      <c r="E388" s="13">
        <v>1</v>
      </c>
      <c r="F388" s="13">
        <f>IF(E388="","",MIN(E388,$X388+SUMIFS('05_Parte_Diario'!$H$5:$H$204,'05_Parte_Diario'!$D$5:$D$204,B388,'05_Parte_Diario'!$E$5:$E$204,C388)))</f>
        <v>0</v>
      </c>
      <c r="G388" s="13">
        <f t="shared" si="35"/>
        <v>1</v>
      </c>
      <c r="H388" s="21">
        <f t="shared" si="36"/>
        <v>0</v>
      </c>
      <c r="I388" s="21">
        <f>IF(OR(B388="",C388="",$V$1=""),"",MIN(E388,SUMIFS('03_Planificacion'!$G$99:$G$178,'03_Planificacion'!$E$99:$E$178,B388,'03_Planificacion'!$F$99:$F$178,C388,'03_Planificacion'!$D$99:$D$178,"&lt;="&amp;$V$1)))</f>
        <v>0</v>
      </c>
      <c r="J388" s="21">
        <f t="shared" si="37"/>
        <v>0</v>
      </c>
      <c r="K388" s="6">
        <f t="shared" si="38"/>
        <v>0</v>
      </c>
      <c r="L388" t="s">
        <v>12</v>
      </c>
      <c r="P388" s="5">
        <f t="shared" si="39"/>
        <v>46287</v>
      </c>
      <c r="Q388" t="s">
        <v>125</v>
      </c>
      <c r="R388">
        <v>110</v>
      </c>
      <c r="S388" t="s">
        <v>70</v>
      </c>
      <c r="T388" t="str">
        <f t="shared" si="40"/>
        <v/>
      </c>
      <c r="U388">
        <f>IF(AND(L388="Para Programar",G388&gt;0),COUNTIFS($L$5:L388,"Para Programar",$G$5:G388,"&gt;0"),"")</f>
        <v>95</v>
      </c>
      <c r="W388" t="str">
        <f t="shared" si="41"/>
        <v>N19 - N20|11 Relleno -0,30 - Inspección laboratorio</v>
      </c>
      <c r="X388">
        <v>0</v>
      </c>
    </row>
    <row r="389" spans="1:24">
      <c r="A389" t="s">
        <v>64</v>
      </c>
      <c r="B389" s="14" t="s">
        <v>147</v>
      </c>
      <c r="C389" t="s">
        <v>66</v>
      </c>
      <c r="D389" s="13" t="s">
        <v>67</v>
      </c>
      <c r="E389" s="13">
        <v>117</v>
      </c>
      <c r="F389" s="13">
        <f>IF(E389="","",MIN(E389,$X389+SUMIFS('05_Parte_Diario'!$H$5:$H$204,'05_Parte_Diario'!$D$5:$D$204,B389,'05_Parte_Diario'!$E$5:$E$204,C389)))</f>
        <v>117</v>
      </c>
      <c r="G389" s="13">
        <f t="shared" ref="G389:G452" si="42">IF(E389="","",MAX(E389-F389,0))</f>
        <v>0</v>
      </c>
      <c r="H389" s="21">
        <f t="shared" ref="H389:H452" si="43">IFERROR(F389/E389,0)</f>
        <v>1</v>
      </c>
      <c r="I389" s="21">
        <f>IF(OR(B389="",C389="",$V$1=""),"",MIN(E389,SUMIFS('03_Planificacion'!$G$99:$G$178,'03_Planificacion'!$E$99:$E$178,B389,'03_Planificacion'!$F$99:$F$178,C389,'03_Planificacion'!$D$99:$D$178,"&lt;="&amp;$V$1)))</f>
        <v>0</v>
      </c>
      <c r="J389" s="21">
        <f t="shared" ref="J389:J452" si="44">IFERROR(I389/E389,0)</f>
        <v>0</v>
      </c>
      <c r="K389" s="6">
        <f t="shared" ref="K389:K452" si="45">IF(OR(E389="",$V$1=""),"",H389-J389)</f>
        <v>1</v>
      </c>
      <c r="L389" t="s">
        <v>123</v>
      </c>
      <c r="P389" s="5">
        <f t="shared" ref="P389:P452" si="46">IF(A389="","",$V$1)</f>
        <v>46287</v>
      </c>
      <c r="Q389" t="s">
        <v>148</v>
      </c>
      <c r="R389">
        <v>75</v>
      </c>
      <c r="S389" t="s">
        <v>70</v>
      </c>
      <c r="T389" t="str">
        <f t="shared" ref="T389:T452" si="47">IF(A389="","",IF(AND(L389="Para Programar",G389=0),"INCONSISTENCIA - REVISAR MANUALMENTE: Para Programar sin saldo",IF(AND(L389="Terminada",G389&gt;0),"INCONSISTENCIA - REVISAR MANUALMENTE: Terminada con saldo","")))</f>
        <v/>
      </c>
      <c r="U389" t="str">
        <f>IF(AND(L389="Para Programar",G389&gt;0),COUNTIFS($L$5:L389,"Para Programar",$G$5:G389,"&gt;0"),"")</f>
        <v/>
      </c>
      <c r="W389" t="str">
        <f t="shared" ref="W389:W452" si="48">IF(OR(B389="",C389=""),"",B389&amp;"|"&amp;C389)</f>
        <v>N19 - N27|01 Replanteo - Marcación de tramo de cañería principal</v>
      </c>
      <c r="X389">
        <v>117</v>
      </c>
    </row>
    <row r="390" spans="1:24">
      <c r="A390" t="s">
        <v>71</v>
      </c>
      <c r="B390" s="14" t="s">
        <v>147</v>
      </c>
      <c r="C390" t="s">
        <v>72</v>
      </c>
      <c r="D390" s="13" t="s">
        <v>67</v>
      </c>
      <c r="E390" s="13">
        <v>117</v>
      </c>
      <c r="F390" s="13">
        <f>IF(E390="","",MIN(E390,$X390+SUMIFS('05_Parte_Diario'!$H$5:$H$204,'05_Parte_Diario'!$D$5:$D$204,B390,'05_Parte_Diario'!$E$5:$E$204,C390)))</f>
        <v>117</v>
      </c>
      <c r="G390" s="13">
        <f t="shared" si="42"/>
        <v>0</v>
      </c>
      <c r="H390" s="21">
        <f t="shared" si="43"/>
        <v>1</v>
      </c>
      <c r="I390" s="21">
        <f>IF(OR(B390="",C390="",$V$1=""),"",MIN(E390,SUMIFS('03_Planificacion'!$G$99:$G$178,'03_Planificacion'!$E$99:$E$178,B390,'03_Planificacion'!$F$99:$F$178,C390,'03_Planificacion'!$D$99:$D$178,"&lt;="&amp;$V$1)))</f>
        <v>0</v>
      </c>
      <c r="J390" s="21">
        <f t="shared" si="44"/>
        <v>0</v>
      </c>
      <c r="K390" s="6">
        <f t="shared" si="45"/>
        <v>1</v>
      </c>
      <c r="L390" t="s">
        <v>123</v>
      </c>
      <c r="P390" s="5">
        <f t="shared" si="46"/>
        <v>46287</v>
      </c>
      <c r="Q390" t="s">
        <v>148</v>
      </c>
      <c r="R390">
        <v>75</v>
      </c>
      <c r="S390" t="s">
        <v>70</v>
      </c>
      <c r="T390" t="str">
        <f t="shared" si="47"/>
        <v/>
      </c>
      <c r="U390" t="str">
        <f>IF(AND(L390="Para Programar",G390&gt;0),COUNTIFS($L$5:L390,"Para Programar",$G$5:G390,"&gt;0"),"")</f>
        <v/>
      </c>
      <c r="W390" t="str">
        <f t="shared" si="48"/>
        <v>N19 - N27|02 Excavación - Zanja principal</v>
      </c>
      <c r="X390">
        <v>117</v>
      </c>
    </row>
    <row r="391" spans="1:24">
      <c r="A391" t="s">
        <v>73</v>
      </c>
      <c r="B391" s="14" t="s">
        <v>147</v>
      </c>
      <c r="C391" t="s">
        <v>74</v>
      </c>
      <c r="D391" s="13" t="s">
        <v>67</v>
      </c>
      <c r="E391" s="13">
        <v>117</v>
      </c>
      <c r="F391" s="13">
        <f>IF(E391="","",MIN(E391,$X391+SUMIFS('05_Parte_Diario'!$H$5:$H$204,'05_Parte_Diario'!$D$5:$D$204,B391,'05_Parte_Diario'!$E$5:$E$204,C391)))</f>
        <v>117</v>
      </c>
      <c r="G391" s="13">
        <f t="shared" si="42"/>
        <v>0</v>
      </c>
      <c r="H391" s="21">
        <f t="shared" si="43"/>
        <v>1</v>
      </c>
      <c r="I391" s="21">
        <f>IF(OR(B391="",C391="",$V$1=""),"",MIN(E391,SUMIFS('03_Planificacion'!$G$99:$G$178,'03_Planificacion'!$E$99:$E$178,B391,'03_Planificacion'!$F$99:$F$178,C391,'03_Planificacion'!$D$99:$D$178,"&lt;="&amp;$V$1)))</f>
        <v>0</v>
      </c>
      <c r="J391" s="21">
        <f t="shared" si="44"/>
        <v>0</v>
      </c>
      <c r="K391" s="6">
        <f t="shared" si="45"/>
        <v>1</v>
      </c>
      <c r="L391" t="s">
        <v>123</v>
      </c>
      <c r="P391" s="5">
        <f t="shared" si="46"/>
        <v>46287</v>
      </c>
      <c r="Q391" t="s">
        <v>148</v>
      </c>
      <c r="R391">
        <v>75</v>
      </c>
      <c r="S391" t="s">
        <v>70</v>
      </c>
      <c r="T391" t="str">
        <f t="shared" si="47"/>
        <v/>
      </c>
      <c r="U391" t="str">
        <f>IF(AND(L391="Para Programar",G391&gt;0),COUNTIFS($L$5:L391,"Para Programar",$G$5:G391,"&gt;0"),"")</f>
        <v/>
      </c>
      <c r="W391" t="str">
        <f t="shared" si="48"/>
        <v>N19 - N27|03 Base de asiento - Nivelación de fondo de zanja</v>
      </c>
      <c r="X391">
        <v>117</v>
      </c>
    </row>
    <row r="392" spans="1:24">
      <c r="A392" t="s">
        <v>75</v>
      </c>
      <c r="B392" s="14" t="s">
        <v>147</v>
      </c>
      <c r="C392" t="s">
        <v>76</v>
      </c>
      <c r="D392" s="13" t="s">
        <v>67</v>
      </c>
      <c r="E392" s="13">
        <v>117</v>
      </c>
      <c r="F392" s="13">
        <f>IF(E392="","",MIN(E392,$X392+SUMIFS('05_Parte_Diario'!$H$5:$H$204,'05_Parte_Diario'!$D$5:$D$204,B392,'05_Parte_Diario'!$E$5:$E$204,C392)))</f>
        <v>117</v>
      </c>
      <c r="G392" s="13">
        <f t="shared" si="42"/>
        <v>0</v>
      </c>
      <c r="H392" s="21">
        <f t="shared" si="43"/>
        <v>1</v>
      </c>
      <c r="I392" s="21">
        <f>IF(OR(B392="",C392="",$V$1=""),"",MIN(E392,SUMIFS('03_Planificacion'!$G$99:$G$178,'03_Planificacion'!$E$99:$E$178,B392,'03_Planificacion'!$F$99:$F$178,C392,'03_Planificacion'!$D$99:$D$178,"&lt;="&amp;$V$1)))</f>
        <v>0</v>
      </c>
      <c r="J392" s="21">
        <f t="shared" si="44"/>
        <v>0</v>
      </c>
      <c r="K392" s="6">
        <f t="shared" si="45"/>
        <v>1</v>
      </c>
      <c r="L392" t="s">
        <v>123</v>
      </c>
      <c r="P392" s="5">
        <f t="shared" si="46"/>
        <v>46287</v>
      </c>
      <c r="Q392" t="s">
        <v>148</v>
      </c>
      <c r="R392">
        <v>75</v>
      </c>
      <c r="S392" t="s">
        <v>70</v>
      </c>
      <c r="T392" t="str">
        <f t="shared" si="47"/>
        <v/>
      </c>
      <c r="U392" t="str">
        <f>IF(AND(L392="Para Programar",G392&gt;0),COUNTIFS($L$5:L392,"Para Programar",$G$5:G392,"&gt;0"),"")</f>
        <v/>
      </c>
      <c r="W392" t="str">
        <f t="shared" si="48"/>
        <v>N19 - N27|03 Base de asiento - Aporte de material base e=0,10 m</v>
      </c>
      <c r="X392">
        <v>117</v>
      </c>
    </row>
    <row r="393" spans="1:24">
      <c r="A393" t="s">
        <v>77</v>
      </c>
      <c r="B393" s="14" t="s">
        <v>147</v>
      </c>
      <c r="C393" t="s">
        <v>78</v>
      </c>
      <c r="D393" s="13" t="s">
        <v>67</v>
      </c>
      <c r="E393" s="13">
        <v>117</v>
      </c>
      <c r="F393" s="13">
        <f>IF(E393="","",MIN(E393,$X393+SUMIFS('05_Parte_Diario'!$H$5:$H$204,'05_Parte_Diario'!$D$5:$D$204,B393,'05_Parte_Diario'!$E$5:$E$204,C393)))</f>
        <v>117</v>
      </c>
      <c r="G393" s="13">
        <f t="shared" si="42"/>
        <v>0</v>
      </c>
      <c r="H393" s="21">
        <f t="shared" si="43"/>
        <v>1</v>
      </c>
      <c r="I393" s="21">
        <f>IF(OR(B393="",C393="",$V$1=""),"",MIN(E393,SUMIFS('03_Planificacion'!$G$99:$G$178,'03_Planificacion'!$E$99:$E$178,B393,'03_Planificacion'!$F$99:$F$178,C393,'03_Planificacion'!$D$99:$D$178,"&lt;="&amp;$V$1)))</f>
        <v>0</v>
      </c>
      <c r="J393" s="21">
        <f t="shared" si="44"/>
        <v>0</v>
      </c>
      <c r="K393" s="6">
        <f t="shared" si="45"/>
        <v>1</v>
      </c>
      <c r="L393" t="s">
        <v>123</v>
      </c>
      <c r="P393" s="5">
        <f t="shared" si="46"/>
        <v>46287</v>
      </c>
      <c r="Q393" t="s">
        <v>148</v>
      </c>
      <c r="R393">
        <v>75</v>
      </c>
      <c r="S393" t="s">
        <v>70</v>
      </c>
      <c r="T393" t="str">
        <f t="shared" si="47"/>
        <v/>
      </c>
      <c r="U393" t="str">
        <f>IF(AND(L393="Para Programar",G393&gt;0),COUNTIFS($L$5:L393,"Para Programar",$G$5:G393,"&gt;0"),"")</f>
        <v/>
      </c>
      <c r="W393" t="str">
        <f t="shared" si="48"/>
        <v>N19 - N27|03 Base de asiento - Compactación</v>
      </c>
      <c r="X393">
        <v>117</v>
      </c>
    </row>
    <row r="394" spans="1:24">
      <c r="A394" t="s">
        <v>79</v>
      </c>
      <c r="B394" s="14" t="s">
        <v>147</v>
      </c>
      <c r="C394" t="s">
        <v>80</v>
      </c>
      <c r="D394" s="13" t="s">
        <v>81</v>
      </c>
      <c r="E394" s="13">
        <v>1</v>
      </c>
      <c r="F394" s="13">
        <f>IF(E394="","",MIN(E394,$X394+SUMIFS('05_Parte_Diario'!$H$5:$H$204,'05_Parte_Diario'!$D$5:$D$204,B394,'05_Parte_Diario'!$E$5:$E$204,C394)))</f>
        <v>1</v>
      </c>
      <c r="G394" s="13">
        <f t="shared" si="42"/>
        <v>0</v>
      </c>
      <c r="H394" s="21">
        <f t="shared" si="43"/>
        <v>1</v>
      </c>
      <c r="I394" s="21">
        <f>IF(OR(B394="",C394="",$V$1=""),"",MIN(E394,SUMIFS('03_Planificacion'!$G$99:$G$178,'03_Planificacion'!$E$99:$E$178,B394,'03_Planificacion'!$F$99:$F$178,C394,'03_Planificacion'!$D$99:$D$178,"&lt;="&amp;$V$1)))</f>
        <v>0</v>
      </c>
      <c r="J394" s="21">
        <f t="shared" si="44"/>
        <v>0</v>
      </c>
      <c r="K394" s="6">
        <f t="shared" si="45"/>
        <v>1</v>
      </c>
      <c r="L394" t="s">
        <v>123</v>
      </c>
      <c r="P394" s="5">
        <f t="shared" si="46"/>
        <v>46287</v>
      </c>
      <c r="Q394" t="s">
        <v>148</v>
      </c>
      <c r="R394">
        <v>75</v>
      </c>
      <c r="S394" t="s">
        <v>70</v>
      </c>
      <c r="T394" t="str">
        <f t="shared" si="47"/>
        <v/>
      </c>
      <c r="U394" t="str">
        <f>IF(AND(L394="Para Programar",G394&gt;0),COUNTIFS($L$5:L394,"Para Programar",$G$5:G394,"&gt;0"),"")</f>
        <v/>
      </c>
      <c r="W394" t="str">
        <f t="shared" si="48"/>
        <v>N19 - N27|04 Inspecciones previas - Laboratorio base de asiento</v>
      </c>
      <c r="X394">
        <v>1</v>
      </c>
    </row>
    <row r="395" spans="1:24">
      <c r="A395" t="s">
        <v>82</v>
      </c>
      <c r="B395" s="14" t="s">
        <v>147</v>
      </c>
      <c r="C395" t="s">
        <v>83</v>
      </c>
      <c r="D395" s="13" t="s">
        <v>81</v>
      </c>
      <c r="E395" s="13">
        <v>1</v>
      </c>
      <c r="F395" s="13">
        <f>IF(E395="","",MIN(E395,$X395+SUMIFS('05_Parte_Diario'!$H$5:$H$204,'05_Parte_Diario'!$D$5:$D$204,B395,'05_Parte_Diario'!$E$5:$E$204,C395)))</f>
        <v>1</v>
      </c>
      <c r="G395" s="13">
        <f t="shared" si="42"/>
        <v>0</v>
      </c>
      <c r="H395" s="21">
        <f t="shared" si="43"/>
        <v>1</v>
      </c>
      <c r="I395" s="21">
        <f>IF(OR(B395="",C395="",$V$1=""),"",MIN(E395,SUMIFS('03_Planificacion'!$G$99:$G$178,'03_Planificacion'!$E$99:$E$178,B395,'03_Planificacion'!$F$99:$F$178,C395,'03_Planificacion'!$D$99:$D$178,"&lt;="&amp;$V$1)))</f>
        <v>0</v>
      </c>
      <c r="J395" s="21">
        <f t="shared" si="44"/>
        <v>0</v>
      </c>
      <c r="K395" s="6">
        <f t="shared" si="45"/>
        <v>1</v>
      </c>
      <c r="L395" t="s">
        <v>123</v>
      </c>
      <c r="P395" s="5">
        <f t="shared" si="46"/>
        <v>46287</v>
      </c>
      <c r="Q395" t="s">
        <v>148</v>
      </c>
      <c r="R395">
        <v>75</v>
      </c>
      <c r="S395" t="s">
        <v>70</v>
      </c>
      <c r="T395" t="str">
        <f t="shared" si="47"/>
        <v/>
      </c>
      <c r="U395" t="str">
        <f>IF(AND(L395="Para Programar",G395&gt;0),COUNTIFS($L$5:L395,"Para Programar",$G$5:G395,"&gt;0"),"")</f>
        <v/>
      </c>
      <c r="W395" t="str">
        <f t="shared" si="48"/>
        <v>N19 - N27|04 Inspecciones previas - Zanja y materiales</v>
      </c>
      <c r="X395">
        <v>1</v>
      </c>
    </row>
    <row r="396" spans="1:24">
      <c r="A396" t="s">
        <v>84</v>
      </c>
      <c r="B396" s="14" t="s">
        <v>147</v>
      </c>
      <c r="C396" t="s">
        <v>85</v>
      </c>
      <c r="D396" s="13" t="s">
        <v>67</v>
      </c>
      <c r="E396" s="13">
        <v>117</v>
      </c>
      <c r="F396" s="13">
        <f>IF(E396="","",MIN(E396,$X396+SUMIFS('05_Parte_Diario'!$H$5:$H$204,'05_Parte_Diario'!$D$5:$D$204,B396,'05_Parte_Diario'!$E$5:$E$204,C396)))</f>
        <v>117</v>
      </c>
      <c r="G396" s="13">
        <f t="shared" si="42"/>
        <v>0</v>
      </c>
      <c r="H396" s="21">
        <f t="shared" si="43"/>
        <v>1</v>
      </c>
      <c r="I396" s="21">
        <f>IF(OR(B396="",C396="",$V$1=""),"",MIN(E396,SUMIFS('03_Planificacion'!$G$99:$G$178,'03_Planificacion'!$E$99:$E$178,B396,'03_Planificacion'!$F$99:$F$178,C396,'03_Planificacion'!$D$99:$D$178,"&lt;="&amp;$V$1)))</f>
        <v>0</v>
      </c>
      <c r="J396" s="21">
        <f t="shared" si="44"/>
        <v>0</v>
      </c>
      <c r="K396" s="6">
        <f t="shared" si="45"/>
        <v>1</v>
      </c>
      <c r="L396" t="s">
        <v>123</v>
      </c>
      <c r="P396" s="5">
        <f t="shared" si="46"/>
        <v>46287</v>
      </c>
      <c r="Q396" t="s">
        <v>148</v>
      </c>
      <c r="R396">
        <v>75</v>
      </c>
      <c r="S396" t="s">
        <v>70</v>
      </c>
      <c r="T396" t="str">
        <f t="shared" si="47"/>
        <v/>
      </c>
      <c r="U396" t="str">
        <f>IF(AND(L396="Para Programar",G396&gt;0),COUNTIFS($L$5:L396,"Para Programar",$G$5:G396,"&gt;0"),"")</f>
        <v/>
      </c>
      <c r="W396" t="str">
        <f t="shared" si="48"/>
        <v>N19 - N27|05 Tendido de cañería - Cañería principal</v>
      </c>
      <c r="X396">
        <v>117</v>
      </c>
    </row>
    <row r="397" spans="1:24">
      <c r="A397" t="s">
        <v>86</v>
      </c>
      <c r="B397" s="14" t="s">
        <v>147</v>
      </c>
      <c r="C397" t="s">
        <v>87</v>
      </c>
      <c r="D397" s="13" t="s">
        <v>67</v>
      </c>
      <c r="E397" s="13">
        <v>117</v>
      </c>
      <c r="F397" s="13">
        <f>IF(E397="","",MIN(E397,$X397+SUMIFS('05_Parte_Diario'!$H$5:$H$204,'05_Parte_Diario'!$D$5:$D$204,B397,'05_Parte_Diario'!$E$5:$E$204,C397)))</f>
        <v>117</v>
      </c>
      <c r="G397" s="13">
        <f t="shared" si="42"/>
        <v>0</v>
      </c>
      <c r="H397" s="21">
        <f t="shared" si="43"/>
        <v>1</v>
      </c>
      <c r="I397" s="21">
        <f>IF(OR(B397="",C397="",$V$1=""),"",MIN(E397,SUMIFS('03_Planificacion'!$G$99:$G$178,'03_Planificacion'!$E$99:$E$178,B397,'03_Planificacion'!$F$99:$F$178,C397,'03_Planificacion'!$D$99:$D$178,"&lt;="&amp;$V$1)))</f>
        <v>0</v>
      </c>
      <c r="J397" s="21">
        <f t="shared" si="44"/>
        <v>0</v>
      </c>
      <c r="K397" s="6">
        <f t="shared" si="45"/>
        <v>1</v>
      </c>
      <c r="L397" t="s">
        <v>123</v>
      </c>
      <c r="P397" s="5">
        <f t="shared" si="46"/>
        <v>46287</v>
      </c>
      <c r="Q397" t="s">
        <v>148</v>
      </c>
      <c r="R397">
        <v>75</v>
      </c>
      <c r="S397" t="s">
        <v>70</v>
      </c>
      <c r="T397" t="str">
        <f t="shared" si="47"/>
        <v/>
      </c>
      <c r="U397" t="str">
        <f>IF(AND(L397="Para Programar",G397&gt;0),COUNTIFS($L$5:L397,"Para Programar",$G$5:G397,"&gt;0"),"")</f>
        <v/>
      </c>
      <c r="W397" t="str">
        <f t="shared" si="48"/>
        <v>N19 - N27|05 Tendido de cañería - Relevamiento planialtimétrico</v>
      </c>
      <c r="X397">
        <v>117</v>
      </c>
    </row>
    <row r="398" spans="1:24">
      <c r="A398" t="s">
        <v>88</v>
      </c>
      <c r="B398" s="14" t="s">
        <v>147</v>
      </c>
      <c r="C398" t="s">
        <v>89</v>
      </c>
      <c r="D398" s="13" t="s">
        <v>81</v>
      </c>
      <c r="E398" s="13">
        <v>1</v>
      </c>
      <c r="F398" s="13">
        <f>IF(E398="","",MIN(E398,$X398+SUMIFS('05_Parte_Diario'!$H$5:$H$204,'05_Parte_Diario'!$D$5:$D$204,B398,'05_Parte_Diario'!$E$5:$E$204,C398)))</f>
        <v>1</v>
      </c>
      <c r="G398" s="13">
        <f t="shared" si="42"/>
        <v>0</v>
      </c>
      <c r="H398" s="21">
        <f t="shared" si="43"/>
        <v>1</v>
      </c>
      <c r="I398" s="21">
        <f>IF(OR(B398="",C398="",$V$1=""),"",MIN(E398,SUMIFS('03_Planificacion'!$G$99:$G$178,'03_Planificacion'!$E$99:$E$178,B398,'03_Planificacion'!$F$99:$F$178,C398,'03_Planificacion'!$D$99:$D$178,"&lt;="&amp;$V$1)))</f>
        <v>0</v>
      </c>
      <c r="J398" s="21">
        <f t="shared" si="44"/>
        <v>0</v>
      </c>
      <c r="K398" s="6">
        <f t="shared" si="45"/>
        <v>1</v>
      </c>
      <c r="L398" t="s">
        <v>123</v>
      </c>
      <c r="P398" s="5">
        <f t="shared" si="46"/>
        <v>46287</v>
      </c>
      <c r="Q398" t="s">
        <v>148</v>
      </c>
      <c r="R398">
        <v>75</v>
      </c>
      <c r="S398" t="s">
        <v>70</v>
      </c>
      <c r="T398" t="str">
        <f t="shared" si="47"/>
        <v/>
      </c>
      <c r="U398" t="str">
        <f>IF(AND(L398="Para Programar",G398&gt;0),COUNTIFS($L$5:L398,"Para Programar",$G$5:G398,"&gt;0"),"")</f>
        <v/>
      </c>
      <c r="W398" t="str">
        <f t="shared" si="48"/>
        <v>N19 - N27|08 Prueba hidráulica - Preparación del sistema</v>
      </c>
      <c r="X398">
        <v>1</v>
      </c>
    </row>
    <row r="399" spans="1:24">
      <c r="A399" t="s">
        <v>90</v>
      </c>
      <c r="B399" s="14" t="s">
        <v>147</v>
      </c>
      <c r="C399" t="s">
        <v>91</v>
      </c>
      <c r="D399" s="13" t="s">
        <v>81</v>
      </c>
      <c r="E399" s="13">
        <v>1</v>
      </c>
      <c r="F399" s="13">
        <f>IF(E399="","",MIN(E399,$X399+SUMIFS('05_Parte_Diario'!$H$5:$H$204,'05_Parte_Diario'!$D$5:$D$204,B399,'05_Parte_Diario'!$E$5:$E$204,C399)))</f>
        <v>1</v>
      </c>
      <c r="G399" s="13">
        <f t="shared" si="42"/>
        <v>0</v>
      </c>
      <c r="H399" s="21">
        <f t="shared" si="43"/>
        <v>1</v>
      </c>
      <c r="I399" s="21">
        <f>IF(OR(B399="",C399="",$V$1=""),"",MIN(E399,SUMIFS('03_Planificacion'!$G$99:$G$178,'03_Planificacion'!$E$99:$E$178,B399,'03_Planificacion'!$F$99:$F$178,C399,'03_Planificacion'!$D$99:$D$178,"&lt;="&amp;$V$1)))</f>
        <v>0</v>
      </c>
      <c r="J399" s="21">
        <f t="shared" si="44"/>
        <v>0</v>
      </c>
      <c r="K399" s="6">
        <f t="shared" si="45"/>
        <v>1</v>
      </c>
      <c r="L399" t="s">
        <v>123</v>
      </c>
      <c r="P399" s="5">
        <f t="shared" si="46"/>
        <v>46287</v>
      </c>
      <c r="Q399" t="s">
        <v>148</v>
      </c>
      <c r="R399">
        <v>75</v>
      </c>
      <c r="S399" t="s">
        <v>70</v>
      </c>
      <c r="T399" t="str">
        <f t="shared" si="47"/>
        <v/>
      </c>
      <c r="U399" t="str">
        <f>IF(AND(L399="Para Programar",G399&gt;0),COUNTIFS($L$5:L399,"Para Programar",$G$5:G399,"&gt;0"),"")</f>
        <v/>
      </c>
      <c r="W399" t="str">
        <f t="shared" si="48"/>
        <v>N19 - N27|08 Prueba hidráulica - Interna N° 1</v>
      </c>
      <c r="X399">
        <v>1</v>
      </c>
    </row>
    <row r="400" spans="1:24">
      <c r="A400" t="s">
        <v>92</v>
      </c>
      <c r="B400" s="14" t="s">
        <v>147</v>
      </c>
      <c r="C400" t="s">
        <v>93</v>
      </c>
      <c r="D400" s="13" t="s">
        <v>81</v>
      </c>
      <c r="E400" s="13">
        <v>1</v>
      </c>
      <c r="F400" s="13">
        <f>IF(E400="","",MIN(E400,$X400+SUMIFS('05_Parte_Diario'!$H$5:$H$204,'05_Parte_Diario'!$D$5:$D$204,B400,'05_Parte_Diario'!$E$5:$E$204,C400)))</f>
        <v>0</v>
      </c>
      <c r="G400" s="13">
        <f t="shared" si="42"/>
        <v>1</v>
      </c>
      <c r="H400" s="21">
        <f t="shared" si="43"/>
        <v>0</v>
      </c>
      <c r="I400" s="21">
        <f>IF(OR(B400="",C400="",$V$1=""),"",MIN(E400,SUMIFS('03_Planificacion'!$G$99:$G$178,'03_Planificacion'!$E$99:$E$178,B400,'03_Planificacion'!$F$99:$F$178,C400,'03_Planificacion'!$D$99:$D$178,"&lt;="&amp;$V$1)))</f>
        <v>0</v>
      </c>
      <c r="J400" s="21">
        <f t="shared" si="44"/>
        <v>0</v>
      </c>
      <c r="K400" s="6">
        <f t="shared" si="45"/>
        <v>0</v>
      </c>
      <c r="L400" t="s">
        <v>12</v>
      </c>
      <c r="P400" s="5">
        <f t="shared" si="46"/>
        <v>46287</v>
      </c>
      <c r="Q400" t="s">
        <v>148</v>
      </c>
      <c r="R400">
        <v>75</v>
      </c>
      <c r="S400" t="s">
        <v>70</v>
      </c>
      <c r="T400" t="str">
        <f t="shared" si="47"/>
        <v/>
      </c>
      <c r="U400">
        <f>IF(AND(L400="Para Programar",G400&gt;0),COUNTIFS($L$5:L400,"Para Programar",$G$5:G400,"&gt;0"),"")</f>
        <v>96</v>
      </c>
      <c r="W400" t="str">
        <f t="shared" si="48"/>
        <v>N19 - N27|08 Prueba hidráulica - Interna N° 2</v>
      </c>
      <c r="X400">
        <v>0</v>
      </c>
    </row>
    <row r="401" spans="1:24">
      <c r="A401" t="s">
        <v>94</v>
      </c>
      <c r="B401" s="14" t="s">
        <v>147</v>
      </c>
      <c r="C401" t="s">
        <v>95</v>
      </c>
      <c r="D401" s="13" t="s">
        <v>81</v>
      </c>
      <c r="E401" s="13">
        <v>1</v>
      </c>
      <c r="F401" s="13">
        <f>IF(E401="","",MIN(E401,$X401+SUMIFS('05_Parte_Diario'!$H$5:$H$204,'05_Parte_Diario'!$D$5:$D$204,B401,'05_Parte_Diario'!$E$5:$E$204,C401)))</f>
        <v>0</v>
      </c>
      <c r="G401" s="13">
        <f t="shared" si="42"/>
        <v>1</v>
      </c>
      <c r="H401" s="21">
        <f t="shared" si="43"/>
        <v>0</v>
      </c>
      <c r="I401" s="21">
        <f>IF(OR(B401="",C401="",$V$1=""),"",MIN(E401,SUMIFS('03_Planificacion'!$G$99:$G$178,'03_Planificacion'!$E$99:$E$178,B401,'03_Planificacion'!$F$99:$F$178,C401,'03_Planificacion'!$D$99:$D$178,"&lt;="&amp;$V$1)))</f>
        <v>0</v>
      </c>
      <c r="J401" s="21">
        <f t="shared" si="44"/>
        <v>0</v>
      </c>
      <c r="K401" s="6">
        <f t="shared" si="45"/>
        <v>0</v>
      </c>
      <c r="L401" t="s">
        <v>12</v>
      </c>
      <c r="P401" s="5">
        <f t="shared" si="46"/>
        <v>46287</v>
      </c>
      <c r="Q401" t="s">
        <v>148</v>
      </c>
      <c r="R401">
        <v>75</v>
      </c>
      <c r="S401" t="s">
        <v>70</v>
      </c>
      <c r="T401" t="str">
        <f t="shared" si="47"/>
        <v/>
      </c>
      <c r="U401">
        <f>IF(AND(L401="Para Programar",G401&gt;0),COUNTIFS($L$5:L401,"Para Programar",$G$5:G401,"&gt;0"),"")</f>
        <v>97</v>
      </c>
      <c r="W401" t="str">
        <f t="shared" si="48"/>
        <v>N19 - N27|08 Prueba hidráulica - Primera prueba oficial</v>
      </c>
      <c r="X401">
        <v>0</v>
      </c>
    </row>
    <row r="402" spans="1:24">
      <c r="A402" t="s">
        <v>96</v>
      </c>
      <c r="B402" s="14" t="s">
        <v>147</v>
      </c>
      <c r="C402" t="s">
        <v>97</v>
      </c>
      <c r="D402" s="13" t="s">
        <v>67</v>
      </c>
      <c r="E402" s="13">
        <v>117</v>
      </c>
      <c r="F402" s="13">
        <f>IF(E402="","",MIN(E402,$X402+SUMIFS('05_Parte_Diario'!$H$5:$H$204,'05_Parte_Diario'!$D$5:$D$204,B402,'05_Parte_Diario'!$E$5:$E$204,C402)))</f>
        <v>0</v>
      </c>
      <c r="G402" s="13">
        <f t="shared" si="42"/>
        <v>117</v>
      </c>
      <c r="H402" s="21">
        <f t="shared" si="43"/>
        <v>0</v>
      </c>
      <c r="I402" s="21">
        <f>IF(OR(B402="",C402="",$V$1=""),"",MIN(E402,SUMIFS('03_Planificacion'!$G$99:$G$178,'03_Planificacion'!$E$99:$E$178,B402,'03_Planificacion'!$F$99:$F$178,C402,'03_Planificacion'!$D$99:$D$178,"&lt;="&amp;$V$1)))</f>
        <v>0</v>
      </c>
      <c r="J402" s="21">
        <f t="shared" si="44"/>
        <v>0</v>
      </c>
      <c r="K402" s="6">
        <f t="shared" si="45"/>
        <v>0</v>
      </c>
      <c r="L402" t="s">
        <v>12</v>
      </c>
      <c r="P402" s="5">
        <f t="shared" si="46"/>
        <v>46287</v>
      </c>
      <c r="Q402" t="s">
        <v>148</v>
      </c>
      <c r="R402">
        <v>75</v>
      </c>
      <c r="S402" t="s">
        <v>70</v>
      </c>
      <c r="T402" t="str">
        <f t="shared" si="47"/>
        <v/>
      </c>
      <c r="U402">
        <f>IF(AND(L402="Para Programar",G402&gt;0),COUNTIFS($L$5:L402,"Para Programar",$G$5:G402,"&gt;0"),"")</f>
        <v>98</v>
      </c>
      <c r="W402" t="str">
        <f t="shared" si="48"/>
        <v>N19 - N27|09 Paquete estructural - Aporte e=0,30 m</v>
      </c>
      <c r="X402">
        <v>0</v>
      </c>
    </row>
    <row r="403" spans="1:24">
      <c r="A403" t="s">
        <v>98</v>
      </c>
      <c r="B403" s="14" t="s">
        <v>147</v>
      </c>
      <c r="C403" t="s">
        <v>99</v>
      </c>
      <c r="D403" s="13" t="s">
        <v>67</v>
      </c>
      <c r="E403" s="13">
        <v>117</v>
      </c>
      <c r="F403" s="13">
        <f>IF(E403="","",MIN(E403,$X403+SUMIFS('05_Parte_Diario'!$H$5:$H$204,'05_Parte_Diario'!$D$5:$D$204,B403,'05_Parte_Diario'!$E$5:$E$204,C403)))</f>
        <v>0</v>
      </c>
      <c r="G403" s="13">
        <f t="shared" si="42"/>
        <v>117</v>
      </c>
      <c r="H403" s="21">
        <f t="shared" si="43"/>
        <v>0</v>
      </c>
      <c r="I403" s="21">
        <f>IF(OR(B403="",C403="",$V$1=""),"",MIN(E403,SUMIFS('03_Planificacion'!$G$99:$G$178,'03_Planificacion'!$E$99:$E$178,B403,'03_Planificacion'!$F$99:$F$178,C403,'03_Planificacion'!$D$99:$D$178,"&lt;="&amp;$V$1)))</f>
        <v>0</v>
      </c>
      <c r="J403" s="21">
        <f t="shared" si="44"/>
        <v>0</v>
      </c>
      <c r="K403" s="6">
        <f t="shared" si="45"/>
        <v>0</v>
      </c>
      <c r="L403" t="s">
        <v>12</v>
      </c>
      <c r="P403" s="5">
        <f t="shared" si="46"/>
        <v>46287</v>
      </c>
      <c r="Q403" t="s">
        <v>148</v>
      </c>
      <c r="R403">
        <v>75</v>
      </c>
      <c r="S403" t="s">
        <v>70</v>
      </c>
      <c r="T403" t="str">
        <f t="shared" si="47"/>
        <v/>
      </c>
      <c r="U403">
        <f>IF(AND(L403="Para Programar",G403&gt;0),COUNTIFS($L$5:L403,"Para Programar",$G$5:G403,"&gt;0"),"")</f>
        <v>99</v>
      </c>
      <c r="W403" t="str">
        <f t="shared" si="48"/>
        <v>N19 - N27|09 Paquete estructural - Compactación</v>
      </c>
      <c r="X403">
        <v>0</v>
      </c>
    </row>
    <row r="404" spans="1:24">
      <c r="A404" t="s">
        <v>100</v>
      </c>
      <c r="B404" s="14" t="s">
        <v>147</v>
      </c>
      <c r="C404" t="s">
        <v>101</v>
      </c>
      <c r="D404" s="13" t="s">
        <v>81</v>
      </c>
      <c r="E404" s="13">
        <v>1</v>
      </c>
      <c r="F404" s="13">
        <f>IF(E404="","",MIN(E404,$X404+SUMIFS('05_Parte_Diario'!$H$5:$H$204,'05_Parte_Diario'!$D$5:$D$204,B404,'05_Parte_Diario'!$E$5:$E$204,C404)))</f>
        <v>0</v>
      </c>
      <c r="G404" s="13">
        <f t="shared" si="42"/>
        <v>1</v>
      </c>
      <c r="H404" s="21">
        <f t="shared" si="43"/>
        <v>0</v>
      </c>
      <c r="I404" s="21">
        <f>IF(OR(B404="",C404="",$V$1=""),"",MIN(E404,SUMIFS('03_Planificacion'!$G$99:$G$178,'03_Planificacion'!$E$99:$E$178,B404,'03_Planificacion'!$F$99:$F$178,C404,'03_Planificacion'!$D$99:$D$178,"&lt;="&amp;$V$1)))</f>
        <v>0</v>
      </c>
      <c r="J404" s="21">
        <f t="shared" si="44"/>
        <v>0</v>
      </c>
      <c r="K404" s="6">
        <f t="shared" si="45"/>
        <v>0</v>
      </c>
      <c r="L404" t="s">
        <v>12</v>
      </c>
      <c r="P404" s="5">
        <f t="shared" si="46"/>
        <v>46287</v>
      </c>
      <c r="Q404" t="s">
        <v>148</v>
      </c>
      <c r="R404">
        <v>75</v>
      </c>
      <c r="S404" t="s">
        <v>70</v>
      </c>
      <c r="T404" t="str">
        <f t="shared" si="47"/>
        <v/>
      </c>
      <c r="U404">
        <f>IF(AND(L404="Para Programar",G404&gt;0),COUNTIFS($L$5:L404,"Para Programar",$G$5:G404,"&gt;0"),"")</f>
        <v>100</v>
      </c>
      <c r="W404" t="str">
        <f t="shared" si="48"/>
        <v>N19 - N27|09 Paquete estructural - Inspección laboratorio</v>
      </c>
      <c r="X404">
        <v>0</v>
      </c>
    </row>
    <row r="405" spans="1:24">
      <c r="A405" t="s">
        <v>102</v>
      </c>
      <c r="B405" s="14" t="s">
        <v>147</v>
      </c>
      <c r="C405" t="s">
        <v>103</v>
      </c>
      <c r="D405" s="13" t="s">
        <v>67</v>
      </c>
      <c r="E405" s="13">
        <v>117</v>
      </c>
      <c r="F405" s="13">
        <f>IF(E405="","",MIN(E405,$X405+SUMIFS('05_Parte_Diario'!$H$5:$H$204,'05_Parte_Diario'!$D$5:$D$204,B405,'05_Parte_Diario'!$E$5:$E$204,C405)))</f>
        <v>0</v>
      </c>
      <c r="G405" s="13">
        <f t="shared" si="42"/>
        <v>117</v>
      </c>
      <c r="H405" s="21">
        <f t="shared" si="43"/>
        <v>0</v>
      </c>
      <c r="I405" s="21">
        <f>IF(OR(B405="",C405="",$V$1=""),"",MIN(E405,SUMIFS('03_Planificacion'!$G$99:$G$178,'03_Planificacion'!$E$99:$E$178,B405,'03_Planificacion'!$F$99:$F$178,C405,'03_Planificacion'!$D$99:$D$178,"&lt;="&amp;$V$1)))</f>
        <v>0</v>
      </c>
      <c r="J405" s="21">
        <f t="shared" si="44"/>
        <v>0</v>
      </c>
      <c r="K405" s="6">
        <f t="shared" si="45"/>
        <v>0</v>
      </c>
      <c r="L405" t="s">
        <v>12</v>
      </c>
      <c r="P405" s="5">
        <f t="shared" si="46"/>
        <v>46287</v>
      </c>
      <c r="Q405" t="s">
        <v>148</v>
      </c>
      <c r="R405">
        <v>75</v>
      </c>
      <c r="S405" t="s">
        <v>70</v>
      </c>
      <c r="T405" t="str">
        <f t="shared" si="47"/>
        <v/>
      </c>
      <c r="U405">
        <f>IF(AND(L405="Para Programar",G405&gt;0),COUNTIFS($L$5:L405,"Para Programar",$G$5:G405,"&gt;0"),"")</f>
        <v>101</v>
      </c>
      <c r="W405" t="str">
        <f t="shared" si="48"/>
        <v>N19 - N27|10 Relleno -0,60 - Conformación de capa</v>
      </c>
      <c r="X405">
        <v>0</v>
      </c>
    </row>
    <row r="406" spans="1:24">
      <c r="A406" t="s">
        <v>104</v>
      </c>
      <c r="B406" s="14" t="s">
        <v>147</v>
      </c>
      <c r="C406" t="s">
        <v>105</v>
      </c>
      <c r="D406" s="13" t="s">
        <v>67</v>
      </c>
      <c r="E406" s="13">
        <v>117</v>
      </c>
      <c r="F406" s="13">
        <f>IF(E406="","",MIN(E406,$X406+SUMIFS('05_Parte_Diario'!$H$5:$H$204,'05_Parte_Diario'!$D$5:$D$204,B406,'05_Parte_Diario'!$E$5:$E$204,C406)))</f>
        <v>0</v>
      </c>
      <c r="G406" s="13">
        <f t="shared" si="42"/>
        <v>117</v>
      </c>
      <c r="H406" s="21">
        <f t="shared" si="43"/>
        <v>0</v>
      </c>
      <c r="I406" s="21">
        <f>IF(OR(B406="",C406="",$V$1=""),"",MIN(E406,SUMIFS('03_Planificacion'!$G$99:$G$178,'03_Planificacion'!$E$99:$E$178,B406,'03_Planificacion'!$F$99:$F$178,C406,'03_Planificacion'!$D$99:$D$178,"&lt;="&amp;$V$1)))</f>
        <v>0</v>
      </c>
      <c r="J406" s="21">
        <f t="shared" si="44"/>
        <v>0</v>
      </c>
      <c r="K406" s="6">
        <f t="shared" si="45"/>
        <v>0</v>
      </c>
      <c r="L406" t="s">
        <v>12</v>
      </c>
      <c r="P406" s="5">
        <f t="shared" si="46"/>
        <v>46287</v>
      </c>
      <c r="Q406" t="s">
        <v>148</v>
      </c>
      <c r="R406">
        <v>75</v>
      </c>
      <c r="S406" t="s">
        <v>70</v>
      </c>
      <c r="T406" t="str">
        <f t="shared" si="47"/>
        <v/>
      </c>
      <c r="U406">
        <f>IF(AND(L406="Para Programar",G406&gt;0),COUNTIFS($L$5:L406,"Para Programar",$G$5:G406,"&gt;0"),"")</f>
        <v>102</v>
      </c>
      <c r="W406" t="str">
        <f t="shared" si="48"/>
        <v>N19 - N27|10 Relleno -0,60 - Humectación</v>
      </c>
      <c r="X406">
        <v>0</v>
      </c>
    </row>
    <row r="407" spans="1:24">
      <c r="A407" t="s">
        <v>106</v>
      </c>
      <c r="B407" s="14" t="s">
        <v>147</v>
      </c>
      <c r="C407" t="s">
        <v>107</v>
      </c>
      <c r="D407" s="13" t="s">
        <v>67</v>
      </c>
      <c r="E407" s="13">
        <v>117</v>
      </c>
      <c r="F407" s="13">
        <f>IF(E407="","",MIN(E407,$X407+SUMIFS('05_Parte_Diario'!$H$5:$H$204,'05_Parte_Diario'!$D$5:$D$204,B407,'05_Parte_Diario'!$E$5:$E$204,C407)))</f>
        <v>0</v>
      </c>
      <c r="G407" s="13">
        <f t="shared" si="42"/>
        <v>117</v>
      </c>
      <c r="H407" s="21">
        <f t="shared" si="43"/>
        <v>0</v>
      </c>
      <c r="I407" s="21">
        <f>IF(OR(B407="",C407="",$V$1=""),"",MIN(E407,SUMIFS('03_Planificacion'!$G$99:$G$178,'03_Planificacion'!$E$99:$E$178,B407,'03_Planificacion'!$F$99:$F$178,C407,'03_Planificacion'!$D$99:$D$178,"&lt;="&amp;$V$1)))</f>
        <v>0</v>
      </c>
      <c r="J407" s="21">
        <f t="shared" si="44"/>
        <v>0</v>
      </c>
      <c r="K407" s="6">
        <f t="shared" si="45"/>
        <v>0</v>
      </c>
      <c r="L407" t="s">
        <v>12</v>
      </c>
      <c r="P407" s="5">
        <f t="shared" si="46"/>
        <v>46287</v>
      </c>
      <c r="Q407" t="s">
        <v>148</v>
      </c>
      <c r="R407">
        <v>75</v>
      </c>
      <c r="S407" t="s">
        <v>70</v>
      </c>
      <c r="T407" t="str">
        <f t="shared" si="47"/>
        <v/>
      </c>
      <c r="U407">
        <f>IF(AND(L407="Para Programar",G407&gt;0),COUNTIFS($L$5:L407,"Para Programar",$G$5:G407,"&gt;0"),"")</f>
        <v>103</v>
      </c>
      <c r="W407" t="str">
        <f t="shared" si="48"/>
        <v>N19 - N27|10 Relleno -0,60 - Compactación</v>
      </c>
      <c r="X407">
        <v>0</v>
      </c>
    </row>
    <row r="408" spans="1:24">
      <c r="A408" t="s">
        <v>108</v>
      </c>
      <c r="B408" s="14" t="s">
        <v>147</v>
      </c>
      <c r="C408" t="s">
        <v>109</v>
      </c>
      <c r="D408" s="13" t="s">
        <v>81</v>
      </c>
      <c r="E408" s="13">
        <v>1</v>
      </c>
      <c r="F408" s="13">
        <f>IF(E408="","",MIN(E408,$X408+SUMIFS('05_Parte_Diario'!$H$5:$H$204,'05_Parte_Diario'!$D$5:$D$204,B408,'05_Parte_Diario'!$E$5:$E$204,C408)))</f>
        <v>0</v>
      </c>
      <c r="G408" s="13">
        <f t="shared" si="42"/>
        <v>1</v>
      </c>
      <c r="H408" s="21">
        <f t="shared" si="43"/>
        <v>0</v>
      </c>
      <c r="I408" s="21">
        <f>IF(OR(B408="",C408="",$V$1=""),"",MIN(E408,SUMIFS('03_Planificacion'!$G$99:$G$178,'03_Planificacion'!$E$99:$E$178,B408,'03_Planificacion'!$F$99:$F$178,C408,'03_Planificacion'!$D$99:$D$178,"&lt;="&amp;$V$1)))</f>
        <v>0</v>
      </c>
      <c r="J408" s="21">
        <f t="shared" si="44"/>
        <v>0</v>
      </c>
      <c r="K408" s="6">
        <f t="shared" si="45"/>
        <v>0</v>
      </c>
      <c r="L408" t="s">
        <v>12</v>
      </c>
      <c r="P408" s="5">
        <f t="shared" si="46"/>
        <v>46287</v>
      </c>
      <c r="Q408" t="s">
        <v>148</v>
      </c>
      <c r="R408">
        <v>75</v>
      </c>
      <c r="S408" t="s">
        <v>70</v>
      </c>
      <c r="T408" t="str">
        <f t="shared" si="47"/>
        <v/>
      </c>
      <c r="U408">
        <f>IF(AND(L408="Para Programar",G408&gt;0),COUNTIFS($L$5:L408,"Para Programar",$G$5:G408,"&gt;0"),"")</f>
        <v>104</v>
      </c>
      <c r="W408" t="str">
        <f t="shared" si="48"/>
        <v>N19 - N27|10 Relleno -0,60 - Inspección laboratorio</v>
      </c>
      <c r="X408">
        <v>0</v>
      </c>
    </row>
    <row r="409" spans="1:24">
      <c r="A409" t="s">
        <v>110</v>
      </c>
      <c r="B409" s="14" t="s">
        <v>147</v>
      </c>
      <c r="C409" t="s">
        <v>111</v>
      </c>
      <c r="D409" s="13" t="s">
        <v>67</v>
      </c>
      <c r="E409" s="13">
        <v>117</v>
      </c>
      <c r="F409" s="13">
        <f>IF(E409="","",MIN(E409,$X409+SUMIFS('05_Parte_Diario'!$H$5:$H$204,'05_Parte_Diario'!$D$5:$D$204,B409,'05_Parte_Diario'!$E$5:$E$204,C409)))</f>
        <v>0</v>
      </c>
      <c r="G409" s="13">
        <f t="shared" si="42"/>
        <v>117</v>
      </c>
      <c r="H409" s="21">
        <f t="shared" si="43"/>
        <v>0</v>
      </c>
      <c r="I409" s="21">
        <f>IF(OR(B409="",C409="",$V$1=""),"",MIN(E409,SUMIFS('03_Planificacion'!$G$99:$G$178,'03_Planificacion'!$E$99:$E$178,B409,'03_Planificacion'!$F$99:$F$178,C409,'03_Planificacion'!$D$99:$D$178,"&lt;="&amp;$V$1)))</f>
        <v>0</v>
      </c>
      <c r="J409" s="21">
        <f t="shared" si="44"/>
        <v>0</v>
      </c>
      <c r="K409" s="6">
        <f t="shared" si="45"/>
        <v>0</v>
      </c>
      <c r="L409" t="s">
        <v>12</v>
      </c>
      <c r="P409" s="5">
        <f t="shared" si="46"/>
        <v>46287</v>
      </c>
      <c r="Q409" t="s">
        <v>148</v>
      </c>
      <c r="R409">
        <v>75</v>
      </c>
      <c r="S409" t="s">
        <v>70</v>
      </c>
      <c r="T409" t="str">
        <f t="shared" si="47"/>
        <v/>
      </c>
      <c r="U409">
        <f>IF(AND(L409="Para Programar",G409&gt;0),COUNTIFS($L$5:L409,"Para Programar",$G$5:G409,"&gt;0"),"")</f>
        <v>105</v>
      </c>
      <c r="W409" t="str">
        <f t="shared" si="48"/>
        <v>N19 - N27|11 Relleno -0,30 - Conformación de capa</v>
      </c>
      <c r="X409">
        <v>0</v>
      </c>
    </row>
    <row r="410" spans="1:24">
      <c r="A410" t="s">
        <v>112</v>
      </c>
      <c r="B410" s="14" t="s">
        <v>147</v>
      </c>
      <c r="C410" t="s">
        <v>113</v>
      </c>
      <c r="D410" s="13" t="s">
        <v>67</v>
      </c>
      <c r="E410" s="13">
        <v>117</v>
      </c>
      <c r="F410" s="13">
        <f>IF(E410="","",MIN(E410,$X410+SUMIFS('05_Parte_Diario'!$H$5:$H$204,'05_Parte_Diario'!$D$5:$D$204,B410,'05_Parte_Diario'!$E$5:$E$204,C410)))</f>
        <v>0</v>
      </c>
      <c r="G410" s="13">
        <f t="shared" si="42"/>
        <v>117</v>
      </c>
      <c r="H410" s="21">
        <f t="shared" si="43"/>
        <v>0</v>
      </c>
      <c r="I410" s="21">
        <f>IF(OR(B410="",C410="",$V$1=""),"",MIN(E410,SUMIFS('03_Planificacion'!$G$99:$G$178,'03_Planificacion'!$E$99:$E$178,B410,'03_Planificacion'!$F$99:$F$178,C410,'03_Planificacion'!$D$99:$D$178,"&lt;="&amp;$V$1)))</f>
        <v>0</v>
      </c>
      <c r="J410" s="21">
        <f t="shared" si="44"/>
        <v>0</v>
      </c>
      <c r="K410" s="6">
        <f t="shared" si="45"/>
        <v>0</v>
      </c>
      <c r="L410" t="s">
        <v>12</v>
      </c>
      <c r="P410" s="5">
        <f t="shared" si="46"/>
        <v>46287</v>
      </c>
      <c r="Q410" t="s">
        <v>148</v>
      </c>
      <c r="R410">
        <v>75</v>
      </c>
      <c r="S410" t="s">
        <v>70</v>
      </c>
      <c r="T410" t="str">
        <f t="shared" si="47"/>
        <v/>
      </c>
      <c r="U410">
        <f>IF(AND(L410="Para Programar",G410&gt;0),COUNTIFS($L$5:L410,"Para Programar",$G$5:G410,"&gt;0"),"")</f>
        <v>106</v>
      </c>
      <c r="W410" t="str">
        <f t="shared" si="48"/>
        <v>N19 - N27|11 Relleno -0,30 - Humectación</v>
      </c>
      <c r="X410">
        <v>0</v>
      </c>
    </row>
    <row r="411" spans="1:24">
      <c r="A411" t="s">
        <v>114</v>
      </c>
      <c r="B411" s="14" t="s">
        <v>147</v>
      </c>
      <c r="C411" t="s">
        <v>115</v>
      </c>
      <c r="D411" s="13" t="s">
        <v>67</v>
      </c>
      <c r="E411" s="13">
        <v>117</v>
      </c>
      <c r="F411" s="13">
        <f>IF(E411="","",MIN(E411,$X411+SUMIFS('05_Parte_Diario'!$H$5:$H$204,'05_Parte_Diario'!$D$5:$D$204,B411,'05_Parte_Diario'!$E$5:$E$204,C411)))</f>
        <v>0</v>
      </c>
      <c r="G411" s="13">
        <f t="shared" si="42"/>
        <v>117</v>
      </c>
      <c r="H411" s="21">
        <f t="shared" si="43"/>
        <v>0</v>
      </c>
      <c r="I411" s="21">
        <f>IF(OR(B411="",C411="",$V$1=""),"",MIN(E411,SUMIFS('03_Planificacion'!$G$99:$G$178,'03_Planificacion'!$E$99:$E$178,B411,'03_Planificacion'!$F$99:$F$178,C411,'03_Planificacion'!$D$99:$D$178,"&lt;="&amp;$V$1)))</f>
        <v>0</v>
      </c>
      <c r="J411" s="21">
        <f t="shared" si="44"/>
        <v>0</v>
      </c>
      <c r="K411" s="6">
        <f t="shared" si="45"/>
        <v>0</v>
      </c>
      <c r="L411" t="s">
        <v>12</v>
      </c>
      <c r="P411" s="5">
        <f t="shared" si="46"/>
        <v>46287</v>
      </c>
      <c r="Q411" t="s">
        <v>148</v>
      </c>
      <c r="R411">
        <v>75</v>
      </c>
      <c r="S411" t="s">
        <v>70</v>
      </c>
      <c r="T411" t="str">
        <f t="shared" si="47"/>
        <v/>
      </c>
      <c r="U411">
        <f>IF(AND(L411="Para Programar",G411&gt;0),COUNTIFS($L$5:L411,"Para Programar",$G$5:G411,"&gt;0"),"")</f>
        <v>107</v>
      </c>
      <c r="W411" t="str">
        <f t="shared" si="48"/>
        <v>N19 - N27|11 Relleno -0,30 - Compactación</v>
      </c>
      <c r="X411">
        <v>0</v>
      </c>
    </row>
    <row r="412" spans="1:24">
      <c r="A412" t="s">
        <v>116</v>
      </c>
      <c r="B412" s="14" t="s">
        <v>147</v>
      </c>
      <c r="C412" t="s">
        <v>117</v>
      </c>
      <c r="D412" s="13" t="s">
        <v>81</v>
      </c>
      <c r="E412" s="13">
        <v>1</v>
      </c>
      <c r="F412" s="13">
        <f>IF(E412="","",MIN(E412,$X412+SUMIFS('05_Parte_Diario'!$H$5:$H$204,'05_Parte_Diario'!$D$5:$D$204,B412,'05_Parte_Diario'!$E$5:$E$204,C412)))</f>
        <v>0</v>
      </c>
      <c r="G412" s="13">
        <f t="shared" si="42"/>
        <v>1</v>
      </c>
      <c r="H412" s="21">
        <f t="shared" si="43"/>
        <v>0</v>
      </c>
      <c r="I412" s="21">
        <f>IF(OR(B412="",C412="",$V$1=""),"",MIN(E412,SUMIFS('03_Planificacion'!$G$99:$G$178,'03_Planificacion'!$E$99:$E$178,B412,'03_Planificacion'!$F$99:$F$178,C412,'03_Planificacion'!$D$99:$D$178,"&lt;="&amp;$V$1)))</f>
        <v>0</v>
      </c>
      <c r="J412" s="21">
        <f t="shared" si="44"/>
        <v>0</v>
      </c>
      <c r="K412" s="6">
        <f t="shared" si="45"/>
        <v>0</v>
      </c>
      <c r="L412" t="s">
        <v>12</v>
      </c>
      <c r="P412" s="5">
        <f t="shared" si="46"/>
        <v>46287</v>
      </c>
      <c r="Q412" t="s">
        <v>148</v>
      </c>
      <c r="R412">
        <v>75</v>
      </c>
      <c r="S412" t="s">
        <v>70</v>
      </c>
      <c r="T412" t="str">
        <f t="shared" si="47"/>
        <v/>
      </c>
      <c r="U412">
        <f>IF(AND(L412="Para Programar",G412&gt;0),COUNTIFS($L$5:L412,"Para Programar",$G$5:G412,"&gt;0"),"")</f>
        <v>108</v>
      </c>
      <c r="W412" t="str">
        <f t="shared" si="48"/>
        <v>N19 - N27|11 Relleno -0,30 - Inspección laboratorio</v>
      </c>
      <c r="X412">
        <v>0</v>
      </c>
    </row>
    <row r="413" spans="1:24">
      <c r="A413" t="s">
        <v>64</v>
      </c>
      <c r="B413" s="14" t="s">
        <v>149</v>
      </c>
      <c r="C413" t="s">
        <v>66</v>
      </c>
      <c r="D413" s="13" t="s">
        <v>67</v>
      </c>
      <c r="E413" s="13">
        <v>190</v>
      </c>
      <c r="F413" s="13">
        <f>IF(E413="","",MIN(E413,$X413+SUMIFS('05_Parte_Diario'!$H$5:$H$204,'05_Parte_Diario'!$D$5:$D$204,B413,'05_Parte_Diario'!$E$5:$E$204,C413)))</f>
        <v>0</v>
      </c>
      <c r="G413" s="13">
        <f t="shared" si="42"/>
        <v>190</v>
      </c>
      <c r="H413" s="21">
        <f t="shared" si="43"/>
        <v>0</v>
      </c>
      <c r="I413" s="21">
        <f>IF(OR(B413="",C413="",$V$1=""),"",MIN(E413,SUMIFS('03_Planificacion'!$G$99:$G$178,'03_Planificacion'!$E$99:$E$178,B413,'03_Planificacion'!$F$99:$F$178,C413,'03_Planificacion'!$D$99:$D$178,"&lt;="&amp;$V$1)))</f>
        <v>0</v>
      </c>
      <c r="J413" s="21">
        <f t="shared" si="44"/>
        <v>0</v>
      </c>
      <c r="K413" s="6">
        <f t="shared" si="45"/>
        <v>0</v>
      </c>
      <c r="L413" t="s">
        <v>68</v>
      </c>
      <c r="P413" s="5">
        <f t="shared" si="46"/>
        <v>46287</v>
      </c>
      <c r="Q413" t="s">
        <v>69</v>
      </c>
      <c r="R413">
        <v>75</v>
      </c>
      <c r="S413" t="s">
        <v>70</v>
      </c>
      <c r="T413" t="str">
        <f t="shared" si="47"/>
        <v/>
      </c>
      <c r="U413" t="str">
        <f>IF(AND(L413="Para Programar",G413&gt;0),COUNTIFS($L$5:L413,"Para Programar",$G$5:G413,"&gt;0"),"")</f>
        <v/>
      </c>
      <c r="W413" t="str">
        <f t="shared" si="48"/>
        <v>N2 - N3|01 Replanteo - Marcación de tramo de cañería principal</v>
      </c>
      <c r="X413">
        <v>0</v>
      </c>
    </row>
    <row r="414" spans="1:24">
      <c r="A414" t="s">
        <v>71</v>
      </c>
      <c r="B414" s="14" t="s">
        <v>149</v>
      </c>
      <c r="C414" t="s">
        <v>72</v>
      </c>
      <c r="D414" s="13" t="s">
        <v>67</v>
      </c>
      <c r="E414" s="13">
        <v>190</v>
      </c>
      <c r="F414" s="13">
        <f>IF(E414="","",MIN(E414,$X414+SUMIFS('05_Parte_Diario'!$H$5:$H$204,'05_Parte_Diario'!$D$5:$D$204,B414,'05_Parte_Diario'!$E$5:$E$204,C414)))</f>
        <v>0</v>
      </c>
      <c r="G414" s="13">
        <f t="shared" si="42"/>
        <v>190</v>
      </c>
      <c r="H414" s="21">
        <f t="shared" si="43"/>
        <v>0</v>
      </c>
      <c r="I414" s="21">
        <f>IF(OR(B414="",C414="",$V$1=""),"",MIN(E414,SUMIFS('03_Planificacion'!$G$99:$G$178,'03_Planificacion'!$E$99:$E$178,B414,'03_Planificacion'!$F$99:$F$178,C414,'03_Planificacion'!$D$99:$D$178,"&lt;="&amp;$V$1)))</f>
        <v>0</v>
      </c>
      <c r="J414" s="21">
        <f t="shared" si="44"/>
        <v>0</v>
      </c>
      <c r="K414" s="6">
        <f t="shared" si="45"/>
        <v>0</v>
      </c>
      <c r="L414" t="s">
        <v>68</v>
      </c>
      <c r="P414" s="5">
        <f t="shared" si="46"/>
        <v>46287</v>
      </c>
      <c r="Q414" t="s">
        <v>69</v>
      </c>
      <c r="R414">
        <v>75</v>
      </c>
      <c r="S414" t="s">
        <v>70</v>
      </c>
      <c r="T414" t="str">
        <f t="shared" si="47"/>
        <v/>
      </c>
      <c r="U414" t="str">
        <f>IF(AND(L414="Para Programar",G414&gt;0),COUNTIFS($L$5:L414,"Para Programar",$G$5:G414,"&gt;0"),"")</f>
        <v/>
      </c>
      <c r="W414" t="str">
        <f t="shared" si="48"/>
        <v>N2 - N3|02 Excavación - Zanja principal</v>
      </c>
      <c r="X414">
        <v>0</v>
      </c>
    </row>
    <row r="415" spans="1:24">
      <c r="A415" t="s">
        <v>73</v>
      </c>
      <c r="B415" s="14" t="s">
        <v>149</v>
      </c>
      <c r="C415" t="s">
        <v>74</v>
      </c>
      <c r="D415" s="13" t="s">
        <v>67</v>
      </c>
      <c r="E415" s="13">
        <v>190</v>
      </c>
      <c r="F415" s="13">
        <f>IF(E415="","",MIN(E415,$X415+SUMIFS('05_Parte_Diario'!$H$5:$H$204,'05_Parte_Diario'!$D$5:$D$204,B415,'05_Parte_Diario'!$E$5:$E$204,C415)))</f>
        <v>0</v>
      </c>
      <c r="G415" s="13">
        <f t="shared" si="42"/>
        <v>190</v>
      </c>
      <c r="H415" s="21">
        <f t="shared" si="43"/>
        <v>0</v>
      </c>
      <c r="I415" s="21">
        <f>IF(OR(B415="",C415="",$V$1=""),"",MIN(E415,SUMIFS('03_Planificacion'!$G$99:$G$178,'03_Planificacion'!$E$99:$E$178,B415,'03_Planificacion'!$F$99:$F$178,C415,'03_Planificacion'!$D$99:$D$178,"&lt;="&amp;$V$1)))</f>
        <v>0</v>
      </c>
      <c r="J415" s="21">
        <f t="shared" si="44"/>
        <v>0</v>
      </c>
      <c r="K415" s="6">
        <f t="shared" si="45"/>
        <v>0</v>
      </c>
      <c r="L415" t="s">
        <v>68</v>
      </c>
      <c r="P415" s="5">
        <f t="shared" si="46"/>
        <v>46287</v>
      </c>
      <c r="Q415" t="s">
        <v>69</v>
      </c>
      <c r="R415">
        <v>75</v>
      </c>
      <c r="S415" t="s">
        <v>70</v>
      </c>
      <c r="T415" t="str">
        <f t="shared" si="47"/>
        <v/>
      </c>
      <c r="U415" t="str">
        <f>IF(AND(L415="Para Programar",G415&gt;0),COUNTIFS($L$5:L415,"Para Programar",$G$5:G415,"&gt;0"),"")</f>
        <v/>
      </c>
      <c r="W415" t="str">
        <f t="shared" si="48"/>
        <v>N2 - N3|03 Base de asiento - Nivelación de fondo de zanja</v>
      </c>
      <c r="X415">
        <v>0</v>
      </c>
    </row>
    <row r="416" spans="1:24">
      <c r="A416" t="s">
        <v>75</v>
      </c>
      <c r="B416" s="14" t="s">
        <v>149</v>
      </c>
      <c r="C416" t="s">
        <v>76</v>
      </c>
      <c r="D416" s="13" t="s">
        <v>67</v>
      </c>
      <c r="E416" s="13">
        <v>190</v>
      </c>
      <c r="F416" s="13">
        <f>IF(E416="","",MIN(E416,$X416+SUMIFS('05_Parte_Diario'!$H$5:$H$204,'05_Parte_Diario'!$D$5:$D$204,B416,'05_Parte_Diario'!$E$5:$E$204,C416)))</f>
        <v>0</v>
      </c>
      <c r="G416" s="13">
        <f t="shared" si="42"/>
        <v>190</v>
      </c>
      <c r="H416" s="21">
        <f t="shared" si="43"/>
        <v>0</v>
      </c>
      <c r="I416" s="21">
        <f>IF(OR(B416="",C416="",$V$1=""),"",MIN(E416,SUMIFS('03_Planificacion'!$G$99:$G$178,'03_Planificacion'!$E$99:$E$178,B416,'03_Planificacion'!$F$99:$F$178,C416,'03_Planificacion'!$D$99:$D$178,"&lt;="&amp;$V$1)))</f>
        <v>0</v>
      </c>
      <c r="J416" s="21">
        <f t="shared" si="44"/>
        <v>0</v>
      </c>
      <c r="K416" s="6">
        <f t="shared" si="45"/>
        <v>0</v>
      </c>
      <c r="L416" t="s">
        <v>68</v>
      </c>
      <c r="P416" s="5">
        <f t="shared" si="46"/>
        <v>46287</v>
      </c>
      <c r="Q416" t="s">
        <v>69</v>
      </c>
      <c r="R416">
        <v>75</v>
      </c>
      <c r="S416" t="s">
        <v>70</v>
      </c>
      <c r="T416" t="str">
        <f t="shared" si="47"/>
        <v/>
      </c>
      <c r="U416" t="str">
        <f>IF(AND(L416="Para Programar",G416&gt;0),COUNTIFS($L$5:L416,"Para Programar",$G$5:G416,"&gt;0"),"")</f>
        <v/>
      </c>
      <c r="W416" t="str">
        <f t="shared" si="48"/>
        <v>N2 - N3|03 Base de asiento - Aporte de material base e=0,10 m</v>
      </c>
      <c r="X416">
        <v>0</v>
      </c>
    </row>
    <row r="417" spans="1:24">
      <c r="A417" t="s">
        <v>77</v>
      </c>
      <c r="B417" s="14" t="s">
        <v>149</v>
      </c>
      <c r="C417" t="s">
        <v>78</v>
      </c>
      <c r="D417" s="13" t="s">
        <v>67</v>
      </c>
      <c r="E417" s="13">
        <v>190</v>
      </c>
      <c r="F417" s="13">
        <f>IF(E417="","",MIN(E417,$X417+SUMIFS('05_Parte_Diario'!$H$5:$H$204,'05_Parte_Diario'!$D$5:$D$204,B417,'05_Parte_Diario'!$E$5:$E$204,C417)))</f>
        <v>0</v>
      </c>
      <c r="G417" s="13">
        <f t="shared" si="42"/>
        <v>190</v>
      </c>
      <c r="H417" s="21">
        <f t="shared" si="43"/>
        <v>0</v>
      </c>
      <c r="I417" s="21">
        <f>IF(OR(B417="",C417="",$V$1=""),"",MIN(E417,SUMIFS('03_Planificacion'!$G$99:$G$178,'03_Planificacion'!$E$99:$E$178,B417,'03_Planificacion'!$F$99:$F$178,C417,'03_Planificacion'!$D$99:$D$178,"&lt;="&amp;$V$1)))</f>
        <v>0</v>
      </c>
      <c r="J417" s="21">
        <f t="shared" si="44"/>
        <v>0</v>
      </c>
      <c r="K417" s="6">
        <f t="shared" si="45"/>
        <v>0</v>
      </c>
      <c r="L417" t="s">
        <v>68</v>
      </c>
      <c r="P417" s="5">
        <f t="shared" si="46"/>
        <v>46287</v>
      </c>
      <c r="Q417" t="s">
        <v>69</v>
      </c>
      <c r="R417">
        <v>75</v>
      </c>
      <c r="S417" t="s">
        <v>70</v>
      </c>
      <c r="T417" t="str">
        <f t="shared" si="47"/>
        <v/>
      </c>
      <c r="U417" t="str">
        <f>IF(AND(L417="Para Programar",G417&gt;0),COUNTIFS($L$5:L417,"Para Programar",$G$5:G417,"&gt;0"),"")</f>
        <v/>
      </c>
      <c r="W417" t="str">
        <f t="shared" si="48"/>
        <v>N2 - N3|03 Base de asiento - Compactación</v>
      </c>
      <c r="X417">
        <v>0</v>
      </c>
    </row>
    <row r="418" spans="1:24">
      <c r="A418" t="s">
        <v>79</v>
      </c>
      <c r="B418" s="14" t="s">
        <v>149</v>
      </c>
      <c r="C418" t="s">
        <v>80</v>
      </c>
      <c r="D418" s="13" t="s">
        <v>81</v>
      </c>
      <c r="E418" s="13">
        <v>1</v>
      </c>
      <c r="F418" s="13">
        <f>IF(E418="","",MIN(E418,$X418+SUMIFS('05_Parte_Diario'!$H$5:$H$204,'05_Parte_Diario'!$D$5:$D$204,B418,'05_Parte_Diario'!$E$5:$E$204,C418)))</f>
        <v>0</v>
      </c>
      <c r="G418" s="13">
        <f t="shared" si="42"/>
        <v>1</v>
      </c>
      <c r="H418" s="21">
        <f t="shared" si="43"/>
        <v>0</v>
      </c>
      <c r="I418" s="21">
        <f>IF(OR(B418="",C418="",$V$1=""),"",MIN(E418,SUMIFS('03_Planificacion'!$G$99:$G$178,'03_Planificacion'!$E$99:$E$178,B418,'03_Planificacion'!$F$99:$F$178,C418,'03_Planificacion'!$D$99:$D$178,"&lt;="&amp;$V$1)))</f>
        <v>0</v>
      </c>
      <c r="J418" s="21">
        <f t="shared" si="44"/>
        <v>0</v>
      </c>
      <c r="K418" s="6">
        <f t="shared" si="45"/>
        <v>0</v>
      </c>
      <c r="L418" t="s">
        <v>68</v>
      </c>
      <c r="P418" s="5">
        <f t="shared" si="46"/>
        <v>46287</v>
      </c>
      <c r="Q418" t="s">
        <v>69</v>
      </c>
      <c r="R418">
        <v>75</v>
      </c>
      <c r="S418" t="s">
        <v>70</v>
      </c>
      <c r="T418" t="str">
        <f t="shared" si="47"/>
        <v/>
      </c>
      <c r="U418" t="str">
        <f>IF(AND(L418="Para Programar",G418&gt;0),COUNTIFS($L$5:L418,"Para Programar",$G$5:G418,"&gt;0"),"")</f>
        <v/>
      </c>
      <c r="W418" t="str">
        <f t="shared" si="48"/>
        <v>N2 - N3|04 Inspecciones previas - Laboratorio base de asiento</v>
      </c>
      <c r="X418">
        <v>0</v>
      </c>
    </row>
    <row r="419" spans="1:24">
      <c r="A419" t="s">
        <v>82</v>
      </c>
      <c r="B419" s="14" t="s">
        <v>149</v>
      </c>
      <c r="C419" t="s">
        <v>83</v>
      </c>
      <c r="D419" s="13" t="s">
        <v>81</v>
      </c>
      <c r="E419" s="13">
        <v>1</v>
      </c>
      <c r="F419" s="13">
        <f>IF(E419="","",MIN(E419,$X419+SUMIFS('05_Parte_Diario'!$H$5:$H$204,'05_Parte_Diario'!$D$5:$D$204,B419,'05_Parte_Diario'!$E$5:$E$204,C419)))</f>
        <v>0</v>
      </c>
      <c r="G419" s="13">
        <f t="shared" si="42"/>
        <v>1</v>
      </c>
      <c r="H419" s="21">
        <f t="shared" si="43"/>
        <v>0</v>
      </c>
      <c r="I419" s="21">
        <f>IF(OR(B419="",C419="",$V$1=""),"",MIN(E419,SUMIFS('03_Planificacion'!$G$99:$G$178,'03_Planificacion'!$E$99:$E$178,B419,'03_Planificacion'!$F$99:$F$178,C419,'03_Planificacion'!$D$99:$D$178,"&lt;="&amp;$V$1)))</f>
        <v>0</v>
      </c>
      <c r="J419" s="21">
        <f t="shared" si="44"/>
        <v>0</v>
      </c>
      <c r="K419" s="6">
        <f t="shared" si="45"/>
        <v>0</v>
      </c>
      <c r="L419" t="s">
        <v>68</v>
      </c>
      <c r="P419" s="5">
        <f t="shared" si="46"/>
        <v>46287</v>
      </c>
      <c r="Q419" t="s">
        <v>69</v>
      </c>
      <c r="R419">
        <v>75</v>
      </c>
      <c r="S419" t="s">
        <v>70</v>
      </c>
      <c r="T419" t="str">
        <f t="shared" si="47"/>
        <v/>
      </c>
      <c r="U419" t="str">
        <f>IF(AND(L419="Para Programar",G419&gt;0),COUNTIFS($L$5:L419,"Para Programar",$G$5:G419,"&gt;0"),"")</f>
        <v/>
      </c>
      <c r="W419" t="str">
        <f t="shared" si="48"/>
        <v>N2 - N3|04 Inspecciones previas - Zanja y materiales</v>
      </c>
      <c r="X419">
        <v>0</v>
      </c>
    </row>
    <row r="420" spans="1:24">
      <c r="A420" t="s">
        <v>84</v>
      </c>
      <c r="B420" s="14" t="s">
        <v>149</v>
      </c>
      <c r="C420" t="s">
        <v>85</v>
      </c>
      <c r="D420" s="13" t="s">
        <v>67</v>
      </c>
      <c r="E420" s="13">
        <v>190</v>
      </c>
      <c r="F420" s="13">
        <f>IF(E420="","",MIN(E420,$X420+SUMIFS('05_Parte_Diario'!$H$5:$H$204,'05_Parte_Diario'!$D$5:$D$204,B420,'05_Parte_Diario'!$E$5:$E$204,C420)))</f>
        <v>0</v>
      </c>
      <c r="G420" s="13">
        <f t="shared" si="42"/>
        <v>190</v>
      </c>
      <c r="H420" s="21">
        <f t="shared" si="43"/>
        <v>0</v>
      </c>
      <c r="I420" s="21">
        <f>IF(OR(B420="",C420="",$V$1=""),"",MIN(E420,SUMIFS('03_Planificacion'!$G$99:$G$178,'03_Planificacion'!$E$99:$E$178,B420,'03_Planificacion'!$F$99:$F$178,C420,'03_Planificacion'!$D$99:$D$178,"&lt;="&amp;$V$1)))</f>
        <v>0</v>
      </c>
      <c r="J420" s="21">
        <f t="shared" si="44"/>
        <v>0</v>
      </c>
      <c r="K420" s="6">
        <f t="shared" si="45"/>
        <v>0</v>
      </c>
      <c r="L420" t="s">
        <v>68</v>
      </c>
      <c r="P420" s="5">
        <f t="shared" si="46"/>
        <v>46287</v>
      </c>
      <c r="Q420" t="s">
        <v>69</v>
      </c>
      <c r="R420">
        <v>75</v>
      </c>
      <c r="S420" t="s">
        <v>70</v>
      </c>
      <c r="T420" t="str">
        <f t="shared" si="47"/>
        <v/>
      </c>
      <c r="U420" t="str">
        <f>IF(AND(L420="Para Programar",G420&gt;0),COUNTIFS($L$5:L420,"Para Programar",$G$5:G420,"&gt;0"),"")</f>
        <v/>
      </c>
      <c r="W420" t="str">
        <f t="shared" si="48"/>
        <v>N2 - N3|05 Tendido de cañería - Cañería principal</v>
      </c>
      <c r="X420">
        <v>0</v>
      </c>
    </row>
    <row r="421" spans="1:24">
      <c r="A421" t="s">
        <v>86</v>
      </c>
      <c r="B421" s="14" t="s">
        <v>149</v>
      </c>
      <c r="C421" t="s">
        <v>87</v>
      </c>
      <c r="D421" s="13" t="s">
        <v>67</v>
      </c>
      <c r="E421" s="13">
        <v>190</v>
      </c>
      <c r="F421" s="13">
        <f>IF(E421="","",MIN(E421,$X421+SUMIFS('05_Parte_Diario'!$H$5:$H$204,'05_Parte_Diario'!$D$5:$D$204,B421,'05_Parte_Diario'!$E$5:$E$204,C421)))</f>
        <v>0</v>
      </c>
      <c r="G421" s="13">
        <f t="shared" si="42"/>
        <v>190</v>
      </c>
      <c r="H421" s="21">
        <f t="shared" si="43"/>
        <v>0</v>
      </c>
      <c r="I421" s="21">
        <f>IF(OR(B421="",C421="",$V$1=""),"",MIN(E421,SUMIFS('03_Planificacion'!$G$99:$G$178,'03_Planificacion'!$E$99:$E$178,B421,'03_Planificacion'!$F$99:$F$178,C421,'03_Planificacion'!$D$99:$D$178,"&lt;="&amp;$V$1)))</f>
        <v>0</v>
      </c>
      <c r="J421" s="21">
        <f t="shared" si="44"/>
        <v>0</v>
      </c>
      <c r="K421" s="6">
        <f t="shared" si="45"/>
        <v>0</v>
      </c>
      <c r="L421" t="s">
        <v>68</v>
      </c>
      <c r="P421" s="5">
        <f t="shared" si="46"/>
        <v>46287</v>
      </c>
      <c r="Q421" t="s">
        <v>69</v>
      </c>
      <c r="R421">
        <v>75</v>
      </c>
      <c r="S421" t="s">
        <v>70</v>
      </c>
      <c r="T421" t="str">
        <f t="shared" si="47"/>
        <v/>
      </c>
      <c r="U421" t="str">
        <f>IF(AND(L421="Para Programar",G421&gt;0),COUNTIFS($L$5:L421,"Para Programar",$G$5:G421,"&gt;0"),"")</f>
        <v/>
      </c>
      <c r="W421" t="str">
        <f t="shared" si="48"/>
        <v>N2 - N3|05 Tendido de cañería - Relevamiento planialtimétrico</v>
      </c>
      <c r="X421">
        <v>0</v>
      </c>
    </row>
    <row r="422" spans="1:24">
      <c r="A422" t="s">
        <v>88</v>
      </c>
      <c r="B422" s="14" t="s">
        <v>149</v>
      </c>
      <c r="C422" t="s">
        <v>89</v>
      </c>
      <c r="D422" s="13" t="s">
        <v>81</v>
      </c>
      <c r="E422" s="13">
        <v>1</v>
      </c>
      <c r="F422" s="13">
        <f>IF(E422="","",MIN(E422,$X422+SUMIFS('05_Parte_Diario'!$H$5:$H$204,'05_Parte_Diario'!$D$5:$D$204,B422,'05_Parte_Diario'!$E$5:$E$204,C422)))</f>
        <v>0</v>
      </c>
      <c r="G422" s="13">
        <f t="shared" si="42"/>
        <v>1</v>
      </c>
      <c r="H422" s="21">
        <f t="shared" si="43"/>
        <v>0</v>
      </c>
      <c r="I422" s="21">
        <f>IF(OR(B422="",C422="",$V$1=""),"",MIN(E422,SUMIFS('03_Planificacion'!$G$99:$G$178,'03_Planificacion'!$E$99:$E$178,B422,'03_Planificacion'!$F$99:$F$178,C422,'03_Planificacion'!$D$99:$D$178,"&lt;="&amp;$V$1)))</f>
        <v>0</v>
      </c>
      <c r="J422" s="21">
        <f t="shared" si="44"/>
        <v>0</v>
      </c>
      <c r="K422" s="6">
        <f t="shared" si="45"/>
        <v>0</v>
      </c>
      <c r="L422" t="s">
        <v>68</v>
      </c>
      <c r="P422" s="5">
        <f t="shared" si="46"/>
        <v>46287</v>
      </c>
      <c r="Q422" t="s">
        <v>69</v>
      </c>
      <c r="R422">
        <v>75</v>
      </c>
      <c r="S422" t="s">
        <v>70</v>
      </c>
      <c r="T422" t="str">
        <f t="shared" si="47"/>
        <v/>
      </c>
      <c r="U422" t="str">
        <f>IF(AND(L422="Para Programar",G422&gt;0),COUNTIFS($L$5:L422,"Para Programar",$G$5:G422,"&gt;0"),"")</f>
        <v/>
      </c>
      <c r="W422" t="str">
        <f t="shared" si="48"/>
        <v>N2 - N3|08 Prueba hidráulica - Preparación del sistema</v>
      </c>
      <c r="X422">
        <v>0</v>
      </c>
    </row>
    <row r="423" spans="1:24">
      <c r="A423" t="s">
        <v>90</v>
      </c>
      <c r="B423" s="14" t="s">
        <v>149</v>
      </c>
      <c r="C423" t="s">
        <v>91</v>
      </c>
      <c r="D423" s="13" t="s">
        <v>81</v>
      </c>
      <c r="E423" s="13">
        <v>1</v>
      </c>
      <c r="F423" s="13">
        <f>IF(E423="","",MIN(E423,$X423+SUMIFS('05_Parte_Diario'!$H$5:$H$204,'05_Parte_Diario'!$D$5:$D$204,B423,'05_Parte_Diario'!$E$5:$E$204,C423)))</f>
        <v>0</v>
      </c>
      <c r="G423" s="13">
        <f t="shared" si="42"/>
        <v>1</v>
      </c>
      <c r="H423" s="21">
        <f t="shared" si="43"/>
        <v>0</v>
      </c>
      <c r="I423" s="21">
        <f>IF(OR(B423="",C423="",$V$1=""),"",MIN(E423,SUMIFS('03_Planificacion'!$G$99:$G$178,'03_Planificacion'!$E$99:$E$178,B423,'03_Planificacion'!$F$99:$F$178,C423,'03_Planificacion'!$D$99:$D$178,"&lt;="&amp;$V$1)))</f>
        <v>0</v>
      </c>
      <c r="J423" s="21">
        <f t="shared" si="44"/>
        <v>0</v>
      </c>
      <c r="K423" s="6">
        <f t="shared" si="45"/>
        <v>0</v>
      </c>
      <c r="L423" t="s">
        <v>68</v>
      </c>
      <c r="P423" s="5">
        <f t="shared" si="46"/>
        <v>46287</v>
      </c>
      <c r="Q423" t="s">
        <v>69</v>
      </c>
      <c r="R423">
        <v>75</v>
      </c>
      <c r="S423" t="s">
        <v>70</v>
      </c>
      <c r="T423" t="str">
        <f t="shared" si="47"/>
        <v/>
      </c>
      <c r="U423" t="str">
        <f>IF(AND(L423="Para Programar",G423&gt;0),COUNTIFS($L$5:L423,"Para Programar",$G$5:G423,"&gt;0"),"")</f>
        <v/>
      </c>
      <c r="W423" t="str">
        <f t="shared" si="48"/>
        <v>N2 - N3|08 Prueba hidráulica - Interna N° 1</v>
      </c>
      <c r="X423">
        <v>0</v>
      </c>
    </row>
    <row r="424" spans="1:24">
      <c r="A424" t="s">
        <v>92</v>
      </c>
      <c r="B424" s="14" t="s">
        <v>149</v>
      </c>
      <c r="C424" t="s">
        <v>93</v>
      </c>
      <c r="D424" s="13" t="s">
        <v>81</v>
      </c>
      <c r="E424" s="13">
        <v>1</v>
      </c>
      <c r="F424" s="13">
        <f>IF(E424="","",MIN(E424,$X424+SUMIFS('05_Parte_Diario'!$H$5:$H$204,'05_Parte_Diario'!$D$5:$D$204,B424,'05_Parte_Diario'!$E$5:$E$204,C424)))</f>
        <v>0</v>
      </c>
      <c r="G424" s="13">
        <f t="shared" si="42"/>
        <v>1</v>
      </c>
      <c r="H424" s="21">
        <f t="shared" si="43"/>
        <v>0</v>
      </c>
      <c r="I424" s="21">
        <f>IF(OR(B424="",C424="",$V$1=""),"",MIN(E424,SUMIFS('03_Planificacion'!$G$99:$G$178,'03_Planificacion'!$E$99:$E$178,B424,'03_Planificacion'!$F$99:$F$178,C424,'03_Planificacion'!$D$99:$D$178,"&lt;="&amp;$V$1)))</f>
        <v>0</v>
      </c>
      <c r="J424" s="21">
        <f t="shared" si="44"/>
        <v>0</v>
      </c>
      <c r="K424" s="6">
        <f t="shared" si="45"/>
        <v>0</v>
      </c>
      <c r="L424" t="s">
        <v>68</v>
      </c>
      <c r="P424" s="5">
        <f t="shared" si="46"/>
        <v>46287</v>
      </c>
      <c r="Q424" t="s">
        <v>69</v>
      </c>
      <c r="R424">
        <v>75</v>
      </c>
      <c r="S424" t="s">
        <v>70</v>
      </c>
      <c r="T424" t="str">
        <f t="shared" si="47"/>
        <v/>
      </c>
      <c r="U424" t="str">
        <f>IF(AND(L424="Para Programar",G424&gt;0),COUNTIFS($L$5:L424,"Para Programar",$G$5:G424,"&gt;0"),"")</f>
        <v/>
      </c>
      <c r="W424" t="str">
        <f t="shared" si="48"/>
        <v>N2 - N3|08 Prueba hidráulica - Interna N° 2</v>
      </c>
      <c r="X424">
        <v>0</v>
      </c>
    </row>
    <row r="425" spans="1:24">
      <c r="A425" t="s">
        <v>94</v>
      </c>
      <c r="B425" s="14" t="s">
        <v>149</v>
      </c>
      <c r="C425" t="s">
        <v>95</v>
      </c>
      <c r="D425" s="13" t="s">
        <v>81</v>
      </c>
      <c r="E425" s="13">
        <v>1</v>
      </c>
      <c r="F425" s="13">
        <f>IF(E425="","",MIN(E425,$X425+SUMIFS('05_Parte_Diario'!$H$5:$H$204,'05_Parte_Diario'!$D$5:$D$204,B425,'05_Parte_Diario'!$E$5:$E$204,C425)))</f>
        <v>0</v>
      </c>
      <c r="G425" s="13">
        <f t="shared" si="42"/>
        <v>1</v>
      </c>
      <c r="H425" s="21">
        <f t="shared" si="43"/>
        <v>0</v>
      </c>
      <c r="I425" s="21">
        <f>IF(OR(B425="",C425="",$V$1=""),"",MIN(E425,SUMIFS('03_Planificacion'!$G$99:$G$178,'03_Planificacion'!$E$99:$E$178,B425,'03_Planificacion'!$F$99:$F$178,C425,'03_Planificacion'!$D$99:$D$178,"&lt;="&amp;$V$1)))</f>
        <v>0</v>
      </c>
      <c r="J425" s="21">
        <f t="shared" si="44"/>
        <v>0</v>
      </c>
      <c r="K425" s="6">
        <f t="shared" si="45"/>
        <v>0</v>
      </c>
      <c r="L425" t="s">
        <v>68</v>
      </c>
      <c r="P425" s="5">
        <f t="shared" si="46"/>
        <v>46287</v>
      </c>
      <c r="Q425" t="s">
        <v>69</v>
      </c>
      <c r="R425">
        <v>75</v>
      </c>
      <c r="S425" t="s">
        <v>70</v>
      </c>
      <c r="T425" t="str">
        <f t="shared" si="47"/>
        <v/>
      </c>
      <c r="U425" t="str">
        <f>IF(AND(L425="Para Programar",G425&gt;0),COUNTIFS($L$5:L425,"Para Programar",$G$5:G425,"&gt;0"),"")</f>
        <v/>
      </c>
      <c r="W425" t="str">
        <f t="shared" si="48"/>
        <v>N2 - N3|08 Prueba hidráulica - Primera prueba oficial</v>
      </c>
      <c r="X425">
        <v>0</v>
      </c>
    </row>
    <row r="426" spans="1:24">
      <c r="A426" t="s">
        <v>96</v>
      </c>
      <c r="B426" s="14" t="s">
        <v>149</v>
      </c>
      <c r="C426" t="s">
        <v>97</v>
      </c>
      <c r="D426" s="13" t="s">
        <v>67</v>
      </c>
      <c r="E426" s="13">
        <v>190</v>
      </c>
      <c r="F426" s="13">
        <f>IF(E426="","",MIN(E426,$X426+SUMIFS('05_Parte_Diario'!$H$5:$H$204,'05_Parte_Diario'!$D$5:$D$204,B426,'05_Parte_Diario'!$E$5:$E$204,C426)))</f>
        <v>0</v>
      </c>
      <c r="G426" s="13">
        <f t="shared" si="42"/>
        <v>190</v>
      </c>
      <c r="H426" s="21">
        <f t="shared" si="43"/>
        <v>0</v>
      </c>
      <c r="I426" s="21">
        <f>IF(OR(B426="",C426="",$V$1=""),"",MIN(E426,SUMIFS('03_Planificacion'!$G$99:$G$178,'03_Planificacion'!$E$99:$E$178,B426,'03_Planificacion'!$F$99:$F$178,C426,'03_Planificacion'!$D$99:$D$178,"&lt;="&amp;$V$1)))</f>
        <v>0</v>
      </c>
      <c r="J426" s="21">
        <f t="shared" si="44"/>
        <v>0</v>
      </c>
      <c r="K426" s="6">
        <f t="shared" si="45"/>
        <v>0</v>
      </c>
      <c r="L426" t="s">
        <v>68</v>
      </c>
      <c r="P426" s="5">
        <f t="shared" si="46"/>
        <v>46287</v>
      </c>
      <c r="Q426" t="s">
        <v>69</v>
      </c>
      <c r="R426">
        <v>75</v>
      </c>
      <c r="S426" t="s">
        <v>70</v>
      </c>
      <c r="T426" t="str">
        <f t="shared" si="47"/>
        <v/>
      </c>
      <c r="U426" t="str">
        <f>IF(AND(L426="Para Programar",G426&gt;0),COUNTIFS($L$5:L426,"Para Programar",$G$5:G426,"&gt;0"),"")</f>
        <v/>
      </c>
      <c r="W426" t="str">
        <f t="shared" si="48"/>
        <v>N2 - N3|09 Paquete estructural - Aporte e=0,30 m</v>
      </c>
      <c r="X426">
        <v>0</v>
      </c>
    </row>
    <row r="427" spans="1:24">
      <c r="A427" t="s">
        <v>98</v>
      </c>
      <c r="B427" s="14" t="s">
        <v>149</v>
      </c>
      <c r="C427" t="s">
        <v>99</v>
      </c>
      <c r="D427" s="13" t="s">
        <v>67</v>
      </c>
      <c r="E427" s="13">
        <v>190</v>
      </c>
      <c r="F427" s="13">
        <f>IF(E427="","",MIN(E427,$X427+SUMIFS('05_Parte_Diario'!$H$5:$H$204,'05_Parte_Diario'!$D$5:$D$204,B427,'05_Parte_Diario'!$E$5:$E$204,C427)))</f>
        <v>0</v>
      </c>
      <c r="G427" s="13">
        <f t="shared" si="42"/>
        <v>190</v>
      </c>
      <c r="H427" s="21">
        <f t="shared" si="43"/>
        <v>0</v>
      </c>
      <c r="I427" s="21">
        <f>IF(OR(B427="",C427="",$V$1=""),"",MIN(E427,SUMIFS('03_Planificacion'!$G$99:$G$178,'03_Planificacion'!$E$99:$E$178,B427,'03_Planificacion'!$F$99:$F$178,C427,'03_Planificacion'!$D$99:$D$178,"&lt;="&amp;$V$1)))</f>
        <v>0</v>
      </c>
      <c r="J427" s="21">
        <f t="shared" si="44"/>
        <v>0</v>
      </c>
      <c r="K427" s="6">
        <f t="shared" si="45"/>
        <v>0</v>
      </c>
      <c r="L427" t="s">
        <v>68</v>
      </c>
      <c r="P427" s="5">
        <f t="shared" si="46"/>
        <v>46287</v>
      </c>
      <c r="Q427" t="s">
        <v>69</v>
      </c>
      <c r="R427">
        <v>75</v>
      </c>
      <c r="S427" t="s">
        <v>70</v>
      </c>
      <c r="T427" t="str">
        <f t="shared" si="47"/>
        <v/>
      </c>
      <c r="U427" t="str">
        <f>IF(AND(L427="Para Programar",G427&gt;0),COUNTIFS($L$5:L427,"Para Programar",$G$5:G427,"&gt;0"),"")</f>
        <v/>
      </c>
      <c r="W427" t="str">
        <f t="shared" si="48"/>
        <v>N2 - N3|09 Paquete estructural - Compactación</v>
      </c>
      <c r="X427">
        <v>0</v>
      </c>
    </row>
    <row r="428" spans="1:24">
      <c r="A428" t="s">
        <v>100</v>
      </c>
      <c r="B428" s="14" t="s">
        <v>149</v>
      </c>
      <c r="C428" t="s">
        <v>101</v>
      </c>
      <c r="D428" s="13" t="s">
        <v>81</v>
      </c>
      <c r="E428" s="13">
        <v>1</v>
      </c>
      <c r="F428" s="13">
        <f>IF(E428="","",MIN(E428,$X428+SUMIFS('05_Parte_Diario'!$H$5:$H$204,'05_Parte_Diario'!$D$5:$D$204,B428,'05_Parte_Diario'!$E$5:$E$204,C428)))</f>
        <v>0</v>
      </c>
      <c r="G428" s="13">
        <f t="shared" si="42"/>
        <v>1</v>
      </c>
      <c r="H428" s="21">
        <f t="shared" si="43"/>
        <v>0</v>
      </c>
      <c r="I428" s="21">
        <f>IF(OR(B428="",C428="",$V$1=""),"",MIN(E428,SUMIFS('03_Planificacion'!$G$99:$G$178,'03_Planificacion'!$E$99:$E$178,B428,'03_Planificacion'!$F$99:$F$178,C428,'03_Planificacion'!$D$99:$D$178,"&lt;="&amp;$V$1)))</f>
        <v>0</v>
      </c>
      <c r="J428" s="21">
        <f t="shared" si="44"/>
        <v>0</v>
      </c>
      <c r="K428" s="6">
        <f t="shared" si="45"/>
        <v>0</v>
      </c>
      <c r="L428" t="s">
        <v>68</v>
      </c>
      <c r="P428" s="5">
        <f t="shared" si="46"/>
        <v>46287</v>
      </c>
      <c r="Q428" t="s">
        <v>69</v>
      </c>
      <c r="R428">
        <v>75</v>
      </c>
      <c r="S428" t="s">
        <v>70</v>
      </c>
      <c r="T428" t="str">
        <f t="shared" si="47"/>
        <v/>
      </c>
      <c r="U428" t="str">
        <f>IF(AND(L428="Para Programar",G428&gt;0),COUNTIFS($L$5:L428,"Para Programar",$G$5:G428,"&gt;0"),"")</f>
        <v/>
      </c>
      <c r="W428" t="str">
        <f t="shared" si="48"/>
        <v>N2 - N3|09 Paquete estructural - Inspección laboratorio</v>
      </c>
      <c r="X428">
        <v>0</v>
      </c>
    </row>
    <row r="429" spans="1:24">
      <c r="A429" t="s">
        <v>102</v>
      </c>
      <c r="B429" s="14" t="s">
        <v>149</v>
      </c>
      <c r="C429" t="s">
        <v>103</v>
      </c>
      <c r="D429" s="13" t="s">
        <v>67</v>
      </c>
      <c r="E429" s="13">
        <v>190</v>
      </c>
      <c r="F429" s="13">
        <f>IF(E429="","",MIN(E429,$X429+SUMIFS('05_Parte_Diario'!$H$5:$H$204,'05_Parte_Diario'!$D$5:$D$204,B429,'05_Parte_Diario'!$E$5:$E$204,C429)))</f>
        <v>0</v>
      </c>
      <c r="G429" s="13">
        <f t="shared" si="42"/>
        <v>190</v>
      </c>
      <c r="H429" s="21">
        <f t="shared" si="43"/>
        <v>0</v>
      </c>
      <c r="I429" s="21">
        <f>IF(OR(B429="",C429="",$V$1=""),"",MIN(E429,SUMIFS('03_Planificacion'!$G$99:$G$178,'03_Planificacion'!$E$99:$E$178,B429,'03_Planificacion'!$F$99:$F$178,C429,'03_Planificacion'!$D$99:$D$178,"&lt;="&amp;$V$1)))</f>
        <v>0</v>
      </c>
      <c r="J429" s="21">
        <f t="shared" si="44"/>
        <v>0</v>
      </c>
      <c r="K429" s="6">
        <f t="shared" si="45"/>
        <v>0</v>
      </c>
      <c r="L429" t="s">
        <v>68</v>
      </c>
      <c r="P429" s="5">
        <f t="shared" si="46"/>
        <v>46287</v>
      </c>
      <c r="Q429" t="s">
        <v>69</v>
      </c>
      <c r="R429">
        <v>75</v>
      </c>
      <c r="S429" t="s">
        <v>70</v>
      </c>
      <c r="T429" t="str">
        <f t="shared" si="47"/>
        <v/>
      </c>
      <c r="U429" t="str">
        <f>IF(AND(L429="Para Programar",G429&gt;0),COUNTIFS($L$5:L429,"Para Programar",$G$5:G429,"&gt;0"),"")</f>
        <v/>
      </c>
      <c r="W429" t="str">
        <f t="shared" si="48"/>
        <v>N2 - N3|10 Relleno -0,60 - Conformación de capa</v>
      </c>
      <c r="X429">
        <v>0</v>
      </c>
    </row>
    <row r="430" spans="1:24">
      <c r="A430" t="s">
        <v>104</v>
      </c>
      <c r="B430" s="14" t="s">
        <v>149</v>
      </c>
      <c r="C430" t="s">
        <v>105</v>
      </c>
      <c r="D430" s="13" t="s">
        <v>67</v>
      </c>
      <c r="E430" s="13">
        <v>190</v>
      </c>
      <c r="F430" s="13">
        <f>IF(E430="","",MIN(E430,$X430+SUMIFS('05_Parte_Diario'!$H$5:$H$204,'05_Parte_Diario'!$D$5:$D$204,B430,'05_Parte_Diario'!$E$5:$E$204,C430)))</f>
        <v>0</v>
      </c>
      <c r="G430" s="13">
        <f t="shared" si="42"/>
        <v>190</v>
      </c>
      <c r="H430" s="21">
        <f t="shared" si="43"/>
        <v>0</v>
      </c>
      <c r="I430" s="21">
        <f>IF(OR(B430="",C430="",$V$1=""),"",MIN(E430,SUMIFS('03_Planificacion'!$G$99:$G$178,'03_Planificacion'!$E$99:$E$178,B430,'03_Planificacion'!$F$99:$F$178,C430,'03_Planificacion'!$D$99:$D$178,"&lt;="&amp;$V$1)))</f>
        <v>0</v>
      </c>
      <c r="J430" s="21">
        <f t="shared" si="44"/>
        <v>0</v>
      </c>
      <c r="K430" s="6">
        <f t="shared" si="45"/>
        <v>0</v>
      </c>
      <c r="L430" t="s">
        <v>68</v>
      </c>
      <c r="P430" s="5">
        <f t="shared" si="46"/>
        <v>46287</v>
      </c>
      <c r="Q430" t="s">
        <v>69</v>
      </c>
      <c r="R430">
        <v>75</v>
      </c>
      <c r="S430" t="s">
        <v>70</v>
      </c>
      <c r="T430" t="str">
        <f t="shared" si="47"/>
        <v/>
      </c>
      <c r="U430" t="str">
        <f>IF(AND(L430="Para Programar",G430&gt;0),COUNTIFS($L$5:L430,"Para Programar",$G$5:G430,"&gt;0"),"")</f>
        <v/>
      </c>
      <c r="W430" t="str">
        <f t="shared" si="48"/>
        <v>N2 - N3|10 Relleno -0,60 - Humectación</v>
      </c>
      <c r="X430">
        <v>0</v>
      </c>
    </row>
    <row r="431" spans="1:24">
      <c r="A431" t="s">
        <v>106</v>
      </c>
      <c r="B431" s="14" t="s">
        <v>149</v>
      </c>
      <c r="C431" t="s">
        <v>107</v>
      </c>
      <c r="D431" s="13" t="s">
        <v>67</v>
      </c>
      <c r="E431" s="13">
        <v>190</v>
      </c>
      <c r="F431" s="13">
        <f>IF(E431="","",MIN(E431,$X431+SUMIFS('05_Parte_Diario'!$H$5:$H$204,'05_Parte_Diario'!$D$5:$D$204,B431,'05_Parte_Diario'!$E$5:$E$204,C431)))</f>
        <v>0</v>
      </c>
      <c r="G431" s="13">
        <f t="shared" si="42"/>
        <v>190</v>
      </c>
      <c r="H431" s="21">
        <f t="shared" si="43"/>
        <v>0</v>
      </c>
      <c r="I431" s="21">
        <f>IF(OR(B431="",C431="",$V$1=""),"",MIN(E431,SUMIFS('03_Planificacion'!$G$99:$G$178,'03_Planificacion'!$E$99:$E$178,B431,'03_Planificacion'!$F$99:$F$178,C431,'03_Planificacion'!$D$99:$D$178,"&lt;="&amp;$V$1)))</f>
        <v>0</v>
      </c>
      <c r="J431" s="21">
        <f t="shared" si="44"/>
        <v>0</v>
      </c>
      <c r="K431" s="6">
        <f t="shared" si="45"/>
        <v>0</v>
      </c>
      <c r="L431" t="s">
        <v>68</v>
      </c>
      <c r="P431" s="5">
        <f t="shared" si="46"/>
        <v>46287</v>
      </c>
      <c r="Q431" t="s">
        <v>69</v>
      </c>
      <c r="R431">
        <v>75</v>
      </c>
      <c r="S431" t="s">
        <v>70</v>
      </c>
      <c r="T431" t="str">
        <f t="shared" si="47"/>
        <v/>
      </c>
      <c r="U431" t="str">
        <f>IF(AND(L431="Para Programar",G431&gt;0),COUNTIFS($L$5:L431,"Para Programar",$G$5:G431,"&gt;0"),"")</f>
        <v/>
      </c>
      <c r="W431" t="str">
        <f t="shared" si="48"/>
        <v>N2 - N3|10 Relleno -0,60 - Compactación</v>
      </c>
      <c r="X431">
        <v>0</v>
      </c>
    </row>
    <row r="432" spans="1:24">
      <c r="A432" t="s">
        <v>108</v>
      </c>
      <c r="B432" s="14" t="s">
        <v>149</v>
      </c>
      <c r="C432" t="s">
        <v>109</v>
      </c>
      <c r="D432" s="13" t="s">
        <v>81</v>
      </c>
      <c r="E432" s="13">
        <v>1</v>
      </c>
      <c r="F432" s="13">
        <f>IF(E432="","",MIN(E432,$X432+SUMIFS('05_Parte_Diario'!$H$5:$H$204,'05_Parte_Diario'!$D$5:$D$204,B432,'05_Parte_Diario'!$E$5:$E$204,C432)))</f>
        <v>0</v>
      </c>
      <c r="G432" s="13">
        <f t="shared" si="42"/>
        <v>1</v>
      </c>
      <c r="H432" s="21">
        <f t="shared" si="43"/>
        <v>0</v>
      </c>
      <c r="I432" s="21">
        <f>IF(OR(B432="",C432="",$V$1=""),"",MIN(E432,SUMIFS('03_Planificacion'!$G$99:$G$178,'03_Planificacion'!$E$99:$E$178,B432,'03_Planificacion'!$F$99:$F$178,C432,'03_Planificacion'!$D$99:$D$178,"&lt;="&amp;$V$1)))</f>
        <v>0</v>
      </c>
      <c r="J432" s="21">
        <f t="shared" si="44"/>
        <v>0</v>
      </c>
      <c r="K432" s="6">
        <f t="shared" si="45"/>
        <v>0</v>
      </c>
      <c r="L432" t="s">
        <v>68</v>
      </c>
      <c r="P432" s="5">
        <f t="shared" si="46"/>
        <v>46287</v>
      </c>
      <c r="Q432" t="s">
        <v>69</v>
      </c>
      <c r="R432">
        <v>75</v>
      </c>
      <c r="S432" t="s">
        <v>70</v>
      </c>
      <c r="T432" t="str">
        <f t="shared" si="47"/>
        <v/>
      </c>
      <c r="U432" t="str">
        <f>IF(AND(L432="Para Programar",G432&gt;0),COUNTIFS($L$5:L432,"Para Programar",$G$5:G432,"&gt;0"),"")</f>
        <v/>
      </c>
      <c r="W432" t="str">
        <f t="shared" si="48"/>
        <v>N2 - N3|10 Relleno -0,60 - Inspección laboratorio</v>
      </c>
      <c r="X432">
        <v>0</v>
      </c>
    </row>
    <row r="433" spans="1:24">
      <c r="A433" t="s">
        <v>110</v>
      </c>
      <c r="B433" s="14" t="s">
        <v>149</v>
      </c>
      <c r="C433" t="s">
        <v>111</v>
      </c>
      <c r="D433" s="13" t="s">
        <v>67</v>
      </c>
      <c r="E433" s="13">
        <v>190</v>
      </c>
      <c r="F433" s="13">
        <f>IF(E433="","",MIN(E433,$X433+SUMIFS('05_Parte_Diario'!$H$5:$H$204,'05_Parte_Diario'!$D$5:$D$204,B433,'05_Parte_Diario'!$E$5:$E$204,C433)))</f>
        <v>0</v>
      </c>
      <c r="G433" s="13">
        <f t="shared" si="42"/>
        <v>190</v>
      </c>
      <c r="H433" s="21">
        <f t="shared" si="43"/>
        <v>0</v>
      </c>
      <c r="I433" s="21">
        <f>IF(OR(B433="",C433="",$V$1=""),"",MIN(E433,SUMIFS('03_Planificacion'!$G$99:$G$178,'03_Planificacion'!$E$99:$E$178,B433,'03_Planificacion'!$F$99:$F$178,C433,'03_Planificacion'!$D$99:$D$178,"&lt;="&amp;$V$1)))</f>
        <v>0</v>
      </c>
      <c r="J433" s="21">
        <f t="shared" si="44"/>
        <v>0</v>
      </c>
      <c r="K433" s="6">
        <f t="shared" si="45"/>
        <v>0</v>
      </c>
      <c r="L433" t="s">
        <v>68</v>
      </c>
      <c r="P433" s="5">
        <f t="shared" si="46"/>
        <v>46287</v>
      </c>
      <c r="Q433" t="s">
        <v>69</v>
      </c>
      <c r="R433">
        <v>75</v>
      </c>
      <c r="S433" t="s">
        <v>70</v>
      </c>
      <c r="T433" t="str">
        <f t="shared" si="47"/>
        <v/>
      </c>
      <c r="U433" t="str">
        <f>IF(AND(L433="Para Programar",G433&gt;0),COUNTIFS($L$5:L433,"Para Programar",$G$5:G433,"&gt;0"),"")</f>
        <v/>
      </c>
      <c r="W433" t="str">
        <f t="shared" si="48"/>
        <v>N2 - N3|11 Relleno -0,30 - Conformación de capa</v>
      </c>
      <c r="X433">
        <v>0</v>
      </c>
    </row>
    <row r="434" spans="1:24">
      <c r="A434" t="s">
        <v>112</v>
      </c>
      <c r="B434" s="14" t="s">
        <v>149</v>
      </c>
      <c r="C434" t="s">
        <v>113</v>
      </c>
      <c r="D434" s="13" t="s">
        <v>67</v>
      </c>
      <c r="E434" s="13">
        <v>190</v>
      </c>
      <c r="F434" s="13">
        <f>IF(E434="","",MIN(E434,$X434+SUMIFS('05_Parte_Diario'!$H$5:$H$204,'05_Parte_Diario'!$D$5:$D$204,B434,'05_Parte_Diario'!$E$5:$E$204,C434)))</f>
        <v>0</v>
      </c>
      <c r="G434" s="13">
        <f t="shared" si="42"/>
        <v>190</v>
      </c>
      <c r="H434" s="21">
        <f t="shared" si="43"/>
        <v>0</v>
      </c>
      <c r="I434" s="21">
        <f>IF(OR(B434="",C434="",$V$1=""),"",MIN(E434,SUMIFS('03_Planificacion'!$G$99:$G$178,'03_Planificacion'!$E$99:$E$178,B434,'03_Planificacion'!$F$99:$F$178,C434,'03_Planificacion'!$D$99:$D$178,"&lt;="&amp;$V$1)))</f>
        <v>0</v>
      </c>
      <c r="J434" s="21">
        <f t="shared" si="44"/>
        <v>0</v>
      </c>
      <c r="K434" s="6">
        <f t="shared" si="45"/>
        <v>0</v>
      </c>
      <c r="L434" t="s">
        <v>68</v>
      </c>
      <c r="P434" s="5">
        <f t="shared" si="46"/>
        <v>46287</v>
      </c>
      <c r="Q434" t="s">
        <v>69</v>
      </c>
      <c r="R434">
        <v>75</v>
      </c>
      <c r="S434" t="s">
        <v>70</v>
      </c>
      <c r="T434" t="str">
        <f t="shared" si="47"/>
        <v/>
      </c>
      <c r="U434" t="str">
        <f>IF(AND(L434="Para Programar",G434&gt;0),COUNTIFS($L$5:L434,"Para Programar",$G$5:G434,"&gt;0"),"")</f>
        <v/>
      </c>
      <c r="W434" t="str">
        <f t="shared" si="48"/>
        <v>N2 - N3|11 Relleno -0,30 - Humectación</v>
      </c>
      <c r="X434">
        <v>0</v>
      </c>
    </row>
    <row r="435" spans="1:24">
      <c r="A435" t="s">
        <v>114</v>
      </c>
      <c r="B435" s="14" t="s">
        <v>149</v>
      </c>
      <c r="C435" t="s">
        <v>115</v>
      </c>
      <c r="D435" s="13" t="s">
        <v>67</v>
      </c>
      <c r="E435" s="13">
        <v>190</v>
      </c>
      <c r="F435" s="13">
        <f>IF(E435="","",MIN(E435,$X435+SUMIFS('05_Parte_Diario'!$H$5:$H$204,'05_Parte_Diario'!$D$5:$D$204,B435,'05_Parte_Diario'!$E$5:$E$204,C435)))</f>
        <v>0</v>
      </c>
      <c r="G435" s="13">
        <f t="shared" si="42"/>
        <v>190</v>
      </c>
      <c r="H435" s="21">
        <f t="shared" si="43"/>
        <v>0</v>
      </c>
      <c r="I435" s="21">
        <f>IF(OR(B435="",C435="",$V$1=""),"",MIN(E435,SUMIFS('03_Planificacion'!$G$99:$G$178,'03_Planificacion'!$E$99:$E$178,B435,'03_Planificacion'!$F$99:$F$178,C435,'03_Planificacion'!$D$99:$D$178,"&lt;="&amp;$V$1)))</f>
        <v>0</v>
      </c>
      <c r="J435" s="21">
        <f t="shared" si="44"/>
        <v>0</v>
      </c>
      <c r="K435" s="6">
        <f t="shared" si="45"/>
        <v>0</v>
      </c>
      <c r="L435" t="s">
        <v>68</v>
      </c>
      <c r="P435" s="5">
        <f t="shared" si="46"/>
        <v>46287</v>
      </c>
      <c r="Q435" t="s">
        <v>69</v>
      </c>
      <c r="R435">
        <v>75</v>
      </c>
      <c r="S435" t="s">
        <v>70</v>
      </c>
      <c r="T435" t="str">
        <f t="shared" si="47"/>
        <v/>
      </c>
      <c r="U435" t="str">
        <f>IF(AND(L435="Para Programar",G435&gt;0),COUNTIFS($L$5:L435,"Para Programar",$G$5:G435,"&gt;0"),"")</f>
        <v/>
      </c>
      <c r="W435" t="str">
        <f t="shared" si="48"/>
        <v>N2 - N3|11 Relleno -0,30 - Compactación</v>
      </c>
      <c r="X435">
        <v>0</v>
      </c>
    </row>
    <row r="436" spans="1:24">
      <c r="A436" t="s">
        <v>116</v>
      </c>
      <c r="B436" s="14" t="s">
        <v>149</v>
      </c>
      <c r="C436" t="s">
        <v>117</v>
      </c>
      <c r="D436" s="13" t="s">
        <v>81</v>
      </c>
      <c r="E436" s="13">
        <v>1</v>
      </c>
      <c r="F436" s="13">
        <f>IF(E436="","",MIN(E436,$X436+SUMIFS('05_Parte_Diario'!$H$5:$H$204,'05_Parte_Diario'!$D$5:$D$204,B436,'05_Parte_Diario'!$E$5:$E$204,C436)))</f>
        <v>0</v>
      </c>
      <c r="G436" s="13">
        <f t="shared" si="42"/>
        <v>1</v>
      </c>
      <c r="H436" s="21">
        <f t="shared" si="43"/>
        <v>0</v>
      </c>
      <c r="I436" s="21">
        <f>IF(OR(B436="",C436="",$V$1=""),"",MIN(E436,SUMIFS('03_Planificacion'!$G$99:$G$178,'03_Planificacion'!$E$99:$E$178,B436,'03_Planificacion'!$F$99:$F$178,C436,'03_Planificacion'!$D$99:$D$178,"&lt;="&amp;$V$1)))</f>
        <v>0</v>
      </c>
      <c r="J436" s="21">
        <f t="shared" si="44"/>
        <v>0</v>
      </c>
      <c r="K436" s="6">
        <f t="shared" si="45"/>
        <v>0</v>
      </c>
      <c r="L436" t="s">
        <v>68</v>
      </c>
      <c r="P436" s="5">
        <f t="shared" si="46"/>
        <v>46287</v>
      </c>
      <c r="Q436" t="s">
        <v>69</v>
      </c>
      <c r="R436">
        <v>75</v>
      </c>
      <c r="S436" t="s">
        <v>70</v>
      </c>
      <c r="T436" t="str">
        <f t="shared" si="47"/>
        <v/>
      </c>
      <c r="U436" t="str">
        <f>IF(AND(L436="Para Programar",G436&gt;0),COUNTIFS($L$5:L436,"Para Programar",$G$5:G436,"&gt;0"),"")</f>
        <v/>
      </c>
      <c r="W436" t="str">
        <f t="shared" si="48"/>
        <v>N2 - N3|11 Relleno -0,30 - Inspección laboratorio</v>
      </c>
      <c r="X436">
        <v>0</v>
      </c>
    </row>
    <row r="437" spans="1:24">
      <c r="A437" t="s">
        <v>64</v>
      </c>
      <c r="B437" s="14" t="s">
        <v>150</v>
      </c>
      <c r="C437" t="s">
        <v>66</v>
      </c>
      <c r="D437" s="13" t="s">
        <v>67</v>
      </c>
      <c r="E437" s="13">
        <v>40</v>
      </c>
      <c r="F437" s="13">
        <f>IF(E437="","",MIN(E437,$X437+SUMIFS('05_Parte_Diario'!$H$5:$H$204,'05_Parte_Diario'!$D$5:$D$204,B437,'05_Parte_Diario'!$E$5:$E$204,C437)))</f>
        <v>0</v>
      </c>
      <c r="G437" s="13">
        <f t="shared" si="42"/>
        <v>40</v>
      </c>
      <c r="H437" s="21">
        <f t="shared" si="43"/>
        <v>0</v>
      </c>
      <c r="I437" s="21">
        <f>IF(OR(B437="",C437="",$V$1=""),"",MIN(E437,SUMIFS('03_Planificacion'!$G$99:$G$178,'03_Planificacion'!$E$99:$E$178,B437,'03_Planificacion'!$F$99:$F$178,C437,'03_Planificacion'!$D$99:$D$178,"&lt;="&amp;$V$1)))</f>
        <v>0</v>
      </c>
      <c r="J437" s="21">
        <f t="shared" si="44"/>
        <v>0</v>
      </c>
      <c r="K437" s="6">
        <f t="shared" si="45"/>
        <v>0</v>
      </c>
      <c r="L437" t="s">
        <v>68</v>
      </c>
      <c r="P437" s="5">
        <f t="shared" si="46"/>
        <v>46287</v>
      </c>
      <c r="Q437" t="s">
        <v>125</v>
      </c>
      <c r="R437">
        <v>110</v>
      </c>
      <c r="S437" t="s">
        <v>70</v>
      </c>
      <c r="T437" t="str">
        <f t="shared" si="47"/>
        <v/>
      </c>
      <c r="U437" t="str">
        <f>IF(AND(L437="Para Programar",G437&gt;0),COUNTIFS($L$5:L437,"Para Programar",$G$5:G437,"&gt;0"),"")</f>
        <v/>
      </c>
      <c r="W437" t="str">
        <f t="shared" si="48"/>
        <v>N2 - N32|01 Replanteo - Marcación de tramo de cañería principal</v>
      </c>
      <c r="X437">
        <v>0</v>
      </c>
    </row>
    <row r="438" spans="1:24">
      <c r="A438" t="s">
        <v>71</v>
      </c>
      <c r="B438" s="14" t="s">
        <v>150</v>
      </c>
      <c r="C438" t="s">
        <v>72</v>
      </c>
      <c r="D438" s="13" t="s">
        <v>67</v>
      </c>
      <c r="E438" s="13">
        <v>40</v>
      </c>
      <c r="F438" s="13">
        <f>IF(E438="","",MIN(E438,$X438+SUMIFS('05_Parte_Diario'!$H$5:$H$204,'05_Parte_Diario'!$D$5:$D$204,B438,'05_Parte_Diario'!$E$5:$E$204,C438)))</f>
        <v>0</v>
      </c>
      <c r="G438" s="13">
        <f t="shared" si="42"/>
        <v>40</v>
      </c>
      <c r="H438" s="21">
        <f t="shared" si="43"/>
        <v>0</v>
      </c>
      <c r="I438" s="21">
        <f>IF(OR(B438="",C438="",$V$1=""),"",MIN(E438,SUMIFS('03_Planificacion'!$G$99:$G$178,'03_Planificacion'!$E$99:$E$178,B438,'03_Planificacion'!$F$99:$F$178,C438,'03_Planificacion'!$D$99:$D$178,"&lt;="&amp;$V$1)))</f>
        <v>0</v>
      </c>
      <c r="J438" s="21">
        <f t="shared" si="44"/>
        <v>0</v>
      </c>
      <c r="K438" s="6">
        <f t="shared" si="45"/>
        <v>0</v>
      </c>
      <c r="L438" t="s">
        <v>68</v>
      </c>
      <c r="P438" s="5">
        <f t="shared" si="46"/>
        <v>46287</v>
      </c>
      <c r="Q438" t="s">
        <v>125</v>
      </c>
      <c r="R438">
        <v>110</v>
      </c>
      <c r="S438" t="s">
        <v>70</v>
      </c>
      <c r="T438" t="str">
        <f t="shared" si="47"/>
        <v/>
      </c>
      <c r="U438" t="str">
        <f>IF(AND(L438="Para Programar",G438&gt;0),COUNTIFS($L$5:L438,"Para Programar",$G$5:G438,"&gt;0"),"")</f>
        <v/>
      </c>
      <c r="W438" t="str">
        <f t="shared" si="48"/>
        <v>N2 - N32|02 Excavación - Zanja principal</v>
      </c>
      <c r="X438">
        <v>0</v>
      </c>
    </row>
    <row r="439" spans="1:24">
      <c r="A439" t="s">
        <v>73</v>
      </c>
      <c r="B439" s="14" t="s">
        <v>150</v>
      </c>
      <c r="C439" t="s">
        <v>74</v>
      </c>
      <c r="D439" s="13" t="s">
        <v>67</v>
      </c>
      <c r="E439" s="13">
        <v>40</v>
      </c>
      <c r="F439" s="13">
        <f>IF(E439="","",MIN(E439,$X439+SUMIFS('05_Parte_Diario'!$H$5:$H$204,'05_Parte_Diario'!$D$5:$D$204,B439,'05_Parte_Diario'!$E$5:$E$204,C439)))</f>
        <v>0</v>
      </c>
      <c r="G439" s="13">
        <f t="shared" si="42"/>
        <v>40</v>
      </c>
      <c r="H439" s="21">
        <f t="shared" si="43"/>
        <v>0</v>
      </c>
      <c r="I439" s="21">
        <f>IF(OR(B439="",C439="",$V$1=""),"",MIN(E439,SUMIFS('03_Planificacion'!$G$99:$G$178,'03_Planificacion'!$E$99:$E$178,B439,'03_Planificacion'!$F$99:$F$178,C439,'03_Planificacion'!$D$99:$D$178,"&lt;="&amp;$V$1)))</f>
        <v>0</v>
      </c>
      <c r="J439" s="21">
        <f t="shared" si="44"/>
        <v>0</v>
      </c>
      <c r="K439" s="6">
        <f t="shared" si="45"/>
        <v>0</v>
      </c>
      <c r="L439" t="s">
        <v>68</v>
      </c>
      <c r="P439" s="5">
        <f t="shared" si="46"/>
        <v>46287</v>
      </c>
      <c r="Q439" t="s">
        <v>125</v>
      </c>
      <c r="R439">
        <v>110</v>
      </c>
      <c r="S439" t="s">
        <v>70</v>
      </c>
      <c r="T439" t="str">
        <f t="shared" si="47"/>
        <v/>
      </c>
      <c r="U439" t="str">
        <f>IF(AND(L439="Para Programar",G439&gt;0),COUNTIFS($L$5:L439,"Para Programar",$G$5:G439,"&gt;0"),"")</f>
        <v/>
      </c>
      <c r="W439" t="str">
        <f t="shared" si="48"/>
        <v>N2 - N32|03 Base de asiento - Nivelación de fondo de zanja</v>
      </c>
      <c r="X439">
        <v>0</v>
      </c>
    </row>
    <row r="440" spans="1:24">
      <c r="A440" t="s">
        <v>75</v>
      </c>
      <c r="B440" s="14" t="s">
        <v>150</v>
      </c>
      <c r="C440" t="s">
        <v>76</v>
      </c>
      <c r="D440" s="13" t="s">
        <v>67</v>
      </c>
      <c r="E440" s="13">
        <v>40</v>
      </c>
      <c r="F440" s="13">
        <f>IF(E440="","",MIN(E440,$X440+SUMIFS('05_Parte_Diario'!$H$5:$H$204,'05_Parte_Diario'!$D$5:$D$204,B440,'05_Parte_Diario'!$E$5:$E$204,C440)))</f>
        <v>0</v>
      </c>
      <c r="G440" s="13">
        <f t="shared" si="42"/>
        <v>40</v>
      </c>
      <c r="H440" s="21">
        <f t="shared" si="43"/>
        <v>0</v>
      </c>
      <c r="I440" s="21">
        <f>IF(OR(B440="",C440="",$V$1=""),"",MIN(E440,SUMIFS('03_Planificacion'!$G$99:$G$178,'03_Planificacion'!$E$99:$E$178,B440,'03_Planificacion'!$F$99:$F$178,C440,'03_Planificacion'!$D$99:$D$178,"&lt;="&amp;$V$1)))</f>
        <v>0</v>
      </c>
      <c r="J440" s="21">
        <f t="shared" si="44"/>
        <v>0</v>
      </c>
      <c r="K440" s="6">
        <f t="shared" si="45"/>
        <v>0</v>
      </c>
      <c r="L440" t="s">
        <v>68</v>
      </c>
      <c r="P440" s="5">
        <f t="shared" si="46"/>
        <v>46287</v>
      </c>
      <c r="Q440" t="s">
        <v>125</v>
      </c>
      <c r="R440">
        <v>110</v>
      </c>
      <c r="S440" t="s">
        <v>70</v>
      </c>
      <c r="T440" t="str">
        <f t="shared" si="47"/>
        <v/>
      </c>
      <c r="U440" t="str">
        <f>IF(AND(L440="Para Programar",G440&gt;0),COUNTIFS($L$5:L440,"Para Programar",$G$5:G440,"&gt;0"),"")</f>
        <v/>
      </c>
      <c r="W440" t="str">
        <f t="shared" si="48"/>
        <v>N2 - N32|03 Base de asiento - Aporte de material base e=0,10 m</v>
      </c>
      <c r="X440">
        <v>0</v>
      </c>
    </row>
    <row r="441" spans="1:24">
      <c r="A441" t="s">
        <v>77</v>
      </c>
      <c r="B441" s="14" t="s">
        <v>150</v>
      </c>
      <c r="C441" t="s">
        <v>78</v>
      </c>
      <c r="D441" s="13" t="s">
        <v>67</v>
      </c>
      <c r="E441" s="13">
        <v>40</v>
      </c>
      <c r="F441" s="13">
        <f>IF(E441="","",MIN(E441,$X441+SUMIFS('05_Parte_Diario'!$H$5:$H$204,'05_Parte_Diario'!$D$5:$D$204,B441,'05_Parte_Diario'!$E$5:$E$204,C441)))</f>
        <v>0</v>
      </c>
      <c r="G441" s="13">
        <f t="shared" si="42"/>
        <v>40</v>
      </c>
      <c r="H441" s="21">
        <f t="shared" si="43"/>
        <v>0</v>
      </c>
      <c r="I441" s="21">
        <f>IF(OR(B441="",C441="",$V$1=""),"",MIN(E441,SUMIFS('03_Planificacion'!$G$99:$G$178,'03_Planificacion'!$E$99:$E$178,B441,'03_Planificacion'!$F$99:$F$178,C441,'03_Planificacion'!$D$99:$D$178,"&lt;="&amp;$V$1)))</f>
        <v>0</v>
      </c>
      <c r="J441" s="21">
        <f t="shared" si="44"/>
        <v>0</v>
      </c>
      <c r="K441" s="6">
        <f t="shared" si="45"/>
        <v>0</v>
      </c>
      <c r="L441" t="s">
        <v>68</v>
      </c>
      <c r="P441" s="5">
        <f t="shared" si="46"/>
        <v>46287</v>
      </c>
      <c r="Q441" t="s">
        <v>125</v>
      </c>
      <c r="R441">
        <v>110</v>
      </c>
      <c r="S441" t="s">
        <v>70</v>
      </c>
      <c r="T441" t="str">
        <f t="shared" si="47"/>
        <v/>
      </c>
      <c r="U441" t="str">
        <f>IF(AND(L441="Para Programar",G441&gt;0),COUNTIFS($L$5:L441,"Para Programar",$G$5:G441,"&gt;0"),"")</f>
        <v/>
      </c>
      <c r="W441" t="str">
        <f t="shared" si="48"/>
        <v>N2 - N32|03 Base de asiento - Compactación</v>
      </c>
      <c r="X441">
        <v>0</v>
      </c>
    </row>
    <row r="442" spans="1:24">
      <c r="A442" t="s">
        <v>79</v>
      </c>
      <c r="B442" s="14" t="s">
        <v>150</v>
      </c>
      <c r="C442" t="s">
        <v>80</v>
      </c>
      <c r="D442" s="13" t="s">
        <v>81</v>
      </c>
      <c r="E442" s="13">
        <v>1</v>
      </c>
      <c r="F442" s="13">
        <f>IF(E442="","",MIN(E442,$X442+SUMIFS('05_Parte_Diario'!$H$5:$H$204,'05_Parte_Diario'!$D$5:$D$204,B442,'05_Parte_Diario'!$E$5:$E$204,C442)))</f>
        <v>0</v>
      </c>
      <c r="G442" s="13">
        <f t="shared" si="42"/>
        <v>1</v>
      </c>
      <c r="H442" s="21">
        <f t="shared" si="43"/>
        <v>0</v>
      </c>
      <c r="I442" s="21">
        <f>IF(OR(B442="",C442="",$V$1=""),"",MIN(E442,SUMIFS('03_Planificacion'!$G$99:$G$178,'03_Planificacion'!$E$99:$E$178,B442,'03_Planificacion'!$F$99:$F$178,C442,'03_Planificacion'!$D$99:$D$178,"&lt;="&amp;$V$1)))</f>
        <v>0</v>
      </c>
      <c r="J442" s="21">
        <f t="shared" si="44"/>
        <v>0</v>
      </c>
      <c r="K442" s="6">
        <f t="shared" si="45"/>
        <v>0</v>
      </c>
      <c r="L442" t="s">
        <v>68</v>
      </c>
      <c r="P442" s="5">
        <f t="shared" si="46"/>
        <v>46287</v>
      </c>
      <c r="Q442" t="s">
        <v>125</v>
      </c>
      <c r="R442">
        <v>110</v>
      </c>
      <c r="S442" t="s">
        <v>70</v>
      </c>
      <c r="T442" t="str">
        <f t="shared" si="47"/>
        <v/>
      </c>
      <c r="U442" t="str">
        <f>IF(AND(L442="Para Programar",G442&gt;0),COUNTIFS($L$5:L442,"Para Programar",$G$5:G442,"&gt;0"),"")</f>
        <v/>
      </c>
      <c r="W442" t="str">
        <f t="shared" si="48"/>
        <v>N2 - N32|04 Inspecciones previas - Laboratorio base de asiento</v>
      </c>
      <c r="X442">
        <v>0</v>
      </c>
    </row>
    <row r="443" spans="1:24">
      <c r="A443" t="s">
        <v>82</v>
      </c>
      <c r="B443" s="14" t="s">
        <v>150</v>
      </c>
      <c r="C443" t="s">
        <v>83</v>
      </c>
      <c r="D443" s="13" t="s">
        <v>81</v>
      </c>
      <c r="E443" s="13">
        <v>1</v>
      </c>
      <c r="F443" s="13">
        <f>IF(E443="","",MIN(E443,$X443+SUMIFS('05_Parte_Diario'!$H$5:$H$204,'05_Parte_Diario'!$D$5:$D$204,B443,'05_Parte_Diario'!$E$5:$E$204,C443)))</f>
        <v>0</v>
      </c>
      <c r="G443" s="13">
        <f t="shared" si="42"/>
        <v>1</v>
      </c>
      <c r="H443" s="21">
        <f t="shared" si="43"/>
        <v>0</v>
      </c>
      <c r="I443" s="21">
        <f>IF(OR(B443="",C443="",$V$1=""),"",MIN(E443,SUMIFS('03_Planificacion'!$G$99:$G$178,'03_Planificacion'!$E$99:$E$178,B443,'03_Planificacion'!$F$99:$F$178,C443,'03_Planificacion'!$D$99:$D$178,"&lt;="&amp;$V$1)))</f>
        <v>0</v>
      </c>
      <c r="J443" s="21">
        <f t="shared" si="44"/>
        <v>0</v>
      </c>
      <c r="K443" s="6">
        <f t="shared" si="45"/>
        <v>0</v>
      </c>
      <c r="L443" t="s">
        <v>68</v>
      </c>
      <c r="P443" s="5">
        <f t="shared" si="46"/>
        <v>46287</v>
      </c>
      <c r="Q443" t="s">
        <v>125</v>
      </c>
      <c r="R443">
        <v>110</v>
      </c>
      <c r="S443" t="s">
        <v>70</v>
      </c>
      <c r="T443" t="str">
        <f t="shared" si="47"/>
        <v/>
      </c>
      <c r="U443" t="str">
        <f>IF(AND(L443="Para Programar",G443&gt;0),COUNTIFS($L$5:L443,"Para Programar",$G$5:G443,"&gt;0"),"")</f>
        <v/>
      </c>
      <c r="W443" t="str">
        <f t="shared" si="48"/>
        <v>N2 - N32|04 Inspecciones previas - Zanja y materiales</v>
      </c>
      <c r="X443">
        <v>0</v>
      </c>
    </row>
    <row r="444" spans="1:24">
      <c r="A444" t="s">
        <v>84</v>
      </c>
      <c r="B444" s="14" t="s">
        <v>150</v>
      </c>
      <c r="C444" t="s">
        <v>85</v>
      </c>
      <c r="D444" s="13" t="s">
        <v>67</v>
      </c>
      <c r="E444" s="13">
        <v>40</v>
      </c>
      <c r="F444" s="13">
        <f>IF(E444="","",MIN(E444,$X444+SUMIFS('05_Parte_Diario'!$H$5:$H$204,'05_Parte_Diario'!$D$5:$D$204,B444,'05_Parte_Diario'!$E$5:$E$204,C444)))</f>
        <v>0</v>
      </c>
      <c r="G444" s="13">
        <f t="shared" si="42"/>
        <v>40</v>
      </c>
      <c r="H444" s="21">
        <f t="shared" si="43"/>
        <v>0</v>
      </c>
      <c r="I444" s="21">
        <f>IF(OR(B444="",C444="",$V$1=""),"",MIN(E444,SUMIFS('03_Planificacion'!$G$99:$G$178,'03_Planificacion'!$E$99:$E$178,B444,'03_Planificacion'!$F$99:$F$178,C444,'03_Planificacion'!$D$99:$D$178,"&lt;="&amp;$V$1)))</f>
        <v>0</v>
      </c>
      <c r="J444" s="21">
        <f t="shared" si="44"/>
        <v>0</v>
      </c>
      <c r="K444" s="6">
        <f t="shared" si="45"/>
        <v>0</v>
      </c>
      <c r="L444" t="s">
        <v>68</v>
      </c>
      <c r="P444" s="5">
        <f t="shared" si="46"/>
        <v>46287</v>
      </c>
      <c r="Q444" t="s">
        <v>125</v>
      </c>
      <c r="R444">
        <v>110</v>
      </c>
      <c r="S444" t="s">
        <v>70</v>
      </c>
      <c r="T444" t="str">
        <f t="shared" si="47"/>
        <v/>
      </c>
      <c r="U444" t="str">
        <f>IF(AND(L444="Para Programar",G444&gt;0),COUNTIFS($L$5:L444,"Para Programar",$G$5:G444,"&gt;0"),"")</f>
        <v/>
      </c>
      <c r="W444" t="str">
        <f t="shared" si="48"/>
        <v>N2 - N32|05 Tendido de cañería - Cañería principal</v>
      </c>
      <c r="X444">
        <v>0</v>
      </c>
    </row>
    <row r="445" spans="1:24">
      <c r="A445" t="s">
        <v>86</v>
      </c>
      <c r="B445" s="14" t="s">
        <v>150</v>
      </c>
      <c r="C445" t="s">
        <v>87</v>
      </c>
      <c r="D445" s="13" t="s">
        <v>67</v>
      </c>
      <c r="E445" s="13">
        <v>40</v>
      </c>
      <c r="F445" s="13">
        <f>IF(E445="","",MIN(E445,$X445+SUMIFS('05_Parte_Diario'!$H$5:$H$204,'05_Parte_Diario'!$D$5:$D$204,B445,'05_Parte_Diario'!$E$5:$E$204,C445)))</f>
        <v>0</v>
      </c>
      <c r="G445" s="13">
        <f t="shared" si="42"/>
        <v>40</v>
      </c>
      <c r="H445" s="21">
        <f t="shared" si="43"/>
        <v>0</v>
      </c>
      <c r="I445" s="21">
        <f>IF(OR(B445="",C445="",$V$1=""),"",MIN(E445,SUMIFS('03_Planificacion'!$G$99:$G$178,'03_Planificacion'!$E$99:$E$178,B445,'03_Planificacion'!$F$99:$F$178,C445,'03_Planificacion'!$D$99:$D$178,"&lt;="&amp;$V$1)))</f>
        <v>0</v>
      </c>
      <c r="J445" s="21">
        <f t="shared" si="44"/>
        <v>0</v>
      </c>
      <c r="K445" s="6">
        <f t="shared" si="45"/>
        <v>0</v>
      </c>
      <c r="L445" t="s">
        <v>68</v>
      </c>
      <c r="P445" s="5">
        <f t="shared" si="46"/>
        <v>46287</v>
      </c>
      <c r="Q445" t="s">
        <v>125</v>
      </c>
      <c r="R445">
        <v>110</v>
      </c>
      <c r="S445" t="s">
        <v>70</v>
      </c>
      <c r="T445" t="str">
        <f t="shared" si="47"/>
        <v/>
      </c>
      <c r="U445" t="str">
        <f>IF(AND(L445="Para Programar",G445&gt;0),COUNTIFS($L$5:L445,"Para Programar",$G$5:G445,"&gt;0"),"")</f>
        <v/>
      </c>
      <c r="W445" t="str">
        <f t="shared" si="48"/>
        <v>N2 - N32|05 Tendido de cañería - Relevamiento planialtimétrico</v>
      </c>
      <c r="X445">
        <v>0</v>
      </c>
    </row>
    <row r="446" spans="1:24">
      <c r="A446" t="s">
        <v>88</v>
      </c>
      <c r="B446" s="14" t="s">
        <v>150</v>
      </c>
      <c r="C446" t="s">
        <v>89</v>
      </c>
      <c r="D446" s="13" t="s">
        <v>81</v>
      </c>
      <c r="E446" s="13">
        <v>1</v>
      </c>
      <c r="F446" s="13">
        <f>IF(E446="","",MIN(E446,$X446+SUMIFS('05_Parte_Diario'!$H$5:$H$204,'05_Parte_Diario'!$D$5:$D$204,B446,'05_Parte_Diario'!$E$5:$E$204,C446)))</f>
        <v>0</v>
      </c>
      <c r="G446" s="13">
        <f t="shared" si="42"/>
        <v>1</v>
      </c>
      <c r="H446" s="21">
        <f t="shared" si="43"/>
        <v>0</v>
      </c>
      <c r="I446" s="21">
        <f>IF(OR(B446="",C446="",$V$1=""),"",MIN(E446,SUMIFS('03_Planificacion'!$G$99:$G$178,'03_Planificacion'!$E$99:$E$178,B446,'03_Planificacion'!$F$99:$F$178,C446,'03_Planificacion'!$D$99:$D$178,"&lt;="&amp;$V$1)))</f>
        <v>0</v>
      </c>
      <c r="J446" s="21">
        <f t="shared" si="44"/>
        <v>0</v>
      </c>
      <c r="K446" s="6">
        <f t="shared" si="45"/>
        <v>0</v>
      </c>
      <c r="L446" t="s">
        <v>68</v>
      </c>
      <c r="P446" s="5">
        <f t="shared" si="46"/>
        <v>46287</v>
      </c>
      <c r="Q446" t="s">
        <v>125</v>
      </c>
      <c r="R446">
        <v>110</v>
      </c>
      <c r="S446" t="s">
        <v>70</v>
      </c>
      <c r="T446" t="str">
        <f t="shared" si="47"/>
        <v/>
      </c>
      <c r="U446" t="str">
        <f>IF(AND(L446="Para Programar",G446&gt;0),COUNTIFS($L$5:L446,"Para Programar",$G$5:G446,"&gt;0"),"")</f>
        <v/>
      </c>
      <c r="W446" t="str">
        <f t="shared" si="48"/>
        <v>N2 - N32|08 Prueba hidráulica - Preparación del sistema</v>
      </c>
      <c r="X446">
        <v>0</v>
      </c>
    </row>
    <row r="447" spans="1:24">
      <c r="A447" t="s">
        <v>90</v>
      </c>
      <c r="B447" s="14" t="s">
        <v>150</v>
      </c>
      <c r="C447" t="s">
        <v>91</v>
      </c>
      <c r="D447" s="13" t="s">
        <v>81</v>
      </c>
      <c r="E447" s="13">
        <v>1</v>
      </c>
      <c r="F447" s="13">
        <f>IF(E447="","",MIN(E447,$X447+SUMIFS('05_Parte_Diario'!$H$5:$H$204,'05_Parte_Diario'!$D$5:$D$204,B447,'05_Parte_Diario'!$E$5:$E$204,C447)))</f>
        <v>0</v>
      </c>
      <c r="G447" s="13">
        <f t="shared" si="42"/>
        <v>1</v>
      </c>
      <c r="H447" s="21">
        <f t="shared" si="43"/>
        <v>0</v>
      </c>
      <c r="I447" s="21">
        <f>IF(OR(B447="",C447="",$V$1=""),"",MIN(E447,SUMIFS('03_Planificacion'!$G$99:$G$178,'03_Planificacion'!$E$99:$E$178,B447,'03_Planificacion'!$F$99:$F$178,C447,'03_Planificacion'!$D$99:$D$178,"&lt;="&amp;$V$1)))</f>
        <v>0</v>
      </c>
      <c r="J447" s="21">
        <f t="shared" si="44"/>
        <v>0</v>
      </c>
      <c r="K447" s="6">
        <f t="shared" si="45"/>
        <v>0</v>
      </c>
      <c r="L447" t="s">
        <v>68</v>
      </c>
      <c r="P447" s="5">
        <f t="shared" si="46"/>
        <v>46287</v>
      </c>
      <c r="Q447" t="s">
        <v>125</v>
      </c>
      <c r="R447">
        <v>110</v>
      </c>
      <c r="S447" t="s">
        <v>70</v>
      </c>
      <c r="T447" t="str">
        <f t="shared" si="47"/>
        <v/>
      </c>
      <c r="U447" t="str">
        <f>IF(AND(L447="Para Programar",G447&gt;0),COUNTIFS($L$5:L447,"Para Programar",$G$5:G447,"&gt;0"),"")</f>
        <v/>
      </c>
      <c r="W447" t="str">
        <f t="shared" si="48"/>
        <v>N2 - N32|08 Prueba hidráulica - Interna N° 1</v>
      </c>
      <c r="X447">
        <v>0</v>
      </c>
    </row>
    <row r="448" spans="1:24">
      <c r="A448" t="s">
        <v>92</v>
      </c>
      <c r="B448" s="14" t="s">
        <v>150</v>
      </c>
      <c r="C448" t="s">
        <v>93</v>
      </c>
      <c r="D448" s="13" t="s">
        <v>81</v>
      </c>
      <c r="E448" s="13">
        <v>1</v>
      </c>
      <c r="F448" s="13">
        <f>IF(E448="","",MIN(E448,$X448+SUMIFS('05_Parte_Diario'!$H$5:$H$204,'05_Parte_Diario'!$D$5:$D$204,B448,'05_Parte_Diario'!$E$5:$E$204,C448)))</f>
        <v>0</v>
      </c>
      <c r="G448" s="13">
        <f t="shared" si="42"/>
        <v>1</v>
      </c>
      <c r="H448" s="21">
        <f t="shared" si="43"/>
        <v>0</v>
      </c>
      <c r="I448" s="21">
        <f>IF(OR(B448="",C448="",$V$1=""),"",MIN(E448,SUMIFS('03_Planificacion'!$G$99:$G$178,'03_Planificacion'!$E$99:$E$178,B448,'03_Planificacion'!$F$99:$F$178,C448,'03_Planificacion'!$D$99:$D$178,"&lt;="&amp;$V$1)))</f>
        <v>0</v>
      </c>
      <c r="J448" s="21">
        <f t="shared" si="44"/>
        <v>0</v>
      </c>
      <c r="K448" s="6">
        <f t="shared" si="45"/>
        <v>0</v>
      </c>
      <c r="L448" t="s">
        <v>68</v>
      </c>
      <c r="P448" s="5">
        <f t="shared" si="46"/>
        <v>46287</v>
      </c>
      <c r="Q448" t="s">
        <v>125</v>
      </c>
      <c r="R448">
        <v>110</v>
      </c>
      <c r="S448" t="s">
        <v>70</v>
      </c>
      <c r="T448" t="str">
        <f t="shared" si="47"/>
        <v/>
      </c>
      <c r="U448" t="str">
        <f>IF(AND(L448="Para Programar",G448&gt;0),COUNTIFS($L$5:L448,"Para Programar",$G$5:G448,"&gt;0"),"")</f>
        <v/>
      </c>
      <c r="W448" t="str">
        <f t="shared" si="48"/>
        <v>N2 - N32|08 Prueba hidráulica - Interna N° 2</v>
      </c>
      <c r="X448">
        <v>0</v>
      </c>
    </row>
    <row r="449" spans="1:24">
      <c r="A449" t="s">
        <v>94</v>
      </c>
      <c r="B449" s="14" t="s">
        <v>150</v>
      </c>
      <c r="C449" t="s">
        <v>95</v>
      </c>
      <c r="D449" s="13" t="s">
        <v>81</v>
      </c>
      <c r="E449" s="13">
        <v>1</v>
      </c>
      <c r="F449" s="13">
        <f>IF(E449="","",MIN(E449,$X449+SUMIFS('05_Parte_Diario'!$H$5:$H$204,'05_Parte_Diario'!$D$5:$D$204,B449,'05_Parte_Diario'!$E$5:$E$204,C449)))</f>
        <v>0</v>
      </c>
      <c r="G449" s="13">
        <f t="shared" si="42"/>
        <v>1</v>
      </c>
      <c r="H449" s="21">
        <f t="shared" si="43"/>
        <v>0</v>
      </c>
      <c r="I449" s="21">
        <f>IF(OR(B449="",C449="",$V$1=""),"",MIN(E449,SUMIFS('03_Planificacion'!$G$99:$G$178,'03_Planificacion'!$E$99:$E$178,B449,'03_Planificacion'!$F$99:$F$178,C449,'03_Planificacion'!$D$99:$D$178,"&lt;="&amp;$V$1)))</f>
        <v>0</v>
      </c>
      <c r="J449" s="21">
        <f t="shared" si="44"/>
        <v>0</v>
      </c>
      <c r="K449" s="6">
        <f t="shared" si="45"/>
        <v>0</v>
      </c>
      <c r="L449" t="s">
        <v>68</v>
      </c>
      <c r="P449" s="5">
        <f t="shared" si="46"/>
        <v>46287</v>
      </c>
      <c r="Q449" t="s">
        <v>125</v>
      </c>
      <c r="R449">
        <v>110</v>
      </c>
      <c r="S449" t="s">
        <v>70</v>
      </c>
      <c r="T449" t="str">
        <f t="shared" si="47"/>
        <v/>
      </c>
      <c r="U449" t="str">
        <f>IF(AND(L449="Para Programar",G449&gt;0),COUNTIFS($L$5:L449,"Para Programar",$G$5:G449,"&gt;0"),"")</f>
        <v/>
      </c>
      <c r="W449" t="str">
        <f t="shared" si="48"/>
        <v>N2 - N32|08 Prueba hidráulica - Primera prueba oficial</v>
      </c>
      <c r="X449">
        <v>0</v>
      </c>
    </row>
    <row r="450" spans="1:24">
      <c r="A450" t="s">
        <v>96</v>
      </c>
      <c r="B450" s="14" t="s">
        <v>150</v>
      </c>
      <c r="C450" t="s">
        <v>97</v>
      </c>
      <c r="D450" s="13" t="s">
        <v>67</v>
      </c>
      <c r="E450" s="13">
        <v>40</v>
      </c>
      <c r="F450" s="13">
        <f>IF(E450="","",MIN(E450,$X450+SUMIFS('05_Parte_Diario'!$H$5:$H$204,'05_Parte_Diario'!$D$5:$D$204,B450,'05_Parte_Diario'!$E$5:$E$204,C450)))</f>
        <v>0</v>
      </c>
      <c r="G450" s="13">
        <f t="shared" si="42"/>
        <v>40</v>
      </c>
      <c r="H450" s="21">
        <f t="shared" si="43"/>
        <v>0</v>
      </c>
      <c r="I450" s="21">
        <f>IF(OR(B450="",C450="",$V$1=""),"",MIN(E450,SUMIFS('03_Planificacion'!$G$99:$G$178,'03_Planificacion'!$E$99:$E$178,B450,'03_Planificacion'!$F$99:$F$178,C450,'03_Planificacion'!$D$99:$D$178,"&lt;="&amp;$V$1)))</f>
        <v>0</v>
      </c>
      <c r="J450" s="21">
        <f t="shared" si="44"/>
        <v>0</v>
      </c>
      <c r="K450" s="6">
        <f t="shared" si="45"/>
        <v>0</v>
      </c>
      <c r="L450" t="s">
        <v>68</v>
      </c>
      <c r="P450" s="5">
        <f t="shared" si="46"/>
        <v>46287</v>
      </c>
      <c r="Q450" t="s">
        <v>125</v>
      </c>
      <c r="R450">
        <v>110</v>
      </c>
      <c r="S450" t="s">
        <v>70</v>
      </c>
      <c r="T450" t="str">
        <f t="shared" si="47"/>
        <v/>
      </c>
      <c r="U450" t="str">
        <f>IF(AND(L450="Para Programar",G450&gt;0),COUNTIFS($L$5:L450,"Para Programar",$G$5:G450,"&gt;0"),"")</f>
        <v/>
      </c>
      <c r="W450" t="str">
        <f t="shared" si="48"/>
        <v>N2 - N32|09 Paquete estructural - Aporte e=0,30 m</v>
      </c>
      <c r="X450">
        <v>0</v>
      </c>
    </row>
    <row r="451" spans="1:24">
      <c r="A451" t="s">
        <v>98</v>
      </c>
      <c r="B451" s="14" t="s">
        <v>150</v>
      </c>
      <c r="C451" t="s">
        <v>99</v>
      </c>
      <c r="D451" s="13" t="s">
        <v>67</v>
      </c>
      <c r="E451" s="13">
        <v>40</v>
      </c>
      <c r="F451" s="13">
        <f>IF(E451="","",MIN(E451,$X451+SUMIFS('05_Parte_Diario'!$H$5:$H$204,'05_Parte_Diario'!$D$5:$D$204,B451,'05_Parte_Diario'!$E$5:$E$204,C451)))</f>
        <v>0</v>
      </c>
      <c r="G451" s="13">
        <f t="shared" si="42"/>
        <v>40</v>
      </c>
      <c r="H451" s="21">
        <f t="shared" si="43"/>
        <v>0</v>
      </c>
      <c r="I451" s="21">
        <f>IF(OR(B451="",C451="",$V$1=""),"",MIN(E451,SUMIFS('03_Planificacion'!$G$99:$G$178,'03_Planificacion'!$E$99:$E$178,B451,'03_Planificacion'!$F$99:$F$178,C451,'03_Planificacion'!$D$99:$D$178,"&lt;="&amp;$V$1)))</f>
        <v>0</v>
      </c>
      <c r="J451" s="21">
        <f t="shared" si="44"/>
        <v>0</v>
      </c>
      <c r="K451" s="6">
        <f t="shared" si="45"/>
        <v>0</v>
      </c>
      <c r="L451" t="s">
        <v>68</v>
      </c>
      <c r="P451" s="5">
        <f t="shared" si="46"/>
        <v>46287</v>
      </c>
      <c r="Q451" t="s">
        <v>125</v>
      </c>
      <c r="R451">
        <v>110</v>
      </c>
      <c r="S451" t="s">
        <v>70</v>
      </c>
      <c r="T451" t="str">
        <f t="shared" si="47"/>
        <v/>
      </c>
      <c r="U451" t="str">
        <f>IF(AND(L451="Para Programar",G451&gt;0),COUNTIFS($L$5:L451,"Para Programar",$G$5:G451,"&gt;0"),"")</f>
        <v/>
      </c>
      <c r="W451" t="str">
        <f t="shared" si="48"/>
        <v>N2 - N32|09 Paquete estructural - Compactación</v>
      </c>
      <c r="X451">
        <v>0</v>
      </c>
    </row>
    <row r="452" spans="1:24">
      <c r="A452" t="s">
        <v>100</v>
      </c>
      <c r="B452" s="14" t="s">
        <v>150</v>
      </c>
      <c r="C452" t="s">
        <v>101</v>
      </c>
      <c r="D452" s="13" t="s">
        <v>81</v>
      </c>
      <c r="E452" s="13">
        <v>1</v>
      </c>
      <c r="F452" s="13">
        <f>IF(E452="","",MIN(E452,$X452+SUMIFS('05_Parte_Diario'!$H$5:$H$204,'05_Parte_Diario'!$D$5:$D$204,B452,'05_Parte_Diario'!$E$5:$E$204,C452)))</f>
        <v>0</v>
      </c>
      <c r="G452" s="13">
        <f t="shared" si="42"/>
        <v>1</v>
      </c>
      <c r="H452" s="21">
        <f t="shared" si="43"/>
        <v>0</v>
      </c>
      <c r="I452" s="21">
        <f>IF(OR(B452="",C452="",$V$1=""),"",MIN(E452,SUMIFS('03_Planificacion'!$G$99:$G$178,'03_Planificacion'!$E$99:$E$178,B452,'03_Planificacion'!$F$99:$F$178,C452,'03_Planificacion'!$D$99:$D$178,"&lt;="&amp;$V$1)))</f>
        <v>0</v>
      </c>
      <c r="J452" s="21">
        <f t="shared" si="44"/>
        <v>0</v>
      </c>
      <c r="K452" s="6">
        <f t="shared" si="45"/>
        <v>0</v>
      </c>
      <c r="L452" t="s">
        <v>68</v>
      </c>
      <c r="P452" s="5">
        <f t="shared" si="46"/>
        <v>46287</v>
      </c>
      <c r="Q452" t="s">
        <v>125</v>
      </c>
      <c r="R452">
        <v>110</v>
      </c>
      <c r="S452" t="s">
        <v>70</v>
      </c>
      <c r="T452" t="str">
        <f t="shared" si="47"/>
        <v/>
      </c>
      <c r="U452" t="str">
        <f>IF(AND(L452="Para Programar",G452&gt;0),COUNTIFS($L$5:L452,"Para Programar",$G$5:G452,"&gt;0"),"")</f>
        <v/>
      </c>
      <c r="W452" t="str">
        <f t="shared" si="48"/>
        <v>N2 - N32|09 Paquete estructural - Inspección laboratorio</v>
      </c>
      <c r="X452">
        <v>0</v>
      </c>
    </row>
    <row r="453" spans="1:24">
      <c r="A453" t="s">
        <v>102</v>
      </c>
      <c r="B453" s="14" t="s">
        <v>150</v>
      </c>
      <c r="C453" t="s">
        <v>103</v>
      </c>
      <c r="D453" s="13" t="s">
        <v>67</v>
      </c>
      <c r="E453" s="13">
        <v>40</v>
      </c>
      <c r="F453" s="13">
        <f>IF(E453="","",MIN(E453,$X453+SUMIFS('05_Parte_Diario'!$H$5:$H$204,'05_Parte_Diario'!$D$5:$D$204,B453,'05_Parte_Diario'!$E$5:$E$204,C453)))</f>
        <v>0</v>
      </c>
      <c r="G453" s="13">
        <f t="shared" ref="G453:G516" si="49">IF(E453="","",MAX(E453-F453,0))</f>
        <v>40</v>
      </c>
      <c r="H453" s="21">
        <f t="shared" ref="H453:H516" si="50">IFERROR(F453/E453,0)</f>
        <v>0</v>
      </c>
      <c r="I453" s="21">
        <f>IF(OR(B453="",C453="",$V$1=""),"",MIN(E453,SUMIFS('03_Planificacion'!$G$99:$G$178,'03_Planificacion'!$E$99:$E$178,B453,'03_Planificacion'!$F$99:$F$178,C453,'03_Planificacion'!$D$99:$D$178,"&lt;="&amp;$V$1)))</f>
        <v>0</v>
      </c>
      <c r="J453" s="21">
        <f t="shared" ref="J453:J516" si="51">IFERROR(I453/E453,0)</f>
        <v>0</v>
      </c>
      <c r="K453" s="6">
        <f t="shared" ref="K453:K516" si="52">IF(OR(E453="",$V$1=""),"",H453-J453)</f>
        <v>0</v>
      </c>
      <c r="L453" t="s">
        <v>68</v>
      </c>
      <c r="P453" s="5">
        <f t="shared" ref="P453:P516" si="53">IF(A453="","",$V$1)</f>
        <v>46287</v>
      </c>
      <c r="Q453" t="s">
        <v>125</v>
      </c>
      <c r="R453">
        <v>110</v>
      </c>
      <c r="S453" t="s">
        <v>70</v>
      </c>
      <c r="T453" t="str">
        <f t="shared" ref="T453:T516" si="54">IF(A453="","",IF(AND(L453="Para Programar",G453=0),"INCONSISTENCIA - REVISAR MANUALMENTE: Para Programar sin saldo",IF(AND(L453="Terminada",G453&gt;0),"INCONSISTENCIA - REVISAR MANUALMENTE: Terminada con saldo","")))</f>
        <v/>
      </c>
      <c r="U453" t="str">
        <f>IF(AND(L453="Para Programar",G453&gt;0),COUNTIFS($L$5:L453,"Para Programar",$G$5:G453,"&gt;0"),"")</f>
        <v/>
      </c>
      <c r="W453" t="str">
        <f t="shared" ref="W453:W516" si="55">IF(OR(B453="",C453=""),"",B453&amp;"|"&amp;C453)</f>
        <v>N2 - N32|10 Relleno -0,60 - Conformación de capa</v>
      </c>
      <c r="X453">
        <v>0</v>
      </c>
    </row>
    <row r="454" spans="1:24">
      <c r="A454" t="s">
        <v>104</v>
      </c>
      <c r="B454" s="14" t="s">
        <v>150</v>
      </c>
      <c r="C454" t="s">
        <v>105</v>
      </c>
      <c r="D454" s="13" t="s">
        <v>67</v>
      </c>
      <c r="E454" s="13">
        <v>40</v>
      </c>
      <c r="F454" s="13">
        <f>IF(E454="","",MIN(E454,$X454+SUMIFS('05_Parte_Diario'!$H$5:$H$204,'05_Parte_Diario'!$D$5:$D$204,B454,'05_Parte_Diario'!$E$5:$E$204,C454)))</f>
        <v>0</v>
      </c>
      <c r="G454" s="13">
        <f t="shared" si="49"/>
        <v>40</v>
      </c>
      <c r="H454" s="21">
        <f t="shared" si="50"/>
        <v>0</v>
      </c>
      <c r="I454" s="21">
        <f>IF(OR(B454="",C454="",$V$1=""),"",MIN(E454,SUMIFS('03_Planificacion'!$G$99:$G$178,'03_Planificacion'!$E$99:$E$178,B454,'03_Planificacion'!$F$99:$F$178,C454,'03_Planificacion'!$D$99:$D$178,"&lt;="&amp;$V$1)))</f>
        <v>0</v>
      </c>
      <c r="J454" s="21">
        <f t="shared" si="51"/>
        <v>0</v>
      </c>
      <c r="K454" s="6">
        <f t="shared" si="52"/>
        <v>0</v>
      </c>
      <c r="L454" t="s">
        <v>68</v>
      </c>
      <c r="P454" s="5">
        <f t="shared" si="53"/>
        <v>46287</v>
      </c>
      <c r="Q454" t="s">
        <v>125</v>
      </c>
      <c r="R454">
        <v>110</v>
      </c>
      <c r="S454" t="s">
        <v>70</v>
      </c>
      <c r="T454" t="str">
        <f t="shared" si="54"/>
        <v/>
      </c>
      <c r="U454" t="str">
        <f>IF(AND(L454="Para Programar",G454&gt;0),COUNTIFS($L$5:L454,"Para Programar",$G$5:G454,"&gt;0"),"")</f>
        <v/>
      </c>
      <c r="W454" t="str">
        <f t="shared" si="55"/>
        <v>N2 - N32|10 Relleno -0,60 - Humectación</v>
      </c>
      <c r="X454">
        <v>0</v>
      </c>
    </row>
    <row r="455" spans="1:24">
      <c r="A455" t="s">
        <v>106</v>
      </c>
      <c r="B455" s="14" t="s">
        <v>150</v>
      </c>
      <c r="C455" t="s">
        <v>107</v>
      </c>
      <c r="D455" s="13" t="s">
        <v>67</v>
      </c>
      <c r="E455" s="13">
        <v>40</v>
      </c>
      <c r="F455" s="13">
        <f>IF(E455="","",MIN(E455,$X455+SUMIFS('05_Parte_Diario'!$H$5:$H$204,'05_Parte_Diario'!$D$5:$D$204,B455,'05_Parte_Diario'!$E$5:$E$204,C455)))</f>
        <v>0</v>
      </c>
      <c r="G455" s="13">
        <f t="shared" si="49"/>
        <v>40</v>
      </c>
      <c r="H455" s="21">
        <f t="shared" si="50"/>
        <v>0</v>
      </c>
      <c r="I455" s="21">
        <f>IF(OR(B455="",C455="",$V$1=""),"",MIN(E455,SUMIFS('03_Planificacion'!$G$99:$G$178,'03_Planificacion'!$E$99:$E$178,B455,'03_Planificacion'!$F$99:$F$178,C455,'03_Planificacion'!$D$99:$D$178,"&lt;="&amp;$V$1)))</f>
        <v>0</v>
      </c>
      <c r="J455" s="21">
        <f t="shared" si="51"/>
        <v>0</v>
      </c>
      <c r="K455" s="6">
        <f t="shared" si="52"/>
        <v>0</v>
      </c>
      <c r="L455" t="s">
        <v>68</v>
      </c>
      <c r="P455" s="5">
        <f t="shared" si="53"/>
        <v>46287</v>
      </c>
      <c r="Q455" t="s">
        <v>125</v>
      </c>
      <c r="R455">
        <v>110</v>
      </c>
      <c r="S455" t="s">
        <v>70</v>
      </c>
      <c r="T455" t="str">
        <f t="shared" si="54"/>
        <v/>
      </c>
      <c r="U455" t="str">
        <f>IF(AND(L455="Para Programar",G455&gt;0),COUNTIFS($L$5:L455,"Para Programar",$G$5:G455,"&gt;0"),"")</f>
        <v/>
      </c>
      <c r="W455" t="str">
        <f t="shared" si="55"/>
        <v>N2 - N32|10 Relleno -0,60 - Compactación</v>
      </c>
      <c r="X455">
        <v>0</v>
      </c>
    </row>
    <row r="456" spans="1:24">
      <c r="A456" t="s">
        <v>108</v>
      </c>
      <c r="B456" s="14" t="s">
        <v>150</v>
      </c>
      <c r="C456" t="s">
        <v>109</v>
      </c>
      <c r="D456" s="13" t="s">
        <v>81</v>
      </c>
      <c r="E456" s="13">
        <v>1</v>
      </c>
      <c r="F456" s="13">
        <f>IF(E456="","",MIN(E456,$X456+SUMIFS('05_Parte_Diario'!$H$5:$H$204,'05_Parte_Diario'!$D$5:$D$204,B456,'05_Parte_Diario'!$E$5:$E$204,C456)))</f>
        <v>0</v>
      </c>
      <c r="G456" s="13">
        <f t="shared" si="49"/>
        <v>1</v>
      </c>
      <c r="H456" s="21">
        <f t="shared" si="50"/>
        <v>0</v>
      </c>
      <c r="I456" s="21">
        <f>IF(OR(B456="",C456="",$V$1=""),"",MIN(E456,SUMIFS('03_Planificacion'!$G$99:$G$178,'03_Planificacion'!$E$99:$E$178,B456,'03_Planificacion'!$F$99:$F$178,C456,'03_Planificacion'!$D$99:$D$178,"&lt;="&amp;$V$1)))</f>
        <v>0</v>
      </c>
      <c r="J456" s="21">
        <f t="shared" si="51"/>
        <v>0</v>
      </c>
      <c r="K456" s="6">
        <f t="shared" si="52"/>
        <v>0</v>
      </c>
      <c r="L456" t="s">
        <v>68</v>
      </c>
      <c r="P456" s="5">
        <f t="shared" si="53"/>
        <v>46287</v>
      </c>
      <c r="Q456" t="s">
        <v>125</v>
      </c>
      <c r="R456">
        <v>110</v>
      </c>
      <c r="S456" t="s">
        <v>70</v>
      </c>
      <c r="T456" t="str">
        <f t="shared" si="54"/>
        <v/>
      </c>
      <c r="U456" t="str">
        <f>IF(AND(L456="Para Programar",G456&gt;0),COUNTIFS($L$5:L456,"Para Programar",$G$5:G456,"&gt;0"),"")</f>
        <v/>
      </c>
      <c r="W456" t="str">
        <f t="shared" si="55"/>
        <v>N2 - N32|10 Relleno -0,60 - Inspección laboratorio</v>
      </c>
      <c r="X456">
        <v>0</v>
      </c>
    </row>
    <row r="457" spans="1:24">
      <c r="A457" t="s">
        <v>110</v>
      </c>
      <c r="B457" s="14" t="s">
        <v>150</v>
      </c>
      <c r="C457" t="s">
        <v>111</v>
      </c>
      <c r="D457" s="13" t="s">
        <v>67</v>
      </c>
      <c r="E457" s="13">
        <v>40</v>
      </c>
      <c r="F457" s="13">
        <f>IF(E457="","",MIN(E457,$X457+SUMIFS('05_Parte_Diario'!$H$5:$H$204,'05_Parte_Diario'!$D$5:$D$204,B457,'05_Parte_Diario'!$E$5:$E$204,C457)))</f>
        <v>0</v>
      </c>
      <c r="G457" s="13">
        <f t="shared" si="49"/>
        <v>40</v>
      </c>
      <c r="H457" s="21">
        <f t="shared" si="50"/>
        <v>0</v>
      </c>
      <c r="I457" s="21">
        <f>IF(OR(B457="",C457="",$V$1=""),"",MIN(E457,SUMIFS('03_Planificacion'!$G$99:$G$178,'03_Planificacion'!$E$99:$E$178,B457,'03_Planificacion'!$F$99:$F$178,C457,'03_Planificacion'!$D$99:$D$178,"&lt;="&amp;$V$1)))</f>
        <v>0</v>
      </c>
      <c r="J457" s="21">
        <f t="shared" si="51"/>
        <v>0</v>
      </c>
      <c r="K457" s="6">
        <f t="shared" si="52"/>
        <v>0</v>
      </c>
      <c r="L457" t="s">
        <v>68</v>
      </c>
      <c r="P457" s="5">
        <f t="shared" si="53"/>
        <v>46287</v>
      </c>
      <c r="Q457" t="s">
        <v>125</v>
      </c>
      <c r="R457">
        <v>110</v>
      </c>
      <c r="S457" t="s">
        <v>70</v>
      </c>
      <c r="T457" t="str">
        <f t="shared" si="54"/>
        <v/>
      </c>
      <c r="U457" t="str">
        <f>IF(AND(L457="Para Programar",G457&gt;0),COUNTIFS($L$5:L457,"Para Programar",$G$5:G457,"&gt;0"),"")</f>
        <v/>
      </c>
      <c r="W457" t="str">
        <f t="shared" si="55"/>
        <v>N2 - N32|11 Relleno -0,30 - Conformación de capa</v>
      </c>
      <c r="X457">
        <v>0</v>
      </c>
    </row>
    <row r="458" spans="1:24">
      <c r="A458" t="s">
        <v>112</v>
      </c>
      <c r="B458" s="14" t="s">
        <v>150</v>
      </c>
      <c r="C458" t="s">
        <v>113</v>
      </c>
      <c r="D458" s="13" t="s">
        <v>67</v>
      </c>
      <c r="E458" s="13">
        <v>40</v>
      </c>
      <c r="F458" s="13">
        <f>IF(E458="","",MIN(E458,$X458+SUMIFS('05_Parte_Diario'!$H$5:$H$204,'05_Parte_Diario'!$D$5:$D$204,B458,'05_Parte_Diario'!$E$5:$E$204,C458)))</f>
        <v>0</v>
      </c>
      <c r="G458" s="13">
        <f t="shared" si="49"/>
        <v>40</v>
      </c>
      <c r="H458" s="21">
        <f t="shared" si="50"/>
        <v>0</v>
      </c>
      <c r="I458" s="21">
        <f>IF(OR(B458="",C458="",$V$1=""),"",MIN(E458,SUMIFS('03_Planificacion'!$G$99:$G$178,'03_Planificacion'!$E$99:$E$178,B458,'03_Planificacion'!$F$99:$F$178,C458,'03_Planificacion'!$D$99:$D$178,"&lt;="&amp;$V$1)))</f>
        <v>0</v>
      </c>
      <c r="J458" s="21">
        <f t="shared" si="51"/>
        <v>0</v>
      </c>
      <c r="K458" s="6">
        <f t="shared" si="52"/>
        <v>0</v>
      </c>
      <c r="L458" t="s">
        <v>68</v>
      </c>
      <c r="P458" s="5">
        <f t="shared" si="53"/>
        <v>46287</v>
      </c>
      <c r="Q458" t="s">
        <v>125</v>
      </c>
      <c r="R458">
        <v>110</v>
      </c>
      <c r="S458" t="s">
        <v>70</v>
      </c>
      <c r="T458" t="str">
        <f t="shared" si="54"/>
        <v/>
      </c>
      <c r="U458" t="str">
        <f>IF(AND(L458="Para Programar",G458&gt;0),COUNTIFS($L$5:L458,"Para Programar",$G$5:G458,"&gt;0"),"")</f>
        <v/>
      </c>
      <c r="W458" t="str">
        <f t="shared" si="55"/>
        <v>N2 - N32|11 Relleno -0,30 - Humectación</v>
      </c>
      <c r="X458">
        <v>0</v>
      </c>
    </row>
    <row r="459" spans="1:24">
      <c r="A459" t="s">
        <v>114</v>
      </c>
      <c r="B459" s="14" t="s">
        <v>150</v>
      </c>
      <c r="C459" t="s">
        <v>115</v>
      </c>
      <c r="D459" s="13" t="s">
        <v>67</v>
      </c>
      <c r="E459" s="13">
        <v>40</v>
      </c>
      <c r="F459" s="13">
        <f>IF(E459="","",MIN(E459,$X459+SUMIFS('05_Parte_Diario'!$H$5:$H$204,'05_Parte_Diario'!$D$5:$D$204,B459,'05_Parte_Diario'!$E$5:$E$204,C459)))</f>
        <v>0</v>
      </c>
      <c r="G459" s="13">
        <f t="shared" si="49"/>
        <v>40</v>
      </c>
      <c r="H459" s="21">
        <f t="shared" si="50"/>
        <v>0</v>
      </c>
      <c r="I459" s="21">
        <f>IF(OR(B459="",C459="",$V$1=""),"",MIN(E459,SUMIFS('03_Planificacion'!$G$99:$G$178,'03_Planificacion'!$E$99:$E$178,B459,'03_Planificacion'!$F$99:$F$178,C459,'03_Planificacion'!$D$99:$D$178,"&lt;="&amp;$V$1)))</f>
        <v>0</v>
      </c>
      <c r="J459" s="21">
        <f t="shared" si="51"/>
        <v>0</v>
      </c>
      <c r="K459" s="6">
        <f t="shared" si="52"/>
        <v>0</v>
      </c>
      <c r="L459" t="s">
        <v>68</v>
      </c>
      <c r="P459" s="5">
        <f t="shared" si="53"/>
        <v>46287</v>
      </c>
      <c r="Q459" t="s">
        <v>125</v>
      </c>
      <c r="R459">
        <v>110</v>
      </c>
      <c r="S459" t="s">
        <v>70</v>
      </c>
      <c r="T459" t="str">
        <f t="shared" si="54"/>
        <v/>
      </c>
      <c r="U459" t="str">
        <f>IF(AND(L459="Para Programar",G459&gt;0),COUNTIFS($L$5:L459,"Para Programar",$G$5:G459,"&gt;0"),"")</f>
        <v/>
      </c>
      <c r="W459" t="str">
        <f t="shared" si="55"/>
        <v>N2 - N32|11 Relleno -0,30 - Compactación</v>
      </c>
      <c r="X459">
        <v>0</v>
      </c>
    </row>
    <row r="460" spans="1:24">
      <c r="A460" t="s">
        <v>116</v>
      </c>
      <c r="B460" s="14" t="s">
        <v>150</v>
      </c>
      <c r="C460" t="s">
        <v>117</v>
      </c>
      <c r="D460" s="13" t="s">
        <v>81</v>
      </c>
      <c r="E460" s="13">
        <v>1</v>
      </c>
      <c r="F460" s="13">
        <f>IF(E460="","",MIN(E460,$X460+SUMIFS('05_Parte_Diario'!$H$5:$H$204,'05_Parte_Diario'!$D$5:$D$204,B460,'05_Parte_Diario'!$E$5:$E$204,C460)))</f>
        <v>0</v>
      </c>
      <c r="G460" s="13">
        <f t="shared" si="49"/>
        <v>1</v>
      </c>
      <c r="H460" s="21">
        <f t="shared" si="50"/>
        <v>0</v>
      </c>
      <c r="I460" s="21">
        <f>IF(OR(B460="",C460="",$V$1=""),"",MIN(E460,SUMIFS('03_Planificacion'!$G$99:$G$178,'03_Planificacion'!$E$99:$E$178,B460,'03_Planificacion'!$F$99:$F$178,C460,'03_Planificacion'!$D$99:$D$178,"&lt;="&amp;$V$1)))</f>
        <v>0</v>
      </c>
      <c r="J460" s="21">
        <f t="shared" si="51"/>
        <v>0</v>
      </c>
      <c r="K460" s="6">
        <f t="shared" si="52"/>
        <v>0</v>
      </c>
      <c r="L460" t="s">
        <v>68</v>
      </c>
      <c r="P460" s="5">
        <f t="shared" si="53"/>
        <v>46287</v>
      </c>
      <c r="Q460" t="s">
        <v>125</v>
      </c>
      <c r="R460">
        <v>110</v>
      </c>
      <c r="S460" t="s">
        <v>70</v>
      </c>
      <c r="T460" t="str">
        <f t="shared" si="54"/>
        <v/>
      </c>
      <c r="U460" t="str">
        <f>IF(AND(L460="Para Programar",G460&gt;0),COUNTIFS($L$5:L460,"Para Programar",$G$5:G460,"&gt;0"),"")</f>
        <v/>
      </c>
      <c r="W460" t="str">
        <f t="shared" si="55"/>
        <v>N2 - N32|11 Relleno -0,30 - Inspección laboratorio</v>
      </c>
      <c r="X460">
        <v>0</v>
      </c>
    </row>
    <row r="461" spans="1:24">
      <c r="A461" t="s">
        <v>64</v>
      </c>
      <c r="B461" s="14" t="s">
        <v>151</v>
      </c>
      <c r="C461" t="s">
        <v>66</v>
      </c>
      <c r="D461" s="13" t="s">
        <v>67</v>
      </c>
      <c r="E461" s="13">
        <v>55</v>
      </c>
      <c r="F461" s="13">
        <f>IF(E461="","",MIN(E461,$X461+SUMIFS('05_Parte_Diario'!$H$5:$H$204,'05_Parte_Diario'!$D$5:$D$204,B461,'05_Parte_Diario'!$E$5:$E$204,C461)))</f>
        <v>0</v>
      </c>
      <c r="G461" s="13">
        <f t="shared" si="49"/>
        <v>55</v>
      </c>
      <c r="H461" s="21">
        <f t="shared" si="50"/>
        <v>0</v>
      </c>
      <c r="I461" s="21">
        <f>IF(OR(B461="",C461="",$V$1=""),"",MIN(E461,SUMIFS('03_Planificacion'!$G$99:$G$178,'03_Planificacion'!$E$99:$E$178,B461,'03_Planificacion'!$F$99:$F$178,C461,'03_Planificacion'!$D$99:$D$178,"&lt;="&amp;$V$1)))</f>
        <v>0</v>
      </c>
      <c r="J461" s="21">
        <f t="shared" si="51"/>
        <v>0</v>
      </c>
      <c r="K461" s="6">
        <f t="shared" si="52"/>
        <v>0</v>
      </c>
      <c r="L461" t="s">
        <v>68</v>
      </c>
      <c r="P461" s="5">
        <f t="shared" si="53"/>
        <v>46287</v>
      </c>
      <c r="Q461" t="s">
        <v>125</v>
      </c>
      <c r="R461">
        <v>75</v>
      </c>
      <c r="S461" t="s">
        <v>70</v>
      </c>
      <c r="T461" t="str">
        <f t="shared" si="54"/>
        <v/>
      </c>
      <c r="U461" t="str">
        <f>IF(AND(L461="Para Programar",G461&gt;0),COUNTIFS($L$5:L461,"Para Programar",$G$5:G461,"&gt;0"),"")</f>
        <v/>
      </c>
      <c r="W461" t="str">
        <f t="shared" si="55"/>
        <v>N2 - N5|01 Replanteo - Marcación de tramo de cañería principal</v>
      </c>
      <c r="X461">
        <v>0</v>
      </c>
    </row>
    <row r="462" spans="1:24">
      <c r="A462" t="s">
        <v>71</v>
      </c>
      <c r="B462" s="14" t="s">
        <v>151</v>
      </c>
      <c r="C462" t="s">
        <v>72</v>
      </c>
      <c r="D462" s="13" t="s">
        <v>67</v>
      </c>
      <c r="E462" s="13">
        <v>55</v>
      </c>
      <c r="F462" s="13">
        <f>IF(E462="","",MIN(E462,$X462+SUMIFS('05_Parte_Diario'!$H$5:$H$204,'05_Parte_Diario'!$D$5:$D$204,B462,'05_Parte_Diario'!$E$5:$E$204,C462)))</f>
        <v>0</v>
      </c>
      <c r="G462" s="13">
        <f t="shared" si="49"/>
        <v>55</v>
      </c>
      <c r="H462" s="21">
        <f t="shared" si="50"/>
        <v>0</v>
      </c>
      <c r="I462" s="21">
        <f>IF(OR(B462="",C462="",$V$1=""),"",MIN(E462,SUMIFS('03_Planificacion'!$G$99:$G$178,'03_Planificacion'!$E$99:$E$178,B462,'03_Planificacion'!$F$99:$F$178,C462,'03_Planificacion'!$D$99:$D$178,"&lt;="&amp;$V$1)))</f>
        <v>0</v>
      </c>
      <c r="J462" s="21">
        <f t="shared" si="51"/>
        <v>0</v>
      </c>
      <c r="K462" s="6">
        <f t="shared" si="52"/>
        <v>0</v>
      </c>
      <c r="L462" t="s">
        <v>68</v>
      </c>
      <c r="P462" s="5">
        <f t="shared" si="53"/>
        <v>46287</v>
      </c>
      <c r="Q462" t="s">
        <v>125</v>
      </c>
      <c r="R462">
        <v>75</v>
      </c>
      <c r="S462" t="s">
        <v>70</v>
      </c>
      <c r="T462" t="str">
        <f t="shared" si="54"/>
        <v/>
      </c>
      <c r="U462" t="str">
        <f>IF(AND(L462="Para Programar",G462&gt;0),COUNTIFS($L$5:L462,"Para Programar",$G$5:G462,"&gt;0"),"")</f>
        <v/>
      </c>
      <c r="W462" t="str">
        <f t="shared" si="55"/>
        <v>N2 - N5|02 Excavación - Zanja principal</v>
      </c>
      <c r="X462">
        <v>0</v>
      </c>
    </row>
    <row r="463" spans="1:24">
      <c r="A463" t="s">
        <v>73</v>
      </c>
      <c r="B463" s="14" t="s">
        <v>151</v>
      </c>
      <c r="C463" t="s">
        <v>74</v>
      </c>
      <c r="D463" s="13" t="s">
        <v>67</v>
      </c>
      <c r="E463" s="13">
        <v>55</v>
      </c>
      <c r="F463" s="13">
        <f>IF(E463="","",MIN(E463,$X463+SUMIFS('05_Parte_Diario'!$H$5:$H$204,'05_Parte_Diario'!$D$5:$D$204,B463,'05_Parte_Diario'!$E$5:$E$204,C463)))</f>
        <v>0</v>
      </c>
      <c r="G463" s="13">
        <f t="shared" si="49"/>
        <v>55</v>
      </c>
      <c r="H463" s="21">
        <f t="shared" si="50"/>
        <v>0</v>
      </c>
      <c r="I463" s="21">
        <f>IF(OR(B463="",C463="",$V$1=""),"",MIN(E463,SUMIFS('03_Planificacion'!$G$99:$G$178,'03_Planificacion'!$E$99:$E$178,B463,'03_Planificacion'!$F$99:$F$178,C463,'03_Planificacion'!$D$99:$D$178,"&lt;="&amp;$V$1)))</f>
        <v>0</v>
      </c>
      <c r="J463" s="21">
        <f t="shared" si="51"/>
        <v>0</v>
      </c>
      <c r="K463" s="6">
        <f t="shared" si="52"/>
        <v>0</v>
      </c>
      <c r="L463" t="s">
        <v>68</v>
      </c>
      <c r="P463" s="5">
        <f t="shared" si="53"/>
        <v>46287</v>
      </c>
      <c r="Q463" t="s">
        <v>125</v>
      </c>
      <c r="R463">
        <v>75</v>
      </c>
      <c r="S463" t="s">
        <v>70</v>
      </c>
      <c r="T463" t="str">
        <f t="shared" si="54"/>
        <v/>
      </c>
      <c r="U463" t="str">
        <f>IF(AND(L463="Para Programar",G463&gt;0),COUNTIFS($L$5:L463,"Para Programar",$G$5:G463,"&gt;0"),"")</f>
        <v/>
      </c>
      <c r="W463" t="str">
        <f t="shared" si="55"/>
        <v>N2 - N5|03 Base de asiento - Nivelación de fondo de zanja</v>
      </c>
      <c r="X463">
        <v>0</v>
      </c>
    </row>
    <row r="464" spans="1:24">
      <c r="A464" t="s">
        <v>75</v>
      </c>
      <c r="B464" s="14" t="s">
        <v>151</v>
      </c>
      <c r="C464" t="s">
        <v>76</v>
      </c>
      <c r="D464" s="13" t="s">
        <v>67</v>
      </c>
      <c r="E464" s="13">
        <v>55</v>
      </c>
      <c r="F464" s="13">
        <f>IF(E464="","",MIN(E464,$X464+SUMIFS('05_Parte_Diario'!$H$5:$H$204,'05_Parte_Diario'!$D$5:$D$204,B464,'05_Parte_Diario'!$E$5:$E$204,C464)))</f>
        <v>0</v>
      </c>
      <c r="G464" s="13">
        <f t="shared" si="49"/>
        <v>55</v>
      </c>
      <c r="H464" s="21">
        <f t="shared" si="50"/>
        <v>0</v>
      </c>
      <c r="I464" s="21">
        <f>IF(OR(B464="",C464="",$V$1=""),"",MIN(E464,SUMIFS('03_Planificacion'!$G$99:$G$178,'03_Planificacion'!$E$99:$E$178,B464,'03_Planificacion'!$F$99:$F$178,C464,'03_Planificacion'!$D$99:$D$178,"&lt;="&amp;$V$1)))</f>
        <v>0</v>
      </c>
      <c r="J464" s="21">
        <f t="shared" si="51"/>
        <v>0</v>
      </c>
      <c r="K464" s="6">
        <f t="shared" si="52"/>
        <v>0</v>
      </c>
      <c r="L464" t="s">
        <v>68</v>
      </c>
      <c r="P464" s="5">
        <f t="shared" si="53"/>
        <v>46287</v>
      </c>
      <c r="Q464" t="s">
        <v>125</v>
      </c>
      <c r="R464">
        <v>75</v>
      </c>
      <c r="S464" t="s">
        <v>70</v>
      </c>
      <c r="T464" t="str">
        <f t="shared" si="54"/>
        <v/>
      </c>
      <c r="U464" t="str">
        <f>IF(AND(L464="Para Programar",G464&gt;0),COUNTIFS($L$5:L464,"Para Programar",$G$5:G464,"&gt;0"),"")</f>
        <v/>
      </c>
      <c r="W464" t="str">
        <f t="shared" si="55"/>
        <v>N2 - N5|03 Base de asiento - Aporte de material base e=0,10 m</v>
      </c>
      <c r="X464">
        <v>0</v>
      </c>
    </row>
    <row r="465" spans="1:24">
      <c r="A465" t="s">
        <v>77</v>
      </c>
      <c r="B465" s="14" t="s">
        <v>151</v>
      </c>
      <c r="C465" t="s">
        <v>78</v>
      </c>
      <c r="D465" s="13" t="s">
        <v>67</v>
      </c>
      <c r="E465" s="13">
        <v>55</v>
      </c>
      <c r="F465" s="13">
        <f>IF(E465="","",MIN(E465,$X465+SUMIFS('05_Parte_Diario'!$H$5:$H$204,'05_Parte_Diario'!$D$5:$D$204,B465,'05_Parte_Diario'!$E$5:$E$204,C465)))</f>
        <v>0</v>
      </c>
      <c r="G465" s="13">
        <f t="shared" si="49"/>
        <v>55</v>
      </c>
      <c r="H465" s="21">
        <f t="shared" si="50"/>
        <v>0</v>
      </c>
      <c r="I465" s="21">
        <f>IF(OR(B465="",C465="",$V$1=""),"",MIN(E465,SUMIFS('03_Planificacion'!$G$99:$G$178,'03_Planificacion'!$E$99:$E$178,B465,'03_Planificacion'!$F$99:$F$178,C465,'03_Planificacion'!$D$99:$D$178,"&lt;="&amp;$V$1)))</f>
        <v>0</v>
      </c>
      <c r="J465" s="21">
        <f t="shared" si="51"/>
        <v>0</v>
      </c>
      <c r="K465" s="6">
        <f t="shared" si="52"/>
        <v>0</v>
      </c>
      <c r="L465" t="s">
        <v>68</v>
      </c>
      <c r="P465" s="5">
        <f t="shared" si="53"/>
        <v>46287</v>
      </c>
      <c r="Q465" t="s">
        <v>125</v>
      </c>
      <c r="R465">
        <v>75</v>
      </c>
      <c r="S465" t="s">
        <v>70</v>
      </c>
      <c r="T465" t="str">
        <f t="shared" si="54"/>
        <v/>
      </c>
      <c r="U465" t="str">
        <f>IF(AND(L465="Para Programar",G465&gt;0),COUNTIFS($L$5:L465,"Para Programar",$G$5:G465,"&gt;0"),"")</f>
        <v/>
      </c>
      <c r="W465" t="str">
        <f t="shared" si="55"/>
        <v>N2 - N5|03 Base de asiento - Compactación</v>
      </c>
      <c r="X465">
        <v>0</v>
      </c>
    </row>
    <row r="466" spans="1:24">
      <c r="A466" t="s">
        <v>79</v>
      </c>
      <c r="B466" s="14" t="s">
        <v>151</v>
      </c>
      <c r="C466" t="s">
        <v>80</v>
      </c>
      <c r="D466" s="13" t="s">
        <v>81</v>
      </c>
      <c r="E466" s="13">
        <v>1</v>
      </c>
      <c r="F466" s="13">
        <f>IF(E466="","",MIN(E466,$X466+SUMIFS('05_Parte_Diario'!$H$5:$H$204,'05_Parte_Diario'!$D$5:$D$204,B466,'05_Parte_Diario'!$E$5:$E$204,C466)))</f>
        <v>0</v>
      </c>
      <c r="G466" s="13">
        <f t="shared" si="49"/>
        <v>1</v>
      </c>
      <c r="H466" s="21">
        <f t="shared" si="50"/>
        <v>0</v>
      </c>
      <c r="I466" s="21">
        <f>IF(OR(B466="",C466="",$V$1=""),"",MIN(E466,SUMIFS('03_Planificacion'!$G$99:$G$178,'03_Planificacion'!$E$99:$E$178,B466,'03_Planificacion'!$F$99:$F$178,C466,'03_Planificacion'!$D$99:$D$178,"&lt;="&amp;$V$1)))</f>
        <v>0</v>
      </c>
      <c r="J466" s="21">
        <f t="shared" si="51"/>
        <v>0</v>
      </c>
      <c r="K466" s="6">
        <f t="shared" si="52"/>
        <v>0</v>
      </c>
      <c r="L466" t="s">
        <v>68</v>
      </c>
      <c r="P466" s="5">
        <f t="shared" si="53"/>
        <v>46287</v>
      </c>
      <c r="Q466" t="s">
        <v>125</v>
      </c>
      <c r="R466">
        <v>75</v>
      </c>
      <c r="S466" t="s">
        <v>70</v>
      </c>
      <c r="T466" t="str">
        <f t="shared" si="54"/>
        <v/>
      </c>
      <c r="U466" t="str">
        <f>IF(AND(L466="Para Programar",G466&gt;0),COUNTIFS($L$5:L466,"Para Programar",$G$5:G466,"&gt;0"),"")</f>
        <v/>
      </c>
      <c r="W466" t="str">
        <f t="shared" si="55"/>
        <v>N2 - N5|04 Inspecciones previas - Laboratorio base de asiento</v>
      </c>
      <c r="X466">
        <v>0</v>
      </c>
    </row>
    <row r="467" spans="1:24">
      <c r="A467" t="s">
        <v>82</v>
      </c>
      <c r="B467" s="14" t="s">
        <v>151</v>
      </c>
      <c r="C467" t="s">
        <v>83</v>
      </c>
      <c r="D467" s="13" t="s">
        <v>81</v>
      </c>
      <c r="E467" s="13">
        <v>1</v>
      </c>
      <c r="F467" s="13">
        <f>IF(E467="","",MIN(E467,$X467+SUMIFS('05_Parte_Diario'!$H$5:$H$204,'05_Parte_Diario'!$D$5:$D$204,B467,'05_Parte_Diario'!$E$5:$E$204,C467)))</f>
        <v>0</v>
      </c>
      <c r="G467" s="13">
        <f t="shared" si="49"/>
        <v>1</v>
      </c>
      <c r="H467" s="21">
        <f t="shared" si="50"/>
        <v>0</v>
      </c>
      <c r="I467" s="21">
        <f>IF(OR(B467="",C467="",$V$1=""),"",MIN(E467,SUMIFS('03_Planificacion'!$G$99:$G$178,'03_Planificacion'!$E$99:$E$178,B467,'03_Planificacion'!$F$99:$F$178,C467,'03_Planificacion'!$D$99:$D$178,"&lt;="&amp;$V$1)))</f>
        <v>0</v>
      </c>
      <c r="J467" s="21">
        <f t="shared" si="51"/>
        <v>0</v>
      </c>
      <c r="K467" s="6">
        <f t="shared" si="52"/>
        <v>0</v>
      </c>
      <c r="L467" t="s">
        <v>68</v>
      </c>
      <c r="P467" s="5">
        <f t="shared" si="53"/>
        <v>46287</v>
      </c>
      <c r="Q467" t="s">
        <v>125</v>
      </c>
      <c r="R467">
        <v>75</v>
      </c>
      <c r="S467" t="s">
        <v>70</v>
      </c>
      <c r="T467" t="str">
        <f t="shared" si="54"/>
        <v/>
      </c>
      <c r="U467" t="str">
        <f>IF(AND(L467="Para Programar",G467&gt;0),COUNTIFS($L$5:L467,"Para Programar",$G$5:G467,"&gt;0"),"")</f>
        <v/>
      </c>
      <c r="W467" t="str">
        <f t="shared" si="55"/>
        <v>N2 - N5|04 Inspecciones previas - Zanja y materiales</v>
      </c>
      <c r="X467">
        <v>0</v>
      </c>
    </row>
    <row r="468" spans="1:24">
      <c r="A468" t="s">
        <v>84</v>
      </c>
      <c r="B468" s="14" t="s">
        <v>151</v>
      </c>
      <c r="C468" t="s">
        <v>85</v>
      </c>
      <c r="D468" s="13" t="s">
        <v>67</v>
      </c>
      <c r="E468" s="13">
        <v>55</v>
      </c>
      <c r="F468" s="13">
        <f>IF(E468="","",MIN(E468,$X468+SUMIFS('05_Parte_Diario'!$H$5:$H$204,'05_Parte_Diario'!$D$5:$D$204,B468,'05_Parte_Diario'!$E$5:$E$204,C468)))</f>
        <v>0</v>
      </c>
      <c r="G468" s="13">
        <f t="shared" si="49"/>
        <v>55</v>
      </c>
      <c r="H468" s="21">
        <f t="shared" si="50"/>
        <v>0</v>
      </c>
      <c r="I468" s="21">
        <f>IF(OR(B468="",C468="",$V$1=""),"",MIN(E468,SUMIFS('03_Planificacion'!$G$99:$G$178,'03_Planificacion'!$E$99:$E$178,B468,'03_Planificacion'!$F$99:$F$178,C468,'03_Planificacion'!$D$99:$D$178,"&lt;="&amp;$V$1)))</f>
        <v>0</v>
      </c>
      <c r="J468" s="21">
        <f t="shared" si="51"/>
        <v>0</v>
      </c>
      <c r="K468" s="6">
        <f t="shared" si="52"/>
        <v>0</v>
      </c>
      <c r="L468" t="s">
        <v>68</v>
      </c>
      <c r="P468" s="5">
        <f t="shared" si="53"/>
        <v>46287</v>
      </c>
      <c r="Q468" t="s">
        <v>125</v>
      </c>
      <c r="R468">
        <v>75</v>
      </c>
      <c r="S468" t="s">
        <v>70</v>
      </c>
      <c r="T468" t="str">
        <f t="shared" si="54"/>
        <v/>
      </c>
      <c r="U468" t="str">
        <f>IF(AND(L468="Para Programar",G468&gt;0),COUNTIFS($L$5:L468,"Para Programar",$G$5:G468,"&gt;0"),"")</f>
        <v/>
      </c>
      <c r="W468" t="str">
        <f t="shared" si="55"/>
        <v>N2 - N5|05 Tendido de cañería - Cañería principal</v>
      </c>
      <c r="X468">
        <v>0</v>
      </c>
    </row>
    <row r="469" spans="1:24">
      <c r="A469" t="s">
        <v>86</v>
      </c>
      <c r="B469" s="14" t="s">
        <v>151</v>
      </c>
      <c r="C469" t="s">
        <v>87</v>
      </c>
      <c r="D469" s="13" t="s">
        <v>67</v>
      </c>
      <c r="E469" s="13">
        <v>55</v>
      </c>
      <c r="F469" s="13">
        <f>IF(E469="","",MIN(E469,$X469+SUMIFS('05_Parte_Diario'!$H$5:$H$204,'05_Parte_Diario'!$D$5:$D$204,B469,'05_Parte_Diario'!$E$5:$E$204,C469)))</f>
        <v>0</v>
      </c>
      <c r="G469" s="13">
        <f t="shared" si="49"/>
        <v>55</v>
      </c>
      <c r="H469" s="21">
        <f t="shared" si="50"/>
        <v>0</v>
      </c>
      <c r="I469" s="21">
        <f>IF(OR(B469="",C469="",$V$1=""),"",MIN(E469,SUMIFS('03_Planificacion'!$G$99:$G$178,'03_Planificacion'!$E$99:$E$178,B469,'03_Planificacion'!$F$99:$F$178,C469,'03_Planificacion'!$D$99:$D$178,"&lt;="&amp;$V$1)))</f>
        <v>0</v>
      </c>
      <c r="J469" s="21">
        <f t="shared" si="51"/>
        <v>0</v>
      </c>
      <c r="K469" s="6">
        <f t="shared" si="52"/>
        <v>0</v>
      </c>
      <c r="L469" t="s">
        <v>68</v>
      </c>
      <c r="P469" s="5">
        <f t="shared" si="53"/>
        <v>46287</v>
      </c>
      <c r="Q469" t="s">
        <v>125</v>
      </c>
      <c r="R469">
        <v>75</v>
      </c>
      <c r="S469" t="s">
        <v>70</v>
      </c>
      <c r="T469" t="str">
        <f t="shared" si="54"/>
        <v/>
      </c>
      <c r="U469" t="str">
        <f>IF(AND(L469="Para Programar",G469&gt;0),COUNTIFS($L$5:L469,"Para Programar",$G$5:G469,"&gt;0"),"")</f>
        <v/>
      </c>
      <c r="W469" t="str">
        <f t="shared" si="55"/>
        <v>N2 - N5|05 Tendido de cañería - Relevamiento planialtimétrico</v>
      </c>
      <c r="X469">
        <v>0</v>
      </c>
    </row>
    <row r="470" spans="1:24">
      <c r="A470" t="s">
        <v>88</v>
      </c>
      <c r="B470" s="14" t="s">
        <v>151</v>
      </c>
      <c r="C470" t="s">
        <v>89</v>
      </c>
      <c r="D470" s="13" t="s">
        <v>81</v>
      </c>
      <c r="E470" s="13">
        <v>1</v>
      </c>
      <c r="F470" s="13">
        <f>IF(E470="","",MIN(E470,$X470+SUMIFS('05_Parte_Diario'!$H$5:$H$204,'05_Parte_Diario'!$D$5:$D$204,B470,'05_Parte_Diario'!$E$5:$E$204,C470)))</f>
        <v>0</v>
      </c>
      <c r="G470" s="13">
        <f t="shared" si="49"/>
        <v>1</v>
      </c>
      <c r="H470" s="21">
        <f t="shared" si="50"/>
        <v>0</v>
      </c>
      <c r="I470" s="21">
        <f>IF(OR(B470="",C470="",$V$1=""),"",MIN(E470,SUMIFS('03_Planificacion'!$G$99:$G$178,'03_Planificacion'!$E$99:$E$178,B470,'03_Planificacion'!$F$99:$F$178,C470,'03_Planificacion'!$D$99:$D$178,"&lt;="&amp;$V$1)))</f>
        <v>0</v>
      </c>
      <c r="J470" s="21">
        <f t="shared" si="51"/>
        <v>0</v>
      </c>
      <c r="K470" s="6">
        <f t="shared" si="52"/>
        <v>0</v>
      </c>
      <c r="L470" t="s">
        <v>68</v>
      </c>
      <c r="P470" s="5">
        <f t="shared" si="53"/>
        <v>46287</v>
      </c>
      <c r="Q470" t="s">
        <v>125</v>
      </c>
      <c r="R470">
        <v>75</v>
      </c>
      <c r="S470" t="s">
        <v>70</v>
      </c>
      <c r="T470" t="str">
        <f t="shared" si="54"/>
        <v/>
      </c>
      <c r="U470" t="str">
        <f>IF(AND(L470="Para Programar",G470&gt;0),COUNTIFS($L$5:L470,"Para Programar",$G$5:G470,"&gt;0"),"")</f>
        <v/>
      </c>
      <c r="W470" t="str">
        <f t="shared" si="55"/>
        <v>N2 - N5|08 Prueba hidráulica - Preparación del sistema</v>
      </c>
      <c r="X470">
        <v>0</v>
      </c>
    </row>
    <row r="471" spans="1:24">
      <c r="A471" t="s">
        <v>90</v>
      </c>
      <c r="B471" s="14" t="s">
        <v>151</v>
      </c>
      <c r="C471" t="s">
        <v>91</v>
      </c>
      <c r="D471" s="13" t="s">
        <v>81</v>
      </c>
      <c r="E471" s="13">
        <v>1</v>
      </c>
      <c r="F471" s="13">
        <f>IF(E471="","",MIN(E471,$X471+SUMIFS('05_Parte_Diario'!$H$5:$H$204,'05_Parte_Diario'!$D$5:$D$204,B471,'05_Parte_Diario'!$E$5:$E$204,C471)))</f>
        <v>0</v>
      </c>
      <c r="G471" s="13">
        <f t="shared" si="49"/>
        <v>1</v>
      </c>
      <c r="H471" s="21">
        <f t="shared" si="50"/>
        <v>0</v>
      </c>
      <c r="I471" s="21">
        <f>IF(OR(B471="",C471="",$V$1=""),"",MIN(E471,SUMIFS('03_Planificacion'!$G$99:$G$178,'03_Planificacion'!$E$99:$E$178,B471,'03_Planificacion'!$F$99:$F$178,C471,'03_Planificacion'!$D$99:$D$178,"&lt;="&amp;$V$1)))</f>
        <v>0</v>
      </c>
      <c r="J471" s="21">
        <f t="shared" si="51"/>
        <v>0</v>
      </c>
      <c r="K471" s="6">
        <f t="shared" si="52"/>
        <v>0</v>
      </c>
      <c r="L471" t="s">
        <v>68</v>
      </c>
      <c r="P471" s="5">
        <f t="shared" si="53"/>
        <v>46287</v>
      </c>
      <c r="Q471" t="s">
        <v>125</v>
      </c>
      <c r="R471">
        <v>75</v>
      </c>
      <c r="S471" t="s">
        <v>70</v>
      </c>
      <c r="T471" t="str">
        <f t="shared" si="54"/>
        <v/>
      </c>
      <c r="U471" t="str">
        <f>IF(AND(L471="Para Programar",G471&gt;0),COUNTIFS($L$5:L471,"Para Programar",$G$5:G471,"&gt;0"),"")</f>
        <v/>
      </c>
      <c r="W471" t="str">
        <f t="shared" si="55"/>
        <v>N2 - N5|08 Prueba hidráulica - Interna N° 1</v>
      </c>
      <c r="X471">
        <v>0</v>
      </c>
    </row>
    <row r="472" spans="1:24">
      <c r="A472" t="s">
        <v>92</v>
      </c>
      <c r="B472" s="14" t="s">
        <v>151</v>
      </c>
      <c r="C472" t="s">
        <v>93</v>
      </c>
      <c r="D472" s="13" t="s">
        <v>81</v>
      </c>
      <c r="E472" s="13">
        <v>1</v>
      </c>
      <c r="F472" s="13">
        <f>IF(E472="","",MIN(E472,$X472+SUMIFS('05_Parte_Diario'!$H$5:$H$204,'05_Parte_Diario'!$D$5:$D$204,B472,'05_Parte_Diario'!$E$5:$E$204,C472)))</f>
        <v>0</v>
      </c>
      <c r="G472" s="13">
        <f t="shared" si="49"/>
        <v>1</v>
      </c>
      <c r="H472" s="21">
        <f t="shared" si="50"/>
        <v>0</v>
      </c>
      <c r="I472" s="21">
        <f>IF(OR(B472="",C472="",$V$1=""),"",MIN(E472,SUMIFS('03_Planificacion'!$G$99:$G$178,'03_Planificacion'!$E$99:$E$178,B472,'03_Planificacion'!$F$99:$F$178,C472,'03_Planificacion'!$D$99:$D$178,"&lt;="&amp;$V$1)))</f>
        <v>0</v>
      </c>
      <c r="J472" s="21">
        <f t="shared" si="51"/>
        <v>0</v>
      </c>
      <c r="K472" s="6">
        <f t="shared" si="52"/>
        <v>0</v>
      </c>
      <c r="L472" t="s">
        <v>68</v>
      </c>
      <c r="P472" s="5">
        <f t="shared" si="53"/>
        <v>46287</v>
      </c>
      <c r="Q472" t="s">
        <v>125</v>
      </c>
      <c r="R472">
        <v>75</v>
      </c>
      <c r="S472" t="s">
        <v>70</v>
      </c>
      <c r="T472" t="str">
        <f t="shared" si="54"/>
        <v/>
      </c>
      <c r="U472" t="str">
        <f>IF(AND(L472="Para Programar",G472&gt;0),COUNTIFS($L$5:L472,"Para Programar",$G$5:G472,"&gt;0"),"")</f>
        <v/>
      </c>
      <c r="W472" t="str">
        <f t="shared" si="55"/>
        <v>N2 - N5|08 Prueba hidráulica - Interna N° 2</v>
      </c>
      <c r="X472">
        <v>0</v>
      </c>
    </row>
    <row r="473" spans="1:24">
      <c r="A473" t="s">
        <v>94</v>
      </c>
      <c r="B473" s="14" t="s">
        <v>151</v>
      </c>
      <c r="C473" t="s">
        <v>95</v>
      </c>
      <c r="D473" s="13" t="s">
        <v>81</v>
      </c>
      <c r="E473" s="13">
        <v>1</v>
      </c>
      <c r="F473" s="13">
        <f>IF(E473="","",MIN(E473,$X473+SUMIFS('05_Parte_Diario'!$H$5:$H$204,'05_Parte_Diario'!$D$5:$D$204,B473,'05_Parte_Diario'!$E$5:$E$204,C473)))</f>
        <v>0</v>
      </c>
      <c r="G473" s="13">
        <f t="shared" si="49"/>
        <v>1</v>
      </c>
      <c r="H473" s="21">
        <f t="shared" si="50"/>
        <v>0</v>
      </c>
      <c r="I473" s="21">
        <f>IF(OR(B473="",C473="",$V$1=""),"",MIN(E473,SUMIFS('03_Planificacion'!$G$99:$G$178,'03_Planificacion'!$E$99:$E$178,B473,'03_Planificacion'!$F$99:$F$178,C473,'03_Planificacion'!$D$99:$D$178,"&lt;="&amp;$V$1)))</f>
        <v>0</v>
      </c>
      <c r="J473" s="21">
        <f t="shared" si="51"/>
        <v>0</v>
      </c>
      <c r="K473" s="6">
        <f t="shared" si="52"/>
        <v>0</v>
      </c>
      <c r="L473" t="s">
        <v>68</v>
      </c>
      <c r="P473" s="5">
        <f t="shared" si="53"/>
        <v>46287</v>
      </c>
      <c r="Q473" t="s">
        <v>125</v>
      </c>
      <c r="R473">
        <v>75</v>
      </c>
      <c r="S473" t="s">
        <v>70</v>
      </c>
      <c r="T473" t="str">
        <f t="shared" si="54"/>
        <v/>
      </c>
      <c r="U473" t="str">
        <f>IF(AND(L473="Para Programar",G473&gt;0),COUNTIFS($L$5:L473,"Para Programar",$G$5:G473,"&gt;0"),"")</f>
        <v/>
      </c>
      <c r="W473" t="str">
        <f t="shared" si="55"/>
        <v>N2 - N5|08 Prueba hidráulica - Primera prueba oficial</v>
      </c>
      <c r="X473">
        <v>0</v>
      </c>
    </row>
    <row r="474" spans="1:24">
      <c r="A474" t="s">
        <v>96</v>
      </c>
      <c r="B474" s="14" t="s">
        <v>151</v>
      </c>
      <c r="C474" t="s">
        <v>97</v>
      </c>
      <c r="D474" s="13" t="s">
        <v>67</v>
      </c>
      <c r="E474" s="13">
        <v>55</v>
      </c>
      <c r="F474" s="13">
        <f>IF(E474="","",MIN(E474,$X474+SUMIFS('05_Parte_Diario'!$H$5:$H$204,'05_Parte_Diario'!$D$5:$D$204,B474,'05_Parte_Diario'!$E$5:$E$204,C474)))</f>
        <v>0</v>
      </c>
      <c r="G474" s="13">
        <f t="shared" si="49"/>
        <v>55</v>
      </c>
      <c r="H474" s="21">
        <f t="shared" si="50"/>
        <v>0</v>
      </c>
      <c r="I474" s="21">
        <f>IF(OR(B474="",C474="",$V$1=""),"",MIN(E474,SUMIFS('03_Planificacion'!$G$99:$G$178,'03_Planificacion'!$E$99:$E$178,B474,'03_Planificacion'!$F$99:$F$178,C474,'03_Planificacion'!$D$99:$D$178,"&lt;="&amp;$V$1)))</f>
        <v>0</v>
      </c>
      <c r="J474" s="21">
        <f t="shared" si="51"/>
        <v>0</v>
      </c>
      <c r="K474" s="6">
        <f t="shared" si="52"/>
        <v>0</v>
      </c>
      <c r="L474" t="s">
        <v>68</v>
      </c>
      <c r="P474" s="5">
        <f t="shared" si="53"/>
        <v>46287</v>
      </c>
      <c r="Q474" t="s">
        <v>125</v>
      </c>
      <c r="R474">
        <v>75</v>
      </c>
      <c r="S474" t="s">
        <v>70</v>
      </c>
      <c r="T474" t="str">
        <f t="shared" si="54"/>
        <v/>
      </c>
      <c r="U474" t="str">
        <f>IF(AND(L474="Para Programar",G474&gt;0),COUNTIFS($L$5:L474,"Para Programar",$G$5:G474,"&gt;0"),"")</f>
        <v/>
      </c>
      <c r="W474" t="str">
        <f t="shared" si="55"/>
        <v>N2 - N5|09 Paquete estructural - Aporte e=0,30 m</v>
      </c>
      <c r="X474">
        <v>0</v>
      </c>
    </row>
    <row r="475" spans="1:24">
      <c r="A475" t="s">
        <v>98</v>
      </c>
      <c r="B475" s="14" t="s">
        <v>151</v>
      </c>
      <c r="C475" t="s">
        <v>99</v>
      </c>
      <c r="D475" s="13" t="s">
        <v>67</v>
      </c>
      <c r="E475" s="13">
        <v>55</v>
      </c>
      <c r="F475" s="13">
        <f>IF(E475="","",MIN(E475,$X475+SUMIFS('05_Parte_Diario'!$H$5:$H$204,'05_Parte_Diario'!$D$5:$D$204,B475,'05_Parte_Diario'!$E$5:$E$204,C475)))</f>
        <v>0</v>
      </c>
      <c r="G475" s="13">
        <f t="shared" si="49"/>
        <v>55</v>
      </c>
      <c r="H475" s="21">
        <f t="shared" si="50"/>
        <v>0</v>
      </c>
      <c r="I475" s="21">
        <f>IF(OR(B475="",C475="",$V$1=""),"",MIN(E475,SUMIFS('03_Planificacion'!$G$99:$G$178,'03_Planificacion'!$E$99:$E$178,B475,'03_Planificacion'!$F$99:$F$178,C475,'03_Planificacion'!$D$99:$D$178,"&lt;="&amp;$V$1)))</f>
        <v>0</v>
      </c>
      <c r="J475" s="21">
        <f t="shared" si="51"/>
        <v>0</v>
      </c>
      <c r="K475" s="6">
        <f t="shared" si="52"/>
        <v>0</v>
      </c>
      <c r="L475" t="s">
        <v>68</v>
      </c>
      <c r="P475" s="5">
        <f t="shared" si="53"/>
        <v>46287</v>
      </c>
      <c r="Q475" t="s">
        <v>125</v>
      </c>
      <c r="R475">
        <v>75</v>
      </c>
      <c r="S475" t="s">
        <v>70</v>
      </c>
      <c r="T475" t="str">
        <f t="shared" si="54"/>
        <v/>
      </c>
      <c r="U475" t="str">
        <f>IF(AND(L475="Para Programar",G475&gt;0),COUNTIFS($L$5:L475,"Para Programar",$G$5:G475,"&gt;0"),"")</f>
        <v/>
      </c>
      <c r="W475" t="str">
        <f t="shared" si="55"/>
        <v>N2 - N5|09 Paquete estructural - Compactación</v>
      </c>
      <c r="X475">
        <v>0</v>
      </c>
    </row>
    <row r="476" spans="1:24">
      <c r="A476" t="s">
        <v>100</v>
      </c>
      <c r="B476" s="14" t="s">
        <v>151</v>
      </c>
      <c r="C476" t="s">
        <v>101</v>
      </c>
      <c r="D476" s="13" t="s">
        <v>81</v>
      </c>
      <c r="E476" s="13">
        <v>1</v>
      </c>
      <c r="F476" s="13">
        <f>IF(E476="","",MIN(E476,$X476+SUMIFS('05_Parte_Diario'!$H$5:$H$204,'05_Parte_Diario'!$D$5:$D$204,B476,'05_Parte_Diario'!$E$5:$E$204,C476)))</f>
        <v>0</v>
      </c>
      <c r="G476" s="13">
        <f t="shared" si="49"/>
        <v>1</v>
      </c>
      <c r="H476" s="21">
        <f t="shared" si="50"/>
        <v>0</v>
      </c>
      <c r="I476" s="21">
        <f>IF(OR(B476="",C476="",$V$1=""),"",MIN(E476,SUMIFS('03_Planificacion'!$G$99:$G$178,'03_Planificacion'!$E$99:$E$178,B476,'03_Planificacion'!$F$99:$F$178,C476,'03_Planificacion'!$D$99:$D$178,"&lt;="&amp;$V$1)))</f>
        <v>0</v>
      </c>
      <c r="J476" s="21">
        <f t="shared" si="51"/>
        <v>0</v>
      </c>
      <c r="K476" s="6">
        <f t="shared" si="52"/>
        <v>0</v>
      </c>
      <c r="L476" t="s">
        <v>68</v>
      </c>
      <c r="P476" s="5">
        <f t="shared" si="53"/>
        <v>46287</v>
      </c>
      <c r="Q476" t="s">
        <v>125</v>
      </c>
      <c r="R476">
        <v>75</v>
      </c>
      <c r="S476" t="s">
        <v>70</v>
      </c>
      <c r="T476" t="str">
        <f t="shared" si="54"/>
        <v/>
      </c>
      <c r="U476" t="str">
        <f>IF(AND(L476="Para Programar",G476&gt;0),COUNTIFS($L$5:L476,"Para Programar",$G$5:G476,"&gt;0"),"")</f>
        <v/>
      </c>
      <c r="W476" t="str">
        <f t="shared" si="55"/>
        <v>N2 - N5|09 Paquete estructural - Inspección laboratorio</v>
      </c>
      <c r="X476">
        <v>0</v>
      </c>
    </row>
    <row r="477" spans="1:24">
      <c r="A477" t="s">
        <v>102</v>
      </c>
      <c r="B477" s="14" t="s">
        <v>151</v>
      </c>
      <c r="C477" t="s">
        <v>103</v>
      </c>
      <c r="D477" s="13" t="s">
        <v>67</v>
      </c>
      <c r="E477" s="13">
        <v>55</v>
      </c>
      <c r="F477" s="13">
        <f>IF(E477="","",MIN(E477,$X477+SUMIFS('05_Parte_Diario'!$H$5:$H$204,'05_Parte_Diario'!$D$5:$D$204,B477,'05_Parte_Diario'!$E$5:$E$204,C477)))</f>
        <v>0</v>
      </c>
      <c r="G477" s="13">
        <f t="shared" si="49"/>
        <v>55</v>
      </c>
      <c r="H477" s="21">
        <f t="shared" si="50"/>
        <v>0</v>
      </c>
      <c r="I477" s="21">
        <f>IF(OR(B477="",C477="",$V$1=""),"",MIN(E477,SUMIFS('03_Planificacion'!$G$99:$G$178,'03_Planificacion'!$E$99:$E$178,B477,'03_Planificacion'!$F$99:$F$178,C477,'03_Planificacion'!$D$99:$D$178,"&lt;="&amp;$V$1)))</f>
        <v>0</v>
      </c>
      <c r="J477" s="21">
        <f t="shared" si="51"/>
        <v>0</v>
      </c>
      <c r="K477" s="6">
        <f t="shared" si="52"/>
        <v>0</v>
      </c>
      <c r="L477" t="s">
        <v>68</v>
      </c>
      <c r="P477" s="5">
        <f t="shared" si="53"/>
        <v>46287</v>
      </c>
      <c r="Q477" t="s">
        <v>125</v>
      </c>
      <c r="R477">
        <v>75</v>
      </c>
      <c r="S477" t="s">
        <v>70</v>
      </c>
      <c r="T477" t="str">
        <f t="shared" si="54"/>
        <v/>
      </c>
      <c r="U477" t="str">
        <f>IF(AND(L477="Para Programar",G477&gt;0),COUNTIFS($L$5:L477,"Para Programar",$G$5:G477,"&gt;0"),"")</f>
        <v/>
      </c>
      <c r="W477" t="str">
        <f t="shared" si="55"/>
        <v>N2 - N5|10 Relleno -0,60 - Conformación de capa</v>
      </c>
      <c r="X477">
        <v>0</v>
      </c>
    </row>
    <row r="478" spans="1:24">
      <c r="A478" t="s">
        <v>104</v>
      </c>
      <c r="B478" s="14" t="s">
        <v>151</v>
      </c>
      <c r="C478" t="s">
        <v>105</v>
      </c>
      <c r="D478" s="13" t="s">
        <v>67</v>
      </c>
      <c r="E478" s="13">
        <v>55</v>
      </c>
      <c r="F478" s="13">
        <f>IF(E478="","",MIN(E478,$X478+SUMIFS('05_Parte_Diario'!$H$5:$H$204,'05_Parte_Diario'!$D$5:$D$204,B478,'05_Parte_Diario'!$E$5:$E$204,C478)))</f>
        <v>0</v>
      </c>
      <c r="G478" s="13">
        <f t="shared" si="49"/>
        <v>55</v>
      </c>
      <c r="H478" s="21">
        <f t="shared" si="50"/>
        <v>0</v>
      </c>
      <c r="I478" s="21">
        <f>IF(OR(B478="",C478="",$V$1=""),"",MIN(E478,SUMIFS('03_Planificacion'!$G$99:$G$178,'03_Planificacion'!$E$99:$E$178,B478,'03_Planificacion'!$F$99:$F$178,C478,'03_Planificacion'!$D$99:$D$178,"&lt;="&amp;$V$1)))</f>
        <v>0</v>
      </c>
      <c r="J478" s="21">
        <f t="shared" si="51"/>
        <v>0</v>
      </c>
      <c r="K478" s="6">
        <f t="shared" si="52"/>
        <v>0</v>
      </c>
      <c r="L478" t="s">
        <v>68</v>
      </c>
      <c r="P478" s="5">
        <f t="shared" si="53"/>
        <v>46287</v>
      </c>
      <c r="Q478" t="s">
        <v>125</v>
      </c>
      <c r="R478">
        <v>75</v>
      </c>
      <c r="S478" t="s">
        <v>70</v>
      </c>
      <c r="T478" t="str">
        <f t="shared" si="54"/>
        <v/>
      </c>
      <c r="U478" t="str">
        <f>IF(AND(L478="Para Programar",G478&gt;0),COUNTIFS($L$5:L478,"Para Programar",$G$5:G478,"&gt;0"),"")</f>
        <v/>
      </c>
      <c r="W478" t="str">
        <f t="shared" si="55"/>
        <v>N2 - N5|10 Relleno -0,60 - Humectación</v>
      </c>
      <c r="X478">
        <v>0</v>
      </c>
    </row>
    <row r="479" spans="1:24">
      <c r="A479" t="s">
        <v>106</v>
      </c>
      <c r="B479" s="14" t="s">
        <v>151</v>
      </c>
      <c r="C479" t="s">
        <v>107</v>
      </c>
      <c r="D479" s="13" t="s">
        <v>67</v>
      </c>
      <c r="E479" s="13">
        <v>55</v>
      </c>
      <c r="F479" s="13">
        <f>IF(E479="","",MIN(E479,$X479+SUMIFS('05_Parte_Diario'!$H$5:$H$204,'05_Parte_Diario'!$D$5:$D$204,B479,'05_Parte_Diario'!$E$5:$E$204,C479)))</f>
        <v>0</v>
      </c>
      <c r="G479" s="13">
        <f t="shared" si="49"/>
        <v>55</v>
      </c>
      <c r="H479" s="21">
        <f t="shared" si="50"/>
        <v>0</v>
      </c>
      <c r="I479" s="21">
        <f>IF(OR(B479="",C479="",$V$1=""),"",MIN(E479,SUMIFS('03_Planificacion'!$G$99:$G$178,'03_Planificacion'!$E$99:$E$178,B479,'03_Planificacion'!$F$99:$F$178,C479,'03_Planificacion'!$D$99:$D$178,"&lt;="&amp;$V$1)))</f>
        <v>0</v>
      </c>
      <c r="J479" s="21">
        <f t="shared" si="51"/>
        <v>0</v>
      </c>
      <c r="K479" s="6">
        <f t="shared" si="52"/>
        <v>0</v>
      </c>
      <c r="L479" t="s">
        <v>68</v>
      </c>
      <c r="P479" s="5">
        <f t="shared" si="53"/>
        <v>46287</v>
      </c>
      <c r="Q479" t="s">
        <v>125</v>
      </c>
      <c r="R479">
        <v>75</v>
      </c>
      <c r="S479" t="s">
        <v>70</v>
      </c>
      <c r="T479" t="str">
        <f t="shared" si="54"/>
        <v/>
      </c>
      <c r="U479" t="str">
        <f>IF(AND(L479="Para Programar",G479&gt;0),COUNTIFS($L$5:L479,"Para Programar",$G$5:G479,"&gt;0"),"")</f>
        <v/>
      </c>
      <c r="W479" t="str">
        <f t="shared" si="55"/>
        <v>N2 - N5|10 Relleno -0,60 - Compactación</v>
      </c>
      <c r="X479">
        <v>0</v>
      </c>
    </row>
    <row r="480" spans="1:24">
      <c r="A480" t="s">
        <v>108</v>
      </c>
      <c r="B480" s="14" t="s">
        <v>151</v>
      </c>
      <c r="C480" t="s">
        <v>109</v>
      </c>
      <c r="D480" s="13" t="s">
        <v>81</v>
      </c>
      <c r="E480" s="13">
        <v>1</v>
      </c>
      <c r="F480" s="13">
        <f>IF(E480="","",MIN(E480,$X480+SUMIFS('05_Parte_Diario'!$H$5:$H$204,'05_Parte_Diario'!$D$5:$D$204,B480,'05_Parte_Diario'!$E$5:$E$204,C480)))</f>
        <v>0</v>
      </c>
      <c r="G480" s="13">
        <f t="shared" si="49"/>
        <v>1</v>
      </c>
      <c r="H480" s="21">
        <f t="shared" si="50"/>
        <v>0</v>
      </c>
      <c r="I480" s="21">
        <f>IF(OR(B480="",C480="",$V$1=""),"",MIN(E480,SUMIFS('03_Planificacion'!$G$99:$G$178,'03_Planificacion'!$E$99:$E$178,B480,'03_Planificacion'!$F$99:$F$178,C480,'03_Planificacion'!$D$99:$D$178,"&lt;="&amp;$V$1)))</f>
        <v>0</v>
      </c>
      <c r="J480" s="21">
        <f t="shared" si="51"/>
        <v>0</v>
      </c>
      <c r="K480" s="6">
        <f t="shared" si="52"/>
        <v>0</v>
      </c>
      <c r="L480" t="s">
        <v>68</v>
      </c>
      <c r="P480" s="5">
        <f t="shared" si="53"/>
        <v>46287</v>
      </c>
      <c r="Q480" t="s">
        <v>125</v>
      </c>
      <c r="R480">
        <v>75</v>
      </c>
      <c r="S480" t="s">
        <v>70</v>
      </c>
      <c r="T480" t="str">
        <f t="shared" si="54"/>
        <v/>
      </c>
      <c r="U480" t="str">
        <f>IF(AND(L480="Para Programar",G480&gt;0),COUNTIFS($L$5:L480,"Para Programar",$G$5:G480,"&gt;0"),"")</f>
        <v/>
      </c>
      <c r="W480" t="str">
        <f t="shared" si="55"/>
        <v>N2 - N5|10 Relleno -0,60 - Inspección laboratorio</v>
      </c>
      <c r="X480">
        <v>0</v>
      </c>
    </row>
    <row r="481" spans="1:24">
      <c r="A481" t="s">
        <v>110</v>
      </c>
      <c r="B481" s="14" t="s">
        <v>151</v>
      </c>
      <c r="C481" t="s">
        <v>111</v>
      </c>
      <c r="D481" s="13" t="s">
        <v>67</v>
      </c>
      <c r="E481" s="13">
        <v>55</v>
      </c>
      <c r="F481" s="13">
        <f>IF(E481="","",MIN(E481,$X481+SUMIFS('05_Parte_Diario'!$H$5:$H$204,'05_Parte_Diario'!$D$5:$D$204,B481,'05_Parte_Diario'!$E$5:$E$204,C481)))</f>
        <v>0</v>
      </c>
      <c r="G481" s="13">
        <f t="shared" si="49"/>
        <v>55</v>
      </c>
      <c r="H481" s="21">
        <f t="shared" si="50"/>
        <v>0</v>
      </c>
      <c r="I481" s="21">
        <f>IF(OR(B481="",C481="",$V$1=""),"",MIN(E481,SUMIFS('03_Planificacion'!$G$99:$G$178,'03_Planificacion'!$E$99:$E$178,B481,'03_Planificacion'!$F$99:$F$178,C481,'03_Planificacion'!$D$99:$D$178,"&lt;="&amp;$V$1)))</f>
        <v>0</v>
      </c>
      <c r="J481" s="21">
        <f t="shared" si="51"/>
        <v>0</v>
      </c>
      <c r="K481" s="6">
        <f t="shared" si="52"/>
        <v>0</v>
      </c>
      <c r="L481" t="s">
        <v>68</v>
      </c>
      <c r="P481" s="5">
        <f t="shared" si="53"/>
        <v>46287</v>
      </c>
      <c r="Q481" t="s">
        <v>125</v>
      </c>
      <c r="R481">
        <v>75</v>
      </c>
      <c r="S481" t="s">
        <v>70</v>
      </c>
      <c r="T481" t="str">
        <f t="shared" si="54"/>
        <v/>
      </c>
      <c r="U481" t="str">
        <f>IF(AND(L481="Para Programar",G481&gt;0),COUNTIFS($L$5:L481,"Para Programar",$G$5:G481,"&gt;0"),"")</f>
        <v/>
      </c>
      <c r="W481" t="str">
        <f t="shared" si="55"/>
        <v>N2 - N5|11 Relleno -0,30 - Conformación de capa</v>
      </c>
      <c r="X481">
        <v>0</v>
      </c>
    </row>
    <row r="482" spans="1:24">
      <c r="A482" t="s">
        <v>112</v>
      </c>
      <c r="B482" s="14" t="s">
        <v>151</v>
      </c>
      <c r="C482" t="s">
        <v>113</v>
      </c>
      <c r="D482" s="13" t="s">
        <v>67</v>
      </c>
      <c r="E482" s="13">
        <v>55</v>
      </c>
      <c r="F482" s="13">
        <f>IF(E482="","",MIN(E482,$X482+SUMIFS('05_Parte_Diario'!$H$5:$H$204,'05_Parte_Diario'!$D$5:$D$204,B482,'05_Parte_Diario'!$E$5:$E$204,C482)))</f>
        <v>0</v>
      </c>
      <c r="G482" s="13">
        <f t="shared" si="49"/>
        <v>55</v>
      </c>
      <c r="H482" s="21">
        <f t="shared" si="50"/>
        <v>0</v>
      </c>
      <c r="I482" s="21">
        <f>IF(OR(B482="",C482="",$V$1=""),"",MIN(E482,SUMIFS('03_Planificacion'!$G$99:$G$178,'03_Planificacion'!$E$99:$E$178,B482,'03_Planificacion'!$F$99:$F$178,C482,'03_Planificacion'!$D$99:$D$178,"&lt;="&amp;$V$1)))</f>
        <v>0</v>
      </c>
      <c r="J482" s="21">
        <f t="shared" si="51"/>
        <v>0</v>
      </c>
      <c r="K482" s="6">
        <f t="shared" si="52"/>
        <v>0</v>
      </c>
      <c r="L482" t="s">
        <v>68</v>
      </c>
      <c r="P482" s="5">
        <f t="shared" si="53"/>
        <v>46287</v>
      </c>
      <c r="Q482" t="s">
        <v>125</v>
      </c>
      <c r="R482">
        <v>75</v>
      </c>
      <c r="S482" t="s">
        <v>70</v>
      </c>
      <c r="T482" t="str">
        <f t="shared" si="54"/>
        <v/>
      </c>
      <c r="U482" t="str">
        <f>IF(AND(L482="Para Programar",G482&gt;0),COUNTIFS($L$5:L482,"Para Programar",$G$5:G482,"&gt;0"),"")</f>
        <v/>
      </c>
      <c r="W482" t="str">
        <f t="shared" si="55"/>
        <v>N2 - N5|11 Relleno -0,30 - Humectación</v>
      </c>
      <c r="X482">
        <v>0</v>
      </c>
    </row>
    <row r="483" spans="1:24">
      <c r="A483" t="s">
        <v>114</v>
      </c>
      <c r="B483" s="14" t="s">
        <v>151</v>
      </c>
      <c r="C483" t="s">
        <v>115</v>
      </c>
      <c r="D483" s="13" t="s">
        <v>67</v>
      </c>
      <c r="E483" s="13">
        <v>55</v>
      </c>
      <c r="F483" s="13">
        <f>IF(E483="","",MIN(E483,$X483+SUMIFS('05_Parte_Diario'!$H$5:$H$204,'05_Parte_Diario'!$D$5:$D$204,B483,'05_Parte_Diario'!$E$5:$E$204,C483)))</f>
        <v>0</v>
      </c>
      <c r="G483" s="13">
        <f t="shared" si="49"/>
        <v>55</v>
      </c>
      <c r="H483" s="21">
        <f t="shared" si="50"/>
        <v>0</v>
      </c>
      <c r="I483" s="21">
        <f>IF(OR(B483="",C483="",$V$1=""),"",MIN(E483,SUMIFS('03_Planificacion'!$G$99:$G$178,'03_Planificacion'!$E$99:$E$178,B483,'03_Planificacion'!$F$99:$F$178,C483,'03_Planificacion'!$D$99:$D$178,"&lt;="&amp;$V$1)))</f>
        <v>0</v>
      </c>
      <c r="J483" s="21">
        <f t="shared" si="51"/>
        <v>0</v>
      </c>
      <c r="K483" s="6">
        <f t="shared" si="52"/>
        <v>0</v>
      </c>
      <c r="L483" t="s">
        <v>68</v>
      </c>
      <c r="P483" s="5">
        <f t="shared" si="53"/>
        <v>46287</v>
      </c>
      <c r="Q483" t="s">
        <v>125</v>
      </c>
      <c r="R483">
        <v>75</v>
      </c>
      <c r="S483" t="s">
        <v>70</v>
      </c>
      <c r="T483" t="str">
        <f t="shared" si="54"/>
        <v/>
      </c>
      <c r="U483" t="str">
        <f>IF(AND(L483="Para Programar",G483&gt;0),COUNTIFS($L$5:L483,"Para Programar",$G$5:G483,"&gt;0"),"")</f>
        <v/>
      </c>
      <c r="W483" t="str">
        <f t="shared" si="55"/>
        <v>N2 - N5|11 Relleno -0,30 - Compactación</v>
      </c>
      <c r="X483">
        <v>0</v>
      </c>
    </row>
    <row r="484" spans="1:24">
      <c r="A484" t="s">
        <v>116</v>
      </c>
      <c r="B484" s="14" t="s">
        <v>151</v>
      </c>
      <c r="C484" t="s">
        <v>117</v>
      </c>
      <c r="D484" s="13" t="s">
        <v>81</v>
      </c>
      <c r="E484" s="13">
        <v>1</v>
      </c>
      <c r="F484" s="13">
        <f>IF(E484="","",MIN(E484,$X484+SUMIFS('05_Parte_Diario'!$H$5:$H$204,'05_Parte_Diario'!$D$5:$D$204,B484,'05_Parte_Diario'!$E$5:$E$204,C484)))</f>
        <v>0</v>
      </c>
      <c r="G484" s="13">
        <f t="shared" si="49"/>
        <v>1</v>
      </c>
      <c r="H484" s="21">
        <f t="shared" si="50"/>
        <v>0</v>
      </c>
      <c r="I484" s="21">
        <f>IF(OR(B484="",C484="",$V$1=""),"",MIN(E484,SUMIFS('03_Planificacion'!$G$99:$G$178,'03_Planificacion'!$E$99:$E$178,B484,'03_Planificacion'!$F$99:$F$178,C484,'03_Planificacion'!$D$99:$D$178,"&lt;="&amp;$V$1)))</f>
        <v>0</v>
      </c>
      <c r="J484" s="21">
        <f t="shared" si="51"/>
        <v>0</v>
      </c>
      <c r="K484" s="6">
        <f t="shared" si="52"/>
        <v>0</v>
      </c>
      <c r="L484" t="s">
        <v>68</v>
      </c>
      <c r="P484" s="5">
        <f t="shared" si="53"/>
        <v>46287</v>
      </c>
      <c r="Q484" t="s">
        <v>125</v>
      </c>
      <c r="R484">
        <v>75</v>
      </c>
      <c r="S484" t="s">
        <v>70</v>
      </c>
      <c r="T484" t="str">
        <f t="shared" si="54"/>
        <v/>
      </c>
      <c r="U484" t="str">
        <f>IF(AND(L484="Para Programar",G484&gt;0),COUNTIFS($L$5:L484,"Para Programar",$G$5:G484,"&gt;0"),"")</f>
        <v/>
      </c>
      <c r="W484" t="str">
        <f t="shared" si="55"/>
        <v>N2 - N5|11 Relleno -0,30 - Inspección laboratorio</v>
      </c>
      <c r="X484">
        <v>0</v>
      </c>
    </row>
    <row r="485" spans="1:24">
      <c r="A485" t="s">
        <v>64</v>
      </c>
      <c r="B485" s="14" t="s">
        <v>152</v>
      </c>
      <c r="C485" t="s">
        <v>66</v>
      </c>
      <c r="D485" s="13" t="s">
        <v>67</v>
      </c>
      <c r="E485" s="13">
        <v>2</v>
      </c>
      <c r="F485" s="13">
        <f>IF(E485="","",MIN(E485,$X485+SUMIFS('05_Parte_Diario'!$H$5:$H$204,'05_Parte_Diario'!$D$5:$D$204,B485,'05_Parte_Diario'!$E$5:$E$204,C485)))</f>
        <v>2</v>
      </c>
      <c r="G485" s="13">
        <f t="shared" si="49"/>
        <v>0</v>
      </c>
      <c r="H485" s="21">
        <f t="shared" si="50"/>
        <v>1</v>
      </c>
      <c r="I485" s="21">
        <f>IF(OR(B485="",C485="",$V$1=""),"",MIN(E485,SUMIFS('03_Planificacion'!$G$99:$G$178,'03_Planificacion'!$E$99:$E$178,B485,'03_Planificacion'!$F$99:$F$178,C485,'03_Planificacion'!$D$99:$D$178,"&lt;="&amp;$V$1)))</f>
        <v>0</v>
      </c>
      <c r="J485" s="21">
        <f t="shared" si="51"/>
        <v>0</v>
      </c>
      <c r="K485" s="6">
        <f t="shared" si="52"/>
        <v>1</v>
      </c>
      <c r="L485" t="s">
        <v>123</v>
      </c>
      <c r="P485" s="5">
        <f t="shared" si="53"/>
        <v>46287</v>
      </c>
      <c r="Q485" t="s">
        <v>125</v>
      </c>
      <c r="R485">
        <v>110</v>
      </c>
      <c r="S485" t="s">
        <v>70</v>
      </c>
      <c r="T485" t="str">
        <f t="shared" si="54"/>
        <v/>
      </c>
      <c r="U485" t="str">
        <f>IF(AND(L485="Para Programar",G485&gt;0),COUNTIFS($L$5:L485,"Para Programar",$G$5:G485,"&gt;0"),"")</f>
        <v/>
      </c>
      <c r="W485" t="str">
        <f t="shared" si="55"/>
        <v>N20 - N21|01 Replanteo - Marcación de tramo de cañería principal</v>
      </c>
      <c r="X485">
        <v>2</v>
      </c>
    </row>
    <row r="486" spans="1:24">
      <c r="A486" t="s">
        <v>71</v>
      </c>
      <c r="B486" s="14" t="s">
        <v>152</v>
      </c>
      <c r="C486" t="s">
        <v>72</v>
      </c>
      <c r="D486" s="13" t="s">
        <v>67</v>
      </c>
      <c r="E486" s="13">
        <v>2</v>
      </c>
      <c r="F486" s="13">
        <f>IF(E486="","",MIN(E486,$X486+SUMIFS('05_Parte_Diario'!$H$5:$H$204,'05_Parte_Diario'!$D$5:$D$204,B486,'05_Parte_Diario'!$E$5:$E$204,C486)))</f>
        <v>2</v>
      </c>
      <c r="G486" s="13">
        <f t="shared" si="49"/>
        <v>0</v>
      </c>
      <c r="H486" s="21">
        <f t="shared" si="50"/>
        <v>1</v>
      </c>
      <c r="I486" s="21">
        <f>IF(OR(B486="",C486="",$V$1=""),"",MIN(E486,SUMIFS('03_Planificacion'!$G$99:$G$178,'03_Planificacion'!$E$99:$E$178,B486,'03_Planificacion'!$F$99:$F$178,C486,'03_Planificacion'!$D$99:$D$178,"&lt;="&amp;$V$1)))</f>
        <v>0</v>
      </c>
      <c r="J486" s="21">
        <f t="shared" si="51"/>
        <v>0</v>
      </c>
      <c r="K486" s="6">
        <f t="shared" si="52"/>
        <v>1</v>
      </c>
      <c r="L486" t="s">
        <v>123</v>
      </c>
      <c r="P486" s="5">
        <f t="shared" si="53"/>
        <v>46287</v>
      </c>
      <c r="Q486" t="s">
        <v>125</v>
      </c>
      <c r="R486">
        <v>110</v>
      </c>
      <c r="S486" t="s">
        <v>70</v>
      </c>
      <c r="T486" t="str">
        <f t="shared" si="54"/>
        <v/>
      </c>
      <c r="U486" t="str">
        <f>IF(AND(L486="Para Programar",G486&gt;0),COUNTIFS($L$5:L486,"Para Programar",$G$5:G486,"&gt;0"),"")</f>
        <v/>
      </c>
      <c r="W486" t="str">
        <f t="shared" si="55"/>
        <v>N20 - N21|02 Excavación - Zanja principal</v>
      </c>
      <c r="X486">
        <v>2</v>
      </c>
    </row>
    <row r="487" spans="1:24">
      <c r="A487" t="s">
        <v>73</v>
      </c>
      <c r="B487" s="14" t="s">
        <v>152</v>
      </c>
      <c r="C487" t="s">
        <v>74</v>
      </c>
      <c r="D487" s="13" t="s">
        <v>67</v>
      </c>
      <c r="E487" s="13">
        <v>2</v>
      </c>
      <c r="F487" s="13">
        <f>IF(E487="","",MIN(E487,$X487+SUMIFS('05_Parte_Diario'!$H$5:$H$204,'05_Parte_Diario'!$D$5:$D$204,B487,'05_Parte_Diario'!$E$5:$E$204,C487)))</f>
        <v>2</v>
      </c>
      <c r="G487" s="13">
        <f t="shared" si="49"/>
        <v>0</v>
      </c>
      <c r="H487" s="21">
        <f t="shared" si="50"/>
        <v>1</v>
      </c>
      <c r="I487" s="21">
        <f>IF(OR(B487="",C487="",$V$1=""),"",MIN(E487,SUMIFS('03_Planificacion'!$G$99:$G$178,'03_Planificacion'!$E$99:$E$178,B487,'03_Planificacion'!$F$99:$F$178,C487,'03_Planificacion'!$D$99:$D$178,"&lt;="&amp;$V$1)))</f>
        <v>0</v>
      </c>
      <c r="J487" s="21">
        <f t="shared" si="51"/>
        <v>0</v>
      </c>
      <c r="K487" s="6">
        <f t="shared" si="52"/>
        <v>1</v>
      </c>
      <c r="L487" t="s">
        <v>123</v>
      </c>
      <c r="P487" s="5">
        <f t="shared" si="53"/>
        <v>46287</v>
      </c>
      <c r="Q487" t="s">
        <v>125</v>
      </c>
      <c r="R487">
        <v>110</v>
      </c>
      <c r="S487" t="s">
        <v>70</v>
      </c>
      <c r="T487" t="str">
        <f t="shared" si="54"/>
        <v/>
      </c>
      <c r="U487" t="str">
        <f>IF(AND(L487="Para Programar",G487&gt;0),COUNTIFS($L$5:L487,"Para Programar",$G$5:G487,"&gt;0"),"")</f>
        <v/>
      </c>
      <c r="W487" t="str">
        <f t="shared" si="55"/>
        <v>N20 - N21|03 Base de asiento - Nivelación de fondo de zanja</v>
      </c>
      <c r="X487">
        <v>2</v>
      </c>
    </row>
    <row r="488" spans="1:24">
      <c r="A488" t="s">
        <v>75</v>
      </c>
      <c r="B488" s="14" t="s">
        <v>152</v>
      </c>
      <c r="C488" t="s">
        <v>76</v>
      </c>
      <c r="D488" s="13" t="s">
        <v>67</v>
      </c>
      <c r="E488" s="13">
        <v>2</v>
      </c>
      <c r="F488" s="13">
        <f>IF(E488="","",MIN(E488,$X488+SUMIFS('05_Parte_Diario'!$H$5:$H$204,'05_Parte_Diario'!$D$5:$D$204,B488,'05_Parte_Diario'!$E$5:$E$204,C488)))</f>
        <v>2</v>
      </c>
      <c r="G488" s="13">
        <f t="shared" si="49"/>
        <v>0</v>
      </c>
      <c r="H488" s="21">
        <f t="shared" si="50"/>
        <v>1</v>
      </c>
      <c r="I488" s="21">
        <f>IF(OR(B488="",C488="",$V$1=""),"",MIN(E488,SUMIFS('03_Planificacion'!$G$99:$G$178,'03_Planificacion'!$E$99:$E$178,B488,'03_Planificacion'!$F$99:$F$178,C488,'03_Planificacion'!$D$99:$D$178,"&lt;="&amp;$V$1)))</f>
        <v>0</v>
      </c>
      <c r="J488" s="21">
        <f t="shared" si="51"/>
        <v>0</v>
      </c>
      <c r="K488" s="6">
        <f t="shared" si="52"/>
        <v>1</v>
      </c>
      <c r="L488" t="s">
        <v>123</v>
      </c>
      <c r="P488" s="5">
        <f t="shared" si="53"/>
        <v>46287</v>
      </c>
      <c r="Q488" t="s">
        <v>125</v>
      </c>
      <c r="R488">
        <v>110</v>
      </c>
      <c r="S488" t="s">
        <v>70</v>
      </c>
      <c r="T488" t="str">
        <f t="shared" si="54"/>
        <v/>
      </c>
      <c r="U488" t="str">
        <f>IF(AND(L488="Para Programar",G488&gt;0),COUNTIFS($L$5:L488,"Para Programar",$G$5:G488,"&gt;0"),"")</f>
        <v/>
      </c>
      <c r="W488" t="str">
        <f t="shared" si="55"/>
        <v>N20 - N21|03 Base de asiento - Aporte de material base e=0,10 m</v>
      </c>
      <c r="X488">
        <v>2</v>
      </c>
    </row>
    <row r="489" spans="1:24">
      <c r="A489" t="s">
        <v>77</v>
      </c>
      <c r="B489" s="14" t="s">
        <v>152</v>
      </c>
      <c r="C489" t="s">
        <v>78</v>
      </c>
      <c r="D489" s="13" t="s">
        <v>67</v>
      </c>
      <c r="E489" s="13">
        <v>2</v>
      </c>
      <c r="F489" s="13">
        <f>IF(E489="","",MIN(E489,$X489+SUMIFS('05_Parte_Diario'!$H$5:$H$204,'05_Parte_Diario'!$D$5:$D$204,B489,'05_Parte_Diario'!$E$5:$E$204,C489)))</f>
        <v>2</v>
      </c>
      <c r="G489" s="13">
        <f t="shared" si="49"/>
        <v>0</v>
      </c>
      <c r="H489" s="21">
        <f t="shared" si="50"/>
        <v>1</v>
      </c>
      <c r="I489" s="21">
        <f>IF(OR(B489="",C489="",$V$1=""),"",MIN(E489,SUMIFS('03_Planificacion'!$G$99:$G$178,'03_Planificacion'!$E$99:$E$178,B489,'03_Planificacion'!$F$99:$F$178,C489,'03_Planificacion'!$D$99:$D$178,"&lt;="&amp;$V$1)))</f>
        <v>0</v>
      </c>
      <c r="J489" s="21">
        <f t="shared" si="51"/>
        <v>0</v>
      </c>
      <c r="K489" s="6">
        <f t="shared" si="52"/>
        <v>1</v>
      </c>
      <c r="L489" t="s">
        <v>123</v>
      </c>
      <c r="P489" s="5">
        <f t="shared" si="53"/>
        <v>46287</v>
      </c>
      <c r="Q489" t="s">
        <v>125</v>
      </c>
      <c r="R489">
        <v>110</v>
      </c>
      <c r="S489" t="s">
        <v>70</v>
      </c>
      <c r="T489" t="str">
        <f t="shared" si="54"/>
        <v/>
      </c>
      <c r="U489" t="str">
        <f>IF(AND(L489="Para Programar",G489&gt;0),COUNTIFS($L$5:L489,"Para Programar",$G$5:G489,"&gt;0"),"")</f>
        <v/>
      </c>
      <c r="W489" t="str">
        <f t="shared" si="55"/>
        <v>N20 - N21|03 Base de asiento - Compactación</v>
      </c>
      <c r="X489">
        <v>2</v>
      </c>
    </row>
    <row r="490" spans="1:24">
      <c r="A490" t="s">
        <v>79</v>
      </c>
      <c r="B490" s="14" t="s">
        <v>152</v>
      </c>
      <c r="C490" t="s">
        <v>80</v>
      </c>
      <c r="D490" s="13" t="s">
        <v>81</v>
      </c>
      <c r="E490" s="13">
        <v>1</v>
      </c>
      <c r="F490" s="13">
        <f>IF(E490="","",MIN(E490,$X490+SUMIFS('05_Parte_Diario'!$H$5:$H$204,'05_Parte_Diario'!$D$5:$D$204,B490,'05_Parte_Diario'!$E$5:$E$204,C490)))</f>
        <v>1</v>
      </c>
      <c r="G490" s="13">
        <f t="shared" si="49"/>
        <v>0</v>
      </c>
      <c r="H490" s="21">
        <f t="shared" si="50"/>
        <v>1</v>
      </c>
      <c r="I490" s="21">
        <f>IF(OR(B490="",C490="",$V$1=""),"",MIN(E490,SUMIFS('03_Planificacion'!$G$99:$G$178,'03_Planificacion'!$E$99:$E$178,B490,'03_Planificacion'!$F$99:$F$178,C490,'03_Planificacion'!$D$99:$D$178,"&lt;="&amp;$V$1)))</f>
        <v>0</v>
      </c>
      <c r="J490" s="21">
        <f t="shared" si="51"/>
        <v>0</v>
      </c>
      <c r="K490" s="6">
        <f t="shared" si="52"/>
        <v>1</v>
      </c>
      <c r="L490" t="s">
        <v>123</v>
      </c>
      <c r="P490" s="5">
        <f t="shared" si="53"/>
        <v>46287</v>
      </c>
      <c r="Q490" t="s">
        <v>125</v>
      </c>
      <c r="R490">
        <v>110</v>
      </c>
      <c r="S490" t="s">
        <v>70</v>
      </c>
      <c r="T490" t="str">
        <f t="shared" si="54"/>
        <v/>
      </c>
      <c r="U490" t="str">
        <f>IF(AND(L490="Para Programar",G490&gt;0),COUNTIFS($L$5:L490,"Para Programar",$G$5:G490,"&gt;0"),"")</f>
        <v/>
      </c>
      <c r="W490" t="str">
        <f t="shared" si="55"/>
        <v>N20 - N21|04 Inspecciones previas - Laboratorio base de asiento</v>
      </c>
      <c r="X490">
        <v>1</v>
      </c>
    </row>
    <row r="491" spans="1:24">
      <c r="A491" t="s">
        <v>82</v>
      </c>
      <c r="B491" s="14" t="s">
        <v>152</v>
      </c>
      <c r="C491" t="s">
        <v>83</v>
      </c>
      <c r="D491" s="13" t="s">
        <v>81</v>
      </c>
      <c r="E491" s="13">
        <v>1</v>
      </c>
      <c r="F491" s="13">
        <f>IF(E491="","",MIN(E491,$X491+SUMIFS('05_Parte_Diario'!$H$5:$H$204,'05_Parte_Diario'!$D$5:$D$204,B491,'05_Parte_Diario'!$E$5:$E$204,C491)))</f>
        <v>1</v>
      </c>
      <c r="G491" s="13">
        <f t="shared" si="49"/>
        <v>0</v>
      </c>
      <c r="H491" s="21">
        <f t="shared" si="50"/>
        <v>1</v>
      </c>
      <c r="I491" s="21">
        <f>IF(OR(B491="",C491="",$V$1=""),"",MIN(E491,SUMIFS('03_Planificacion'!$G$99:$G$178,'03_Planificacion'!$E$99:$E$178,B491,'03_Planificacion'!$F$99:$F$178,C491,'03_Planificacion'!$D$99:$D$178,"&lt;="&amp;$V$1)))</f>
        <v>0</v>
      </c>
      <c r="J491" s="21">
        <f t="shared" si="51"/>
        <v>0</v>
      </c>
      <c r="K491" s="6">
        <f t="shared" si="52"/>
        <v>1</v>
      </c>
      <c r="L491" t="s">
        <v>123</v>
      </c>
      <c r="P491" s="5">
        <f t="shared" si="53"/>
        <v>46287</v>
      </c>
      <c r="Q491" t="s">
        <v>125</v>
      </c>
      <c r="R491">
        <v>110</v>
      </c>
      <c r="S491" t="s">
        <v>70</v>
      </c>
      <c r="T491" t="str">
        <f t="shared" si="54"/>
        <v/>
      </c>
      <c r="U491" t="str">
        <f>IF(AND(L491="Para Programar",G491&gt;0),COUNTIFS($L$5:L491,"Para Programar",$G$5:G491,"&gt;0"),"")</f>
        <v/>
      </c>
      <c r="W491" t="str">
        <f t="shared" si="55"/>
        <v>N20 - N21|04 Inspecciones previas - Zanja y materiales</v>
      </c>
      <c r="X491">
        <v>1</v>
      </c>
    </row>
    <row r="492" spans="1:24">
      <c r="A492" t="s">
        <v>84</v>
      </c>
      <c r="B492" s="14" t="s">
        <v>152</v>
      </c>
      <c r="C492" t="s">
        <v>85</v>
      </c>
      <c r="D492" s="13" t="s">
        <v>67</v>
      </c>
      <c r="E492" s="13">
        <v>2</v>
      </c>
      <c r="F492" s="13">
        <f>IF(E492="","",MIN(E492,$X492+SUMIFS('05_Parte_Diario'!$H$5:$H$204,'05_Parte_Diario'!$D$5:$D$204,B492,'05_Parte_Diario'!$E$5:$E$204,C492)))</f>
        <v>2</v>
      </c>
      <c r="G492" s="13">
        <f t="shared" si="49"/>
        <v>0</v>
      </c>
      <c r="H492" s="21">
        <f t="shared" si="50"/>
        <v>1</v>
      </c>
      <c r="I492" s="21">
        <f>IF(OR(B492="",C492="",$V$1=""),"",MIN(E492,SUMIFS('03_Planificacion'!$G$99:$G$178,'03_Planificacion'!$E$99:$E$178,B492,'03_Planificacion'!$F$99:$F$178,C492,'03_Planificacion'!$D$99:$D$178,"&lt;="&amp;$V$1)))</f>
        <v>0</v>
      </c>
      <c r="J492" s="21">
        <f t="shared" si="51"/>
        <v>0</v>
      </c>
      <c r="K492" s="6">
        <f t="shared" si="52"/>
        <v>1</v>
      </c>
      <c r="L492" t="s">
        <v>123</v>
      </c>
      <c r="P492" s="5">
        <f t="shared" si="53"/>
        <v>46287</v>
      </c>
      <c r="Q492" t="s">
        <v>125</v>
      </c>
      <c r="R492">
        <v>110</v>
      </c>
      <c r="S492" t="s">
        <v>70</v>
      </c>
      <c r="T492" t="str">
        <f t="shared" si="54"/>
        <v/>
      </c>
      <c r="U492" t="str">
        <f>IF(AND(L492="Para Programar",G492&gt;0),COUNTIFS($L$5:L492,"Para Programar",$G$5:G492,"&gt;0"),"")</f>
        <v/>
      </c>
      <c r="W492" t="str">
        <f t="shared" si="55"/>
        <v>N20 - N21|05 Tendido de cañería - Cañería principal</v>
      </c>
      <c r="X492">
        <v>2</v>
      </c>
    </row>
    <row r="493" spans="1:24">
      <c r="A493" t="s">
        <v>86</v>
      </c>
      <c r="B493" s="14" t="s">
        <v>152</v>
      </c>
      <c r="C493" t="s">
        <v>87</v>
      </c>
      <c r="D493" s="13" t="s">
        <v>67</v>
      </c>
      <c r="E493" s="13">
        <v>2</v>
      </c>
      <c r="F493" s="13">
        <f>IF(E493="","",MIN(E493,$X493+SUMIFS('05_Parte_Diario'!$H$5:$H$204,'05_Parte_Diario'!$D$5:$D$204,B493,'05_Parte_Diario'!$E$5:$E$204,C493)))</f>
        <v>2</v>
      </c>
      <c r="G493" s="13">
        <f t="shared" si="49"/>
        <v>0</v>
      </c>
      <c r="H493" s="21">
        <f t="shared" si="50"/>
        <v>1</v>
      </c>
      <c r="I493" s="21">
        <f>IF(OR(B493="",C493="",$V$1=""),"",MIN(E493,SUMIFS('03_Planificacion'!$G$99:$G$178,'03_Planificacion'!$E$99:$E$178,B493,'03_Planificacion'!$F$99:$F$178,C493,'03_Planificacion'!$D$99:$D$178,"&lt;="&amp;$V$1)))</f>
        <v>0</v>
      </c>
      <c r="J493" s="21">
        <f t="shared" si="51"/>
        <v>0</v>
      </c>
      <c r="K493" s="6">
        <f t="shared" si="52"/>
        <v>1</v>
      </c>
      <c r="L493" t="s">
        <v>123</v>
      </c>
      <c r="P493" s="5">
        <f t="shared" si="53"/>
        <v>46287</v>
      </c>
      <c r="Q493" t="s">
        <v>125</v>
      </c>
      <c r="R493">
        <v>110</v>
      </c>
      <c r="S493" t="s">
        <v>70</v>
      </c>
      <c r="T493" t="str">
        <f t="shared" si="54"/>
        <v/>
      </c>
      <c r="U493" t="str">
        <f>IF(AND(L493="Para Programar",G493&gt;0),COUNTIFS($L$5:L493,"Para Programar",$G$5:G493,"&gt;0"),"")</f>
        <v/>
      </c>
      <c r="W493" t="str">
        <f t="shared" si="55"/>
        <v>N20 - N21|05 Tendido de cañería - Relevamiento planialtimétrico</v>
      </c>
      <c r="X493">
        <v>2</v>
      </c>
    </row>
    <row r="494" spans="1:24">
      <c r="A494" t="s">
        <v>88</v>
      </c>
      <c r="B494" s="14" t="s">
        <v>152</v>
      </c>
      <c r="C494" t="s">
        <v>89</v>
      </c>
      <c r="D494" s="13" t="s">
        <v>81</v>
      </c>
      <c r="E494" s="13">
        <v>1</v>
      </c>
      <c r="F494" s="13">
        <f>IF(E494="","",MIN(E494,$X494+SUMIFS('05_Parte_Diario'!$H$5:$H$204,'05_Parte_Diario'!$D$5:$D$204,B494,'05_Parte_Diario'!$E$5:$E$204,C494)))</f>
        <v>0</v>
      </c>
      <c r="G494" s="13">
        <f t="shared" si="49"/>
        <v>1</v>
      </c>
      <c r="H494" s="21">
        <f t="shared" si="50"/>
        <v>0</v>
      </c>
      <c r="I494" s="21">
        <f>IF(OR(B494="",C494="",$V$1=""),"",MIN(E494,SUMIFS('03_Planificacion'!$G$99:$G$178,'03_Planificacion'!$E$99:$E$178,B494,'03_Planificacion'!$F$99:$F$178,C494,'03_Planificacion'!$D$99:$D$178,"&lt;="&amp;$V$1)))</f>
        <v>0</v>
      </c>
      <c r="J494" s="21">
        <f t="shared" si="51"/>
        <v>0</v>
      </c>
      <c r="K494" s="6">
        <f t="shared" si="52"/>
        <v>0</v>
      </c>
      <c r="L494" t="s">
        <v>123</v>
      </c>
      <c r="P494" s="5">
        <f t="shared" si="53"/>
        <v>46287</v>
      </c>
      <c r="Q494" t="s">
        <v>125</v>
      </c>
      <c r="R494">
        <v>110</v>
      </c>
      <c r="S494" t="s">
        <v>70</v>
      </c>
      <c r="T494" t="str">
        <f t="shared" si="54"/>
        <v>INCONSISTENCIA - REVISAR MANUALMENTE: Terminada con saldo</v>
      </c>
      <c r="U494" t="str">
        <f>IF(AND(L494="Para Programar",G494&gt;0),COUNTIFS($L$5:L494,"Para Programar",$G$5:G494,"&gt;0"),"")</f>
        <v/>
      </c>
      <c r="W494" t="str">
        <f t="shared" si="55"/>
        <v>N20 - N21|08 Prueba hidráulica - Preparación del sistema</v>
      </c>
      <c r="X494">
        <v>0</v>
      </c>
    </row>
    <row r="495" spans="1:24">
      <c r="A495" t="s">
        <v>90</v>
      </c>
      <c r="B495" s="14" t="s">
        <v>152</v>
      </c>
      <c r="C495" t="s">
        <v>91</v>
      </c>
      <c r="D495" s="13" t="s">
        <v>81</v>
      </c>
      <c r="E495" s="13">
        <v>1</v>
      </c>
      <c r="F495" s="13">
        <f>IF(E495="","",MIN(E495,$X495+SUMIFS('05_Parte_Diario'!$H$5:$H$204,'05_Parte_Diario'!$D$5:$D$204,B495,'05_Parte_Diario'!$E$5:$E$204,C495)))</f>
        <v>1</v>
      </c>
      <c r="G495" s="13">
        <f t="shared" si="49"/>
        <v>0</v>
      </c>
      <c r="H495" s="21">
        <f t="shared" si="50"/>
        <v>1</v>
      </c>
      <c r="I495" s="21">
        <f>IF(OR(B495="",C495="",$V$1=""),"",MIN(E495,SUMIFS('03_Planificacion'!$G$99:$G$178,'03_Planificacion'!$E$99:$E$178,B495,'03_Planificacion'!$F$99:$F$178,C495,'03_Planificacion'!$D$99:$D$178,"&lt;="&amp;$V$1)))</f>
        <v>0</v>
      </c>
      <c r="J495" s="21">
        <f t="shared" si="51"/>
        <v>0</v>
      </c>
      <c r="K495" s="6">
        <f t="shared" si="52"/>
        <v>1</v>
      </c>
      <c r="L495" t="s">
        <v>123</v>
      </c>
      <c r="P495" s="5">
        <f t="shared" si="53"/>
        <v>46287</v>
      </c>
      <c r="Q495" t="s">
        <v>125</v>
      </c>
      <c r="R495">
        <v>110</v>
      </c>
      <c r="S495" t="s">
        <v>70</v>
      </c>
      <c r="T495" t="str">
        <f t="shared" si="54"/>
        <v/>
      </c>
      <c r="U495" t="str">
        <f>IF(AND(L495="Para Programar",G495&gt;0),COUNTIFS($L$5:L495,"Para Programar",$G$5:G495,"&gt;0"),"")</f>
        <v/>
      </c>
      <c r="W495" t="str">
        <f t="shared" si="55"/>
        <v>N20 - N21|08 Prueba hidráulica - Interna N° 1</v>
      </c>
      <c r="X495">
        <v>1</v>
      </c>
    </row>
    <row r="496" spans="1:24">
      <c r="A496" t="s">
        <v>92</v>
      </c>
      <c r="B496" s="14" t="s">
        <v>152</v>
      </c>
      <c r="C496" t="s">
        <v>93</v>
      </c>
      <c r="D496" s="13" t="s">
        <v>81</v>
      </c>
      <c r="E496" s="13">
        <v>1</v>
      </c>
      <c r="F496" s="13">
        <f>IF(E496="","",MIN(E496,$X496+SUMIFS('05_Parte_Diario'!$H$5:$H$204,'05_Parte_Diario'!$D$5:$D$204,B496,'05_Parte_Diario'!$E$5:$E$204,C496)))</f>
        <v>1</v>
      </c>
      <c r="G496" s="13">
        <f t="shared" si="49"/>
        <v>0</v>
      </c>
      <c r="H496" s="21">
        <f t="shared" si="50"/>
        <v>1</v>
      </c>
      <c r="I496" s="21">
        <f>IF(OR(B496="",C496="",$V$1=""),"",MIN(E496,SUMIFS('03_Planificacion'!$G$99:$G$178,'03_Planificacion'!$E$99:$E$178,B496,'03_Planificacion'!$F$99:$F$178,C496,'03_Planificacion'!$D$99:$D$178,"&lt;="&amp;$V$1)))</f>
        <v>0</v>
      </c>
      <c r="J496" s="21">
        <f t="shared" si="51"/>
        <v>0</v>
      </c>
      <c r="K496" s="6">
        <f t="shared" si="52"/>
        <v>1</v>
      </c>
      <c r="L496" t="s">
        <v>123</v>
      </c>
      <c r="P496" s="5">
        <f t="shared" si="53"/>
        <v>46287</v>
      </c>
      <c r="Q496" t="s">
        <v>125</v>
      </c>
      <c r="R496">
        <v>110</v>
      </c>
      <c r="S496" t="s">
        <v>70</v>
      </c>
      <c r="T496" t="str">
        <f t="shared" si="54"/>
        <v/>
      </c>
      <c r="U496" t="str">
        <f>IF(AND(L496="Para Programar",G496&gt;0),COUNTIFS($L$5:L496,"Para Programar",$G$5:G496,"&gt;0"),"")</f>
        <v/>
      </c>
      <c r="W496" t="str">
        <f t="shared" si="55"/>
        <v>N20 - N21|08 Prueba hidráulica - Interna N° 2</v>
      </c>
      <c r="X496">
        <v>1</v>
      </c>
    </row>
    <row r="497" spans="1:24">
      <c r="A497" t="s">
        <v>94</v>
      </c>
      <c r="B497" s="14" t="s">
        <v>152</v>
      </c>
      <c r="C497" t="s">
        <v>95</v>
      </c>
      <c r="D497" s="13" t="s">
        <v>81</v>
      </c>
      <c r="E497" s="13">
        <v>1</v>
      </c>
      <c r="F497" s="13">
        <f>IF(E497="","",MIN(E497,$X497+SUMIFS('05_Parte_Diario'!$H$5:$H$204,'05_Parte_Diario'!$D$5:$D$204,B497,'05_Parte_Diario'!$E$5:$E$204,C497)))</f>
        <v>1</v>
      </c>
      <c r="G497" s="13">
        <f t="shared" si="49"/>
        <v>0</v>
      </c>
      <c r="H497" s="21">
        <f t="shared" si="50"/>
        <v>1</v>
      </c>
      <c r="I497" s="21">
        <f>IF(OR(B497="",C497="",$V$1=""),"",MIN(E497,SUMIFS('03_Planificacion'!$G$99:$G$178,'03_Planificacion'!$E$99:$E$178,B497,'03_Planificacion'!$F$99:$F$178,C497,'03_Planificacion'!$D$99:$D$178,"&lt;="&amp;$V$1)))</f>
        <v>0</v>
      </c>
      <c r="J497" s="21">
        <f t="shared" si="51"/>
        <v>0</v>
      </c>
      <c r="K497" s="6">
        <f t="shared" si="52"/>
        <v>1</v>
      </c>
      <c r="L497" t="s">
        <v>123</v>
      </c>
      <c r="P497" s="5">
        <f t="shared" si="53"/>
        <v>46287</v>
      </c>
      <c r="Q497" t="s">
        <v>125</v>
      </c>
      <c r="R497">
        <v>110</v>
      </c>
      <c r="S497" t="s">
        <v>70</v>
      </c>
      <c r="T497" t="str">
        <f t="shared" si="54"/>
        <v/>
      </c>
      <c r="U497" t="str">
        <f>IF(AND(L497="Para Programar",G497&gt;0),COUNTIFS($L$5:L497,"Para Programar",$G$5:G497,"&gt;0"),"")</f>
        <v/>
      </c>
      <c r="W497" t="str">
        <f t="shared" si="55"/>
        <v>N20 - N21|08 Prueba hidráulica - Primera prueba oficial</v>
      </c>
      <c r="X497">
        <v>1</v>
      </c>
    </row>
    <row r="498" spans="1:24">
      <c r="A498" t="s">
        <v>96</v>
      </c>
      <c r="B498" s="14" t="s">
        <v>152</v>
      </c>
      <c r="C498" t="s">
        <v>97</v>
      </c>
      <c r="D498" s="13" t="s">
        <v>67</v>
      </c>
      <c r="E498" s="13">
        <v>2</v>
      </c>
      <c r="F498" s="13">
        <f>IF(E498="","",MIN(E498,$X498+SUMIFS('05_Parte_Diario'!$H$5:$H$204,'05_Parte_Diario'!$D$5:$D$204,B498,'05_Parte_Diario'!$E$5:$E$204,C498)))</f>
        <v>2</v>
      </c>
      <c r="G498" s="13">
        <f t="shared" si="49"/>
        <v>0</v>
      </c>
      <c r="H498" s="21">
        <f t="shared" si="50"/>
        <v>1</v>
      </c>
      <c r="I498" s="21">
        <f>IF(OR(B498="",C498="",$V$1=""),"",MIN(E498,SUMIFS('03_Planificacion'!$G$99:$G$178,'03_Planificacion'!$E$99:$E$178,B498,'03_Planificacion'!$F$99:$F$178,C498,'03_Planificacion'!$D$99:$D$178,"&lt;="&amp;$V$1)))</f>
        <v>0</v>
      </c>
      <c r="J498" s="21">
        <f t="shared" si="51"/>
        <v>0</v>
      </c>
      <c r="K498" s="6">
        <f t="shared" si="52"/>
        <v>1</v>
      </c>
      <c r="L498" t="s">
        <v>123</v>
      </c>
      <c r="P498" s="5">
        <f t="shared" si="53"/>
        <v>46287</v>
      </c>
      <c r="Q498" t="s">
        <v>125</v>
      </c>
      <c r="R498">
        <v>110</v>
      </c>
      <c r="S498" t="s">
        <v>70</v>
      </c>
      <c r="T498" t="str">
        <f t="shared" si="54"/>
        <v/>
      </c>
      <c r="U498" t="str">
        <f>IF(AND(L498="Para Programar",G498&gt;0),COUNTIFS($L$5:L498,"Para Programar",$G$5:G498,"&gt;0"),"")</f>
        <v/>
      </c>
      <c r="W498" t="str">
        <f t="shared" si="55"/>
        <v>N20 - N21|09 Paquete estructural - Aporte e=0,30 m</v>
      </c>
      <c r="X498">
        <v>2</v>
      </c>
    </row>
    <row r="499" spans="1:24">
      <c r="A499" t="s">
        <v>98</v>
      </c>
      <c r="B499" s="14" t="s">
        <v>152</v>
      </c>
      <c r="C499" t="s">
        <v>99</v>
      </c>
      <c r="D499" s="13" t="s">
        <v>67</v>
      </c>
      <c r="E499" s="13">
        <v>2</v>
      </c>
      <c r="F499" s="13">
        <f>IF(E499="","",MIN(E499,$X499+SUMIFS('05_Parte_Diario'!$H$5:$H$204,'05_Parte_Diario'!$D$5:$D$204,B499,'05_Parte_Diario'!$E$5:$E$204,C499)))</f>
        <v>2</v>
      </c>
      <c r="G499" s="13">
        <f t="shared" si="49"/>
        <v>0</v>
      </c>
      <c r="H499" s="21">
        <f t="shared" si="50"/>
        <v>1</v>
      </c>
      <c r="I499" s="21">
        <f>IF(OR(B499="",C499="",$V$1=""),"",MIN(E499,SUMIFS('03_Planificacion'!$G$99:$G$178,'03_Planificacion'!$E$99:$E$178,B499,'03_Planificacion'!$F$99:$F$178,C499,'03_Planificacion'!$D$99:$D$178,"&lt;="&amp;$V$1)))</f>
        <v>0</v>
      </c>
      <c r="J499" s="21">
        <f t="shared" si="51"/>
        <v>0</v>
      </c>
      <c r="K499" s="6">
        <f t="shared" si="52"/>
        <v>1</v>
      </c>
      <c r="L499" t="s">
        <v>123</v>
      </c>
      <c r="P499" s="5">
        <f t="shared" si="53"/>
        <v>46287</v>
      </c>
      <c r="Q499" t="s">
        <v>125</v>
      </c>
      <c r="R499">
        <v>110</v>
      </c>
      <c r="S499" t="s">
        <v>70</v>
      </c>
      <c r="T499" t="str">
        <f t="shared" si="54"/>
        <v/>
      </c>
      <c r="U499" t="str">
        <f>IF(AND(L499="Para Programar",G499&gt;0),COUNTIFS($L$5:L499,"Para Programar",$G$5:G499,"&gt;0"),"")</f>
        <v/>
      </c>
      <c r="W499" t="str">
        <f t="shared" si="55"/>
        <v>N20 - N21|09 Paquete estructural - Compactación</v>
      </c>
      <c r="X499">
        <v>2</v>
      </c>
    </row>
    <row r="500" spans="1:24">
      <c r="A500" t="s">
        <v>100</v>
      </c>
      <c r="B500" s="14" t="s">
        <v>152</v>
      </c>
      <c r="C500" t="s">
        <v>101</v>
      </c>
      <c r="D500" s="13" t="s">
        <v>81</v>
      </c>
      <c r="E500" s="13">
        <v>1</v>
      </c>
      <c r="F500" s="13">
        <f>IF(E500="","",MIN(E500,$X500+SUMIFS('05_Parte_Diario'!$H$5:$H$204,'05_Parte_Diario'!$D$5:$D$204,B500,'05_Parte_Diario'!$E$5:$E$204,C500)))</f>
        <v>1</v>
      </c>
      <c r="G500" s="13">
        <f t="shared" si="49"/>
        <v>0</v>
      </c>
      <c r="H500" s="21">
        <f t="shared" si="50"/>
        <v>1</v>
      </c>
      <c r="I500" s="21">
        <f>IF(OR(B500="",C500="",$V$1=""),"",MIN(E500,SUMIFS('03_Planificacion'!$G$99:$G$178,'03_Planificacion'!$E$99:$E$178,B500,'03_Planificacion'!$F$99:$F$178,C500,'03_Planificacion'!$D$99:$D$178,"&lt;="&amp;$V$1)))</f>
        <v>0</v>
      </c>
      <c r="J500" s="21">
        <f t="shared" si="51"/>
        <v>0</v>
      </c>
      <c r="K500" s="6">
        <f t="shared" si="52"/>
        <v>1</v>
      </c>
      <c r="L500" t="s">
        <v>123</v>
      </c>
      <c r="P500" s="5">
        <f t="shared" si="53"/>
        <v>46287</v>
      </c>
      <c r="Q500" t="s">
        <v>125</v>
      </c>
      <c r="R500">
        <v>110</v>
      </c>
      <c r="S500" t="s">
        <v>70</v>
      </c>
      <c r="T500" t="str">
        <f t="shared" si="54"/>
        <v/>
      </c>
      <c r="U500" t="str">
        <f>IF(AND(L500="Para Programar",G500&gt;0),COUNTIFS($L$5:L500,"Para Programar",$G$5:G500,"&gt;0"),"")</f>
        <v/>
      </c>
      <c r="W500" t="str">
        <f t="shared" si="55"/>
        <v>N20 - N21|09 Paquete estructural - Inspección laboratorio</v>
      </c>
      <c r="X500">
        <v>1</v>
      </c>
    </row>
    <row r="501" spans="1:24">
      <c r="A501" t="s">
        <v>102</v>
      </c>
      <c r="B501" s="14" t="s">
        <v>152</v>
      </c>
      <c r="C501" t="s">
        <v>103</v>
      </c>
      <c r="D501" s="13" t="s">
        <v>67</v>
      </c>
      <c r="E501" s="13">
        <v>2</v>
      </c>
      <c r="F501" s="13">
        <f>IF(E501="","",MIN(E501,$X501+SUMIFS('05_Parte_Diario'!$H$5:$H$204,'05_Parte_Diario'!$D$5:$D$204,B501,'05_Parte_Diario'!$E$5:$E$204,C501)))</f>
        <v>2</v>
      </c>
      <c r="G501" s="13">
        <f t="shared" si="49"/>
        <v>0</v>
      </c>
      <c r="H501" s="21">
        <f t="shared" si="50"/>
        <v>1</v>
      </c>
      <c r="I501" s="21">
        <f>IF(OR(B501="",C501="",$V$1=""),"",MIN(E501,SUMIFS('03_Planificacion'!$G$99:$G$178,'03_Planificacion'!$E$99:$E$178,B501,'03_Planificacion'!$F$99:$F$178,C501,'03_Planificacion'!$D$99:$D$178,"&lt;="&amp;$V$1)))</f>
        <v>0</v>
      </c>
      <c r="J501" s="21">
        <f t="shared" si="51"/>
        <v>0</v>
      </c>
      <c r="K501" s="6">
        <f t="shared" si="52"/>
        <v>1</v>
      </c>
      <c r="L501" t="s">
        <v>123</v>
      </c>
      <c r="P501" s="5">
        <f t="shared" si="53"/>
        <v>46287</v>
      </c>
      <c r="Q501" t="s">
        <v>125</v>
      </c>
      <c r="R501">
        <v>110</v>
      </c>
      <c r="S501" t="s">
        <v>70</v>
      </c>
      <c r="T501" t="str">
        <f t="shared" si="54"/>
        <v/>
      </c>
      <c r="U501" t="str">
        <f>IF(AND(L501="Para Programar",G501&gt;0),COUNTIFS($L$5:L501,"Para Programar",$G$5:G501,"&gt;0"),"")</f>
        <v/>
      </c>
      <c r="W501" t="str">
        <f t="shared" si="55"/>
        <v>N20 - N21|10 Relleno -0,60 - Conformación de capa</v>
      </c>
      <c r="X501">
        <v>2</v>
      </c>
    </row>
    <row r="502" spans="1:24">
      <c r="A502" t="s">
        <v>104</v>
      </c>
      <c r="B502" s="14" t="s">
        <v>152</v>
      </c>
      <c r="C502" t="s">
        <v>105</v>
      </c>
      <c r="D502" s="13" t="s">
        <v>67</v>
      </c>
      <c r="E502" s="13">
        <v>2</v>
      </c>
      <c r="F502" s="13">
        <f>IF(E502="","",MIN(E502,$X502+SUMIFS('05_Parte_Diario'!$H$5:$H$204,'05_Parte_Diario'!$D$5:$D$204,B502,'05_Parte_Diario'!$E$5:$E$204,C502)))</f>
        <v>2</v>
      </c>
      <c r="G502" s="13">
        <f t="shared" si="49"/>
        <v>0</v>
      </c>
      <c r="H502" s="21">
        <f t="shared" si="50"/>
        <v>1</v>
      </c>
      <c r="I502" s="21">
        <f>IF(OR(B502="",C502="",$V$1=""),"",MIN(E502,SUMIFS('03_Planificacion'!$G$99:$G$178,'03_Planificacion'!$E$99:$E$178,B502,'03_Planificacion'!$F$99:$F$178,C502,'03_Planificacion'!$D$99:$D$178,"&lt;="&amp;$V$1)))</f>
        <v>0</v>
      </c>
      <c r="J502" s="21">
        <f t="shared" si="51"/>
        <v>0</v>
      </c>
      <c r="K502" s="6">
        <f t="shared" si="52"/>
        <v>1</v>
      </c>
      <c r="L502" t="s">
        <v>123</v>
      </c>
      <c r="P502" s="5">
        <f t="shared" si="53"/>
        <v>46287</v>
      </c>
      <c r="Q502" t="s">
        <v>125</v>
      </c>
      <c r="R502">
        <v>110</v>
      </c>
      <c r="S502" t="s">
        <v>70</v>
      </c>
      <c r="T502" t="str">
        <f t="shared" si="54"/>
        <v/>
      </c>
      <c r="U502" t="str">
        <f>IF(AND(L502="Para Programar",G502&gt;0),COUNTIFS($L$5:L502,"Para Programar",$G$5:G502,"&gt;0"),"")</f>
        <v/>
      </c>
      <c r="W502" t="str">
        <f t="shared" si="55"/>
        <v>N20 - N21|10 Relleno -0,60 - Humectación</v>
      </c>
      <c r="X502">
        <v>2</v>
      </c>
    </row>
    <row r="503" spans="1:24">
      <c r="A503" t="s">
        <v>106</v>
      </c>
      <c r="B503" s="14" t="s">
        <v>152</v>
      </c>
      <c r="C503" t="s">
        <v>107</v>
      </c>
      <c r="D503" s="13" t="s">
        <v>67</v>
      </c>
      <c r="E503" s="13">
        <v>2</v>
      </c>
      <c r="F503" s="13">
        <f>IF(E503="","",MIN(E503,$X503+SUMIFS('05_Parte_Diario'!$H$5:$H$204,'05_Parte_Diario'!$D$5:$D$204,B503,'05_Parte_Diario'!$E$5:$E$204,C503)))</f>
        <v>2</v>
      </c>
      <c r="G503" s="13">
        <f t="shared" si="49"/>
        <v>0</v>
      </c>
      <c r="H503" s="21">
        <f t="shared" si="50"/>
        <v>1</v>
      </c>
      <c r="I503" s="21">
        <f>IF(OR(B503="",C503="",$V$1=""),"",MIN(E503,SUMIFS('03_Planificacion'!$G$99:$G$178,'03_Planificacion'!$E$99:$E$178,B503,'03_Planificacion'!$F$99:$F$178,C503,'03_Planificacion'!$D$99:$D$178,"&lt;="&amp;$V$1)))</f>
        <v>0</v>
      </c>
      <c r="J503" s="21">
        <f t="shared" si="51"/>
        <v>0</v>
      </c>
      <c r="K503" s="6">
        <f t="shared" si="52"/>
        <v>1</v>
      </c>
      <c r="L503" t="s">
        <v>123</v>
      </c>
      <c r="P503" s="5">
        <f t="shared" si="53"/>
        <v>46287</v>
      </c>
      <c r="Q503" t="s">
        <v>125</v>
      </c>
      <c r="R503">
        <v>110</v>
      </c>
      <c r="S503" t="s">
        <v>70</v>
      </c>
      <c r="T503" t="str">
        <f t="shared" si="54"/>
        <v/>
      </c>
      <c r="U503" t="str">
        <f>IF(AND(L503="Para Programar",G503&gt;0),COUNTIFS($L$5:L503,"Para Programar",$G$5:G503,"&gt;0"),"")</f>
        <v/>
      </c>
      <c r="W503" t="str">
        <f t="shared" si="55"/>
        <v>N20 - N21|10 Relleno -0,60 - Compactación</v>
      </c>
      <c r="X503">
        <v>2</v>
      </c>
    </row>
    <row r="504" spans="1:24">
      <c r="A504" t="s">
        <v>108</v>
      </c>
      <c r="B504" s="14" t="s">
        <v>152</v>
      </c>
      <c r="C504" t="s">
        <v>109</v>
      </c>
      <c r="D504" s="13" t="s">
        <v>81</v>
      </c>
      <c r="E504" s="13">
        <v>1</v>
      </c>
      <c r="F504" s="13">
        <f>IF(E504="","",MIN(E504,$X504+SUMIFS('05_Parte_Diario'!$H$5:$H$204,'05_Parte_Diario'!$D$5:$D$204,B504,'05_Parte_Diario'!$E$5:$E$204,C504)))</f>
        <v>1</v>
      </c>
      <c r="G504" s="13">
        <f t="shared" si="49"/>
        <v>0</v>
      </c>
      <c r="H504" s="21">
        <f t="shared" si="50"/>
        <v>1</v>
      </c>
      <c r="I504" s="21">
        <f>IF(OR(B504="",C504="",$V$1=""),"",MIN(E504,SUMIFS('03_Planificacion'!$G$99:$G$178,'03_Planificacion'!$E$99:$E$178,B504,'03_Planificacion'!$F$99:$F$178,C504,'03_Planificacion'!$D$99:$D$178,"&lt;="&amp;$V$1)))</f>
        <v>0</v>
      </c>
      <c r="J504" s="21">
        <f t="shared" si="51"/>
        <v>0</v>
      </c>
      <c r="K504" s="6">
        <f t="shared" si="52"/>
        <v>1</v>
      </c>
      <c r="L504" t="s">
        <v>123</v>
      </c>
      <c r="P504" s="5">
        <f t="shared" si="53"/>
        <v>46287</v>
      </c>
      <c r="Q504" t="s">
        <v>125</v>
      </c>
      <c r="R504">
        <v>110</v>
      </c>
      <c r="S504" t="s">
        <v>70</v>
      </c>
      <c r="T504" t="str">
        <f t="shared" si="54"/>
        <v/>
      </c>
      <c r="U504" t="str">
        <f>IF(AND(L504="Para Programar",G504&gt;0),COUNTIFS($L$5:L504,"Para Programar",$G$5:G504,"&gt;0"),"")</f>
        <v/>
      </c>
      <c r="W504" t="str">
        <f t="shared" si="55"/>
        <v>N20 - N21|10 Relleno -0,60 - Inspección laboratorio</v>
      </c>
      <c r="X504">
        <v>1</v>
      </c>
    </row>
    <row r="505" spans="1:24">
      <c r="A505" t="s">
        <v>110</v>
      </c>
      <c r="B505" s="14" t="s">
        <v>152</v>
      </c>
      <c r="C505" t="s">
        <v>111</v>
      </c>
      <c r="D505" s="13" t="s">
        <v>67</v>
      </c>
      <c r="E505" s="13">
        <v>2</v>
      </c>
      <c r="F505" s="13">
        <f>IF(E505="","",MIN(E505,$X505+SUMIFS('05_Parte_Diario'!$H$5:$H$204,'05_Parte_Diario'!$D$5:$D$204,B505,'05_Parte_Diario'!$E$5:$E$204,C505)))</f>
        <v>2</v>
      </c>
      <c r="G505" s="13">
        <f t="shared" si="49"/>
        <v>0</v>
      </c>
      <c r="H505" s="21">
        <f t="shared" si="50"/>
        <v>1</v>
      </c>
      <c r="I505" s="21">
        <f>IF(OR(B505="",C505="",$V$1=""),"",MIN(E505,SUMIFS('03_Planificacion'!$G$99:$G$178,'03_Planificacion'!$E$99:$E$178,B505,'03_Planificacion'!$F$99:$F$178,C505,'03_Planificacion'!$D$99:$D$178,"&lt;="&amp;$V$1)))</f>
        <v>0</v>
      </c>
      <c r="J505" s="21">
        <f t="shared" si="51"/>
        <v>0</v>
      </c>
      <c r="K505" s="6">
        <f t="shared" si="52"/>
        <v>1</v>
      </c>
      <c r="L505" t="s">
        <v>123</v>
      </c>
      <c r="P505" s="5">
        <f t="shared" si="53"/>
        <v>46287</v>
      </c>
      <c r="Q505" t="s">
        <v>125</v>
      </c>
      <c r="R505">
        <v>110</v>
      </c>
      <c r="S505" t="s">
        <v>70</v>
      </c>
      <c r="T505" t="str">
        <f t="shared" si="54"/>
        <v/>
      </c>
      <c r="U505" t="str">
        <f>IF(AND(L505="Para Programar",G505&gt;0),COUNTIFS($L$5:L505,"Para Programar",$G$5:G505,"&gt;0"),"")</f>
        <v/>
      </c>
      <c r="W505" t="str">
        <f t="shared" si="55"/>
        <v>N20 - N21|11 Relleno -0,30 - Conformación de capa</v>
      </c>
      <c r="X505">
        <v>2</v>
      </c>
    </row>
    <row r="506" spans="1:24">
      <c r="A506" t="s">
        <v>112</v>
      </c>
      <c r="B506" s="14" t="s">
        <v>152</v>
      </c>
      <c r="C506" t="s">
        <v>113</v>
      </c>
      <c r="D506" s="13" t="s">
        <v>67</v>
      </c>
      <c r="E506" s="13">
        <v>2</v>
      </c>
      <c r="F506" s="13">
        <f>IF(E506="","",MIN(E506,$X506+SUMIFS('05_Parte_Diario'!$H$5:$H$204,'05_Parte_Diario'!$D$5:$D$204,B506,'05_Parte_Diario'!$E$5:$E$204,C506)))</f>
        <v>2</v>
      </c>
      <c r="G506" s="13">
        <f t="shared" si="49"/>
        <v>0</v>
      </c>
      <c r="H506" s="21">
        <f t="shared" si="50"/>
        <v>1</v>
      </c>
      <c r="I506" s="21">
        <f>IF(OR(B506="",C506="",$V$1=""),"",MIN(E506,SUMIFS('03_Planificacion'!$G$99:$G$178,'03_Planificacion'!$E$99:$E$178,B506,'03_Planificacion'!$F$99:$F$178,C506,'03_Planificacion'!$D$99:$D$178,"&lt;="&amp;$V$1)))</f>
        <v>0</v>
      </c>
      <c r="J506" s="21">
        <f t="shared" si="51"/>
        <v>0</v>
      </c>
      <c r="K506" s="6">
        <f t="shared" si="52"/>
        <v>1</v>
      </c>
      <c r="L506" t="s">
        <v>123</v>
      </c>
      <c r="P506" s="5">
        <f t="shared" si="53"/>
        <v>46287</v>
      </c>
      <c r="Q506" t="s">
        <v>125</v>
      </c>
      <c r="R506">
        <v>110</v>
      </c>
      <c r="S506" t="s">
        <v>70</v>
      </c>
      <c r="T506" t="str">
        <f t="shared" si="54"/>
        <v/>
      </c>
      <c r="U506" t="str">
        <f>IF(AND(L506="Para Programar",G506&gt;0),COUNTIFS($L$5:L506,"Para Programar",$G$5:G506,"&gt;0"),"")</f>
        <v/>
      </c>
      <c r="W506" t="str">
        <f t="shared" si="55"/>
        <v>N20 - N21|11 Relleno -0,30 - Humectación</v>
      </c>
      <c r="X506">
        <v>2</v>
      </c>
    </row>
    <row r="507" spans="1:24">
      <c r="A507" t="s">
        <v>114</v>
      </c>
      <c r="B507" s="14" t="s">
        <v>152</v>
      </c>
      <c r="C507" t="s">
        <v>115</v>
      </c>
      <c r="D507" s="13" t="s">
        <v>67</v>
      </c>
      <c r="E507" s="13">
        <v>2</v>
      </c>
      <c r="F507" s="13">
        <f>IF(E507="","",MIN(E507,$X507+SUMIFS('05_Parte_Diario'!$H$5:$H$204,'05_Parte_Diario'!$D$5:$D$204,B507,'05_Parte_Diario'!$E$5:$E$204,C507)))</f>
        <v>0</v>
      </c>
      <c r="G507" s="13">
        <f t="shared" si="49"/>
        <v>2</v>
      </c>
      <c r="H507" s="21">
        <f t="shared" si="50"/>
        <v>0</v>
      </c>
      <c r="I507" s="21">
        <f>IF(OR(B507="",C507="",$V$1=""),"",MIN(E507,SUMIFS('03_Planificacion'!$G$99:$G$178,'03_Planificacion'!$E$99:$E$178,B507,'03_Planificacion'!$F$99:$F$178,C507,'03_Planificacion'!$D$99:$D$178,"&lt;="&amp;$V$1)))</f>
        <v>0</v>
      </c>
      <c r="J507" s="21">
        <f t="shared" si="51"/>
        <v>0</v>
      </c>
      <c r="K507" s="6">
        <f t="shared" si="52"/>
        <v>0</v>
      </c>
      <c r="L507" t="s">
        <v>12</v>
      </c>
      <c r="P507" s="5">
        <f t="shared" si="53"/>
        <v>46287</v>
      </c>
      <c r="Q507" t="s">
        <v>125</v>
      </c>
      <c r="R507">
        <v>110</v>
      </c>
      <c r="S507" t="s">
        <v>70</v>
      </c>
      <c r="T507" t="str">
        <f t="shared" si="54"/>
        <v/>
      </c>
      <c r="U507">
        <f>IF(AND(L507="Para Programar",G507&gt;0),COUNTIFS($L$5:L507,"Para Programar",$G$5:G507,"&gt;0"),"")</f>
        <v>109</v>
      </c>
      <c r="W507" t="str">
        <f t="shared" si="55"/>
        <v>N20 - N21|11 Relleno -0,30 - Compactación</v>
      </c>
      <c r="X507">
        <v>0</v>
      </c>
    </row>
    <row r="508" spans="1:24">
      <c r="A508" t="s">
        <v>116</v>
      </c>
      <c r="B508" s="14" t="s">
        <v>152</v>
      </c>
      <c r="C508" t="s">
        <v>117</v>
      </c>
      <c r="D508" s="13" t="s">
        <v>81</v>
      </c>
      <c r="E508" s="13">
        <v>1</v>
      </c>
      <c r="F508" s="13">
        <f>IF(E508="","",MIN(E508,$X508+SUMIFS('05_Parte_Diario'!$H$5:$H$204,'05_Parte_Diario'!$D$5:$D$204,B508,'05_Parte_Diario'!$E$5:$E$204,C508)))</f>
        <v>0</v>
      </c>
      <c r="G508" s="13">
        <f t="shared" si="49"/>
        <v>1</v>
      </c>
      <c r="H508" s="21">
        <f t="shared" si="50"/>
        <v>0</v>
      </c>
      <c r="I508" s="21">
        <f>IF(OR(B508="",C508="",$V$1=""),"",MIN(E508,SUMIFS('03_Planificacion'!$G$99:$G$178,'03_Planificacion'!$E$99:$E$178,B508,'03_Planificacion'!$F$99:$F$178,C508,'03_Planificacion'!$D$99:$D$178,"&lt;="&amp;$V$1)))</f>
        <v>0</v>
      </c>
      <c r="J508" s="21">
        <f t="shared" si="51"/>
        <v>0</v>
      </c>
      <c r="K508" s="6">
        <f t="shared" si="52"/>
        <v>0</v>
      </c>
      <c r="L508" t="s">
        <v>12</v>
      </c>
      <c r="P508" s="5">
        <f t="shared" si="53"/>
        <v>46287</v>
      </c>
      <c r="Q508" t="s">
        <v>125</v>
      </c>
      <c r="R508">
        <v>110</v>
      </c>
      <c r="S508" t="s">
        <v>70</v>
      </c>
      <c r="T508" t="str">
        <f t="shared" si="54"/>
        <v/>
      </c>
      <c r="U508">
        <f>IF(AND(L508="Para Programar",G508&gt;0),COUNTIFS($L$5:L508,"Para Programar",$G$5:G508,"&gt;0"),"")</f>
        <v>110</v>
      </c>
      <c r="W508" t="str">
        <f t="shared" si="55"/>
        <v>N20 - N21|11 Relleno -0,30 - Inspección laboratorio</v>
      </c>
      <c r="X508">
        <v>0</v>
      </c>
    </row>
    <row r="509" spans="1:24">
      <c r="A509" t="s">
        <v>64</v>
      </c>
      <c r="B509" s="14" t="s">
        <v>153</v>
      </c>
      <c r="C509" t="s">
        <v>66</v>
      </c>
      <c r="D509" s="13" t="s">
        <v>67</v>
      </c>
      <c r="E509" s="13">
        <v>97</v>
      </c>
      <c r="F509" s="13">
        <f>IF(E509="","",MIN(E509,$X509+SUMIFS('05_Parte_Diario'!$H$5:$H$204,'05_Parte_Diario'!$D$5:$D$204,B509,'05_Parte_Diario'!$E$5:$E$204,C509)))</f>
        <v>97</v>
      </c>
      <c r="G509" s="13">
        <f t="shared" si="49"/>
        <v>0</v>
      </c>
      <c r="H509" s="21">
        <f t="shared" si="50"/>
        <v>1</v>
      </c>
      <c r="I509" s="21">
        <f>IF(OR(B509="",C509="",$V$1=""),"",MIN(E509,SUMIFS('03_Planificacion'!$G$99:$G$178,'03_Planificacion'!$E$99:$E$178,B509,'03_Planificacion'!$F$99:$F$178,C509,'03_Planificacion'!$D$99:$D$178,"&lt;="&amp;$V$1)))</f>
        <v>0</v>
      </c>
      <c r="J509" s="21">
        <f t="shared" si="51"/>
        <v>0</v>
      </c>
      <c r="K509" s="6">
        <f t="shared" si="52"/>
        <v>1</v>
      </c>
      <c r="L509" t="s">
        <v>123</v>
      </c>
      <c r="P509" s="5">
        <f t="shared" si="53"/>
        <v>46287</v>
      </c>
      <c r="Q509" t="s">
        <v>125</v>
      </c>
      <c r="R509">
        <v>110</v>
      </c>
      <c r="S509" t="s">
        <v>70</v>
      </c>
      <c r="T509" t="str">
        <f t="shared" si="54"/>
        <v/>
      </c>
      <c r="U509" t="str">
        <f>IF(AND(L509="Para Programar",G509&gt;0),COUNTIFS($L$5:L509,"Para Programar",$G$5:G509,"&gt;0"),"")</f>
        <v/>
      </c>
      <c r="W509" t="str">
        <f t="shared" si="55"/>
        <v>N21 - N22|01 Replanteo - Marcación de tramo de cañería principal</v>
      </c>
      <c r="X509">
        <v>97</v>
      </c>
    </row>
    <row r="510" spans="1:24">
      <c r="A510" t="s">
        <v>71</v>
      </c>
      <c r="B510" s="14" t="s">
        <v>153</v>
      </c>
      <c r="C510" t="s">
        <v>72</v>
      </c>
      <c r="D510" s="13" t="s">
        <v>67</v>
      </c>
      <c r="E510" s="13">
        <v>97</v>
      </c>
      <c r="F510" s="13">
        <f>IF(E510="","",MIN(E510,$X510+SUMIFS('05_Parte_Diario'!$H$5:$H$204,'05_Parte_Diario'!$D$5:$D$204,B510,'05_Parte_Diario'!$E$5:$E$204,C510)))</f>
        <v>97</v>
      </c>
      <c r="G510" s="13">
        <f t="shared" si="49"/>
        <v>0</v>
      </c>
      <c r="H510" s="21">
        <f t="shared" si="50"/>
        <v>1</v>
      </c>
      <c r="I510" s="21">
        <f>IF(OR(B510="",C510="",$V$1=""),"",MIN(E510,SUMIFS('03_Planificacion'!$G$99:$G$178,'03_Planificacion'!$E$99:$E$178,B510,'03_Planificacion'!$F$99:$F$178,C510,'03_Planificacion'!$D$99:$D$178,"&lt;="&amp;$V$1)))</f>
        <v>0</v>
      </c>
      <c r="J510" s="21">
        <f t="shared" si="51"/>
        <v>0</v>
      </c>
      <c r="K510" s="6">
        <f t="shared" si="52"/>
        <v>1</v>
      </c>
      <c r="L510" t="s">
        <v>123</v>
      </c>
      <c r="P510" s="5">
        <f t="shared" si="53"/>
        <v>46287</v>
      </c>
      <c r="Q510" t="s">
        <v>125</v>
      </c>
      <c r="R510">
        <v>110</v>
      </c>
      <c r="S510" t="s">
        <v>70</v>
      </c>
      <c r="T510" t="str">
        <f t="shared" si="54"/>
        <v/>
      </c>
      <c r="U510" t="str">
        <f>IF(AND(L510="Para Programar",G510&gt;0),COUNTIFS($L$5:L510,"Para Programar",$G$5:G510,"&gt;0"),"")</f>
        <v/>
      </c>
      <c r="W510" t="str">
        <f t="shared" si="55"/>
        <v>N21 - N22|02 Excavación - Zanja principal</v>
      </c>
      <c r="X510">
        <v>97</v>
      </c>
    </row>
    <row r="511" spans="1:24">
      <c r="A511" t="s">
        <v>73</v>
      </c>
      <c r="B511" s="14" t="s">
        <v>153</v>
      </c>
      <c r="C511" t="s">
        <v>74</v>
      </c>
      <c r="D511" s="13" t="s">
        <v>67</v>
      </c>
      <c r="E511" s="13">
        <v>97</v>
      </c>
      <c r="F511" s="13">
        <f>IF(E511="","",MIN(E511,$X511+SUMIFS('05_Parte_Diario'!$H$5:$H$204,'05_Parte_Diario'!$D$5:$D$204,B511,'05_Parte_Diario'!$E$5:$E$204,C511)))</f>
        <v>97</v>
      </c>
      <c r="G511" s="13">
        <f t="shared" si="49"/>
        <v>0</v>
      </c>
      <c r="H511" s="21">
        <f t="shared" si="50"/>
        <v>1</v>
      </c>
      <c r="I511" s="21">
        <f>IF(OR(B511="",C511="",$V$1=""),"",MIN(E511,SUMIFS('03_Planificacion'!$G$99:$G$178,'03_Planificacion'!$E$99:$E$178,B511,'03_Planificacion'!$F$99:$F$178,C511,'03_Planificacion'!$D$99:$D$178,"&lt;="&amp;$V$1)))</f>
        <v>0</v>
      </c>
      <c r="J511" s="21">
        <f t="shared" si="51"/>
        <v>0</v>
      </c>
      <c r="K511" s="6">
        <f t="shared" si="52"/>
        <v>1</v>
      </c>
      <c r="L511" t="s">
        <v>123</v>
      </c>
      <c r="P511" s="5">
        <f t="shared" si="53"/>
        <v>46287</v>
      </c>
      <c r="Q511" t="s">
        <v>125</v>
      </c>
      <c r="R511">
        <v>110</v>
      </c>
      <c r="S511" t="s">
        <v>70</v>
      </c>
      <c r="T511" t="str">
        <f t="shared" si="54"/>
        <v/>
      </c>
      <c r="U511" t="str">
        <f>IF(AND(L511="Para Programar",G511&gt;0),COUNTIFS($L$5:L511,"Para Programar",$G$5:G511,"&gt;0"),"")</f>
        <v/>
      </c>
      <c r="W511" t="str">
        <f t="shared" si="55"/>
        <v>N21 - N22|03 Base de asiento - Nivelación de fondo de zanja</v>
      </c>
      <c r="X511">
        <v>97</v>
      </c>
    </row>
    <row r="512" spans="1:24">
      <c r="A512" t="s">
        <v>75</v>
      </c>
      <c r="B512" s="14" t="s">
        <v>153</v>
      </c>
      <c r="C512" t="s">
        <v>76</v>
      </c>
      <c r="D512" s="13" t="s">
        <v>67</v>
      </c>
      <c r="E512" s="13">
        <v>97</v>
      </c>
      <c r="F512" s="13">
        <f>IF(E512="","",MIN(E512,$X512+SUMIFS('05_Parte_Diario'!$H$5:$H$204,'05_Parte_Diario'!$D$5:$D$204,B512,'05_Parte_Diario'!$E$5:$E$204,C512)))</f>
        <v>97</v>
      </c>
      <c r="G512" s="13">
        <f t="shared" si="49"/>
        <v>0</v>
      </c>
      <c r="H512" s="21">
        <f t="shared" si="50"/>
        <v>1</v>
      </c>
      <c r="I512" s="21">
        <f>IF(OR(B512="",C512="",$V$1=""),"",MIN(E512,SUMIFS('03_Planificacion'!$G$99:$G$178,'03_Planificacion'!$E$99:$E$178,B512,'03_Planificacion'!$F$99:$F$178,C512,'03_Planificacion'!$D$99:$D$178,"&lt;="&amp;$V$1)))</f>
        <v>0</v>
      </c>
      <c r="J512" s="21">
        <f t="shared" si="51"/>
        <v>0</v>
      </c>
      <c r="K512" s="6">
        <f t="shared" si="52"/>
        <v>1</v>
      </c>
      <c r="L512" t="s">
        <v>123</v>
      </c>
      <c r="P512" s="5">
        <f t="shared" si="53"/>
        <v>46287</v>
      </c>
      <c r="Q512" t="s">
        <v>125</v>
      </c>
      <c r="R512">
        <v>110</v>
      </c>
      <c r="S512" t="s">
        <v>70</v>
      </c>
      <c r="T512" t="str">
        <f t="shared" si="54"/>
        <v/>
      </c>
      <c r="U512" t="str">
        <f>IF(AND(L512="Para Programar",G512&gt;0),COUNTIFS($L$5:L512,"Para Programar",$G$5:G512,"&gt;0"),"")</f>
        <v/>
      </c>
      <c r="W512" t="str">
        <f t="shared" si="55"/>
        <v>N21 - N22|03 Base de asiento - Aporte de material base e=0,10 m</v>
      </c>
      <c r="X512">
        <v>97</v>
      </c>
    </row>
    <row r="513" spans="1:24">
      <c r="A513" t="s">
        <v>77</v>
      </c>
      <c r="B513" s="14" t="s">
        <v>153</v>
      </c>
      <c r="C513" t="s">
        <v>78</v>
      </c>
      <c r="D513" s="13" t="s">
        <v>67</v>
      </c>
      <c r="E513" s="13">
        <v>97</v>
      </c>
      <c r="F513" s="13">
        <f>IF(E513="","",MIN(E513,$X513+SUMIFS('05_Parte_Diario'!$H$5:$H$204,'05_Parte_Diario'!$D$5:$D$204,B513,'05_Parte_Diario'!$E$5:$E$204,C513)))</f>
        <v>97</v>
      </c>
      <c r="G513" s="13">
        <f t="shared" si="49"/>
        <v>0</v>
      </c>
      <c r="H513" s="21">
        <f t="shared" si="50"/>
        <v>1</v>
      </c>
      <c r="I513" s="21">
        <f>IF(OR(B513="",C513="",$V$1=""),"",MIN(E513,SUMIFS('03_Planificacion'!$G$99:$G$178,'03_Planificacion'!$E$99:$E$178,B513,'03_Planificacion'!$F$99:$F$178,C513,'03_Planificacion'!$D$99:$D$178,"&lt;="&amp;$V$1)))</f>
        <v>0</v>
      </c>
      <c r="J513" s="21">
        <f t="shared" si="51"/>
        <v>0</v>
      </c>
      <c r="K513" s="6">
        <f t="shared" si="52"/>
        <v>1</v>
      </c>
      <c r="L513" t="s">
        <v>123</v>
      </c>
      <c r="P513" s="5">
        <f t="shared" si="53"/>
        <v>46287</v>
      </c>
      <c r="Q513" t="s">
        <v>125</v>
      </c>
      <c r="R513">
        <v>110</v>
      </c>
      <c r="S513" t="s">
        <v>70</v>
      </c>
      <c r="T513" t="str">
        <f t="shared" si="54"/>
        <v/>
      </c>
      <c r="U513" t="str">
        <f>IF(AND(L513="Para Programar",G513&gt;0),COUNTIFS($L$5:L513,"Para Programar",$G$5:G513,"&gt;0"),"")</f>
        <v/>
      </c>
      <c r="W513" t="str">
        <f t="shared" si="55"/>
        <v>N21 - N22|03 Base de asiento - Compactación</v>
      </c>
      <c r="X513">
        <v>97</v>
      </c>
    </row>
    <row r="514" spans="1:24">
      <c r="A514" t="s">
        <v>79</v>
      </c>
      <c r="B514" s="14" t="s">
        <v>153</v>
      </c>
      <c r="C514" t="s">
        <v>80</v>
      </c>
      <c r="D514" s="13" t="s">
        <v>81</v>
      </c>
      <c r="E514" s="13">
        <v>1</v>
      </c>
      <c r="F514" s="13">
        <f>IF(E514="","",MIN(E514,$X514+SUMIFS('05_Parte_Diario'!$H$5:$H$204,'05_Parte_Diario'!$D$5:$D$204,B514,'05_Parte_Diario'!$E$5:$E$204,C514)))</f>
        <v>1</v>
      </c>
      <c r="G514" s="13">
        <f t="shared" si="49"/>
        <v>0</v>
      </c>
      <c r="H514" s="21">
        <f t="shared" si="50"/>
        <v>1</v>
      </c>
      <c r="I514" s="21">
        <f>IF(OR(B514="",C514="",$V$1=""),"",MIN(E514,SUMIFS('03_Planificacion'!$G$99:$G$178,'03_Planificacion'!$E$99:$E$178,B514,'03_Planificacion'!$F$99:$F$178,C514,'03_Planificacion'!$D$99:$D$178,"&lt;="&amp;$V$1)))</f>
        <v>0</v>
      </c>
      <c r="J514" s="21">
        <f t="shared" si="51"/>
        <v>0</v>
      </c>
      <c r="K514" s="6">
        <f t="shared" si="52"/>
        <v>1</v>
      </c>
      <c r="L514" t="s">
        <v>123</v>
      </c>
      <c r="P514" s="5">
        <f t="shared" si="53"/>
        <v>46287</v>
      </c>
      <c r="Q514" t="s">
        <v>125</v>
      </c>
      <c r="R514">
        <v>110</v>
      </c>
      <c r="S514" t="s">
        <v>70</v>
      </c>
      <c r="T514" t="str">
        <f t="shared" si="54"/>
        <v/>
      </c>
      <c r="U514" t="str">
        <f>IF(AND(L514="Para Programar",G514&gt;0),COUNTIFS($L$5:L514,"Para Programar",$G$5:G514,"&gt;0"),"")</f>
        <v/>
      </c>
      <c r="W514" t="str">
        <f t="shared" si="55"/>
        <v>N21 - N22|04 Inspecciones previas - Laboratorio base de asiento</v>
      </c>
      <c r="X514">
        <v>1</v>
      </c>
    </row>
    <row r="515" spans="1:24">
      <c r="A515" t="s">
        <v>82</v>
      </c>
      <c r="B515" s="14" t="s">
        <v>153</v>
      </c>
      <c r="C515" t="s">
        <v>83</v>
      </c>
      <c r="D515" s="13" t="s">
        <v>81</v>
      </c>
      <c r="E515" s="13">
        <v>1</v>
      </c>
      <c r="F515" s="13">
        <f>IF(E515="","",MIN(E515,$X515+SUMIFS('05_Parte_Diario'!$H$5:$H$204,'05_Parte_Diario'!$D$5:$D$204,B515,'05_Parte_Diario'!$E$5:$E$204,C515)))</f>
        <v>0</v>
      </c>
      <c r="G515" s="13">
        <f t="shared" si="49"/>
        <v>1</v>
      </c>
      <c r="H515" s="21">
        <f t="shared" si="50"/>
        <v>0</v>
      </c>
      <c r="I515" s="21">
        <f>IF(OR(B515="",C515="",$V$1=""),"",MIN(E515,SUMIFS('03_Planificacion'!$G$99:$G$178,'03_Planificacion'!$E$99:$E$178,B515,'03_Planificacion'!$F$99:$F$178,C515,'03_Planificacion'!$D$99:$D$178,"&lt;="&amp;$V$1)))</f>
        <v>0</v>
      </c>
      <c r="J515" s="21">
        <f t="shared" si="51"/>
        <v>0</v>
      </c>
      <c r="K515" s="6">
        <f t="shared" si="52"/>
        <v>0</v>
      </c>
      <c r="L515" t="s">
        <v>123</v>
      </c>
      <c r="P515" s="5">
        <f t="shared" si="53"/>
        <v>46287</v>
      </c>
      <c r="Q515" t="s">
        <v>125</v>
      </c>
      <c r="R515">
        <v>110</v>
      </c>
      <c r="S515" t="s">
        <v>70</v>
      </c>
      <c r="T515" t="str">
        <f t="shared" si="54"/>
        <v>INCONSISTENCIA - REVISAR MANUALMENTE: Terminada con saldo</v>
      </c>
      <c r="U515" t="str">
        <f>IF(AND(L515="Para Programar",G515&gt;0),COUNTIFS($L$5:L515,"Para Programar",$G$5:G515,"&gt;0"),"")</f>
        <v/>
      </c>
      <c r="W515" t="str">
        <f t="shared" si="55"/>
        <v>N21 - N22|04 Inspecciones previas - Zanja y materiales</v>
      </c>
      <c r="X515">
        <v>0</v>
      </c>
    </row>
    <row r="516" spans="1:24">
      <c r="A516" t="s">
        <v>84</v>
      </c>
      <c r="B516" s="14" t="s">
        <v>153</v>
      </c>
      <c r="C516" t="s">
        <v>85</v>
      </c>
      <c r="D516" s="13" t="s">
        <v>67</v>
      </c>
      <c r="E516" s="13">
        <v>97</v>
      </c>
      <c r="F516" s="13">
        <f>IF(E516="","",MIN(E516,$X516+SUMIFS('05_Parte_Diario'!$H$5:$H$204,'05_Parte_Diario'!$D$5:$D$204,B516,'05_Parte_Diario'!$E$5:$E$204,C516)))</f>
        <v>97</v>
      </c>
      <c r="G516" s="13">
        <f t="shared" si="49"/>
        <v>0</v>
      </c>
      <c r="H516" s="21">
        <f t="shared" si="50"/>
        <v>1</v>
      </c>
      <c r="I516" s="21">
        <f>IF(OR(B516="",C516="",$V$1=""),"",MIN(E516,SUMIFS('03_Planificacion'!$G$99:$G$178,'03_Planificacion'!$E$99:$E$178,B516,'03_Planificacion'!$F$99:$F$178,C516,'03_Planificacion'!$D$99:$D$178,"&lt;="&amp;$V$1)))</f>
        <v>0</v>
      </c>
      <c r="J516" s="21">
        <f t="shared" si="51"/>
        <v>0</v>
      </c>
      <c r="K516" s="6">
        <f t="shared" si="52"/>
        <v>1</v>
      </c>
      <c r="L516" t="s">
        <v>123</v>
      </c>
      <c r="P516" s="5">
        <f t="shared" si="53"/>
        <v>46287</v>
      </c>
      <c r="Q516" t="s">
        <v>125</v>
      </c>
      <c r="R516">
        <v>110</v>
      </c>
      <c r="S516" t="s">
        <v>70</v>
      </c>
      <c r="T516" t="str">
        <f t="shared" si="54"/>
        <v/>
      </c>
      <c r="U516" t="str">
        <f>IF(AND(L516="Para Programar",G516&gt;0),COUNTIFS($L$5:L516,"Para Programar",$G$5:G516,"&gt;0"),"")</f>
        <v/>
      </c>
      <c r="W516" t="str">
        <f t="shared" si="55"/>
        <v>N21 - N22|05 Tendido de cañería - Cañería principal</v>
      </c>
      <c r="X516">
        <v>97</v>
      </c>
    </row>
    <row r="517" spans="1:24">
      <c r="A517" t="s">
        <v>86</v>
      </c>
      <c r="B517" s="14" t="s">
        <v>153</v>
      </c>
      <c r="C517" t="s">
        <v>87</v>
      </c>
      <c r="D517" s="13" t="s">
        <v>67</v>
      </c>
      <c r="E517" s="13">
        <v>97</v>
      </c>
      <c r="F517" s="13">
        <f>IF(E517="","",MIN(E517,$X517+SUMIFS('05_Parte_Diario'!$H$5:$H$204,'05_Parte_Diario'!$D$5:$D$204,B517,'05_Parte_Diario'!$E$5:$E$204,C517)))</f>
        <v>97</v>
      </c>
      <c r="G517" s="13">
        <f t="shared" ref="G517:G580" si="56">IF(E517="","",MAX(E517-F517,0))</f>
        <v>0</v>
      </c>
      <c r="H517" s="21">
        <f t="shared" ref="H517:H580" si="57">IFERROR(F517/E517,0)</f>
        <v>1</v>
      </c>
      <c r="I517" s="21">
        <f>IF(OR(B517="",C517="",$V$1=""),"",MIN(E517,SUMIFS('03_Planificacion'!$G$99:$G$178,'03_Planificacion'!$E$99:$E$178,B517,'03_Planificacion'!$F$99:$F$178,C517,'03_Planificacion'!$D$99:$D$178,"&lt;="&amp;$V$1)))</f>
        <v>0</v>
      </c>
      <c r="J517" s="21">
        <f t="shared" ref="J517:J580" si="58">IFERROR(I517/E517,0)</f>
        <v>0</v>
      </c>
      <c r="K517" s="6">
        <f t="shared" ref="K517:K580" si="59">IF(OR(E517="",$V$1=""),"",H517-J517)</f>
        <v>1</v>
      </c>
      <c r="L517" t="s">
        <v>123</v>
      </c>
      <c r="P517" s="5">
        <f t="shared" ref="P517:P580" si="60">IF(A517="","",$V$1)</f>
        <v>46287</v>
      </c>
      <c r="Q517" t="s">
        <v>125</v>
      </c>
      <c r="R517">
        <v>110</v>
      </c>
      <c r="S517" t="s">
        <v>70</v>
      </c>
      <c r="T517" t="str">
        <f t="shared" ref="T517:T580" si="61">IF(A517="","",IF(AND(L517="Para Programar",G517=0),"INCONSISTENCIA - REVISAR MANUALMENTE: Para Programar sin saldo",IF(AND(L517="Terminada",G517&gt;0),"INCONSISTENCIA - REVISAR MANUALMENTE: Terminada con saldo","")))</f>
        <v/>
      </c>
      <c r="U517" t="str">
        <f>IF(AND(L517="Para Programar",G517&gt;0),COUNTIFS($L$5:L517,"Para Programar",$G$5:G517,"&gt;0"),"")</f>
        <v/>
      </c>
      <c r="W517" t="str">
        <f t="shared" ref="W517:W580" si="62">IF(OR(B517="",C517=""),"",B517&amp;"|"&amp;C517)</f>
        <v>N21 - N22|05 Tendido de cañería - Relevamiento planialtimétrico</v>
      </c>
      <c r="X517">
        <v>97</v>
      </c>
    </row>
    <row r="518" spans="1:24">
      <c r="A518" t="s">
        <v>88</v>
      </c>
      <c r="B518" s="14" t="s">
        <v>153</v>
      </c>
      <c r="C518" t="s">
        <v>89</v>
      </c>
      <c r="D518" s="13" t="s">
        <v>81</v>
      </c>
      <c r="E518" s="13">
        <v>1</v>
      </c>
      <c r="F518" s="13">
        <f>IF(E518="","",MIN(E518,$X518+SUMIFS('05_Parte_Diario'!$H$5:$H$204,'05_Parte_Diario'!$D$5:$D$204,B518,'05_Parte_Diario'!$E$5:$E$204,C518)))</f>
        <v>1</v>
      </c>
      <c r="G518" s="13">
        <f t="shared" si="56"/>
        <v>0</v>
      </c>
      <c r="H518" s="21">
        <f t="shared" si="57"/>
        <v>1</v>
      </c>
      <c r="I518" s="21">
        <f>IF(OR(B518="",C518="",$V$1=""),"",MIN(E518,SUMIFS('03_Planificacion'!$G$99:$G$178,'03_Planificacion'!$E$99:$E$178,B518,'03_Planificacion'!$F$99:$F$178,C518,'03_Planificacion'!$D$99:$D$178,"&lt;="&amp;$V$1)))</f>
        <v>0</v>
      </c>
      <c r="J518" s="21">
        <f t="shared" si="58"/>
        <v>0</v>
      </c>
      <c r="K518" s="6">
        <f t="shared" si="59"/>
        <v>1</v>
      </c>
      <c r="L518" t="s">
        <v>123</v>
      </c>
      <c r="P518" s="5">
        <f t="shared" si="60"/>
        <v>46287</v>
      </c>
      <c r="Q518" t="s">
        <v>125</v>
      </c>
      <c r="R518">
        <v>110</v>
      </c>
      <c r="S518" t="s">
        <v>70</v>
      </c>
      <c r="T518" t="str">
        <f t="shared" si="61"/>
        <v/>
      </c>
      <c r="U518" t="str">
        <f>IF(AND(L518="Para Programar",G518&gt;0),COUNTIFS($L$5:L518,"Para Programar",$G$5:G518,"&gt;0"),"")</f>
        <v/>
      </c>
      <c r="W518" t="str">
        <f t="shared" si="62"/>
        <v>N21 - N22|08 Prueba hidráulica - Preparación del sistema</v>
      </c>
      <c r="X518">
        <v>1</v>
      </c>
    </row>
    <row r="519" spans="1:24">
      <c r="A519" t="s">
        <v>90</v>
      </c>
      <c r="B519" s="14" t="s">
        <v>153</v>
      </c>
      <c r="C519" t="s">
        <v>91</v>
      </c>
      <c r="D519" s="13" t="s">
        <v>81</v>
      </c>
      <c r="E519" s="13">
        <v>1</v>
      </c>
      <c r="F519" s="13">
        <f>IF(E519="","",MIN(E519,$X519+SUMIFS('05_Parte_Diario'!$H$5:$H$204,'05_Parte_Diario'!$D$5:$D$204,B519,'05_Parte_Diario'!$E$5:$E$204,C519)))</f>
        <v>1</v>
      </c>
      <c r="G519" s="13">
        <f t="shared" si="56"/>
        <v>0</v>
      </c>
      <c r="H519" s="21">
        <f t="shared" si="57"/>
        <v>1</v>
      </c>
      <c r="I519" s="21">
        <f>IF(OR(B519="",C519="",$V$1=""),"",MIN(E519,SUMIFS('03_Planificacion'!$G$99:$G$178,'03_Planificacion'!$E$99:$E$178,B519,'03_Planificacion'!$F$99:$F$178,C519,'03_Planificacion'!$D$99:$D$178,"&lt;="&amp;$V$1)))</f>
        <v>0</v>
      </c>
      <c r="J519" s="21">
        <f t="shared" si="58"/>
        <v>0</v>
      </c>
      <c r="K519" s="6">
        <f t="shared" si="59"/>
        <v>1</v>
      </c>
      <c r="L519" t="s">
        <v>123</v>
      </c>
      <c r="P519" s="5">
        <f t="shared" si="60"/>
        <v>46287</v>
      </c>
      <c r="Q519" t="s">
        <v>125</v>
      </c>
      <c r="R519">
        <v>110</v>
      </c>
      <c r="S519" t="s">
        <v>70</v>
      </c>
      <c r="T519" t="str">
        <f t="shared" si="61"/>
        <v/>
      </c>
      <c r="U519" t="str">
        <f>IF(AND(L519="Para Programar",G519&gt;0),COUNTIFS($L$5:L519,"Para Programar",$G$5:G519,"&gt;0"),"")</f>
        <v/>
      </c>
      <c r="W519" t="str">
        <f t="shared" si="62"/>
        <v>N21 - N22|08 Prueba hidráulica - Interna N° 1</v>
      </c>
      <c r="X519">
        <v>1</v>
      </c>
    </row>
    <row r="520" spans="1:24">
      <c r="A520" t="s">
        <v>92</v>
      </c>
      <c r="B520" s="14" t="s">
        <v>153</v>
      </c>
      <c r="C520" t="s">
        <v>93</v>
      </c>
      <c r="D520" s="13" t="s">
        <v>81</v>
      </c>
      <c r="E520" s="13">
        <v>1</v>
      </c>
      <c r="F520" s="13">
        <f>IF(E520="","",MIN(E520,$X520+SUMIFS('05_Parte_Diario'!$H$5:$H$204,'05_Parte_Diario'!$D$5:$D$204,B520,'05_Parte_Diario'!$E$5:$E$204,C520)))</f>
        <v>1</v>
      </c>
      <c r="G520" s="13">
        <f t="shared" si="56"/>
        <v>0</v>
      </c>
      <c r="H520" s="21">
        <f t="shared" si="57"/>
        <v>1</v>
      </c>
      <c r="I520" s="21">
        <f>IF(OR(B520="",C520="",$V$1=""),"",MIN(E520,SUMIFS('03_Planificacion'!$G$99:$G$178,'03_Planificacion'!$E$99:$E$178,B520,'03_Planificacion'!$F$99:$F$178,C520,'03_Planificacion'!$D$99:$D$178,"&lt;="&amp;$V$1)))</f>
        <v>0</v>
      </c>
      <c r="J520" s="21">
        <f t="shared" si="58"/>
        <v>0</v>
      </c>
      <c r="K520" s="6">
        <f t="shared" si="59"/>
        <v>1</v>
      </c>
      <c r="L520" t="s">
        <v>123</v>
      </c>
      <c r="P520" s="5">
        <f t="shared" si="60"/>
        <v>46287</v>
      </c>
      <c r="Q520" t="s">
        <v>125</v>
      </c>
      <c r="R520">
        <v>110</v>
      </c>
      <c r="S520" t="s">
        <v>70</v>
      </c>
      <c r="T520" t="str">
        <f t="shared" si="61"/>
        <v/>
      </c>
      <c r="U520" t="str">
        <f>IF(AND(L520="Para Programar",G520&gt;0),COUNTIFS($L$5:L520,"Para Programar",$G$5:G520,"&gt;0"),"")</f>
        <v/>
      </c>
      <c r="W520" t="str">
        <f t="shared" si="62"/>
        <v>N21 - N22|08 Prueba hidráulica - Interna N° 2</v>
      </c>
      <c r="X520">
        <v>1</v>
      </c>
    </row>
    <row r="521" spans="1:24">
      <c r="A521" t="s">
        <v>94</v>
      </c>
      <c r="B521" s="14" t="s">
        <v>153</v>
      </c>
      <c r="C521" t="s">
        <v>95</v>
      </c>
      <c r="D521" s="13" t="s">
        <v>81</v>
      </c>
      <c r="E521" s="13">
        <v>1</v>
      </c>
      <c r="F521" s="13">
        <f>IF(E521="","",MIN(E521,$X521+SUMIFS('05_Parte_Diario'!$H$5:$H$204,'05_Parte_Diario'!$D$5:$D$204,B521,'05_Parte_Diario'!$E$5:$E$204,C521)))</f>
        <v>1</v>
      </c>
      <c r="G521" s="13">
        <f t="shared" si="56"/>
        <v>0</v>
      </c>
      <c r="H521" s="21">
        <f t="shared" si="57"/>
        <v>1</v>
      </c>
      <c r="I521" s="21">
        <f>IF(OR(B521="",C521="",$V$1=""),"",MIN(E521,SUMIFS('03_Planificacion'!$G$99:$G$178,'03_Planificacion'!$E$99:$E$178,B521,'03_Planificacion'!$F$99:$F$178,C521,'03_Planificacion'!$D$99:$D$178,"&lt;="&amp;$V$1)))</f>
        <v>0</v>
      </c>
      <c r="J521" s="21">
        <f t="shared" si="58"/>
        <v>0</v>
      </c>
      <c r="K521" s="6">
        <f t="shared" si="59"/>
        <v>1</v>
      </c>
      <c r="L521" t="s">
        <v>123</v>
      </c>
      <c r="P521" s="5">
        <f t="shared" si="60"/>
        <v>46287</v>
      </c>
      <c r="Q521" t="s">
        <v>125</v>
      </c>
      <c r="R521">
        <v>110</v>
      </c>
      <c r="S521" t="s">
        <v>70</v>
      </c>
      <c r="T521" t="str">
        <f t="shared" si="61"/>
        <v/>
      </c>
      <c r="U521" t="str">
        <f>IF(AND(L521="Para Programar",G521&gt;0),COUNTIFS($L$5:L521,"Para Programar",$G$5:G521,"&gt;0"),"")</f>
        <v/>
      </c>
      <c r="W521" t="str">
        <f t="shared" si="62"/>
        <v>N21 - N22|08 Prueba hidráulica - Primera prueba oficial</v>
      </c>
      <c r="X521">
        <v>1</v>
      </c>
    </row>
    <row r="522" spans="1:24">
      <c r="A522" t="s">
        <v>96</v>
      </c>
      <c r="B522" s="14" t="s">
        <v>153</v>
      </c>
      <c r="C522" t="s">
        <v>97</v>
      </c>
      <c r="D522" s="13" t="s">
        <v>67</v>
      </c>
      <c r="E522" s="13">
        <v>97</v>
      </c>
      <c r="F522" s="13">
        <f>IF(E522="","",MIN(E522,$X522+SUMIFS('05_Parte_Diario'!$H$5:$H$204,'05_Parte_Diario'!$D$5:$D$204,B522,'05_Parte_Diario'!$E$5:$E$204,C522)))</f>
        <v>97</v>
      </c>
      <c r="G522" s="13">
        <f t="shared" si="56"/>
        <v>0</v>
      </c>
      <c r="H522" s="21">
        <f t="shared" si="57"/>
        <v>1</v>
      </c>
      <c r="I522" s="21">
        <f>IF(OR(B522="",C522="",$V$1=""),"",MIN(E522,SUMIFS('03_Planificacion'!$G$99:$G$178,'03_Planificacion'!$E$99:$E$178,B522,'03_Planificacion'!$F$99:$F$178,C522,'03_Planificacion'!$D$99:$D$178,"&lt;="&amp;$V$1)))</f>
        <v>0</v>
      </c>
      <c r="J522" s="21">
        <f t="shared" si="58"/>
        <v>0</v>
      </c>
      <c r="K522" s="6">
        <f t="shared" si="59"/>
        <v>1</v>
      </c>
      <c r="L522" t="s">
        <v>123</v>
      </c>
      <c r="P522" s="5">
        <f t="shared" si="60"/>
        <v>46287</v>
      </c>
      <c r="Q522" t="s">
        <v>125</v>
      </c>
      <c r="R522">
        <v>110</v>
      </c>
      <c r="S522" t="s">
        <v>70</v>
      </c>
      <c r="T522" t="str">
        <f t="shared" si="61"/>
        <v/>
      </c>
      <c r="U522" t="str">
        <f>IF(AND(L522="Para Programar",G522&gt;0),COUNTIFS($L$5:L522,"Para Programar",$G$5:G522,"&gt;0"),"")</f>
        <v/>
      </c>
      <c r="W522" t="str">
        <f t="shared" si="62"/>
        <v>N21 - N22|09 Paquete estructural - Aporte e=0,30 m</v>
      </c>
      <c r="X522">
        <v>97</v>
      </c>
    </row>
    <row r="523" spans="1:24">
      <c r="A523" t="s">
        <v>98</v>
      </c>
      <c r="B523" s="14" t="s">
        <v>153</v>
      </c>
      <c r="C523" t="s">
        <v>99</v>
      </c>
      <c r="D523" s="13" t="s">
        <v>67</v>
      </c>
      <c r="E523" s="13">
        <v>97</v>
      </c>
      <c r="F523" s="13">
        <f>IF(E523="","",MIN(E523,$X523+SUMIFS('05_Parte_Diario'!$H$5:$H$204,'05_Parte_Diario'!$D$5:$D$204,B523,'05_Parte_Diario'!$E$5:$E$204,C523)))</f>
        <v>97</v>
      </c>
      <c r="G523" s="13">
        <f t="shared" si="56"/>
        <v>0</v>
      </c>
      <c r="H523" s="21">
        <f t="shared" si="57"/>
        <v>1</v>
      </c>
      <c r="I523" s="21">
        <f>IF(OR(B523="",C523="",$V$1=""),"",MIN(E523,SUMIFS('03_Planificacion'!$G$99:$G$178,'03_Planificacion'!$E$99:$E$178,B523,'03_Planificacion'!$F$99:$F$178,C523,'03_Planificacion'!$D$99:$D$178,"&lt;="&amp;$V$1)))</f>
        <v>0</v>
      </c>
      <c r="J523" s="21">
        <f t="shared" si="58"/>
        <v>0</v>
      </c>
      <c r="K523" s="6">
        <f t="shared" si="59"/>
        <v>1</v>
      </c>
      <c r="L523" t="s">
        <v>123</v>
      </c>
      <c r="P523" s="5">
        <f t="shared" si="60"/>
        <v>46287</v>
      </c>
      <c r="Q523" t="s">
        <v>125</v>
      </c>
      <c r="R523">
        <v>110</v>
      </c>
      <c r="S523" t="s">
        <v>70</v>
      </c>
      <c r="T523" t="str">
        <f t="shared" si="61"/>
        <v/>
      </c>
      <c r="U523" t="str">
        <f>IF(AND(L523="Para Programar",G523&gt;0),COUNTIFS($L$5:L523,"Para Programar",$G$5:G523,"&gt;0"),"")</f>
        <v/>
      </c>
      <c r="W523" t="str">
        <f t="shared" si="62"/>
        <v>N21 - N22|09 Paquete estructural - Compactación</v>
      </c>
      <c r="X523">
        <v>97</v>
      </c>
    </row>
    <row r="524" spans="1:24">
      <c r="A524" t="s">
        <v>100</v>
      </c>
      <c r="B524" s="14" t="s">
        <v>153</v>
      </c>
      <c r="C524" t="s">
        <v>101</v>
      </c>
      <c r="D524" s="13" t="s">
        <v>81</v>
      </c>
      <c r="E524" s="13">
        <v>1</v>
      </c>
      <c r="F524" s="13">
        <f>IF(E524="","",MIN(E524,$X524+SUMIFS('05_Parte_Diario'!$H$5:$H$204,'05_Parte_Diario'!$D$5:$D$204,B524,'05_Parte_Diario'!$E$5:$E$204,C524)))</f>
        <v>1</v>
      </c>
      <c r="G524" s="13">
        <f t="shared" si="56"/>
        <v>0</v>
      </c>
      <c r="H524" s="21">
        <f t="shared" si="57"/>
        <v>1</v>
      </c>
      <c r="I524" s="21">
        <f>IF(OR(B524="",C524="",$V$1=""),"",MIN(E524,SUMIFS('03_Planificacion'!$G$99:$G$178,'03_Planificacion'!$E$99:$E$178,B524,'03_Planificacion'!$F$99:$F$178,C524,'03_Planificacion'!$D$99:$D$178,"&lt;="&amp;$V$1)))</f>
        <v>0</v>
      </c>
      <c r="J524" s="21">
        <f t="shared" si="58"/>
        <v>0</v>
      </c>
      <c r="K524" s="6">
        <f t="shared" si="59"/>
        <v>1</v>
      </c>
      <c r="L524" t="s">
        <v>123</v>
      </c>
      <c r="P524" s="5">
        <f t="shared" si="60"/>
        <v>46287</v>
      </c>
      <c r="Q524" t="s">
        <v>125</v>
      </c>
      <c r="R524">
        <v>110</v>
      </c>
      <c r="S524" t="s">
        <v>70</v>
      </c>
      <c r="T524" t="str">
        <f t="shared" si="61"/>
        <v/>
      </c>
      <c r="U524" t="str">
        <f>IF(AND(L524="Para Programar",G524&gt;0),COUNTIFS($L$5:L524,"Para Programar",$G$5:G524,"&gt;0"),"")</f>
        <v/>
      </c>
      <c r="W524" t="str">
        <f t="shared" si="62"/>
        <v>N21 - N22|09 Paquete estructural - Inspección laboratorio</v>
      </c>
      <c r="X524">
        <v>1</v>
      </c>
    </row>
    <row r="525" spans="1:24">
      <c r="A525" t="s">
        <v>102</v>
      </c>
      <c r="B525" s="14" t="s">
        <v>153</v>
      </c>
      <c r="C525" t="s">
        <v>103</v>
      </c>
      <c r="D525" s="13" t="s">
        <v>67</v>
      </c>
      <c r="E525" s="13">
        <v>97</v>
      </c>
      <c r="F525" s="13">
        <f>IF(E525="","",MIN(E525,$X525+SUMIFS('05_Parte_Diario'!$H$5:$H$204,'05_Parte_Diario'!$D$5:$D$204,B525,'05_Parte_Diario'!$E$5:$E$204,C525)))</f>
        <v>97</v>
      </c>
      <c r="G525" s="13">
        <f t="shared" si="56"/>
        <v>0</v>
      </c>
      <c r="H525" s="21">
        <f t="shared" si="57"/>
        <v>1</v>
      </c>
      <c r="I525" s="21">
        <f>IF(OR(B525="",C525="",$V$1=""),"",MIN(E525,SUMIFS('03_Planificacion'!$G$99:$G$178,'03_Planificacion'!$E$99:$E$178,B525,'03_Planificacion'!$F$99:$F$178,C525,'03_Planificacion'!$D$99:$D$178,"&lt;="&amp;$V$1)))</f>
        <v>0</v>
      </c>
      <c r="J525" s="21">
        <f t="shared" si="58"/>
        <v>0</v>
      </c>
      <c r="K525" s="6">
        <f t="shared" si="59"/>
        <v>1</v>
      </c>
      <c r="L525" t="s">
        <v>123</v>
      </c>
      <c r="P525" s="5">
        <f t="shared" si="60"/>
        <v>46287</v>
      </c>
      <c r="Q525" t="s">
        <v>125</v>
      </c>
      <c r="R525">
        <v>110</v>
      </c>
      <c r="S525" t="s">
        <v>70</v>
      </c>
      <c r="T525" t="str">
        <f t="shared" si="61"/>
        <v/>
      </c>
      <c r="U525" t="str">
        <f>IF(AND(L525="Para Programar",G525&gt;0),COUNTIFS($L$5:L525,"Para Programar",$G$5:G525,"&gt;0"),"")</f>
        <v/>
      </c>
      <c r="W525" t="str">
        <f t="shared" si="62"/>
        <v>N21 - N22|10 Relleno -0,60 - Conformación de capa</v>
      </c>
      <c r="X525">
        <v>97</v>
      </c>
    </row>
    <row r="526" spans="1:24">
      <c r="A526" t="s">
        <v>104</v>
      </c>
      <c r="B526" s="14" t="s">
        <v>153</v>
      </c>
      <c r="C526" t="s">
        <v>105</v>
      </c>
      <c r="D526" s="13" t="s">
        <v>67</v>
      </c>
      <c r="E526" s="13">
        <v>97</v>
      </c>
      <c r="F526" s="13">
        <f>IF(E526="","",MIN(E526,$X526+SUMIFS('05_Parte_Diario'!$H$5:$H$204,'05_Parte_Diario'!$D$5:$D$204,B526,'05_Parte_Diario'!$E$5:$E$204,C526)))</f>
        <v>97</v>
      </c>
      <c r="G526" s="13">
        <f t="shared" si="56"/>
        <v>0</v>
      </c>
      <c r="H526" s="21">
        <f t="shared" si="57"/>
        <v>1</v>
      </c>
      <c r="I526" s="21">
        <f>IF(OR(B526="",C526="",$V$1=""),"",MIN(E526,SUMIFS('03_Planificacion'!$G$99:$G$178,'03_Planificacion'!$E$99:$E$178,B526,'03_Planificacion'!$F$99:$F$178,C526,'03_Planificacion'!$D$99:$D$178,"&lt;="&amp;$V$1)))</f>
        <v>0</v>
      </c>
      <c r="J526" s="21">
        <f t="shared" si="58"/>
        <v>0</v>
      </c>
      <c r="K526" s="6">
        <f t="shared" si="59"/>
        <v>1</v>
      </c>
      <c r="L526" t="s">
        <v>123</v>
      </c>
      <c r="P526" s="5">
        <f t="shared" si="60"/>
        <v>46287</v>
      </c>
      <c r="Q526" t="s">
        <v>125</v>
      </c>
      <c r="R526">
        <v>110</v>
      </c>
      <c r="S526" t="s">
        <v>70</v>
      </c>
      <c r="T526" t="str">
        <f t="shared" si="61"/>
        <v/>
      </c>
      <c r="U526" t="str">
        <f>IF(AND(L526="Para Programar",G526&gt;0),COUNTIFS($L$5:L526,"Para Programar",$G$5:G526,"&gt;0"),"")</f>
        <v/>
      </c>
      <c r="W526" t="str">
        <f t="shared" si="62"/>
        <v>N21 - N22|10 Relleno -0,60 - Humectación</v>
      </c>
      <c r="X526">
        <v>97</v>
      </c>
    </row>
    <row r="527" spans="1:24">
      <c r="A527" t="s">
        <v>106</v>
      </c>
      <c r="B527" s="14" t="s">
        <v>153</v>
      </c>
      <c r="C527" t="s">
        <v>107</v>
      </c>
      <c r="D527" s="13" t="s">
        <v>67</v>
      </c>
      <c r="E527" s="13">
        <v>97</v>
      </c>
      <c r="F527" s="13">
        <f>IF(E527="","",MIN(E527,$X527+SUMIFS('05_Parte_Diario'!$H$5:$H$204,'05_Parte_Diario'!$D$5:$D$204,B527,'05_Parte_Diario'!$E$5:$E$204,C527)))</f>
        <v>97</v>
      </c>
      <c r="G527" s="13">
        <f t="shared" si="56"/>
        <v>0</v>
      </c>
      <c r="H527" s="21">
        <f t="shared" si="57"/>
        <v>1</v>
      </c>
      <c r="I527" s="21">
        <f>IF(OR(B527="",C527="",$V$1=""),"",MIN(E527,SUMIFS('03_Planificacion'!$G$99:$G$178,'03_Planificacion'!$E$99:$E$178,B527,'03_Planificacion'!$F$99:$F$178,C527,'03_Planificacion'!$D$99:$D$178,"&lt;="&amp;$V$1)))</f>
        <v>0</v>
      </c>
      <c r="J527" s="21">
        <f t="shared" si="58"/>
        <v>0</v>
      </c>
      <c r="K527" s="6">
        <f t="shared" si="59"/>
        <v>1</v>
      </c>
      <c r="L527" t="s">
        <v>123</v>
      </c>
      <c r="P527" s="5">
        <f t="shared" si="60"/>
        <v>46287</v>
      </c>
      <c r="Q527" t="s">
        <v>125</v>
      </c>
      <c r="R527">
        <v>110</v>
      </c>
      <c r="S527" t="s">
        <v>70</v>
      </c>
      <c r="T527" t="str">
        <f t="shared" si="61"/>
        <v/>
      </c>
      <c r="U527" t="str">
        <f>IF(AND(L527="Para Programar",G527&gt;0),COUNTIFS($L$5:L527,"Para Programar",$G$5:G527,"&gt;0"),"")</f>
        <v/>
      </c>
      <c r="W527" t="str">
        <f t="shared" si="62"/>
        <v>N21 - N22|10 Relleno -0,60 - Compactación</v>
      </c>
      <c r="X527">
        <v>97</v>
      </c>
    </row>
    <row r="528" spans="1:24">
      <c r="A528" t="s">
        <v>108</v>
      </c>
      <c r="B528" s="14" t="s">
        <v>153</v>
      </c>
      <c r="C528" t="s">
        <v>109</v>
      </c>
      <c r="D528" s="13" t="s">
        <v>81</v>
      </c>
      <c r="E528" s="13">
        <v>1</v>
      </c>
      <c r="F528" s="13">
        <f>IF(E528="","",MIN(E528,$X528+SUMIFS('05_Parte_Diario'!$H$5:$H$204,'05_Parte_Diario'!$D$5:$D$204,B528,'05_Parte_Diario'!$E$5:$E$204,C528)))</f>
        <v>1</v>
      </c>
      <c r="G528" s="13">
        <f t="shared" si="56"/>
        <v>0</v>
      </c>
      <c r="H528" s="21">
        <f t="shared" si="57"/>
        <v>1</v>
      </c>
      <c r="I528" s="21">
        <f>IF(OR(B528="",C528="",$V$1=""),"",MIN(E528,SUMIFS('03_Planificacion'!$G$99:$G$178,'03_Planificacion'!$E$99:$E$178,B528,'03_Planificacion'!$F$99:$F$178,C528,'03_Planificacion'!$D$99:$D$178,"&lt;="&amp;$V$1)))</f>
        <v>0</v>
      </c>
      <c r="J528" s="21">
        <f t="shared" si="58"/>
        <v>0</v>
      </c>
      <c r="K528" s="6">
        <f t="shared" si="59"/>
        <v>1</v>
      </c>
      <c r="L528" t="s">
        <v>123</v>
      </c>
      <c r="P528" s="5">
        <f t="shared" si="60"/>
        <v>46287</v>
      </c>
      <c r="Q528" t="s">
        <v>125</v>
      </c>
      <c r="R528">
        <v>110</v>
      </c>
      <c r="S528" t="s">
        <v>70</v>
      </c>
      <c r="T528" t="str">
        <f t="shared" si="61"/>
        <v/>
      </c>
      <c r="U528" t="str">
        <f>IF(AND(L528="Para Programar",G528&gt;0),COUNTIFS($L$5:L528,"Para Programar",$G$5:G528,"&gt;0"),"")</f>
        <v/>
      </c>
      <c r="W528" t="str">
        <f t="shared" si="62"/>
        <v>N21 - N22|10 Relleno -0,60 - Inspección laboratorio</v>
      </c>
      <c r="X528">
        <v>1</v>
      </c>
    </row>
    <row r="529" spans="1:24">
      <c r="A529" t="s">
        <v>110</v>
      </c>
      <c r="B529" s="14" t="s">
        <v>153</v>
      </c>
      <c r="C529" t="s">
        <v>111</v>
      </c>
      <c r="D529" s="13" t="s">
        <v>67</v>
      </c>
      <c r="E529" s="13">
        <v>97</v>
      </c>
      <c r="F529" s="13">
        <f>IF(E529="","",MIN(E529,$X529+SUMIFS('05_Parte_Diario'!$H$5:$H$204,'05_Parte_Diario'!$D$5:$D$204,B529,'05_Parte_Diario'!$E$5:$E$204,C529)))</f>
        <v>97</v>
      </c>
      <c r="G529" s="13">
        <f t="shared" si="56"/>
        <v>0</v>
      </c>
      <c r="H529" s="21">
        <f t="shared" si="57"/>
        <v>1</v>
      </c>
      <c r="I529" s="21">
        <f>IF(OR(B529="",C529="",$V$1=""),"",MIN(E529,SUMIFS('03_Planificacion'!$G$99:$G$178,'03_Planificacion'!$E$99:$E$178,B529,'03_Planificacion'!$F$99:$F$178,C529,'03_Planificacion'!$D$99:$D$178,"&lt;="&amp;$V$1)))</f>
        <v>0</v>
      </c>
      <c r="J529" s="21">
        <f t="shared" si="58"/>
        <v>0</v>
      </c>
      <c r="K529" s="6">
        <f t="shared" si="59"/>
        <v>1</v>
      </c>
      <c r="L529" t="s">
        <v>123</v>
      </c>
      <c r="P529" s="5">
        <f t="shared" si="60"/>
        <v>46287</v>
      </c>
      <c r="Q529" t="s">
        <v>125</v>
      </c>
      <c r="R529">
        <v>110</v>
      </c>
      <c r="S529" t="s">
        <v>70</v>
      </c>
      <c r="T529" t="str">
        <f t="shared" si="61"/>
        <v/>
      </c>
      <c r="U529" t="str">
        <f>IF(AND(L529="Para Programar",G529&gt;0),COUNTIFS($L$5:L529,"Para Programar",$G$5:G529,"&gt;0"),"")</f>
        <v/>
      </c>
      <c r="W529" t="str">
        <f t="shared" si="62"/>
        <v>N21 - N22|11 Relleno -0,30 - Conformación de capa</v>
      </c>
      <c r="X529">
        <v>97</v>
      </c>
    </row>
    <row r="530" spans="1:24">
      <c r="A530" t="s">
        <v>112</v>
      </c>
      <c r="B530" s="14" t="s">
        <v>153</v>
      </c>
      <c r="C530" t="s">
        <v>113</v>
      </c>
      <c r="D530" s="13" t="s">
        <v>67</v>
      </c>
      <c r="E530" s="13">
        <v>97</v>
      </c>
      <c r="F530" s="13">
        <f>IF(E530="","",MIN(E530,$X530+SUMIFS('05_Parte_Diario'!$H$5:$H$204,'05_Parte_Diario'!$D$5:$D$204,B530,'05_Parte_Diario'!$E$5:$E$204,C530)))</f>
        <v>97</v>
      </c>
      <c r="G530" s="13">
        <f t="shared" si="56"/>
        <v>0</v>
      </c>
      <c r="H530" s="21">
        <f t="shared" si="57"/>
        <v>1</v>
      </c>
      <c r="I530" s="21">
        <f>IF(OR(B530="",C530="",$V$1=""),"",MIN(E530,SUMIFS('03_Planificacion'!$G$99:$G$178,'03_Planificacion'!$E$99:$E$178,B530,'03_Planificacion'!$F$99:$F$178,C530,'03_Planificacion'!$D$99:$D$178,"&lt;="&amp;$V$1)))</f>
        <v>0</v>
      </c>
      <c r="J530" s="21">
        <f t="shared" si="58"/>
        <v>0</v>
      </c>
      <c r="K530" s="6">
        <f t="shared" si="59"/>
        <v>1</v>
      </c>
      <c r="L530" t="s">
        <v>123</v>
      </c>
      <c r="P530" s="5">
        <f t="shared" si="60"/>
        <v>46287</v>
      </c>
      <c r="Q530" t="s">
        <v>125</v>
      </c>
      <c r="R530">
        <v>110</v>
      </c>
      <c r="S530" t="s">
        <v>70</v>
      </c>
      <c r="T530" t="str">
        <f t="shared" si="61"/>
        <v/>
      </c>
      <c r="U530" t="str">
        <f>IF(AND(L530="Para Programar",G530&gt;0),COUNTIFS($L$5:L530,"Para Programar",$G$5:G530,"&gt;0"),"")</f>
        <v/>
      </c>
      <c r="W530" t="str">
        <f t="shared" si="62"/>
        <v>N21 - N22|11 Relleno -0,30 - Humectación</v>
      </c>
      <c r="X530">
        <v>97</v>
      </c>
    </row>
    <row r="531" spans="1:24">
      <c r="A531" t="s">
        <v>114</v>
      </c>
      <c r="B531" s="14" t="s">
        <v>153</v>
      </c>
      <c r="C531" t="s">
        <v>115</v>
      </c>
      <c r="D531" s="13" t="s">
        <v>67</v>
      </c>
      <c r="E531" s="13">
        <v>97</v>
      </c>
      <c r="F531" s="13">
        <f>IF(E531="","",MIN(E531,$X531+SUMIFS('05_Parte_Diario'!$H$5:$H$204,'05_Parte_Diario'!$D$5:$D$204,B531,'05_Parte_Diario'!$E$5:$E$204,C531)))</f>
        <v>0</v>
      </c>
      <c r="G531" s="13">
        <f t="shared" si="56"/>
        <v>97</v>
      </c>
      <c r="H531" s="21">
        <f t="shared" si="57"/>
        <v>0</v>
      </c>
      <c r="I531" s="21">
        <f>IF(OR(B531="",C531="",$V$1=""),"",MIN(E531,SUMIFS('03_Planificacion'!$G$99:$G$178,'03_Planificacion'!$E$99:$E$178,B531,'03_Planificacion'!$F$99:$F$178,C531,'03_Planificacion'!$D$99:$D$178,"&lt;="&amp;$V$1)))</f>
        <v>0</v>
      </c>
      <c r="J531" s="21">
        <f t="shared" si="58"/>
        <v>0</v>
      </c>
      <c r="K531" s="6">
        <f t="shared" si="59"/>
        <v>0</v>
      </c>
      <c r="L531" t="s">
        <v>12</v>
      </c>
      <c r="P531" s="5">
        <f t="shared" si="60"/>
        <v>46287</v>
      </c>
      <c r="Q531" t="s">
        <v>125</v>
      </c>
      <c r="R531">
        <v>110</v>
      </c>
      <c r="S531" t="s">
        <v>70</v>
      </c>
      <c r="T531" t="str">
        <f t="shared" si="61"/>
        <v/>
      </c>
      <c r="U531">
        <f>IF(AND(L531="Para Programar",G531&gt;0),COUNTIFS($L$5:L531,"Para Programar",$G$5:G531,"&gt;0"),"")</f>
        <v>111</v>
      </c>
      <c r="W531" t="str">
        <f t="shared" si="62"/>
        <v>N21 - N22|11 Relleno -0,30 - Compactación</v>
      </c>
      <c r="X531">
        <v>0</v>
      </c>
    </row>
    <row r="532" spans="1:24">
      <c r="A532" t="s">
        <v>116</v>
      </c>
      <c r="B532" s="14" t="s">
        <v>153</v>
      </c>
      <c r="C532" t="s">
        <v>117</v>
      </c>
      <c r="D532" s="13" t="s">
        <v>81</v>
      </c>
      <c r="E532" s="13">
        <v>1</v>
      </c>
      <c r="F532" s="13">
        <f>IF(E532="","",MIN(E532,$X532+SUMIFS('05_Parte_Diario'!$H$5:$H$204,'05_Parte_Diario'!$D$5:$D$204,B532,'05_Parte_Diario'!$E$5:$E$204,C532)))</f>
        <v>0</v>
      </c>
      <c r="G532" s="13">
        <f t="shared" si="56"/>
        <v>1</v>
      </c>
      <c r="H532" s="21">
        <f t="shared" si="57"/>
        <v>0</v>
      </c>
      <c r="I532" s="21">
        <f>IF(OR(B532="",C532="",$V$1=""),"",MIN(E532,SUMIFS('03_Planificacion'!$G$99:$G$178,'03_Planificacion'!$E$99:$E$178,B532,'03_Planificacion'!$F$99:$F$178,C532,'03_Planificacion'!$D$99:$D$178,"&lt;="&amp;$V$1)))</f>
        <v>0</v>
      </c>
      <c r="J532" s="21">
        <f t="shared" si="58"/>
        <v>0</v>
      </c>
      <c r="K532" s="6">
        <f t="shared" si="59"/>
        <v>0</v>
      </c>
      <c r="L532" t="s">
        <v>12</v>
      </c>
      <c r="P532" s="5">
        <f t="shared" si="60"/>
        <v>46287</v>
      </c>
      <c r="Q532" t="s">
        <v>125</v>
      </c>
      <c r="R532">
        <v>110</v>
      </c>
      <c r="S532" t="s">
        <v>70</v>
      </c>
      <c r="T532" t="str">
        <f t="shared" si="61"/>
        <v/>
      </c>
      <c r="U532">
        <f>IF(AND(L532="Para Programar",G532&gt;0),COUNTIFS($L$5:L532,"Para Programar",$G$5:G532,"&gt;0"),"")</f>
        <v>112</v>
      </c>
      <c r="W532" t="str">
        <f t="shared" si="62"/>
        <v>N21 - N22|11 Relleno -0,30 - Inspección laboratorio</v>
      </c>
      <c r="X532">
        <v>0</v>
      </c>
    </row>
    <row r="533" spans="1:24">
      <c r="A533" t="s">
        <v>64</v>
      </c>
      <c r="B533" s="14" t="s">
        <v>154</v>
      </c>
      <c r="C533" t="s">
        <v>66</v>
      </c>
      <c r="D533" s="13" t="s">
        <v>67</v>
      </c>
      <c r="E533" s="13">
        <v>102</v>
      </c>
      <c r="F533" s="13">
        <f>IF(E533="","",MIN(E533,$X533+SUMIFS('05_Parte_Diario'!$H$5:$H$204,'05_Parte_Diario'!$D$5:$D$204,B533,'05_Parte_Diario'!$E$5:$E$204,C533)))</f>
        <v>102</v>
      </c>
      <c r="G533" s="13">
        <f t="shared" si="56"/>
        <v>0</v>
      </c>
      <c r="H533" s="21">
        <f t="shared" si="57"/>
        <v>1</v>
      </c>
      <c r="I533" s="21">
        <f>IF(OR(B533="",C533="",$V$1=""),"",MIN(E533,SUMIFS('03_Planificacion'!$G$99:$G$178,'03_Planificacion'!$E$99:$E$178,B533,'03_Planificacion'!$F$99:$F$178,C533,'03_Planificacion'!$D$99:$D$178,"&lt;="&amp;$V$1)))</f>
        <v>0</v>
      </c>
      <c r="J533" s="21">
        <f t="shared" si="58"/>
        <v>0</v>
      </c>
      <c r="K533" s="6">
        <f t="shared" si="59"/>
        <v>1</v>
      </c>
      <c r="L533" t="s">
        <v>123</v>
      </c>
      <c r="P533" s="5">
        <f t="shared" si="60"/>
        <v>46287</v>
      </c>
      <c r="Q533" t="s">
        <v>132</v>
      </c>
      <c r="R533">
        <v>75</v>
      </c>
      <c r="S533" t="s">
        <v>70</v>
      </c>
      <c r="T533" t="str">
        <f t="shared" si="61"/>
        <v/>
      </c>
      <c r="U533" t="str">
        <f>IF(AND(L533="Para Programar",G533&gt;0),COUNTIFS($L$5:L533,"Para Programar",$G$5:G533,"&gt;0"),"")</f>
        <v/>
      </c>
      <c r="W533" t="str">
        <f t="shared" si="62"/>
        <v>N21 - N28|01 Replanteo - Marcación de tramo de cañería principal</v>
      </c>
      <c r="X533">
        <v>102</v>
      </c>
    </row>
    <row r="534" spans="1:24">
      <c r="A534" t="s">
        <v>71</v>
      </c>
      <c r="B534" s="14" t="s">
        <v>154</v>
      </c>
      <c r="C534" t="s">
        <v>72</v>
      </c>
      <c r="D534" s="13" t="s">
        <v>67</v>
      </c>
      <c r="E534" s="13">
        <v>102</v>
      </c>
      <c r="F534" s="13">
        <f>IF(E534="","",MIN(E534,$X534+SUMIFS('05_Parte_Diario'!$H$5:$H$204,'05_Parte_Diario'!$D$5:$D$204,B534,'05_Parte_Diario'!$E$5:$E$204,C534)))</f>
        <v>102</v>
      </c>
      <c r="G534" s="13">
        <f t="shared" si="56"/>
        <v>0</v>
      </c>
      <c r="H534" s="21">
        <f t="shared" si="57"/>
        <v>1</v>
      </c>
      <c r="I534" s="21">
        <f>IF(OR(B534="",C534="",$V$1=""),"",MIN(E534,SUMIFS('03_Planificacion'!$G$99:$G$178,'03_Planificacion'!$E$99:$E$178,B534,'03_Planificacion'!$F$99:$F$178,C534,'03_Planificacion'!$D$99:$D$178,"&lt;="&amp;$V$1)))</f>
        <v>0</v>
      </c>
      <c r="J534" s="21">
        <f t="shared" si="58"/>
        <v>0</v>
      </c>
      <c r="K534" s="6">
        <f t="shared" si="59"/>
        <v>1</v>
      </c>
      <c r="L534" t="s">
        <v>123</v>
      </c>
      <c r="P534" s="5">
        <f t="shared" si="60"/>
        <v>46287</v>
      </c>
      <c r="Q534" t="s">
        <v>132</v>
      </c>
      <c r="R534">
        <v>75</v>
      </c>
      <c r="S534" t="s">
        <v>70</v>
      </c>
      <c r="T534" t="str">
        <f t="shared" si="61"/>
        <v/>
      </c>
      <c r="U534" t="str">
        <f>IF(AND(L534="Para Programar",G534&gt;0),COUNTIFS($L$5:L534,"Para Programar",$G$5:G534,"&gt;0"),"")</f>
        <v/>
      </c>
      <c r="W534" t="str">
        <f t="shared" si="62"/>
        <v>N21 - N28|02 Excavación - Zanja principal</v>
      </c>
      <c r="X534">
        <v>102</v>
      </c>
    </row>
    <row r="535" spans="1:24">
      <c r="A535" t="s">
        <v>73</v>
      </c>
      <c r="B535" s="14" t="s">
        <v>154</v>
      </c>
      <c r="C535" t="s">
        <v>74</v>
      </c>
      <c r="D535" s="13" t="s">
        <v>67</v>
      </c>
      <c r="E535" s="13">
        <v>102</v>
      </c>
      <c r="F535" s="13">
        <f>IF(E535="","",MIN(E535,$X535+SUMIFS('05_Parte_Diario'!$H$5:$H$204,'05_Parte_Diario'!$D$5:$D$204,B535,'05_Parte_Diario'!$E$5:$E$204,C535)))</f>
        <v>102</v>
      </c>
      <c r="G535" s="13">
        <f t="shared" si="56"/>
        <v>0</v>
      </c>
      <c r="H535" s="21">
        <f t="shared" si="57"/>
        <v>1</v>
      </c>
      <c r="I535" s="21">
        <f>IF(OR(B535="",C535="",$V$1=""),"",MIN(E535,SUMIFS('03_Planificacion'!$G$99:$G$178,'03_Planificacion'!$E$99:$E$178,B535,'03_Planificacion'!$F$99:$F$178,C535,'03_Planificacion'!$D$99:$D$178,"&lt;="&amp;$V$1)))</f>
        <v>0</v>
      </c>
      <c r="J535" s="21">
        <f t="shared" si="58"/>
        <v>0</v>
      </c>
      <c r="K535" s="6">
        <f t="shared" si="59"/>
        <v>1</v>
      </c>
      <c r="L535" t="s">
        <v>123</v>
      </c>
      <c r="P535" s="5">
        <f t="shared" si="60"/>
        <v>46287</v>
      </c>
      <c r="Q535" t="s">
        <v>132</v>
      </c>
      <c r="R535">
        <v>75</v>
      </c>
      <c r="S535" t="s">
        <v>70</v>
      </c>
      <c r="T535" t="str">
        <f t="shared" si="61"/>
        <v/>
      </c>
      <c r="U535" t="str">
        <f>IF(AND(L535="Para Programar",G535&gt;0),COUNTIFS($L$5:L535,"Para Programar",$G$5:G535,"&gt;0"),"")</f>
        <v/>
      </c>
      <c r="W535" t="str">
        <f t="shared" si="62"/>
        <v>N21 - N28|03 Base de asiento - Nivelación de fondo de zanja</v>
      </c>
      <c r="X535">
        <v>102</v>
      </c>
    </row>
    <row r="536" spans="1:24">
      <c r="A536" t="s">
        <v>75</v>
      </c>
      <c r="B536" s="14" t="s">
        <v>154</v>
      </c>
      <c r="C536" t="s">
        <v>76</v>
      </c>
      <c r="D536" s="13" t="s">
        <v>67</v>
      </c>
      <c r="E536" s="13">
        <v>102</v>
      </c>
      <c r="F536" s="13">
        <f>IF(E536="","",MIN(E536,$X536+SUMIFS('05_Parte_Diario'!$H$5:$H$204,'05_Parte_Diario'!$D$5:$D$204,B536,'05_Parte_Diario'!$E$5:$E$204,C536)))</f>
        <v>102</v>
      </c>
      <c r="G536" s="13">
        <f t="shared" si="56"/>
        <v>0</v>
      </c>
      <c r="H536" s="21">
        <f t="shared" si="57"/>
        <v>1</v>
      </c>
      <c r="I536" s="21">
        <f>IF(OR(B536="",C536="",$V$1=""),"",MIN(E536,SUMIFS('03_Planificacion'!$G$99:$G$178,'03_Planificacion'!$E$99:$E$178,B536,'03_Planificacion'!$F$99:$F$178,C536,'03_Planificacion'!$D$99:$D$178,"&lt;="&amp;$V$1)))</f>
        <v>0</v>
      </c>
      <c r="J536" s="21">
        <f t="shared" si="58"/>
        <v>0</v>
      </c>
      <c r="K536" s="6">
        <f t="shared" si="59"/>
        <v>1</v>
      </c>
      <c r="L536" t="s">
        <v>123</v>
      </c>
      <c r="P536" s="5">
        <f t="shared" si="60"/>
        <v>46287</v>
      </c>
      <c r="Q536" t="s">
        <v>132</v>
      </c>
      <c r="R536">
        <v>75</v>
      </c>
      <c r="S536" t="s">
        <v>70</v>
      </c>
      <c r="T536" t="str">
        <f t="shared" si="61"/>
        <v/>
      </c>
      <c r="U536" t="str">
        <f>IF(AND(L536="Para Programar",G536&gt;0),COUNTIFS($L$5:L536,"Para Programar",$G$5:G536,"&gt;0"),"")</f>
        <v/>
      </c>
      <c r="W536" t="str">
        <f t="shared" si="62"/>
        <v>N21 - N28|03 Base de asiento - Aporte de material base e=0,10 m</v>
      </c>
      <c r="X536">
        <v>102</v>
      </c>
    </row>
    <row r="537" spans="1:24">
      <c r="A537" t="s">
        <v>77</v>
      </c>
      <c r="B537" s="14" t="s">
        <v>154</v>
      </c>
      <c r="C537" t="s">
        <v>78</v>
      </c>
      <c r="D537" s="13" t="s">
        <v>67</v>
      </c>
      <c r="E537" s="13">
        <v>102</v>
      </c>
      <c r="F537" s="13">
        <f>IF(E537="","",MIN(E537,$X537+SUMIFS('05_Parte_Diario'!$H$5:$H$204,'05_Parte_Diario'!$D$5:$D$204,B537,'05_Parte_Diario'!$E$5:$E$204,C537)))</f>
        <v>102</v>
      </c>
      <c r="G537" s="13">
        <f t="shared" si="56"/>
        <v>0</v>
      </c>
      <c r="H537" s="21">
        <f t="shared" si="57"/>
        <v>1</v>
      </c>
      <c r="I537" s="21">
        <f>IF(OR(B537="",C537="",$V$1=""),"",MIN(E537,SUMIFS('03_Planificacion'!$G$99:$G$178,'03_Planificacion'!$E$99:$E$178,B537,'03_Planificacion'!$F$99:$F$178,C537,'03_Planificacion'!$D$99:$D$178,"&lt;="&amp;$V$1)))</f>
        <v>0</v>
      </c>
      <c r="J537" s="21">
        <f t="shared" si="58"/>
        <v>0</v>
      </c>
      <c r="K537" s="6">
        <f t="shared" si="59"/>
        <v>1</v>
      </c>
      <c r="L537" t="s">
        <v>123</v>
      </c>
      <c r="P537" s="5">
        <f t="shared" si="60"/>
        <v>46287</v>
      </c>
      <c r="Q537" t="s">
        <v>132</v>
      </c>
      <c r="R537">
        <v>75</v>
      </c>
      <c r="S537" t="s">
        <v>70</v>
      </c>
      <c r="T537" t="str">
        <f t="shared" si="61"/>
        <v/>
      </c>
      <c r="U537" t="str">
        <f>IF(AND(L537="Para Programar",G537&gt;0),COUNTIFS($L$5:L537,"Para Programar",$G$5:G537,"&gt;0"),"")</f>
        <v/>
      </c>
      <c r="W537" t="str">
        <f t="shared" si="62"/>
        <v>N21 - N28|03 Base de asiento - Compactación</v>
      </c>
      <c r="X537">
        <v>102</v>
      </c>
    </row>
    <row r="538" spans="1:24">
      <c r="A538" t="s">
        <v>79</v>
      </c>
      <c r="B538" s="14" t="s">
        <v>154</v>
      </c>
      <c r="C538" t="s">
        <v>80</v>
      </c>
      <c r="D538" s="13" t="s">
        <v>81</v>
      </c>
      <c r="E538" s="13">
        <v>1</v>
      </c>
      <c r="F538" s="13">
        <f>IF(E538="","",MIN(E538,$X538+SUMIFS('05_Parte_Diario'!$H$5:$H$204,'05_Parte_Diario'!$D$5:$D$204,B538,'05_Parte_Diario'!$E$5:$E$204,C538)))</f>
        <v>1</v>
      </c>
      <c r="G538" s="13">
        <f t="shared" si="56"/>
        <v>0</v>
      </c>
      <c r="H538" s="21">
        <f t="shared" si="57"/>
        <v>1</v>
      </c>
      <c r="I538" s="21">
        <f>IF(OR(B538="",C538="",$V$1=""),"",MIN(E538,SUMIFS('03_Planificacion'!$G$99:$G$178,'03_Planificacion'!$E$99:$E$178,B538,'03_Planificacion'!$F$99:$F$178,C538,'03_Planificacion'!$D$99:$D$178,"&lt;="&amp;$V$1)))</f>
        <v>0</v>
      </c>
      <c r="J538" s="21">
        <f t="shared" si="58"/>
        <v>0</v>
      </c>
      <c r="K538" s="6">
        <f t="shared" si="59"/>
        <v>1</v>
      </c>
      <c r="L538" t="s">
        <v>123</v>
      </c>
      <c r="P538" s="5">
        <f t="shared" si="60"/>
        <v>46287</v>
      </c>
      <c r="Q538" t="s">
        <v>132</v>
      </c>
      <c r="R538">
        <v>75</v>
      </c>
      <c r="S538" t="s">
        <v>70</v>
      </c>
      <c r="T538" t="str">
        <f t="shared" si="61"/>
        <v/>
      </c>
      <c r="U538" t="str">
        <f>IF(AND(L538="Para Programar",G538&gt;0),COUNTIFS($L$5:L538,"Para Programar",$G$5:G538,"&gt;0"),"")</f>
        <v/>
      </c>
      <c r="W538" t="str">
        <f t="shared" si="62"/>
        <v>N21 - N28|04 Inspecciones previas - Laboratorio base de asiento</v>
      </c>
      <c r="X538">
        <v>1</v>
      </c>
    </row>
    <row r="539" spans="1:24">
      <c r="A539" t="s">
        <v>82</v>
      </c>
      <c r="B539" s="14" t="s">
        <v>154</v>
      </c>
      <c r="C539" t="s">
        <v>83</v>
      </c>
      <c r="D539" s="13" t="s">
        <v>81</v>
      </c>
      <c r="E539" s="13">
        <v>1</v>
      </c>
      <c r="F539" s="13">
        <f>IF(E539="","",MIN(E539,$X539+SUMIFS('05_Parte_Diario'!$H$5:$H$204,'05_Parte_Diario'!$D$5:$D$204,B539,'05_Parte_Diario'!$E$5:$E$204,C539)))</f>
        <v>1</v>
      </c>
      <c r="G539" s="13">
        <f t="shared" si="56"/>
        <v>0</v>
      </c>
      <c r="H539" s="21">
        <f t="shared" si="57"/>
        <v>1</v>
      </c>
      <c r="I539" s="21">
        <f>IF(OR(B539="",C539="",$V$1=""),"",MIN(E539,SUMIFS('03_Planificacion'!$G$99:$G$178,'03_Planificacion'!$E$99:$E$178,B539,'03_Planificacion'!$F$99:$F$178,C539,'03_Planificacion'!$D$99:$D$178,"&lt;="&amp;$V$1)))</f>
        <v>0</v>
      </c>
      <c r="J539" s="21">
        <f t="shared" si="58"/>
        <v>0</v>
      </c>
      <c r="K539" s="6">
        <f t="shared" si="59"/>
        <v>1</v>
      </c>
      <c r="L539" t="s">
        <v>123</v>
      </c>
      <c r="P539" s="5">
        <f t="shared" si="60"/>
        <v>46287</v>
      </c>
      <c r="Q539" t="s">
        <v>132</v>
      </c>
      <c r="R539">
        <v>75</v>
      </c>
      <c r="S539" t="s">
        <v>70</v>
      </c>
      <c r="T539" t="str">
        <f t="shared" si="61"/>
        <v/>
      </c>
      <c r="U539" t="str">
        <f>IF(AND(L539="Para Programar",G539&gt;0),COUNTIFS($L$5:L539,"Para Programar",$G$5:G539,"&gt;0"),"")</f>
        <v/>
      </c>
      <c r="W539" t="str">
        <f t="shared" si="62"/>
        <v>N21 - N28|04 Inspecciones previas - Zanja y materiales</v>
      </c>
      <c r="X539">
        <v>1</v>
      </c>
    </row>
    <row r="540" spans="1:24">
      <c r="A540" t="s">
        <v>84</v>
      </c>
      <c r="B540" s="14" t="s">
        <v>154</v>
      </c>
      <c r="C540" t="s">
        <v>85</v>
      </c>
      <c r="D540" s="13" t="s">
        <v>67</v>
      </c>
      <c r="E540" s="13">
        <v>102</v>
      </c>
      <c r="F540" s="13">
        <f>IF(E540="","",MIN(E540,$X540+SUMIFS('05_Parte_Diario'!$H$5:$H$204,'05_Parte_Diario'!$D$5:$D$204,B540,'05_Parte_Diario'!$E$5:$E$204,C540)))</f>
        <v>102</v>
      </c>
      <c r="G540" s="13">
        <f t="shared" si="56"/>
        <v>0</v>
      </c>
      <c r="H540" s="21">
        <f t="shared" si="57"/>
        <v>1</v>
      </c>
      <c r="I540" s="21">
        <f>IF(OR(B540="",C540="",$V$1=""),"",MIN(E540,SUMIFS('03_Planificacion'!$G$99:$G$178,'03_Planificacion'!$E$99:$E$178,B540,'03_Planificacion'!$F$99:$F$178,C540,'03_Planificacion'!$D$99:$D$178,"&lt;="&amp;$V$1)))</f>
        <v>0</v>
      </c>
      <c r="J540" s="21">
        <f t="shared" si="58"/>
        <v>0</v>
      </c>
      <c r="K540" s="6">
        <f t="shared" si="59"/>
        <v>1</v>
      </c>
      <c r="L540" t="s">
        <v>123</v>
      </c>
      <c r="P540" s="5">
        <f t="shared" si="60"/>
        <v>46287</v>
      </c>
      <c r="Q540" t="s">
        <v>132</v>
      </c>
      <c r="R540">
        <v>75</v>
      </c>
      <c r="S540" t="s">
        <v>70</v>
      </c>
      <c r="T540" t="str">
        <f t="shared" si="61"/>
        <v/>
      </c>
      <c r="U540" t="str">
        <f>IF(AND(L540="Para Programar",G540&gt;0),COUNTIFS($L$5:L540,"Para Programar",$G$5:G540,"&gt;0"),"")</f>
        <v/>
      </c>
      <c r="W540" t="str">
        <f t="shared" si="62"/>
        <v>N21 - N28|05 Tendido de cañería - Cañería principal</v>
      </c>
      <c r="X540">
        <v>102</v>
      </c>
    </row>
    <row r="541" spans="1:24">
      <c r="A541" t="s">
        <v>86</v>
      </c>
      <c r="B541" s="14" t="s">
        <v>154</v>
      </c>
      <c r="C541" t="s">
        <v>87</v>
      </c>
      <c r="D541" s="13" t="s">
        <v>67</v>
      </c>
      <c r="E541" s="13">
        <v>102</v>
      </c>
      <c r="F541" s="13">
        <f>IF(E541="","",MIN(E541,$X541+SUMIFS('05_Parte_Diario'!$H$5:$H$204,'05_Parte_Diario'!$D$5:$D$204,B541,'05_Parte_Diario'!$E$5:$E$204,C541)))</f>
        <v>102</v>
      </c>
      <c r="G541" s="13">
        <f t="shared" si="56"/>
        <v>0</v>
      </c>
      <c r="H541" s="21">
        <f t="shared" si="57"/>
        <v>1</v>
      </c>
      <c r="I541" s="21">
        <f>IF(OR(B541="",C541="",$V$1=""),"",MIN(E541,SUMIFS('03_Planificacion'!$G$99:$G$178,'03_Planificacion'!$E$99:$E$178,B541,'03_Planificacion'!$F$99:$F$178,C541,'03_Planificacion'!$D$99:$D$178,"&lt;="&amp;$V$1)))</f>
        <v>0</v>
      </c>
      <c r="J541" s="21">
        <f t="shared" si="58"/>
        <v>0</v>
      </c>
      <c r="K541" s="6">
        <f t="shared" si="59"/>
        <v>1</v>
      </c>
      <c r="L541" t="s">
        <v>123</v>
      </c>
      <c r="P541" s="5">
        <f t="shared" si="60"/>
        <v>46287</v>
      </c>
      <c r="Q541" t="s">
        <v>132</v>
      </c>
      <c r="R541">
        <v>75</v>
      </c>
      <c r="S541" t="s">
        <v>70</v>
      </c>
      <c r="T541" t="str">
        <f t="shared" si="61"/>
        <v/>
      </c>
      <c r="U541" t="str">
        <f>IF(AND(L541="Para Programar",G541&gt;0),COUNTIFS($L$5:L541,"Para Programar",$G$5:G541,"&gt;0"),"")</f>
        <v/>
      </c>
      <c r="W541" t="str">
        <f t="shared" si="62"/>
        <v>N21 - N28|05 Tendido de cañería - Relevamiento planialtimétrico</v>
      </c>
      <c r="X541">
        <v>102</v>
      </c>
    </row>
    <row r="542" spans="1:24">
      <c r="A542" t="s">
        <v>88</v>
      </c>
      <c r="B542" s="14" t="s">
        <v>154</v>
      </c>
      <c r="C542" t="s">
        <v>89</v>
      </c>
      <c r="D542" s="13" t="s">
        <v>81</v>
      </c>
      <c r="E542" s="13">
        <v>1</v>
      </c>
      <c r="F542" s="13">
        <f>IF(E542="","",MIN(E542,$X542+SUMIFS('05_Parte_Diario'!$H$5:$H$204,'05_Parte_Diario'!$D$5:$D$204,B542,'05_Parte_Diario'!$E$5:$E$204,C542)))</f>
        <v>1</v>
      </c>
      <c r="G542" s="13">
        <f t="shared" si="56"/>
        <v>0</v>
      </c>
      <c r="H542" s="21">
        <f t="shared" si="57"/>
        <v>1</v>
      </c>
      <c r="I542" s="21">
        <f>IF(OR(B542="",C542="",$V$1=""),"",MIN(E542,SUMIFS('03_Planificacion'!$G$99:$G$178,'03_Planificacion'!$E$99:$E$178,B542,'03_Planificacion'!$F$99:$F$178,C542,'03_Planificacion'!$D$99:$D$178,"&lt;="&amp;$V$1)))</f>
        <v>0</v>
      </c>
      <c r="J542" s="21">
        <f t="shared" si="58"/>
        <v>0</v>
      </c>
      <c r="K542" s="6">
        <f t="shared" si="59"/>
        <v>1</v>
      </c>
      <c r="L542" t="s">
        <v>123</v>
      </c>
      <c r="P542" s="5">
        <f t="shared" si="60"/>
        <v>46287</v>
      </c>
      <c r="Q542" t="s">
        <v>132</v>
      </c>
      <c r="R542">
        <v>75</v>
      </c>
      <c r="S542" t="s">
        <v>70</v>
      </c>
      <c r="T542" t="str">
        <f t="shared" si="61"/>
        <v/>
      </c>
      <c r="U542" t="str">
        <f>IF(AND(L542="Para Programar",G542&gt;0),COUNTIFS($L$5:L542,"Para Programar",$G$5:G542,"&gt;0"),"")</f>
        <v/>
      </c>
      <c r="W542" t="str">
        <f t="shared" si="62"/>
        <v>N21 - N28|08 Prueba hidráulica - Preparación del sistema</v>
      </c>
      <c r="X542">
        <v>1</v>
      </c>
    </row>
    <row r="543" spans="1:24">
      <c r="A543" t="s">
        <v>90</v>
      </c>
      <c r="B543" s="14" t="s">
        <v>154</v>
      </c>
      <c r="C543" t="s">
        <v>91</v>
      </c>
      <c r="D543" s="13" t="s">
        <v>81</v>
      </c>
      <c r="E543" s="13">
        <v>1</v>
      </c>
      <c r="F543" s="13">
        <f>IF(E543="","",MIN(E543,$X543+SUMIFS('05_Parte_Diario'!$H$5:$H$204,'05_Parte_Diario'!$D$5:$D$204,B543,'05_Parte_Diario'!$E$5:$E$204,C543)))</f>
        <v>1</v>
      </c>
      <c r="G543" s="13">
        <f t="shared" si="56"/>
        <v>0</v>
      </c>
      <c r="H543" s="21">
        <f t="shared" si="57"/>
        <v>1</v>
      </c>
      <c r="I543" s="21">
        <f>IF(OR(B543="",C543="",$V$1=""),"",MIN(E543,SUMIFS('03_Planificacion'!$G$99:$G$178,'03_Planificacion'!$E$99:$E$178,B543,'03_Planificacion'!$F$99:$F$178,C543,'03_Planificacion'!$D$99:$D$178,"&lt;="&amp;$V$1)))</f>
        <v>0</v>
      </c>
      <c r="J543" s="21">
        <f t="shared" si="58"/>
        <v>0</v>
      </c>
      <c r="K543" s="6">
        <f t="shared" si="59"/>
        <v>1</v>
      </c>
      <c r="L543" t="s">
        <v>123</v>
      </c>
      <c r="P543" s="5">
        <f t="shared" si="60"/>
        <v>46287</v>
      </c>
      <c r="Q543" t="s">
        <v>132</v>
      </c>
      <c r="R543">
        <v>75</v>
      </c>
      <c r="S543" t="s">
        <v>70</v>
      </c>
      <c r="T543" t="str">
        <f t="shared" si="61"/>
        <v/>
      </c>
      <c r="U543" t="str">
        <f>IF(AND(L543="Para Programar",G543&gt;0),COUNTIFS($L$5:L543,"Para Programar",$G$5:G543,"&gt;0"),"")</f>
        <v/>
      </c>
      <c r="W543" t="str">
        <f t="shared" si="62"/>
        <v>N21 - N28|08 Prueba hidráulica - Interna N° 1</v>
      </c>
      <c r="X543">
        <v>1</v>
      </c>
    </row>
    <row r="544" spans="1:24">
      <c r="A544" t="s">
        <v>92</v>
      </c>
      <c r="B544" s="14" t="s">
        <v>154</v>
      </c>
      <c r="C544" t="s">
        <v>93</v>
      </c>
      <c r="D544" s="13" t="s">
        <v>81</v>
      </c>
      <c r="E544" s="13">
        <v>1</v>
      </c>
      <c r="F544" s="13">
        <f>IF(E544="","",MIN(E544,$X544+SUMIFS('05_Parte_Diario'!$H$5:$H$204,'05_Parte_Diario'!$D$5:$D$204,B544,'05_Parte_Diario'!$E$5:$E$204,C544)))</f>
        <v>1</v>
      </c>
      <c r="G544" s="13">
        <f t="shared" si="56"/>
        <v>0</v>
      </c>
      <c r="H544" s="21">
        <f t="shared" si="57"/>
        <v>1</v>
      </c>
      <c r="I544" s="21">
        <f>IF(OR(B544="",C544="",$V$1=""),"",MIN(E544,SUMIFS('03_Planificacion'!$G$99:$G$178,'03_Planificacion'!$E$99:$E$178,B544,'03_Planificacion'!$F$99:$F$178,C544,'03_Planificacion'!$D$99:$D$178,"&lt;="&amp;$V$1)))</f>
        <v>0</v>
      </c>
      <c r="J544" s="21">
        <f t="shared" si="58"/>
        <v>0</v>
      </c>
      <c r="K544" s="6">
        <f t="shared" si="59"/>
        <v>1</v>
      </c>
      <c r="L544" t="s">
        <v>123</v>
      </c>
      <c r="P544" s="5">
        <f t="shared" si="60"/>
        <v>46287</v>
      </c>
      <c r="Q544" t="s">
        <v>132</v>
      </c>
      <c r="R544">
        <v>75</v>
      </c>
      <c r="S544" t="s">
        <v>70</v>
      </c>
      <c r="T544" t="str">
        <f t="shared" si="61"/>
        <v/>
      </c>
      <c r="U544" t="str">
        <f>IF(AND(L544="Para Programar",G544&gt;0),COUNTIFS($L$5:L544,"Para Programar",$G$5:G544,"&gt;0"),"")</f>
        <v/>
      </c>
      <c r="W544" t="str">
        <f t="shared" si="62"/>
        <v>N21 - N28|08 Prueba hidráulica - Interna N° 2</v>
      </c>
      <c r="X544">
        <v>1</v>
      </c>
    </row>
    <row r="545" spans="1:24">
      <c r="A545" t="s">
        <v>94</v>
      </c>
      <c r="B545" s="14" t="s">
        <v>154</v>
      </c>
      <c r="C545" t="s">
        <v>95</v>
      </c>
      <c r="D545" s="13" t="s">
        <v>81</v>
      </c>
      <c r="E545" s="13">
        <v>1</v>
      </c>
      <c r="F545" s="13">
        <f>IF(E545="","",MIN(E545,$X545+SUMIFS('05_Parte_Diario'!$H$5:$H$204,'05_Parte_Diario'!$D$5:$D$204,B545,'05_Parte_Diario'!$E$5:$E$204,C545)))</f>
        <v>1</v>
      </c>
      <c r="G545" s="13">
        <f t="shared" si="56"/>
        <v>0</v>
      </c>
      <c r="H545" s="21">
        <f t="shared" si="57"/>
        <v>1</v>
      </c>
      <c r="I545" s="21">
        <f>IF(OR(B545="",C545="",$V$1=""),"",MIN(E545,SUMIFS('03_Planificacion'!$G$99:$G$178,'03_Planificacion'!$E$99:$E$178,B545,'03_Planificacion'!$F$99:$F$178,C545,'03_Planificacion'!$D$99:$D$178,"&lt;="&amp;$V$1)))</f>
        <v>0</v>
      </c>
      <c r="J545" s="21">
        <f t="shared" si="58"/>
        <v>0</v>
      </c>
      <c r="K545" s="6">
        <f t="shared" si="59"/>
        <v>1</v>
      </c>
      <c r="L545" t="s">
        <v>123</v>
      </c>
      <c r="P545" s="5">
        <f t="shared" si="60"/>
        <v>46287</v>
      </c>
      <c r="Q545" t="s">
        <v>132</v>
      </c>
      <c r="R545">
        <v>75</v>
      </c>
      <c r="S545" t="s">
        <v>70</v>
      </c>
      <c r="T545" t="str">
        <f t="shared" si="61"/>
        <v/>
      </c>
      <c r="U545" t="str">
        <f>IF(AND(L545="Para Programar",G545&gt;0),COUNTIFS($L$5:L545,"Para Programar",$G$5:G545,"&gt;0"),"")</f>
        <v/>
      </c>
      <c r="W545" t="str">
        <f t="shared" si="62"/>
        <v>N21 - N28|08 Prueba hidráulica - Primera prueba oficial</v>
      </c>
      <c r="X545">
        <v>1</v>
      </c>
    </row>
    <row r="546" spans="1:24">
      <c r="A546" t="s">
        <v>96</v>
      </c>
      <c r="B546" s="14" t="s">
        <v>154</v>
      </c>
      <c r="C546" t="s">
        <v>97</v>
      </c>
      <c r="D546" s="13" t="s">
        <v>67</v>
      </c>
      <c r="E546" s="13">
        <v>102</v>
      </c>
      <c r="F546" s="13">
        <f>IF(E546="","",MIN(E546,$X546+SUMIFS('05_Parte_Diario'!$H$5:$H$204,'05_Parte_Diario'!$D$5:$D$204,B546,'05_Parte_Diario'!$E$5:$E$204,C546)))</f>
        <v>102</v>
      </c>
      <c r="G546" s="13">
        <f t="shared" si="56"/>
        <v>0</v>
      </c>
      <c r="H546" s="21">
        <f t="shared" si="57"/>
        <v>1</v>
      </c>
      <c r="I546" s="21">
        <f>IF(OR(B546="",C546="",$V$1=""),"",MIN(E546,SUMIFS('03_Planificacion'!$G$99:$G$178,'03_Planificacion'!$E$99:$E$178,B546,'03_Planificacion'!$F$99:$F$178,C546,'03_Planificacion'!$D$99:$D$178,"&lt;="&amp;$V$1)))</f>
        <v>0</v>
      </c>
      <c r="J546" s="21">
        <f t="shared" si="58"/>
        <v>0</v>
      </c>
      <c r="K546" s="6">
        <f t="shared" si="59"/>
        <v>1</v>
      </c>
      <c r="L546" t="s">
        <v>123</v>
      </c>
      <c r="P546" s="5">
        <f t="shared" si="60"/>
        <v>46287</v>
      </c>
      <c r="Q546" t="s">
        <v>132</v>
      </c>
      <c r="R546">
        <v>75</v>
      </c>
      <c r="S546" t="s">
        <v>70</v>
      </c>
      <c r="T546" t="str">
        <f t="shared" si="61"/>
        <v/>
      </c>
      <c r="U546" t="str">
        <f>IF(AND(L546="Para Programar",G546&gt;0),COUNTIFS($L$5:L546,"Para Programar",$G$5:G546,"&gt;0"),"")</f>
        <v/>
      </c>
      <c r="W546" t="str">
        <f t="shared" si="62"/>
        <v>N21 - N28|09 Paquete estructural - Aporte e=0,30 m</v>
      </c>
      <c r="X546">
        <v>102</v>
      </c>
    </row>
    <row r="547" spans="1:24">
      <c r="A547" t="s">
        <v>98</v>
      </c>
      <c r="B547" s="14" t="s">
        <v>154</v>
      </c>
      <c r="C547" t="s">
        <v>99</v>
      </c>
      <c r="D547" s="13" t="s">
        <v>67</v>
      </c>
      <c r="E547" s="13">
        <v>102</v>
      </c>
      <c r="F547" s="13">
        <f>IF(E547="","",MIN(E547,$X547+SUMIFS('05_Parte_Diario'!$H$5:$H$204,'05_Parte_Diario'!$D$5:$D$204,B547,'05_Parte_Diario'!$E$5:$E$204,C547)))</f>
        <v>102</v>
      </c>
      <c r="G547" s="13">
        <f t="shared" si="56"/>
        <v>0</v>
      </c>
      <c r="H547" s="21">
        <f t="shared" si="57"/>
        <v>1</v>
      </c>
      <c r="I547" s="21">
        <f>IF(OR(B547="",C547="",$V$1=""),"",MIN(E547,SUMIFS('03_Planificacion'!$G$99:$G$178,'03_Planificacion'!$E$99:$E$178,B547,'03_Planificacion'!$F$99:$F$178,C547,'03_Planificacion'!$D$99:$D$178,"&lt;="&amp;$V$1)))</f>
        <v>0</v>
      </c>
      <c r="J547" s="21">
        <f t="shared" si="58"/>
        <v>0</v>
      </c>
      <c r="K547" s="6">
        <f t="shared" si="59"/>
        <v>1</v>
      </c>
      <c r="L547" t="s">
        <v>123</v>
      </c>
      <c r="P547" s="5">
        <f t="shared" si="60"/>
        <v>46287</v>
      </c>
      <c r="Q547" t="s">
        <v>132</v>
      </c>
      <c r="R547">
        <v>75</v>
      </c>
      <c r="S547" t="s">
        <v>70</v>
      </c>
      <c r="T547" t="str">
        <f t="shared" si="61"/>
        <v/>
      </c>
      <c r="U547" t="str">
        <f>IF(AND(L547="Para Programar",G547&gt;0),COUNTIFS($L$5:L547,"Para Programar",$G$5:G547,"&gt;0"),"")</f>
        <v/>
      </c>
      <c r="W547" t="str">
        <f t="shared" si="62"/>
        <v>N21 - N28|09 Paquete estructural - Compactación</v>
      </c>
      <c r="X547">
        <v>102</v>
      </c>
    </row>
    <row r="548" spans="1:24">
      <c r="A548" t="s">
        <v>100</v>
      </c>
      <c r="B548" s="14" t="s">
        <v>154</v>
      </c>
      <c r="C548" t="s">
        <v>101</v>
      </c>
      <c r="D548" s="13" t="s">
        <v>81</v>
      </c>
      <c r="E548" s="13">
        <v>1</v>
      </c>
      <c r="F548" s="13">
        <f>IF(E548="","",MIN(E548,$X548+SUMIFS('05_Parte_Diario'!$H$5:$H$204,'05_Parte_Diario'!$D$5:$D$204,B548,'05_Parte_Diario'!$E$5:$E$204,C548)))</f>
        <v>1</v>
      </c>
      <c r="G548" s="13">
        <f t="shared" si="56"/>
        <v>0</v>
      </c>
      <c r="H548" s="21">
        <f t="shared" si="57"/>
        <v>1</v>
      </c>
      <c r="I548" s="21">
        <f>IF(OR(B548="",C548="",$V$1=""),"",MIN(E548,SUMIFS('03_Planificacion'!$G$99:$G$178,'03_Planificacion'!$E$99:$E$178,B548,'03_Planificacion'!$F$99:$F$178,C548,'03_Planificacion'!$D$99:$D$178,"&lt;="&amp;$V$1)))</f>
        <v>0</v>
      </c>
      <c r="J548" s="21">
        <f t="shared" si="58"/>
        <v>0</v>
      </c>
      <c r="K548" s="6">
        <f t="shared" si="59"/>
        <v>1</v>
      </c>
      <c r="L548" t="s">
        <v>123</v>
      </c>
      <c r="P548" s="5">
        <f t="shared" si="60"/>
        <v>46287</v>
      </c>
      <c r="Q548" t="s">
        <v>132</v>
      </c>
      <c r="R548">
        <v>75</v>
      </c>
      <c r="S548" t="s">
        <v>70</v>
      </c>
      <c r="T548" t="str">
        <f t="shared" si="61"/>
        <v/>
      </c>
      <c r="U548" t="str">
        <f>IF(AND(L548="Para Programar",G548&gt;0),COUNTIFS($L$5:L548,"Para Programar",$G$5:G548,"&gt;0"),"")</f>
        <v/>
      </c>
      <c r="W548" t="str">
        <f t="shared" si="62"/>
        <v>N21 - N28|09 Paquete estructural - Inspección laboratorio</v>
      </c>
      <c r="X548">
        <v>1</v>
      </c>
    </row>
    <row r="549" spans="1:24">
      <c r="A549" t="s">
        <v>102</v>
      </c>
      <c r="B549" s="14" t="s">
        <v>154</v>
      </c>
      <c r="C549" t="s">
        <v>103</v>
      </c>
      <c r="D549" s="13" t="s">
        <v>67</v>
      </c>
      <c r="E549" s="13">
        <v>102</v>
      </c>
      <c r="F549" s="13">
        <f>IF(E549="","",MIN(E549,$X549+SUMIFS('05_Parte_Diario'!$H$5:$H$204,'05_Parte_Diario'!$D$5:$D$204,B549,'05_Parte_Diario'!$E$5:$E$204,C549)))</f>
        <v>102</v>
      </c>
      <c r="G549" s="13">
        <f t="shared" si="56"/>
        <v>0</v>
      </c>
      <c r="H549" s="21">
        <f t="shared" si="57"/>
        <v>1</v>
      </c>
      <c r="I549" s="21">
        <f>IF(OR(B549="",C549="",$V$1=""),"",MIN(E549,SUMIFS('03_Planificacion'!$G$99:$G$178,'03_Planificacion'!$E$99:$E$178,B549,'03_Planificacion'!$F$99:$F$178,C549,'03_Planificacion'!$D$99:$D$178,"&lt;="&amp;$V$1)))</f>
        <v>0</v>
      </c>
      <c r="J549" s="21">
        <f t="shared" si="58"/>
        <v>0</v>
      </c>
      <c r="K549" s="6">
        <f t="shared" si="59"/>
        <v>1</v>
      </c>
      <c r="L549" t="s">
        <v>123</v>
      </c>
      <c r="P549" s="5">
        <f t="shared" si="60"/>
        <v>46287</v>
      </c>
      <c r="Q549" t="s">
        <v>132</v>
      </c>
      <c r="R549">
        <v>75</v>
      </c>
      <c r="S549" t="s">
        <v>70</v>
      </c>
      <c r="T549" t="str">
        <f t="shared" si="61"/>
        <v/>
      </c>
      <c r="U549" t="str">
        <f>IF(AND(L549="Para Programar",G549&gt;0),COUNTIFS($L$5:L549,"Para Programar",$G$5:G549,"&gt;0"),"")</f>
        <v/>
      </c>
      <c r="W549" t="str">
        <f t="shared" si="62"/>
        <v>N21 - N28|10 Relleno -0,60 - Conformación de capa</v>
      </c>
      <c r="X549">
        <v>102</v>
      </c>
    </row>
    <row r="550" spans="1:24">
      <c r="A550" t="s">
        <v>104</v>
      </c>
      <c r="B550" s="14" t="s">
        <v>154</v>
      </c>
      <c r="C550" t="s">
        <v>105</v>
      </c>
      <c r="D550" s="13" t="s">
        <v>67</v>
      </c>
      <c r="E550" s="13">
        <v>102</v>
      </c>
      <c r="F550" s="13">
        <f>IF(E550="","",MIN(E550,$X550+SUMIFS('05_Parte_Diario'!$H$5:$H$204,'05_Parte_Diario'!$D$5:$D$204,B550,'05_Parte_Diario'!$E$5:$E$204,C550)))</f>
        <v>102</v>
      </c>
      <c r="G550" s="13">
        <f t="shared" si="56"/>
        <v>0</v>
      </c>
      <c r="H550" s="21">
        <f t="shared" si="57"/>
        <v>1</v>
      </c>
      <c r="I550" s="21">
        <f>IF(OR(B550="",C550="",$V$1=""),"",MIN(E550,SUMIFS('03_Planificacion'!$G$99:$G$178,'03_Planificacion'!$E$99:$E$178,B550,'03_Planificacion'!$F$99:$F$178,C550,'03_Planificacion'!$D$99:$D$178,"&lt;="&amp;$V$1)))</f>
        <v>0</v>
      </c>
      <c r="J550" s="21">
        <f t="shared" si="58"/>
        <v>0</v>
      </c>
      <c r="K550" s="6">
        <f t="shared" si="59"/>
        <v>1</v>
      </c>
      <c r="L550" t="s">
        <v>123</v>
      </c>
      <c r="P550" s="5">
        <f t="shared" si="60"/>
        <v>46287</v>
      </c>
      <c r="Q550" t="s">
        <v>132</v>
      </c>
      <c r="R550">
        <v>75</v>
      </c>
      <c r="S550" t="s">
        <v>70</v>
      </c>
      <c r="T550" t="str">
        <f t="shared" si="61"/>
        <v/>
      </c>
      <c r="U550" t="str">
        <f>IF(AND(L550="Para Programar",G550&gt;0),COUNTIFS($L$5:L550,"Para Programar",$G$5:G550,"&gt;0"),"")</f>
        <v/>
      </c>
      <c r="W550" t="str">
        <f t="shared" si="62"/>
        <v>N21 - N28|10 Relleno -0,60 - Humectación</v>
      </c>
      <c r="X550">
        <v>102</v>
      </c>
    </row>
    <row r="551" spans="1:24">
      <c r="A551" t="s">
        <v>106</v>
      </c>
      <c r="B551" s="14" t="s">
        <v>154</v>
      </c>
      <c r="C551" t="s">
        <v>107</v>
      </c>
      <c r="D551" s="13" t="s">
        <v>67</v>
      </c>
      <c r="E551" s="13">
        <v>102</v>
      </c>
      <c r="F551" s="13">
        <f>IF(E551="","",MIN(E551,$X551+SUMIFS('05_Parte_Diario'!$H$5:$H$204,'05_Parte_Diario'!$D$5:$D$204,B551,'05_Parte_Diario'!$E$5:$E$204,C551)))</f>
        <v>102</v>
      </c>
      <c r="G551" s="13">
        <f t="shared" si="56"/>
        <v>0</v>
      </c>
      <c r="H551" s="21">
        <f t="shared" si="57"/>
        <v>1</v>
      </c>
      <c r="I551" s="21">
        <f>IF(OR(B551="",C551="",$V$1=""),"",MIN(E551,SUMIFS('03_Planificacion'!$G$99:$G$178,'03_Planificacion'!$E$99:$E$178,B551,'03_Planificacion'!$F$99:$F$178,C551,'03_Planificacion'!$D$99:$D$178,"&lt;="&amp;$V$1)))</f>
        <v>0</v>
      </c>
      <c r="J551" s="21">
        <f t="shared" si="58"/>
        <v>0</v>
      </c>
      <c r="K551" s="6">
        <f t="shared" si="59"/>
        <v>1</v>
      </c>
      <c r="L551" t="s">
        <v>123</v>
      </c>
      <c r="P551" s="5">
        <f t="shared" si="60"/>
        <v>46287</v>
      </c>
      <c r="Q551" t="s">
        <v>132</v>
      </c>
      <c r="R551">
        <v>75</v>
      </c>
      <c r="S551" t="s">
        <v>70</v>
      </c>
      <c r="T551" t="str">
        <f t="shared" si="61"/>
        <v/>
      </c>
      <c r="U551" t="str">
        <f>IF(AND(L551="Para Programar",G551&gt;0),COUNTIFS($L$5:L551,"Para Programar",$G$5:G551,"&gt;0"),"")</f>
        <v/>
      </c>
      <c r="W551" t="str">
        <f t="shared" si="62"/>
        <v>N21 - N28|10 Relleno -0,60 - Compactación</v>
      </c>
      <c r="X551">
        <v>102</v>
      </c>
    </row>
    <row r="552" spans="1:24">
      <c r="A552" t="s">
        <v>108</v>
      </c>
      <c r="B552" s="14" t="s">
        <v>154</v>
      </c>
      <c r="C552" t="s">
        <v>109</v>
      </c>
      <c r="D552" s="13" t="s">
        <v>81</v>
      </c>
      <c r="E552" s="13">
        <v>1</v>
      </c>
      <c r="F552" s="13">
        <f>IF(E552="","",MIN(E552,$X552+SUMIFS('05_Parte_Diario'!$H$5:$H$204,'05_Parte_Diario'!$D$5:$D$204,B552,'05_Parte_Diario'!$E$5:$E$204,C552)))</f>
        <v>1</v>
      </c>
      <c r="G552" s="13">
        <f t="shared" si="56"/>
        <v>0</v>
      </c>
      <c r="H552" s="21">
        <f t="shared" si="57"/>
        <v>1</v>
      </c>
      <c r="I552" s="21">
        <f>IF(OR(B552="",C552="",$V$1=""),"",MIN(E552,SUMIFS('03_Planificacion'!$G$99:$G$178,'03_Planificacion'!$E$99:$E$178,B552,'03_Planificacion'!$F$99:$F$178,C552,'03_Planificacion'!$D$99:$D$178,"&lt;="&amp;$V$1)))</f>
        <v>0</v>
      </c>
      <c r="J552" s="21">
        <f t="shared" si="58"/>
        <v>0</v>
      </c>
      <c r="K552" s="6">
        <f t="shared" si="59"/>
        <v>1</v>
      </c>
      <c r="L552" t="s">
        <v>123</v>
      </c>
      <c r="P552" s="5">
        <f t="shared" si="60"/>
        <v>46287</v>
      </c>
      <c r="Q552" t="s">
        <v>132</v>
      </c>
      <c r="R552">
        <v>75</v>
      </c>
      <c r="S552" t="s">
        <v>70</v>
      </c>
      <c r="T552" t="str">
        <f t="shared" si="61"/>
        <v/>
      </c>
      <c r="U552" t="str">
        <f>IF(AND(L552="Para Programar",G552&gt;0),COUNTIFS($L$5:L552,"Para Programar",$G$5:G552,"&gt;0"),"")</f>
        <v/>
      </c>
      <c r="W552" t="str">
        <f t="shared" si="62"/>
        <v>N21 - N28|10 Relleno -0,60 - Inspección laboratorio</v>
      </c>
      <c r="X552">
        <v>1</v>
      </c>
    </row>
    <row r="553" spans="1:24">
      <c r="A553" t="s">
        <v>110</v>
      </c>
      <c r="B553" s="14" t="s">
        <v>154</v>
      </c>
      <c r="C553" t="s">
        <v>111</v>
      </c>
      <c r="D553" s="13" t="s">
        <v>67</v>
      </c>
      <c r="E553" s="13">
        <v>102</v>
      </c>
      <c r="F553" s="13">
        <f>IF(E553="","",MIN(E553,$X553+SUMIFS('05_Parte_Diario'!$H$5:$H$204,'05_Parte_Diario'!$D$5:$D$204,B553,'05_Parte_Diario'!$E$5:$E$204,C553)))</f>
        <v>102</v>
      </c>
      <c r="G553" s="13">
        <f t="shared" si="56"/>
        <v>0</v>
      </c>
      <c r="H553" s="21">
        <f t="shared" si="57"/>
        <v>1</v>
      </c>
      <c r="I553" s="21">
        <f>IF(OR(B553="",C553="",$V$1=""),"",MIN(E553,SUMIFS('03_Planificacion'!$G$99:$G$178,'03_Planificacion'!$E$99:$E$178,B553,'03_Planificacion'!$F$99:$F$178,C553,'03_Planificacion'!$D$99:$D$178,"&lt;="&amp;$V$1)))</f>
        <v>0</v>
      </c>
      <c r="J553" s="21">
        <f t="shared" si="58"/>
        <v>0</v>
      </c>
      <c r="K553" s="6">
        <f t="shared" si="59"/>
        <v>1</v>
      </c>
      <c r="L553" t="s">
        <v>123</v>
      </c>
      <c r="P553" s="5">
        <f t="shared" si="60"/>
        <v>46287</v>
      </c>
      <c r="Q553" t="s">
        <v>132</v>
      </c>
      <c r="R553">
        <v>75</v>
      </c>
      <c r="S553" t="s">
        <v>70</v>
      </c>
      <c r="T553" t="str">
        <f t="shared" si="61"/>
        <v/>
      </c>
      <c r="U553" t="str">
        <f>IF(AND(L553="Para Programar",G553&gt;0),COUNTIFS($L$5:L553,"Para Programar",$G$5:G553,"&gt;0"),"")</f>
        <v/>
      </c>
      <c r="W553" t="str">
        <f t="shared" si="62"/>
        <v>N21 - N28|11 Relleno -0,30 - Conformación de capa</v>
      </c>
      <c r="X553">
        <v>102</v>
      </c>
    </row>
    <row r="554" spans="1:24">
      <c r="A554" t="s">
        <v>112</v>
      </c>
      <c r="B554" s="14" t="s">
        <v>154</v>
      </c>
      <c r="C554" t="s">
        <v>113</v>
      </c>
      <c r="D554" s="13" t="s">
        <v>67</v>
      </c>
      <c r="E554" s="13">
        <v>102</v>
      </c>
      <c r="F554" s="13">
        <f>IF(E554="","",MIN(E554,$X554+SUMIFS('05_Parte_Diario'!$H$5:$H$204,'05_Parte_Diario'!$D$5:$D$204,B554,'05_Parte_Diario'!$E$5:$E$204,C554)))</f>
        <v>102</v>
      </c>
      <c r="G554" s="13">
        <f t="shared" si="56"/>
        <v>0</v>
      </c>
      <c r="H554" s="21">
        <f t="shared" si="57"/>
        <v>1</v>
      </c>
      <c r="I554" s="21">
        <f>IF(OR(B554="",C554="",$V$1=""),"",MIN(E554,SUMIFS('03_Planificacion'!$G$99:$G$178,'03_Planificacion'!$E$99:$E$178,B554,'03_Planificacion'!$F$99:$F$178,C554,'03_Planificacion'!$D$99:$D$178,"&lt;="&amp;$V$1)))</f>
        <v>0</v>
      </c>
      <c r="J554" s="21">
        <f t="shared" si="58"/>
        <v>0</v>
      </c>
      <c r="K554" s="6">
        <f t="shared" si="59"/>
        <v>1</v>
      </c>
      <c r="L554" t="s">
        <v>123</v>
      </c>
      <c r="P554" s="5">
        <f t="shared" si="60"/>
        <v>46287</v>
      </c>
      <c r="Q554" t="s">
        <v>132</v>
      </c>
      <c r="R554">
        <v>75</v>
      </c>
      <c r="S554" t="s">
        <v>70</v>
      </c>
      <c r="T554" t="str">
        <f t="shared" si="61"/>
        <v/>
      </c>
      <c r="U554" t="str">
        <f>IF(AND(L554="Para Programar",G554&gt;0),COUNTIFS($L$5:L554,"Para Programar",$G$5:G554,"&gt;0"),"")</f>
        <v/>
      </c>
      <c r="W554" t="str">
        <f t="shared" si="62"/>
        <v>N21 - N28|11 Relleno -0,30 - Humectación</v>
      </c>
      <c r="X554">
        <v>102</v>
      </c>
    </row>
    <row r="555" spans="1:24">
      <c r="A555" t="s">
        <v>114</v>
      </c>
      <c r="B555" s="14" t="s">
        <v>154</v>
      </c>
      <c r="C555" t="s">
        <v>115</v>
      </c>
      <c r="D555" s="13" t="s">
        <v>67</v>
      </c>
      <c r="E555" s="13">
        <v>102</v>
      </c>
      <c r="F555" s="13">
        <f>IF(E555="","",MIN(E555,$X555+SUMIFS('05_Parte_Diario'!$H$5:$H$204,'05_Parte_Diario'!$D$5:$D$204,B555,'05_Parte_Diario'!$E$5:$E$204,C555)))</f>
        <v>0</v>
      </c>
      <c r="G555" s="13">
        <f t="shared" si="56"/>
        <v>102</v>
      </c>
      <c r="H555" s="21">
        <f t="shared" si="57"/>
        <v>0</v>
      </c>
      <c r="I555" s="21">
        <f>IF(OR(B555="",C555="",$V$1=""),"",MIN(E555,SUMIFS('03_Planificacion'!$G$99:$G$178,'03_Planificacion'!$E$99:$E$178,B555,'03_Planificacion'!$F$99:$F$178,C555,'03_Planificacion'!$D$99:$D$178,"&lt;="&amp;$V$1)))</f>
        <v>0</v>
      </c>
      <c r="J555" s="21">
        <f t="shared" si="58"/>
        <v>0</v>
      </c>
      <c r="K555" s="6">
        <f t="shared" si="59"/>
        <v>0</v>
      </c>
      <c r="L555" t="s">
        <v>12</v>
      </c>
      <c r="P555" s="5">
        <f t="shared" si="60"/>
        <v>46287</v>
      </c>
      <c r="Q555" t="s">
        <v>132</v>
      </c>
      <c r="R555">
        <v>75</v>
      </c>
      <c r="S555" t="s">
        <v>70</v>
      </c>
      <c r="T555" t="str">
        <f t="shared" si="61"/>
        <v/>
      </c>
      <c r="U555">
        <f>IF(AND(L555="Para Programar",G555&gt;0),COUNTIFS($L$5:L555,"Para Programar",$G$5:G555,"&gt;0"),"")</f>
        <v>113</v>
      </c>
      <c r="W555" t="str">
        <f t="shared" si="62"/>
        <v>N21 - N28|11 Relleno -0,30 - Compactación</v>
      </c>
      <c r="X555">
        <v>0</v>
      </c>
    </row>
    <row r="556" spans="1:24">
      <c r="A556" t="s">
        <v>116</v>
      </c>
      <c r="B556" s="14" t="s">
        <v>154</v>
      </c>
      <c r="C556" t="s">
        <v>117</v>
      </c>
      <c r="D556" s="13" t="s">
        <v>81</v>
      </c>
      <c r="E556" s="13">
        <v>1</v>
      </c>
      <c r="F556" s="13">
        <f>IF(E556="","",MIN(E556,$X556+SUMIFS('05_Parte_Diario'!$H$5:$H$204,'05_Parte_Diario'!$D$5:$D$204,B556,'05_Parte_Diario'!$E$5:$E$204,C556)))</f>
        <v>0</v>
      </c>
      <c r="G556" s="13">
        <f t="shared" si="56"/>
        <v>1</v>
      </c>
      <c r="H556" s="21">
        <f t="shared" si="57"/>
        <v>0</v>
      </c>
      <c r="I556" s="21">
        <f>IF(OR(B556="",C556="",$V$1=""),"",MIN(E556,SUMIFS('03_Planificacion'!$G$99:$G$178,'03_Planificacion'!$E$99:$E$178,B556,'03_Planificacion'!$F$99:$F$178,C556,'03_Planificacion'!$D$99:$D$178,"&lt;="&amp;$V$1)))</f>
        <v>0</v>
      </c>
      <c r="J556" s="21">
        <f t="shared" si="58"/>
        <v>0</v>
      </c>
      <c r="K556" s="6">
        <f t="shared" si="59"/>
        <v>0</v>
      </c>
      <c r="L556" t="s">
        <v>12</v>
      </c>
      <c r="P556" s="5">
        <f t="shared" si="60"/>
        <v>46287</v>
      </c>
      <c r="Q556" t="s">
        <v>132</v>
      </c>
      <c r="R556">
        <v>75</v>
      </c>
      <c r="S556" t="s">
        <v>70</v>
      </c>
      <c r="T556" t="str">
        <f t="shared" si="61"/>
        <v/>
      </c>
      <c r="U556">
        <f>IF(AND(L556="Para Programar",G556&gt;0),COUNTIFS($L$5:L556,"Para Programar",$G$5:G556,"&gt;0"),"")</f>
        <v>114</v>
      </c>
      <c r="W556" t="str">
        <f t="shared" si="62"/>
        <v>N21 - N28|11 Relleno -0,30 - Inspección laboratorio</v>
      </c>
      <c r="X556">
        <v>0</v>
      </c>
    </row>
    <row r="557" spans="1:24">
      <c r="A557" t="s">
        <v>64</v>
      </c>
      <c r="B557" s="14" t="s">
        <v>155</v>
      </c>
      <c r="C557" t="s">
        <v>66</v>
      </c>
      <c r="D557" s="13" t="s">
        <v>67</v>
      </c>
      <c r="E557" s="13">
        <v>96</v>
      </c>
      <c r="F557" s="13">
        <f>IF(E557="","",MIN(E557,$X557+SUMIFS('05_Parte_Diario'!$H$5:$H$204,'05_Parte_Diario'!$D$5:$D$204,B557,'05_Parte_Diario'!$E$5:$E$204,C557)))</f>
        <v>96</v>
      </c>
      <c r="G557" s="13">
        <f t="shared" si="56"/>
        <v>0</v>
      </c>
      <c r="H557" s="21">
        <f t="shared" si="57"/>
        <v>1</v>
      </c>
      <c r="I557" s="21">
        <f>IF(OR(B557="",C557="",$V$1=""),"",MIN(E557,SUMIFS('03_Planificacion'!$G$99:$G$178,'03_Planificacion'!$E$99:$E$178,B557,'03_Planificacion'!$F$99:$F$178,C557,'03_Planificacion'!$D$99:$D$178,"&lt;="&amp;$V$1)))</f>
        <v>0</v>
      </c>
      <c r="J557" s="21">
        <f t="shared" si="58"/>
        <v>0</v>
      </c>
      <c r="K557" s="6">
        <f t="shared" si="59"/>
        <v>1</v>
      </c>
      <c r="L557" t="s">
        <v>123</v>
      </c>
      <c r="P557" s="5">
        <f t="shared" si="60"/>
        <v>46287</v>
      </c>
      <c r="Q557" t="s">
        <v>125</v>
      </c>
      <c r="R557">
        <v>110</v>
      </c>
      <c r="S557" t="s">
        <v>70</v>
      </c>
      <c r="T557" t="str">
        <f t="shared" si="61"/>
        <v/>
      </c>
      <c r="U557" t="str">
        <f>IF(AND(L557="Para Programar",G557&gt;0),COUNTIFS($L$5:L557,"Para Programar",$G$5:G557,"&gt;0"),"")</f>
        <v/>
      </c>
      <c r="W557" t="str">
        <f t="shared" si="62"/>
        <v>N22 - N24|01 Replanteo - Marcación de tramo de cañería principal</v>
      </c>
      <c r="X557">
        <v>96</v>
      </c>
    </row>
    <row r="558" spans="1:24">
      <c r="A558" t="s">
        <v>71</v>
      </c>
      <c r="B558" s="14" t="s">
        <v>155</v>
      </c>
      <c r="C558" t="s">
        <v>72</v>
      </c>
      <c r="D558" s="13" t="s">
        <v>67</v>
      </c>
      <c r="E558" s="13">
        <v>96</v>
      </c>
      <c r="F558" s="13">
        <f>IF(E558="","",MIN(E558,$X558+SUMIFS('05_Parte_Diario'!$H$5:$H$204,'05_Parte_Diario'!$D$5:$D$204,B558,'05_Parte_Diario'!$E$5:$E$204,C558)))</f>
        <v>96</v>
      </c>
      <c r="G558" s="13">
        <f t="shared" si="56"/>
        <v>0</v>
      </c>
      <c r="H558" s="21">
        <f t="shared" si="57"/>
        <v>1</v>
      </c>
      <c r="I558" s="21">
        <f>IF(OR(B558="",C558="",$V$1=""),"",MIN(E558,SUMIFS('03_Planificacion'!$G$99:$G$178,'03_Planificacion'!$E$99:$E$178,B558,'03_Planificacion'!$F$99:$F$178,C558,'03_Planificacion'!$D$99:$D$178,"&lt;="&amp;$V$1)))</f>
        <v>0</v>
      </c>
      <c r="J558" s="21">
        <f t="shared" si="58"/>
        <v>0</v>
      </c>
      <c r="K558" s="6">
        <f t="shared" si="59"/>
        <v>1</v>
      </c>
      <c r="L558" t="s">
        <v>123</v>
      </c>
      <c r="P558" s="5">
        <f t="shared" si="60"/>
        <v>46287</v>
      </c>
      <c r="Q558" t="s">
        <v>125</v>
      </c>
      <c r="R558">
        <v>110</v>
      </c>
      <c r="S558" t="s">
        <v>70</v>
      </c>
      <c r="T558" t="str">
        <f t="shared" si="61"/>
        <v/>
      </c>
      <c r="U558" t="str">
        <f>IF(AND(L558="Para Programar",G558&gt;0),COUNTIFS($L$5:L558,"Para Programar",$G$5:G558,"&gt;0"),"")</f>
        <v/>
      </c>
      <c r="W558" t="str">
        <f t="shared" si="62"/>
        <v>N22 - N24|02 Excavación - Zanja principal</v>
      </c>
      <c r="X558">
        <v>96</v>
      </c>
    </row>
    <row r="559" spans="1:24">
      <c r="A559" t="s">
        <v>73</v>
      </c>
      <c r="B559" s="14" t="s">
        <v>155</v>
      </c>
      <c r="C559" t="s">
        <v>74</v>
      </c>
      <c r="D559" s="13" t="s">
        <v>67</v>
      </c>
      <c r="E559" s="13">
        <v>96</v>
      </c>
      <c r="F559" s="13">
        <f>IF(E559="","",MIN(E559,$X559+SUMIFS('05_Parte_Diario'!$H$5:$H$204,'05_Parte_Diario'!$D$5:$D$204,B559,'05_Parte_Diario'!$E$5:$E$204,C559)))</f>
        <v>96</v>
      </c>
      <c r="G559" s="13">
        <f t="shared" si="56"/>
        <v>0</v>
      </c>
      <c r="H559" s="21">
        <f t="shared" si="57"/>
        <v>1</v>
      </c>
      <c r="I559" s="21">
        <f>IF(OR(B559="",C559="",$V$1=""),"",MIN(E559,SUMIFS('03_Planificacion'!$G$99:$G$178,'03_Planificacion'!$E$99:$E$178,B559,'03_Planificacion'!$F$99:$F$178,C559,'03_Planificacion'!$D$99:$D$178,"&lt;="&amp;$V$1)))</f>
        <v>0</v>
      </c>
      <c r="J559" s="21">
        <f t="shared" si="58"/>
        <v>0</v>
      </c>
      <c r="K559" s="6">
        <f t="shared" si="59"/>
        <v>1</v>
      </c>
      <c r="L559" t="s">
        <v>123</v>
      </c>
      <c r="P559" s="5">
        <f t="shared" si="60"/>
        <v>46287</v>
      </c>
      <c r="Q559" t="s">
        <v>125</v>
      </c>
      <c r="R559">
        <v>110</v>
      </c>
      <c r="S559" t="s">
        <v>70</v>
      </c>
      <c r="T559" t="str">
        <f t="shared" si="61"/>
        <v/>
      </c>
      <c r="U559" t="str">
        <f>IF(AND(L559="Para Programar",G559&gt;0),COUNTIFS($L$5:L559,"Para Programar",$G$5:G559,"&gt;0"),"")</f>
        <v/>
      </c>
      <c r="W559" t="str">
        <f t="shared" si="62"/>
        <v>N22 - N24|03 Base de asiento - Nivelación de fondo de zanja</v>
      </c>
      <c r="X559">
        <v>96</v>
      </c>
    </row>
    <row r="560" spans="1:24">
      <c r="A560" t="s">
        <v>75</v>
      </c>
      <c r="B560" s="14" t="s">
        <v>155</v>
      </c>
      <c r="C560" t="s">
        <v>76</v>
      </c>
      <c r="D560" s="13" t="s">
        <v>67</v>
      </c>
      <c r="E560" s="13">
        <v>96</v>
      </c>
      <c r="F560" s="13">
        <f>IF(E560="","",MIN(E560,$X560+SUMIFS('05_Parte_Diario'!$H$5:$H$204,'05_Parte_Diario'!$D$5:$D$204,B560,'05_Parte_Diario'!$E$5:$E$204,C560)))</f>
        <v>96</v>
      </c>
      <c r="G560" s="13">
        <f t="shared" si="56"/>
        <v>0</v>
      </c>
      <c r="H560" s="21">
        <f t="shared" si="57"/>
        <v>1</v>
      </c>
      <c r="I560" s="21">
        <f>IF(OR(B560="",C560="",$V$1=""),"",MIN(E560,SUMIFS('03_Planificacion'!$G$99:$G$178,'03_Planificacion'!$E$99:$E$178,B560,'03_Planificacion'!$F$99:$F$178,C560,'03_Planificacion'!$D$99:$D$178,"&lt;="&amp;$V$1)))</f>
        <v>0</v>
      </c>
      <c r="J560" s="21">
        <f t="shared" si="58"/>
        <v>0</v>
      </c>
      <c r="K560" s="6">
        <f t="shared" si="59"/>
        <v>1</v>
      </c>
      <c r="L560" t="s">
        <v>123</v>
      </c>
      <c r="P560" s="5">
        <f t="shared" si="60"/>
        <v>46287</v>
      </c>
      <c r="Q560" t="s">
        <v>125</v>
      </c>
      <c r="R560">
        <v>110</v>
      </c>
      <c r="S560" t="s">
        <v>70</v>
      </c>
      <c r="T560" t="str">
        <f t="shared" si="61"/>
        <v/>
      </c>
      <c r="U560" t="str">
        <f>IF(AND(L560="Para Programar",G560&gt;0),COUNTIFS($L$5:L560,"Para Programar",$G$5:G560,"&gt;0"),"")</f>
        <v/>
      </c>
      <c r="W560" t="str">
        <f t="shared" si="62"/>
        <v>N22 - N24|03 Base de asiento - Aporte de material base e=0,10 m</v>
      </c>
      <c r="X560">
        <v>96</v>
      </c>
    </row>
    <row r="561" spans="1:24">
      <c r="A561" t="s">
        <v>77</v>
      </c>
      <c r="B561" s="14" t="s">
        <v>155</v>
      </c>
      <c r="C561" t="s">
        <v>78</v>
      </c>
      <c r="D561" s="13" t="s">
        <v>67</v>
      </c>
      <c r="E561" s="13">
        <v>96</v>
      </c>
      <c r="F561" s="13">
        <f>IF(E561="","",MIN(E561,$X561+SUMIFS('05_Parte_Diario'!$H$5:$H$204,'05_Parte_Diario'!$D$5:$D$204,B561,'05_Parte_Diario'!$E$5:$E$204,C561)))</f>
        <v>96</v>
      </c>
      <c r="G561" s="13">
        <f t="shared" si="56"/>
        <v>0</v>
      </c>
      <c r="H561" s="21">
        <f t="shared" si="57"/>
        <v>1</v>
      </c>
      <c r="I561" s="21">
        <f>IF(OR(B561="",C561="",$V$1=""),"",MIN(E561,SUMIFS('03_Planificacion'!$G$99:$G$178,'03_Planificacion'!$E$99:$E$178,B561,'03_Planificacion'!$F$99:$F$178,C561,'03_Planificacion'!$D$99:$D$178,"&lt;="&amp;$V$1)))</f>
        <v>0</v>
      </c>
      <c r="J561" s="21">
        <f t="shared" si="58"/>
        <v>0</v>
      </c>
      <c r="K561" s="6">
        <f t="shared" si="59"/>
        <v>1</v>
      </c>
      <c r="L561" t="s">
        <v>123</v>
      </c>
      <c r="P561" s="5">
        <f t="shared" si="60"/>
        <v>46287</v>
      </c>
      <c r="Q561" t="s">
        <v>125</v>
      </c>
      <c r="R561">
        <v>110</v>
      </c>
      <c r="S561" t="s">
        <v>70</v>
      </c>
      <c r="T561" t="str">
        <f t="shared" si="61"/>
        <v/>
      </c>
      <c r="U561" t="str">
        <f>IF(AND(L561="Para Programar",G561&gt;0),COUNTIFS($L$5:L561,"Para Programar",$G$5:G561,"&gt;0"),"")</f>
        <v/>
      </c>
      <c r="W561" t="str">
        <f t="shared" si="62"/>
        <v>N22 - N24|03 Base de asiento - Compactación</v>
      </c>
      <c r="X561">
        <v>96</v>
      </c>
    </row>
    <row r="562" spans="1:24">
      <c r="A562" t="s">
        <v>79</v>
      </c>
      <c r="B562" s="14" t="s">
        <v>155</v>
      </c>
      <c r="C562" t="s">
        <v>80</v>
      </c>
      <c r="D562" s="13" t="s">
        <v>81</v>
      </c>
      <c r="E562" s="13">
        <v>1</v>
      </c>
      <c r="F562" s="13">
        <f>IF(E562="","",MIN(E562,$X562+SUMIFS('05_Parte_Diario'!$H$5:$H$204,'05_Parte_Diario'!$D$5:$D$204,B562,'05_Parte_Diario'!$E$5:$E$204,C562)))</f>
        <v>1</v>
      </c>
      <c r="G562" s="13">
        <f t="shared" si="56"/>
        <v>0</v>
      </c>
      <c r="H562" s="21">
        <f t="shared" si="57"/>
        <v>1</v>
      </c>
      <c r="I562" s="21">
        <f>IF(OR(B562="",C562="",$V$1=""),"",MIN(E562,SUMIFS('03_Planificacion'!$G$99:$G$178,'03_Planificacion'!$E$99:$E$178,B562,'03_Planificacion'!$F$99:$F$178,C562,'03_Planificacion'!$D$99:$D$178,"&lt;="&amp;$V$1)))</f>
        <v>0</v>
      </c>
      <c r="J562" s="21">
        <f t="shared" si="58"/>
        <v>0</v>
      </c>
      <c r="K562" s="6">
        <f t="shared" si="59"/>
        <v>1</v>
      </c>
      <c r="L562" t="s">
        <v>123</v>
      </c>
      <c r="P562" s="5">
        <f t="shared" si="60"/>
        <v>46287</v>
      </c>
      <c r="Q562" t="s">
        <v>125</v>
      </c>
      <c r="R562">
        <v>110</v>
      </c>
      <c r="S562" t="s">
        <v>70</v>
      </c>
      <c r="T562" t="str">
        <f t="shared" si="61"/>
        <v/>
      </c>
      <c r="U562" t="str">
        <f>IF(AND(L562="Para Programar",G562&gt;0),COUNTIFS($L$5:L562,"Para Programar",$G$5:G562,"&gt;0"),"")</f>
        <v/>
      </c>
      <c r="W562" t="str">
        <f t="shared" si="62"/>
        <v>N22 - N24|04 Inspecciones previas - Laboratorio base de asiento</v>
      </c>
      <c r="X562">
        <v>1</v>
      </c>
    </row>
    <row r="563" spans="1:24">
      <c r="A563" t="s">
        <v>82</v>
      </c>
      <c r="B563" s="14" t="s">
        <v>155</v>
      </c>
      <c r="C563" t="s">
        <v>83</v>
      </c>
      <c r="D563" s="13" t="s">
        <v>81</v>
      </c>
      <c r="E563" s="13">
        <v>1</v>
      </c>
      <c r="F563" s="13">
        <f>IF(E563="","",MIN(E563,$X563+SUMIFS('05_Parte_Diario'!$H$5:$H$204,'05_Parte_Diario'!$D$5:$D$204,B563,'05_Parte_Diario'!$E$5:$E$204,C563)))</f>
        <v>1</v>
      </c>
      <c r="G563" s="13">
        <f t="shared" si="56"/>
        <v>0</v>
      </c>
      <c r="H563" s="21">
        <f t="shared" si="57"/>
        <v>1</v>
      </c>
      <c r="I563" s="21">
        <f>IF(OR(B563="",C563="",$V$1=""),"",MIN(E563,SUMIFS('03_Planificacion'!$G$99:$G$178,'03_Planificacion'!$E$99:$E$178,B563,'03_Planificacion'!$F$99:$F$178,C563,'03_Planificacion'!$D$99:$D$178,"&lt;="&amp;$V$1)))</f>
        <v>0</v>
      </c>
      <c r="J563" s="21">
        <f t="shared" si="58"/>
        <v>0</v>
      </c>
      <c r="K563" s="6">
        <f t="shared" si="59"/>
        <v>1</v>
      </c>
      <c r="L563" t="s">
        <v>123</v>
      </c>
      <c r="P563" s="5">
        <f t="shared" si="60"/>
        <v>46287</v>
      </c>
      <c r="Q563" t="s">
        <v>125</v>
      </c>
      <c r="R563">
        <v>110</v>
      </c>
      <c r="S563" t="s">
        <v>70</v>
      </c>
      <c r="T563" t="str">
        <f t="shared" si="61"/>
        <v/>
      </c>
      <c r="U563" t="str">
        <f>IF(AND(L563="Para Programar",G563&gt;0),COUNTIFS($L$5:L563,"Para Programar",$G$5:G563,"&gt;0"),"")</f>
        <v/>
      </c>
      <c r="W563" t="str">
        <f t="shared" si="62"/>
        <v>N22 - N24|04 Inspecciones previas - Zanja y materiales</v>
      </c>
      <c r="X563">
        <v>1</v>
      </c>
    </row>
    <row r="564" spans="1:24">
      <c r="A564" t="s">
        <v>84</v>
      </c>
      <c r="B564" s="14" t="s">
        <v>155</v>
      </c>
      <c r="C564" t="s">
        <v>85</v>
      </c>
      <c r="D564" s="13" t="s">
        <v>67</v>
      </c>
      <c r="E564" s="13">
        <v>96</v>
      </c>
      <c r="F564" s="13">
        <f>IF(E564="","",MIN(E564,$X564+SUMIFS('05_Parte_Diario'!$H$5:$H$204,'05_Parte_Diario'!$D$5:$D$204,B564,'05_Parte_Diario'!$E$5:$E$204,C564)))</f>
        <v>96</v>
      </c>
      <c r="G564" s="13">
        <f t="shared" si="56"/>
        <v>0</v>
      </c>
      <c r="H564" s="21">
        <f t="shared" si="57"/>
        <v>1</v>
      </c>
      <c r="I564" s="21">
        <f>IF(OR(B564="",C564="",$V$1=""),"",MIN(E564,SUMIFS('03_Planificacion'!$G$99:$G$178,'03_Planificacion'!$E$99:$E$178,B564,'03_Planificacion'!$F$99:$F$178,C564,'03_Planificacion'!$D$99:$D$178,"&lt;="&amp;$V$1)))</f>
        <v>0</v>
      </c>
      <c r="J564" s="21">
        <f t="shared" si="58"/>
        <v>0</v>
      </c>
      <c r="K564" s="6">
        <f t="shared" si="59"/>
        <v>1</v>
      </c>
      <c r="L564" t="s">
        <v>123</v>
      </c>
      <c r="P564" s="5">
        <f t="shared" si="60"/>
        <v>46287</v>
      </c>
      <c r="Q564" t="s">
        <v>125</v>
      </c>
      <c r="R564">
        <v>110</v>
      </c>
      <c r="S564" t="s">
        <v>70</v>
      </c>
      <c r="T564" t="str">
        <f t="shared" si="61"/>
        <v/>
      </c>
      <c r="U564" t="str">
        <f>IF(AND(L564="Para Programar",G564&gt;0),COUNTIFS($L$5:L564,"Para Programar",$G$5:G564,"&gt;0"),"")</f>
        <v/>
      </c>
      <c r="W564" t="str">
        <f t="shared" si="62"/>
        <v>N22 - N24|05 Tendido de cañería - Cañería principal</v>
      </c>
      <c r="X564">
        <v>96</v>
      </c>
    </row>
    <row r="565" spans="1:24">
      <c r="A565" t="s">
        <v>86</v>
      </c>
      <c r="B565" s="14" t="s">
        <v>155</v>
      </c>
      <c r="C565" t="s">
        <v>87</v>
      </c>
      <c r="D565" s="13" t="s">
        <v>67</v>
      </c>
      <c r="E565" s="13">
        <v>96</v>
      </c>
      <c r="F565" s="13">
        <f>IF(E565="","",MIN(E565,$X565+SUMIFS('05_Parte_Diario'!$H$5:$H$204,'05_Parte_Diario'!$D$5:$D$204,B565,'05_Parte_Diario'!$E$5:$E$204,C565)))</f>
        <v>96</v>
      </c>
      <c r="G565" s="13">
        <f t="shared" si="56"/>
        <v>0</v>
      </c>
      <c r="H565" s="21">
        <f t="shared" si="57"/>
        <v>1</v>
      </c>
      <c r="I565" s="21">
        <f>IF(OR(B565="",C565="",$V$1=""),"",MIN(E565,SUMIFS('03_Planificacion'!$G$99:$G$178,'03_Planificacion'!$E$99:$E$178,B565,'03_Planificacion'!$F$99:$F$178,C565,'03_Planificacion'!$D$99:$D$178,"&lt;="&amp;$V$1)))</f>
        <v>0</v>
      </c>
      <c r="J565" s="21">
        <f t="shared" si="58"/>
        <v>0</v>
      </c>
      <c r="K565" s="6">
        <f t="shared" si="59"/>
        <v>1</v>
      </c>
      <c r="L565" t="s">
        <v>123</v>
      </c>
      <c r="P565" s="5">
        <f t="shared" si="60"/>
        <v>46287</v>
      </c>
      <c r="Q565" t="s">
        <v>125</v>
      </c>
      <c r="R565">
        <v>110</v>
      </c>
      <c r="S565" t="s">
        <v>70</v>
      </c>
      <c r="T565" t="str">
        <f t="shared" si="61"/>
        <v/>
      </c>
      <c r="U565" t="str">
        <f>IF(AND(L565="Para Programar",G565&gt;0),COUNTIFS($L$5:L565,"Para Programar",$G$5:G565,"&gt;0"),"")</f>
        <v/>
      </c>
      <c r="W565" t="str">
        <f t="shared" si="62"/>
        <v>N22 - N24|05 Tendido de cañería - Relevamiento planialtimétrico</v>
      </c>
      <c r="X565">
        <v>96</v>
      </c>
    </row>
    <row r="566" spans="1:24">
      <c r="A566" t="s">
        <v>88</v>
      </c>
      <c r="B566" s="14" t="s">
        <v>155</v>
      </c>
      <c r="C566" t="s">
        <v>89</v>
      </c>
      <c r="D566" s="13" t="s">
        <v>81</v>
      </c>
      <c r="E566" s="13">
        <v>1</v>
      </c>
      <c r="F566" s="13">
        <f>IF(E566="","",MIN(E566,$X566+SUMIFS('05_Parte_Diario'!$H$5:$H$204,'05_Parte_Diario'!$D$5:$D$204,B566,'05_Parte_Diario'!$E$5:$E$204,C566)))</f>
        <v>1</v>
      </c>
      <c r="G566" s="13">
        <f t="shared" si="56"/>
        <v>0</v>
      </c>
      <c r="H566" s="21">
        <f t="shared" si="57"/>
        <v>1</v>
      </c>
      <c r="I566" s="21">
        <f>IF(OR(B566="",C566="",$V$1=""),"",MIN(E566,SUMIFS('03_Planificacion'!$G$99:$G$178,'03_Planificacion'!$E$99:$E$178,B566,'03_Planificacion'!$F$99:$F$178,C566,'03_Planificacion'!$D$99:$D$178,"&lt;="&amp;$V$1)))</f>
        <v>0</v>
      </c>
      <c r="J566" s="21">
        <f t="shared" si="58"/>
        <v>0</v>
      </c>
      <c r="K566" s="6">
        <f t="shared" si="59"/>
        <v>1</v>
      </c>
      <c r="L566" t="s">
        <v>123</v>
      </c>
      <c r="P566" s="5">
        <f t="shared" si="60"/>
        <v>46287</v>
      </c>
      <c r="Q566" t="s">
        <v>125</v>
      </c>
      <c r="R566">
        <v>110</v>
      </c>
      <c r="S566" t="s">
        <v>70</v>
      </c>
      <c r="T566" t="str">
        <f t="shared" si="61"/>
        <v/>
      </c>
      <c r="U566" t="str">
        <f>IF(AND(L566="Para Programar",G566&gt;0),COUNTIFS($L$5:L566,"Para Programar",$G$5:G566,"&gt;0"),"")</f>
        <v/>
      </c>
      <c r="W566" t="str">
        <f t="shared" si="62"/>
        <v>N22 - N24|08 Prueba hidráulica - Preparación del sistema</v>
      </c>
      <c r="X566">
        <v>1</v>
      </c>
    </row>
    <row r="567" spans="1:24">
      <c r="A567" t="s">
        <v>90</v>
      </c>
      <c r="B567" s="14" t="s">
        <v>155</v>
      </c>
      <c r="C567" t="s">
        <v>91</v>
      </c>
      <c r="D567" s="13" t="s">
        <v>81</v>
      </c>
      <c r="E567" s="13">
        <v>1</v>
      </c>
      <c r="F567" s="13">
        <f>IF(E567="","",MIN(E567,$X567+SUMIFS('05_Parte_Diario'!$H$5:$H$204,'05_Parte_Diario'!$D$5:$D$204,B567,'05_Parte_Diario'!$E$5:$E$204,C567)))</f>
        <v>1</v>
      </c>
      <c r="G567" s="13">
        <f t="shared" si="56"/>
        <v>0</v>
      </c>
      <c r="H567" s="21">
        <f t="shared" si="57"/>
        <v>1</v>
      </c>
      <c r="I567" s="21">
        <f>IF(OR(B567="",C567="",$V$1=""),"",MIN(E567,SUMIFS('03_Planificacion'!$G$99:$G$178,'03_Planificacion'!$E$99:$E$178,B567,'03_Planificacion'!$F$99:$F$178,C567,'03_Planificacion'!$D$99:$D$178,"&lt;="&amp;$V$1)))</f>
        <v>0</v>
      </c>
      <c r="J567" s="21">
        <f t="shared" si="58"/>
        <v>0</v>
      </c>
      <c r="K567" s="6">
        <f t="shared" si="59"/>
        <v>1</v>
      </c>
      <c r="L567" t="s">
        <v>123</v>
      </c>
      <c r="P567" s="5">
        <f t="shared" si="60"/>
        <v>46287</v>
      </c>
      <c r="Q567" t="s">
        <v>125</v>
      </c>
      <c r="R567">
        <v>110</v>
      </c>
      <c r="S567" t="s">
        <v>70</v>
      </c>
      <c r="T567" t="str">
        <f t="shared" si="61"/>
        <v/>
      </c>
      <c r="U567" t="str">
        <f>IF(AND(L567="Para Programar",G567&gt;0),COUNTIFS($L$5:L567,"Para Programar",$G$5:G567,"&gt;0"),"")</f>
        <v/>
      </c>
      <c r="W567" t="str">
        <f t="shared" si="62"/>
        <v>N22 - N24|08 Prueba hidráulica - Interna N° 1</v>
      </c>
      <c r="X567">
        <v>1</v>
      </c>
    </row>
    <row r="568" spans="1:24">
      <c r="A568" t="s">
        <v>92</v>
      </c>
      <c r="B568" s="14" t="s">
        <v>155</v>
      </c>
      <c r="C568" t="s">
        <v>93</v>
      </c>
      <c r="D568" s="13" t="s">
        <v>81</v>
      </c>
      <c r="E568" s="13">
        <v>1</v>
      </c>
      <c r="F568" s="13">
        <f>IF(E568="","",MIN(E568,$X568+SUMIFS('05_Parte_Diario'!$H$5:$H$204,'05_Parte_Diario'!$D$5:$D$204,B568,'05_Parte_Diario'!$E$5:$E$204,C568)))</f>
        <v>1</v>
      </c>
      <c r="G568" s="13">
        <f t="shared" si="56"/>
        <v>0</v>
      </c>
      <c r="H568" s="21">
        <f t="shared" si="57"/>
        <v>1</v>
      </c>
      <c r="I568" s="21">
        <f>IF(OR(B568="",C568="",$V$1=""),"",MIN(E568,SUMIFS('03_Planificacion'!$G$99:$G$178,'03_Planificacion'!$E$99:$E$178,B568,'03_Planificacion'!$F$99:$F$178,C568,'03_Planificacion'!$D$99:$D$178,"&lt;="&amp;$V$1)))</f>
        <v>0</v>
      </c>
      <c r="J568" s="21">
        <f t="shared" si="58"/>
        <v>0</v>
      </c>
      <c r="K568" s="6">
        <f t="shared" si="59"/>
        <v>1</v>
      </c>
      <c r="L568" t="s">
        <v>123</v>
      </c>
      <c r="P568" s="5">
        <f t="shared" si="60"/>
        <v>46287</v>
      </c>
      <c r="Q568" t="s">
        <v>125</v>
      </c>
      <c r="R568">
        <v>110</v>
      </c>
      <c r="S568" t="s">
        <v>70</v>
      </c>
      <c r="T568" t="str">
        <f t="shared" si="61"/>
        <v/>
      </c>
      <c r="U568" t="str">
        <f>IF(AND(L568="Para Programar",G568&gt;0),COUNTIFS($L$5:L568,"Para Programar",$G$5:G568,"&gt;0"),"")</f>
        <v/>
      </c>
      <c r="W568" t="str">
        <f t="shared" si="62"/>
        <v>N22 - N24|08 Prueba hidráulica - Interna N° 2</v>
      </c>
      <c r="X568">
        <v>1</v>
      </c>
    </row>
    <row r="569" spans="1:24">
      <c r="A569" t="s">
        <v>94</v>
      </c>
      <c r="B569" s="14" t="s">
        <v>155</v>
      </c>
      <c r="C569" t="s">
        <v>95</v>
      </c>
      <c r="D569" s="13" t="s">
        <v>81</v>
      </c>
      <c r="E569" s="13">
        <v>1</v>
      </c>
      <c r="F569" s="13">
        <f>IF(E569="","",MIN(E569,$X569+SUMIFS('05_Parte_Diario'!$H$5:$H$204,'05_Parte_Diario'!$D$5:$D$204,B569,'05_Parte_Diario'!$E$5:$E$204,C569)))</f>
        <v>1</v>
      </c>
      <c r="G569" s="13">
        <f t="shared" si="56"/>
        <v>0</v>
      </c>
      <c r="H569" s="21">
        <f t="shared" si="57"/>
        <v>1</v>
      </c>
      <c r="I569" s="21">
        <f>IF(OR(B569="",C569="",$V$1=""),"",MIN(E569,SUMIFS('03_Planificacion'!$G$99:$G$178,'03_Planificacion'!$E$99:$E$178,B569,'03_Planificacion'!$F$99:$F$178,C569,'03_Planificacion'!$D$99:$D$178,"&lt;="&amp;$V$1)))</f>
        <v>0</v>
      </c>
      <c r="J569" s="21">
        <f t="shared" si="58"/>
        <v>0</v>
      </c>
      <c r="K569" s="6">
        <f t="shared" si="59"/>
        <v>1</v>
      </c>
      <c r="L569" t="s">
        <v>123</v>
      </c>
      <c r="P569" s="5">
        <f t="shared" si="60"/>
        <v>46287</v>
      </c>
      <c r="Q569" t="s">
        <v>125</v>
      </c>
      <c r="R569">
        <v>110</v>
      </c>
      <c r="S569" t="s">
        <v>70</v>
      </c>
      <c r="T569" t="str">
        <f t="shared" si="61"/>
        <v/>
      </c>
      <c r="U569" t="str">
        <f>IF(AND(L569="Para Programar",G569&gt;0),COUNTIFS($L$5:L569,"Para Programar",$G$5:G569,"&gt;0"),"")</f>
        <v/>
      </c>
      <c r="W569" t="str">
        <f t="shared" si="62"/>
        <v>N22 - N24|08 Prueba hidráulica - Primera prueba oficial</v>
      </c>
      <c r="X569">
        <v>1</v>
      </c>
    </row>
    <row r="570" spans="1:24">
      <c r="A570" t="s">
        <v>96</v>
      </c>
      <c r="B570" s="14" t="s">
        <v>155</v>
      </c>
      <c r="C570" t="s">
        <v>97</v>
      </c>
      <c r="D570" s="13" t="s">
        <v>67</v>
      </c>
      <c r="E570" s="13">
        <v>96</v>
      </c>
      <c r="F570" s="13">
        <f>IF(E570="","",MIN(E570,$X570+SUMIFS('05_Parte_Diario'!$H$5:$H$204,'05_Parte_Diario'!$D$5:$D$204,B570,'05_Parte_Diario'!$E$5:$E$204,C570)))</f>
        <v>96</v>
      </c>
      <c r="G570" s="13">
        <f t="shared" si="56"/>
        <v>0</v>
      </c>
      <c r="H570" s="21">
        <f t="shared" si="57"/>
        <v>1</v>
      </c>
      <c r="I570" s="21">
        <f>IF(OR(B570="",C570="",$V$1=""),"",MIN(E570,SUMIFS('03_Planificacion'!$G$99:$G$178,'03_Planificacion'!$E$99:$E$178,B570,'03_Planificacion'!$F$99:$F$178,C570,'03_Planificacion'!$D$99:$D$178,"&lt;="&amp;$V$1)))</f>
        <v>0</v>
      </c>
      <c r="J570" s="21">
        <f t="shared" si="58"/>
        <v>0</v>
      </c>
      <c r="K570" s="6">
        <f t="shared" si="59"/>
        <v>1</v>
      </c>
      <c r="L570" t="s">
        <v>123</v>
      </c>
      <c r="P570" s="5">
        <f t="shared" si="60"/>
        <v>46287</v>
      </c>
      <c r="Q570" t="s">
        <v>125</v>
      </c>
      <c r="R570">
        <v>110</v>
      </c>
      <c r="S570" t="s">
        <v>70</v>
      </c>
      <c r="T570" t="str">
        <f t="shared" si="61"/>
        <v/>
      </c>
      <c r="U570" t="str">
        <f>IF(AND(L570="Para Programar",G570&gt;0),COUNTIFS($L$5:L570,"Para Programar",$G$5:G570,"&gt;0"),"")</f>
        <v/>
      </c>
      <c r="W570" t="str">
        <f t="shared" si="62"/>
        <v>N22 - N24|09 Paquete estructural - Aporte e=0,30 m</v>
      </c>
      <c r="X570">
        <v>96</v>
      </c>
    </row>
    <row r="571" spans="1:24">
      <c r="A571" t="s">
        <v>98</v>
      </c>
      <c r="B571" s="14" t="s">
        <v>155</v>
      </c>
      <c r="C571" t="s">
        <v>99</v>
      </c>
      <c r="D571" s="13" t="s">
        <v>67</v>
      </c>
      <c r="E571" s="13">
        <v>96</v>
      </c>
      <c r="F571" s="13">
        <f>IF(E571="","",MIN(E571,$X571+SUMIFS('05_Parte_Diario'!$H$5:$H$204,'05_Parte_Diario'!$D$5:$D$204,B571,'05_Parte_Diario'!$E$5:$E$204,C571)))</f>
        <v>96</v>
      </c>
      <c r="G571" s="13">
        <f t="shared" si="56"/>
        <v>0</v>
      </c>
      <c r="H571" s="21">
        <f t="shared" si="57"/>
        <v>1</v>
      </c>
      <c r="I571" s="21">
        <f>IF(OR(B571="",C571="",$V$1=""),"",MIN(E571,SUMIFS('03_Planificacion'!$G$99:$G$178,'03_Planificacion'!$E$99:$E$178,B571,'03_Planificacion'!$F$99:$F$178,C571,'03_Planificacion'!$D$99:$D$178,"&lt;="&amp;$V$1)))</f>
        <v>0</v>
      </c>
      <c r="J571" s="21">
        <f t="shared" si="58"/>
        <v>0</v>
      </c>
      <c r="K571" s="6">
        <f t="shared" si="59"/>
        <v>1</v>
      </c>
      <c r="L571" t="s">
        <v>123</v>
      </c>
      <c r="P571" s="5">
        <f t="shared" si="60"/>
        <v>46287</v>
      </c>
      <c r="Q571" t="s">
        <v>125</v>
      </c>
      <c r="R571">
        <v>110</v>
      </c>
      <c r="S571" t="s">
        <v>70</v>
      </c>
      <c r="T571" t="str">
        <f t="shared" si="61"/>
        <v/>
      </c>
      <c r="U571" t="str">
        <f>IF(AND(L571="Para Programar",G571&gt;0),COUNTIFS($L$5:L571,"Para Programar",$G$5:G571,"&gt;0"),"")</f>
        <v/>
      </c>
      <c r="W571" t="str">
        <f t="shared" si="62"/>
        <v>N22 - N24|09 Paquete estructural - Compactación</v>
      </c>
      <c r="X571">
        <v>96</v>
      </c>
    </row>
    <row r="572" spans="1:24">
      <c r="A572" t="s">
        <v>100</v>
      </c>
      <c r="B572" s="14" t="s">
        <v>155</v>
      </c>
      <c r="C572" t="s">
        <v>101</v>
      </c>
      <c r="D572" s="13" t="s">
        <v>81</v>
      </c>
      <c r="E572" s="13">
        <v>1</v>
      </c>
      <c r="F572" s="13">
        <f>IF(E572="","",MIN(E572,$X572+SUMIFS('05_Parte_Diario'!$H$5:$H$204,'05_Parte_Diario'!$D$5:$D$204,B572,'05_Parte_Diario'!$E$5:$E$204,C572)))</f>
        <v>1</v>
      </c>
      <c r="G572" s="13">
        <f t="shared" si="56"/>
        <v>0</v>
      </c>
      <c r="H572" s="21">
        <f t="shared" si="57"/>
        <v>1</v>
      </c>
      <c r="I572" s="21">
        <f>IF(OR(B572="",C572="",$V$1=""),"",MIN(E572,SUMIFS('03_Planificacion'!$G$99:$G$178,'03_Planificacion'!$E$99:$E$178,B572,'03_Planificacion'!$F$99:$F$178,C572,'03_Planificacion'!$D$99:$D$178,"&lt;="&amp;$V$1)))</f>
        <v>0</v>
      </c>
      <c r="J572" s="21">
        <f t="shared" si="58"/>
        <v>0</v>
      </c>
      <c r="K572" s="6">
        <f t="shared" si="59"/>
        <v>1</v>
      </c>
      <c r="L572" t="s">
        <v>123</v>
      </c>
      <c r="P572" s="5">
        <f t="shared" si="60"/>
        <v>46287</v>
      </c>
      <c r="Q572" t="s">
        <v>125</v>
      </c>
      <c r="R572">
        <v>110</v>
      </c>
      <c r="S572" t="s">
        <v>70</v>
      </c>
      <c r="T572" t="str">
        <f t="shared" si="61"/>
        <v/>
      </c>
      <c r="U572" t="str">
        <f>IF(AND(L572="Para Programar",G572&gt;0),COUNTIFS($L$5:L572,"Para Programar",$G$5:G572,"&gt;0"),"")</f>
        <v/>
      </c>
      <c r="W572" t="str">
        <f t="shared" si="62"/>
        <v>N22 - N24|09 Paquete estructural - Inspección laboratorio</v>
      </c>
      <c r="X572">
        <v>1</v>
      </c>
    </row>
    <row r="573" spans="1:24">
      <c r="A573" t="s">
        <v>102</v>
      </c>
      <c r="B573" s="14" t="s">
        <v>155</v>
      </c>
      <c r="C573" t="s">
        <v>103</v>
      </c>
      <c r="D573" s="13" t="s">
        <v>67</v>
      </c>
      <c r="E573" s="13">
        <v>96</v>
      </c>
      <c r="F573" s="13">
        <f>IF(E573="","",MIN(E573,$X573+SUMIFS('05_Parte_Diario'!$H$5:$H$204,'05_Parte_Diario'!$D$5:$D$204,B573,'05_Parte_Diario'!$E$5:$E$204,C573)))</f>
        <v>96</v>
      </c>
      <c r="G573" s="13">
        <f t="shared" si="56"/>
        <v>0</v>
      </c>
      <c r="H573" s="21">
        <f t="shared" si="57"/>
        <v>1</v>
      </c>
      <c r="I573" s="21">
        <f>IF(OR(B573="",C573="",$V$1=""),"",MIN(E573,SUMIFS('03_Planificacion'!$G$99:$G$178,'03_Planificacion'!$E$99:$E$178,B573,'03_Planificacion'!$F$99:$F$178,C573,'03_Planificacion'!$D$99:$D$178,"&lt;="&amp;$V$1)))</f>
        <v>0</v>
      </c>
      <c r="J573" s="21">
        <f t="shared" si="58"/>
        <v>0</v>
      </c>
      <c r="K573" s="6">
        <f t="shared" si="59"/>
        <v>1</v>
      </c>
      <c r="L573" t="s">
        <v>123</v>
      </c>
      <c r="P573" s="5">
        <f t="shared" si="60"/>
        <v>46287</v>
      </c>
      <c r="Q573" t="s">
        <v>125</v>
      </c>
      <c r="R573">
        <v>110</v>
      </c>
      <c r="S573" t="s">
        <v>70</v>
      </c>
      <c r="T573" t="str">
        <f t="shared" si="61"/>
        <v/>
      </c>
      <c r="U573" t="str">
        <f>IF(AND(L573="Para Programar",G573&gt;0),COUNTIFS($L$5:L573,"Para Programar",$G$5:G573,"&gt;0"),"")</f>
        <v/>
      </c>
      <c r="W573" t="str">
        <f t="shared" si="62"/>
        <v>N22 - N24|10 Relleno -0,60 - Conformación de capa</v>
      </c>
      <c r="X573">
        <v>96</v>
      </c>
    </row>
    <row r="574" spans="1:24">
      <c r="A574" t="s">
        <v>104</v>
      </c>
      <c r="B574" s="14" t="s">
        <v>155</v>
      </c>
      <c r="C574" t="s">
        <v>105</v>
      </c>
      <c r="D574" s="13" t="s">
        <v>67</v>
      </c>
      <c r="E574" s="13">
        <v>96</v>
      </c>
      <c r="F574" s="13">
        <f>IF(E574="","",MIN(E574,$X574+SUMIFS('05_Parte_Diario'!$H$5:$H$204,'05_Parte_Diario'!$D$5:$D$204,B574,'05_Parte_Diario'!$E$5:$E$204,C574)))</f>
        <v>96</v>
      </c>
      <c r="G574" s="13">
        <f t="shared" si="56"/>
        <v>0</v>
      </c>
      <c r="H574" s="21">
        <f t="shared" si="57"/>
        <v>1</v>
      </c>
      <c r="I574" s="21">
        <f>IF(OR(B574="",C574="",$V$1=""),"",MIN(E574,SUMIFS('03_Planificacion'!$G$99:$G$178,'03_Planificacion'!$E$99:$E$178,B574,'03_Planificacion'!$F$99:$F$178,C574,'03_Planificacion'!$D$99:$D$178,"&lt;="&amp;$V$1)))</f>
        <v>0</v>
      </c>
      <c r="J574" s="21">
        <f t="shared" si="58"/>
        <v>0</v>
      </c>
      <c r="K574" s="6">
        <f t="shared" si="59"/>
        <v>1</v>
      </c>
      <c r="L574" t="s">
        <v>123</v>
      </c>
      <c r="P574" s="5">
        <f t="shared" si="60"/>
        <v>46287</v>
      </c>
      <c r="Q574" t="s">
        <v>125</v>
      </c>
      <c r="R574">
        <v>110</v>
      </c>
      <c r="S574" t="s">
        <v>70</v>
      </c>
      <c r="T574" t="str">
        <f t="shared" si="61"/>
        <v/>
      </c>
      <c r="U574" t="str">
        <f>IF(AND(L574="Para Programar",G574&gt;0),COUNTIFS($L$5:L574,"Para Programar",$G$5:G574,"&gt;0"),"")</f>
        <v/>
      </c>
      <c r="W574" t="str">
        <f t="shared" si="62"/>
        <v>N22 - N24|10 Relleno -0,60 - Humectación</v>
      </c>
      <c r="X574">
        <v>96</v>
      </c>
    </row>
    <row r="575" spans="1:24">
      <c r="A575" t="s">
        <v>106</v>
      </c>
      <c r="B575" s="14" t="s">
        <v>155</v>
      </c>
      <c r="C575" t="s">
        <v>107</v>
      </c>
      <c r="D575" s="13" t="s">
        <v>67</v>
      </c>
      <c r="E575" s="13">
        <v>96</v>
      </c>
      <c r="F575" s="13">
        <f>IF(E575="","",MIN(E575,$X575+SUMIFS('05_Parte_Diario'!$H$5:$H$204,'05_Parte_Diario'!$D$5:$D$204,B575,'05_Parte_Diario'!$E$5:$E$204,C575)))</f>
        <v>96</v>
      </c>
      <c r="G575" s="13">
        <f t="shared" si="56"/>
        <v>0</v>
      </c>
      <c r="H575" s="21">
        <f t="shared" si="57"/>
        <v>1</v>
      </c>
      <c r="I575" s="21">
        <f>IF(OR(B575="",C575="",$V$1=""),"",MIN(E575,SUMIFS('03_Planificacion'!$G$99:$G$178,'03_Planificacion'!$E$99:$E$178,B575,'03_Planificacion'!$F$99:$F$178,C575,'03_Planificacion'!$D$99:$D$178,"&lt;="&amp;$V$1)))</f>
        <v>0</v>
      </c>
      <c r="J575" s="21">
        <f t="shared" si="58"/>
        <v>0</v>
      </c>
      <c r="K575" s="6">
        <f t="shared" si="59"/>
        <v>1</v>
      </c>
      <c r="L575" t="s">
        <v>123</v>
      </c>
      <c r="P575" s="5">
        <f t="shared" si="60"/>
        <v>46287</v>
      </c>
      <c r="Q575" t="s">
        <v>125</v>
      </c>
      <c r="R575">
        <v>110</v>
      </c>
      <c r="S575" t="s">
        <v>70</v>
      </c>
      <c r="T575" t="str">
        <f t="shared" si="61"/>
        <v/>
      </c>
      <c r="U575" t="str">
        <f>IF(AND(L575="Para Programar",G575&gt;0),COUNTIFS($L$5:L575,"Para Programar",$G$5:G575,"&gt;0"),"")</f>
        <v/>
      </c>
      <c r="W575" t="str">
        <f t="shared" si="62"/>
        <v>N22 - N24|10 Relleno -0,60 - Compactación</v>
      </c>
      <c r="X575">
        <v>96</v>
      </c>
    </row>
    <row r="576" spans="1:24">
      <c r="A576" t="s">
        <v>108</v>
      </c>
      <c r="B576" s="14" t="s">
        <v>155</v>
      </c>
      <c r="C576" t="s">
        <v>109</v>
      </c>
      <c r="D576" s="13" t="s">
        <v>81</v>
      </c>
      <c r="E576" s="13">
        <v>1</v>
      </c>
      <c r="F576" s="13">
        <f>IF(E576="","",MIN(E576,$X576+SUMIFS('05_Parte_Diario'!$H$5:$H$204,'05_Parte_Diario'!$D$5:$D$204,B576,'05_Parte_Diario'!$E$5:$E$204,C576)))</f>
        <v>1</v>
      </c>
      <c r="G576" s="13">
        <f t="shared" si="56"/>
        <v>0</v>
      </c>
      <c r="H576" s="21">
        <f t="shared" si="57"/>
        <v>1</v>
      </c>
      <c r="I576" s="21">
        <f>IF(OR(B576="",C576="",$V$1=""),"",MIN(E576,SUMIFS('03_Planificacion'!$G$99:$G$178,'03_Planificacion'!$E$99:$E$178,B576,'03_Planificacion'!$F$99:$F$178,C576,'03_Planificacion'!$D$99:$D$178,"&lt;="&amp;$V$1)))</f>
        <v>0</v>
      </c>
      <c r="J576" s="21">
        <f t="shared" si="58"/>
        <v>0</v>
      </c>
      <c r="K576" s="6">
        <f t="shared" si="59"/>
        <v>1</v>
      </c>
      <c r="L576" t="s">
        <v>123</v>
      </c>
      <c r="P576" s="5">
        <f t="shared" si="60"/>
        <v>46287</v>
      </c>
      <c r="Q576" t="s">
        <v>125</v>
      </c>
      <c r="R576">
        <v>110</v>
      </c>
      <c r="S576" t="s">
        <v>70</v>
      </c>
      <c r="T576" t="str">
        <f t="shared" si="61"/>
        <v/>
      </c>
      <c r="U576" t="str">
        <f>IF(AND(L576="Para Programar",G576&gt;0),COUNTIFS($L$5:L576,"Para Programar",$G$5:G576,"&gt;0"),"")</f>
        <v/>
      </c>
      <c r="W576" t="str">
        <f t="shared" si="62"/>
        <v>N22 - N24|10 Relleno -0,60 - Inspección laboratorio</v>
      </c>
      <c r="X576">
        <v>1</v>
      </c>
    </row>
    <row r="577" spans="1:24">
      <c r="A577" t="s">
        <v>110</v>
      </c>
      <c r="B577" s="14" t="s">
        <v>155</v>
      </c>
      <c r="C577" t="s">
        <v>111</v>
      </c>
      <c r="D577" s="13" t="s">
        <v>67</v>
      </c>
      <c r="E577" s="13">
        <v>96</v>
      </c>
      <c r="F577" s="13">
        <f>IF(E577="","",MIN(E577,$X577+SUMIFS('05_Parte_Diario'!$H$5:$H$204,'05_Parte_Diario'!$D$5:$D$204,B577,'05_Parte_Diario'!$E$5:$E$204,C577)))</f>
        <v>96</v>
      </c>
      <c r="G577" s="13">
        <f t="shared" si="56"/>
        <v>0</v>
      </c>
      <c r="H577" s="21">
        <f t="shared" si="57"/>
        <v>1</v>
      </c>
      <c r="I577" s="21">
        <f>IF(OR(B577="",C577="",$V$1=""),"",MIN(E577,SUMIFS('03_Planificacion'!$G$99:$G$178,'03_Planificacion'!$E$99:$E$178,B577,'03_Planificacion'!$F$99:$F$178,C577,'03_Planificacion'!$D$99:$D$178,"&lt;="&amp;$V$1)))</f>
        <v>0</v>
      </c>
      <c r="J577" s="21">
        <f t="shared" si="58"/>
        <v>0</v>
      </c>
      <c r="K577" s="6">
        <f t="shared" si="59"/>
        <v>1</v>
      </c>
      <c r="L577" t="s">
        <v>123</v>
      </c>
      <c r="P577" s="5">
        <f t="shared" si="60"/>
        <v>46287</v>
      </c>
      <c r="Q577" t="s">
        <v>125</v>
      </c>
      <c r="R577">
        <v>110</v>
      </c>
      <c r="S577" t="s">
        <v>70</v>
      </c>
      <c r="T577" t="str">
        <f t="shared" si="61"/>
        <v/>
      </c>
      <c r="U577" t="str">
        <f>IF(AND(L577="Para Programar",G577&gt;0),COUNTIFS($L$5:L577,"Para Programar",$G$5:G577,"&gt;0"),"")</f>
        <v/>
      </c>
      <c r="W577" t="str">
        <f t="shared" si="62"/>
        <v>N22 - N24|11 Relleno -0,30 - Conformación de capa</v>
      </c>
      <c r="X577">
        <v>96</v>
      </c>
    </row>
    <row r="578" spans="1:24">
      <c r="A578" t="s">
        <v>112</v>
      </c>
      <c r="B578" s="14" t="s">
        <v>155</v>
      </c>
      <c r="C578" t="s">
        <v>113</v>
      </c>
      <c r="D578" s="13" t="s">
        <v>67</v>
      </c>
      <c r="E578" s="13">
        <v>96</v>
      </c>
      <c r="F578" s="13">
        <f>IF(E578="","",MIN(E578,$X578+SUMIFS('05_Parte_Diario'!$H$5:$H$204,'05_Parte_Diario'!$D$5:$D$204,B578,'05_Parte_Diario'!$E$5:$E$204,C578)))</f>
        <v>96</v>
      </c>
      <c r="G578" s="13">
        <f t="shared" si="56"/>
        <v>0</v>
      </c>
      <c r="H578" s="21">
        <f t="shared" si="57"/>
        <v>1</v>
      </c>
      <c r="I578" s="21">
        <f>IF(OR(B578="",C578="",$V$1=""),"",MIN(E578,SUMIFS('03_Planificacion'!$G$99:$G$178,'03_Planificacion'!$E$99:$E$178,B578,'03_Planificacion'!$F$99:$F$178,C578,'03_Planificacion'!$D$99:$D$178,"&lt;="&amp;$V$1)))</f>
        <v>0</v>
      </c>
      <c r="J578" s="21">
        <f t="shared" si="58"/>
        <v>0</v>
      </c>
      <c r="K578" s="6">
        <f t="shared" si="59"/>
        <v>1</v>
      </c>
      <c r="L578" t="s">
        <v>123</v>
      </c>
      <c r="P578" s="5">
        <f t="shared" si="60"/>
        <v>46287</v>
      </c>
      <c r="Q578" t="s">
        <v>125</v>
      </c>
      <c r="R578">
        <v>110</v>
      </c>
      <c r="S578" t="s">
        <v>70</v>
      </c>
      <c r="T578" t="str">
        <f t="shared" si="61"/>
        <v/>
      </c>
      <c r="U578" t="str">
        <f>IF(AND(L578="Para Programar",G578&gt;0),COUNTIFS($L$5:L578,"Para Programar",$G$5:G578,"&gt;0"),"")</f>
        <v/>
      </c>
      <c r="W578" t="str">
        <f t="shared" si="62"/>
        <v>N22 - N24|11 Relleno -0,30 - Humectación</v>
      </c>
      <c r="X578">
        <v>96</v>
      </c>
    </row>
    <row r="579" spans="1:24">
      <c r="A579" t="s">
        <v>114</v>
      </c>
      <c r="B579" s="14" t="s">
        <v>155</v>
      </c>
      <c r="C579" t="s">
        <v>115</v>
      </c>
      <c r="D579" s="13" t="s">
        <v>67</v>
      </c>
      <c r="E579" s="13">
        <v>96</v>
      </c>
      <c r="F579" s="13">
        <f>IF(E579="","",MIN(E579,$X579+SUMIFS('05_Parte_Diario'!$H$5:$H$204,'05_Parte_Diario'!$D$5:$D$204,B579,'05_Parte_Diario'!$E$5:$E$204,C579)))</f>
        <v>0</v>
      </c>
      <c r="G579" s="13">
        <f t="shared" si="56"/>
        <v>96</v>
      </c>
      <c r="H579" s="21">
        <f t="shared" si="57"/>
        <v>0</v>
      </c>
      <c r="I579" s="21">
        <f>IF(OR(B579="",C579="",$V$1=""),"",MIN(E579,SUMIFS('03_Planificacion'!$G$99:$G$178,'03_Planificacion'!$E$99:$E$178,B579,'03_Planificacion'!$F$99:$F$178,C579,'03_Planificacion'!$D$99:$D$178,"&lt;="&amp;$V$1)))</f>
        <v>0</v>
      </c>
      <c r="J579" s="21">
        <f t="shared" si="58"/>
        <v>0</v>
      </c>
      <c r="K579" s="6">
        <f t="shared" si="59"/>
        <v>0</v>
      </c>
      <c r="L579" t="s">
        <v>123</v>
      </c>
      <c r="P579" s="5">
        <f t="shared" si="60"/>
        <v>46287</v>
      </c>
      <c r="Q579" t="s">
        <v>125</v>
      </c>
      <c r="R579">
        <v>110</v>
      </c>
      <c r="S579" t="s">
        <v>70</v>
      </c>
      <c r="T579" t="str">
        <f t="shared" si="61"/>
        <v>INCONSISTENCIA - REVISAR MANUALMENTE: Terminada con saldo</v>
      </c>
      <c r="U579" t="str">
        <f>IF(AND(L579="Para Programar",G579&gt;0),COUNTIFS($L$5:L579,"Para Programar",$G$5:G579,"&gt;0"),"")</f>
        <v/>
      </c>
      <c r="W579" t="str">
        <f t="shared" si="62"/>
        <v>N22 - N24|11 Relleno -0,30 - Compactación</v>
      </c>
      <c r="X579">
        <v>0</v>
      </c>
    </row>
    <row r="580" spans="1:24">
      <c r="A580" t="s">
        <v>116</v>
      </c>
      <c r="B580" s="14" t="s">
        <v>155</v>
      </c>
      <c r="C580" t="s">
        <v>117</v>
      </c>
      <c r="D580" s="13" t="s">
        <v>81</v>
      </c>
      <c r="E580" s="13">
        <v>1</v>
      </c>
      <c r="F580" s="13">
        <f>IF(E580="","",MIN(E580,$X580+SUMIFS('05_Parte_Diario'!$H$5:$H$204,'05_Parte_Diario'!$D$5:$D$204,B580,'05_Parte_Diario'!$E$5:$E$204,C580)))</f>
        <v>0</v>
      </c>
      <c r="G580" s="13">
        <f t="shared" si="56"/>
        <v>1</v>
      </c>
      <c r="H580" s="21">
        <f t="shared" si="57"/>
        <v>0</v>
      </c>
      <c r="I580" s="21">
        <f>IF(OR(B580="",C580="",$V$1=""),"",MIN(E580,SUMIFS('03_Planificacion'!$G$99:$G$178,'03_Planificacion'!$E$99:$E$178,B580,'03_Planificacion'!$F$99:$F$178,C580,'03_Planificacion'!$D$99:$D$178,"&lt;="&amp;$V$1)))</f>
        <v>0</v>
      </c>
      <c r="J580" s="21">
        <f t="shared" si="58"/>
        <v>0</v>
      </c>
      <c r="K580" s="6">
        <f t="shared" si="59"/>
        <v>0</v>
      </c>
      <c r="L580" t="s">
        <v>123</v>
      </c>
      <c r="P580" s="5">
        <f t="shared" si="60"/>
        <v>46287</v>
      </c>
      <c r="Q580" t="s">
        <v>125</v>
      </c>
      <c r="R580">
        <v>110</v>
      </c>
      <c r="S580" t="s">
        <v>70</v>
      </c>
      <c r="T580" t="str">
        <f t="shared" si="61"/>
        <v>INCONSISTENCIA - REVISAR MANUALMENTE: Terminada con saldo</v>
      </c>
      <c r="U580" t="str">
        <f>IF(AND(L580="Para Programar",G580&gt;0),COUNTIFS($L$5:L580,"Para Programar",$G$5:G580,"&gt;0"),"")</f>
        <v/>
      </c>
      <c r="W580" t="str">
        <f t="shared" si="62"/>
        <v>N22 - N24|11 Relleno -0,30 - Inspección laboratorio</v>
      </c>
      <c r="X580">
        <v>0</v>
      </c>
    </row>
    <row r="581" spans="1:24">
      <c r="A581" t="s">
        <v>64</v>
      </c>
      <c r="B581" s="14" t="s">
        <v>156</v>
      </c>
      <c r="C581" t="s">
        <v>66</v>
      </c>
      <c r="D581" s="13" t="s">
        <v>67</v>
      </c>
      <c r="E581" s="13">
        <v>92</v>
      </c>
      <c r="F581" s="13">
        <f>IF(E581="","",MIN(E581,$X581+SUMIFS('05_Parte_Diario'!$H$5:$H$204,'05_Parte_Diario'!$D$5:$D$204,B581,'05_Parte_Diario'!$E$5:$E$204,C581)))</f>
        <v>92</v>
      </c>
      <c r="G581" s="13">
        <f t="shared" ref="G581:G644" si="63">IF(E581="","",MAX(E581-F581,0))</f>
        <v>0</v>
      </c>
      <c r="H581" s="21">
        <f t="shared" ref="H581:H644" si="64">IFERROR(F581/E581,0)</f>
        <v>1</v>
      </c>
      <c r="I581" s="21">
        <f>IF(OR(B581="",C581="",$V$1=""),"",MIN(E581,SUMIFS('03_Planificacion'!$G$99:$G$178,'03_Planificacion'!$E$99:$E$178,B581,'03_Planificacion'!$F$99:$F$178,C581,'03_Planificacion'!$D$99:$D$178,"&lt;="&amp;$V$1)))</f>
        <v>0</v>
      </c>
      <c r="J581" s="21">
        <f t="shared" ref="J581:J644" si="65">IFERROR(I581/E581,0)</f>
        <v>0</v>
      </c>
      <c r="K581" s="6">
        <f t="shared" ref="K581:K644" si="66">IF(OR(E581="",$V$1=""),"",H581-J581)</f>
        <v>1</v>
      </c>
      <c r="L581" t="s">
        <v>123</v>
      </c>
      <c r="P581" s="5">
        <f t="shared" ref="P581:P644" si="67">IF(A581="","",$V$1)</f>
        <v>46287</v>
      </c>
      <c r="Q581" t="s">
        <v>157</v>
      </c>
      <c r="R581">
        <v>75</v>
      </c>
      <c r="S581" t="s">
        <v>70</v>
      </c>
      <c r="T581" t="str">
        <f t="shared" ref="T581:T644" si="68">IF(A581="","",IF(AND(L581="Para Programar",G581=0),"INCONSISTENCIA - REVISAR MANUALMENTE: Para Programar sin saldo",IF(AND(L581="Terminada",G581&gt;0),"INCONSISTENCIA - REVISAR MANUALMENTE: Terminada con saldo","")))</f>
        <v/>
      </c>
      <c r="U581" t="str">
        <f>IF(AND(L581="Para Programar",G581&gt;0),COUNTIFS($L$5:L581,"Para Programar",$G$5:G581,"&gt;0"),"")</f>
        <v/>
      </c>
      <c r="W581" t="str">
        <f t="shared" ref="W581:W644" si="69">IF(OR(B581="",C581=""),"",B581&amp;"|"&amp;C581)</f>
        <v>N22 - N29|01 Replanteo - Marcación de tramo de cañería principal</v>
      </c>
      <c r="X581">
        <v>92</v>
      </c>
    </row>
    <row r="582" spans="1:24">
      <c r="A582" t="s">
        <v>71</v>
      </c>
      <c r="B582" s="14" t="s">
        <v>156</v>
      </c>
      <c r="C582" t="s">
        <v>72</v>
      </c>
      <c r="D582" s="13" t="s">
        <v>67</v>
      </c>
      <c r="E582" s="13">
        <v>92</v>
      </c>
      <c r="F582" s="13">
        <f>IF(E582="","",MIN(E582,$X582+SUMIFS('05_Parte_Diario'!$H$5:$H$204,'05_Parte_Diario'!$D$5:$D$204,B582,'05_Parte_Diario'!$E$5:$E$204,C582)))</f>
        <v>92</v>
      </c>
      <c r="G582" s="13">
        <f t="shared" si="63"/>
        <v>0</v>
      </c>
      <c r="H582" s="21">
        <f t="shared" si="64"/>
        <v>1</v>
      </c>
      <c r="I582" s="21">
        <f>IF(OR(B582="",C582="",$V$1=""),"",MIN(E582,SUMIFS('03_Planificacion'!$G$99:$G$178,'03_Planificacion'!$E$99:$E$178,B582,'03_Planificacion'!$F$99:$F$178,C582,'03_Planificacion'!$D$99:$D$178,"&lt;="&amp;$V$1)))</f>
        <v>0</v>
      </c>
      <c r="J582" s="21">
        <f t="shared" si="65"/>
        <v>0</v>
      </c>
      <c r="K582" s="6">
        <f t="shared" si="66"/>
        <v>1</v>
      </c>
      <c r="L582" t="s">
        <v>123</v>
      </c>
      <c r="P582" s="5">
        <f t="shared" si="67"/>
        <v>46287</v>
      </c>
      <c r="Q582" t="s">
        <v>157</v>
      </c>
      <c r="R582">
        <v>75</v>
      </c>
      <c r="S582" t="s">
        <v>70</v>
      </c>
      <c r="T582" t="str">
        <f t="shared" si="68"/>
        <v/>
      </c>
      <c r="U582" t="str">
        <f>IF(AND(L582="Para Programar",G582&gt;0),COUNTIFS($L$5:L582,"Para Programar",$G$5:G582,"&gt;0"),"")</f>
        <v/>
      </c>
      <c r="W582" t="str">
        <f t="shared" si="69"/>
        <v>N22 - N29|02 Excavación - Zanja principal</v>
      </c>
      <c r="X582">
        <v>92</v>
      </c>
    </row>
    <row r="583" spans="1:24">
      <c r="A583" t="s">
        <v>73</v>
      </c>
      <c r="B583" s="14" t="s">
        <v>156</v>
      </c>
      <c r="C583" t="s">
        <v>74</v>
      </c>
      <c r="D583" s="13" t="s">
        <v>67</v>
      </c>
      <c r="E583" s="13">
        <v>92</v>
      </c>
      <c r="F583" s="13">
        <f>IF(E583="","",MIN(E583,$X583+SUMIFS('05_Parte_Diario'!$H$5:$H$204,'05_Parte_Diario'!$D$5:$D$204,B583,'05_Parte_Diario'!$E$5:$E$204,C583)))</f>
        <v>92</v>
      </c>
      <c r="G583" s="13">
        <f t="shared" si="63"/>
        <v>0</v>
      </c>
      <c r="H583" s="21">
        <f t="shared" si="64"/>
        <v>1</v>
      </c>
      <c r="I583" s="21">
        <f>IF(OR(B583="",C583="",$V$1=""),"",MIN(E583,SUMIFS('03_Planificacion'!$G$99:$G$178,'03_Planificacion'!$E$99:$E$178,B583,'03_Planificacion'!$F$99:$F$178,C583,'03_Planificacion'!$D$99:$D$178,"&lt;="&amp;$V$1)))</f>
        <v>0</v>
      </c>
      <c r="J583" s="21">
        <f t="shared" si="65"/>
        <v>0</v>
      </c>
      <c r="K583" s="6">
        <f t="shared" si="66"/>
        <v>1</v>
      </c>
      <c r="L583" t="s">
        <v>123</v>
      </c>
      <c r="P583" s="5">
        <f t="shared" si="67"/>
        <v>46287</v>
      </c>
      <c r="Q583" t="s">
        <v>157</v>
      </c>
      <c r="R583">
        <v>75</v>
      </c>
      <c r="S583" t="s">
        <v>70</v>
      </c>
      <c r="T583" t="str">
        <f t="shared" si="68"/>
        <v/>
      </c>
      <c r="U583" t="str">
        <f>IF(AND(L583="Para Programar",G583&gt;0),COUNTIFS($L$5:L583,"Para Programar",$G$5:G583,"&gt;0"),"")</f>
        <v/>
      </c>
      <c r="W583" t="str">
        <f t="shared" si="69"/>
        <v>N22 - N29|03 Base de asiento - Nivelación de fondo de zanja</v>
      </c>
      <c r="X583">
        <v>92</v>
      </c>
    </row>
    <row r="584" spans="1:24">
      <c r="A584" t="s">
        <v>75</v>
      </c>
      <c r="B584" s="14" t="s">
        <v>156</v>
      </c>
      <c r="C584" t="s">
        <v>76</v>
      </c>
      <c r="D584" s="13" t="s">
        <v>67</v>
      </c>
      <c r="E584" s="13">
        <v>92</v>
      </c>
      <c r="F584" s="13">
        <f>IF(E584="","",MIN(E584,$X584+SUMIFS('05_Parte_Diario'!$H$5:$H$204,'05_Parte_Diario'!$D$5:$D$204,B584,'05_Parte_Diario'!$E$5:$E$204,C584)))</f>
        <v>92</v>
      </c>
      <c r="G584" s="13">
        <f t="shared" si="63"/>
        <v>0</v>
      </c>
      <c r="H584" s="21">
        <f t="shared" si="64"/>
        <v>1</v>
      </c>
      <c r="I584" s="21">
        <f>IF(OR(B584="",C584="",$V$1=""),"",MIN(E584,SUMIFS('03_Planificacion'!$G$99:$G$178,'03_Planificacion'!$E$99:$E$178,B584,'03_Planificacion'!$F$99:$F$178,C584,'03_Planificacion'!$D$99:$D$178,"&lt;="&amp;$V$1)))</f>
        <v>0</v>
      </c>
      <c r="J584" s="21">
        <f t="shared" si="65"/>
        <v>0</v>
      </c>
      <c r="K584" s="6">
        <f t="shared" si="66"/>
        <v>1</v>
      </c>
      <c r="L584" t="s">
        <v>123</v>
      </c>
      <c r="P584" s="5">
        <f t="shared" si="67"/>
        <v>46287</v>
      </c>
      <c r="Q584" t="s">
        <v>157</v>
      </c>
      <c r="R584">
        <v>75</v>
      </c>
      <c r="S584" t="s">
        <v>70</v>
      </c>
      <c r="T584" t="str">
        <f t="shared" si="68"/>
        <v/>
      </c>
      <c r="U584" t="str">
        <f>IF(AND(L584="Para Programar",G584&gt;0),COUNTIFS($L$5:L584,"Para Programar",$G$5:G584,"&gt;0"),"")</f>
        <v/>
      </c>
      <c r="W584" t="str">
        <f t="shared" si="69"/>
        <v>N22 - N29|03 Base de asiento - Aporte de material base e=0,10 m</v>
      </c>
      <c r="X584">
        <v>92</v>
      </c>
    </row>
    <row r="585" spans="1:24">
      <c r="A585" t="s">
        <v>77</v>
      </c>
      <c r="B585" s="14" t="s">
        <v>156</v>
      </c>
      <c r="C585" t="s">
        <v>78</v>
      </c>
      <c r="D585" s="13" t="s">
        <v>67</v>
      </c>
      <c r="E585" s="13">
        <v>92</v>
      </c>
      <c r="F585" s="13">
        <f>IF(E585="","",MIN(E585,$X585+SUMIFS('05_Parte_Diario'!$H$5:$H$204,'05_Parte_Diario'!$D$5:$D$204,B585,'05_Parte_Diario'!$E$5:$E$204,C585)))</f>
        <v>92</v>
      </c>
      <c r="G585" s="13">
        <f t="shared" si="63"/>
        <v>0</v>
      </c>
      <c r="H585" s="21">
        <f t="shared" si="64"/>
        <v>1</v>
      </c>
      <c r="I585" s="21">
        <f>IF(OR(B585="",C585="",$V$1=""),"",MIN(E585,SUMIFS('03_Planificacion'!$G$99:$G$178,'03_Planificacion'!$E$99:$E$178,B585,'03_Planificacion'!$F$99:$F$178,C585,'03_Planificacion'!$D$99:$D$178,"&lt;="&amp;$V$1)))</f>
        <v>0</v>
      </c>
      <c r="J585" s="21">
        <f t="shared" si="65"/>
        <v>0</v>
      </c>
      <c r="K585" s="6">
        <f t="shared" si="66"/>
        <v>1</v>
      </c>
      <c r="L585" t="s">
        <v>123</v>
      </c>
      <c r="P585" s="5">
        <f t="shared" si="67"/>
        <v>46287</v>
      </c>
      <c r="Q585" t="s">
        <v>157</v>
      </c>
      <c r="R585">
        <v>75</v>
      </c>
      <c r="S585" t="s">
        <v>70</v>
      </c>
      <c r="T585" t="str">
        <f t="shared" si="68"/>
        <v/>
      </c>
      <c r="U585" t="str">
        <f>IF(AND(L585="Para Programar",G585&gt;0),COUNTIFS($L$5:L585,"Para Programar",$G$5:G585,"&gt;0"),"")</f>
        <v/>
      </c>
      <c r="W585" t="str">
        <f t="shared" si="69"/>
        <v>N22 - N29|03 Base de asiento - Compactación</v>
      </c>
      <c r="X585">
        <v>92</v>
      </c>
    </row>
    <row r="586" spans="1:24">
      <c r="A586" t="s">
        <v>79</v>
      </c>
      <c r="B586" s="14" t="s">
        <v>156</v>
      </c>
      <c r="C586" t="s">
        <v>80</v>
      </c>
      <c r="D586" s="13" t="s">
        <v>81</v>
      </c>
      <c r="E586" s="13">
        <v>1</v>
      </c>
      <c r="F586" s="13">
        <f>IF(E586="","",MIN(E586,$X586+SUMIFS('05_Parte_Diario'!$H$5:$H$204,'05_Parte_Diario'!$D$5:$D$204,B586,'05_Parte_Diario'!$E$5:$E$204,C586)))</f>
        <v>1</v>
      </c>
      <c r="G586" s="13">
        <f t="shared" si="63"/>
        <v>0</v>
      </c>
      <c r="H586" s="21">
        <f t="shared" si="64"/>
        <v>1</v>
      </c>
      <c r="I586" s="21">
        <f>IF(OR(B586="",C586="",$V$1=""),"",MIN(E586,SUMIFS('03_Planificacion'!$G$99:$G$178,'03_Planificacion'!$E$99:$E$178,B586,'03_Planificacion'!$F$99:$F$178,C586,'03_Planificacion'!$D$99:$D$178,"&lt;="&amp;$V$1)))</f>
        <v>0</v>
      </c>
      <c r="J586" s="21">
        <f t="shared" si="65"/>
        <v>0</v>
      </c>
      <c r="K586" s="6">
        <f t="shared" si="66"/>
        <v>1</v>
      </c>
      <c r="L586" t="s">
        <v>123</v>
      </c>
      <c r="P586" s="5">
        <f t="shared" si="67"/>
        <v>46287</v>
      </c>
      <c r="Q586" t="s">
        <v>157</v>
      </c>
      <c r="R586">
        <v>75</v>
      </c>
      <c r="S586" t="s">
        <v>70</v>
      </c>
      <c r="T586" t="str">
        <f t="shared" si="68"/>
        <v/>
      </c>
      <c r="U586" t="str">
        <f>IF(AND(L586="Para Programar",G586&gt;0),COUNTIFS($L$5:L586,"Para Programar",$G$5:G586,"&gt;0"),"")</f>
        <v/>
      </c>
      <c r="W586" t="str">
        <f t="shared" si="69"/>
        <v>N22 - N29|04 Inspecciones previas - Laboratorio base de asiento</v>
      </c>
      <c r="X586">
        <v>1</v>
      </c>
    </row>
    <row r="587" spans="1:24">
      <c r="A587" t="s">
        <v>82</v>
      </c>
      <c r="B587" s="14" t="s">
        <v>156</v>
      </c>
      <c r="C587" t="s">
        <v>83</v>
      </c>
      <c r="D587" s="13" t="s">
        <v>81</v>
      </c>
      <c r="E587" s="13">
        <v>1</v>
      </c>
      <c r="F587" s="13">
        <f>IF(E587="","",MIN(E587,$X587+SUMIFS('05_Parte_Diario'!$H$5:$H$204,'05_Parte_Diario'!$D$5:$D$204,B587,'05_Parte_Diario'!$E$5:$E$204,C587)))</f>
        <v>1</v>
      </c>
      <c r="G587" s="13">
        <f t="shared" si="63"/>
        <v>0</v>
      </c>
      <c r="H587" s="21">
        <f t="shared" si="64"/>
        <v>1</v>
      </c>
      <c r="I587" s="21">
        <f>IF(OR(B587="",C587="",$V$1=""),"",MIN(E587,SUMIFS('03_Planificacion'!$G$99:$G$178,'03_Planificacion'!$E$99:$E$178,B587,'03_Planificacion'!$F$99:$F$178,C587,'03_Planificacion'!$D$99:$D$178,"&lt;="&amp;$V$1)))</f>
        <v>0</v>
      </c>
      <c r="J587" s="21">
        <f t="shared" si="65"/>
        <v>0</v>
      </c>
      <c r="K587" s="6">
        <f t="shared" si="66"/>
        <v>1</v>
      </c>
      <c r="L587" t="s">
        <v>123</v>
      </c>
      <c r="P587" s="5">
        <f t="shared" si="67"/>
        <v>46287</v>
      </c>
      <c r="Q587" t="s">
        <v>157</v>
      </c>
      <c r="R587">
        <v>75</v>
      </c>
      <c r="S587" t="s">
        <v>70</v>
      </c>
      <c r="T587" t="str">
        <f t="shared" si="68"/>
        <v/>
      </c>
      <c r="U587" t="str">
        <f>IF(AND(L587="Para Programar",G587&gt;0),COUNTIFS($L$5:L587,"Para Programar",$G$5:G587,"&gt;0"),"")</f>
        <v/>
      </c>
      <c r="W587" t="str">
        <f t="shared" si="69"/>
        <v>N22 - N29|04 Inspecciones previas - Zanja y materiales</v>
      </c>
      <c r="X587">
        <v>1</v>
      </c>
    </row>
    <row r="588" spans="1:24">
      <c r="A588" t="s">
        <v>84</v>
      </c>
      <c r="B588" s="14" t="s">
        <v>156</v>
      </c>
      <c r="C588" t="s">
        <v>85</v>
      </c>
      <c r="D588" s="13" t="s">
        <v>67</v>
      </c>
      <c r="E588" s="13">
        <v>92</v>
      </c>
      <c r="F588" s="13">
        <f>IF(E588="","",MIN(E588,$X588+SUMIFS('05_Parte_Diario'!$H$5:$H$204,'05_Parte_Diario'!$D$5:$D$204,B588,'05_Parte_Diario'!$E$5:$E$204,C588)))</f>
        <v>92</v>
      </c>
      <c r="G588" s="13">
        <f t="shared" si="63"/>
        <v>0</v>
      </c>
      <c r="H588" s="21">
        <f t="shared" si="64"/>
        <v>1</v>
      </c>
      <c r="I588" s="21">
        <f>IF(OR(B588="",C588="",$V$1=""),"",MIN(E588,SUMIFS('03_Planificacion'!$G$99:$G$178,'03_Planificacion'!$E$99:$E$178,B588,'03_Planificacion'!$F$99:$F$178,C588,'03_Planificacion'!$D$99:$D$178,"&lt;="&amp;$V$1)))</f>
        <v>0</v>
      </c>
      <c r="J588" s="21">
        <f t="shared" si="65"/>
        <v>0</v>
      </c>
      <c r="K588" s="6">
        <f t="shared" si="66"/>
        <v>1</v>
      </c>
      <c r="L588" t="s">
        <v>123</v>
      </c>
      <c r="P588" s="5">
        <f t="shared" si="67"/>
        <v>46287</v>
      </c>
      <c r="Q588" t="s">
        <v>157</v>
      </c>
      <c r="R588">
        <v>75</v>
      </c>
      <c r="S588" t="s">
        <v>70</v>
      </c>
      <c r="T588" t="str">
        <f t="shared" si="68"/>
        <v/>
      </c>
      <c r="U588" t="str">
        <f>IF(AND(L588="Para Programar",G588&gt;0),COUNTIFS($L$5:L588,"Para Programar",$G$5:G588,"&gt;0"),"")</f>
        <v/>
      </c>
      <c r="W588" t="str">
        <f t="shared" si="69"/>
        <v>N22 - N29|05 Tendido de cañería - Cañería principal</v>
      </c>
      <c r="X588">
        <v>92</v>
      </c>
    </row>
    <row r="589" spans="1:24">
      <c r="A589" t="s">
        <v>86</v>
      </c>
      <c r="B589" s="14" t="s">
        <v>156</v>
      </c>
      <c r="C589" t="s">
        <v>87</v>
      </c>
      <c r="D589" s="13" t="s">
        <v>67</v>
      </c>
      <c r="E589" s="13">
        <v>92</v>
      </c>
      <c r="F589" s="13">
        <f>IF(E589="","",MIN(E589,$X589+SUMIFS('05_Parte_Diario'!$H$5:$H$204,'05_Parte_Diario'!$D$5:$D$204,B589,'05_Parte_Diario'!$E$5:$E$204,C589)))</f>
        <v>92</v>
      </c>
      <c r="G589" s="13">
        <f t="shared" si="63"/>
        <v>0</v>
      </c>
      <c r="H589" s="21">
        <f t="shared" si="64"/>
        <v>1</v>
      </c>
      <c r="I589" s="21">
        <f>IF(OR(B589="",C589="",$V$1=""),"",MIN(E589,SUMIFS('03_Planificacion'!$G$99:$G$178,'03_Planificacion'!$E$99:$E$178,B589,'03_Planificacion'!$F$99:$F$178,C589,'03_Planificacion'!$D$99:$D$178,"&lt;="&amp;$V$1)))</f>
        <v>0</v>
      </c>
      <c r="J589" s="21">
        <f t="shared" si="65"/>
        <v>0</v>
      </c>
      <c r="K589" s="6">
        <f t="shared" si="66"/>
        <v>1</v>
      </c>
      <c r="L589" t="s">
        <v>123</v>
      </c>
      <c r="P589" s="5">
        <f t="shared" si="67"/>
        <v>46287</v>
      </c>
      <c r="Q589" t="s">
        <v>157</v>
      </c>
      <c r="R589">
        <v>75</v>
      </c>
      <c r="S589" t="s">
        <v>70</v>
      </c>
      <c r="T589" t="str">
        <f t="shared" si="68"/>
        <v/>
      </c>
      <c r="U589" t="str">
        <f>IF(AND(L589="Para Programar",G589&gt;0),COUNTIFS($L$5:L589,"Para Programar",$G$5:G589,"&gt;0"),"")</f>
        <v/>
      </c>
      <c r="W589" t="str">
        <f t="shared" si="69"/>
        <v>N22 - N29|05 Tendido de cañería - Relevamiento planialtimétrico</v>
      </c>
      <c r="X589">
        <v>92</v>
      </c>
    </row>
    <row r="590" spans="1:24">
      <c r="A590" t="s">
        <v>88</v>
      </c>
      <c r="B590" s="14" t="s">
        <v>156</v>
      </c>
      <c r="C590" t="s">
        <v>89</v>
      </c>
      <c r="D590" s="13" t="s">
        <v>81</v>
      </c>
      <c r="E590" s="13">
        <v>1</v>
      </c>
      <c r="F590" s="13">
        <f>IF(E590="","",MIN(E590,$X590+SUMIFS('05_Parte_Diario'!$H$5:$H$204,'05_Parte_Diario'!$D$5:$D$204,B590,'05_Parte_Diario'!$E$5:$E$204,C590)))</f>
        <v>1</v>
      </c>
      <c r="G590" s="13">
        <f t="shared" si="63"/>
        <v>0</v>
      </c>
      <c r="H590" s="21">
        <f t="shared" si="64"/>
        <v>1</v>
      </c>
      <c r="I590" s="21">
        <f>IF(OR(B590="",C590="",$V$1=""),"",MIN(E590,SUMIFS('03_Planificacion'!$G$99:$G$178,'03_Planificacion'!$E$99:$E$178,B590,'03_Planificacion'!$F$99:$F$178,C590,'03_Planificacion'!$D$99:$D$178,"&lt;="&amp;$V$1)))</f>
        <v>0</v>
      </c>
      <c r="J590" s="21">
        <f t="shared" si="65"/>
        <v>0</v>
      </c>
      <c r="K590" s="6">
        <f t="shared" si="66"/>
        <v>1</v>
      </c>
      <c r="L590" t="s">
        <v>123</v>
      </c>
      <c r="P590" s="5">
        <f t="shared" si="67"/>
        <v>46287</v>
      </c>
      <c r="Q590" t="s">
        <v>157</v>
      </c>
      <c r="R590">
        <v>75</v>
      </c>
      <c r="S590" t="s">
        <v>70</v>
      </c>
      <c r="T590" t="str">
        <f t="shared" si="68"/>
        <v/>
      </c>
      <c r="U590" t="str">
        <f>IF(AND(L590="Para Programar",G590&gt;0),COUNTIFS($L$5:L590,"Para Programar",$G$5:G590,"&gt;0"),"")</f>
        <v/>
      </c>
      <c r="W590" t="str">
        <f t="shared" si="69"/>
        <v>N22 - N29|08 Prueba hidráulica - Preparación del sistema</v>
      </c>
      <c r="X590">
        <v>1</v>
      </c>
    </row>
    <row r="591" spans="1:24">
      <c r="A591" t="s">
        <v>90</v>
      </c>
      <c r="B591" s="14" t="s">
        <v>156</v>
      </c>
      <c r="C591" t="s">
        <v>91</v>
      </c>
      <c r="D591" s="13" t="s">
        <v>81</v>
      </c>
      <c r="E591" s="13">
        <v>1</v>
      </c>
      <c r="F591" s="13">
        <f>IF(E591="","",MIN(E591,$X591+SUMIFS('05_Parte_Diario'!$H$5:$H$204,'05_Parte_Diario'!$D$5:$D$204,B591,'05_Parte_Diario'!$E$5:$E$204,C591)))</f>
        <v>1</v>
      </c>
      <c r="G591" s="13">
        <f t="shared" si="63"/>
        <v>0</v>
      </c>
      <c r="H591" s="21">
        <f t="shared" si="64"/>
        <v>1</v>
      </c>
      <c r="I591" s="21">
        <f>IF(OR(B591="",C591="",$V$1=""),"",MIN(E591,SUMIFS('03_Planificacion'!$G$99:$G$178,'03_Planificacion'!$E$99:$E$178,B591,'03_Planificacion'!$F$99:$F$178,C591,'03_Planificacion'!$D$99:$D$178,"&lt;="&amp;$V$1)))</f>
        <v>0</v>
      </c>
      <c r="J591" s="21">
        <f t="shared" si="65"/>
        <v>0</v>
      </c>
      <c r="K591" s="6">
        <f t="shared" si="66"/>
        <v>1</v>
      </c>
      <c r="L591" t="s">
        <v>123</v>
      </c>
      <c r="P591" s="5">
        <f t="shared" si="67"/>
        <v>46287</v>
      </c>
      <c r="Q591" t="s">
        <v>157</v>
      </c>
      <c r="R591">
        <v>75</v>
      </c>
      <c r="S591" t="s">
        <v>70</v>
      </c>
      <c r="T591" t="str">
        <f t="shared" si="68"/>
        <v/>
      </c>
      <c r="U591" t="str">
        <f>IF(AND(L591="Para Programar",G591&gt;0),COUNTIFS($L$5:L591,"Para Programar",$G$5:G591,"&gt;0"),"")</f>
        <v/>
      </c>
      <c r="W591" t="str">
        <f t="shared" si="69"/>
        <v>N22 - N29|08 Prueba hidráulica - Interna N° 1</v>
      </c>
      <c r="X591">
        <v>1</v>
      </c>
    </row>
    <row r="592" spans="1:24">
      <c r="A592" t="s">
        <v>92</v>
      </c>
      <c r="B592" s="14" t="s">
        <v>156</v>
      </c>
      <c r="C592" t="s">
        <v>93</v>
      </c>
      <c r="D592" s="13" t="s">
        <v>81</v>
      </c>
      <c r="E592" s="13">
        <v>1</v>
      </c>
      <c r="F592" s="13">
        <f>IF(E592="","",MIN(E592,$X592+SUMIFS('05_Parte_Diario'!$H$5:$H$204,'05_Parte_Diario'!$D$5:$D$204,B592,'05_Parte_Diario'!$E$5:$E$204,C592)))</f>
        <v>1</v>
      </c>
      <c r="G592" s="13">
        <f t="shared" si="63"/>
        <v>0</v>
      </c>
      <c r="H592" s="21">
        <f t="shared" si="64"/>
        <v>1</v>
      </c>
      <c r="I592" s="21">
        <f>IF(OR(B592="",C592="",$V$1=""),"",MIN(E592,SUMIFS('03_Planificacion'!$G$99:$G$178,'03_Planificacion'!$E$99:$E$178,B592,'03_Planificacion'!$F$99:$F$178,C592,'03_Planificacion'!$D$99:$D$178,"&lt;="&amp;$V$1)))</f>
        <v>0</v>
      </c>
      <c r="J592" s="21">
        <f t="shared" si="65"/>
        <v>0</v>
      </c>
      <c r="K592" s="6">
        <f t="shared" si="66"/>
        <v>1</v>
      </c>
      <c r="L592" t="s">
        <v>123</v>
      </c>
      <c r="P592" s="5">
        <f t="shared" si="67"/>
        <v>46287</v>
      </c>
      <c r="Q592" t="s">
        <v>157</v>
      </c>
      <c r="R592">
        <v>75</v>
      </c>
      <c r="S592" t="s">
        <v>70</v>
      </c>
      <c r="T592" t="str">
        <f t="shared" si="68"/>
        <v/>
      </c>
      <c r="U592" t="str">
        <f>IF(AND(L592="Para Programar",G592&gt;0),COUNTIFS($L$5:L592,"Para Programar",$G$5:G592,"&gt;0"),"")</f>
        <v/>
      </c>
      <c r="W592" t="str">
        <f t="shared" si="69"/>
        <v>N22 - N29|08 Prueba hidráulica - Interna N° 2</v>
      </c>
      <c r="X592">
        <v>1</v>
      </c>
    </row>
    <row r="593" spans="1:24">
      <c r="A593" t="s">
        <v>94</v>
      </c>
      <c r="B593" s="14" t="s">
        <v>156</v>
      </c>
      <c r="C593" t="s">
        <v>95</v>
      </c>
      <c r="D593" s="13" t="s">
        <v>81</v>
      </c>
      <c r="E593" s="13">
        <v>1</v>
      </c>
      <c r="F593" s="13">
        <f>IF(E593="","",MIN(E593,$X593+SUMIFS('05_Parte_Diario'!$H$5:$H$204,'05_Parte_Diario'!$D$5:$D$204,B593,'05_Parte_Diario'!$E$5:$E$204,C593)))</f>
        <v>1</v>
      </c>
      <c r="G593" s="13">
        <f t="shared" si="63"/>
        <v>0</v>
      </c>
      <c r="H593" s="21">
        <f t="shared" si="64"/>
        <v>1</v>
      </c>
      <c r="I593" s="21">
        <f>IF(OR(B593="",C593="",$V$1=""),"",MIN(E593,SUMIFS('03_Planificacion'!$G$99:$G$178,'03_Planificacion'!$E$99:$E$178,B593,'03_Planificacion'!$F$99:$F$178,C593,'03_Planificacion'!$D$99:$D$178,"&lt;="&amp;$V$1)))</f>
        <v>0</v>
      </c>
      <c r="J593" s="21">
        <f t="shared" si="65"/>
        <v>0</v>
      </c>
      <c r="K593" s="6">
        <f t="shared" si="66"/>
        <v>1</v>
      </c>
      <c r="L593" t="s">
        <v>123</v>
      </c>
      <c r="P593" s="5">
        <f t="shared" si="67"/>
        <v>46287</v>
      </c>
      <c r="Q593" t="s">
        <v>157</v>
      </c>
      <c r="R593">
        <v>75</v>
      </c>
      <c r="S593" t="s">
        <v>70</v>
      </c>
      <c r="T593" t="str">
        <f t="shared" si="68"/>
        <v/>
      </c>
      <c r="U593" t="str">
        <f>IF(AND(L593="Para Programar",G593&gt;0),COUNTIFS($L$5:L593,"Para Programar",$G$5:G593,"&gt;0"),"")</f>
        <v/>
      </c>
      <c r="W593" t="str">
        <f t="shared" si="69"/>
        <v>N22 - N29|08 Prueba hidráulica - Primera prueba oficial</v>
      </c>
      <c r="X593">
        <v>1</v>
      </c>
    </row>
    <row r="594" spans="1:24">
      <c r="A594" t="s">
        <v>96</v>
      </c>
      <c r="B594" s="14" t="s">
        <v>156</v>
      </c>
      <c r="C594" t="s">
        <v>97</v>
      </c>
      <c r="D594" s="13" t="s">
        <v>67</v>
      </c>
      <c r="E594" s="13">
        <v>92</v>
      </c>
      <c r="F594" s="13">
        <f>IF(E594="","",MIN(E594,$X594+SUMIFS('05_Parte_Diario'!$H$5:$H$204,'05_Parte_Diario'!$D$5:$D$204,B594,'05_Parte_Diario'!$E$5:$E$204,C594)))</f>
        <v>92</v>
      </c>
      <c r="G594" s="13">
        <f t="shared" si="63"/>
        <v>0</v>
      </c>
      <c r="H594" s="21">
        <f t="shared" si="64"/>
        <v>1</v>
      </c>
      <c r="I594" s="21">
        <f>IF(OR(B594="",C594="",$V$1=""),"",MIN(E594,SUMIFS('03_Planificacion'!$G$99:$G$178,'03_Planificacion'!$E$99:$E$178,B594,'03_Planificacion'!$F$99:$F$178,C594,'03_Planificacion'!$D$99:$D$178,"&lt;="&amp;$V$1)))</f>
        <v>0</v>
      </c>
      <c r="J594" s="21">
        <f t="shared" si="65"/>
        <v>0</v>
      </c>
      <c r="K594" s="6">
        <f t="shared" si="66"/>
        <v>1</v>
      </c>
      <c r="L594" t="s">
        <v>123</v>
      </c>
      <c r="P594" s="5">
        <f t="shared" si="67"/>
        <v>46287</v>
      </c>
      <c r="Q594" t="s">
        <v>157</v>
      </c>
      <c r="R594">
        <v>75</v>
      </c>
      <c r="S594" t="s">
        <v>70</v>
      </c>
      <c r="T594" t="str">
        <f t="shared" si="68"/>
        <v/>
      </c>
      <c r="U594" t="str">
        <f>IF(AND(L594="Para Programar",G594&gt;0),COUNTIFS($L$5:L594,"Para Programar",$G$5:G594,"&gt;0"),"")</f>
        <v/>
      </c>
      <c r="W594" t="str">
        <f t="shared" si="69"/>
        <v>N22 - N29|09 Paquete estructural - Aporte e=0,30 m</v>
      </c>
      <c r="X594">
        <v>92</v>
      </c>
    </row>
    <row r="595" spans="1:24">
      <c r="A595" t="s">
        <v>98</v>
      </c>
      <c r="B595" s="14" t="s">
        <v>156</v>
      </c>
      <c r="C595" t="s">
        <v>99</v>
      </c>
      <c r="D595" s="13" t="s">
        <v>67</v>
      </c>
      <c r="E595" s="13">
        <v>92</v>
      </c>
      <c r="F595" s="13">
        <f>IF(E595="","",MIN(E595,$X595+SUMIFS('05_Parte_Diario'!$H$5:$H$204,'05_Parte_Diario'!$D$5:$D$204,B595,'05_Parte_Diario'!$E$5:$E$204,C595)))</f>
        <v>92</v>
      </c>
      <c r="G595" s="13">
        <f t="shared" si="63"/>
        <v>0</v>
      </c>
      <c r="H595" s="21">
        <f t="shared" si="64"/>
        <v>1</v>
      </c>
      <c r="I595" s="21">
        <f>IF(OR(B595="",C595="",$V$1=""),"",MIN(E595,SUMIFS('03_Planificacion'!$G$99:$G$178,'03_Planificacion'!$E$99:$E$178,B595,'03_Planificacion'!$F$99:$F$178,C595,'03_Planificacion'!$D$99:$D$178,"&lt;="&amp;$V$1)))</f>
        <v>0</v>
      </c>
      <c r="J595" s="21">
        <f t="shared" si="65"/>
        <v>0</v>
      </c>
      <c r="K595" s="6">
        <f t="shared" si="66"/>
        <v>1</v>
      </c>
      <c r="L595" t="s">
        <v>123</v>
      </c>
      <c r="P595" s="5">
        <f t="shared" si="67"/>
        <v>46287</v>
      </c>
      <c r="Q595" t="s">
        <v>157</v>
      </c>
      <c r="R595">
        <v>75</v>
      </c>
      <c r="S595" t="s">
        <v>70</v>
      </c>
      <c r="T595" t="str">
        <f t="shared" si="68"/>
        <v/>
      </c>
      <c r="U595" t="str">
        <f>IF(AND(L595="Para Programar",G595&gt;0),COUNTIFS($L$5:L595,"Para Programar",$G$5:G595,"&gt;0"),"")</f>
        <v/>
      </c>
      <c r="W595" t="str">
        <f t="shared" si="69"/>
        <v>N22 - N29|09 Paquete estructural - Compactación</v>
      </c>
      <c r="X595">
        <v>92</v>
      </c>
    </row>
    <row r="596" spans="1:24">
      <c r="A596" t="s">
        <v>100</v>
      </c>
      <c r="B596" s="14" t="s">
        <v>156</v>
      </c>
      <c r="C596" t="s">
        <v>101</v>
      </c>
      <c r="D596" s="13" t="s">
        <v>81</v>
      </c>
      <c r="E596" s="13">
        <v>1</v>
      </c>
      <c r="F596" s="13">
        <f>IF(E596="","",MIN(E596,$X596+SUMIFS('05_Parte_Diario'!$H$5:$H$204,'05_Parte_Diario'!$D$5:$D$204,B596,'05_Parte_Diario'!$E$5:$E$204,C596)))</f>
        <v>1</v>
      </c>
      <c r="G596" s="13">
        <f t="shared" si="63"/>
        <v>0</v>
      </c>
      <c r="H596" s="21">
        <f t="shared" si="64"/>
        <v>1</v>
      </c>
      <c r="I596" s="21">
        <f>IF(OR(B596="",C596="",$V$1=""),"",MIN(E596,SUMIFS('03_Planificacion'!$G$99:$G$178,'03_Planificacion'!$E$99:$E$178,B596,'03_Planificacion'!$F$99:$F$178,C596,'03_Planificacion'!$D$99:$D$178,"&lt;="&amp;$V$1)))</f>
        <v>0</v>
      </c>
      <c r="J596" s="21">
        <f t="shared" si="65"/>
        <v>0</v>
      </c>
      <c r="K596" s="6">
        <f t="shared" si="66"/>
        <v>1</v>
      </c>
      <c r="L596" t="s">
        <v>123</v>
      </c>
      <c r="P596" s="5">
        <f t="shared" si="67"/>
        <v>46287</v>
      </c>
      <c r="Q596" t="s">
        <v>157</v>
      </c>
      <c r="R596">
        <v>75</v>
      </c>
      <c r="S596" t="s">
        <v>70</v>
      </c>
      <c r="T596" t="str">
        <f t="shared" si="68"/>
        <v/>
      </c>
      <c r="U596" t="str">
        <f>IF(AND(L596="Para Programar",G596&gt;0),COUNTIFS($L$5:L596,"Para Programar",$G$5:G596,"&gt;0"),"")</f>
        <v/>
      </c>
      <c r="W596" t="str">
        <f t="shared" si="69"/>
        <v>N22 - N29|09 Paquete estructural - Inspección laboratorio</v>
      </c>
      <c r="X596">
        <v>1</v>
      </c>
    </row>
    <row r="597" spans="1:24">
      <c r="A597" t="s">
        <v>102</v>
      </c>
      <c r="B597" s="14" t="s">
        <v>156</v>
      </c>
      <c r="C597" t="s">
        <v>103</v>
      </c>
      <c r="D597" s="13" t="s">
        <v>67</v>
      </c>
      <c r="E597" s="13">
        <v>92</v>
      </c>
      <c r="F597" s="13">
        <f>IF(E597="","",MIN(E597,$X597+SUMIFS('05_Parte_Diario'!$H$5:$H$204,'05_Parte_Diario'!$D$5:$D$204,B597,'05_Parte_Diario'!$E$5:$E$204,C597)))</f>
        <v>92</v>
      </c>
      <c r="G597" s="13">
        <f t="shared" si="63"/>
        <v>0</v>
      </c>
      <c r="H597" s="21">
        <f t="shared" si="64"/>
        <v>1</v>
      </c>
      <c r="I597" s="21">
        <f>IF(OR(B597="",C597="",$V$1=""),"",MIN(E597,SUMIFS('03_Planificacion'!$G$99:$G$178,'03_Planificacion'!$E$99:$E$178,B597,'03_Planificacion'!$F$99:$F$178,C597,'03_Planificacion'!$D$99:$D$178,"&lt;="&amp;$V$1)))</f>
        <v>0</v>
      </c>
      <c r="J597" s="21">
        <f t="shared" si="65"/>
        <v>0</v>
      </c>
      <c r="K597" s="6">
        <f t="shared" si="66"/>
        <v>1</v>
      </c>
      <c r="L597" t="s">
        <v>123</v>
      </c>
      <c r="P597" s="5">
        <f t="shared" si="67"/>
        <v>46287</v>
      </c>
      <c r="Q597" t="s">
        <v>157</v>
      </c>
      <c r="R597">
        <v>75</v>
      </c>
      <c r="S597" t="s">
        <v>70</v>
      </c>
      <c r="T597" t="str">
        <f t="shared" si="68"/>
        <v/>
      </c>
      <c r="U597" t="str">
        <f>IF(AND(L597="Para Programar",G597&gt;0),COUNTIFS($L$5:L597,"Para Programar",$G$5:G597,"&gt;0"),"")</f>
        <v/>
      </c>
      <c r="W597" t="str">
        <f t="shared" si="69"/>
        <v>N22 - N29|10 Relleno -0,60 - Conformación de capa</v>
      </c>
      <c r="X597">
        <v>92</v>
      </c>
    </row>
    <row r="598" spans="1:24">
      <c r="A598" t="s">
        <v>104</v>
      </c>
      <c r="B598" s="14" t="s">
        <v>156</v>
      </c>
      <c r="C598" t="s">
        <v>105</v>
      </c>
      <c r="D598" s="13" t="s">
        <v>67</v>
      </c>
      <c r="E598" s="13">
        <v>92</v>
      </c>
      <c r="F598" s="13">
        <f>IF(E598="","",MIN(E598,$X598+SUMIFS('05_Parte_Diario'!$H$5:$H$204,'05_Parte_Diario'!$D$5:$D$204,B598,'05_Parte_Diario'!$E$5:$E$204,C598)))</f>
        <v>92</v>
      </c>
      <c r="G598" s="13">
        <f t="shared" si="63"/>
        <v>0</v>
      </c>
      <c r="H598" s="21">
        <f t="shared" si="64"/>
        <v>1</v>
      </c>
      <c r="I598" s="21">
        <f>IF(OR(B598="",C598="",$V$1=""),"",MIN(E598,SUMIFS('03_Planificacion'!$G$99:$G$178,'03_Planificacion'!$E$99:$E$178,B598,'03_Planificacion'!$F$99:$F$178,C598,'03_Planificacion'!$D$99:$D$178,"&lt;="&amp;$V$1)))</f>
        <v>0</v>
      </c>
      <c r="J598" s="21">
        <f t="shared" si="65"/>
        <v>0</v>
      </c>
      <c r="K598" s="6">
        <f t="shared" si="66"/>
        <v>1</v>
      </c>
      <c r="L598" t="s">
        <v>123</v>
      </c>
      <c r="P598" s="5">
        <f t="shared" si="67"/>
        <v>46287</v>
      </c>
      <c r="Q598" t="s">
        <v>157</v>
      </c>
      <c r="R598">
        <v>75</v>
      </c>
      <c r="S598" t="s">
        <v>70</v>
      </c>
      <c r="T598" t="str">
        <f t="shared" si="68"/>
        <v/>
      </c>
      <c r="U598" t="str">
        <f>IF(AND(L598="Para Programar",G598&gt;0),COUNTIFS($L$5:L598,"Para Programar",$G$5:G598,"&gt;0"),"")</f>
        <v/>
      </c>
      <c r="W598" t="str">
        <f t="shared" si="69"/>
        <v>N22 - N29|10 Relleno -0,60 - Humectación</v>
      </c>
      <c r="X598">
        <v>92</v>
      </c>
    </row>
    <row r="599" spans="1:24">
      <c r="A599" t="s">
        <v>106</v>
      </c>
      <c r="B599" s="14" t="s">
        <v>156</v>
      </c>
      <c r="C599" t="s">
        <v>107</v>
      </c>
      <c r="D599" s="13" t="s">
        <v>67</v>
      </c>
      <c r="E599" s="13">
        <v>92</v>
      </c>
      <c r="F599" s="13">
        <f>IF(E599="","",MIN(E599,$X599+SUMIFS('05_Parte_Diario'!$H$5:$H$204,'05_Parte_Diario'!$D$5:$D$204,B599,'05_Parte_Diario'!$E$5:$E$204,C599)))</f>
        <v>92</v>
      </c>
      <c r="G599" s="13">
        <f t="shared" si="63"/>
        <v>0</v>
      </c>
      <c r="H599" s="21">
        <f t="shared" si="64"/>
        <v>1</v>
      </c>
      <c r="I599" s="21">
        <f>IF(OR(B599="",C599="",$V$1=""),"",MIN(E599,SUMIFS('03_Planificacion'!$G$99:$G$178,'03_Planificacion'!$E$99:$E$178,B599,'03_Planificacion'!$F$99:$F$178,C599,'03_Planificacion'!$D$99:$D$178,"&lt;="&amp;$V$1)))</f>
        <v>0</v>
      </c>
      <c r="J599" s="21">
        <f t="shared" si="65"/>
        <v>0</v>
      </c>
      <c r="K599" s="6">
        <f t="shared" si="66"/>
        <v>1</v>
      </c>
      <c r="L599" t="s">
        <v>123</v>
      </c>
      <c r="P599" s="5">
        <f t="shared" si="67"/>
        <v>46287</v>
      </c>
      <c r="Q599" t="s">
        <v>157</v>
      </c>
      <c r="R599">
        <v>75</v>
      </c>
      <c r="S599" t="s">
        <v>70</v>
      </c>
      <c r="T599" t="str">
        <f t="shared" si="68"/>
        <v/>
      </c>
      <c r="U599" t="str">
        <f>IF(AND(L599="Para Programar",G599&gt;0),COUNTIFS($L$5:L599,"Para Programar",$G$5:G599,"&gt;0"),"")</f>
        <v/>
      </c>
      <c r="W599" t="str">
        <f t="shared" si="69"/>
        <v>N22 - N29|10 Relleno -0,60 - Compactación</v>
      </c>
      <c r="X599">
        <v>92</v>
      </c>
    </row>
    <row r="600" spans="1:24">
      <c r="A600" t="s">
        <v>108</v>
      </c>
      <c r="B600" s="14" t="s">
        <v>156</v>
      </c>
      <c r="C600" t="s">
        <v>109</v>
      </c>
      <c r="D600" s="13" t="s">
        <v>81</v>
      </c>
      <c r="E600" s="13">
        <v>1</v>
      </c>
      <c r="F600" s="13">
        <f>IF(E600="","",MIN(E600,$X600+SUMIFS('05_Parte_Diario'!$H$5:$H$204,'05_Parte_Diario'!$D$5:$D$204,B600,'05_Parte_Diario'!$E$5:$E$204,C600)))</f>
        <v>1</v>
      </c>
      <c r="G600" s="13">
        <f t="shared" si="63"/>
        <v>0</v>
      </c>
      <c r="H600" s="21">
        <f t="shared" si="64"/>
        <v>1</v>
      </c>
      <c r="I600" s="21">
        <f>IF(OR(B600="",C600="",$V$1=""),"",MIN(E600,SUMIFS('03_Planificacion'!$G$99:$G$178,'03_Planificacion'!$E$99:$E$178,B600,'03_Planificacion'!$F$99:$F$178,C600,'03_Planificacion'!$D$99:$D$178,"&lt;="&amp;$V$1)))</f>
        <v>0</v>
      </c>
      <c r="J600" s="21">
        <f t="shared" si="65"/>
        <v>0</v>
      </c>
      <c r="K600" s="6">
        <f t="shared" si="66"/>
        <v>1</v>
      </c>
      <c r="L600" t="s">
        <v>123</v>
      </c>
      <c r="P600" s="5">
        <f t="shared" si="67"/>
        <v>46287</v>
      </c>
      <c r="Q600" t="s">
        <v>157</v>
      </c>
      <c r="R600">
        <v>75</v>
      </c>
      <c r="S600" t="s">
        <v>70</v>
      </c>
      <c r="T600" t="str">
        <f t="shared" si="68"/>
        <v/>
      </c>
      <c r="U600" t="str">
        <f>IF(AND(L600="Para Programar",G600&gt;0),COUNTIFS($L$5:L600,"Para Programar",$G$5:G600,"&gt;0"),"")</f>
        <v/>
      </c>
      <c r="W600" t="str">
        <f t="shared" si="69"/>
        <v>N22 - N29|10 Relleno -0,60 - Inspección laboratorio</v>
      </c>
      <c r="X600">
        <v>1</v>
      </c>
    </row>
    <row r="601" spans="1:24">
      <c r="A601" t="s">
        <v>110</v>
      </c>
      <c r="B601" s="14" t="s">
        <v>156</v>
      </c>
      <c r="C601" t="s">
        <v>111</v>
      </c>
      <c r="D601" s="13" t="s">
        <v>67</v>
      </c>
      <c r="E601" s="13">
        <v>92</v>
      </c>
      <c r="F601" s="13">
        <f>IF(E601="","",MIN(E601,$X601+SUMIFS('05_Parte_Diario'!$H$5:$H$204,'05_Parte_Diario'!$D$5:$D$204,B601,'05_Parte_Diario'!$E$5:$E$204,C601)))</f>
        <v>92</v>
      </c>
      <c r="G601" s="13">
        <f t="shared" si="63"/>
        <v>0</v>
      </c>
      <c r="H601" s="21">
        <f t="shared" si="64"/>
        <v>1</v>
      </c>
      <c r="I601" s="21">
        <f>IF(OR(B601="",C601="",$V$1=""),"",MIN(E601,SUMIFS('03_Planificacion'!$G$99:$G$178,'03_Planificacion'!$E$99:$E$178,B601,'03_Planificacion'!$F$99:$F$178,C601,'03_Planificacion'!$D$99:$D$178,"&lt;="&amp;$V$1)))</f>
        <v>0</v>
      </c>
      <c r="J601" s="21">
        <f t="shared" si="65"/>
        <v>0</v>
      </c>
      <c r="K601" s="6">
        <f t="shared" si="66"/>
        <v>1</v>
      </c>
      <c r="L601" t="s">
        <v>123</v>
      </c>
      <c r="P601" s="5">
        <f t="shared" si="67"/>
        <v>46287</v>
      </c>
      <c r="Q601" t="s">
        <v>157</v>
      </c>
      <c r="R601">
        <v>75</v>
      </c>
      <c r="S601" t="s">
        <v>70</v>
      </c>
      <c r="T601" t="str">
        <f t="shared" si="68"/>
        <v/>
      </c>
      <c r="U601" t="str">
        <f>IF(AND(L601="Para Programar",G601&gt;0),COUNTIFS($L$5:L601,"Para Programar",$G$5:G601,"&gt;0"),"")</f>
        <v/>
      </c>
      <c r="W601" t="str">
        <f t="shared" si="69"/>
        <v>N22 - N29|11 Relleno -0,30 - Conformación de capa</v>
      </c>
      <c r="X601">
        <v>92</v>
      </c>
    </row>
    <row r="602" spans="1:24">
      <c r="A602" t="s">
        <v>112</v>
      </c>
      <c r="B602" s="14" t="s">
        <v>156</v>
      </c>
      <c r="C602" t="s">
        <v>113</v>
      </c>
      <c r="D602" s="13" t="s">
        <v>67</v>
      </c>
      <c r="E602" s="13">
        <v>92</v>
      </c>
      <c r="F602" s="13">
        <f>IF(E602="","",MIN(E602,$X602+SUMIFS('05_Parte_Diario'!$H$5:$H$204,'05_Parte_Diario'!$D$5:$D$204,B602,'05_Parte_Diario'!$E$5:$E$204,C602)))</f>
        <v>92</v>
      </c>
      <c r="G602" s="13">
        <f t="shared" si="63"/>
        <v>0</v>
      </c>
      <c r="H602" s="21">
        <f t="shared" si="64"/>
        <v>1</v>
      </c>
      <c r="I602" s="21">
        <f>IF(OR(B602="",C602="",$V$1=""),"",MIN(E602,SUMIFS('03_Planificacion'!$G$99:$G$178,'03_Planificacion'!$E$99:$E$178,B602,'03_Planificacion'!$F$99:$F$178,C602,'03_Planificacion'!$D$99:$D$178,"&lt;="&amp;$V$1)))</f>
        <v>0</v>
      </c>
      <c r="J602" s="21">
        <f t="shared" si="65"/>
        <v>0</v>
      </c>
      <c r="K602" s="6">
        <f t="shared" si="66"/>
        <v>1</v>
      </c>
      <c r="L602" t="s">
        <v>123</v>
      </c>
      <c r="P602" s="5">
        <f t="shared" si="67"/>
        <v>46287</v>
      </c>
      <c r="Q602" t="s">
        <v>157</v>
      </c>
      <c r="R602">
        <v>75</v>
      </c>
      <c r="S602" t="s">
        <v>70</v>
      </c>
      <c r="T602" t="str">
        <f t="shared" si="68"/>
        <v/>
      </c>
      <c r="U602" t="str">
        <f>IF(AND(L602="Para Programar",G602&gt;0),COUNTIFS($L$5:L602,"Para Programar",$G$5:G602,"&gt;0"),"")</f>
        <v/>
      </c>
      <c r="W602" t="str">
        <f t="shared" si="69"/>
        <v>N22 - N29|11 Relleno -0,30 - Humectación</v>
      </c>
      <c r="X602">
        <v>92</v>
      </c>
    </row>
    <row r="603" spans="1:24">
      <c r="A603" t="s">
        <v>114</v>
      </c>
      <c r="B603" s="14" t="s">
        <v>156</v>
      </c>
      <c r="C603" t="s">
        <v>115</v>
      </c>
      <c r="D603" s="13" t="s">
        <v>67</v>
      </c>
      <c r="E603" s="13">
        <v>92</v>
      </c>
      <c r="F603" s="13">
        <f>IF(E603="","",MIN(E603,$X603+SUMIFS('05_Parte_Diario'!$H$5:$H$204,'05_Parte_Diario'!$D$5:$D$204,B603,'05_Parte_Diario'!$E$5:$E$204,C603)))</f>
        <v>92</v>
      </c>
      <c r="G603" s="13">
        <f t="shared" si="63"/>
        <v>0</v>
      </c>
      <c r="H603" s="21">
        <f t="shared" si="64"/>
        <v>1</v>
      </c>
      <c r="I603" s="21">
        <f>IF(OR(B603="",C603="",$V$1=""),"",MIN(E603,SUMIFS('03_Planificacion'!$G$99:$G$178,'03_Planificacion'!$E$99:$E$178,B603,'03_Planificacion'!$F$99:$F$178,C603,'03_Planificacion'!$D$99:$D$178,"&lt;="&amp;$V$1)))</f>
        <v>0</v>
      </c>
      <c r="J603" s="21">
        <f t="shared" si="65"/>
        <v>0</v>
      </c>
      <c r="K603" s="6">
        <f t="shared" si="66"/>
        <v>1</v>
      </c>
      <c r="L603" t="s">
        <v>123</v>
      </c>
      <c r="P603" s="5">
        <f t="shared" si="67"/>
        <v>46287</v>
      </c>
      <c r="Q603" t="s">
        <v>157</v>
      </c>
      <c r="R603">
        <v>75</v>
      </c>
      <c r="S603" t="s">
        <v>70</v>
      </c>
      <c r="T603" t="str">
        <f t="shared" si="68"/>
        <v/>
      </c>
      <c r="U603" t="str">
        <f>IF(AND(L603="Para Programar",G603&gt;0),COUNTIFS($L$5:L603,"Para Programar",$G$5:G603,"&gt;0"),"")</f>
        <v/>
      </c>
      <c r="W603" t="str">
        <f t="shared" si="69"/>
        <v>N22 - N29|11 Relleno -0,30 - Compactación</v>
      </c>
      <c r="X603">
        <v>92</v>
      </c>
    </row>
    <row r="604" spans="1:24">
      <c r="A604" t="s">
        <v>116</v>
      </c>
      <c r="B604" s="14" t="s">
        <v>156</v>
      </c>
      <c r="C604" t="s">
        <v>117</v>
      </c>
      <c r="D604" s="13" t="s">
        <v>81</v>
      </c>
      <c r="E604" s="13">
        <v>1</v>
      </c>
      <c r="F604" s="13">
        <f>IF(E604="","",MIN(E604,$X604+SUMIFS('05_Parte_Diario'!$H$5:$H$204,'05_Parte_Diario'!$D$5:$D$204,B604,'05_Parte_Diario'!$E$5:$E$204,C604)))</f>
        <v>1</v>
      </c>
      <c r="G604" s="13">
        <f t="shared" si="63"/>
        <v>0</v>
      </c>
      <c r="H604" s="21">
        <f t="shared" si="64"/>
        <v>1</v>
      </c>
      <c r="I604" s="21">
        <f>IF(OR(B604="",C604="",$V$1=""),"",MIN(E604,SUMIFS('03_Planificacion'!$G$99:$G$178,'03_Planificacion'!$E$99:$E$178,B604,'03_Planificacion'!$F$99:$F$178,C604,'03_Planificacion'!$D$99:$D$178,"&lt;="&amp;$V$1)))</f>
        <v>0</v>
      </c>
      <c r="J604" s="21">
        <f t="shared" si="65"/>
        <v>0</v>
      </c>
      <c r="K604" s="6">
        <f t="shared" si="66"/>
        <v>1</v>
      </c>
      <c r="L604" t="s">
        <v>123</v>
      </c>
      <c r="P604" s="5">
        <f t="shared" si="67"/>
        <v>46287</v>
      </c>
      <c r="Q604" t="s">
        <v>157</v>
      </c>
      <c r="R604">
        <v>75</v>
      </c>
      <c r="S604" t="s">
        <v>70</v>
      </c>
      <c r="T604" t="str">
        <f t="shared" si="68"/>
        <v/>
      </c>
      <c r="U604" t="str">
        <f>IF(AND(L604="Para Programar",G604&gt;0),COUNTIFS($L$5:L604,"Para Programar",$G$5:G604,"&gt;0"),"")</f>
        <v/>
      </c>
      <c r="W604" t="str">
        <f t="shared" si="69"/>
        <v>N22 - N29|11 Relleno -0,30 - Inspección laboratorio</v>
      </c>
      <c r="X604">
        <v>1</v>
      </c>
    </row>
    <row r="605" spans="1:24">
      <c r="A605" t="s">
        <v>64</v>
      </c>
      <c r="B605" s="14" t="s">
        <v>158</v>
      </c>
      <c r="C605" t="s">
        <v>66</v>
      </c>
      <c r="D605" s="13" t="s">
        <v>67</v>
      </c>
      <c r="E605" s="13">
        <v>8</v>
      </c>
      <c r="F605" s="13">
        <f>IF(E605="","",MIN(E605,$X605+SUMIFS('05_Parte_Diario'!$H$5:$H$204,'05_Parte_Diario'!$D$5:$D$204,B605,'05_Parte_Diario'!$E$5:$E$204,C605)))</f>
        <v>8</v>
      </c>
      <c r="G605" s="13">
        <f t="shared" si="63"/>
        <v>0</v>
      </c>
      <c r="H605" s="21">
        <f t="shared" si="64"/>
        <v>1</v>
      </c>
      <c r="I605" s="21">
        <f>IF(OR(B605="",C605="",$V$1=""),"",MIN(E605,SUMIFS('03_Planificacion'!$G$99:$G$178,'03_Planificacion'!$E$99:$E$178,B605,'03_Planificacion'!$F$99:$F$178,C605,'03_Planificacion'!$D$99:$D$178,"&lt;="&amp;$V$1)))</f>
        <v>0</v>
      </c>
      <c r="J605" s="21">
        <f t="shared" si="65"/>
        <v>0</v>
      </c>
      <c r="K605" s="6">
        <f t="shared" si="66"/>
        <v>1</v>
      </c>
      <c r="L605" t="s">
        <v>123</v>
      </c>
      <c r="P605" s="5">
        <f t="shared" si="67"/>
        <v>46287</v>
      </c>
      <c r="Q605" t="s">
        <v>135</v>
      </c>
      <c r="R605">
        <v>110</v>
      </c>
      <c r="S605" t="s">
        <v>70</v>
      </c>
      <c r="T605" t="str">
        <f t="shared" si="68"/>
        <v/>
      </c>
      <c r="U605" t="str">
        <f>IF(AND(L605="Para Programar",G605&gt;0),COUNTIFS($L$5:L605,"Para Programar",$G$5:G605,"&gt;0"),"")</f>
        <v/>
      </c>
      <c r="W605" t="str">
        <f t="shared" si="69"/>
        <v>N23 - N24|01 Replanteo - Marcación de tramo de cañería principal</v>
      </c>
      <c r="X605">
        <v>8</v>
      </c>
    </row>
    <row r="606" spans="1:24">
      <c r="A606" t="s">
        <v>71</v>
      </c>
      <c r="B606" s="14" t="s">
        <v>158</v>
      </c>
      <c r="C606" t="s">
        <v>72</v>
      </c>
      <c r="D606" s="13" t="s">
        <v>67</v>
      </c>
      <c r="E606" s="13">
        <v>8</v>
      </c>
      <c r="F606" s="13">
        <f>IF(E606="","",MIN(E606,$X606+SUMIFS('05_Parte_Diario'!$H$5:$H$204,'05_Parte_Diario'!$D$5:$D$204,B606,'05_Parte_Diario'!$E$5:$E$204,C606)))</f>
        <v>8</v>
      </c>
      <c r="G606" s="13">
        <f t="shared" si="63"/>
        <v>0</v>
      </c>
      <c r="H606" s="21">
        <f t="shared" si="64"/>
        <v>1</v>
      </c>
      <c r="I606" s="21">
        <f>IF(OR(B606="",C606="",$V$1=""),"",MIN(E606,SUMIFS('03_Planificacion'!$G$99:$G$178,'03_Planificacion'!$E$99:$E$178,B606,'03_Planificacion'!$F$99:$F$178,C606,'03_Planificacion'!$D$99:$D$178,"&lt;="&amp;$V$1)))</f>
        <v>0</v>
      </c>
      <c r="J606" s="21">
        <f t="shared" si="65"/>
        <v>0</v>
      </c>
      <c r="K606" s="6">
        <f t="shared" si="66"/>
        <v>1</v>
      </c>
      <c r="L606" t="s">
        <v>123</v>
      </c>
      <c r="P606" s="5">
        <f t="shared" si="67"/>
        <v>46287</v>
      </c>
      <c r="Q606" t="s">
        <v>135</v>
      </c>
      <c r="R606">
        <v>110</v>
      </c>
      <c r="S606" t="s">
        <v>70</v>
      </c>
      <c r="T606" t="str">
        <f t="shared" si="68"/>
        <v/>
      </c>
      <c r="U606" t="str">
        <f>IF(AND(L606="Para Programar",G606&gt;0),COUNTIFS($L$5:L606,"Para Programar",$G$5:G606,"&gt;0"),"")</f>
        <v/>
      </c>
      <c r="W606" t="str">
        <f t="shared" si="69"/>
        <v>N23 - N24|02 Excavación - Zanja principal</v>
      </c>
      <c r="X606">
        <v>8</v>
      </c>
    </row>
    <row r="607" spans="1:24">
      <c r="A607" t="s">
        <v>73</v>
      </c>
      <c r="B607" s="14" t="s">
        <v>158</v>
      </c>
      <c r="C607" t="s">
        <v>74</v>
      </c>
      <c r="D607" s="13" t="s">
        <v>67</v>
      </c>
      <c r="E607" s="13">
        <v>8</v>
      </c>
      <c r="F607" s="13">
        <f>IF(E607="","",MIN(E607,$X607+SUMIFS('05_Parte_Diario'!$H$5:$H$204,'05_Parte_Diario'!$D$5:$D$204,B607,'05_Parte_Diario'!$E$5:$E$204,C607)))</f>
        <v>8</v>
      </c>
      <c r="G607" s="13">
        <f t="shared" si="63"/>
        <v>0</v>
      </c>
      <c r="H607" s="21">
        <f t="shared" si="64"/>
        <v>1</v>
      </c>
      <c r="I607" s="21">
        <f>IF(OR(B607="",C607="",$V$1=""),"",MIN(E607,SUMIFS('03_Planificacion'!$G$99:$G$178,'03_Planificacion'!$E$99:$E$178,B607,'03_Planificacion'!$F$99:$F$178,C607,'03_Planificacion'!$D$99:$D$178,"&lt;="&amp;$V$1)))</f>
        <v>0</v>
      </c>
      <c r="J607" s="21">
        <f t="shared" si="65"/>
        <v>0</v>
      </c>
      <c r="K607" s="6">
        <f t="shared" si="66"/>
        <v>1</v>
      </c>
      <c r="L607" t="s">
        <v>123</v>
      </c>
      <c r="P607" s="5">
        <f t="shared" si="67"/>
        <v>46287</v>
      </c>
      <c r="Q607" t="s">
        <v>135</v>
      </c>
      <c r="R607">
        <v>110</v>
      </c>
      <c r="S607" t="s">
        <v>70</v>
      </c>
      <c r="T607" t="str">
        <f t="shared" si="68"/>
        <v/>
      </c>
      <c r="U607" t="str">
        <f>IF(AND(L607="Para Programar",G607&gt;0),COUNTIFS($L$5:L607,"Para Programar",$G$5:G607,"&gt;0"),"")</f>
        <v/>
      </c>
      <c r="W607" t="str">
        <f t="shared" si="69"/>
        <v>N23 - N24|03 Base de asiento - Nivelación de fondo de zanja</v>
      </c>
      <c r="X607">
        <v>8</v>
      </c>
    </row>
    <row r="608" spans="1:24">
      <c r="A608" t="s">
        <v>75</v>
      </c>
      <c r="B608" s="14" t="s">
        <v>158</v>
      </c>
      <c r="C608" t="s">
        <v>76</v>
      </c>
      <c r="D608" s="13" t="s">
        <v>67</v>
      </c>
      <c r="E608" s="13">
        <v>8</v>
      </c>
      <c r="F608" s="13">
        <f>IF(E608="","",MIN(E608,$X608+SUMIFS('05_Parte_Diario'!$H$5:$H$204,'05_Parte_Diario'!$D$5:$D$204,B608,'05_Parte_Diario'!$E$5:$E$204,C608)))</f>
        <v>8</v>
      </c>
      <c r="G608" s="13">
        <f t="shared" si="63"/>
        <v>0</v>
      </c>
      <c r="H608" s="21">
        <f t="shared" si="64"/>
        <v>1</v>
      </c>
      <c r="I608" s="21">
        <f>IF(OR(B608="",C608="",$V$1=""),"",MIN(E608,SUMIFS('03_Planificacion'!$G$99:$G$178,'03_Planificacion'!$E$99:$E$178,B608,'03_Planificacion'!$F$99:$F$178,C608,'03_Planificacion'!$D$99:$D$178,"&lt;="&amp;$V$1)))</f>
        <v>0</v>
      </c>
      <c r="J608" s="21">
        <f t="shared" si="65"/>
        <v>0</v>
      </c>
      <c r="K608" s="6">
        <f t="shared" si="66"/>
        <v>1</v>
      </c>
      <c r="L608" t="s">
        <v>123</v>
      </c>
      <c r="P608" s="5">
        <f t="shared" si="67"/>
        <v>46287</v>
      </c>
      <c r="Q608" t="s">
        <v>135</v>
      </c>
      <c r="R608">
        <v>110</v>
      </c>
      <c r="S608" t="s">
        <v>70</v>
      </c>
      <c r="T608" t="str">
        <f t="shared" si="68"/>
        <v/>
      </c>
      <c r="U608" t="str">
        <f>IF(AND(L608="Para Programar",G608&gt;0),COUNTIFS($L$5:L608,"Para Programar",$G$5:G608,"&gt;0"),"")</f>
        <v/>
      </c>
      <c r="W608" t="str">
        <f t="shared" si="69"/>
        <v>N23 - N24|03 Base de asiento - Aporte de material base e=0,10 m</v>
      </c>
      <c r="X608">
        <v>8</v>
      </c>
    </row>
    <row r="609" spans="1:24">
      <c r="A609" t="s">
        <v>77</v>
      </c>
      <c r="B609" s="14" t="s">
        <v>158</v>
      </c>
      <c r="C609" t="s">
        <v>78</v>
      </c>
      <c r="D609" s="13" t="s">
        <v>67</v>
      </c>
      <c r="E609" s="13">
        <v>8</v>
      </c>
      <c r="F609" s="13">
        <f>IF(E609="","",MIN(E609,$X609+SUMIFS('05_Parte_Diario'!$H$5:$H$204,'05_Parte_Diario'!$D$5:$D$204,B609,'05_Parte_Diario'!$E$5:$E$204,C609)))</f>
        <v>0</v>
      </c>
      <c r="G609" s="13">
        <f t="shared" si="63"/>
        <v>8</v>
      </c>
      <c r="H609" s="21">
        <f t="shared" si="64"/>
        <v>0</v>
      </c>
      <c r="I609" s="21">
        <f>IF(OR(B609="",C609="",$V$1=""),"",MIN(E609,SUMIFS('03_Planificacion'!$G$99:$G$178,'03_Planificacion'!$E$99:$E$178,B609,'03_Planificacion'!$F$99:$F$178,C609,'03_Planificacion'!$D$99:$D$178,"&lt;="&amp;$V$1)))</f>
        <v>0</v>
      </c>
      <c r="J609" s="21">
        <f t="shared" si="65"/>
        <v>0</v>
      </c>
      <c r="K609" s="6">
        <f t="shared" si="66"/>
        <v>0</v>
      </c>
      <c r="L609" t="s">
        <v>12</v>
      </c>
      <c r="P609" s="5">
        <f t="shared" si="67"/>
        <v>46287</v>
      </c>
      <c r="Q609" t="s">
        <v>135</v>
      </c>
      <c r="R609">
        <v>110</v>
      </c>
      <c r="S609" t="s">
        <v>70</v>
      </c>
      <c r="T609" t="str">
        <f t="shared" si="68"/>
        <v/>
      </c>
      <c r="U609">
        <f>IF(AND(L609="Para Programar",G609&gt;0),COUNTIFS($L$5:L609,"Para Programar",$G$5:G609,"&gt;0"),"")</f>
        <v>115</v>
      </c>
      <c r="W609" t="str">
        <f t="shared" si="69"/>
        <v>N23 - N24|03 Base de asiento - Compactación</v>
      </c>
      <c r="X609">
        <v>0</v>
      </c>
    </row>
    <row r="610" spans="1:24">
      <c r="A610" t="s">
        <v>79</v>
      </c>
      <c r="B610" s="14" t="s">
        <v>158</v>
      </c>
      <c r="C610" t="s">
        <v>80</v>
      </c>
      <c r="D610" s="13" t="s">
        <v>81</v>
      </c>
      <c r="E610" s="13">
        <v>1</v>
      </c>
      <c r="F610" s="13">
        <f>IF(E610="","",MIN(E610,$X610+SUMIFS('05_Parte_Diario'!$H$5:$H$204,'05_Parte_Diario'!$D$5:$D$204,B610,'05_Parte_Diario'!$E$5:$E$204,C610)))</f>
        <v>0</v>
      </c>
      <c r="G610" s="13">
        <f t="shared" si="63"/>
        <v>1</v>
      </c>
      <c r="H610" s="21">
        <f t="shared" si="64"/>
        <v>0</v>
      </c>
      <c r="I610" s="21">
        <f>IF(OR(B610="",C610="",$V$1=""),"",MIN(E610,SUMIFS('03_Planificacion'!$G$99:$G$178,'03_Planificacion'!$E$99:$E$178,B610,'03_Planificacion'!$F$99:$F$178,C610,'03_Planificacion'!$D$99:$D$178,"&lt;="&amp;$V$1)))</f>
        <v>0</v>
      </c>
      <c r="J610" s="21">
        <f t="shared" si="65"/>
        <v>0</v>
      </c>
      <c r="K610" s="6">
        <f t="shared" si="66"/>
        <v>0</v>
      </c>
      <c r="L610" t="s">
        <v>12</v>
      </c>
      <c r="P610" s="5">
        <f t="shared" si="67"/>
        <v>46287</v>
      </c>
      <c r="Q610" t="s">
        <v>135</v>
      </c>
      <c r="R610">
        <v>110</v>
      </c>
      <c r="S610" t="s">
        <v>70</v>
      </c>
      <c r="T610" t="str">
        <f t="shared" si="68"/>
        <v/>
      </c>
      <c r="U610">
        <f>IF(AND(L610="Para Programar",G610&gt;0),COUNTIFS($L$5:L610,"Para Programar",$G$5:G610,"&gt;0"),"")</f>
        <v>116</v>
      </c>
      <c r="W610" t="str">
        <f t="shared" si="69"/>
        <v>N23 - N24|04 Inspecciones previas - Laboratorio base de asiento</v>
      </c>
      <c r="X610">
        <v>0</v>
      </c>
    </row>
    <row r="611" spans="1:24">
      <c r="A611" t="s">
        <v>82</v>
      </c>
      <c r="B611" s="14" t="s">
        <v>158</v>
      </c>
      <c r="C611" t="s">
        <v>83</v>
      </c>
      <c r="D611" s="13" t="s">
        <v>81</v>
      </c>
      <c r="E611" s="13">
        <v>1</v>
      </c>
      <c r="F611" s="13">
        <f>IF(E611="","",MIN(E611,$X611+SUMIFS('05_Parte_Diario'!$H$5:$H$204,'05_Parte_Diario'!$D$5:$D$204,B611,'05_Parte_Diario'!$E$5:$E$204,C611)))</f>
        <v>0</v>
      </c>
      <c r="G611" s="13">
        <f t="shared" si="63"/>
        <v>1</v>
      </c>
      <c r="H611" s="21">
        <f t="shared" si="64"/>
        <v>0</v>
      </c>
      <c r="I611" s="21">
        <f>IF(OR(B611="",C611="",$V$1=""),"",MIN(E611,SUMIFS('03_Planificacion'!$G$99:$G$178,'03_Planificacion'!$E$99:$E$178,B611,'03_Planificacion'!$F$99:$F$178,C611,'03_Planificacion'!$D$99:$D$178,"&lt;="&amp;$V$1)))</f>
        <v>0</v>
      </c>
      <c r="J611" s="21">
        <f t="shared" si="65"/>
        <v>0</v>
      </c>
      <c r="K611" s="6">
        <f t="shared" si="66"/>
        <v>0</v>
      </c>
      <c r="L611" t="s">
        <v>12</v>
      </c>
      <c r="P611" s="5">
        <f t="shared" si="67"/>
        <v>46287</v>
      </c>
      <c r="Q611" t="s">
        <v>135</v>
      </c>
      <c r="R611">
        <v>110</v>
      </c>
      <c r="S611" t="s">
        <v>70</v>
      </c>
      <c r="T611" t="str">
        <f t="shared" si="68"/>
        <v/>
      </c>
      <c r="U611">
        <f>IF(AND(L611="Para Programar",G611&gt;0),COUNTIFS($L$5:L611,"Para Programar",$G$5:G611,"&gt;0"),"")</f>
        <v>117</v>
      </c>
      <c r="W611" t="str">
        <f t="shared" si="69"/>
        <v>N23 - N24|04 Inspecciones previas - Zanja y materiales</v>
      </c>
      <c r="X611">
        <v>0</v>
      </c>
    </row>
    <row r="612" spans="1:24">
      <c r="A612" t="s">
        <v>84</v>
      </c>
      <c r="B612" s="14" t="s">
        <v>158</v>
      </c>
      <c r="C612" t="s">
        <v>85</v>
      </c>
      <c r="D612" s="13" t="s">
        <v>67</v>
      </c>
      <c r="E612" s="13">
        <v>8</v>
      </c>
      <c r="F612" s="13">
        <f>IF(E612="","",MIN(E612,$X612+SUMIFS('05_Parte_Diario'!$H$5:$H$204,'05_Parte_Diario'!$D$5:$D$204,B612,'05_Parte_Diario'!$E$5:$E$204,C612)))</f>
        <v>0</v>
      </c>
      <c r="G612" s="13">
        <f t="shared" si="63"/>
        <v>8</v>
      </c>
      <c r="H612" s="21">
        <f t="shared" si="64"/>
        <v>0</v>
      </c>
      <c r="I612" s="21">
        <f>IF(OR(B612="",C612="",$V$1=""),"",MIN(E612,SUMIFS('03_Planificacion'!$G$99:$G$178,'03_Planificacion'!$E$99:$E$178,B612,'03_Planificacion'!$F$99:$F$178,C612,'03_Planificacion'!$D$99:$D$178,"&lt;="&amp;$V$1)))</f>
        <v>0</v>
      </c>
      <c r="J612" s="21">
        <f t="shared" si="65"/>
        <v>0</v>
      </c>
      <c r="K612" s="6">
        <f t="shared" si="66"/>
        <v>0</v>
      </c>
      <c r="L612" t="s">
        <v>12</v>
      </c>
      <c r="P612" s="5">
        <f t="shared" si="67"/>
        <v>46287</v>
      </c>
      <c r="Q612" t="s">
        <v>135</v>
      </c>
      <c r="R612">
        <v>110</v>
      </c>
      <c r="S612" t="s">
        <v>70</v>
      </c>
      <c r="T612" t="str">
        <f t="shared" si="68"/>
        <v/>
      </c>
      <c r="U612">
        <f>IF(AND(L612="Para Programar",G612&gt;0),COUNTIFS($L$5:L612,"Para Programar",$G$5:G612,"&gt;0"),"")</f>
        <v>118</v>
      </c>
      <c r="W612" t="str">
        <f t="shared" si="69"/>
        <v>N23 - N24|05 Tendido de cañería - Cañería principal</v>
      </c>
      <c r="X612">
        <v>0</v>
      </c>
    </row>
    <row r="613" spans="1:24">
      <c r="A613" t="s">
        <v>86</v>
      </c>
      <c r="B613" s="14" t="s">
        <v>158</v>
      </c>
      <c r="C613" t="s">
        <v>87</v>
      </c>
      <c r="D613" s="13" t="s">
        <v>67</v>
      </c>
      <c r="E613" s="13">
        <v>8</v>
      </c>
      <c r="F613" s="13">
        <f>IF(E613="","",MIN(E613,$X613+SUMIFS('05_Parte_Diario'!$H$5:$H$204,'05_Parte_Diario'!$D$5:$D$204,B613,'05_Parte_Diario'!$E$5:$E$204,C613)))</f>
        <v>0</v>
      </c>
      <c r="G613" s="13">
        <f t="shared" si="63"/>
        <v>8</v>
      </c>
      <c r="H613" s="21">
        <f t="shared" si="64"/>
        <v>0</v>
      </c>
      <c r="I613" s="21">
        <f>IF(OR(B613="",C613="",$V$1=""),"",MIN(E613,SUMIFS('03_Planificacion'!$G$99:$G$178,'03_Planificacion'!$E$99:$E$178,B613,'03_Planificacion'!$F$99:$F$178,C613,'03_Planificacion'!$D$99:$D$178,"&lt;="&amp;$V$1)))</f>
        <v>0</v>
      </c>
      <c r="J613" s="21">
        <f t="shared" si="65"/>
        <v>0</v>
      </c>
      <c r="K613" s="6">
        <f t="shared" si="66"/>
        <v>0</v>
      </c>
      <c r="L613" t="s">
        <v>68</v>
      </c>
      <c r="P613" s="5">
        <f t="shared" si="67"/>
        <v>46287</v>
      </c>
      <c r="Q613" t="s">
        <v>135</v>
      </c>
      <c r="R613">
        <v>110</v>
      </c>
      <c r="S613" t="s">
        <v>70</v>
      </c>
      <c r="T613" t="str">
        <f t="shared" si="68"/>
        <v/>
      </c>
      <c r="U613" t="str">
        <f>IF(AND(L613="Para Programar",G613&gt;0),COUNTIFS($L$5:L613,"Para Programar",$G$5:G613,"&gt;0"),"")</f>
        <v/>
      </c>
      <c r="W613" t="str">
        <f t="shared" si="69"/>
        <v>N23 - N24|05 Tendido de cañería - Relevamiento planialtimétrico</v>
      </c>
      <c r="X613">
        <v>0</v>
      </c>
    </row>
    <row r="614" spans="1:24">
      <c r="A614" t="s">
        <v>88</v>
      </c>
      <c r="B614" s="14" t="s">
        <v>158</v>
      </c>
      <c r="C614" t="s">
        <v>89</v>
      </c>
      <c r="D614" s="13" t="s">
        <v>81</v>
      </c>
      <c r="E614" s="13">
        <v>1</v>
      </c>
      <c r="F614" s="13">
        <f>IF(E614="","",MIN(E614,$X614+SUMIFS('05_Parte_Diario'!$H$5:$H$204,'05_Parte_Diario'!$D$5:$D$204,B614,'05_Parte_Diario'!$E$5:$E$204,C614)))</f>
        <v>0</v>
      </c>
      <c r="G614" s="13">
        <f t="shared" si="63"/>
        <v>1</v>
      </c>
      <c r="H614" s="21">
        <f t="shared" si="64"/>
        <v>0</v>
      </c>
      <c r="I614" s="21">
        <f>IF(OR(B614="",C614="",$V$1=""),"",MIN(E614,SUMIFS('03_Planificacion'!$G$99:$G$178,'03_Planificacion'!$E$99:$E$178,B614,'03_Planificacion'!$F$99:$F$178,C614,'03_Planificacion'!$D$99:$D$178,"&lt;="&amp;$V$1)))</f>
        <v>0</v>
      </c>
      <c r="J614" s="21">
        <f t="shared" si="65"/>
        <v>0</v>
      </c>
      <c r="K614" s="6">
        <f t="shared" si="66"/>
        <v>0</v>
      </c>
      <c r="L614" t="s">
        <v>68</v>
      </c>
      <c r="P614" s="5">
        <f t="shared" si="67"/>
        <v>46287</v>
      </c>
      <c r="Q614" t="s">
        <v>135</v>
      </c>
      <c r="R614">
        <v>110</v>
      </c>
      <c r="S614" t="s">
        <v>70</v>
      </c>
      <c r="T614" t="str">
        <f t="shared" si="68"/>
        <v/>
      </c>
      <c r="U614" t="str">
        <f>IF(AND(L614="Para Programar",G614&gt;0),COUNTIFS($L$5:L614,"Para Programar",$G$5:G614,"&gt;0"),"")</f>
        <v/>
      </c>
      <c r="W614" t="str">
        <f t="shared" si="69"/>
        <v>N23 - N24|08 Prueba hidráulica - Preparación del sistema</v>
      </c>
      <c r="X614">
        <v>0</v>
      </c>
    </row>
    <row r="615" spans="1:24">
      <c r="A615" t="s">
        <v>90</v>
      </c>
      <c r="B615" s="14" t="s">
        <v>158</v>
      </c>
      <c r="C615" t="s">
        <v>91</v>
      </c>
      <c r="D615" s="13" t="s">
        <v>81</v>
      </c>
      <c r="E615" s="13">
        <v>1</v>
      </c>
      <c r="F615" s="13">
        <f>IF(E615="","",MIN(E615,$X615+SUMIFS('05_Parte_Diario'!$H$5:$H$204,'05_Parte_Diario'!$D$5:$D$204,B615,'05_Parte_Diario'!$E$5:$E$204,C615)))</f>
        <v>0</v>
      </c>
      <c r="G615" s="13">
        <f t="shared" si="63"/>
        <v>1</v>
      </c>
      <c r="H615" s="21">
        <f t="shared" si="64"/>
        <v>0</v>
      </c>
      <c r="I615" s="21">
        <f>IF(OR(B615="",C615="",$V$1=""),"",MIN(E615,SUMIFS('03_Planificacion'!$G$99:$G$178,'03_Planificacion'!$E$99:$E$178,B615,'03_Planificacion'!$F$99:$F$178,C615,'03_Planificacion'!$D$99:$D$178,"&lt;="&amp;$V$1)))</f>
        <v>0</v>
      </c>
      <c r="J615" s="21">
        <f t="shared" si="65"/>
        <v>0</v>
      </c>
      <c r="K615" s="6">
        <f t="shared" si="66"/>
        <v>0</v>
      </c>
      <c r="L615" t="s">
        <v>68</v>
      </c>
      <c r="P615" s="5">
        <f t="shared" si="67"/>
        <v>46287</v>
      </c>
      <c r="Q615" t="s">
        <v>135</v>
      </c>
      <c r="R615">
        <v>110</v>
      </c>
      <c r="S615" t="s">
        <v>70</v>
      </c>
      <c r="T615" t="str">
        <f t="shared" si="68"/>
        <v/>
      </c>
      <c r="U615" t="str">
        <f>IF(AND(L615="Para Programar",G615&gt;0),COUNTIFS($L$5:L615,"Para Programar",$G$5:G615,"&gt;0"),"")</f>
        <v/>
      </c>
      <c r="W615" t="str">
        <f t="shared" si="69"/>
        <v>N23 - N24|08 Prueba hidráulica - Interna N° 1</v>
      </c>
      <c r="X615">
        <v>0</v>
      </c>
    </row>
    <row r="616" spans="1:24">
      <c r="A616" t="s">
        <v>92</v>
      </c>
      <c r="B616" s="14" t="s">
        <v>158</v>
      </c>
      <c r="C616" t="s">
        <v>93</v>
      </c>
      <c r="D616" s="13" t="s">
        <v>81</v>
      </c>
      <c r="E616" s="13">
        <v>1</v>
      </c>
      <c r="F616" s="13">
        <f>IF(E616="","",MIN(E616,$X616+SUMIFS('05_Parte_Diario'!$H$5:$H$204,'05_Parte_Diario'!$D$5:$D$204,B616,'05_Parte_Diario'!$E$5:$E$204,C616)))</f>
        <v>0</v>
      </c>
      <c r="G616" s="13">
        <f t="shared" si="63"/>
        <v>1</v>
      </c>
      <c r="H616" s="21">
        <f t="shared" si="64"/>
        <v>0</v>
      </c>
      <c r="I616" s="21">
        <f>IF(OR(B616="",C616="",$V$1=""),"",MIN(E616,SUMIFS('03_Planificacion'!$G$99:$G$178,'03_Planificacion'!$E$99:$E$178,B616,'03_Planificacion'!$F$99:$F$178,C616,'03_Planificacion'!$D$99:$D$178,"&lt;="&amp;$V$1)))</f>
        <v>0</v>
      </c>
      <c r="J616" s="21">
        <f t="shared" si="65"/>
        <v>0</v>
      </c>
      <c r="K616" s="6">
        <f t="shared" si="66"/>
        <v>0</v>
      </c>
      <c r="L616" t="s">
        <v>68</v>
      </c>
      <c r="P616" s="5">
        <f t="shared" si="67"/>
        <v>46287</v>
      </c>
      <c r="Q616" t="s">
        <v>135</v>
      </c>
      <c r="R616">
        <v>110</v>
      </c>
      <c r="S616" t="s">
        <v>70</v>
      </c>
      <c r="T616" t="str">
        <f t="shared" si="68"/>
        <v/>
      </c>
      <c r="U616" t="str">
        <f>IF(AND(L616="Para Programar",G616&gt;0),COUNTIFS($L$5:L616,"Para Programar",$G$5:G616,"&gt;0"),"")</f>
        <v/>
      </c>
      <c r="W616" t="str">
        <f t="shared" si="69"/>
        <v>N23 - N24|08 Prueba hidráulica - Interna N° 2</v>
      </c>
      <c r="X616">
        <v>0</v>
      </c>
    </row>
    <row r="617" spans="1:24">
      <c r="A617" t="s">
        <v>94</v>
      </c>
      <c r="B617" s="14" t="s">
        <v>158</v>
      </c>
      <c r="C617" t="s">
        <v>95</v>
      </c>
      <c r="D617" s="13" t="s">
        <v>81</v>
      </c>
      <c r="E617" s="13">
        <v>1</v>
      </c>
      <c r="F617" s="13">
        <f>IF(E617="","",MIN(E617,$X617+SUMIFS('05_Parte_Diario'!$H$5:$H$204,'05_Parte_Diario'!$D$5:$D$204,B617,'05_Parte_Diario'!$E$5:$E$204,C617)))</f>
        <v>0</v>
      </c>
      <c r="G617" s="13">
        <f t="shared" si="63"/>
        <v>1</v>
      </c>
      <c r="H617" s="21">
        <f t="shared" si="64"/>
        <v>0</v>
      </c>
      <c r="I617" s="21">
        <f>IF(OR(B617="",C617="",$V$1=""),"",MIN(E617,SUMIFS('03_Planificacion'!$G$99:$G$178,'03_Planificacion'!$E$99:$E$178,B617,'03_Planificacion'!$F$99:$F$178,C617,'03_Planificacion'!$D$99:$D$178,"&lt;="&amp;$V$1)))</f>
        <v>0</v>
      </c>
      <c r="J617" s="21">
        <f t="shared" si="65"/>
        <v>0</v>
      </c>
      <c r="K617" s="6">
        <f t="shared" si="66"/>
        <v>0</v>
      </c>
      <c r="L617" t="s">
        <v>68</v>
      </c>
      <c r="P617" s="5">
        <f t="shared" si="67"/>
        <v>46287</v>
      </c>
      <c r="Q617" t="s">
        <v>135</v>
      </c>
      <c r="R617">
        <v>110</v>
      </c>
      <c r="S617" t="s">
        <v>70</v>
      </c>
      <c r="T617" t="str">
        <f t="shared" si="68"/>
        <v/>
      </c>
      <c r="U617" t="str">
        <f>IF(AND(L617="Para Programar",G617&gt;0),COUNTIFS($L$5:L617,"Para Programar",$G$5:G617,"&gt;0"),"")</f>
        <v/>
      </c>
      <c r="W617" t="str">
        <f t="shared" si="69"/>
        <v>N23 - N24|08 Prueba hidráulica - Primera prueba oficial</v>
      </c>
      <c r="X617">
        <v>0</v>
      </c>
    </row>
    <row r="618" spans="1:24">
      <c r="A618" t="s">
        <v>96</v>
      </c>
      <c r="B618" s="14" t="s">
        <v>158</v>
      </c>
      <c r="C618" t="s">
        <v>97</v>
      </c>
      <c r="D618" s="13" t="s">
        <v>67</v>
      </c>
      <c r="E618" s="13">
        <v>8</v>
      </c>
      <c r="F618" s="13">
        <f>IF(E618="","",MIN(E618,$X618+SUMIFS('05_Parte_Diario'!$H$5:$H$204,'05_Parte_Diario'!$D$5:$D$204,B618,'05_Parte_Diario'!$E$5:$E$204,C618)))</f>
        <v>0</v>
      </c>
      <c r="G618" s="13">
        <f t="shared" si="63"/>
        <v>8</v>
      </c>
      <c r="H618" s="21">
        <f t="shared" si="64"/>
        <v>0</v>
      </c>
      <c r="I618" s="21">
        <f>IF(OR(B618="",C618="",$V$1=""),"",MIN(E618,SUMIFS('03_Planificacion'!$G$99:$G$178,'03_Planificacion'!$E$99:$E$178,B618,'03_Planificacion'!$F$99:$F$178,C618,'03_Planificacion'!$D$99:$D$178,"&lt;="&amp;$V$1)))</f>
        <v>0</v>
      </c>
      <c r="J618" s="21">
        <f t="shared" si="65"/>
        <v>0</v>
      </c>
      <c r="K618" s="6">
        <f t="shared" si="66"/>
        <v>0</v>
      </c>
      <c r="L618" t="s">
        <v>68</v>
      </c>
      <c r="P618" s="5">
        <f t="shared" si="67"/>
        <v>46287</v>
      </c>
      <c r="Q618" t="s">
        <v>135</v>
      </c>
      <c r="R618">
        <v>110</v>
      </c>
      <c r="S618" t="s">
        <v>70</v>
      </c>
      <c r="T618" t="str">
        <f t="shared" si="68"/>
        <v/>
      </c>
      <c r="U618" t="str">
        <f>IF(AND(L618="Para Programar",G618&gt;0),COUNTIFS($L$5:L618,"Para Programar",$G$5:G618,"&gt;0"),"")</f>
        <v/>
      </c>
      <c r="W618" t="str">
        <f t="shared" si="69"/>
        <v>N23 - N24|09 Paquete estructural - Aporte e=0,30 m</v>
      </c>
      <c r="X618">
        <v>0</v>
      </c>
    </row>
    <row r="619" spans="1:24">
      <c r="A619" t="s">
        <v>98</v>
      </c>
      <c r="B619" s="14" t="s">
        <v>158</v>
      </c>
      <c r="C619" t="s">
        <v>99</v>
      </c>
      <c r="D619" s="13" t="s">
        <v>67</v>
      </c>
      <c r="E619" s="13">
        <v>8</v>
      </c>
      <c r="F619" s="13">
        <f>IF(E619="","",MIN(E619,$X619+SUMIFS('05_Parte_Diario'!$H$5:$H$204,'05_Parte_Diario'!$D$5:$D$204,B619,'05_Parte_Diario'!$E$5:$E$204,C619)))</f>
        <v>0</v>
      </c>
      <c r="G619" s="13">
        <f t="shared" si="63"/>
        <v>8</v>
      </c>
      <c r="H619" s="21">
        <f t="shared" si="64"/>
        <v>0</v>
      </c>
      <c r="I619" s="21">
        <f>IF(OR(B619="",C619="",$V$1=""),"",MIN(E619,SUMIFS('03_Planificacion'!$G$99:$G$178,'03_Planificacion'!$E$99:$E$178,B619,'03_Planificacion'!$F$99:$F$178,C619,'03_Planificacion'!$D$99:$D$178,"&lt;="&amp;$V$1)))</f>
        <v>0</v>
      </c>
      <c r="J619" s="21">
        <f t="shared" si="65"/>
        <v>0</v>
      </c>
      <c r="K619" s="6">
        <f t="shared" si="66"/>
        <v>0</v>
      </c>
      <c r="L619" t="s">
        <v>68</v>
      </c>
      <c r="P619" s="5">
        <f t="shared" si="67"/>
        <v>46287</v>
      </c>
      <c r="Q619" t="s">
        <v>135</v>
      </c>
      <c r="R619">
        <v>110</v>
      </c>
      <c r="S619" t="s">
        <v>70</v>
      </c>
      <c r="T619" t="str">
        <f t="shared" si="68"/>
        <v/>
      </c>
      <c r="U619" t="str">
        <f>IF(AND(L619="Para Programar",G619&gt;0),COUNTIFS($L$5:L619,"Para Programar",$G$5:G619,"&gt;0"),"")</f>
        <v/>
      </c>
      <c r="W619" t="str">
        <f t="shared" si="69"/>
        <v>N23 - N24|09 Paquete estructural - Compactación</v>
      </c>
      <c r="X619">
        <v>0</v>
      </c>
    </row>
    <row r="620" spans="1:24">
      <c r="A620" t="s">
        <v>100</v>
      </c>
      <c r="B620" s="14" t="s">
        <v>158</v>
      </c>
      <c r="C620" t="s">
        <v>101</v>
      </c>
      <c r="D620" s="13" t="s">
        <v>81</v>
      </c>
      <c r="E620" s="13">
        <v>1</v>
      </c>
      <c r="F620" s="13">
        <f>IF(E620="","",MIN(E620,$X620+SUMIFS('05_Parte_Diario'!$H$5:$H$204,'05_Parte_Diario'!$D$5:$D$204,B620,'05_Parte_Diario'!$E$5:$E$204,C620)))</f>
        <v>0</v>
      </c>
      <c r="G620" s="13">
        <f t="shared" si="63"/>
        <v>1</v>
      </c>
      <c r="H620" s="21">
        <f t="shared" si="64"/>
        <v>0</v>
      </c>
      <c r="I620" s="21">
        <f>IF(OR(B620="",C620="",$V$1=""),"",MIN(E620,SUMIFS('03_Planificacion'!$G$99:$G$178,'03_Planificacion'!$E$99:$E$178,B620,'03_Planificacion'!$F$99:$F$178,C620,'03_Planificacion'!$D$99:$D$178,"&lt;="&amp;$V$1)))</f>
        <v>0</v>
      </c>
      <c r="J620" s="21">
        <f t="shared" si="65"/>
        <v>0</v>
      </c>
      <c r="K620" s="6">
        <f t="shared" si="66"/>
        <v>0</v>
      </c>
      <c r="L620" t="s">
        <v>68</v>
      </c>
      <c r="P620" s="5">
        <f t="shared" si="67"/>
        <v>46287</v>
      </c>
      <c r="Q620" t="s">
        <v>135</v>
      </c>
      <c r="R620">
        <v>110</v>
      </c>
      <c r="S620" t="s">
        <v>70</v>
      </c>
      <c r="T620" t="str">
        <f t="shared" si="68"/>
        <v/>
      </c>
      <c r="U620" t="str">
        <f>IF(AND(L620="Para Programar",G620&gt;0),COUNTIFS($L$5:L620,"Para Programar",$G$5:G620,"&gt;0"),"")</f>
        <v/>
      </c>
      <c r="W620" t="str">
        <f t="shared" si="69"/>
        <v>N23 - N24|09 Paquete estructural - Inspección laboratorio</v>
      </c>
      <c r="X620">
        <v>0</v>
      </c>
    </row>
    <row r="621" spans="1:24">
      <c r="A621" t="s">
        <v>102</v>
      </c>
      <c r="B621" s="14" t="s">
        <v>158</v>
      </c>
      <c r="C621" t="s">
        <v>103</v>
      </c>
      <c r="D621" s="13" t="s">
        <v>67</v>
      </c>
      <c r="E621" s="13">
        <v>8</v>
      </c>
      <c r="F621" s="13">
        <f>IF(E621="","",MIN(E621,$X621+SUMIFS('05_Parte_Diario'!$H$5:$H$204,'05_Parte_Diario'!$D$5:$D$204,B621,'05_Parte_Diario'!$E$5:$E$204,C621)))</f>
        <v>0</v>
      </c>
      <c r="G621" s="13">
        <f t="shared" si="63"/>
        <v>8</v>
      </c>
      <c r="H621" s="21">
        <f t="shared" si="64"/>
        <v>0</v>
      </c>
      <c r="I621" s="21">
        <f>IF(OR(B621="",C621="",$V$1=""),"",MIN(E621,SUMIFS('03_Planificacion'!$G$99:$G$178,'03_Planificacion'!$E$99:$E$178,B621,'03_Planificacion'!$F$99:$F$178,C621,'03_Planificacion'!$D$99:$D$178,"&lt;="&amp;$V$1)))</f>
        <v>0</v>
      </c>
      <c r="J621" s="21">
        <f t="shared" si="65"/>
        <v>0</v>
      </c>
      <c r="K621" s="6">
        <f t="shared" si="66"/>
        <v>0</v>
      </c>
      <c r="L621" t="s">
        <v>68</v>
      </c>
      <c r="P621" s="5">
        <f t="shared" si="67"/>
        <v>46287</v>
      </c>
      <c r="Q621" t="s">
        <v>135</v>
      </c>
      <c r="R621">
        <v>110</v>
      </c>
      <c r="S621" t="s">
        <v>70</v>
      </c>
      <c r="T621" t="str">
        <f t="shared" si="68"/>
        <v/>
      </c>
      <c r="U621" t="str">
        <f>IF(AND(L621="Para Programar",G621&gt;0),COUNTIFS($L$5:L621,"Para Programar",$G$5:G621,"&gt;0"),"")</f>
        <v/>
      </c>
      <c r="W621" t="str">
        <f t="shared" si="69"/>
        <v>N23 - N24|10 Relleno -0,60 - Conformación de capa</v>
      </c>
      <c r="X621">
        <v>0</v>
      </c>
    </row>
    <row r="622" spans="1:24">
      <c r="A622" t="s">
        <v>104</v>
      </c>
      <c r="B622" s="14" t="s">
        <v>158</v>
      </c>
      <c r="C622" t="s">
        <v>105</v>
      </c>
      <c r="D622" s="13" t="s">
        <v>67</v>
      </c>
      <c r="E622" s="13">
        <v>8</v>
      </c>
      <c r="F622" s="13">
        <f>IF(E622="","",MIN(E622,$X622+SUMIFS('05_Parte_Diario'!$H$5:$H$204,'05_Parte_Diario'!$D$5:$D$204,B622,'05_Parte_Diario'!$E$5:$E$204,C622)))</f>
        <v>0</v>
      </c>
      <c r="G622" s="13">
        <f t="shared" si="63"/>
        <v>8</v>
      </c>
      <c r="H622" s="21">
        <f t="shared" si="64"/>
        <v>0</v>
      </c>
      <c r="I622" s="21">
        <f>IF(OR(B622="",C622="",$V$1=""),"",MIN(E622,SUMIFS('03_Planificacion'!$G$99:$G$178,'03_Planificacion'!$E$99:$E$178,B622,'03_Planificacion'!$F$99:$F$178,C622,'03_Planificacion'!$D$99:$D$178,"&lt;="&amp;$V$1)))</f>
        <v>0</v>
      </c>
      <c r="J622" s="21">
        <f t="shared" si="65"/>
        <v>0</v>
      </c>
      <c r="K622" s="6">
        <f t="shared" si="66"/>
        <v>0</v>
      </c>
      <c r="L622" t="s">
        <v>68</v>
      </c>
      <c r="P622" s="5">
        <f t="shared" si="67"/>
        <v>46287</v>
      </c>
      <c r="Q622" t="s">
        <v>135</v>
      </c>
      <c r="R622">
        <v>110</v>
      </c>
      <c r="S622" t="s">
        <v>70</v>
      </c>
      <c r="T622" t="str">
        <f t="shared" si="68"/>
        <v/>
      </c>
      <c r="U622" t="str">
        <f>IF(AND(L622="Para Programar",G622&gt;0),COUNTIFS($L$5:L622,"Para Programar",$G$5:G622,"&gt;0"),"")</f>
        <v/>
      </c>
      <c r="W622" t="str">
        <f t="shared" si="69"/>
        <v>N23 - N24|10 Relleno -0,60 - Humectación</v>
      </c>
      <c r="X622">
        <v>0</v>
      </c>
    </row>
    <row r="623" spans="1:24">
      <c r="A623" t="s">
        <v>106</v>
      </c>
      <c r="B623" s="14" t="s">
        <v>158</v>
      </c>
      <c r="C623" t="s">
        <v>107</v>
      </c>
      <c r="D623" s="13" t="s">
        <v>67</v>
      </c>
      <c r="E623" s="13">
        <v>8</v>
      </c>
      <c r="F623" s="13">
        <f>IF(E623="","",MIN(E623,$X623+SUMIFS('05_Parte_Diario'!$H$5:$H$204,'05_Parte_Diario'!$D$5:$D$204,B623,'05_Parte_Diario'!$E$5:$E$204,C623)))</f>
        <v>0</v>
      </c>
      <c r="G623" s="13">
        <f t="shared" si="63"/>
        <v>8</v>
      </c>
      <c r="H623" s="21">
        <f t="shared" si="64"/>
        <v>0</v>
      </c>
      <c r="I623" s="21">
        <f>IF(OR(B623="",C623="",$V$1=""),"",MIN(E623,SUMIFS('03_Planificacion'!$G$99:$G$178,'03_Planificacion'!$E$99:$E$178,B623,'03_Planificacion'!$F$99:$F$178,C623,'03_Planificacion'!$D$99:$D$178,"&lt;="&amp;$V$1)))</f>
        <v>0</v>
      </c>
      <c r="J623" s="21">
        <f t="shared" si="65"/>
        <v>0</v>
      </c>
      <c r="K623" s="6">
        <f t="shared" si="66"/>
        <v>0</v>
      </c>
      <c r="L623" t="s">
        <v>68</v>
      </c>
      <c r="P623" s="5">
        <f t="shared" si="67"/>
        <v>46287</v>
      </c>
      <c r="Q623" t="s">
        <v>135</v>
      </c>
      <c r="R623">
        <v>110</v>
      </c>
      <c r="S623" t="s">
        <v>70</v>
      </c>
      <c r="T623" t="str">
        <f t="shared" si="68"/>
        <v/>
      </c>
      <c r="U623" t="str">
        <f>IF(AND(L623="Para Programar",G623&gt;0),COUNTIFS($L$5:L623,"Para Programar",$G$5:G623,"&gt;0"),"")</f>
        <v/>
      </c>
      <c r="W623" t="str">
        <f t="shared" si="69"/>
        <v>N23 - N24|10 Relleno -0,60 - Compactación</v>
      </c>
      <c r="X623">
        <v>0</v>
      </c>
    </row>
    <row r="624" spans="1:24">
      <c r="A624" t="s">
        <v>108</v>
      </c>
      <c r="B624" s="14" t="s">
        <v>158</v>
      </c>
      <c r="C624" t="s">
        <v>109</v>
      </c>
      <c r="D624" s="13" t="s">
        <v>81</v>
      </c>
      <c r="E624" s="13">
        <v>1</v>
      </c>
      <c r="F624" s="13">
        <f>IF(E624="","",MIN(E624,$X624+SUMIFS('05_Parte_Diario'!$H$5:$H$204,'05_Parte_Diario'!$D$5:$D$204,B624,'05_Parte_Diario'!$E$5:$E$204,C624)))</f>
        <v>0</v>
      </c>
      <c r="G624" s="13">
        <f t="shared" si="63"/>
        <v>1</v>
      </c>
      <c r="H624" s="21">
        <f t="shared" si="64"/>
        <v>0</v>
      </c>
      <c r="I624" s="21">
        <f>IF(OR(B624="",C624="",$V$1=""),"",MIN(E624,SUMIFS('03_Planificacion'!$G$99:$G$178,'03_Planificacion'!$E$99:$E$178,B624,'03_Planificacion'!$F$99:$F$178,C624,'03_Planificacion'!$D$99:$D$178,"&lt;="&amp;$V$1)))</f>
        <v>0</v>
      </c>
      <c r="J624" s="21">
        <f t="shared" si="65"/>
        <v>0</v>
      </c>
      <c r="K624" s="6">
        <f t="shared" si="66"/>
        <v>0</v>
      </c>
      <c r="L624" t="s">
        <v>68</v>
      </c>
      <c r="P624" s="5">
        <f t="shared" si="67"/>
        <v>46287</v>
      </c>
      <c r="Q624" t="s">
        <v>135</v>
      </c>
      <c r="R624">
        <v>110</v>
      </c>
      <c r="S624" t="s">
        <v>70</v>
      </c>
      <c r="T624" t="str">
        <f t="shared" si="68"/>
        <v/>
      </c>
      <c r="U624" t="str">
        <f>IF(AND(L624="Para Programar",G624&gt;0),COUNTIFS($L$5:L624,"Para Programar",$G$5:G624,"&gt;0"),"")</f>
        <v/>
      </c>
      <c r="W624" t="str">
        <f t="shared" si="69"/>
        <v>N23 - N24|10 Relleno -0,60 - Inspección laboratorio</v>
      </c>
      <c r="X624">
        <v>0</v>
      </c>
    </row>
    <row r="625" spans="1:24">
      <c r="A625" t="s">
        <v>110</v>
      </c>
      <c r="B625" s="14" t="s">
        <v>158</v>
      </c>
      <c r="C625" t="s">
        <v>111</v>
      </c>
      <c r="D625" s="13" t="s">
        <v>67</v>
      </c>
      <c r="E625" s="13">
        <v>8</v>
      </c>
      <c r="F625" s="13">
        <f>IF(E625="","",MIN(E625,$X625+SUMIFS('05_Parte_Diario'!$H$5:$H$204,'05_Parte_Diario'!$D$5:$D$204,B625,'05_Parte_Diario'!$E$5:$E$204,C625)))</f>
        <v>0</v>
      </c>
      <c r="G625" s="13">
        <f t="shared" si="63"/>
        <v>8</v>
      </c>
      <c r="H625" s="21">
        <f t="shared" si="64"/>
        <v>0</v>
      </c>
      <c r="I625" s="21">
        <f>IF(OR(B625="",C625="",$V$1=""),"",MIN(E625,SUMIFS('03_Planificacion'!$G$99:$G$178,'03_Planificacion'!$E$99:$E$178,B625,'03_Planificacion'!$F$99:$F$178,C625,'03_Planificacion'!$D$99:$D$178,"&lt;="&amp;$V$1)))</f>
        <v>0</v>
      </c>
      <c r="J625" s="21">
        <f t="shared" si="65"/>
        <v>0</v>
      </c>
      <c r="K625" s="6">
        <f t="shared" si="66"/>
        <v>0</v>
      </c>
      <c r="L625" t="s">
        <v>68</v>
      </c>
      <c r="P625" s="5">
        <f t="shared" si="67"/>
        <v>46287</v>
      </c>
      <c r="Q625" t="s">
        <v>135</v>
      </c>
      <c r="R625">
        <v>110</v>
      </c>
      <c r="S625" t="s">
        <v>70</v>
      </c>
      <c r="T625" t="str">
        <f t="shared" si="68"/>
        <v/>
      </c>
      <c r="U625" t="str">
        <f>IF(AND(L625="Para Programar",G625&gt;0),COUNTIFS($L$5:L625,"Para Programar",$G$5:G625,"&gt;0"),"")</f>
        <v/>
      </c>
      <c r="W625" t="str">
        <f t="shared" si="69"/>
        <v>N23 - N24|11 Relleno -0,30 - Conformación de capa</v>
      </c>
      <c r="X625">
        <v>0</v>
      </c>
    </row>
    <row r="626" spans="1:24">
      <c r="A626" t="s">
        <v>112</v>
      </c>
      <c r="B626" s="14" t="s">
        <v>158</v>
      </c>
      <c r="C626" t="s">
        <v>113</v>
      </c>
      <c r="D626" s="13" t="s">
        <v>67</v>
      </c>
      <c r="E626" s="13">
        <v>8</v>
      </c>
      <c r="F626" s="13">
        <f>IF(E626="","",MIN(E626,$X626+SUMIFS('05_Parte_Diario'!$H$5:$H$204,'05_Parte_Diario'!$D$5:$D$204,B626,'05_Parte_Diario'!$E$5:$E$204,C626)))</f>
        <v>0</v>
      </c>
      <c r="G626" s="13">
        <f t="shared" si="63"/>
        <v>8</v>
      </c>
      <c r="H626" s="21">
        <f t="shared" si="64"/>
        <v>0</v>
      </c>
      <c r="I626" s="21">
        <f>IF(OR(B626="",C626="",$V$1=""),"",MIN(E626,SUMIFS('03_Planificacion'!$G$99:$G$178,'03_Planificacion'!$E$99:$E$178,B626,'03_Planificacion'!$F$99:$F$178,C626,'03_Planificacion'!$D$99:$D$178,"&lt;="&amp;$V$1)))</f>
        <v>0</v>
      </c>
      <c r="J626" s="21">
        <f t="shared" si="65"/>
        <v>0</v>
      </c>
      <c r="K626" s="6">
        <f t="shared" si="66"/>
        <v>0</v>
      </c>
      <c r="L626" t="s">
        <v>68</v>
      </c>
      <c r="P626" s="5">
        <f t="shared" si="67"/>
        <v>46287</v>
      </c>
      <c r="Q626" t="s">
        <v>135</v>
      </c>
      <c r="R626">
        <v>110</v>
      </c>
      <c r="S626" t="s">
        <v>70</v>
      </c>
      <c r="T626" t="str">
        <f t="shared" si="68"/>
        <v/>
      </c>
      <c r="U626" t="str">
        <f>IF(AND(L626="Para Programar",G626&gt;0),COUNTIFS($L$5:L626,"Para Programar",$G$5:G626,"&gt;0"),"")</f>
        <v/>
      </c>
      <c r="W626" t="str">
        <f t="shared" si="69"/>
        <v>N23 - N24|11 Relleno -0,30 - Humectación</v>
      </c>
      <c r="X626">
        <v>0</v>
      </c>
    </row>
    <row r="627" spans="1:24">
      <c r="A627" t="s">
        <v>114</v>
      </c>
      <c r="B627" s="14" t="s">
        <v>158</v>
      </c>
      <c r="C627" t="s">
        <v>115</v>
      </c>
      <c r="D627" s="13" t="s">
        <v>67</v>
      </c>
      <c r="E627" s="13">
        <v>8</v>
      </c>
      <c r="F627" s="13">
        <f>IF(E627="","",MIN(E627,$X627+SUMIFS('05_Parte_Diario'!$H$5:$H$204,'05_Parte_Diario'!$D$5:$D$204,B627,'05_Parte_Diario'!$E$5:$E$204,C627)))</f>
        <v>0</v>
      </c>
      <c r="G627" s="13">
        <f t="shared" si="63"/>
        <v>8</v>
      </c>
      <c r="H627" s="21">
        <f t="shared" si="64"/>
        <v>0</v>
      </c>
      <c r="I627" s="21">
        <f>IF(OR(B627="",C627="",$V$1=""),"",MIN(E627,SUMIFS('03_Planificacion'!$G$99:$G$178,'03_Planificacion'!$E$99:$E$178,B627,'03_Planificacion'!$F$99:$F$178,C627,'03_Planificacion'!$D$99:$D$178,"&lt;="&amp;$V$1)))</f>
        <v>0</v>
      </c>
      <c r="J627" s="21">
        <f t="shared" si="65"/>
        <v>0</v>
      </c>
      <c r="K627" s="6">
        <f t="shared" si="66"/>
        <v>0</v>
      </c>
      <c r="L627" t="s">
        <v>68</v>
      </c>
      <c r="P627" s="5">
        <f t="shared" si="67"/>
        <v>46287</v>
      </c>
      <c r="Q627" t="s">
        <v>135</v>
      </c>
      <c r="R627">
        <v>110</v>
      </c>
      <c r="S627" t="s">
        <v>70</v>
      </c>
      <c r="T627" t="str">
        <f t="shared" si="68"/>
        <v/>
      </c>
      <c r="U627" t="str">
        <f>IF(AND(L627="Para Programar",G627&gt;0),COUNTIFS($L$5:L627,"Para Programar",$G$5:G627,"&gt;0"),"")</f>
        <v/>
      </c>
      <c r="W627" t="str">
        <f t="shared" si="69"/>
        <v>N23 - N24|11 Relleno -0,30 - Compactación</v>
      </c>
      <c r="X627">
        <v>0</v>
      </c>
    </row>
    <row r="628" spans="1:24">
      <c r="A628" t="s">
        <v>116</v>
      </c>
      <c r="B628" s="14" t="s">
        <v>158</v>
      </c>
      <c r="C628" t="s">
        <v>117</v>
      </c>
      <c r="D628" s="13" t="s">
        <v>81</v>
      </c>
      <c r="E628" s="13">
        <v>1</v>
      </c>
      <c r="F628" s="13">
        <f>IF(E628="","",MIN(E628,$X628+SUMIFS('05_Parte_Diario'!$H$5:$H$204,'05_Parte_Diario'!$D$5:$D$204,B628,'05_Parte_Diario'!$E$5:$E$204,C628)))</f>
        <v>0</v>
      </c>
      <c r="G628" s="13">
        <f t="shared" si="63"/>
        <v>1</v>
      </c>
      <c r="H628" s="21">
        <f t="shared" si="64"/>
        <v>0</v>
      </c>
      <c r="I628" s="21">
        <f>IF(OR(B628="",C628="",$V$1=""),"",MIN(E628,SUMIFS('03_Planificacion'!$G$99:$G$178,'03_Planificacion'!$E$99:$E$178,B628,'03_Planificacion'!$F$99:$F$178,C628,'03_Planificacion'!$D$99:$D$178,"&lt;="&amp;$V$1)))</f>
        <v>0</v>
      </c>
      <c r="J628" s="21">
        <f t="shared" si="65"/>
        <v>0</v>
      </c>
      <c r="K628" s="6">
        <f t="shared" si="66"/>
        <v>0</v>
      </c>
      <c r="L628" t="s">
        <v>68</v>
      </c>
      <c r="P628" s="5">
        <f t="shared" si="67"/>
        <v>46287</v>
      </c>
      <c r="Q628" t="s">
        <v>135</v>
      </c>
      <c r="R628">
        <v>110</v>
      </c>
      <c r="S628" t="s">
        <v>70</v>
      </c>
      <c r="T628" t="str">
        <f t="shared" si="68"/>
        <v/>
      </c>
      <c r="U628" t="str">
        <f>IF(AND(L628="Para Programar",G628&gt;0),COUNTIFS($L$5:L628,"Para Programar",$G$5:G628,"&gt;0"),"")</f>
        <v/>
      </c>
      <c r="W628" t="str">
        <f t="shared" si="69"/>
        <v>N23 - N24|11 Relleno -0,30 - Inspección laboratorio</v>
      </c>
      <c r="X628">
        <v>0</v>
      </c>
    </row>
    <row r="629" spans="1:24">
      <c r="A629" t="s">
        <v>64</v>
      </c>
      <c r="B629" s="14" t="s">
        <v>159</v>
      </c>
      <c r="C629" t="s">
        <v>66</v>
      </c>
      <c r="D629" s="13" t="s">
        <v>67</v>
      </c>
      <c r="E629" s="13">
        <v>15</v>
      </c>
      <c r="F629" s="13">
        <f>IF(E629="","",MIN(E629,$X629+SUMIFS('05_Parte_Diario'!$H$5:$H$204,'05_Parte_Diario'!$D$5:$D$204,B629,'05_Parte_Diario'!$E$5:$E$204,C629)))</f>
        <v>15</v>
      </c>
      <c r="G629" s="13">
        <f t="shared" si="63"/>
        <v>0</v>
      </c>
      <c r="H629" s="21">
        <f t="shared" si="64"/>
        <v>1</v>
      </c>
      <c r="I629" s="21">
        <f>IF(OR(B629="",C629="",$V$1=""),"",MIN(E629,SUMIFS('03_Planificacion'!$G$99:$G$178,'03_Planificacion'!$E$99:$E$178,B629,'03_Planificacion'!$F$99:$F$178,C629,'03_Planificacion'!$D$99:$D$178,"&lt;="&amp;$V$1)))</f>
        <v>0</v>
      </c>
      <c r="J629" s="21">
        <f t="shared" si="65"/>
        <v>0</v>
      </c>
      <c r="K629" s="6">
        <f t="shared" si="66"/>
        <v>1</v>
      </c>
      <c r="L629" t="s">
        <v>123</v>
      </c>
      <c r="P629" s="5">
        <f t="shared" si="67"/>
        <v>46287</v>
      </c>
      <c r="Q629" t="s">
        <v>125</v>
      </c>
      <c r="R629">
        <v>110</v>
      </c>
      <c r="S629" t="s">
        <v>70</v>
      </c>
      <c r="T629" t="str">
        <f t="shared" si="68"/>
        <v/>
      </c>
      <c r="U629" t="str">
        <f>IF(AND(L629="Para Programar",G629&gt;0),COUNTIFS($L$5:L629,"Para Programar",$G$5:G629,"&gt;0"),"")</f>
        <v/>
      </c>
      <c r="W629" t="str">
        <f t="shared" si="69"/>
        <v>N24 - N25|01 Replanteo - Marcación de tramo de cañería principal</v>
      </c>
      <c r="X629">
        <v>15</v>
      </c>
    </row>
    <row r="630" spans="1:24">
      <c r="A630" t="s">
        <v>71</v>
      </c>
      <c r="B630" s="14" t="s">
        <v>159</v>
      </c>
      <c r="C630" t="s">
        <v>72</v>
      </c>
      <c r="D630" s="13" t="s">
        <v>67</v>
      </c>
      <c r="E630" s="13">
        <v>15</v>
      </c>
      <c r="F630" s="13">
        <f>IF(E630="","",MIN(E630,$X630+SUMIFS('05_Parte_Diario'!$H$5:$H$204,'05_Parte_Diario'!$D$5:$D$204,B630,'05_Parte_Diario'!$E$5:$E$204,C630)))</f>
        <v>15</v>
      </c>
      <c r="G630" s="13">
        <f t="shared" si="63"/>
        <v>0</v>
      </c>
      <c r="H630" s="21">
        <f t="shared" si="64"/>
        <v>1</v>
      </c>
      <c r="I630" s="21">
        <f>IF(OR(B630="",C630="",$V$1=""),"",MIN(E630,SUMIFS('03_Planificacion'!$G$99:$G$178,'03_Planificacion'!$E$99:$E$178,B630,'03_Planificacion'!$F$99:$F$178,C630,'03_Planificacion'!$D$99:$D$178,"&lt;="&amp;$V$1)))</f>
        <v>0</v>
      </c>
      <c r="J630" s="21">
        <f t="shared" si="65"/>
        <v>0</v>
      </c>
      <c r="K630" s="6">
        <f t="shared" si="66"/>
        <v>1</v>
      </c>
      <c r="L630" t="s">
        <v>123</v>
      </c>
      <c r="P630" s="5">
        <f t="shared" si="67"/>
        <v>46287</v>
      </c>
      <c r="Q630" t="s">
        <v>125</v>
      </c>
      <c r="R630">
        <v>110</v>
      </c>
      <c r="S630" t="s">
        <v>70</v>
      </c>
      <c r="T630" t="str">
        <f t="shared" si="68"/>
        <v/>
      </c>
      <c r="U630" t="str">
        <f>IF(AND(L630="Para Programar",G630&gt;0),COUNTIFS($L$5:L630,"Para Programar",$G$5:G630,"&gt;0"),"")</f>
        <v/>
      </c>
      <c r="W630" t="str">
        <f t="shared" si="69"/>
        <v>N24 - N25|02 Excavación - Zanja principal</v>
      </c>
      <c r="X630">
        <v>15</v>
      </c>
    </row>
    <row r="631" spans="1:24">
      <c r="A631" t="s">
        <v>73</v>
      </c>
      <c r="B631" s="14" t="s">
        <v>159</v>
      </c>
      <c r="C631" t="s">
        <v>74</v>
      </c>
      <c r="D631" s="13" t="s">
        <v>67</v>
      </c>
      <c r="E631" s="13">
        <v>15</v>
      </c>
      <c r="F631" s="13">
        <f>IF(E631="","",MIN(E631,$X631+SUMIFS('05_Parte_Diario'!$H$5:$H$204,'05_Parte_Diario'!$D$5:$D$204,B631,'05_Parte_Diario'!$E$5:$E$204,C631)))</f>
        <v>15</v>
      </c>
      <c r="G631" s="13">
        <f t="shared" si="63"/>
        <v>0</v>
      </c>
      <c r="H631" s="21">
        <f t="shared" si="64"/>
        <v>1</v>
      </c>
      <c r="I631" s="21">
        <f>IF(OR(B631="",C631="",$V$1=""),"",MIN(E631,SUMIFS('03_Planificacion'!$G$99:$G$178,'03_Planificacion'!$E$99:$E$178,B631,'03_Planificacion'!$F$99:$F$178,C631,'03_Planificacion'!$D$99:$D$178,"&lt;="&amp;$V$1)))</f>
        <v>0</v>
      </c>
      <c r="J631" s="21">
        <f t="shared" si="65"/>
        <v>0</v>
      </c>
      <c r="K631" s="6">
        <f t="shared" si="66"/>
        <v>1</v>
      </c>
      <c r="L631" t="s">
        <v>123</v>
      </c>
      <c r="P631" s="5">
        <f t="shared" si="67"/>
        <v>46287</v>
      </c>
      <c r="Q631" t="s">
        <v>125</v>
      </c>
      <c r="R631">
        <v>110</v>
      </c>
      <c r="S631" t="s">
        <v>70</v>
      </c>
      <c r="T631" t="str">
        <f t="shared" si="68"/>
        <v/>
      </c>
      <c r="U631" t="str">
        <f>IF(AND(L631="Para Programar",G631&gt;0),COUNTIFS($L$5:L631,"Para Programar",$G$5:G631,"&gt;0"),"")</f>
        <v/>
      </c>
      <c r="W631" t="str">
        <f t="shared" si="69"/>
        <v>N24 - N25|03 Base de asiento - Nivelación de fondo de zanja</v>
      </c>
      <c r="X631">
        <v>15</v>
      </c>
    </row>
    <row r="632" spans="1:24">
      <c r="A632" t="s">
        <v>75</v>
      </c>
      <c r="B632" s="14" t="s">
        <v>159</v>
      </c>
      <c r="C632" t="s">
        <v>76</v>
      </c>
      <c r="D632" s="13" t="s">
        <v>67</v>
      </c>
      <c r="E632" s="13">
        <v>15</v>
      </c>
      <c r="F632" s="13">
        <f>IF(E632="","",MIN(E632,$X632+SUMIFS('05_Parte_Diario'!$H$5:$H$204,'05_Parte_Diario'!$D$5:$D$204,B632,'05_Parte_Diario'!$E$5:$E$204,C632)))</f>
        <v>15</v>
      </c>
      <c r="G632" s="13">
        <f t="shared" si="63"/>
        <v>0</v>
      </c>
      <c r="H632" s="21">
        <f t="shared" si="64"/>
        <v>1</v>
      </c>
      <c r="I632" s="21">
        <f>IF(OR(B632="",C632="",$V$1=""),"",MIN(E632,SUMIFS('03_Planificacion'!$G$99:$G$178,'03_Planificacion'!$E$99:$E$178,B632,'03_Planificacion'!$F$99:$F$178,C632,'03_Planificacion'!$D$99:$D$178,"&lt;="&amp;$V$1)))</f>
        <v>0</v>
      </c>
      <c r="J632" s="21">
        <f t="shared" si="65"/>
        <v>0</v>
      </c>
      <c r="K632" s="6">
        <f t="shared" si="66"/>
        <v>1</v>
      </c>
      <c r="L632" t="s">
        <v>123</v>
      </c>
      <c r="P632" s="5">
        <f t="shared" si="67"/>
        <v>46287</v>
      </c>
      <c r="Q632" t="s">
        <v>125</v>
      </c>
      <c r="R632">
        <v>110</v>
      </c>
      <c r="S632" t="s">
        <v>70</v>
      </c>
      <c r="T632" t="str">
        <f t="shared" si="68"/>
        <v/>
      </c>
      <c r="U632" t="str">
        <f>IF(AND(L632="Para Programar",G632&gt;0),COUNTIFS($L$5:L632,"Para Programar",$G$5:G632,"&gt;0"),"")</f>
        <v/>
      </c>
      <c r="W632" t="str">
        <f t="shared" si="69"/>
        <v>N24 - N25|03 Base de asiento - Aporte de material base e=0,10 m</v>
      </c>
      <c r="X632">
        <v>15</v>
      </c>
    </row>
    <row r="633" spans="1:24">
      <c r="A633" t="s">
        <v>77</v>
      </c>
      <c r="B633" s="14" t="s">
        <v>159</v>
      </c>
      <c r="C633" t="s">
        <v>78</v>
      </c>
      <c r="D633" s="13" t="s">
        <v>67</v>
      </c>
      <c r="E633" s="13">
        <v>15</v>
      </c>
      <c r="F633" s="13">
        <f>IF(E633="","",MIN(E633,$X633+SUMIFS('05_Parte_Diario'!$H$5:$H$204,'05_Parte_Diario'!$D$5:$D$204,B633,'05_Parte_Diario'!$E$5:$E$204,C633)))</f>
        <v>15</v>
      </c>
      <c r="G633" s="13">
        <f t="shared" si="63"/>
        <v>0</v>
      </c>
      <c r="H633" s="21">
        <f t="shared" si="64"/>
        <v>1</v>
      </c>
      <c r="I633" s="21">
        <f>IF(OR(B633="",C633="",$V$1=""),"",MIN(E633,SUMIFS('03_Planificacion'!$G$99:$G$178,'03_Planificacion'!$E$99:$E$178,B633,'03_Planificacion'!$F$99:$F$178,C633,'03_Planificacion'!$D$99:$D$178,"&lt;="&amp;$V$1)))</f>
        <v>0</v>
      </c>
      <c r="J633" s="21">
        <f t="shared" si="65"/>
        <v>0</v>
      </c>
      <c r="K633" s="6">
        <f t="shared" si="66"/>
        <v>1</v>
      </c>
      <c r="L633" t="s">
        <v>123</v>
      </c>
      <c r="P633" s="5">
        <f t="shared" si="67"/>
        <v>46287</v>
      </c>
      <c r="Q633" t="s">
        <v>125</v>
      </c>
      <c r="R633">
        <v>110</v>
      </c>
      <c r="S633" t="s">
        <v>70</v>
      </c>
      <c r="T633" t="str">
        <f t="shared" si="68"/>
        <v/>
      </c>
      <c r="U633" t="str">
        <f>IF(AND(L633="Para Programar",G633&gt;0),COUNTIFS($L$5:L633,"Para Programar",$G$5:G633,"&gt;0"),"")</f>
        <v/>
      </c>
      <c r="W633" t="str">
        <f t="shared" si="69"/>
        <v>N24 - N25|03 Base de asiento - Compactación</v>
      </c>
      <c r="X633">
        <v>15</v>
      </c>
    </row>
    <row r="634" spans="1:24">
      <c r="A634" t="s">
        <v>79</v>
      </c>
      <c r="B634" s="14" t="s">
        <v>159</v>
      </c>
      <c r="C634" t="s">
        <v>80</v>
      </c>
      <c r="D634" s="13" t="s">
        <v>81</v>
      </c>
      <c r="E634" s="13">
        <v>1</v>
      </c>
      <c r="F634" s="13">
        <f>IF(E634="","",MIN(E634,$X634+SUMIFS('05_Parte_Diario'!$H$5:$H$204,'05_Parte_Diario'!$D$5:$D$204,B634,'05_Parte_Diario'!$E$5:$E$204,C634)))</f>
        <v>1</v>
      </c>
      <c r="G634" s="13">
        <f t="shared" si="63"/>
        <v>0</v>
      </c>
      <c r="H634" s="21">
        <f t="shared" si="64"/>
        <v>1</v>
      </c>
      <c r="I634" s="21">
        <f>IF(OR(B634="",C634="",$V$1=""),"",MIN(E634,SUMIFS('03_Planificacion'!$G$99:$G$178,'03_Planificacion'!$E$99:$E$178,B634,'03_Planificacion'!$F$99:$F$178,C634,'03_Planificacion'!$D$99:$D$178,"&lt;="&amp;$V$1)))</f>
        <v>0</v>
      </c>
      <c r="J634" s="21">
        <f t="shared" si="65"/>
        <v>0</v>
      </c>
      <c r="K634" s="6">
        <f t="shared" si="66"/>
        <v>1</v>
      </c>
      <c r="L634" t="s">
        <v>123</v>
      </c>
      <c r="P634" s="5">
        <f t="shared" si="67"/>
        <v>46287</v>
      </c>
      <c r="Q634" t="s">
        <v>125</v>
      </c>
      <c r="R634">
        <v>110</v>
      </c>
      <c r="S634" t="s">
        <v>70</v>
      </c>
      <c r="T634" t="str">
        <f t="shared" si="68"/>
        <v/>
      </c>
      <c r="U634" t="str">
        <f>IF(AND(L634="Para Programar",G634&gt;0),COUNTIFS($L$5:L634,"Para Programar",$G$5:G634,"&gt;0"),"")</f>
        <v/>
      </c>
      <c r="W634" t="str">
        <f t="shared" si="69"/>
        <v>N24 - N25|04 Inspecciones previas - Laboratorio base de asiento</v>
      </c>
      <c r="X634">
        <v>1</v>
      </c>
    </row>
    <row r="635" spans="1:24">
      <c r="A635" t="s">
        <v>82</v>
      </c>
      <c r="B635" s="14" t="s">
        <v>159</v>
      </c>
      <c r="C635" t="s">
        <v>83</v>
      </c>
      <c r="D635" s="13" t="s">
        <v>81</v>
      </c>
      <c r="E635" s="13">
        <v>1</v>
      </c>
      <c r="F635" s="13">
        <f>IF(E635="","",MIN(E635,$X635+SUMIFS('05_Parte_Diario'!$H$5:$H$204,'05_Parte_Diario'!$D$5:$D$204,B635,'05_Parte_Diario'!$E$5:$E$204,C635)))</f>
        <v>1</v>
      </c>
      <c r="G635" s="13">
        <f t="shared" si="63"/>
        <v>0</v>
      </c>
      <c r="H635" s="21">
        <f t="shared" si="64"/>
        <v>1</v>
      </c>
      <c r="I635" s="21">
        <f>IF(OR(B635="",C635="",$V$1=""),"",MIN(E635,SUMIFS('03_Planificacion'!$G$99:$G$178,'03_Planificacion'!$E$99:$E$178,B635,'03_Planificacion'!$F$99:$F$178,C635,'03_Planificacion'!$D$99:$D$178,"&lt;="&amp;$V$1)))</f>
        <v>0</v>
      </c>
      <c r="J635" s="21">
        <f t="shared" si="65"/>
        <v>0</v>
      </c>
      <c r="K635" s="6">
        <f t="shared" si="66"/>
        <v>1</v>
      </c>
      <c r="L635" t="s">
        <v>123</v>
      </c>
      <c r="P635" s="5">
        <f t="shared" si="67"/>
        <v>46287</v>
      </c>
      <c r="Q635" t="s">
        <v>125</v>
      </c>
      <c r="R635">
        <v>110</v>
      </c>
      <c r="S635" t="s">
        <v>70</v>
      </c>
      <c r="T635" t="str">
        <f t="shared" si="68"/>
        <v/>
      </c>
      <c r="U635" t="str">
        <f>IF(AND(L635="Para Programar",G635&gt;0),COUNTIFS($L$5:L635,"Para Programar",$G$5:G635,"&gt;0"),"")</f>
        <v/>
      </c>
      <c r="W635" t="str">
        <f t="shared" si="69"/>
        <v>N24 - N25|04 Inspecciones previas - Zanja y materiales</v>
      </c>
      <c r="X635">
        <v>1</v>
      </c>
    </row>
    <row r="636" spans="1:24">
      <c r="A636" t="s">
        <v>84</v>
      </c>
      <c r="B636" s="14" t="s">
        <v>159</v>
      </c>
      <c r="C636" t="s">
        <v>85</v>
      </c>
      <c r="D636" s="13" t="s">
        <v>67</v>
      </c>
      <c r="E636" s="13">
        <v>15</v>
      </c>
      <c r="F636" s="13">
        <f>IF(E636="","",MIN(E636,$X636+SUMIFS('05_Parte_Diario'!$H$5:$H$204,'05_Parte_Diario'!$D$5:$D$204,B636,'05_Parte_Diario'!$E$5:$E$204,C636)))</f>
        <v>15</v>
      </c>
      <c r="G636" s="13">
        <f t="shared" si="63"/>
        <v>0</v>
      </c>
      <c r="H636" s="21">
        <f t="shared" si="64"/>
        <v>1</v>
      </c>
      <c r="I636" s="21">
        <f>IF(OR(B636="",C636="",$V$1=""),"",MIN(E636,SUMIFS('03_Planificacion'!$G$99:$G$178,'03_Planificacion'!$E$99:$E$178,B636,'03_Planificacion'!$F$99:$F$178,C636,'03_Planificacion'!$D$99:$D$178,"&lt;="&amp;$V$1)))</f>
        <v>0</v>
      </c>
      <c r="J636" s="21">
        <f t="shared" si="65"/>
        <v>0</v>
      </c>
      <c r="K636" s="6">
        <f t="shared" si="66"/>
        <v>1</v>
      </c>
      <c r="L636" t="s">
        <v>123</v>
      </c>
      <c r="P636" s="5">
        <f t="shared" si="67"/>
        <v>46287</v>
      </c>
      <c r="Q636" t="s">
        <v>125</v>
      </c>
      <c r="R636">
        <v>110</v>
      </c>
      <c r="S636" t="s">
        <v>70</v>
      </c>
      <c r="T636" t="str">
        <f t="shared" si="68"/>
        <v/>
      </c>
      <c r="U636" t="str">
        <f>IF(AND(L636="Para Programar",G636&gt;0),COUNTIFS($L$5:L636,"Para Programar",$G$5:G636,"&gt;0"),"")</f>
        <v/>
      </c>
      <c r="W636" t="str">
        <f t="shared" si="69"/>
        <v>N24 - N25|05 Tendido de cañería - Cañería principal</v>
      </c>
      <c r="X636">
        <v>15</v>
      </c>
    </row>
    <row r="637" spans="1:24">
      <c r="A637" t="s">
        <v>86</v>
      </c>
      <c r="B637" s="14" t="s">
        <v>159</v>
      </c>
      <c r="C637" t="s">
        <v>87</v>
      </c>
      <c r="D637" s="13" t="s">
        <v>67</v>
      </c>
      <c r="E637" s="13">
        <v>15</v>
      </c>
      <c r="F637" s="13">
        <f>IF(E637="","",MIN(E637,$X637+SUMIFS('05_Parte_Diario'!$H$5:$H$204,'05_Parte_Diario'!$D$5:$D$204,B637,'05_Parte_Diario'!$E$5:$E$204,C637)))</f>
        <v>15</v>
      </c>
      <c r="G637" s="13">
        <f t="shared" si="63"/>
        <v>0</v>
      </c>
      <c r="H637" s="21">
        <f t="shared" si="64"/>
        <v>1</v>
      </c>
      <c r="I637" s="21">
        <f>IF(OR(B637="",C637="",$V$1=""),"",MIN(E637,SUMIFS('03_Planificacion'!$G$99:$G$178,'03_Planificacion'!$E$99:$E$178,B637,'03_Planificacion'!$F$99:$F$178,C637,'03_Planificacion'!$D$99:$D$178,"&lt;="&amp;$V$1)))</f>
        <v>0</v>
      </c>
      <c r="J637" s="21">
        <f t="shared" si="65"/>
        <v>0</v>
      </c>
      <c r="K637" s="6">
        <f t="shared" si="66"/>
        <v>1</v>
      </c>
      <c r="L637" t="s">
        <v>123</v>
      </c>
      <c r="P637" s="5">
        <f t="shared" si="67"/>
        <v>46287</v>
      </c>
      <c r="Q637" t="s">
        <v>125</v>
      </c>
      <c r="R637">
        <v>110</v>
      </c>
      <c r="S637" t="s">
        <v>70</v>
      </c>
      <c r="T637" t="str">
        <f t="shared" si="68"/>
        <v/>
      </c>
      <c r="U637" t="str">
        <f>IF(AND(L637="Para Programar",G637&gt;0),COUNTIFS($L$5:L637,"Para Programar",$G$5:G637,"&gt;0"),"")</f>
        <v/>
      </c>
      <c r="W637" t="str">
        <f t="shared" si="69"/>
        <v>N24 - N25|05 Tendido de cañería - Relevamiento planialtimétrico</v>
      </c>
      <c r="X637">
        <v>15</v>
      </c>
    </row>
    <row r="638" spans="1:24">
      <c r="A638" t="s">
        <v>88</v>
      </c>
      <c r="B638" s="14" t="s">
        <v>159</v>
      </c>
      <c r="C638" t="s">
        <v>89</v>
      </c>
      <c r="D638" s="13" t="s">
        <v>81</v>
      </c>
      <c r="E638" s="13">
        <v>1</v>
      </c>
      <c r="F638" s="13">
        <f>IF(E638="","",MIN(E638,$X638+SUMIFS('05_Parte_Diario'!$H$5:$H$204,'05_Parte_Diario'!$D$5:$D$204,B638,'05_Parte_Diario'!$E$5:$E$204,C638)))</f>
        <v>1</v>
      </c>
      <c r="G638" s="13">
        <f t="shared" si="63"/>
        <v>0</v>
      </c>
      <c r="H638" s="21">
        <f t="shared" si="64"/>
        <v>1</v>
      </c>
      <c r="I638" s="21">
        <f>IF(OR(B638="",C638="",$V$1=""),"",MIN(E638,SUMIFS('03_Planificacion'!$G$99:$G$178,'03_Planificacion'!$E$99:$E$178,B638,'03_Planificacion'!$F$99:$F$178,C638,'03_Planificacion'!$D$99:$D$178,"&lt;="&amp;$V$1)))</f>
        <v>0</v>
      </c>
      <c r="J638" s="21">
        <f t="shared" si="65"/>
        <v>0</v>
      </c>
      <c r="K638" s="6">
        <f t="shared" si="66"/>
        <v>1</v>
      </c>
      <c r="L638" t="s">
        <v>123</v>
      </c>
      <c r="P638" s="5">
        <f t="shared" si="67"/>
        <v>46287</v>
      </c>
      <c r="Q638" t="s">
        <v>125</v>
      </c>
      <c r="R638">
        <v>110</v>
      </c>
      <c r="S638" t="s">
        <v>70</v>
      </c>
      <c r="T638" t="str">
        <f t="shared" si="68"/>
        <v/>
      </c>
      <c r="U638" t="str">
        <f>IF(AND(L638="Para Programar",G638&gt;0),COUNTIFS($L$5:L638,"Para Programar",$G$5:G638,"&gt;0"),"")</f>
        <v/>
      </c>
      <c r="W638" t="str">
        <f t="shared" si="69"/>
        <v>N24 - N25|08 Prueba hidráulica - Preparación del sistema</v>
      </c>
      <c r="X638">
        <v>1</v>
      </c>
    </row>
    <row r="639" spans="1:24">
      <c r="A639" t="s">
        <v>90</v>
      </c>
      <c r="B639" s="14" t="s">
        <v>159</v>
      </c>
      <c r="C639" t="s">
        <v>91</v>
      </c>
      <c r="D639" s="13" t="s">
        <v>81</v>
      </c>
      <c r="E639" s="13">
        <v>1</v>
      </c>
      <c r="F639" s="13">
        <f>IF(E639="","",MIN(E639,$X639+SUMIFS('05_Parte_Diario'!$H$5:$H$204,'05_Parte_Diario'!$D$5:$D$204,B639,'05_Parte_Diario'!$E$5:$E$204,C639)))</f>
        <v>1</v>
      </c>
      <c r="G639" s="13">
        <f t="shared" si="63"/>
        <v>0</v>
      </c>
      <c r="H639" s="21">
        <f t="shared" si="64"/>
        <v>1</v>
      </c>
      <c r="I639" s="21">
        <f>IF(OR(B639="",C639="",$V$1=""),"",MIN(E639,SUMIFS('03_Planificacion'!$G$99:$G$178,'03_Planificacion'!$E$99:$E$178,B639,'03_Planificacion'!$F$99:$F$178,C639,'03_Planificacion'!$D$99:$D$178,"&lt;="&amp;$V$1)))</f>
        <v>0</v>
      </c>
      <c r="J639" s="21">
        <f t="shared" si="65"/>
        <v>0</v>
      </c>
      <c r="K639" s="6">
        <f t="shared" si="66"/>
        <v>1</v>
      </c>
      <c r="L639" t="s">
        <v>123</v>
      </c>
      <c r="P639" s="5">
        <f t="shared" si="67"/>
        <v>46287</v>
      </c>
      <c r="Q639" t="s">
        <v>125</v>
      </c>
      <c r="R639">
        <v>110</v>
      </c>
      <c r="S639" t="s">
        <v>70</v>
      </c>
      <c r="T639" t="str">
        <f t="shared" si="68"/>
        <v/>
      </c>
      <c r="U639" t="str">
        <f>IF(AND(L639="Para Programar",G639&gt;0),COUNTIFS($L$5:L639,"Para Programar",$G$5:G639,"&gt;0"),"")</f>
        <v/>
      </c>
      <c r="W639" t="str">
        <f t="shared" si="69"/>
        <v>N24 - N25|08 Prueba hidráulica - Interna N° 1</v>
      </c>
      <c r="X639">
        <v>1</v>
      </c>
    </row>
    <row r="640" spans="1:24">
      <c r="A640" t="s">
        <v>92</v>
      </c>
      <c r="B640" s="14" t="s">
        <v>159</v>
      </c>
      <c r="C640" t="s">
        <v>93</v>
      </c>
      <c r="D640" s="13" t="s">
        <v>81</v>
      </c>
      <c r="E640" s="13">
        <v>1</v>
      </c>
      <c r="F640" s="13">
        <f>IF(E640="","",MIN(E640,$X640+SUMIFS('05_Parte_Diario'!$H$5:$H$204,'05_Parte_Diario'!$D$5:$D$204,B640,'05_Parte_Diario'!$E$5:$E$204,C640)))</f>
        <v>1</v>
      </c>
      <c r="G640" s="13">
        <f t="shared" si="63"/>
        <v>0</v>
      </c>
      <c r="H640" s="21">
        <f t="shared" si="64"/>
        <v>1</v>
      </c>
      <c r="I640" s="21">
        <f>IF(OR(B640="",C640="",$V$1=""),"",MIN(E640,SUMIFS('03_Planificacion'!$G$99:$G$178,'03_Planificacion'!$E$99:$E$178,B640,'03_Planificacion'!$F$99:$F$178,C640,'03_Planificacion'!$D$99:$D$178,"&lt;="&amp;$V$1)))</f>
        <v>0</v>
      </c>
      <c r="J640" s="21">
        <f t="shared" si="65"/>
        <v>0</v>
      </c>
      <c r="K640" s="6">
        <f t="shared" si="66"/>
        <v>1</v>
      </c>
      <c r="L640" t="s">
        <v>123</v>
      </c>
      <c r="P640" s="5">
        <f t="shared" si="67"/>
        <v>46287</v>
      </c>
      <c r="Q640" t="s">
        <v>125</v>
      </c>
      <c r="R640">
        <v>110</v>
      </c>
      <c r="S640" t="s">
        <v>70</v>
      </c>
      <c r="T640" t="str">
        <f t="shared" si="68"/>
        <v/>
      </c>
      <c r="U640" t="str">
        <f>IF(AND(L640="Para Programar",G640&gt;0),COUNTIFS($L$5:L640,"Para Programar",$G$5:G640,"&gt;0"),"")</f>
        <v/>
      </c>
      <c r="W640" t="str">
        <f t="shared" si="69"/>
        <v>N24 - N25|08 Prueba hidráulica - Interna N° 2</v>
      </c>
      <c r="X640">
        <v>1</v>
      </c>
    </row>
    <row r="641" spans="1:24">
      <c r="A641" t="s">
        <v>94</v>
      </c>
      <c r="B641" s="14" t="s">
        <v>159</v>
      </c>
      <c r="C641" t="s">
        <v>95</v>
      </c>
      <c r="D641" s="13" t="s">
        <v>81</v>
      </c>
      <c r="E641" s="13">
        <v>1</v>
      </c>
      <c r="F641" s="13">
        <f>IF(E641="","",MIN(E641,$X641+SUMIFS('05_Parte_Diario'!$H$5:$H$204,'05_Parte_Diario'!$D$5:$D$204,B641,'05_Parte_Diario'!$E$5:$E$204,C641)))</f>
        <v>1</v>
      </c>
      <c r="G641" s="13">
        <f t="shared" si="63"/>
        <v>0</v>
      </c>
      <c r="H641" s="21">
        <f t="shared" si="64"/>
        <v>1</v>
      </c>
      <c r="I641" s="21">
        <f>IF(OR(B641="",C641="",$V$1=""),"",MIN(E641,SUMIFS('03_Planificacion'!$G$99:$G$178,'03_Planificacion'!$E$99:$E$178,B641,'03_Planificacion'!$F$99:$F$178,C641,'03_Planificacion'!$D$99:$D$178,"&lt;="&amp;$V$1)))</f>
        <v>0</v>
      </c>
      <c r="J641" s="21">
        <f t="shared" si="65"/>
        <v>0</v>
      </c>
      <c r="K641" s="6">
        <f t="shared" si="66"/>
        <v>1</v>
      </c>
      <c r="L641" t="s">
        <v>123</v>
      </c>
      <c r="P641" s="5">
        <f t="shared" si="67"/>
        <v>46287</v>
      </c>
      <c r="Q641" t="s">
        <v>125</v>
      </c>
      <c r="R641">
        <v>110</v>
      </c>
      <c r="S641" t="s">
        <v>70</v>
      </c>
      <c r="T641" t="str">
        <f t="shared" si="68"/>
        <v/>
      </c>
      <c r="U641" t="str">
        <f>IF(AND(L641="Para Programar",G641&gt;0),COUNTIFS($L$5:L641,"Para Programar",$G$5:G641,"&gt;0"),"")</f>
        <v/>
      </c>
      <c r="W641" t="str">
        <f t="shared" si="69"/>
        <v>N24 - N25|08 Prueba hidráulica - Primera prueba oficial</v>
      </c>
      <c r="X641">
        <v>1</v>
      </c>
    </row>
    <row r="642" spans="1:24">
      <c r="A642" t="s">
        <v>96</v>
      </c>
      <c r="B642" s="14" t="s">
        <v>159</v>
      </c>
      <c r="C642" t="s">
        <v>97</v>
      </c>
      <c r="D642" s="13" t="s">
        <v>67</v>
      </c>
      <c r="E642" s="13">
        <v>15</v>
      </c>
      <c r="F642" s="13">
        <f>IF(E642="","",MIN(E642,$X642+SUMIFS('05_Parte_Diario'!$H$5:$H$204,'05_Parte_Diario'!$D$5:$D$204,B642,'05_Parte_Diario'!$E$5:$E$204,C642)))</f>
        <v>15</v>
      </c>
      <c r="G642" s="13">
        <f t="shared" si="63"/>
        <v>0</v>
      </c>
      <c r="H642" s="21">
        <f t="shared" si="64"/>
        <v>1</v>
      </c>
      <c r="I642" s="21">
        <f>IF(OR(B642="",C642="",$V$1=""),"",MIN(E642,SUMIFS('03_Planificacion'!$G$99:$G$178,'03_Planificacion'!$E$99:$E$178,B642,'03_Planificacion'!$F$99:$F$178,C642,'03_Planificacion'!$D$99:$D$178,"&lt;="&amp;$V$1)))</f>
        <v>0</v>
      </c>
      <c r="J642" s="21">
        <f t="shared" si="65"/>
        <v>0</v>
      </c>
      <c r="K642" s="6">
        <f t="shared" si="66"/>
        <v>1</v>
      </c>
      <c r="L642" t="s">
        <v>123</v>
      </c>
      <c r="P642" s="5">
        <f t="shared" si="67"/>
        <v>46287</v>
      </c>
      <c r="Q642" t="s">
        <v>125</v>
      </c>
      <c r="R642">
        <v>110</v>
      </c>
      <c r="S642" t="s">
        <v>70</v>
      </c>
      <c r="T642" t="str">
        <f t="shared" si="68"/>
        <v/>
      </c>
      <c r="U642" t="str">
        <f>IF(AND(L642="Para Programar",G642&gt;0),COUNTIFS($L$5:L642,"Para Programar",$G$5:G642,"&gt;0"),"")</f>
        <v/>
      </c>
      <c r="W642" t="str">
        <f t="shared" si="69"/>
        <v>N24 - N25|09 Paquete estructural - Aporte e=0,30 m</v>
      </c>
      <c r="X642">
        <v>15</v>
      </c>
    </row>
    <row r="643" spans="1:24">
      <c r="A643" t="s">
        <v>98</v>
      </c>
      <c r="B643" s="14" t="s">
        <v>159</v>
      </c>
      <c r="C643" t="s">
        <v>99</v>
      </c>
      <c r="D643" s="13" t="s">
        <v>67</v>
      </c>
      <c r="E643" s="13">
        <v>15</v>
      </c>
      <c r="F643" s="13">
        <f>IF(E643="","",MIN(E643,$X643+SUMIFS('05_Parte_Diario'!$H$5:$H$204,'05_Parte_Diario'!$D$5:$D$204,B643,'05_Parte_Diario'!$E$5:$E$204,C643)))</f>
        <v>15</v>
      </c>
      <c r="G643" s="13">
        <f t="shared" si="63"/>
        <v>0</v>
      </c>
      <c r="H643" s="21">
        <f t="shared" si="64"/>
        <v>1</v>
      </c>
      <c r="I643" s="21">
        <f>IF(OR(B643="",C643="",$V$1=""),"",MIN(E643,SUMIFS('03_Planificacion'!$G$99:$G$178,'03_Planificacion'!$E$99:$E$178,B643,'03_Planificacion'!$F$99:$F$178,C643,'03_Planificacion'!$D$99:$D$178,"&lt;="&amp;$V$1)))</f>
        <v>0</v>
      </c>
      <c r="J643" s="21">
        <f t="shared" si="65"/>
        <v>0</v>
      </c>
      <c r="K643" s="6">
        <f t="shared" si="66"/>
        <v>1</v>
      </c>
      <c r="L643" t="s">
        <v>123</v>
      </c>
      <c r="P643" s="5">
        <f t="shared" si="67"/>
        <v>46287</v>
      </c>
      <c r="Q643" t="s">
        <v>125</v>
      </c>
      <c r="R643">
        <v>110</v>
      </c>
      <c r="S643" t="s">
        <v>70</v>
      </c>
      <c r="T643" t="str">
        <f t="shared" si="68"/>
        <v/>
      </c>
      <c r="U643" t="str">
        <f>IF(AND(L643="Para Programar",G643&gt;0),COUNTIFS($L$5:L643,"Para Programar",$G$5:G643,"&gt;0"),"")</f>
        <v/>
      </c>
      <c r="W643" t="str">
        <f t="shared" si="69"/>
        <v>N24 - N25|09 Paquete estructural - Compactación</v>
      </c>
      <c r="X643">
        <v>15</v>
      </c>
    </row>
    <row r="644" spans="1:24">
      <c r="A644" t="s">
        <v>100</v>
      </c>
      <c r="B644" s="14" t="s">
        <v>159</v>
      </c>
      <c r="C644" t="s">
        <v>101</v>
      </c>
      <c r="D644" s="13" t="s">
        <v>81</v>
      </c>
      <c r="E644" s="13">
        <v>1</v>
      </c>
      <c r="F644" s="13">
        <f>IF(E644="","",MIN(E644,$X644+SUMIFS('05_Parte_Diario'!$H$5:$H$204,'05_Parte_Diario'!$D$5:$D$204,B644,'05_Parte_Diario'!$E$5:$E$204,C644)))</f>
        <v>1</v>
      </c>
      <c r="G644" s="13">
        <f t="shared" si="63"/>
        <v>0</v>
      </c>
      <c r="H644" s="21">
        <f t="shared" si="64"/>
        <v>1</v>
      </c>
      <c r="I644" s="21">
        <f>IF(OR(B644="",C644="",$V$1=""),"",MIN(E644,SUMIFS('03_Planificacion'!$G$99:$G$178,'03_Planificacion'!$E$99:$E$178,B644,'03_Planificacion'!$F$99:$F$178,C644,'03_Planificacion'!$D$99:$D$178,"&lt;="&amp;$V$1)))</f>
        <v>0</v>
      </c>
      <c r="J644" s="21">
        <f t="shared" si="65"/>
        <v>0</v>
      </c>
      <c r="K644" s="6">
        <f t="shared" si="66"/>
        <v>1</v>
      </c>
      <c r="L644" t="s">
        <v>123</v>
      </c>
      <c r="P644" s="5">
        <f t="shared" si="67"/>
        <v>46287</v>
      </c>
      <c r="Q644" t="s">
        <v>125</v>
      </c>
      <c r="R644">
        <v>110</v>
      </c>
      <c r="S644" t="s">
        <v>70</v>
      </c>
      <c r="T644" t="str">
        <f t="shared" si="68"/>
        <v/>
      </c>
      <c r="U644" t="str">
        <f>IF(AND(L644="Para Programar",G644&gt;0),COUNTIFS($L$5:L644,"Para Programar",$G$5:G644,"&gt;0"),"")</f>
        <v/>
      </c>
      <c r="W644" t="str">
        <f t="shared" si="69"/>
        <v>N24 - N25|09 Paquete estructural - Inspección laboratorio</v>
      </c>
      <c r="X644">
        <v>1</v>
      </c>
    </row>
    <row r="645" spans="1:24">
      <c r="A645" t="s">
        <v>102</v>
      </c>
      <c r="B645" s="14" t="s">
        <v>159</v>
      </c>
      <c r="C645" t="s">
        <v>103</v>
      </c>
      <c r="D645" s="13" t="s">
        <v>67</v>
      </c>
      <c r="E645" s="13">
        <v>15</v>
      </c>
      <c r="F645" s="13">
        <f>IF(E645="","",MIN(E645,$X645+SUMIFS('05_Parte_Diario'!$H$5:$H$204,'05_Parte_Diario'!$D$5:$D$204,B645,'05_Parte_Diario'!$E$5:$E$204,C645)))</f>
        <v>15</v>
      </c>
      <c r="G645" s="13">
        <f t="shared" ref="G645:G708" si="70">IF(E645="","",MAX(E645-F645,0))</f>
        <v>0</v>
      </c>
      <c r="H645" s="21">
        <f t="shared" ref="H645:H708" si="71">IFERROR(F645/E645,0)</f>
        <v>1</v>
      </c>
      <c r="I645" s="21">
        <f>IF(OR(B645="",C645="",$V$1=""),"",MIN(E645,SUMIFS('03_Planificacion'!$G$99:$G$178,'03_Planificacion'!$E$99:$E$178,B645,'03_Planificacion'!$F$99:$F$178,C645,'03_Planificacion'!$D$99:$D$178,"&lt;="&amp;$V$1)))</f>
        <v>0</v>
      </c>
      <c r="J645" s="21">
        <f t="shared" ref="J645:J708" si="72">IFERROR(I645/E645,0)</f>
        <v>0</v>
      </c>
      <c r="K645" s="6">
        <f t="shared" ref="K645:K708" si="73">IF(OR(E645="",$V$1=""),"",H645-J645)</f>
        <v>1</v>
      </c>
      <c r="L645" t="s">
        <v>123</v>
      </c>
      <c r="P645" s="5">
        <f t="shared" ref="P645:P708" si="74">IF(A645="","",$V$1)</f>
        <v>46287</v>
      </c>
      <c r="Q645" t="s">
        <v>125</v>
      </c>
      <c r="R645">
        <v>110</v>
      </c>
      <c r="S645" t="s">
        <v>70</v>
      </c>
      <c r="T645" t="str">
        <f t="shared" ref="T645:T708" si="75">IF(A645="","",IF(AND(L645="Para Programar",G645=0),"INCONSISTENCIA - REVISAR MANUALMENTE: Para Programar sin saldo",IF(AND(L645="Terminada",G645&gt;0),"INCONSISTENCIA - REVISAR MANUALMENTE: Terminada con saldo","")))</f>
        <v/>
      </c>
      <c r="U645" t="str">
        <f>IF(AND(L645="Para Programar",G645&gt;0),COUNTIFS($L$5:L645,"Para Programar",$G$5:G645,"&gt;0"),"")</f>
        <v/>
      </c>
      <c r="W645" t="str">
        <f t="shared" ref="W645:W708" si="76">IF(OR(B645="",C645=""),"",B645&amp;"|"&amp;C645)</f>
        <v>N24 - N25|10 Relleno -0,60 - Conformación de capa</v>
      </c>
      <c r="X645">
        <v>15</v>
      </c>
    </row>
    <row r="646" spans="1:24">
      <c r="A646" t="s">
        <v>104</v>
      </c>
      <c r="B646" s="14" t="s">
        <v>159</v>
      </c>
      <c r="C646" t="s">
        <v>105</v>
      </c>
      <c r="D646" s="13" t="s">
        <v>67</v>
      </c>
      <c r="E646" s="13">
        <v>15</v>
      </c>
      <c r="F646" s="13">
        <f>IF(E646="","",MIN(E646,$X646+SUMIFS('05_Parte_Diario'!$H$5:$H$204,'05_Parte_Diario'!$D$5:$D$204,B646,'05_Parte_Diario'!$E$5:$E$204,C646)))</f>
        <v>15</v>
      </c>
      <c r="G646" s="13">
        <f t="shared" si="70"/>
        <v>0</v>
      </c>
      <c r="H646" s="21">
        <f t="shared" si="71"/>
        <v>1</v>
      </c>
      <c r="I646" s="21">
        <f>IF(OR(B646="",C646="",$V$1=""),"",MIN(E646,SUMIFS('03_Planificacion'!$G$99:$G$178,'03_Planificacion'!$E$99:$E$178,B646,'03_Planificacion'!$F$99:$F$178,C646,'03_Planificacion'!$D$99:$D$178,"&lt;="&amp;$V$1)))</f>
        <v>0</v>
      </c>
      <c r="J646" s="21">
        <f t="shared" si="72"/>
        <v>0</v>
      </c>
      <c r="K646" s="6">
        <f t="shared" si="73"/>
        <v>1</v>
      </c>
      <c r="L646" t="s">
        <v>123</v>
      </c>
      <c r="P646" s="5">
        <f t="shared" si="74"/>
        <v>46287</v>
      </c>
      <c r="Q646" t="s">
        <v>125</v>
      </c>
      <c r="R646">
        <v>110</v>
      </c>
      <c r="S646" t="s">
        <v>70</v>
      </c>
      <c r="T646" t="str">
        <f t="shared" si="75"/>
        <v/>
      </c>
      <c r="U646" t="str">
        <f>IF(AND(L646="Para Programar",G646&gt;0),COUNTIFS($L$5:L646,"Para Programar",$G$5:G646,"&gt;0"),"")</f>
        <v/>
      </c>
      <c r="W646" t="str">
        <f t="shared" si="76"/>
        <v>N24 - N25|10 Relleno -0,60 - Humectación</v>
      </c>
      <c r="X646">
        <v>15</v>
      </c>
    </row>
    <row r="647" spans="1:24">
      <c r="A647" t="s">
        <v>106</v>
      </c>
      <c r="B647" s="14" t="s">
        <v>159</v>
      </c>
      <c r="C647" t="s">
        <v>107</v>
      </c>
      <c r="D647" s="13" t="s">
        <v>67</v>
      </c>
      <c r="E647" s="13">
        <v>15</v>
      </c>
      <c r="F647" s="13">
        <f>IF(E647="","",MIN(E647,$X647+SUMIFS('05_Parte_Diario'!$H$5:$H$204,'05_Parte_Diario'!$D$5:$D$204,B647,'05_Parte_Diario'!$E$5:$E$204,C647)))</f>
        <v>15</v>
      </c>
      <c r="G647" s="13">
        <f t="shared" si="70"/>
        <v>0</v>
      </c>
      <c r="H647" s="21">
        <f t="shared" si="71"/>
        <v>1</v>
      </c>
      <c r="I647" s="21">
        <f>IF(OR(B647="",C647="",$V$1=""),"",MIN(E647,SUMIFS('03_Planificacion'!$G$99:$G$178,'03_Planificacion'!$E$99:$E$178,B647,'03_Planificacion'!$F$99:$F$178,C647,'03_Planificacion'!$D$99:$D$178,"&lt;="&amp;$V$1)))</f>
        <v>0</v>
      </c>
      <c r="J647" s="21">
        <f t="shared" si="72"/>
        <v>0</v>
      </c>
      <c r="K647" s="6">
        <f t="shared" si="73"/>
        <v>1</v>
      </c>
      <c r="L647" t="s">
        <v>123</v>
      </c>
      <c r="P647" s="5">
        <f t="shared" si="74"/>
        <v>46287</v>
      </c>
      <c r="Q647" t="s">
        <v>125</v>
      </c>
      <c r="R647">
        <v>110</v>
      </c>
      <c r="S647" t="s">
        <v>70</v>
      </c>
      <c r="T647" t="str">
        <f t="shared" si="75"/>
        <v/>
      </c>
      <c r="U647" t="str">
        <f>IF(AND(L647="Para Programar",G647&gt;0),COUNTIFS($L$5:L647,"Para Programar",$G$5:G647,"&gt;0"),"")</f>
        <v/>
      </c>
      <c r="W647" t="str">
        <f t="shared" si="76"/>
        <v>N24 - N25|10 Relleno -0,60 - Compactación</v>
      </c>
      <c r="X647">
        <v>15</v>
      </c>
    </row>
    <row r="648" spans="1:24">
      <c r="A648" t="s">
        <v>108</v>
      </c>
      <c r="B648" s="14" t="s">
        <v>159</v>
      </c>
      <c r="C648" t="s">
        <v>109</v>
      </c>
      <c r="D648" s="13" t="s">
        <v>81</v>
      </c>
      <c r="E648" s="13">
        <v>1</v>
      </c>
      <c r="F648" s="13">
        <f>IF(E648="","",MIN(E648,$X648+SUMIFS('05_Parte_Diario'!$H$5:$H$204,'05_Parte_Diario'!$D$5:$D$204,B648,'05_Parte_Diario'!$E$5:$E$204,C648)))</f>
        <v>1</v>
      </c>
      <c r="G648" s="13">
        <f t="shared" si="70"/>
        <v>0</v>
      </c>
      <c r="H648" s="21">
        <f t="shared" si="71"/>
        <v>1</v>
      </c>
      <c r="I648" s="21">
        <f>IF(OR(B648="",C648="",$V$1=""),"",MIN(E648,SUMIFS('03_Planificacion'!$G$99:$G$178,'03_Planificacion'!$E$99:$E$178,B648,'03_Planificacion'!$F$99:$F$178,C648,'03_Planificacion'!$D$99:$D$178,"&lt;="&amp;$V$1)))</f>
        <v>0</v>
      </c>
      <c r="J648" s="21">
        <f t="shared" si="72"/>
        <v>0</v>
      </c>
      <c r="K648" s="6">
        <f t="shared" si="73"/>
        <v>1</v>
      </c>
      <c r="L648" t="s">
        <v>123</v>
      </c>
      <c r="P648" s="5">
        <f t="shared" si="74"/>
        <v>46287</v>
      </c>
      <c r="Q648" t="s">
        <v>125</v>
      </c>
      <c r="R648">
        <v>110</v>
      </c>
      <c r="S648" t="s">
        <v>70</v>
      </c>
      <c r="T648" t="str">
        <f t="shared" si="75"/>
        <v/>
      </c>
      <c r="U648" t="str">
        <f>IF(AND(L648="Para Programar",G648&gt;0),COUNTIFS($L$5:L648,"Para Programar",$G$5:G648,"&gt;0"),"")</f>
        <v/>
      </c>
      <c r="W648" t="str">
        <f t="shared" si="76"/>
        <v>N24 - N25|10 Relleno -0,60 - Inspección laboratorio</v>
      </c>
      <c r="X648">
        <v>1</v>
      </c>
    </row>
    <row r="649" spans="1:24">
      <c r="A649" t="s">
        <v>110</v>
      </c>
      <c r="B649" s="14" t="s">
        <v>159</v>
      </c>
      <c r="C649" t="s">
        <v>111</v>
      </c>
      <c r="D649" s="13" t="s">
        <v>67</v>
      </c>
      <c r="E649" s="13">
        <v>15</v>
      </c>
      <c r="F649" s="13">
        <f>IF(E649="","",MIN(E649,$X649+SUMIFS('05_Parte_Diario'!$H$5:$H$204,'05_Parte_Diario'!$D$5:$D$204,B649,'05_Parte_Diario'!$E$5:$E$204,C649)))</f>
        <v>15</v>
      </c>
      <c r="G649" s="13">
        <f t="shared" si="70"/>
        <v>0</v>
      </c>
      <c r="H649" s="21">
        <f t="shared" si="71"/>
        <v>1</v>
      </c>
      <c r="I649" s="21">
        <f>IF(OR(B649="",C649="",$V$1=""),"",MIN(E649,SUMIFS('03_Planificacion'!$G$99:$G$178,'03_Planificacion'!$E$99:$E$178,B649,'03_Planificacion'!$F$99:$F$178,C649,'03_Planificacion'!$D$99:$D$178,"&lt;="&amp;$V$1)))</f>
        <v>0</v>
      </c>
      <c r="J649" s="21">
        <f t="shared" si="72"/>
        <v>0</v>
      </c>
      <c r="K649" s="6">
        <f t="shared" si="73"/>
        <v>1</v>
      </c>
      <c r="L649" t="s">
        <v>123</v>
      </c>
      <c r="P649" s="5">
        <f t="shared" si="74"/>
        <v>46287</v>
      </c>
      <c r="Q649" t="s">
        <v>125</v>
      </c>
      <c r="R649">
        <v>110</v>
      </c>
      <c r="S649" t="s">
        <v>70</v>
      </c>
      <c r="T649" t="str">
        <f t="shared" si="75"/>
        <v/>
      </c>
      <c r="U649" t="str">
        <f>IF(AND(L649="Para Programar",G649&gt;0),COUNTIFS($L$5:L649,"Para Programar",$G$5:G649,"&gt;0"),"")</f>
        <v/>
      </c>
      <c r="W649" t="str">
        <f t="shared" si="76"/>
        <v>N24 - N25|11 Relleno -0,30 - Conformación de capa</v>
      </c>
      <c r="X649">
        <v>15</v>
      </c>
    </row>
    <row r="650" spans="1:24">
      <c r="A650" t="s">
        <v>112</v>
      </c>
      <c r="B650" s="14" t="s">
        <v>159</v>
      </c>
      <c r="C650" t="s">
        <v>113</v>
      </c>
      <c r="D650" s="13" t="s">
        <v>67</v>
      </c>
      <c r="E650" s="13">
        <v>15</v>
      </c>
      <c r="F650" s="13">
        <f>IF(E650="","",MIN(E650,$X650+SUMIFS('05_Parte_Diario'!$H$5:$H$204,'05_Parte_Diario'!$D$5:$D$204,B650,'05_Parte_Diario'!$E$5:$E$204,C650)))</f>
        <v>15</v>
      </c>
      <c r="G650" s="13">
        <f t="shared" si="70"/>
        <v>0</v>
      </c>
      <c r="H650" s="21">
        <f t="shared" si="71"/>
        <v>1</v>
      </c>
      <c r="I650" s="21">
        <f>IF(OR(B650="",C650="",$V$1=""),"",MIN(E650,SUMIFS('03_Planificacion'!$G$99:$G$178,'03_Planificacion'!$E$99:$E$178,B650,'03_Planificacion'!$F$99:$F$178,C650,'03_Planificacion'!$D$99:$D$178,"&lt;="&amp;$V$1)))</f>
        <v>0</v>
      </c>
      <c r="J650" s="21">
        <f t="shared" si="72"/>
        <v>0</v>
      </c>
      <c r="K650" s="6">
        <f t="shared" si="73"/>
        <v>1</v>
      </c>
      <c r="L650" t="s">
        <v>123</v>
      </c>
      <c r="P650" s="5">
        <f t="shared" si="74"/>
        <v>46287</v>
      </c>
      <c r="Q650" t="s">
        <v>125</v>
      </c>
      <c r="R650">
        <v>110</v>
      </c>
      <c r="S650" t="s">
        <v>70</v>
      </c>
      <c r="T650" t="str">
        <f t="shared" si="75"/>
        <v/>
      </c>
      <c r="U650" t="str">
        <f>IF(AND(L650="Para Programar",G650&gt;0),COUNTIFS($L$5:L650,"Para Programar",$G$5:G650,"&gt;0"),"")</f>
        <v/>
      </c>
      <c r="W650" t="str">
        <f t="shared" si="76"/>
        <v>N24 - N25|11 Relleno -0,30 - Humectación</v>
      </c>
      <c r="X650">
        <v>15</v>
      </c>
    </row>
    <row r="651" spans="1:24">
      <c r="A651" t="s">
        <v>114</v>
      </c>
      <c r="B651" s="14" t="s">
        <v>159</v>
      </c>
      <c r="C651" t="s">
        <v>115</v>
      </c>
      <c r="D651" s="13" t="s">
        <v>67</v>
      </c>
      <c r="E651" s="13">
        <v>15</v>
      </c>
      <c r="F651" s="13">
        <f>IF(E651="","",MIN(E651,$X651+SUMIFS('05_Parte_Diario'!$H$5:$H$204,'05_Parte_Diario'!$D$5:$D$204,B651,'05_Parte_Diario'!$E$5:$E$204,C651)))</f>
        <v>15</v>
      </c>
      <c r="G651" s="13">
        <f t="shared" si="70"/>
        <v>0</v>
      </c>
      <c r="H651" s="21">
        <f t="shared" si="71"/>
        <v>1</v>
      </c>
      <c r="I651" s="21">
        <f>IF(OR(B651="",C651="",$V$1=""),"",MIN(E651,SUMIFS('03_Planificacion'!$G$99:$G$178,'03_Planificacion'!$E$99:$E$178,B651,'03_Planificacion'!$F$99:$F$178,C651,'03_Planificacion'!$D$99:$D$178,"&lt;="&amp;$V$1)))</f>
        <v>0</v>
      </c>
      <c r="J651" s="21">
        <f t="shared" si="72"/>
        <v>0</v>
      </c>
      <c r="K651" s="6">
        <f t="shared" si="73"/>
        <v>1</v>
      </c>
      <c r="L651" t="s">
        <v>123</v>
      </c>
      <c r="P651" s="5">
        <f t="shared" si="74"/>
        <v>46287</v>
      </c>
      <c r="Q651" t="s">
        <v>125</v>
      </c>
      <c r="R651">
        <v>110</v>
      </c>
      <c r="S651" t="s">
        <v>70</v>
      </c>
      <c r="T651" t="str">
        <f t="shared" si="75"/>
        <v/>
      </c>
      <c r="U651" t="str">
        <f>IF(AND(L651="Para Programar",G651&gt;0),COUNTIFS($L$5:L651,"Para Programar",$G$5:G651,"&gt;0"),"")</f>
        <v/>
      </c>
      <c r="W651" t="str">
        <f t="shared" si="76"/>
        <v>N24 - N25|11 Relleno -0,30 - Compactación</v>
      </c>
      <c r="X651">
        <v>15</v>
      </c>
    </row>
    <row r="652" spans="1:24">
      <c r="A652" t="s">
        <v>116</v>
      </c>
      <c r="B652" s="14" t="s">
        <v>159</v>
      </c>
      <c r="C652" t="s">
        <v>117</v>
      </c>
      <c r="D652" s="13" t="s">
        <v>81</v>
      </c>
      <c r="E652" s="13">
        <v>1</v>
      </c>
      <c r="F652" s="13">
        <f>IF(E652="","",MIN(E652,$X652+SUMIFS('05_Parte_Diario'!$H$5:$H$204,'05_Parte_Diario'!$D$5:$D$204,B652,'05_Parte_Diario'!$E$5:$E$204,C652)))</f>
        <v>1</v>
      </c>
      <c r="G652" s="13">
        <f t="shared" si="70"/>
        <v>0</v>
      </c>
      <c r="H652" s="21">
        <f t="shared" si="71"/>
        <v>1</v>
      </c>
      <c r="I652" s="21">
        <f>IF(OR(B652="",C652="",$V$1=""),"",MIN(E652,SUMIFS('03_Planificacion'!$G$99:$G$178,'03_Planificacion'!$E$99:$E$178,B652,'03_Planificacion'!$F$99:$F$178,C652,'03_Planificacion'!$D$99:$D$178,"&lt;="&amp;$V$1)))</f>
        <v>0</v>
      </c>
      <c r="J652" s="21">
        <f t="shared" si="72"/>
        <v>0</v>
      </c>
      <c r="K652" s="6">
        <f t="shared" si="73"/>
        <v>1</v>
      </c>
      <c r="L652" t="s">
        <v>123</v>
      </c>
      <c r="P652" s="5">
        <f t="shared" si="74"/>
        <v>46287</v>
      </c>
      <c r="Q652" t="s">
        <v>125</v>
      </c>
      <c r="R652">
        <v>110</v>
      </c>
      <c r="S652" t="s">
        <v>70</v>
      </c>
      <c r="T652" t="str">
        <f t="shared" si="75"/>
        <v/>
      </c>
      <c r="U652" t="str">
        <f>IF(AND(L652="Para Programar",G652&gt;0),COUNTIFS($L$5:L652,"Para Programar",$G$5:G652,"&gt;0"),"")</f>
        <v/>
      </c>
      <c r="W652" t="str">
        <f t="shared" si="76"/>
        <v>N24 - N25|11 Relleno -0,30 - Inspección laboratorio</v>
      </c>
      <c r="X652">
        <v>1</v>
      </c>
    </row>
    <row r="653" spans="1:24">
      <c r="A653" t="s">
        <v>64</v>
      </c>
      <c r="B653" s="14" t="s">
        <v>160</v>
      </c>
      <c r="C653" t="s">
        <v>66</v>
      </c>
      <c r="D653" s="13" t="s">
        <v>67</v>
      </c>
      <c r="E653" s="13">
        <v>76</v>
      </c>
      <c r="F653" s="13">
        <f>IF(E653="","",MIN(E653,$X653+SUMIFS('05_Parte_Diario'!$H$5:$H$204,'05_Parte_Diario'!$D$5:$D$204,B653,'05_Parte_Diario'!$E$5:$E$204,C653)))</f>
        <v>76</v>
      </c>
      <c r="G653" s="13">
        <f t="shared" si="70"/>
        <v>0</v>
      </c>
      <c r="H653" s="21">
        <f t="shared" si="71"/>
        <v>1</v>
      </c>
      <c r="I653" s="21">
        <f>IF(OR(B653="",C653="",$V$1=""),"",MIN(E653,SUMIFS('03_Planificacion'!$G$99:$G$178,'03_Planificacion'!$E$99:$E$178,B653,'03_Planificacion'!$F$99:$F$178,C653,'03_Planificacion'!$D$99:$D$178,"&lt;="&amp;$V$1)))</f>
        <v>0</v>
      </c>
      <c r="J653" s="21">
        <f t="shared" si="72"/>
        <v>0</v>
      </c>
      <c r="K653" s="6">
        <f t="shared" si="73"/>
        <v>1</v>
      </c>
      <c r="L653" t="s">
        <v>123</v>
      </c>
      <c r="P653" s="5">
        <f t="shared" si="74"/>
        <v>46287</v>
      </c>
      <c r="Q653" t="s">
        <v>135</v>
      </c>
      <c r="R653">
        <v>75</v>
      </c>
      <c r="S653" t="s">
        <v>70</v>
      </c>
      <c r="T653" t="str">
        <f t="shared" si="75"/>
        <v/>
      </c>
      <c r="U653" t="str">
        <f>IF(AND(L653="Para Programar",G653&gt;0),COUNTIFS($L$5:L653,"Para Programar",$G$5:G653,"&gt;0"),"")</f>
        <v/>
      </c>
      <c r="W653" t="str">
        <f t="shared" si="76"/>
        <v>N25 - N30|01 Replanteo - Marcación de tramo de cañería principal</v>
      </c>
      <c r="X653">
        <v>76</v>
      </c>
    </row>
    <row r="654" spans="1:24">
      <c r="A654" t="s">
        <v>71</v>
      </c>
      <c r="B654" s="14" t="s">
        <v>160</v>
      </c>
      <c r="C654" t="s">
        <v>72</v>
      </c>
      <c r="D654" s="13" t="s">
        <v>67</v>
      </c>
      <c r="E654" s="13">
        <v>76</v>
      </c>
      <c r="F654" s="13">
        <f>IF(E654="","",MIN(E654,$X654+SUMIFS('05_Parte_Diario'!$H$5:$H$204,'05_Parte_Diario'!$D$5:$D$204,B654,'05_Parte_Diario'!$E$5:$E$204,C654)))</f>
        <v>76</v>
      </c>
      <c r="G654" s="13">
        <f t="shared" si="70"/>
        <v>0</v>
      </c>
      <c r="H654" s="21">
        <f t="shared" si="71"/>
        <v>1</v>
      </c>
      <c r="I654" s="21">
        <f>IF(OR(B654="",C654="",$V$1=""),"",MIN(E654,SUMIFS('03_Planificacion'!$G$99:$G$178,'03_Planificacion'!$E$99:$E$178,B654,'03_Planificacion'!$F$99:$F$178,C654,'03_Planificacion'!$D$99:$D$178,"&lt;="&amp;$V$1)))</f>
        <v>0</v>
      </c>
      <c r="J654" s="21">
        <f t="shared" si="72"/>
        <v>0</v>
      </c>
      <c r="K654" s="6">
        <f t="shared" si="73"/>
        <v>1</v>
      </c>
      <c r="L654" t="s">
        <v>123</v>
      </c>
      <c r="P654" s="5">
        <f t="shared" si="74"/>
        <v>46287</v>
      </c>
      <c r="Q654" t="s">
        <v>135</v>
      </c>
      <c r="R654">
        <v>75</v>
      </c>
      <c r="S654" t="s">
        <v>70</v>
      </c>
      <c r="T654" t="str">
        <f t="shared" si="75"/>
        <v/>
      </c>
      <c r="U654" t="str">
        <f>IF(AND(L654="Para Programar",G654&gt;0),COUNTIFS($L$5:L654,"Para Programar",$G$5:G654,"&gt;0"),"")</f>
        <v/>
      </c>
      <c r="W654" t="str">
        <f t="shared" si="76"/>
        <v>N25 - N30|02 Excavación - Zanja principal</v>
      </c>
      <c r="X654">
        <v>76</v>
      </c>
    </row>
    <row r="655" spans="1:24">
      <c r="A655" t="s">
        <v>73</v>
      </c>
      <c r="B655" s="14" t="s">
        <v>160</v>
      </c>
      <c r="C655" t="s">
        <v>74</v>
      </c>
      <c r="D655" s="13" t="s">
        <v>67</v>
      </c>
      <c r="E655" s="13">
        <v>76</v>
      </c>
      <c r="F655" s="13">
        <f>IF(E655="","",MIN(E655,$X655+SUMIFS('05_Parte_Diario'!$H$5:$H$204,'05_Parte_Diario'!$D$5:$D$204,B655,'05_Parte_Diario'!$E$5:$E$204,C655)))</f>
        <v>76</v>
      </c>
      <c r="G655" s="13">
        <f t="shared" si="70"/>
        <v>0</v>
      </c>
      <c r="H655" s="21">
        <f t="shared" si="71"/>
        <v>1</v>
      </c>
      <c r="I655" s="21">
        <f>IF(OR(B655="",C655="",$V$1=""),"",MIN(E655,SUMIFS('03_Planificacion'!$G$99:$G$178,'03_Planificacion'!$E$99:$E$178,B655,'03_Planificacion'!$F$99:$F$178,C655,'03_Planificacion'!$D$99:$D$178,"&lt;="&amp;$V$1)))</f>
        <v>0</v>
      </c>
      <c r="J655" s="21">
        <f t="shared" si="72"/>
        <v>0</v>
      </c>
      <c r="K655" s="6">
        <f t="shared" si="73"/>
        <v>1</v>
      </c>
      <c r="L655" t="s">
        <v>123</v>
      </c>
      <c r="P655" s="5">
        <f t="shared" si="74"/>
        <v>46287</v>
      </c>
      <c r="Q655" t="s">
        <v>135</v>
      </c>
      <c r="R655">
        <v>75</v>
      </c>
      <c r="S655" t="s">
        <v>70</v>
      </c>
      <c r="T655" t="str">
        <f t="shared" si="75"/>
        <v/>
      </c>
      <c r="U655" t="str">
        <f>IF(AND(L655="Para Programar",G655&gt;0),COUNTIFS($L$5:L655,"Para Programar",$G$5:G655,"&gt;0"),"")</f>
        <v/>
      </c>
      <c r="W655" t="str">
        <f t="shared" si="76"/>
        <v>N25 - N30|03 Base de asiento - Nivelación de fondo de zanja</v>
      </c>
      <c r="X655">
        <v>76</v>
      </c>
    </row>
    <row r="656" spans="1:24">
      <c r="A656" t="s">
        <v>75</v>
      </c>
      <c r="B656" s="14" t="s">
        <v>160</v>
      </c>
      <c r="C656" t="s">
        <v>76</v>
      </c>
      <c r="D656" s="13" t="s">
        <v>67</v>
      </c>
      <c r="E656" s="13">
        <v>76</v>
      </c>
      <c r="F656" s="13">
        <f>IF(E656="","",MIN(E656,$X656+SUMIFS('05_Parte_Diario'!$H$5:$H$204,'05_Parte_Diario'!$D$5:$D$204,B656,'05_Parte_Diario'!$E$5:$E$204,C656)))</f>
        <v>76</v>
      </c>
      <c r="G656" s="13">
        <f t="shared" si="70"/>
        <v>0</v>
      </c>
      <c r="H656" s="21">
        <f t="shared" si="71"/>
        <v>1</v>
      </c>
      <c r="I656" s="21">
        <f>IF(OR(B656="",C656="",$V$1=""),"",MIN(E656,SUMIFS('03_Planificacion'!$G$99:$G$178,'03_Planificacion'!$E$99:$E$178,B656,'03_Planificacion'!$F$99:$F$178,C656,'03_Planificacion'!$D$99:$D$178,"&lt;="&amp;$V$1)))</f>
        <v>0</v>
      </c>
      <c r="J656" s="21">
        <f t="shared" si="72"/>
        <v>0</v>
      </c>
      <c r="K656" s="6">
        <f t="shared" si="73"/>
        <v>1</v>
      </c>
      <c r="L656" t="s">
        <v>123</v>
      </c>
      <c r="P656" s="5">
        <f t="shared" si="74"/>
        <v>46287</v>
      </c>
      <c r="Q656" t="s">
        <v>135</v>
      </c>
      <c r="R656">
        <v>75</v>
      </c>
      <c r="S656" t="s">
        <v>70</v>
      </c>
      <c r="T656" t="str">
        <f t="shared" si="75"/>
        <v/>
      </c>
      <c r="U656" t="str">
        <f>IF(AND(L656="Para Programar",G656&gt;0),COUNTIFS($L$5:L656,"Para Programar",$G$5:G656,"&gt;0"),"")</f>
        <v/>
      </c>
      <c r="W656" t="str">
        <f t="shared" si="76"/>
        <v>N25 - N30|03 Base de asiento - Aporte de material base e=0,10 m</v>
      </c>
      <c r="X656">
        <v>76</v>
      </c>
    </row>
    <row r="657" spans="1:24">
      <c r="A657" t="s">
        <v>77</v>
      </c>
      <c r="B657" s="14" t="s">
        <v>160</v>
      </c>
      <c r="C657" t="s">
        <v>78</v>
      </c>
      <c r="D657" s="13" t="s">
        <v>67</v>
      </c>
      <c r="E657" s="13">
        <v>76</v>
      </c>
      <c r="F657" s="13">
        <f>IF(E657="","",MIN(E657,$X657+SUMIFS('05_Parte_Diario'!$H$5:$H$204,'05_Parte_Diario'!$D$5:$D$204,B657,'05_Parte_Diario'!$E$5:$E$204,C657)))</f>
        <v>76</v>
      </c>
      <c r="G657" s="13">
        <f t="shared" si="70"/>
        <v>0</v>
      </c>
      <c r="H657" s="21">
        <f t="shared" si="71"/>
        <v>1</v>
      </c>
      <c r="I657" s="21">
        <f>IF(OR(B657="",C657="",$V$1=""),"",MIN(E657,SUMIFS('03_Planificacion'!$G$99:$G$178,'03_Planificacion'!$E$99:$E$178,B657,'03_Planificacion'!$F$99:$F$178,C657,'03_Planificacion'!$D$99:$D$178,"&lt;="&amp;$V$1)))</f>
        <v>0</v>
      </c>
      <c r="J657" s="21">
        <f t="shared" si="72"/>
        <v>0</v>
      </c>
      <c r="K657" s="6">
        <f t="shared" si="73"/>
        <v>1</v>
      </c>
      <c r="L657" t="s">
        <v>123</v>
      </c>
      <c r="P657" s="5">
        <f t="shared" si="74"/>
        <v>46287</v>
      </c>
      <c r="Q657" t="s">
        <v>135</v>
      </c>
      <c r="R657">
        <v>75</v>
      </c>
      <c r="S657" t="s">
        <v>70</v>
      </c>
      <c r="T657" t="str">
        <f t="shared" si="75"/>
        <v/>
      </c>
      <c r="U657" t="str">
        <f>IF(AND(L657="Para Programar",G657&gt;0),COUNTIFS($L$5:L657,"Para Programar",$G$5:G657,"&gt;0"),"")</f>
        <v/>
      </c>
      <c r="W657" t="str">
        <f t="shared" si="76"/>
        <v>N25 - N30|03 Base de asiento - Compactación</v>
      </c>
      <c r="X657">
        <v>76</v>
      </c>
    </row>
    <row r="658" spans="1:24">
      <c r="A658" t="s">
        <v>79</v>
      </c>
      <c r="B658" s="14" t="s">
        <v>160</v>
      </c>
      <c r="C658" t="s">
        <v>80</v>
      </c>
      <c r="D658" s="13" t="s">
        <v>81</v>
      </c>
      <c r="E658" s="13">
        <v>1</v>
      </c>
      <c r="F658" s="13">
        <f>IF(E658="","",MIN(E658,$X658+SUMIFS('05_Parte_Diario'!$H$5:$H$204,'05_Parte_Diario'!$D$5:$D$204,B658,'05_Parte_Diario'!$E$5:$E$204,C658)))</f>
        <v>1</v>
      </c>
      <c r="G658" s="13">
        <f t="shared" si="70"/>
        <v>0</v>
      </c>
      <c r="H658" s="21">
        <f t="shared" si="71"/>
        <v>1</v>
      </c>
      <c r="I658" s="21">
        <f>IF(OR(B658="",C658="",$V$1=""),"",MIN(E658,SUMIFS('03_Planificacion'!$G$99:$G$178,'03_Planificacion'!$E$99:$E$178,B658,'03_Planificacion'!$F$99:$F$178,C658,'03_Planificacion'!$D$99:$D$178,"&lt;="&amp;$V$1)))</f>
        <v>0</v>
      </c>
      <c r="J658" s="21">
        <f t="shared" si="72"/>
        <v>0</v>
      </c>
      <c r="K658" s="6">
        <f t="shared" si="73"/>
        <v>1</v>
      </c>
      <c r="L658" t="s">
        <v>123</v>
      </c>
      <c r="P658" s="5">
        <f t="shared" si="74"/>
        <v>46287</v>
      </c>
      <c r="Q658" t="s">
        <v>135</v>
      </c>
      <c r="R658">
        <v>75</v>
      </c>
      <c r="S658" t="s">
        <v>70</v>
      </c>
      <c r="T658" t="str">
        <f t="shared" si="75"/>
        <v/>
      </c>
      <c r="U658" t="str">
        <f>IF(AND(L658="Para Programar",G658&gt;0),COUNTIFS($L$5:L658,"Para Programar",$G$5:G658,"&gt;0"),"")</f>
        <v/>
      </c>
      <c r="W658" t="str">
        <f t="shared" si="76"/>
        <v>N25 - N30|04 Inspecciones previas - Laboratorio base de asiento</v>
      </c>
      <c r="X658">
        <v>1</v>
      </c>
    </row>
    <row r="659" spans="1:24">
      <c r="A659" t="s">
        <v>82</v>
      </c>
      <c r="B659" s="14" t="s">
        <v>160</v>
      </c>
      <c r="C659" t="s">
        <v>83</v>
      </c>
      <c r="D659" s="13" t="s">
        <v>81</v>
      </c>
      <c r="E659" s="13">
        <v>1</v>
      </c>
      <c r="F659" s="13">
        <f>IF(E659="","",MIN(E659,$X659+SUMIFS('05_Parte_Diario'!$H$5:$H$204,'05_Parte_Diario'!$D$5:$D$204,B659,'05_Parte_Diario'!$E$5:$E$204,C659)))</f>
        <v>1</v>
      </c>
      <c r="G659" s="13">
        <f t="shared" si="70"/>
        <v>0</v>
      </c>
      <c r="H659" s="21">
        <f t="shared" si="71"/>
        <v>1</v>
      </c>
      <c r="I659" s="21">
        <f>IF(OR(B659="",C659="",$V$1=""),"",MIN(E659,SUMIFS('03_Planificacion'!$G$99:$G$178,'03_Planificacion'!$E$99:$E$178,B659,'03_Planificacion'!$F$99:$F$178,C659,'03_Planificacion'!$D$99:$D$178,"&lt;="&amp;$V$1)))</f>
        <v>0</v>
      </c>
      <c r="J659" s="21">
        <f t="shared" si="72"/>
        <v>0</v>
      </c>
      <c r="K659" s="6">
        <f t="shared" si="73"/>
        <v>1</v>
      </c>
      <c r="L659" t="s">
        <v>123</v>
      </c>
      <c r="P659" s="5">
        <f t="shared" si="74"/>
        <v>46287</v>
      </c>
      <c r="Q659" t="s">
        <v>135</v>
      </c>
      <c r="R659">
        <v>75</v>
      </c>
      <c r="S659" t="s">
        <v>70</v>
      </c>
      <c r="T659" t="str">
        <f t="shared" si="75"/>
        <v/>
      </c>
      <c r="U659" t="str">
        <f>IF(AND(L659="Para Programar",G659&gt;0),COUNTIFS($L$5:L659,"Para Programar",$G$5:G659,"&gt;0"),"")</f>
        <v/>
      </c>
      <c r="W659" t="str">
        <f t="shared" si="76"/>
        <v>N25 - N30|04 Inspecciones previas - Zanja y materiales</v>
      </c>
      <c r="X659">
        <v>1</v>
      </c>
    </row>
    <row r="660" spans="1:24">
      <c r="A660" t="s">
        <v>84</v>
      </c>
      <c r="B660" s="14" t="s">
        <v>160</v>
      </c>
      <c r="C660" t="s">
        <v>85</v>
      </c>
      <c r="D660" s="13" t="s">
        <v>67</v>
      </c>
      <c r="E660" s="13">
        <v>76</v>
      </c>
      <c r="F660" s="13">
        <f>IF(E660="","",MIN(E660,$X660+SUMIFS('05_Parte_Diario'!$H$5:$H$204,'05_Parte_Diario'!$D$5:$D$204,B660,'05_Parte_Diario'!$E$5:$E$204,C660)))</f>
        <v>76</v>
      </c>
      <c r="G660" s="13">
        <f t="shared" si="70"/>
        <v>0</v>
      </c>
      <c r="H660" s="21">
        <f t="shared" si="71"/>
        <v>1</v>
      </c>
      <c r="I660" s="21">
        <f>IF(OR(B660="",C660="",$V$1=""),"",MIN(E660,SUMIFS('03_Planificacion'!$G$99:$G$178,'03_Planificacion'!$E$99:$E$178,B660,'03_Planificacion'!$F$99:$F$178,C660,'03_Planificacion'!$D$99:$D$178,"&lt;="&amp;$V$1)))</f>
        <v>0</v>
      </c>
      <c r="J660" s="21">
        <f t="shared" si="72"/>
        <v>0</v>
      </c>
      <c r="K660" s="6">
        <f t="shared" si="73"/>
        <v>1</v>
      </c>
      <c r="L660" t="s">
        <v>123</v>
      </c>
      <c r="P660" s="5">
        <f t="shared" si="74"/>
        <v>46287</v>
      </c>
      <c r="Q660" t="s">
        <v>135</v>
      </c>
      <c r="R660">
        <v>75</v>
      </c>
      <c r="S660" t="s">
        <v>70</v>
      </c>
      <c r="T660" t="str">
        <f t="shared" si="75"/>
        <v/>
      </c>
      <c r="U660" t="str">
        <f>IF(AND(L660="Para Programar",G660&gt;0),COUNTIFS($L$5:L660,"Para Programar",$G$5:G660,"&gt;0"),"")</f>
        <v/>
      </c>
      <c r="W660" t="str">
        <f t="shared" si="76"/>
        <v>N25 - N30|05 Tendido de cañería - Cañería principal</v>
      </c>
      <c r="X660">
        <v>76</v>
      </c>
    </row>
    <row r="661" spans="1:24">
      <c r="A661" t="s">
        <v>86</v>
      </c>
      <c r="B661" s="14" t="s">
        <v>160</v>
      </c>
      <c r="C661" t="s">
        <v>87</v>
      </c>
      <c r="D661" s="13" t="s">
        <v>67</v>
      </c>
      <c r="E661" s="13">
        <v>76</v>
      </c>
      <c r="F661" s="13">
        <f>IF(E661="","",MIN(E661,$X661+SUMIFS('05_Parte_Diario'!$H$5:$H$204,'05_Parte_Diario'!$D$5:$D$204,B661,'05_Parte_Diario'!$E$5:$E$204,C661)))</f>
        <v>76</v>
      </c>
      <c r="G661" s="13">
        <f t="shared" si="70"/>
        <v>0</v>
      </c>
      <c r="H661" s="21">
        <f t="shared" si="71"/>
        <v>1</v>
      </c>
      <c r="I661" s="21">
        <f>IF(OR(B661="",C661="",$V$1=""),"",MIN(E661,SUMIFS('03_Planificacion'!$G$99:$G$178,'03_Planificacion'!$E$99:$E$178,B661,'03_Planificacion'!$F$99:$F$178,C661,'03_Planificacion'!$D$99:$D$178,"&lt;="&amp;$V$1)))</f>
        <v>0</v>
      </c>
      <c r="J661" s="21">
        <f t="shared" si="72"/>
        <v>0</v>
      </c>
      <c r="K661" s="6">
        <f t="shared" si="73"/>
        <v>1</v>
      </c>
      <c r="L661" t="s">
        <v>123</v>
      </c>
      <c r="P661" s="5">
        <f t="shared" si="74"/>
        <v>46287</v>
      </c>
      <c r="Q661" t="s">
        <v>135</v>
      </c>
      <c r="R661">
        <v>75</v>
      </c>
      <c r="S661" t="s">
        <v>70</v>
      </c>
      <c r="T661" t="str">
        <f t="shared" si="75"/>
        <v/>
      </c>
      <c r="U661" t="str">
        <f>IF(AND(L661="Para Programar",G661&gt;0),COUNTIFS($L$5:L661,"Para Programar",$G$5:G661,"&gt;0"),"")</f>
        <v/>
      </c>
      <c r="W661" t="str">
        <f t="shared" si="76"/>
        <v>N25 - N30|05 Tendido de cañería - Relevamiento planialtimétrico</v>
      </c>
      <c r="X661">
        <v>76</v>
      </c>
    </row>
    <row r="662" spans="1:24">
      <c r="A662" t="s">
        <v>88</v>
      </c>
      <c r="B662" s="14" t="s">
        <v>160</v>
      </c>
      <c r="C662" t="s">
        <v>89</v>
      </c>
      <c r="D662" s="13" t="s">
        <v>81</v>
      </c>
      <c r="E662" s="13">
        <v>1</v>
      </c>
      <c r="F662" s="13">
        <f>IF(E662="","",MIN(E662,$X662+SUMIFS('05_Parte_Diario'!$H$5:$H$204,'05_Parte_Diario'!$D$5:$D$204,B662,'05_Parte_Diario'!$E$5:$E$204,C662)))</f>
        <v>1</v>
      </c>
      <c r="G662" s="13">
        <f t="shared" si="70"/>
        <v>0</v>
      </c>
      <c r="H662" s="21">
        <f t="shared" si="71"/>
        <v>1</v>
      </c>
      <c r="I662" s="21">
        <f>IF(OR(B662="",C662="",$V$1=""),"",MIN(E662,SUMIFS('03_Planificacion'!$G$99:$G$178,'03_Planificacion'!$E$99:$E$178,B662,'03_Planificacion'!$F$99:$F$178,C662,'03_Planificacion'!$D$99:$D$178,"&lt;="&amp;$V$1)))</f>
        <v>0</v>
      </c>
      <c r="J662" s="21">
        <f t="shared" si="72"/>
        <v>0</v>
      </c>
      <c r="K662" s="6">
        <f t="shared" si="73"/>
        <v>1</v>
      </c>
      <c r="L662" t="s">
        <v>123</v>
      </c>
      <c r="P662" s="5">
        <f t="shared" si="74"/>
        <v>46287</v>
      </c>
      <c r="Q662" t="s">
        <v>135</v>
      </c>
      <c r="R662">
        <v>75</v>
      </c>
      <c r="S662" t="s">
        <v>70</v>
      </c>
      <c r="T662" t="str">
        <f t="shared" si="75"/>
        <v/>
      </c>
      <c r="U662" t="str">
        <f>IF(AND(L662="Para Programar",G662&gt;0),COUNTIFS($L$5:L662,"Para Programar",$G$5:G662,"&gt;0"),"")</f>
        <v/>
      </c>
      <c r="W662" t="str">
        <f t="shared" si="76"/>
        <v>N25 - N30|08 Prueba hidráulica - Preparación del sistema</v>
      </c>
      <c r="X662">
        <v>1</v>
      </c>
    </row>
    <row r="663" spans="1:24">
      <c r="A663" t="s">
        <v>90</v>
      </c>
      <c r="B663" s="14" t="s">
        <v>160</v>
      </c>
      <c r="C663" t="s">
        <v>91</v>
      </c>
      <c r="D663" s="13" t="s">
        <v>81</v>
      </c>
      <c r="E663" s="13">
        <v>1</v>
      </c>
      <c r="F663" s="13">
        <f>IF(E663="","",MIN(E663,$X663+SUMIFS('05_Parte_Diario'!$H$5:$H$204,'05_Parte_Diario'!$D$5:$D$204,B663,'05_Parte_Diario'!$E$5:$E$204,C663)))</f>
        <v>1</v>
      </c>
      <c r="G663" s="13">
        <f t="shared" si="70"/>
        <v>0</v>
      </c>
      <c r="H663" s="21">
        <f t="shared" si="71"/>
        <v>1</v>
      </c>
      <c r="I663" s="21">
        <f>IF(OR(B663="",C663="",$V$1=""),"",MIN(E663,SUMIFS('03_Planificacion'!$G$99:$G$178,'03_Planificacion'!$E$99:$E$178,B663,'03_Planificacion'!$F$99:$F$178,C663,'03_Planificacion'!$D$99:$D$178,"&lt;="&amp;$V$1)))</f>
        <v>0</v>
      </c>
      <c r="J663" s="21">
        <f t="shared" si="72"/>
        <v>0</v>
      </c>
      <c r="K663" s="6">
        <f t="shared" si="73"/>
        <v>1</v>
      </c>
      <c r="L663" t="s">
        <v>123</v>
      </c>
      <c r="P663" s="5">
        <f t="shared" si="74"/>
        <v>46287</v>
      </c>
      <c r="Q663" t="s">
        <v>135</v>
      </c>
      <c r="R663">
        <v>75</v>
      </c>
      <c r="S663" t="s">
        <v>70</v>
      </c>
      <c r="T663" t="str">
        <f t="shared" si="75"/>
        <v/>
      </c>
      <c r="U663" t="str">
        <f>IF(AND(L663="Para Programar",G663&gt;0),COUNTIFS($L$5:L663,"Para Programar",$G$5:G663,"&gt;0"),"")</f>
        <v/>
      </c>
      <c r="W663" t="str">
        <f t="shared" si="76"/>
        <v>N25 - N30|08 Prueba hidráulica - Interna N° 1</v>
      </c>
      <c r="X663">
        <v>1</v>
      </c>
    </row>
    <row r="664" spans="1:24">
      <c r="A664" t="s">
        <v>92</v>
      </c>
      <c r="B664" s="14" t="s">
        <v>160</v>
      </c>
      <c r="C664" t="s">
        <v>93</v>
      </c>
      <c r="D664" s="13" t="s">
        <v>81</v>
      </c>
      <c r="E664" s="13">
        <v>1</v>
      </c>
      <c r="F664" s="13">
        <f>IF(E664="","",MIN(E664,$X664+SUMIFS('05_Parte_Diario'!$H$5:$H$204,'05_Parte_Diario'!$D$5:$D$204,B664,'05_Parte_Diario'!$E$5:$E$204,C664)))</f>
        <v>1</v>
      </c>
      <c r="G664" s="13">
        <f t="shared" si="70"/>
        <v>0</v>
      </c>
      <c r="H664" s="21">
        <f t="shared" si="71"/>
        <v>1</v>
      </c>
      <c r="I664" s="21">
        <f>IF(OR(B664="",C664="",$V$1=""),"",MIN(E664,SUMIFS('03_Planificacion'!$G$99:$G$178,'03_Planificacion'!$E$99:$E$178,B664,'03_Planificacion'!$F$99:$F$178,C664,'03_Planificacion'!$D$99:$D$178,"&lt;="&amp;$V$1)))</f>
        <v>0</v>
      </c>
      <c r="J664" s="21">
        <f t="shared" si="72"/>
        <v>0</v>
      </c>
      <c r="K664" s="6">
        <f t="shared" si="73"/>
        <v>1</v>
      </c>
      <c r="L664" t="s">
        <v>123</v>
      </c>
      <c r="P664" s="5">
        <f t="shared" si="74"/>
        <v>46287</v>
      </c>
      <c r="Q664" t="s">
        <v>135</v>
      </c>
      <c r="R664">
        <v>75</v>
      </c>
      <c r="S664" t="s">
        <v>70</v>
      </c>
      <c r="T664" t="str">
        <f t="shared" si="75"/>
        <v/>
      </c>
      <c r="U664" t="str">
        <f>IF(AND(L664="Para Programar",G664&gt;0),COUNTIFS($L$5:L664,"Para Programar",$G$5:G664,"&gt;0"),"")</f>
        <v/>
      </c>
      <c r="W664" t="str">
        <f t="shared" si="76"/>
        <v>N25 - N30|08 Prueba hidráulica - Interna N° 2</v>
      </c>
      <c r="X664">
        <v>1</v>
      </c>
    </row>
    <row r="665" spans="1:24">
      <c r="A665" t="s">
        <v>94</v>
      </c>
      <c r="B665" s="14" t="s">
        <v>160</v>
      </c>
      <c r="C665" t="s">
        <v>95</v>
      </c>
      <c r="D665" s="13" t="s">
        <v>81</v>
      </c>
      <c r="E665" s="13">
        <v>1</v>
      </c>
      <c r="F665" s="13">
        <f>IF(E665="","",MIN(E665,$X665+SUMIFS('05_Parte_Diario'!$H$5:$H$204,'05_Parte_Diario'!$D$5:$D$204,B665,'05_Parte_Diario'!$E$5:$E$204,C665)))</f>
        <v>1</v>
      </c>
      <c r="G665" s="13">
        <f t="shared" si="70"/>
        <v>0</v>
      </c>
      <c r="H665" s="21">
        <f t="shared" si="71"/>
        <v>1</v>
      </c>
      <c r="I665" s="21">
        <f>IF(OR(B665="",C665="",$V$1=""),"",MIN(E665,SUMIFS('03_Planificacion'!$G$99:$G$178,'03_Planificacion'!$E$99:$E$178,B665,'03_Planificacion'!$F$99:$F$178,C665,'03_Planificacion'!$D$99:$D$178,"&lt;="&amp;$V$1)))</f>
        <v>0</v>
      </c>
      <c r="J665" s="21">
        <f t="shared" si="72"/>
        <v>0</v>
      </c>
      <c r="K665" s="6">
        <f t="shared" si="73"/>
        <v>1</v>
      </c>
      <c r="L665" t="s">
        <v>123</v>
      </c>
      <c r="P665" s="5">
        <f t="shared" si="74"/>
        <v>46287</v>
      </c>
      <c r="Q665" t="s">
        <v>135</v>
      </c>
      <c r="R665">
        <v>75</v>
      </c>
      <c r="S665" t="s">
        <v>70</v>
      </c>
      <c r="T665" t="str">
        <f t="shared" si="75"/>
        <v/>
      </c>
      <c r="U665" t="str">
        <f>IF(AND(L665="Para Programar",G665&gt;0),COUNTIFS($L$5:L665,"Para Programar",$G$5:G665,"&gt;0"),"")</f>
        <v/>
      </c>
      <c r="W665" t="str">
        <f t="shared" si="76"/>
        <v>N25 - N30|08 Prueba hidráulica - Primera prueba oficial</v>
      </c>
      <c r="X665">
        <v>1</v>
      </c>
    </row>
    <row r="666" spans="1:24">
      <c r="A666" t="s">
        <v>96</v>
      </c>
      <c r="B666" s="14" t="s">
        <v>160</v>
      </c>
      <c r="C666" t="s">
        <v>97</v>
      </c>
      <c r="D666" s="13" t="s">
        <v>67</v>
      </c>
      <c r="E666" s="13">
        <v>76</v>
      </c>
      <c r="F666" s="13">
        <f>IF(E666="","",MIN(E666,$X666+SUMIFS('05_Parte_Diario'!$H$5:$H$204,'05_Parte_Diario'!$D$5:$D$204,B666,'05_Parte_Diario'!$E$5:$E$204,C666)))</f>
        <v>76</v>
      </c>
      <c r="G666" s="13">
        <f t="shared" si="70"/>
        <v>0</v>
      </c>
      <c r="H666" s="21">
        <f t="shared" si="71"/>
        <v>1</v>
      </c>
      <c r="I666" s="21">
        <f>IF(OR(B666="",C666="",$V$1=""),"",MIN(E666,SUMIFS('03_Planificacion'!$G$99:$G$178,'03_Planificacion'!$E$99:$E$178,B666,'03_Planificacion'!$F$99:$F$178,C666,'03_Planificacion'!$D$99:$D$178,"&lt;="&amp;$V$1)))</f>
        <v>0</v>
      </c>
      <c r="J666" s="21">
        <f t="shared" si="72"/>
        <v>0</v>
      </c>
      <c r="K666" s="6">
        <f t="shared" si="73"/>
        <v>1</v>
      </c>
      <c r="L666" t="s">
        <v>123</v>
      </c>
      <c r="P666" s="5">
        <f t="shared" si="74"/>
        <v>46287</v>
      </c>
      <c r="Q666" t="s">
        <v>135</v>
      </c>
      <c r="R666">
        <v>75</v>
      </c>
      <c r="S666" t="s">
        <v>70</v>
      </c>
      <c r="T666" t="str">
        <f t="shared" si="75"/>
        <v/>
      </c>
      <c r="U666" t="str">
        <f>IF(AND(L666="Para Programar",G666&gt;0),COUNTIFS($L$5:L666,"Para Programar",$G$5:G666,"&gt;0"),"")</f>
        <v/>
      </c>
      <c r="W666" t="str">
        <f t="shared" si="76"/>
        <v>N25 - N30|09 Paquete estructural - Aporte e=0,30 m</v>
      </c>
      <c r="X666">
        <v>76</v>
      </c>
    </row>
    <row r="667" spans="1:24">
      <c r="A667" t="s">
        <v>98</v>
      </c>
      <c r="B667" s="14" t="s">
        <v>160</v>
      </c>
      <c r="C667" t="s">
        <v>99</v>
      </c>
      <c r="D667" s="13" t="s">
        <v>67</v>
      </c>
      <c r="E667" s="13">
        <v>76</v>
      </c>
      <c r="F667" s="13">
        <f>IF(E667="","",MIN(E667,$X667+SUMIFS('05_Parte_Diario'!$H$5:$H$204,'05_Parte_Diario'!$D$5:$D$204,B667,'05_Parte_Diario'!$E$5:$E$204,C667)))</f>
        <v>76</v>
      </c>
      <c r="G667" s="13">
        <f t="shared" si="70"/>
        <v>0</v>
      </c>
      <c r="H667" s="21">
        <f t="shared" si="71"/>
        <v>1</v>
      </c>
      <c r="I667" s="21">
        <f>IF(OR(B667="",C667="",$V$1=""),"",MIN(E667,SUMIFS('03_Planificacion'!$G$99:$G$178,'03_Planificacion'!$E$99:$E$178,B667,'03_Planificacion'!$F$99:$F$178,C667,'03_Planificacion'!$D$99:$D$178,"&lt;="&amp;$V$1)))</f>
        <v>0</v>
      </c>
      <c r="J667" s="21">
        <f t="shared" si="72"/>
        <v>0</v>
      </c>
      <c r="K667" s="6">
        <f t="shared" si="73"/>
        <v>1</v>
      </c>
      <c r="L667" t="s">
        <v>123</v>
      </c>
      <c r="P667" s="5">
        <f t="shared" si="74"/>
        <v>46287</v>
      </c>
      <c r="Q667" t="s">
        <v>135</v>
      </c>
      <c r="R667">
        <v>75</v>
      </c>
      <c r="S667" t="s">
        <v>70</v>
      </c>
      <c r="T667" t="str">
        <f t="shared" si="75"/>
        <v/>
      </c>
      <c r="U667" t="str">
        <f>IF(AND(L667="Para Programar",G667&gt;0),COUNTIFS($L$5:L667,"Para Programar",$G$5:G667,"&gt;0"),"")</f>
        <v/>
      </c>
      <c r="W667" t="str">
        <f t="shared" si="76"/>
        <v>N25 - N30|09 Paquete estructural - Compactación</v>
      </c>
      <c r="X667">
        <v>76</v>
      </c>
    </row>
    <row r="668" spans="1:24">
      <c r="A668" t="s">
        <v>100</v>
      </c>
      <c r="B668" s="14" t="s">
        <v>160</v>
      </c>
      <c r="C668" t="s">
        <v>101</v>
      </c>
      <c r="D668" s="13" t="s">
        <v>81</v>
      </c>
      <c r="E668" s="13">
        <v>1</v>
      </c>
      <c r="F668" s="13">
        <f>IF(E668="","",MIN(E668,$X668+SUMIFS('05_Parte_Diario'!$H$5:$H$204,'05_Parte_Diario'!$D$5:$D$204,B668,'05_Parte_Diario'!$E$5:$E$204,C668)))</f>
        <v>1</v>
      </c>
      <c r="G668" s="13">
        <f t="shared" si="70"/>
        <v>0</v>
      </c>
      <c r="H668" s="21">
        <f t="shared" si="71"/>
        <v>1</v>
      </c>
      <c r="I668" s="21">
        <f>IF(OR(B668="",C668="",$V$1=""),"",MIN(E668,SUMIFS('03_Planificacion'!$G$99:$G$178,'03_Planificacion'!$E$99:$E$178,B668,'03_Planificacion'!$F$99:$F$178,C668,'03_Planificacion'!$D$99:$D$178,"&lt;="&amp;$V$1)))</f>
        <v>0</v>
      </c>
      <c r="J668" s="21">
        <f t="shared" si="72"/>
        <v>0</v>
      </c>
      <c r="K668" s="6">
        <f t="shared" si="73"/>
        <v>1</v>
      </c>
      <c r="L668" t="s">
        <v>123</v>
      </c>
      <c r="P668" s="5">
        <f t="shared" si="74"/>
        <v>46287</v>
      </c>
      <c r="Q668" t="s">
        <v>135</v>
      </c>
      <c r="R668">
        <v>75</v>
      </c>
      <c r="S668" t="s">
        <v>70</v>
      </c>
      <c r="T668" t="str">
        <f t="shared" si="75"/>
        <v/>
      </c>
      <c r="U668" t="str">
        <f>IF(AND(L668="Para Programar",G668&gt;0),COUNTIFS($L$5:L668,"Para Programar",$G$5:G668,"&gt;0"),"")</f>
        <v/>
      </c>
      <c r="W668" t="str">
        <f t="shared" si="76"/>
        <v>N25 - N30|09 Paquete estructural - Inspección laboratorio</v>
      </c>
      <c r="X668">
        <v>1</v>
      </c>
    </row>
    <row r="669" spans="1:24">
      <c r="A669" t="s">
        <v>102</v>
      </c>
      <c r="B669" s="14" t="s">
        <v>160</v>
      </c>
      <c r="C669" t="s">
        <v>103</v>
      </c>
      <c r="D669" s="13" t="s">
        <v>67</v>
      </c>
      <c r="E669" s="13">
        <v>76</v>
      </c>
      <c r="F669" s="13">
        <f>IF(E669="","",MIN(E669,$X669+SUMIFS('05_Parte_Diario'!$H$5:$H$204,'05_Parte_Diario'!$D$5:$D$204,B669,'05_Parte_Diario'!$E$5:$E$204,C669)))</f>
        <v>76</v>
      </c>
      <c r="G669" s="13">
        <f t="shared" si="70"/>
        <v>0</v>
      </c>
      <c r="H669" s="21">
        <f t="shared" si="71"/>
        <v>1</v>
      </c>
      <c r="I669" s="21">
        <f>IF(OR(B669="",C669="",$V$1=""),"",MIN(E669,SUMIFS('03_Planificacion'!$G$99:$G$178,'03_Planificacion'!$E$99:$E$178,B669,'03_Planificacion'!$F$99:$F$178,C669,'03_Planificacion'!$D$99:$D$178,"&lt;="&amp;$V$1)))</f>
        <v>0</v>
      </c>
      <c r="J669" s="21">
        <f t="shared" si="72"/>
        <v>0</v>
      </c>
      <c r="K669" s="6">
        <f t="shared" si="73"/>
        <v>1</v>
      </c>
      <c r="L669" t="s">
        <v>123</v>
      </c>
      <c r="P669" s="5">
        <f t="shared" si="74"/>
        <v>46287</v>
      </c>
      <c r="Q669" t="s">
        <v>135</v>
      </c>
      <c r="R669">
        <v>75</v>
      </c>
      <c r="S669" t="s">
        <v>70</v>
      </c>
      <c r="T669" t="str">
        <f t="shared" si="75"/>
        <v/>
      </c>
      <c r="U669" t="str">
        <f>IF(AND(L669="Para Programar",G669&gt;0),COUNTIFS($L$5:L669,"Para Programar",$G$5:G669,"&gt;0"),"")</f>
        <v/>
      </c>
      <c r="W669" t="str">
        <f t="shared" si="76"/>
        <v>N25 - N30|10 Relleno -0,60 - Conformación de capa</v>
      </c>
      <c r="X669">
        <v>76</v>
      </c>
    </row>
    <row r="670" spans="1:24">
      <c r="A670" t="s">
        <v>104</v>
      </c>
      <c r="B670" s="14" t="s">
        <v>160</v>
      </c>
      <c r="C670" t="s">
        <v>105</v>
      </c>
      <c r="D670" s="13" t="s">
        <v>67</v>
      </c>
      <c r="E670" s="13">
        <v>76</v>
      </c>
      <c r="F670" s="13">
        <f>IF(E670="","",MIN(E670,$X670+SUMIFS('05_Parte_Diario'!$H$5:$H$204,'05_Parte_Diario'!$D$5:$D$204,B670,'05_Parte_Diario'!$E$5:$E$204,C670)))</f>
        <v>76</v>
      </c>
      <c r="G670" s="13">
        <f t="shared" si="70"/>
        <v>0</v>
      </c>
      <c r="H670" s="21">
        <f t="shared" si="71"/>
        <v>1</v>
      </c>
      <c r="I670" s="21">
        <f>IF(OR(B670="",C670="",$V$1=""),"",MIN(E670,SUMIFS('03_Planificacion'!$G$99:$G$178,'03_Planificacion'!$E$99:$E$178,B670,'03_Planificacion'!$F$99:$F$178,C670,'03_Planificacion'!$D$99:$D$178,"&lt;="&amp;$V$1)))</f>
        <v>0</v>
      </c>
      <c r="J670" s="21">
        <f t="shared" si="72"/>
        <v>0</v>
      </c>
      <c r="K670" s="6">
        <f t="shared" si="73"/>
        <v>1</v>
      </c>
      <c r="L670" t="s">
        <v>123</v>
      </c>
      <c r="P670" s="5">
        <f t="shared" si="74"/>
        <v>46287</v>
      </c>
      <c r="Q670" t="s">
        <v>135</v>
      </c>
      <c r="R670">
        <v>75</v>
      </c>
      <c r="S670" t="s">
        <v>70</v>
      </c>
      <c r="T670" t="str">
        <f t="shared" si="75"/>
        <v/>
      </c>
      <c r="U670" t="str">
        <f>IF(AND(L670="Para Programar",G670&gt;0),COUNTIFS($L$5:L670,"Para Programar",$G$5:G670,"&gt;0"),"")</f>
        <v/>
      </c>
      <c r="W670" t="str">
        <f t="shared" si="76"/>
        <v>N25 - N30|10 Relleno -0,60 - Humectación</v>
      </c>
      <c r="X670">
        <v>76</v>
      </c>
    </row>
    <row r="671" spans="1:24">
      <c r="A671" t="s">
        <v>106</v>
      </c>
      <c r="B671" s="14" t="s">
        <v>160</v>
      </c>
      <c r="C671" t="s">
        <v>107</v>
      </c>
      <c r="D671" s="13" t="s">
        <v>67</v>
      </c>
      <c r="E671" s="13">
        <v>76</v>
      </c>
      <c r="F671" s="13">
        <f>IF(E671="","",MIN(E671,$X671+SUMIFS('05_Parte_Diario'!$H$5:$H$204,'05_Parte_Diario'!$D$5:$D$204,B671,'05_Parte_Diario'!$E$5:$E$204,C671)))</f>
        <v>76</v>
      </c>
      <c r="G671" s="13">
        <f t="shared" si="70"/>
        <v>0</v>
      </c>
      <c r="H671" s="21">
        <f t="shared" si="71"/>
        <v>1</v>
      </c>
      <c r="I671" s="21">
        <f>IF(OR(B671="",C671="",$V$1=""),"",MIN(E671,SUMIFS('03_Planificacion'!$G$99:$G$178,'03_Planificacion'!$E$99:$E$178,B671,'03_Planificacion'!$F$99:$F$178,C671,'03_Planificacion'!$D$99:$D$178,"&lt;="&amp;$V$1)))</f>
        <v>0</v>
      </c>
      <c r="J671" s="21">
        <f t="shared" si="72"/>
        <v>0</v>
      </c>
      <c r="K671" s="6">
        <f t="shared" si="73"/>
        <v>1</v>
      </c>
      <c r="L671" t="s">
        <v>123</v>
      </c>
      <c r="P671" s="5">
        <f t="shared" si="74"/>
        <v>46287</v>
      </c>
      <c r="Q671" t="s">
        <v>135</v>
      </c>
      <c r="R671">
        <v>75</v>
      </c>
      <c r="S671" t="s">
        <v>70</v>
      </c>
      <c r="T671" t="str">
        <f t="shared" si="75"/>
        <v/>
      </c>
      <c r="U671" t="str">
        <f>IF(AND(L671="Para Programar",G671&gt;0),COUNTIFS($L$5:L671,"Para Programar",$G$5:G671,"&gt;0"),"")</f>
        <v/>
      </c>
      <c r="W671" t="str">
        <f t="shared" si="76"/>
        <v>N25 - N30|10 Relleno -0,60 - Compactación</v>
      </c>
      <c r="X671">
        <v>76</v>
      </c>
    </row>
    <row r="672" spans="1:24">
      <c r="A672" t="s">
        <v>108</v>
      </c>
      <c r="B672" s="14" t="s">
        <v>160</v>
      </c>
      <c r="C672" t="s">
        <v>109</v>
      </c>
      <c r="D672" s="13" t="s">
        <v>81</v>
      </c>
      <c r="E672" s="13">
        <v>1</v>
      </c>
      <c r="F672" s="13">
        <f>IF(E672="","",MIN(E672,$X672+SUMIFS('05_Parte_Diario'!$H$5:$H$204,'05_Parte_Diario'!$D$5:$D$204,B672,'05_Parte_Diario'!$E$5:$E$204,C672)))</f>
        <v>1</v>
      </c>
      <c r="G672" s="13">
        <f t="shared" si="70"/>
        <v>0</v>
      </c>
      <c r="H672" s="21">
        <f t="shared" si="71"/>
        <v>1</v>
      </c>
      <c r="I672" s="21">
        <f>IF(OR(B672="",C672="",$V$1=""),"",MIN(E672,SUMIFS('03_Planificacion'!$G$99:$G$178,'03_Planificacion'!$E$99:$E$178,B672,'03_Planificacion'!$F$99:$F$178,C672,'03_Planificacion'!$D$99:$D$178,"&lt;="&amp;$V$1)))</f>
        <v>0</v>
      </c>
      <c r="J672" s="21">
        <f t="shared" si="72"/>
        <v>0</v>
      </c>
      <c r="K672" s="6">
        <f t="shared" si="73"/>
        <v>1</v>
      </c>
      <c r="L672" t="s">
        <v>123</v>
      </c>
      <c r="P672" s="5">
        <f t="shared" si="74"/>
        <v>46287</v>
      </c>
      <c r="Q672" t="s">
        <v>135</v>
      </c>
      <c r="R672">
        <v>75</v>
      </c>
      <c r="S672" t="s">
        <v>70</v>
      </c>
      <c r="T672" t="str">
        <f t="shared" si="75"/>
        <v/>
      </c>
      <c r="U672" t="str">
        <f>IF(AND(L672="Para Programar",G672&gt;0),COUNTIFS($L$5:L672,"Para Programar",$G$5:G672,"&gt;0"),"")</f>
        <v/>
      </c>
      <c r="W672" t="str">
        <f t="shared" si="76"/>
        <v>N25 - N30|10 Relleno -0,60 - Inspección laboratorio</v>
      </c>
      <c r="X672">
        <v>1</v>
      </c>
    </row>
    <row r="673" spans="1:24">
      <c r="A673" t="s">
        <v>110</v>
      </c>
      <c r="B673" s="14" t="s">
        <v>160</v>
      </c>
      <c r="C673" t="s">
        <v>111</v>
      </c>
      <c r="D673" s="13" t="s">
        <v>67</v>
      </c>
      <c r="E673" s="13">
        <v>76</v>
      </c>
      <c r="F673" s="13">
        <f>IF(E673="","",MIN(E673,$X673+SUMIFS('05_Parte_Diario'!$H$5:$H$204,'05_Parte_Diario'!$D$5:$D$204,B673,'05_Parte_Diario'!$E$5:$E$204,C673)))</f>
        <v>76</v>
      </c>
      <c r="G673" s="13">
        <f t="shared" si="70"/>
        <v>0</v>
      </c>
      <c r="H673" s="21">
        <f t="shared" si="71"/>
        <v>1</v>
      </c>
      <c r="I673" s="21">
        <f>IF(OR(B673="",C673="",$V$1=""),"",MIN(E673,SUMIFS('03_Planificacion'!$G$99:$G$178,'03_Planificacion'!$E$99:$E$178,B673,'03_Planificacion'!$F$99:$F$178,C673,'03_Planificacion'!$D$99:$D$178,"&lt;="&amp;$V$1)))</f>
        <v>0</v>
      </c>
      <c r="J673" s="21">
        <f t="shared" si="72"/>
        <v>0</v>
      </c>
      <c r="K673" s="6">
        <f t="shared" si="73"/>
        <v>1</v>
      </c>
      <c r="L673" t="s">
        <v>123</v>
      </c>
      <c r="P673" s="5">
        <f t="shared" si="74"/>
        <v>46287</v>
      </c>
      <c r="Q673" t="s">
        <v>135</v>
      </c>
      <c r="R673">
        <v>75</v>
      </c>
      <c r="S673" t="s">
        <v>70</v>
      </c>
      <c r="T673" t="str">
        <f t="shared" si="75"/>
        <v/>
      </c>
      <c r="U673" t="str">
        <f>IF(AND(L673="Para Programar",G673&gt;0),COUNTIFS($L$5:L673,"Para Programar",$G$5:G673,"&gt;0"),"")</f>
        <v/>
      </c>
      <c r="W673" t="str">
        <f t="shared" si="76"/>
        <v>N25 - N30|11 Relleno -0,30 - Conformación de capa</v>
      </c>
      <c r="X673">
        <v>76</v>
      </c>
    </row>
    <row r="674" spans="1:24">
      <c r="A674" t="s">
        <v>112</v>
      </c>
      <c r="B674" s="14" t="s">
        <v>160</v>
      </c>
      <c r="C674" t="s">
        <v>113</v>
      </c>
      <c r="D674" s="13" t="s">
        <v>67</v>
      </c>
      <c r="E674" s="13">
        <v>76</v>
      </c>
      <c r="F674" s="13">
        <f>IF(E674="","",MIN(E674,$X674+SUMIFS('05_Parte_Diario'!$H$5:$H$204,'05_Parte_Diario'!$D$5:$D$204,B674,'05_Parte_Diario'!$E$5:$E$204,C674)))</f>
        <v>76</v>
      </c>
      <c r="G674" s="13">
        <f t="shared" si="70"/>
        <v>0</v>
      </c>
      <c r="H674" s="21">
        <f t="shared" si="71"/>
        <v>1</v>
      </c>
      <c r="I674" s="21">
        <f>IF(OR(B674="",C674="",$V$1=""),"",MIN(E674,SUMIFS('03_Planificacion'!$G$99:$G$178,'03_Planificacion'!$E$99:$E$178,B674,'03_Planificacion'!$F$99:$F$178,C674,'03_Planificacion'!$D$99:$D$178,"&lt;="&amp;$V$1)))</f>
        <v>0</v>
      </c>
      <c r="J674" s="21">
        <f t="shared" si="72"/>
        <v>0</v>
      </c>
      <c r="K674" s="6">
        <f t="shared" si="73"/>
        <v>1</v>
      </c>
      <c r="L674" t="s">
        <v>123</v>
      </c>
      <c r="P674" s="5">
        <f t="shared" si="74"/>
        <v>46287</v>
      </c>
      <c r="Q674" t="s">
        <v>135</v>
      </c>
      <c r="R674">
        <v>75</v>
      </c>
      <c r="S674" t="s">
        <v>70</v>
      </c>
      <c r="T674" t="str">
        <f t="shared" si="75"/>
        <v/>
      </c>
      <c r="U674" t="str">
        <f>IF(AND(L674="Para Programar",G674&gt;0),COUNTIFS($L$5:L674,"Para Programar",$G$5:G674,"&gt;0"),"")</f>
        <v/>
      </c>
      <c r="W674" t="str">
        <f t="shared" si="76"/>
        <v>N25 - N30|11 Relleno -0,30 - Humectación</v>
      </c>
      <c r="X674">
        <v>76</v>
      </c>
    </row>
    <row r="675" spans="1:24">
      <c r="A675" t="s">
        <v>114</v>
      </c>
      <c r="B675" s="14" t="s">
        <v>160</v>
      </c>
      <c r="C675" t="s">
        <v>115</v>
      </c>
      <c r="D675" s="13" t="s">
        <v>67</v>
      </c>
      <c r="E675" s="13">
        <v>76</v>
      </c>
      <c r="F675" s="13">
        <f>IF(E675="","",MIN(E675,$X675+SUMIFS('05_Parte_Diario'!$H$5:$H$204,'05_Parte_Diario'!$D$5:$D$204,B675,'05_Parte_Diario'!$E$5:$E$204,C675)))</f>
        <v>0</v>
      </c>
      <c r="G675" s="13">
        <f t="shared" si="70"/>
        <v>76</v>
      </c>
      <c r="H675" s="21">
        <f t="shared" si="71"/>
        <v>0</v>
      </c>
      <c r="I675" s="21">
        <f>IF(OR(B675="",C675="",$V$1=""),"",MIN(E675,SUMIFS('03_Planificacion'!$G$99:$G$178,'03_Planificacion'!$E$99:$E$178,B675,'03_Planificacion'!$F$99:$F$178,C675,'03_Planificacion'!$D$99:$D$178,"&lt;="&amp;$V$1)))</f>
        <v>0</v>
      </c>
      <c r="J675" s="21">
        <f t="shared" si="72"/>
        <v>0</v>
      </c>
      <c r="K675" s="6">
        <f t="shared" si="73"/>
        <v>0</v>
      </c>
      <c r="L675" t="s">
        <v>123</v>
      </c>
      <c r="P675" s="5">
        <f t="shared" si="74"/>
        <v>46287</v>
      </c>
      <c r="Q675" t="s">
        <v>135</v>
      </c>
      <c r="R675">
        <v>75</v>
      </c>
      <c r="S675" t="s">
        <v>70</v>
      </c>
      <c r="T675" t="str">
        <f t="shared" si="75"/>
        <v>INCONSISTENCIA - REVISAR MANUALMENTE: Terminada con saldo</v>
      </c>
      <c r="U675" t="str">
        <f>IF(AND(L675="Para Programar",G675&gt;0),COUNTIFS($L$5:L675,"Para Programar",$G$5:G675,"&gt;0"),"")</f>
        <v/>
      </c>
      <c r="W675" t="str">
        <f t="shared" si="76"/>
        <v>N25 - N30|11 Relleno -0,30 - Compactación</v>
      </c>
      <c r="X675">
        <v>0</v>
      </c>
    </row>
    <row r="676" spans="1:24">
      <c r="A676" t="s">
        <v>116</v>
      </c>
      <c r="B676" s="14" t="s">
        <v>160</v>
      </c>
      <c r="C676" t="s">
        <v>117</v>
      </c>
      <c r="D676" s="13" t="s">
        <v>81</v>
      </c>
      <c r="E676" s="13">
        <v>1</v>
      </c>
      <c r="F676" s="13">
        <f>IF(E676="","",MIN(E676,$X676+SUMIFS('05_Parte_Diario'!$H$5:$H$204,'05_Parte_Diario'!$D$5:$D$204,B676,'05_Parte_Diario'!$E$5:$E$204,C676)))</f>
        <v>0</v>
      </c>
      <c r="G676" s="13">
        <f t="shared" si="70"/>
        <v>1</v>
      </c>
      <c r="H676" s="21">
        <f t="shared" si="71"/>
        <v>0</v>
      </c>
      <c r="I676" s="21">
        <f>IF(OR(B676="",C676="",$V$1=""),"",MIN(E676,SUMIFS('03_Planificacion'!$G$99:$G$178,'03_Planificacion'!$E$99:$E$178,B676,'03_Planificacion'!$F$99:$F$178,C676,'03_Planificacion'!$D$99:$D$178,"&lt;="&amp;$V$1)))</f>
        <v>0</v>
      </c>
      <c r="J676" s="21">
        <f t="shared" si="72"/>
        <v>0</v>
      </c>
      <c r="K676" s="6">
        <f t="shared" si="73"/>
        <v>0</v>
      </c>
      <c r="L676" t="s">
        <v>123</v>
      </c>
      <c r="P676" s="5">
        <f t="shared" si="74"/>
        <v>46287</v>
      </c>
      <c r="Q676" t="s">
        <v>135</v>
      </c>
      <c r="R676">
        <v>75</v>
      </c>
      <c r="S676" t="s">
        <v>70</v>
      </c>
      <c r="T676" t="str">
        <f t="shared" si="75"/>
        <v>INCONSISTENCIA - REVISAR MANUALMENTE: Terminada con saldo</v>
      </c>
      <c r="U676" t="str">
        <f>IF(AND(L676="Para Programar",G676&gt;0),COUNTIFS($L$5:L676,"Para Programar",$G$5:G676,"&gt;0"),"")</f>
        <v/>
      </c>
      <c r="W676" t="str">
        <f t="shared" si="76"/>
        <v>N25 - N30|11 Relleno -0,30 - Inspección laboratorio</v>
      </c>
      <c r="X676">
        <v>0</v>
      </c>
    </row>
    <row r="677" spans="1:24">
      <c r="A677" t="s">
        <v>64</v>
      </c>
      <c r="B677" s="14" t="s">
        <v>161</v>
      </c>
      <c r="C677" t="s">
        <v>66</v>
      </c>
      <c r="D677" s="13" t="s">
        <v>67</v>
      </c>
      <c r="E677" s="13">
        <v>84</v>
      </c>
      <c r="F677" s="13">
        <f>IF(E677="","",MIN(E677,$X677+SUMIFS('05_Parte_Diario'!$H$5:$H$204,'05_Parte_Diario'!$D$5:$D$204,B677,'05_Parte_Diario'!$E$5:$E$204,C677)))</f>
        <v>0</v>
      </c>
      <c r="G677" s="13">
        <f t="shared" si="70"/>
        <v>84</v>
      </c>
      <c r="H677" s="21">
        <f t="shared" si="71"/>
        <v>0</v>
      </c>
      <c r="I677" s="21">
        <f>IF(OR(B677="",C677="",$V$1=""),"",MIN(E677,SUMIFS('03_Planificacion'!$G$99:$G$178,'03_Planificacion'!$E$99:$E$178,B677,'03_Planificacion'!$F$99:$F$178,C677,'03_Planificacion'!$D$99:$D$178,"&lt;="&amp;$V$1)))</f>
        <v>0</v>
      </c>
      <c r="J677" s="21">
        <f t="shared" si="72"/>
        <v>0</v>
      </c>
      <c r="K677" s="6">
        <f t="shared" si="73"/>
        <v>0</v>
      </c>
      <c r="L677" t="s">
        <v>68</v>
      </c>
      <c r="P677" s="5">
        <f t="shared" si="74"/>
        <v>46287</v>
      </c>
      <c r="Q677" t="s">
        <v>162</v>
      </c>
      <c r="R677">
        <v>110</v>
      </c>
      <c r="S677" t="s">
        <v>70</v>
      </c>
      <c r="T677" t="str">
        <f t="shared" si="75"/>
        <v/>
      </c>
      <c r="U677" t="str">
        <f>IF(AND(L677="Para Programar",G677&gt;0),COUNTIFS($L$5:L677,"Para Programar",$G$5:G677,"&gt;0"),"")</f>
        <v/>
      </c>
      <c r="W677" t="str">
        <f t="shared" si="76"/>
        <v>N23 - N31|01 Replanteo - Marcación de tramo de cañería principal</v>
      </c>
      <c r="X677">
        <v>0</v>
      </c>
    </row>
    <row r="678" spans="1:24">
      <c r="A678" t="s">
        <v>71</v>
      </c>
      <c r="B678" s="14" t="s">
        <v>161</v>
      </c>
      <c r="C678" t="s">
        <v>72</v>
      </c>
      <c r="D678" s="13" t="s">
        <v>67</v>
      </c>
      <c r="E678" s="13">
        <v>84</v>
      </c>
      <c r="F678" s="13">
        <f>IF(E678="","",MIN(E678,$X678+SUMIFS('05_Parte_Diario'!$H$5:$H$204,'05_Parte_Diario'!$D$5:$D$204,B678,'05_Parte_Diario'!$E$5:$E$204,C678)))</f>
        <v>0</v>
      </c>
      <c r="G678" s="13">
        <f t="shared" si="70"/>
        <v>84</v>
      </c>
      <c r="H678" s="21">
        <f t="shared" si="71"/>
        <v>0</v>
      </c>
      <c r="I678" s="21">
        <f>IF(OR(B678="",C678="",$V$1=""),"",MIN(E678,SUMIFS('03_Planificacion'!$G$99:$G$178,'03_Planificacion'!$E$99:$E$178,B678,'03_Planificacion'!$F$99:$F$178,C678,'03_Planificacion'!$D$99:$D$178,"&lt;="&amp;$V$1)))</f>
        <v>0</v>
      </c>
      <c r="J678" s="21">
        <f t="shared" si="72"/>
        <v>0</v>
      </c>
      <c r="K678" s="6">
        <f t="shared" si="73"/>
        <v>0</v>
      </c>
      <c r="L678" t="s">
        <v>68</v>
      </c>
      <c r="P678" s="5">
        <f t="shared" si="74"/>
        <v>46287</v>
      </c>
      <c r="Q678" t="s">
        <v>162</v>
      </c>
      <c r="R678">
        <v>110</v>
      </c>
      <c r="S678" t="s">
        <v>70</v>
      </c>
      <c r="T678" t="str">
        <f t="shared" si="75"/>
        <v/>
      </c>
      <c r="U678" t="str">
        <f>IF(AND(L678="Para Programar",G678&gt;0),COUNTIFS($L$5:L678,"Para Programar",$G$5:G678,"&gt;0"),"")</f>
        <v/>
      </c>
      <c r="W678" t="str">
        <f t="shared" si="76"/>
        <v>N23 - N31|02 Excavación - Zanja principal</v>
      </c>
      <c r="X678">
        <v>0</v>
      </c>
    </row>
    <row r="679" spans="1:24">
      <c r="A679" t="s">
        <v>73</v>
      </c>
      <c r="B679" s="14" t="s">
        <v>161</v>
      </c>
      <c r="C679" t="s">
        <v>74</v>
      </c>
      <c r="D679" s="13" t="s">
        <v>67</v>
      </c>
      <c r="E679" s="13">
        <v>84</v>
      </c>
      <c r="F679" s="13">
        <f>IF(E679="","",MIN(E679,$X679+SUMIFS('05_Parte_Diario'!$H$5:$H$204,'05_Parte_Diario'!$D$5:$D$204,B679,'05_Parte_Diario'!$E$5:$E$204,C679)))</f>
        <v>0</v>
      </c>
      <c r="G679" s="13">
        <f t="shared" si="70"/>
        <v>84</v>
      </c>
      <c r="H679" s="21">
        <f t="shared" si="71"/>
        <v>0</v>
      </c>
      <c r="I679" s="21">
        <f>IF(OR(B679="",C679="",$V$1=""),"",MIN(E679,SUMIFS('03_Planificacion'!$G$99:$G$178,'03_Planificacion'!$E$99:$E$178,B679,'03_Planificacion'!$F$99:$F$178,C679,'03_Planificacion'!$D$99:$D$178,"&lt;="&amp;$V$1)))</f>
        <v>0</v>
      </c>
      <c r="J679" s="21">
        <f t="shared" si="72"/>
        <v>0</v>
      </c>
      <c r="K679" s="6">
        <f t="shared" si="73"/>
        <v>0</v>
      </c>
      <c r="L679" t="s">
        <v>68</v>
      </c>
      <c r="P679" s="5">
        <f t="shared" si="74"/>
        <v>46287</v>
      </c>
      <c r="Q679" t="s">
        <v>162</v>
      </c>
      <c r="R679">
        <v>110</v>
      </c>
      <c r="S679" t="s">
        <v>70</v>
      </c>
      <c r="T679" t="str">
        <f t="shared" si="75"/>
        <v/>
      </c>
      <c r="U679" t="str">
        <f>IF(AND(L679="Para Programar",G679&gt;0),COUNTIFS($L$5:L679,"Para Programar",$G$5:G679,"&gt;0"),"")</f>
        <v/>
      </c>
      <c r="W679" t="str">
        <f t="shared" si="76"/>
        <v>N23 - N31|03 Base de asiento - Nivelación de fondo de zanja</v>
      </c>
      <c r="X679">
        <v>0</v>
      </c>
    </row>
    <row r="680" spans="1:24">
      <c r="A680" t="s">
        <v>75</v>
      </c>
      <c r="B680" s="14" t="s">
        <v>161</v>
      </c>
      <c r="C680" t="s">
        <v>76</v>
      </c>
      <c r="D680" s="13" t="s">
        <v>67</v>
      </c>
      <c r="E680" s="13">
        <v>84</v>
      </c>
      <c r="F680" s="13">
        <f>IF(E680="","",MIN(E680,$X680+SUMIFS('05_Parte_Diario'!$H$5:$H$204,'05_Parte_Diario'!$D$5:$D$204,B680,'05_Parte_Diario'!$E$5:$E$204,C680)))</f>
        <v>0</v>
      </c>
      <c r="G680" s="13">
        <f t="shared" si="70"/>
        <v>84</v>
      </c>
      <c r="H680" s="21">
        <f t="shared" si="71"/>
        <v>0</v>
      </c>
      <c r="I680" s="21">
        <f>IF(OR(B680="",C680="",$V$1=""),"",MIN(E680,SUMIFS('03_Planificacion'!$G$99:$G$178,'03_Planificacion'!$E$99:$E$178,B680,'03_Planificacion'!$F$99:$F$178,C680,'03_Planificacion'!$D$99:$D$178,"&lt;="&amp;$V$1)))</f>
        <v>0</v>
      </c>
      <c r="J680" s="21">
        <f t="shared" si="72"/>
        <v>0</v>
      </c>
      <c r="K680" s="6">
        <f t="shared" si="73"/>
        <v>0</v>
      </c>
      <c r="L680" t="s">
        <v>68</v>
      </c>
      <c r="P680" s="5">
        <f t="shared" si="74"/>
        <v>46287</v>
      </c>
      <c r="Q680" t="s">
        <v>162</v>
      </c>
      <c r="R680">
        <v>110</v>
      </c>
      <c r="S680" t="s">
        <v>70</v>
      </c>
      <c r="T680" t="str">
        <f t="shared" si="75"/>
        <v/>
      </c>
      <c r="U680" t="str">
        <f>IF(AND(L680="Para Programar",G680&gt;0),COUNTIFS($L$5:L680,"Para Programar",$G$5:G680,"&gt;0"),"")</f>
        <v/>
      </c>
      <c r="W680" t="str">
        <f t="shared" si="76"/>
        <v>N23 - N31|03 Base de asiento - Aporte de material base e=0,10 m</v>
      </c>
      <c r="X680">
        <v>0</v>
      </c>
    </row>
    <row r="681" spans="1:24">
      <c r="A681" t="s">
        <v>77</v>
      </c>
      <c r="B681" s="14" t="s">
        <v>161</v>
      </c>
      <c r="C681" t="s">
        <v>78</v>
      </c>
      <c r="D681" s="13" t="s">
        <v>67</v>
      </c>
      <c r="E681" s="13">
        <v>84</v>
      </c>
      <c r="F681" s="13">
        <f>IF(E681="","",MIN(E681,$X681+SUMIFS('05_Parte_Diario'!$H$5:$H$204,'05_Parte_Diario'!$D$5:$D$204,B681,'05_Parte_Diario'!$E$5:$E$204,C681)))</f>
        <v>0</v>
      </c>
      <c r="G681" s="13">
        <f t="shared" si="70"/>
        <v>84</v>
      </c>
      <c r="H681" s="21">
        <f t="shared" si="71"/>
        <v>0</v>
      </c>
      <c r="I681" s="21">
        <f>IF(OR(B681="",C681="",$V$1=""),"",MIN(E681,SUMIFS('03_Planificacion'!$G$99:$G$178,'03_Planificacion'!$E$99:$E$178,B681,'03_Planificacion'!$F$99:$F$178,C681,'03_Planificacion'!$D$99:$D$178,"&lt;="&amp;$V$1)))</f>
        <v>0</v>
      </c>
      <c r="J681" s="21">
        <f t="shared" si="72"/>
        <v>0</v>
      </c>
      <c r="K681" s="6">
        <f t="shared" si="73"/>
        <v>0</v>
      </c>
      <c r="L681" t="s">
        <v>68</v>
      </c>
      <c r="P681" s="5">
        <f t="shared" si="74"/>
        <v>46287</v>
      </c>
      <c r="Q681" t="s">
        <v>162</v>
      </c>
      <c r="R681">
        <v>110</v>
      </c>
      <c r="S681" t="s">
        <v>70</v>
      </c>
      <c r="T681" t="str">
        <f t="shared" si="75"/>
        <v/>
      </c>
      <c r="U681" t="str">
        <f>IF(AND(L681="Para Programar",G681&gt;0),COUNTIFS($L$5:L681,"Para Programar",$G$5:G681,"&gt;0"),"")</f>
        <v/>
      </c>
      <c r="W681" t="str">
        <f t="shared" si="76"/>
        <v>N23 - N31|03 Base de asiento - Compactación</v>
      </c>
      <c r="X681">
        <v>0</v>
      </c>
    </row>
    <row r="682" spans="1:24">
      <c r="A682" t="s">
        <v>79</v>
      </c>
      <c r="B682" s="14" t="s">
        <v>161</v>
      </c>
      <c r="C682" t="s">
        <v>80</v>
      </c>
      <c r="D682" s="13" t="s">
        <v>81</v>
      </c>
      <c r="E682" s="13">
        <v>1</v>
      </c>
      <c r="F682" s="13">
        <f>IF(E682="","",MIN(E682,$X682+SUMIFS('05_Parte_Diario'!$H$5:$H$204,'05_Parte_Diario'!$D$5:$D$204,B682,'05_Parte_Diario'!$E$5:$E$204,C682)))</f>
        <v>0</v>
      </c>
      <c r="G682" s="13">
        <f t="shared" si="70"/>
        <v>1</v>
      </c>
      <c r="H682" s="21">
        <f t="shared" si="71"/>
        <v>0</v>
      </c>
      <c r="I682" s="21">
        <f>IF(OR(B682="",C682="",$V$1=""),"",MIN(E682,SUMIFS('03_Planificacion'!$G$99:$G$178,'03_Planificacion'!$E$99:$E$178,B682,'03_Planificacion'!$F$99:$F$178,C682,'03_Planificacion'!$D$99:$D$178,"&lt;="&amp;$V$1)))</f>
        <v>0</v>
      </c>
      <c r="J682" s="21">
        <f t="shared" si="72"/>
        <v>0</v>
      </c>
      <c r="K682" s="6">
        <f t="shared" si="73"/>
        <v>0</v>
      </c>
      <c r="L682" t="s">
        <v>68</v>
      </c>
      <c r="P682" s="5">
        <f t="shared" si="74"/>
        <v>46287</v>
      </c>
      <c r="Q682" t="s">
        <v>162</v>
      </c>
      <c r="R682">
        <v>110</v>
      </c>
      <c r="S682" t="s">
        <v>70</v>
      </c>
      <c r="T682" t="str">
        <f t="shared" si="75"/>
        <v/>
      </c>
      <c r="U682" t="str">
        <f>IF(AND(L682="Para Programar",G682&gt;0),COUNTIFS($L$5:L682,"Para Programar",$G$5:G682,"&gt;0"),"")</f>
        <v/>
      </c>
      <c r="W682" t="str">
        <f t="shared" si="76"/>
        <v>N23 - N31|04 Inspecciones previas - Laboratorio base de asiento</v>
      </c>
      <c r="X682">
        <v>0</v>
      </c>
    </row>
    <row r="683" spans="1:24">
      <c r="A683" t="s">
        <v>82</v>
      </c>
      <c r="B683" s="14" t="s">
        <v>161</v>
      </c>
      <c r="C683" t="s">
        <v>83</v>
      </c>
      <c r="D683" s="13" t="s">
        <v>81</v>
      </c>
      <c r="E683" s="13">
        <v>1</v>
      </c>
      <c r="F683" s="13">
        <f>IF(E683="","",MIN(E683,$X683+SUMIFS('05_Parte_Diario'!$H$5:$H$204,'05_Parte_Diario'!$D$5:$D$204,B683,'05_Parte_Diario'!$E$5:$E$204,C683)))</f>
        <v>0</v>
      </c>
      <c r="G683" s="13">
        <f t="shared" si="70"/>
        <v>1</v>
      </c>
      <c r="H683" s="21">
        <f t="shared" si="71"/>
        <v>0</v>
      </c>
      <c r="I683" s="21">
        <f>IF(OR(B683="",C683="",$V$1=""),"",MIN(E683,SUMIFS('03_Planificacion'!$G$99:$G$178,'03_Planificacion'!$E$99:$E$178,B683,'03_Planificacion'!$F$99:$F$178,C683,'03_Planificacion'!$D$99:$D$178,"&lt;="&amp;$V$1)))</f>
        <v>0</v>
      </c>
      <c r="J683" s="21">
        <f t="shared" si="72"/>
        <v>0</v>
      </c>
      <c r="K683" s="6">
        <f t="shared" si="73"/>
        <v>0</v>
      </c>
      <c r="L683" t="s">
        <v>68</v>
      </c>
      <c r="P683" s="5">
        <f t="shared" si="74"/>
        <v>46287</v>
      </c>
      <c r="Q683" t="s">
        <v>162</v>
      </c>
      <c r="R683">
        <v>110</v>
      </c>
      <c r="S683" t="s">
        <v>70</v>
      </c>
      <c r="T683" t="str">
        <f t="shared" si="75"/>
        <v/>
      </c>
      <c r="U683" t="str">
        <f>IF(AND(L683="Para Programar",G683&gt;0),COUNTIFS($L$5:L683,"Para Programar",$G$5:G683,"&gt;0"),"")</f>
        <v/>
      </c>
      <c r="W683" t="str">
        <f t="shared" si="76"/>
        <v>N23 - N31|04 Inspecciones previas - Zanja y materiales</v>
      </c>
      <c r="X683">
        <v>0</v>
      </c>
    </row>
    <row r="684" spans="1:24">
      <c r="A684" t="s">
        <v>84</v>
      </c>
      <c r="B684" s="14" t="s">
        <v>161</v>
      </c>
      <c r="C684" t="s">
        <v>85</v>
      </c>
      <c r="D684" s="13" t="s">
        <v>67</v>
      </c>
      <c r="E684" s="13">
        <v>84</v>
      </c>
      <c r="F684" s="13">
        <f>IF(E684="","",MIN(E684,$X684+SUMIFS('05_Parte_Diario'!$H$5:$H$204,'05_Parte_Diario'!$D$5:$D$204,B684,'05_Parte_Diario'!$E$5:$E$204,C684)))</f>
        <v>0</v>
      </c>
      <c r="G684" s="13">
        <f t="shared" si="70"/>
        <v>84</v>
      </c>
      <c r="H684" s="21">
        <f t="shared" si="71"/>
        <v>0</v>
      </c>
      <c r="I684" s="21">
        <f>IF(OR(B684="",C684="",$V$1=""),"",MIN(E684,SUMIFS('03_Planificacion'!$G$99:$G$178,'03_Planificacion'!$E$99:$E$178,B684,'03_Planificacion'!$F$99:$F$178,C684,'03_Planificacion'!$D$99:$D$178,"&lt;="&amp;$V$1)))</f>
        <v>0</v>
      </c>
      <c r="J684" s="21">
        <f t="shared" si="72"/>
        <v>0</v>
      </c>
      <c r="K684" s="6">
        <f t="shared" si="73"/>
        <v>0</v>
      </c>
      <c r="L684" t="s">
        <v>68</v>
      </c>
      <c r="P684" s="5">
        <f t="shared" si="74"/>
        <v>46287</v>
      </c>
      <c r="Q684" t="s">
        <v>162</v>
      </c>
      <c r="R684">
        <v>110</v>
      </c>
      <c r="S684" t="s">
        <v>70</v>
      </c>
      <c r="T684" t="str">
        <f t="shared" si="75"/>
        <v/>
      </c>
      <c r="U684" t="str">
        <f>IF(AND(L684="Para Programar",G684&gt;0),COUNTIFS($L$5:L684,"Para Programar",$G$5:G684,"&gt;0"),"")</f>
        <v/>
      </c>
      <c r="W684" t="str">
        <f t="shared" si="76"/>
        <v>N23 - N31|05 Tendido de cañería - Cañería principal</v>
      </c>
      <c r="X684">
        <v>0</v>
      </c>
    </row>
    <row r="685" spans="1:24">
      <c r="A685" t="s">
        <v>86</v>
      </c>
      <c r="B685" s="14" t="s">
        <v>161</v>
      </c>
      <c r="C685" t="s">
        <v>87</v>
      </c>
      <c r="D685" s="13" t="s">
        <v>67</v>
      </c>
      <c r="E685" s="13">
        <v>84</v>
      </c>
      <c r="F685" s="13">
        <f>IF(E685="","",MIN(E685,$X685+SUMIFS('05_Parte_Diario'!$H$5:$H$204,'05_Parte_Diario'!$D$5:$D$204,B685,'05_Parte_Diario'!$E$5:$E$204,C685)))</f>
        <v>0</v>
      </c>
      <c r="G685" s="13">
        <f t="shared" si="70"/>
        <v>84</v>
      </c>
      <c r="H685" s="21">
        <f t="shared" si="71"/>
        <v>0</v>
      </c>
      <c r="I685" s="21">
        <f>IF(OR(B685="",C685="",$V$1=""),"",MIN(E685,SUMIFS('03_Planificacion'!$G$99:$G$178,'03_Planificacion'!$E$99:$E$178,B685,'03_Planificacion'!$F$99:$F$178,C685,'03_Planificacion'!$D$99:$D$178,"&lt;="&amp;$V$1)))</f>
        <v>0</v>
      </c>
      <c r="J685" s="21">
        <f t="shared" si="72"/>
        <v>0</v>
      </c>
      <c r="K685" s="6">
        <f t="shared" si="73"/>
        <v>0</v>
      </c>
      <c r="L685" t="s">
        <v>68</v>
      </c>
      <c r="P685" s="5">
        <f t="shared" si="74"/>
        <v>46287</v>
      </c>
      <c r="Q685" t="s">
        <v>162</v>
      </c>
      <c r="R685">
        <v>110</v>
      </c>
      <c r="S685" t="s">
        <v>70</v>
      </c>
      <c r="T685" t="str">
        <f t="shared" si="75"/>
        <v/>
      </c>
      <c r="U685" t="str">
        <f>IF(AND(L685="Para Programar",G685&gt;0),COUNTIFS($L$5:L685,"Para Programar",$G$5:G685,"&gt;0"),"")</f>
        <v/>
      </c>
      <c r="W685" t="str">
        <f t="shared" si="76"/>
        <v>N23 - N31|05 Tendido de cañería - Relevamiento planialtimétrico</v>
      </c>
      <c r="X685">
        <v>0</v>
      </c>
    </row>
    <row r="686" spans="1:24">
      <c r="A686" t="s">
        <v>88</v>
      </c>
      <c r="B686" s="14" t="s">
        <v>161</v>
      </c>
      <c r="C686" t="s">
        <v>89</v>
      </c>
      <c r="D686" s="13" t="s">
        <v>81</v>
      </c>
      <c r="E686" s="13">
        <v>1</v>
      </c>
      <c r="F686" s="13">
        <f>IF(E686="","",MIN(E686,$X686+SUMIFS('05_Parte_Diario'!$H$5:$H$204,'05_Parte_Diario'!$D$5:$D$204,B686,'05_Parte_Diario'!$E$5:$E$204,C686)))</f>
        <v>0</v>
      </c>
      <c r="G686" s="13">
        <f t="shared" si="70"/>
        <v>1</v>
      </c>
      <c r="H686" s="21">
        <f t="shared" si="71"/>
        <v>0</v>
      </c>
      <c r="I686" s="21">
        <f>IF(OR(B686="",C686="",$V$1=""),"",MIN(E686,SUMIFS('03_Planificacion'!$G$99:$G$178,'03_Planificacion'!$E$99:$E$178,B686,'03_Planificacion'!$F$99:$F$178,C686,'03_Planificacion'!$D$99:$D$178,"&lt;="&amp;$V$1)))</f>
        <v>0</v>
      </c>
      <c r="J686" s="21">
        <f t="shared" si="72"/>
        <v>0</v>
      </c>
      <c r="K686" s="6">
        <f t="shared" si="73"/>
        <v>0</v>
      </c>
      <c r="L686" t="s">
        <v>68</v>
      </c>
      <c r="P686" s="5">
        <f t="shared" si="74"/>
        <v>46287</v>
      </c>
      <c r="Q686" t="s">
        <v>162</v>
      </c>
      <c r="R686">
        <v>110</v>
      </c>
      <c r="S686" t="s">
        <v>70</v>
      </c>
      <c r="T686" t="str">
        <f t="shared" si="75"/>
        <v/>
      </c>
      <c r="U686" t="str">
        <f>IF(AND(L686="Para Programar",G686&gt;0),COUNTIFS($L$5:L686,"Para Programar",$G$5:G686,"&gt;0"),"")</f>
        <v/>
      </c>
      <c r="W686" t="str">
        <f t="shared" si="76"/>
        <v>N23 - N31|08 Prueba hidráulica - Preparación del sistema</v>
      </c>
      <c r="X686">
        <v>0</v>
      </c>
    </row>
    <row r="687" spans="1:24">
      <c r="A687" t="s">
        <v>90</v>
      </c>
      <c r="B687" s="14" t="s">
        <v>161</v>
      </c>
      <c r="C687" t="s">
        <v>91</v>
      </c>
      <c r="D687" s="13" t="s">
        <v>81</v>
      </c>
      <c r="E687" s="13">
        <v>1</v>
      </c>
      <c r="F687" s="13">
        <f>IF(E687="","",MIN(E687,$X687+SUMIFS('05_Parte_Diario'!$H$5:$H$204,'05_Parte_Diario'!$D$5:$D$204,B687,'05_Parte_Diario'!$E$5:$E$204,C687)))</f>
        <v>0</v>
      </c>
      <c r="G687" s="13">
        <f t="shared" si="70"/>
        <v>1</v>
      </c>
      <c r="H687" s="21">
        <f t="shared" si="71"/>
        <v>0</v>
      </c>
      <c r="I687" s="21">
        <f>IF(OR(B687="",C687="",$V$1=""),"",MIN(E687,SUMIFS('03_Planificacion'!$G$99:$G$178,'03_Planificacion'!$E$99:$E$178,B687,'03_Planificacion'!$F$99:$F$178,C687,'03_Planificacion'!$D$99:$D$178,"&lt;="&amp;$V$1)))</f>
        <v>0</v>
      </c>
      <c r="J687" s="21">
        <f t="shared" si="72"/>
        <v>0</v>
      </c>
      <c r="K687" s="6">
        <f t="shared" si="73"/>
        <v>0</v>
      </c>
      <c r="L687" t="s">
        <v>68</v>
      </c>
      <c r="P687" s="5">
        <f t="shared" si="74"/>
        <v>46287</v>
      </c>
      <c r="Q687" t="s">
        <v>162</v>
      </c>
      <c r="R687">
        <v>110</v>
      </c>
      <c r="S687" t="s">
        <v>70</v>
      </c>
      <c r="T687" t="str">
        <f t="shared" si="75"/>
        <v/>
      </c>
      <c r="U687" t="str">
        <f>IF(AND(L687="Para Programar",G687&gt;0),COUNTIFS($L$5:L687,"Para Programar",$G$5:G687,"&gt;0"),"")</f>
        <v/>
      </c>
      <c r="W687" t="str">
        <f t="shared" si="76"/>
        <v>N23 - N31|08 Prueba hidráulica - Interna N° 1</v>
      </c>
      <c r="X687">
        <v>0</v>
      </c>
    </row>
    <row r="688" spans="1:24">
      <c r="A688" t="s">
        <v>92</v>
      </c>
      <c r="B688" s="14" t="s">
        <v>161</v>
      </c>
      <c r="C688" t="s">
        <v>93</v>
      </c>
      <c r="D688" s="13" t="s">
        <v>81</v>
      </c>
      <c r="E688" s="13">
        <v>1</v>
      </c>
      <c r="F688" s="13">
        <f>IF(E688="","",MIN(E688,$X688+SUMIFS('05_Parte_Diario'!$H$5:$H$204,'05_Parte_Diario'!$D$5:$D$204,B688,'05_Parte_Diario'!$E$5:$E$204,C688)))</f>
        <v>0</v>
      </c>
      <c r="G688" s="13">
        <f t="shared" si="70"/>
        <v>1</v>
      </c>
      <c r="H688" s="21">
        <f t="shared" si="71"/>
        <v>0</v>
      </c>
      <c r="I688" s="21">
        <f>IF(OR(B688="",C688="",$V$1=""),"",MIN(E688,SUMIFS('03_Planificacion'!$G$99:$G$178,'03_Planificacion'!$E$99:$E$178,B688,'03_Planificacion'!$F$99:$F$178,C688,'03_Planificacion'!$D$99:$D$178,"&lt;="&amp;$V$1)))</f>
        <v>0</v>
      </c>
      <c r="J688" s="21">
        <f t="shared" si="72"/>
        <v>0</v>
      </c>
      <c r="K688" s="6">
        <f t="shared" si="73"/>
        <v>0</v>
      </c>
      <c r="L688" t="s">
        <v>68</v>
      </c>
      <c r="P688" s="5">
        <f t="shared" si="74"/>
        <v>46287</v>
      </c>
      <c r="Q688" t="s">
        <v>162</v>
      </c>
      <c r="R688">
        <v>110</v>
      </c>
      <c r="S688" t="s">
        <v>70</v>
      </c>
      <c r="T688" t="str">
        <f t="shared" si="75"/>
        <v/>
      </c>
      <c r="U688" t="str">
        <f>IF(AND(L688="Para Programar",G688&gt;0),COUNTIFS($L$5:L688,"Para Programar",$G$5:G688,"&gt;0"),"")</f>
        <v/>
      </c>
      <c r="W688" t="str">
        <f t="shared" si="76"/>
        <v>N23 - N31|08 Prueba hidráulica - Interna N° 2</v>
      </c>
      <c r="X688">
        <v>0</v>
      </c>
    </row>
    <row r="689" spans="1:24">
      <c r="A689" t="s">
        <v>94</v>
      </c>
      <c r="B689" s="14" t="s">
        <v>161</v>
      </c>
      <c r="C689" t="s">
        <v>95</v>
      </c>
      <c r="D689" s="13" t="s">
        <v>81</v>
      </c>
      <c r="E689" s="13">
        <v>1</v>
      </c>
      <c r="F689" s="13">
        <f>IF(E689="","",MIN(E689,$X689+SUMIFS('05_Parte_Diario'!$H$5:$H$204,'05_Parte_Diario'!$D$5:$D$204,B689,'05_Parte_Diario'!$E$5:$E$204,C689)))</f>
        <v>0</v>
      </c>
      <c r="G689" s="13">
        <f t="shared" si="70"/>
        <v>1</v>
      </c>
      <c r="H689" s="21">
        <f t="shared" si="71"/>
        <v>0</v>
      </c>
      <c r="I689" s="21">
        <f>IF(OR(B689="",C689="",$V$1=""),"",MIN(E689,SUMIFS('03_Planificacion'!$G$99:$G$178,'03_Planificacion'!$E$99:$E$178,B689,'03_Planificacion'!$F$99:$F$178,C689,'03_Planificacion'!$D$99:$D$178,"&lt;="&amp;$V$1)))</f>
        <v>0</v>
      </c>
      <c r="J689" s="21">
        <f t="shared" si="72"/>
        <v>0</v>
      </c>
      <c r="K689" s="6">
        <f t="shared" si="73"/>
        <v>0</v>
      </c>
      <c r="L689" t="s">
        <v>68</v>
      </c>
      <c r="P689" s="5">
        <f t="shared" si="74"/>
        <v>46287</v>
      </c>
      <c r="Q689" t="s">
        <v>162</v>
      </c>
      <c r="R689">
        <v>110</v>
      </c>
      <c r="S689" t="s">
        <v>70</v>
      </c>
      <c r="T689" t="str">
        <f t="shared" si="75"/>
        <v/>
      </c>
      <c r="U689" t="str">
        <f>IF(AND(L689="Para Programar",G689&gt;0),COUNTIFS($L$5:L689,"Para Programar",$G$5:G689,"&gt;0"),"")</f>
        <v/>
      </c>
      <c r="W689" t="str">
        <f t="shared" si="76"/>
        <v>N23 - N31|08 Prueba hidráulica - Primera prueba oficial</v>
      </c>
      <c r="X689">
        <v>0</v>
      </c>
    </row>
    <row r="690" spans="1:24">
      <c r="A690" t="s">
        <v>96</v>
      </c>
      <c r="B690" s="14" t="s">
        <v>161</v>
      </c>
      <c r="C690" t="s">
        <v>97</v>
      </c>
      <c r="D690" s="13" t="s">
        <v>67</v>
      </c>
      <c r="E690" s="13">
        <v>84</v>
      </c>
      <c r="F690" s="13">
        <f>IF(E690="","",MIN(E690,$X690+SUMIFS('05_Parte_Diario'!$H$5:$H$204,'05_Parte_Diario'!$D$5:$D$204,B690,'05_Parte_Diario'!$E$5:$E$204,C690)))</f>
        <v>0</v>
      </c>
      <c r="G690" s="13">
        <f t="shared" si="70"/>
        <v>84</v>
      </c>
      <c r="H690" s="21">
        <f t="shared" si="71"/>
        <v>0</v>
      </c>
      <c r="I690" s="21">
        <f>IF(OR(B690="",C690="",$V$1=""),"",MIN(E690,SUMIFS('03_Planificacion'!$G$99:$G$178,'03_Planificacion'!$E$99:$E$178,B690,'03_Planificacion'!$F$99:$F$178,C690,'03_Planificacion'!$D$99:$D$178,"&lt;="&amp;$V$1)))</f>
        <v>0</v>
      </c>
      <c r="J690" s="21">
        <f t="shared" si="72"/>
        <v>0</v>
      </c>
      <c r="K690" s="6">
        <f t="shared" si="73"/>
        <v>0</v>
      </c>
      <c r="L690" t="s">
        <v>68</v>
      </c>
      <c r="P690" s="5">
        <f t="shared" si="74"/>
        <v>46287</v>
      </c>
      <c r="Q690" t="s">
        <v>162</v>
      </c>
      <c r="R690">
        <v>110</v>
      </c>
      <c r="S690" t="s">
        <v>70</v>
      </c>
      <c r="T690" t="str">
        <f t="shared" si="75"/>
        <v/>
      </c>
      <c r="U690" t="str">
        <f>IF(AND(L690="Para Programar",G690&gt;0),COUNTIFS($L$5:L690,"Para Programar",$G$5:G690,"&gt;0"),"")</f>
        <v/>
      </c>
      <c r="W690" t="str">
        <f t="shared" si="76"/>
        <v>N23 - N31|09 Paquete estructural - Aporte e=0,30 m</v>
      </c>
      <c r="X690">
        <v>0</v>
      </c>
    </row>
    <row r="691" spans="1:24">
      <c r="A691" t="s">
        <v>98</v>
      </c>
      <c r="B691" s="14" t="s">
        <v>161</v>
      </c>
      <c r="C691" t="s">
        <v>99</v>
      </c>
      <c r="D691" s="13" t="s">
        <v>67</v>
      </c>
      <c r="E691" s="13">
        <v>84</v>
      </c>
      <c r="F691" s="13">
        <f>IF(E691="","",MIN(E691,$X691+SUMIFS('05_Parte_Diario'!$H$5:$H$204,'05_Parte_Diario'!$D$5:$D$204,B691,'05_Parte_Diario'!$E$5:$E$204,C691)))</f>
        <v>0</v>
      </c>
      <c r="G691" s="13">
        <f t="shared" si="70"/>
        <v>84</v>
      </c>
      <c r="H691" s="21">
        <f t="shared" si="71"/>
        <v>0</v>
      </c>
      <c r="I691" s="21">
        <f>IF(OR(B691="",C691="",$V$1=""),"",MIN(E691,SUMIFS('03_Planificacion'!$G$99:$G$178,'03_Planificacion'!$E$99:$E$178,B691,'03_Planificacion'!$F$99:$F$178,C691,'03_Planificacion'!$D$99:$D$178,"&lt;="&amp;$V$1)))</f>
        <v>0</v>
      </c>
      <c r="J691" s="21">
        <f t="shared" si="72"/>
        <v>0</v>
      </c>
      <c r="K691" s="6">
        <f t="shared" si="73"/>
        <v>0</v>
      </c>
      <c r="L691" t="s">
        <v>68</v>
      </c>
      <c r="P691" s="5">
        <f t="shared" si="74"/>
        <v>46287</v>
      </c>
      <c r="Q691" t="s">
        <v>162</v>
      </c>
      <c r="R691">
        <v>110</v>
      </c>
      <c r="S691" t="s">
        <v>70</v>
      </c>
      <c r="T691" t="str">
        <f t="shared" si="75"/>
        <v/>
      </c>
      <c r="U691" t="str">
        <f>IF(AND(L691="Para Programar",G691&gt;0),COUNTIFS($L$5:L691,"Para Programar",$G$5:G691,"&gt;0"),"")</f>
        <v/>
      </c>
      <c r="W691" t="str">
        <f t="shared" si="76"/>
        <v>N23 - N31|09 Paquete estructural - Compactación</v>
      </c>
      <c r="X691">
        <v>0</v>
      </c>
    </row>
    <row r="692" spans="1:24">
      <c r="A692" t="s">
        <v>100</v>
      </c>
      <c r="B692" s="14" t="s">
        <v>161</v>
      </c>
      <c r="C692" t="s">
        <v>101</v>
      </c>
      <c r="D692" s="13" t="s">
        <v>81</v>
      </c>
      <c r="E692" s="13">
        <v>1</v>
      </c>
      <c r="F692" s="13">
        <f>IF(E692="","",MIN(E692,$X692+SUMIFS('05_Parte_Diario'!$H$5:$H$204,'05_Parte_Diario'!$D$5:$D$204,B692,'05_Parte_Diario'!$E$5:$E$204,C692)))</f>
        <v>0</v>
      </c>
      <c r="G692" s="13">
        <f t="shared" si="70"/>
        <v>1</v>
      </c>
      <c r="H692" s="21">
        <f t="shared" si="71"/>
        <v>0</v>
      </c>
      <c r="I692" s="21">
        <f>IF(OR(B692="",C692="",$V$1=""),"",MIN(E692,SUMIFS('03_Planificacion'!$G$99:$G$178,'03_Planificacion'!$E$99:$E$178,B692,'03_Planificacion'!$F$99:$F$178,C692,'03_Planificacion'!$D$99:$D$178,"&lt;="&amp;$V$1)))</f>
        <v>0</v>
      </c>
      <c r="J692" s="21">
        <f t="shared" si="72"/>
        <v>0</v>
      </c>
      <c r="K692" s="6">
        <f t="shared" si="73"/>
        <v>0</v>
      </c>
      <c r="L692" t="s">
        <v>68</v>
      </c>
      <c r="P692" s="5">
        <f t="shared" si="74"/>
        <v>46287</v>
      </c>
      <c r="Q692" t="s">
        <v>162</v>
      </c>
      <c r="R692">
        <v>110</v>
      </c>
      <c r="S692" t="s">
        <v>70</v>
      </c>
      <c r="T692" t="str">
        <f t="shared" si="75"/>
        <v/>
      </c>
      <c r="U692" t="str">
        <f>IF(AND(L692="Para Programar",G692&gt;0),COUNTIFS($L$5:L692,"Para Programar",$G$5:G692,"&gt;0"),"")</f>
        <v/>
      </c>
      <c r="W692" t="str">
        <f t="shared" si="76"/>
        <v>N23 - N31|09 Paquete estructural - Inspección laboratorio</v>
      </c>
      <c r="X692">
        <v>0</v>
      </c>
    </row>
    <row r="693" spans="1:24">
      <c r="A693" t="s">
        <v>102</v>
      </c>
      <c r="B693" s="14" t="s">
        <v>161</v>
      </c>
      <c r="C693" t="s">
        <v>103</v>
      </c>
      <c r="D693" s="13" t="s">
        <v>67</v>
      </c>
      <c r="E693" s="13">
        <v>84</v>
      </c>
      <c r="F693" s="13">
        <f>IF(E693="","",MIN(E693,$X693+SUMIFS('05_Parte_Diario'!$H$5:$H$204,'05_Parte_Diario'!$D$5:$D$204,B693,'05_Parte_Diario'!$E$5:$E$204,C693)))</f>
        <v>0</v>
      </c>
      <c r="G693" s="13">
        <f t="shared" si="70"/>
        <v>84</v>
      </c>
      <c r="H693" s="21">
        <f t="shared" si="71"/>
        <v>0</v>
      </c>
      <c r="I693" s="21">
        <f>IF(OR(B693="",C693="",$V$1=""),"",MIN(E693,SUMIFS('03_Planificacion'!$G$99:$G$178,'03_Planificacion'!$E$99:$E$178,B693,'03_Planificacion'!$F$99:$F$178,C693,'03_Planificacion'!$D$99:$D$178,"&lt;="&amp;$V$1)))</f>
        <v>0</v>
      </c>
      <c r="J693" s="21">
        <f t="shared" si="72"/>
        <v>0</v>
      </c>
      <c r="K693" s="6">
        <f t="shared" si="73"/>
        <v>0</v>
      </c>
      <c r="L693" t="s">
        <v>68</v>
      </c>
      <c r="P693" s="5">
        <f t="shared" si="74"/>
        <v>46287</v>
      </c>
      <c r="Q693" t="s">
        <v>162</v>
      </c>
      <c r="R693">
        <v>110</v>
      </c>
      <c r="S693" t="s">
        <v>70</v>
      </c>
      <c r="T693" t="str">
        <f t="shared" si="75"/>
        <v/>
      </c>
      <c r="U693" t="str">
        <f>IF(AND(L693="Para Programar",G693&gt;0),COUNTIFS($L$5:L693,"Para Programar",$G$5:G693,"&gt;0"),"")</f>
        <v/>
      </c>
      <c r="W693" t="str">
        <f t="shared" si="76"/>
        <v>N23 - N31|10 Relleno -0,60 - Conformación de capa</v>
      </c>
      <c r="X693">
        <v>0</v>
      </c>
    </row>
    <row r="694" spans="1:24">
      <c r="A694" t="s">
        <v>104</v>
      </c>
      <c r="B694" s="14" t="s">
        <v>161</v>
      </c>
      <c r="C694" t="s">
        <v>105</v>
      </c>
      <c r="D694" s="13" t="s">
        <v>67</v>
      </c>
      <c r="E694" s="13">
        <v>84</v>
      </c>
      <c r="F694" s="13">
        <f>IF(E694="","",MIN(E694,$X694+SUMIFS('05_Parte_Diario'!$H$5:$H$204,'05_Parte_Diario'!$D$5:$D$204,B694,'05_Parte_Diario'!$E$5:$E$204,C694)))</f>
        <v>0</v>
      </c>
      <c r="G694" s="13">
        <f t="shared" si="70"/>
        <v>84</v>
      </c>
      <c r="H694" s="21">
        <f t="shared" si="71"/>
        <v>0</v>
      </c>
      <c r="I694" s="21">
        <f>IF(OR(B694="",C694="",$V$1=""),"",MIN(E694,SUMIFS('03_Planificacion'!$G$99:$G$178,'03_Planificacion'!$E$99:$E$178,B694,'03_Planificacion'!$F$99:$F$178,C694,'03_Planificacion'!$D$99:$D$178,"&lt;="&amp;$V$1)))</f>
        <v>0</v>
      </c>
      <c r="J694" s="21">
        <f t="shared" si="72"/>
        <v>0</v>
      </c>
      <c r="K694" s="6">
        <f t="shared" si="73"/>
        <v>0</v>
      </c>
      <c r="L694" t="s">
        <v>68</v>
      </c>
      <c r="P694" s="5">
        <f t="shared" si="74"/>
        <v>46287</v>
      </c>
      <c r="Q694" t="s">
        <v>162</v>
      </c>
      <c r="R694">
        <v>110</v>
      </c>
      <c r="S694" t="s">
        <v>70</v>
      </c>
      <c r="T694" t="str">
        <f t="shared" si="75"/>
        <v/>
      </c>
      <c r="U694" t="str">
        <f>IF(AND(L694="Para Programar",G694&gt;0),COUNTIFS($L$5:L694,"Para Programar",$G$5:G694,"&gt;0"),"")</f>
        <v/>
      </c>
      <c r="W694" t="str">
        <f t="shared" si="76"/>
        <v>N23 - N31|10 Relleno -0,60 - Humectación</v>
      </c>
      <c r="X694">
        <v>0</v>
      </c>
    </row>
    <row r="695" spans="1:24">
      <c r="A695" t="s">
        <v>106</v>
      </c>
      <c r="B695" s="14" t="s">
        <v>161</v>
      </c>
      <c r="C695" t="s">
        <v>107</v>
      </c>
      <c r="D695" s="13" t="s">
        <v>67</v>
      </c>
      <c r="E695" s="13">
        <v>84</v>
      </c>
      <c r="F695" s="13">
        <f>IF(E695="","",MIN(E695,$X695+SUMIFS('05_Parte_Diario'!$H$5:$H$204,'05_Parte_Diario'!$D$5:$D$204,B695,'05_Parte_Diario'!$E$5:$E$204,C695)))</f>
        <v>0</v>
      </c>
      <c r="G695" s="13">
        <f t="shared" si="70"/>
        <v>84</v>
      </c>
      <c r="H695" s="21">
        <f t="shared" si="71"/>
        <v>0</v>
      </c>
      <c r="I695" s="21">
        <f>IF(OR(B695="",C695="",$V$1=""),"",MIN(E695,SUMIFS('03_Planificacion'!$G$99:$G$178,'03_Planificacion'!$E$99:$E$178,B695,'03_Planificacion'!$F$99:$F$178,C695,'03_Planificacion'!$D$99:$D$178,"&lt;="&amp;$V$1)))</f>
        <v>0</v>
      </c>
      <c r="J695" s="21">
        <f t="shared" si="72"/>
        <v>0</v>
      </c>
      <c r="K695" s="6">
        <f t="shared" si="73"/>
        <v>0</v>
      </c>
      <c r="L695" t="s">
        <v>68</v>
      </c>
      <c r="P695" s="5">
        <f t="shared" si="74"/>
        <v>46287</v>
      </c>
      <c r="Q695" t="s">
        <v>162</v>
      </c>
      <c r="R695">
        <v>110</v>
      </c>
      <c r="S695" t="s">
        <v>70</v>
      </c>
      <c r="T695" t="str">
        <f t="shared" si="75"/>
        <v/>
      </c>
      <c r="U695" t="str">
        <f>IF(AND(L695="Para Programar",G695&gt;0),COUNTIFS($L$5:L695,"Para Programar",$G$5:G695,"&gt;0"),"")</f>
        <v/>
      </c>
      <c r="W695" t="str">
        <f t="shared" si="76"/>
        <v>N23 - N31|10 Relleno -0,60 - Compactación</v>
      </c>
      <c r="X695">
        <v>0</v>
      </c>
    </row>
    <row r="696" spans="1:24">
      <c r="A696" t="s">
        <v>108</v>
      </c>
      <c r="B696" s="14" t="s">
        <v>161</v>
      </c>
      <c r="C696" t="s">
        <v>109</v>
      </c>
      <c r="D696" s="13" t="s">
        <v>81</v>
      </c>
      <c r="E696" s="13">
        <v>1</v>
      </c>
      <c r="F696" s="13">
        <f>IF(E696="","",MIN(E696,$X696+SUMIFS('05_Parte_Diario'!$H$5:$H$204,'05_Parte_Diario'!$D$5:$D$204,B696,'05_Parte_Diario'!$E$5:$E$204,C696)))</f>
        <v>0</v>
      </c>
      <c r="G696" s="13">
        <f t="shared" si="70"/>
        <v>1</v>
      </c>
      <c r="H696" s="21">
        <f t="shared" si="71"/>
        <v>0</v>
      </c>
      <c r="I696" s="21">
        <f>IF(OR(B696="",C696="",$V$1=""),"",MIN(E696,SUMIFS('03_Planificacion'!$G$99:$G$178,'03_Planificacion'!$E$99:$E$178,B696,'03_Planificacion'!$F$99:$F$178,C696,'03_Planificacion'!$D$99:$D$178,"&lt;="&amp;$V$1)))</f>
        <v>0</v>
      </c>
      <c r="J696" s="21">
        <f t="shared" si="72"/>
        <v>0</v>
      </c>
      <c r="K696" s="6">
        <f t="shared" si="73"/>
        <v>0</v>
      </c>
      <c r="L696" t="s">
        <v>68</v>
      </c>
      <c r="P696" s="5">
        <f t="shared" si="74"/>
        <v>46287</v>
      </c>
      <c r="Q696" t="s">
        <v>162</v>
      </c>
      <c r="R696">
        <v>110</v>
      </c>
      <c r="S696" t="s">
        <v>70</v>
      </c>
      <c r="T696" t="str">
        <f t="shared" si="75"/>
        <v/>
      </c>
      <c r="U696" t="str">
        <f>IF(AND(L696="Para Programar",G696&gt;0),COUNTIFS($L$5:L696,"Para Programar",$G$5:G696,"&gt;0"),"")</f>
        <v/>
      </c>
      <c r="W696" t="str">
        <f t="shared" si="76"/>
        <v>N23 - N31|10 Relleno -0,60 - Inspección laboratorio</v>
      </c>
      <c r="X696">
        <v>0</v>
      </c>
    </row>
    <row r="697" spans="1:24">
      <c r="A697" t="s">
        <v>110</v>
      </c>
      <c r="B697" s="14" t="s">
        <v>161</v>
      </c>
      <c r="C697" t="s">
        <v>111</v>
      </c>
      <c r="D697" s="13" t="s">
        <v>67</v>
      </c>
      <c r="E697" s="13">
        <v>84</v>
      </c>
      <c r="F697" s="13">
        <f>IF(E697="","",MIN(E697,$X697+SUMIFS('05_Parte_Diario'!$H$5:$H$204,'05_Parte_Diario'!$D$5:$D$204,B697,'05_Parte_Diario'!$E$5:$E$204,C697)))</f>
        <v>0</v>
      </c>
      <c r="G697" s="13">
        <f t="shared" si="70"/>
        <v>84</v>
      </c>
      <c r="H697" s="21">
        <f t="shared" si="71"/>
        <v>0</v>
      </c>
      <c r="I697" s="21">
        <f>IF(OR(B697="",C697="",$V$1=""),"",MIN(E697,SUMIFS('03_Planificacion'!$G$99:$G$178,'03_Planificacion'!$E$99:$E$178,B697,'03_Planificacion'!$F$99:$F$178,C697,'03_Planificacion'!$D$99:$D$178,"&lt;="&amp;$V$1)))</f>
        <v>0</v>
      </c>
      <c r="J697" s="21">
        <f t="shared" si="72"/>
        <v>0</v>
      </c>
      <c r="K697" s="6">
        <f t="shared" si="73"/>
        <v>0</v>
      </c>
      <c r="L697" t="s">
        <v>68</v>
      </c>
      <c r="P697" s="5">
        <f t="shared" si="74"/>
        <v>46287</v>
      </c>
      <c r="Q697" t="s">
        <v>162</v>
      </c>
      <c r="R697">
        <v>110</v>
      </c>
      <c r="S697" t="s">
        <v>70</v>
      </c>
      <c r="T697" t="str">
        <f t="shared" si="75"/>
        <v/>
      </c>
      <c r="U697" t="str">
        <f>IF(AND(L697="Para Programar",G697&gt;0),COUNTIFS($L$5:L697,"Para Programar",$G$5:G697,"&gt;0"),"")</f>
        <v/>
      </c>
      <c r="W697" t="str">
        <f t="shared" si="76"/>
        <v>N23 - N31|11 Relleno -0,30 - Conformación de capa</v>
      </c>
      <c r="X697">
        <v>0</v>
      </c>
    </row>
    <row r="698" spans="1:24">
      <c r="A698" t="s">
        <v>112</v>
      </c>
      <c r="B698" s="14" t="s">
        <v>161</v>
      </c>
      <c r="C698" t="s">
        <v>113</v>
      </c>
      <c r="D698" s="13" t="s">
        <v>67</v>
      </c>
      <c r="E698" s="13">
        <v>84</v>
      </c>
      <c r="F698" s="13">
        <f>IF(E698="","",MIN(E698,$X698+SUMIFS('05_Parte_Diario'!$H$5:$H$204,'05_Parte_Diario'!$D$5:$D$204,B698,'05_Parte_Diario'!$E$5:$E$204,C698)))</f>
        <v>0</v>
      </c>
      <c r="G698" s="13">
        <f t="shared" si="70"/>
        <v>84</v>
      </c>
      <c r="H698" s="21">
        <f t="shared" si="71"/>
        <v>0</v>
      </c>
      <c r="I698" s="21">
        <f>IF(OR(B698="",C698="",$V$1=""),"",MIN(E698,SUMIFS('03_Planificacion'!$G$99:$G$178,'03_Planificacion'!$E$99:$E$178,B698,'03_Planificacion'!$F$99:$F$178,C698,'03_Planificacion'!$D$99:$D$178,"&lt;="&amp;$V$1)))</f>
        <v>0</v>
      </c>
      <c r="J698" s="21">
        <f t="shared" si="72"/>
        <v>0</v>
      </c>
      <c r="K698" s="6">
        <f t="shared" si="73"/>
        <v>0</v>
      </c>
      <c r="L698" t="s">
        <v>68</v>
      </c>
      <c r="P698" s="5">
        <f t="shared" si="74"/>
        <v>46287</v>
      </c>
      <c r="Q698" t="s">
        <v>162</v>
      </c>
      <c r="R698">
        <v>110</v>
      </c>
      <c r="S698" t="s">
        <v>70</v>
      </c>
      <c r="T698" t="str">
        <f t="shared" si="75"/>
        <v/>
      </c>
      <c r="U698" t="str">
        <f>IF(AND(L698="Para Programar",G698&gt;0),COUNTIFS($L$5:L698,"Para Programar",$G$5:G698,"&gt;0"),"")</f>
        <v/>
      </c>
      <c r="W698" t="str">
        <f t="shared" si="76"/>
        <v>N23 - N31|11 Relleno -0,30 - Humectación</v>
      </c>
      <c r="X698">
        <v>0</v>
      </c>
    </row>
    <row r="699" spans="1:24">
      <c r="A699" t="s">
        <v>114</v>
      </c>
      <c r="B699" s="14" t="s">
        <v>161</v>
      </c>
      <c r="C699" t="s">
        <v>115</v>
      </c>
      <c r="D699" s="13" t="s">
        <v>67</v>
      </c>
      <c r="E699" s="13">
        <v>84</v>
      </c>
      <c r="F699" s="13">
        <f>IF(E699="","",MIN(E699,$X699+SUMIFS('05_Parte_Diario'!$H$5:$H$204,'05_Parte_Diario'!$D$5:$D$204,B699,'05_Parte_Diario'!$E$5:$E$204,C699)))</f>
        <v>0</v>
      </c>
      <c r="G699" s="13">
        <f t="shared" si="70"/>
        <v>84</v>
      </c>
      <c r="H699" s="21">
        <f t="shared" si="71"/>
        <v>0</v>
      </c>
      <c r="I699" s="21">
        <f>IF(OR(B699="",C699="",$V$1=""),"",MIN(E699,SUMIFS('03_Planificacion'!$G$99:$G$178,'03_Planificacion'!$E$99:$E$178,B699,'03_Planificacion'!$F$99:$F$178,C699,'03_Planificacion'!$D$99:$D$178,"&lt;="&amp;$V$1)))</f>
        <v>0</v>
      </c>
      <c r="J699" s="21">
        <f t="shared" si="72"/>
        <v>0</v>
      </c>
      <c r="K699" s="6">
        <f t="shared" si="73"/>
        <v>0</v>
      </c>
      <c r="L699" t="s">
        <v>68</v>
      </c>
      <c r="P699" s="5">
        <f t="shared" si="74"/>
        <v>46287</v>
      </c>
      <c r="Q699" t="s">
        <v>162</v>
      </c>
      <c r="R699">
        <v>110</v>
      </c>
      <c r="S699" t="s">
        <v>70</v>
      </c>
      <c r="T699" t="str">
        <f t="shared" si="75"/>
        <v/>
      </c>
      <c r="U699" t="str">
        <f>IF(AND(L699="Para Programar",G699&gt;0),COUNTIFS($L$5:L699,"Para Programar",$G$5:G699,"&gt;0"),"")</f>
        <v/>
      </c>
      <c r="W699" t="str">
        <f t="shared" si="76"/>
        <v>N23 - N31|11 Relleno -0,30 - Compactación</v>
      </c>
      <c r="X699">
        <v>0</v>
      </c>
    </row>
    <row r="700" spans="1:24">
      <c r="A700" t="s">
        <v>116</v>
      </c>
      <c r="B700" s="14" t="s">
        <v>161</v>
      </c>
      <c r="C700" t="s">
        <v>117</v>
      </c>
      <c r="D700" s="13" t="s">
        <v>81</v>
      </c>
      <c r="E700" s="13">
        <v>1</v>
      </c>
      <c r="F700" s="13">
        <f>IF(E700="","",MIN(E700,$X700+SUMIFS('05_Parte_Diario'!$H$5:$H$204,'05_Parte_Diario'!$D$5:$D$204,B700,'05_Parte_Diario'!$E$5:$E$204,C700)))</f>
        <v>0</v>
      </c>
      <c r="G700" s="13">
        <f t="shared" si="70"/>
        <v>1</v>
      </c>
      <c r="H700" s="21">
        <f t="shared" si="71"/>
        <v>0</v>
      </c>
      <c r="I700" s="21">
        <f>IF(OR(B700="",C700="",$V$1=""),"",MIN(E700,SUMIFS('03_Planificacion'!$G$99:$G$178,'03_Planificacion'!$E$99:$E$178,B700,'03_Planificacion'!$F$99:$F$178,C700,'03_Planificacion'!$D$99:$D$178,"&lt;="&amp;$V$1)))</f>
        <v>0</v>
      </c>
      <c r="J700" s="21">
        <f t="shared" si="72"/>
        <v>0</v>
      </c>
      <c r="K700" s="6">
        <f t="shared" si="73"/>
        <v>0</v>
      </c>
      <c r="L700" t="s">
        <v>68</v>
      </c>
      <c r="P700" s="5">
        <f t="shared" si="74"/>
        <v>46287</v>
      </c>
      <c r="Q700" t="s">
        <v>162</v>
      </c>
      <c r="R700">
        <v>110</v>
      </c>
      <c r="S700" t="s">
        <v>70</v>
      </c>
      <c r="T700" t="str">
        <f t="shared" si="75"/>
        <v/>
      </c>
      <c r="U700" t="str">
        <f>IF(AND(L700="Para Programar",G700&gt;0),COUNTIFS($L$5:L700,"Para Programar",$G$5:G700,"&gt;0"),"")</f>
        <v/>
      </c>
      <c r="W700" t="str">
        <f t="shared" si="76"/>
        <v>N23 - N31|11 Relleno -0,30 - Inspección laboratorio</v>
      </c>
      <c r="X700">
        <v>0</v>
      </c>
    </row>
    <row r="701" spans="1:24">
      <c r="A701" t="s">
        <v>64</v>
      </c>
      <c r="B701" s="14" t="s">
        <v>163</v>
      </c>
      <c r="C701" t="s">
        <v>66</v>
      </c>
      <c r="D701" s="13" t="s">
        <v>67</v>
      </c>
      <c r="E701" s="13">
        <v>81</v>
      </c>
      <c r="F701" s="13">
        <f>IF(E701="","",MIN(E701,$X701+SUMIFS('05_Parte_Diario'!$H$5:$H$204,'05_Parte_Diario'!$D$5:$D$204,B701,'05_Parte_Diario'!$E$5:$E$204,C701)))</f>
        <v>81</v>
      </c>
      <c r="G701" s="13">
        <f t="shared" si="70"/>
        <v>0</v>
      </c>
      <c r="H701" s="21">
        <f t="shared" si="71"/>
        <v>1</v>
      </c>
      <c r="I701" s="21">
        <f>IF(OR(B701="",C701="",$V$1=""),"",MIN(E701,SUMIFS('03_Planificacion'!$G$99:$G$178,'03_Planificacion'!$E$99:$E$178,B701,'03_Planificacion'!$F$99:$F$178,C701,'03_Planificacion'!$D$99:$D$178,"&lt;="&amp;$V$1)))</f>
        <v>0</v>
      </c>
      <c r="J701" s="21">
        <f t="shared" si="72"/>
        <v>0</v>
      </c>
      <c r="K701" s="6">
        <f t="shared" si="73"/>
        <v>1</v>
      </c>
      <c r="L701" t="s">
        <v>123</v>
      </c>
      <c r="P701" s="5">
        <f t="shared" si="74"/>
        <v>46287</v>
      </c>
      <c r="Q701" t="s">
        <v>164</v>
      </c>
      <c r="R701">
        <v>75</v>
      </c>
      <c r="S701" t="s">
        <v>70</v>
      </c>
      <c r="T701" t="str">
        <f t="shared" si="75"/>
        <v/>
      </c>
      <c r="U701" t="str">
        <f>IF(AND(L701="Para Programar",G701&gt;0),COUNTIFS($L$5:L701,"Para Programar",$G$5:G701,"&gt;0"),"")</f>
        <v/>
      </c>
      <c r="W701" t="str">
        <f t="shared" si="76"/>
        <v>N26 - N27|01 Replanteo - Marcación de tramo de cañería principal</v>
      </c>
      <c r="X701">
        <v>81</v>
      </c>
    </row>
    <row r="702" spans="1:24">
      <c r="A702" t="s">
        <v>71</v>
      </c>
      <c r="B702" s="14" t="s">
        <v>163</v>
      </c>
      <c r="C702" t="s">
        <v>72</v>
      </c>
      <c r="D702" s="13" t="s">
        <v>67</v>
      </c>
      <c r="E702" s="13">
        <v>81</v>
      </c>
      <c r="F702" s="13">
        <f>IF(E702="","",MIN(E702,$X702+SUMIFS('05_Parte_Diario'!$H$5:$H$204,'05_Parte_Diario'!$D$5:$D$204,B702,'05_Parte_Diario'!$E$5:$E$204,C702)))</f>
        <v>81</v>
      </c>
      <c r="G702" s="13">
        <f t="shared" si="70"/>
        <v>0</v>
      </c>
      <c r="H702" s="21">
        <f t="shared" si="71"/>
        <v>1</v>
      </c>
      <c r="I702" s="21">
        <f>IF(OR(B702="",C702="",$V$1=""),"",MIN(E702,SUMIFS('03_Planificacion'!$G$99:$G$178,'03_Planificacion'!$E$99:$E$178,B702,'03_Planificacion'!$F$99:$F$178,C702,'03_Planificacion'!$D$99:$D$178,"&lt;="&amp;$V$1)))</f>
        <v>0</v>
      </c>
      <c r="J702" s="21">
        <f t="shared" si="72"/>
        <v>0</v>
      </c>
      <c r="K702" s="6">
        <f t="shared" si="73"/>
        <v>1</v>
      </c>
      <c r="L702" t="s">
        <v>123</v>
      </c>
      <c r="P702" s="5">
        <f t="shared" si="74"/>
        <v>46287</v>
      </c>
      <c r="Q702" t="s">
        <v>164</v>
      </c>
      <c r="R702">
        <v>75</v>
      </c>
      <c r="S702" t="s">
        <v>70</v>
      </c>
      <c r="T702" t="str">
        <f t="shared" si="75"/>
        <v/>
      </c>
      <c r="U702" t="str">
        <f>IF(AND(L702="Para Programar",G702&gt;0),COUNTIFS($L$5:L702,"Para Programar",$G$5:G702,"&gt;0"),"")</f>
        <v/>
      </c>
      <c r="W702" t="str">
        <f t="shared" si="76"/>
        <v>N26 - N27|02 Excavación - Zanja principal</v>
      </c>
      <c r="X702">
        <v>81</v>
      </c>
    </row>
    <row r="703" spans="1:24">
      <c r="A703" t="s">
        <v>73</v>
      </c>
      <c r="B703" s="14" t="s">
        <v>163</v>
      </c>
      <c r="C703" t="s">
        <v>74</v>
      </c>
      <c r="D703" s="13" t="s">
        <v>67</v>
      </c>
      <c r="E703" s="13">
        <v>81</v>
      </c>
      <c r="F703" s="13">
        <f>IF(E703="","",MIN(E703,$X703+SUMIFS('05_Parte_Diario'!$H$5:$H$204,'05_Parte_Diario'!$D$5:$D$204,B703,'05_Parte_Diario'!$E$5:$E$204,C703)))</f>
        <v>81</v>
      </c>
      <c r="G703" s="13">
        <f t="shared" si="70"/>
        <v>0</v>
      </c>
      <c r="H703" s="21">
        <f t="shared" si="71"/>
        <v>1</v>
      </c>
      <c r="I703" s="21">
        <f>IF(OR(B703="",C703="",$V$1=""),"",MIN(E703,SUMIFS('03_Planificacion'!$G$99:$G$178,'03_Planificacion'!$E$99:$E$178,B703,'03_Planificacion'!$F$99:$F$178,C703,'03_Planificacion'!$D$99:$D$178,"&lt;="&amp;$V$1)))</f>
        <v>0</v>
      </c>
      <c r="J703" s="21">
        <f t="shared" si="72"/>
        <v>0</v>
      </c>
      <c r="K703" s="6">
        <f t="shared" si="73"/>
        <v>1</v>
      </c>
      <c r="L703" t="s">
        <v>123</v>
      </c>
      <c r="P703" s="5">
        <f t="shared" si="74"/>
        <v>46287</v>
      </c>
      <c r="Q703" t="s">
        <v>164</v>
      </c>
      <c r="R703">
        <v>75</v>
      </c>
      <c r="S703" t="s">
        <v>70</v>
      </c>
      <c r="T703" t="str">
        <f t="shared" si="75"/>
        <v/>
      </c>
      <c r="U703" t="str">
        <f>IF(AND(L703="Para Programar",G703&gt;0),COUNTIFS($L$5:L703,"Para Programar",$G$5:G703,"&gt;0"),"")</f>
        <v/>
      </c>
      <c r="W703" t="str">
        <f t="shared" si="76"/>
        <v>N26 - N27|03 Base de asiento - Nivelación de fondo de zanja</v>
      </c>
      <c r="X703">
        <v>81</v>
      </c>
    </row>
    <row r="704" spans="1:24">
      <c r="A704" t="s">
        <v>75</v>
      </c>
      <c r="B704" s="14" t="s">
        <v>163</v>
      </c>
      <c r="C704" t="s">
        <v>76</v>
      </c>
      <c r="D704" s="13" t="s">
        <v>67</v>
      </c>
      <c r="E704" s="13">
        <v>81</v>
      </c>
      <c r="F704" s="13">
        <f>IF(E704="","",MIN(E704,$X704+SUMIFS('05_Parte_Diario'!$H$5:$H$204,'05_Parte_Diario'!$D$5:$D$204,B704,'05_Parte_Diario'!$E$5:$E$204,C704)))</f>
        <v>81</v>
      </c>
      <c r="G704" s="13">
        <f t="shared" si="70"/>
        <v>0</v>
      </c>
      <c r="H704" s="21">
        <f t="shared" si="71"/>
        <v>1</v>
      </c>
      <c r="I704" s="21">
        <f>IF(OR(B704="",C704="",$V$1=""),"",MIN(E704,SUMIFS('03_Planificacion'!$G$99:$G$178,'03_Planificacion'!$E$99:$E$178,B704,'03_Planificacion'!$F$99:$F$178,C704,'03_Planificacion'!$D$99:$D$178,"&lt;="&amp;$V$1)))</f>
        <v>0</v>
      </c>
      <c r="J704" s="21">
        <f t="shared" si="72"/>
        <v>0</v>
      </c>
      <c r="K704" s="6">
        <f t="shared" si="73"/>
        <v>1</v>
      </c>
      <c r="L704" t="s">
        <v>123</v>
      </c>
      <c r="P704" s="5">
        <f t="shared" si="74"/>
        <v>46287</v>
      </c>
      <c r="Q704" t="s">
        <v>164</v>
      </c>
      <c r="R704">
        <v>75</v>
      </c>
      <c r="S704" t="s">
        <v>70</v>
      </c>
      <c r="T704" t="str">
        <f t="shared" si="75"/>
        <v/>
      </c>
      <c r="U704" t="str">
        <f>IF(AND(L704="Para Programar",G704&gt;0),COUNTIFS($L$5:L704,"Para Programar",$G$5:G704,"&gt;0"),"")</f>
        <v/>
      </c>
      <c r="W704" t="str">
        <f t="shared" si="76"/>
        <v>N26 - N27|03 Base de asiento - Aporte de material base e=0,10 m</v>
      </c>
      <c r="X704">
        <v>81</v>
      </c>
    </row>
    <row r="705" spans="1:24">
      <c r="A705" t="s">
        <v>77</v>
      </c>
      <c r="B705" s="14" t="s">
        <v>163</v>
      </c>
      <c r="C705" t="s">
        <v>78</v>
      </c>
      <c r="D705" s="13" t="s">
        <v>67</v>
      </c>
      <c r="E705" s="13">
        <v>81</v>
      </c>
      <c r="F705" s="13">
        <f>IF(E705="","",MIN(E705,$X705+SUMIFS('05_Parte_Diario'!$H$5:$H$204,'05_Parte_Diario'!$D$5:$D$204,B705,'05_Parte_Diario'!$E$5:$E$204,C705)))</f>
        <v>81</v>
      </c>
      <c r="G705" s="13">
        <f t="shared" si="70"/>
        <v>0</v>
      </c>
      <c r="H705" s="21">
        <f t="shared" si="71"/>
        <v>1</v>
      </c>
      <c r="I705" s="21">
        <f>IF(OR(B705="",C705="",$V$1=""),"",MIN(E705,SUMIFS('03_Planificacion'!$G$99:$G$178,'03_Planificacion'!$E$99:$E$178,B705,'03_Planificacion'!$F$99:$F$178,C705,'03_Planificacion'!$D$99:$D$178,"&lt;="&amp;$V$1)))</f>
        <v>0</v>
      </c>
      <c r="J705" s="21">
        <f t="shared" si="72"/>
        <v>0</v>
      </c>
      <c r="K705" s="6">
        <f t="shared" si="73"/>
        <v>1</v>
      </c>
      <c r="L705" t="s">
        <v>123</v>
      </c>
      <c r="P705" s="5">
        <f t="shared" si="74"/>
        <v>46287</v>
      </c>
      <c r="Q705" t="s">
        <v>164</v>
      </c>
      <c r="R705">
        <v>75</v>
      </c>
      <c r="S705" t="s">
        <v>70</v>
      </c>
      <c r="T705" t="str">
        <f t="shared" si="75"/>
        <v/>
      </c>
      <c r="U705" t="str">
        <f>IF(AND(L705="Para Programar",G705&gt;0),COUNTIFS($L$5:L705,"Para Programar",$G$5:G705,"&gt;0"),"")</f>
        <v/>
      </c>
      <c r="W705" t="str">
        <f t="shared" si="76"/>
        <v>N26 - N27|03 Base de asiento - Compactación</v>
      </c>
      <c r="X705">
        <v>81</v>
      </c>
    </row>
    <row r="706" spans="1:24">
      <c r="A706" t="s">
        <v>79</v>
      </c>
      <c r="B706" s="14" t="s">
        <v>163</v>
      </c>
      <c r="C706" t="s">
        <v>80</v>
      </c>
      <c r="D706" s="13" t="s">
        <v>81</v>
      </c>
      <c r="E706" s="13">
        <v>1</v>
      </c>
      <c r="F706" s="13">
        <f>IF(E706="","",MIN(E706,$X706+SUMIFS('05_Parte_Diario'!$H$5:$H$204,'05_Parte_Diario'!$D$5:$D$204,B706,'05_Parte_Diario'!$E$5:$E$204,C706)))</f>
        <v>1</v>
      </c>
      <c r="G706" s="13">
        <f t="shared" si="70"/>
        <v>0</v>
      </c>
      <c r="H706" s="21">
        <f t="shared" si="71"/>
        <v>1</v>
      </c>
      <c r="I706" s="21">
        <f>IF(OR(B706="",C706="",$V$1=""),"",MIN(E706,SUMIFS('03_Planificacion'!$G$99:$G$178,'03_Planificacion'!$E$99:$E$178,B706,'03_Planificacion'!$F$99:$F$178,C706,'03_Planificacion'!$D$99:$D$178,"&lt;="&amp;$V$1)))</f>
        <v>0</v>
      </c>
      <c r="J706" s="21">
        <f t="shared" si="72"/>
        <v>0</v>
      </c>
      <c r="K706" s="6">
        <f t="shared" si="73"/>
        <v>1</v>
      </c>
      <c r="L706" t="s">
        <v>123</v>
      </c>
      <c r="P706" s="5">
        <f t="shared" si="74"/>
        <v>46287</v>
      </c>
      <c r="Q706" t="s">
        <v>164</v>
      </c>
      <c r="R706">
        <v>75</v>
      </c>
      <c r="S706" t="s">
        <v>70</v>
      </c>
      <c r="T706" t="str">
        <f t="shared" si="75"/>
        <v/>
      </c>
      <c r="U706" t="str">
        <f>IF(AND(L706="Para Programar",G706&gt;0),COUNTIFS($L$5:L706,"Para Programar",$G$5:G706,"&gt;0"),"")</f>
        <v/>
      </c>
      <c r="W706" t="str">
        <f t="shared" si="76"/>
        <v>N26 - N27|04 Inspecciones previas - Laboratorio base de asiento</v>
      </c>
      <c r="X706">
        <v>1</v>
      </c>
    </row>
    <row r="707" spans="1:24">
      <c r="A707" t="s">
        <v>82</v>
      </c>
      <c r="B707" s="14" t="s">
        <v>163</v>
      </c>
      <c r="C707" t="s">
        <v>83</v>
      </c>
      <c r="D707" s="13" t="s">
        <v>81</v>
      </c>
      <c r="E707" s="13">
        <v>1</v>
      </c>
      <c r="F707" s="13">
        <f>IF(E707="","",MIN(E707,$X707+SUMIFS('05_Parte_Diario'!$H$5:$H$204,'05_Parte_Diario'!$D$5:$D$204,B707,'05_Parte_Diario'!$E$5:$E$204,C707)))</f>
        <v>1</v>
      </c>
      <c r="G707" s="13">
        <f t="shared" si="70"/>
        <v>0</v>
      </c>
      <c r="H707" s="21">
        <f t="shared" si="71"/>
        <v>1</v>
      </c>
      <c r="I707" s="21">
        <f>IF(OR(B707="",C707="",$V$1=""),"",MIN(E707,SUMIFS('03_Planificacion'!$G$99:$G$178,'03_Planificacion'!$E$99:$E$178,B707,'03_Planificacion'!$F$99:$F$178,C707,'03_Planificacion'!$D$99:$D$178,"&lt;="&amp;$V$1)))</f>
        <v>0</v>
      </c>
      <c r="J707" s="21">
        <f t="shared" si="72"/>
        <v>0</v>
      </c>
      <c r="K707" s="6">
        <f t="shared" si="73"/>
        <v>1</v>
      </c>
      <c r="L707" t="s">
        <v>123</v>
      </c>
      <c r="P707" s="5">
        <f t="shared" si="74"/>
        <v>46287</v>
      </c>
      <c r="Q707" t="s">
        <v>164</v>
      </c>
      <c r="R707">
        <v>75</v>
      </c>
      <c r="S707" t="s">
        <v>70</v>
      </c>
      <c r="T707" t="str">
        <f t="shared" si="75"/>
        <v/>
      </c>
      <c r="U707" t="str">
        <f>IF(AND(L707="Para Programar",G707&gt;0),COUNTIFS($L$5:L707,"Para Programar",$G$5:G707,"&gt;0"),"")</f>
        <v/>
      </c>
      <c r="W707" t="str">
        <f t="shared" si="76"/>
        <v>N26 - N27|04 Inspecciones previas - Zanja y materiales</v>
      </c>
      <c r="X707">
        <v>1</v>
      </c>
    </row>
    <row r="708" spans="1:24">
      <c r="A708" t="s">
        <v>84</v>
      </c>
      <c r="B708" s="14" t="s">
        <v>163</v>
      </c>
      <c r="C708" t="s">
        <v>85</v>
      </c>
      <c r="D708" s="13" t="s">
        <v>67</v>
      </c>
      <c r="E708" s="13">
        <v>81</v>
      </c>
      <c r="F708" s="13">
        <f>IF(E708="","",MIN(E708,$X708+SUMIFS('05_Parte_Diario'!$H$5:$H$204,'05_Parte_Diario'!$D$5:$D$204,B708,'05_Parte_Diario'!$E$5:$E$204,C708)))</f>
        <v>81</v>
      </c>
      <c r="G708" s="13">
        <f t="shared" si="70"/>
        <v>0</v>
      </c>
      <c r="H708" s="21">
        <f t="shared" si="71"/>
        <v>1</v>
      </c>
      <c r="I708" s="21">
        <f>IF(OR(B708="",C708="",$V$1=""),"",MIN(E708,SUMIFS('03_Planificacion'!$G$99:$G$178,'03_Planificacion'!$E$99:$E$178,B708,'03_Planificacion'!$F$99:$F$178,C708,'03_Planificacion'!$D$99:$D$178,"&lt;="&amp;$V$1)))</f>
        <v>0</v>
      </c>
      <c r="J708" s="21">
        <f t="shared" si="72"/>
        <v>0</v>
      </c>
      <c r="K708" s="6">
        <f t="shared" si="73"/>
        <v>1</v>
      </c>
      <c r="L708" t="s">
        <v>123</v>
      </c>
      <c r="P708" s="5">
        <f t="shared" si="74"/>
        <v>46287</v>
      </c>
      <c r="Q708" t="s">
        <v>164</v>
      </c>
      <c r="R708">
        <v>75</v>
      </c>
      <c r="S708" t="s">
        <v>70</v>
      </c>
      <c r="T708" t="str">
        <f t="shared" si="75"/>
        <v/>
      </c>
      <c r="U708" t="str">
        <f>IF(AND(L708="Para Programar",G708&gt;0),COUNTIFS($L$5:L708,"Para Programar",$G$5:G708,"&gt;0"),"")</f>
        <v/>
      </c>
      <c r="W708" t="str">
        <f t="shared" si="76"/>
        <v>N26 - N27|05 Tendido de cañería - Cañería principal</v>
      </c>
      <c r="X708">
        <v>81</v>
      </c>
    </row>
    <row r="709" spans="1:24">
      <c r="A709" t="s">
        <v>86</v>
      </c>
      <c r="B709" s="14" t="s">
        <v>163</v>
      </c>
      <c r="C709" t="s">
        <v>87</v>
      </c>
      <c r="D709" s="13" t="s">
        <v>67</v>
      </c>
      <c r="E709" s="13">
        <v>81</v>
      </c>
      <c r="F709" s="13">
        <f>IF(E709="","",MIN(E709,$X709+SUMIFS('05_Parte_Diario'!$H$5:$H$204,'05_Parte_Diario'!$D$5:$D$204,B709,'05_Parte_Diario'!$E$5:$E$204,C709)))</f>
        <v>81</v>
      </c>
      <c r="G709" s="13">
        <f t="shared" ref="G709:G772" si="77">IF(E709="","",MAX(E709-F709,0))</f>
        <v>0</v>
      </c>
      <c r="H709" s="21">
        <f t="shared" ref="H709:H772" si="78">IFERROR(F709/E709,0)</f>
        <v>1</v>
      </c>
      <c r="I709" s="21">
        <f>IF(OR(B709="",C709="",$V$1=""),"",MIN(E709,SUMIFS('03_Planificacion'!$G$99:$G$178,'03_Planificacion'!$E$99:$E$178,B709,'03_Planificacion'!$F$99:$F$178,C709,'03_Planificacion'!$D$99:$D$178,"&lt;="&amp;$V$1)))</f>
        <v>0</v>
      </c>
      <c r="J709" s="21">
        <f t="shared" ref="J709:J772" si="79">IFERROR(I709/E709,0)</f>
        <v>0</v>
      </c>
      <c r="K709" s="6">
        <f t="shared" ref="K709:K772" si="80">IF(OR(E709="",$V$1=""),"",H709-J709)</f>
        <v>1</v>
      </c>
      <c r="L709" t="s">
        <v>123</v>
      </c>
      <c r="P709" s="5">
        <f t="shared" ref="P709:P772" si="81">IF(A709="","",$V$1)</f>
        <v>46287</v>
      </c>
      <c r="Q709" t="s">
        <v>164</v>
      </c>
      <c r="R709">
        <v>75</v>
      </c>
      <c r="S709" t="s">
        <v>70</v>
      </c>
      <c r="T709" t="str">
        <f t="shared" ref="T709:T772" si="82">IF(A709="","",IF(AND(L709="Para Programar",G709=0),"INCONSISTENCIA - REVISAR MANUALMENTE: Para Programar sin saldo",IF(AND(L709="Terminada",G709&gt;0),"INCONSISTENCIA - REVISAR MANUALMENTE: Terminada con saldo","")))</f>
        <v/>
      </c>
      <c r="U709" t="str">
        <f>IF(AND(L709="Para Programar",G709&gt;0),COUNTIFS($L$5:L709,"Para Programar",$G$5:G709,"&gt;0"),"")</f>
        <v/>
      </c>
      <c r="W709" t="str">
        <f t="shared" ref="W709:W772" si="83">IF(OR(B709="",C709=""),"",B709&amp;"|"&amp;C709)</f>
        <v>N26 - N27|05 Tendido de cañería - Relevamiento planialtimétrico</v>
      </c>
      <c r="X709">
        <v>81</v>
      </c>
    </row>
    <row r="710" spans="1:24">
      <c r="A710" t="s">
        <v>88</v>
      </c>
      <c r="B710" s="14" t="s">
        <v>163</v>
      </c>
      <c r="C710" t="s">
        <v>89</v>
      </c>
      <c r="D710" s="13" t="s">
        <v>81</v>
      </c>
      <c r="E710" s="13">
        <v>1</v>
      </c>
      <c r="F710" s="13">
        <f>IF(E710="","",MIN(E710,$X710+SUMIFS('05_Parte_Diario'!$H$5:$H$204,'05_Parte_Diario'!$D$5:$D$204,B710,'05_Parte_Diario'!$E$5:$E$204,C710)))</f>
        <v>1</v>
      </c>
      <c r="G710" s="13">
        <f t="shared" si="77"/>
        <v>0</v>
      </c>
      <c r="H710" s="21">
        <f t="shared" si="78"/>
        <v>1</v>
      </c>
      <c r="I710" s="21">
        <f>IF(OR(B710="",C710="",$V$1=""),"",MIN(E710,SUMIFS('03_Planificacion'!$G$99:$G$178,'03_Planificacion'!$E$99:$E$178,B710,'03_Planificacion'!$F$99:$F$178,C710,'03_Planificacion'!$D$99:$D$178,"&lt;="&amp;$V$1)))</f>
        <v>0</v>
      </c>
      <c r="J710" s="21">
        <f t="shared" si="79"/>
        <v>0</v>
      </c>
      <c r="K710" s="6">
        <f t="shared" si="80"/>
        <v>1</v>
      </c>
      <c r="L710" t="s">
        <v>123</v>
      </c>
      <c r="P710" s="5">
        <f t="shared" si="81"/>
        <v>46287</v>
      </c>
      <c r="Q710" t="s">
        <v>164</v>
      </c>
      <c r="R710">
        <v>75</v>
      </c>
      <c r="S710" t="s">
        <v>70</v>
      </c>
      <c r="T710" t="str">
        <f t="shared" si="82"/>
        <v/>
      </c>
      <c r="U710" t="str">
        <f>IF(AND(L710="Para Programar",G710&gt;0),COUNTIFS($L$5:L710,"Para Programar",$G$5:G710,"&gt;0"),"")</f>
        <v/>
      </c>
      <c r="W710" t="str">
        <f t="shared" si="83"/>
        <v>N26 - N27|08 Prueba hidráulica - Preparación del sistema</v>
      </c>
      <c r="X710">
        <v>1</v>
      </c>
    </row>
    <row r="711" spans="1:24">
      <c r="A711" t="s">
        <v>90</v>
      </c>
      <c r="B711" s="14" t="s">
        <v>163</v>
      </c>
      <c r="C711" t="s">
        <v>91</v>
      </c>
      <c r="D711" s="13" t="s">
        <v>81</v>
      </c>
      <c r="E711" s="13">
        <v>1</v>
      </c>
      <c r="F711" s="13">
        <f>IF(E711="","",MIN(E711,$X711+SUMIFS('05_Parte_Diario'!$H$5:$H$204,'05_Parte_Diario'!$D$5:$D$204,B711,'05_Parte_Diario'!$E$5:$E$204,C711)))</f>
        <v>1</v>
      </c>
      <c r="G711" s="13">
        <f t="shared" si="77"/>
        <v>0</v>
      </c>
      <c r="H711" s="21">
        <f t="shared" si="78"/>
        <v>1</v>
      </c>
      <c r="I711" s="21">
        <f>IF(OR(B711="",C711="",$V$1=""),"",MIN(E711,SUMIFS('03_Planificacion'!$G$99:$G$178,'03_Planificacion'!$E$99:$E$178,B711,'03_Planificacion'!$F$99:$F$178,C711,'03_Planificacion'!$D$99:$D$178,"&lt;="&amp;$V$1)))</f>
        <v>0</v>
      </c>
      <c r="J711" s="21">
        <f t="shared" si="79"/>
        <v>0</v>
      </c>
      <c r="K711" s="6">
        <f t="shared" si="80"/>
        <v>1</v>
      </c>
      <c r="L711" t="s">
        <v>123</v>
      </c>
      <c r="P711" s="5">
        <f t="shared" si="81"/>
        <v>46287</v>
      </c>
      <c r="Q711" t="s">
        <v>164</v>
      </c>
      <c r="R711">
        <v>75</v>
      </c>
      <c r="S711" t="s">
        <v>70</v>
      </c>
      <c r="T711" t="str">
        <f t="shared" si="82"/>
        <v/>
      </c>
      <c r="U711" t="str">
        <f>IF(AND(L711="Para Programar",G711&gt;0),COUNTIFS($L$5:L711,"Para Programar",$G$5:G711,"&gt;0"),"")</f>
        <v/>
      </c>
      <c r="W711" t="str">
        <f t="shared" si="83"/>
        <v>N26 - N27|08 Prueba hidráulica - Interna N° 1</v>
      </c>
      <c r="X711">
        <v>1</v>
      </c>
    </row>
    <row r="712" spans="1:24">
      <c r="A712" t="s">
        <v>92</v>
      </c>
      <c r="B712" s="14" t="s">
        <v>163</v>
      </c>
      <c r="C712" t="s">
        <v>93</v>
      </c>
      <c r="D712" s="13" t="s">
        <v>81</v>
      </c>
      <c r="E712" s="13">
        <v>1</v>
      </c>
      <c r="F712" s="13">
        <f>IF(E712="","",MIN(E712,$X712+SUMIFS('05_Parte_Diario'!$H$5:$H$204,'05_Parte_Diario'!$D$5:$D$204,B712,'05_Parte_Diario'!$E$5:$E$204,C712)))</f>
        <v>0</v>
      </c>
      <c r="G712" s="13">
        <f t="shared" si="77"/>
        <v>1</v>
      </c>
      <c r="H712" s="21">
        <f t="shared" si="78"/>
        <v>0</v>
      </c>
      <c r="I712" s="21">
        <f>IF(OR(B712="",C712="",$V$1=""),"",MIN(E712,SUMIFS('03_Planificacion'!$G$99:$G$178,'03_Planificacion'!$E$99:$E$178,B712,'03_Planificacion'!$F$99:$F$178,C712,'03_Planificacion'!$D$99:$D$178,"&lt;="&amp;$V$1)))</f>
        <v>0</v>
      </c>
      <c r="J712" s="21">
        <f t="shared" si="79"/>
        <v>0</v>
      </c>
      <c r="K712" s="6">
        <f t="shared" si="80"/>
        <v>0</v>
      </c>
      <c r="L712" t="s">
        <v>12</v>
      </c>
      <c r="P712" s="5">
        <f t="shared" si="81"/>
        <v>46287</v>
      </c>
      <c r="Q712" t="s">
        <v>164</v>
      </c>
      <c r="R712">
        <v>75</v>
      </c>
      <c r="S712" t="s">
        <v>70</v>
      </c>
      <c r="T712" t="str">
        <f t="shared" si="82"/>
        <v/>
      </c>
      <c r="U712">
        <f>IF(AND(L712="Para Programar",G712&gt;0),COUNTIFS($L$5:L712,"Para Programar",$G$5:G712,"&gt;0"),"")</f>
        <v>119</v>
      </c>
      <c r="W712" t="str">
        <f t="shared" si="83"/>
        <v>N26 - N27|08 Prueba hidráulica - Interna N° 2</v>
      </c>
      <c r="X712">
        <v>0</v>
      </c>
    </row>
    <row r="713" spans="1:24">
      <c r="A713" t="s">
        <v>94</v>
      </c>
      <c r="B713" s="14" t="s">
        <v>163</v>
      </c>
      <c r="C713" t="s">
        <v>95</v>
      </c>
      <c r="D713" s="13" t="s">
        <v>81</v>
      </c>
      <c r="E713" s="13">
        <v>1</v>
      </c>
      <c r="F713" s="13">
        <f>IF(E713="","",MIN(E713,$X713+SUMIFS('05_Parte_Diario'!$H$5:$H$204,'05_Parte_Diario'!$D$5:$D$204,B713,'05_Parte_Diario'!$E$5:$E$204,C713)))</f>
        <v>0</v>
      </c>
      <c r="G713" s="13">
        <f t="shared" si="77"/>
        <v>1</v>
      </c>
      <c r="H713" s="21">
        <f t="shared" si="78"/>
        <v>0</v>
      </c>
      <c r="I713" s="21">
        <f>IF(OR(B713="",C713="",$V$1=""),"",MIN(E713,SUMIFS('03_Planificacion'!$G$99:$G$178,'03_Planificacion'!$E$99:$E$178,B713,'03_Planificacion'!$F$99:$F$178,C713,'03_Planificacion'!$D$99:$D$178,"&lt;="&amp;$V$1)))</f>
        <v>0</v>
      </c>
      <c r="J713" s="21">
        <f t="shared" si="79"/>
        <v>0</v>
      </c>
      <c r="K713" s="6">
        <f t="shared" si="80"/>
        <v>0</v>
      </c>
      <c r="L713" t="s">
        <v>12</v>
      </c>
      <c r="P713" s="5">
        <f t="shared" si="81"/>
        <v>46287</v>
      </c>
      <c r="Q713" t="s">
        <v>164</v>
      </c>
      <c r="R713">
        <v>75</v>
      </c>
      <c r="S713" t="s">
        <v>70</v>
      </c>
      <c r="T713" t="str">
        <f t="shared" si="82"/>
        <v/>
      </c>
      <c r="U713">
        <f>IF(AND(L713="Para Programar",G713&gt;0),COUNTIFS($L$5:L713,"Para Programar",$G$5:G713,"&gt;0"),"")</f>
        <v>120</v>
      </c>
      <c r="W713" t="str">
        <f t="shared" si="83"/>
        <v>N26 - N27|08 Prueba hidráulica - Primera prueba oficial</v>
      </c>
      <c r="X713">
        <v>0</v>
      </c>
    </row>
    <row r="714" spans="1:24">
      <c r="A714" t="s">
        <v>96</v>
      </c>
      <c r="B714" s="14" t="s">
        <v>163</v>
      </c>
      <c r="C714" t="s">
        <v>97</v>
      </c>
      <c r="D714" s="13" t="s">
        <v>67</v>
      </c>
      <c r="E714" s="13">
        <v>81</v>
      </c>
      <c r="F714" s="13">
        <f>IF(E714="","",MIN(E714,$X714+SUMIFS('05_Parte_Diario'!$H$5:$H$204,'05_Parte_Diario'!$D$5:$D$204,B714,'05_Parte_Diario'!$E$5:$E$204,C714)))</f>
        <v>0</v>
      </c>
      <c r="G714" s="13">
        <f t="shared" si="77"/>
        <v>81</v>
      </c>
      <c r="H714" s="21">
        <f t="shared" si="78"/>
        <v>0</v>
      </c>
      <c r="I714" s="21">
        <f>IF(OR(B714="",C714="",$V$1=""),"",MIN(E714,SUMIFS('03_Planificacion'!$G$99:$G$178,'03_Planificacion'!$E$99:$E$178,B714,'03_Planificacion'!$F$99:$F$178,C714,'03_Planificacion'!$D$99:$D$178,"&lt;="&amp;$V$1)))</f>
        <v>0</v>
      </c>
      <c r="J714" s="21">
        <f t="shared" si="79"/>
        <v>0</v>
      </c>
      <c r="K714" s="6">
        <f t="shared" si="80"/>
        <v>0</v>
      </c>
      <c r="L714" t="s">
        <v>12</v>
      </c>
      <c r="P714" s="5">
        <f t="shared" si="81"/>
        <v>46287</v>
      </c>
      <c r="Q714" t="s">
        <v>164</v>
      </c>
      <c r="R714">
        <v>75</v>
      </c>
      <c r="S714" t="s">
        <v>70</v>
      </c>
      <c r="T714" t="str">
        <f t="shared" si="82"/>
        <v/>
      </c>
      <c r="U714">
        <f>IF(AND(L714="Para Programar",G714&gt;0),COUNTIFS($L$5:L714,"Para Programar",$G$5:G714,"&gt;0"),"")</f>
        <v>121</v>
      </c>
      <c r="W714" t="str">
        <f t="shared" si="83"/>
        <v>N26 - N27|09 Paquete estructural - Aporte e=0,30 m</v>
      </c>
      <c r="X714">
        <v>0</v>
      </c>
    </row>
    <row r="715" spans="1:24">
      <c r="A715" t="s">
        <v>98</v>
      </c>
      <c r="B715" s="14" t="s">
        <v>163</v>
      </c>
      <c r="C715" t="s">
        <v>99</v>
      </c>
      <c r="D715" s="13" t="s">
        <v>67</v>
      </c>
      <c r="E715" s="13">
        <v>81</v>
      </c>
      <c r="F715" s="13">
        <f>IF(E715="","",MIN(E715,$X715+SUMIFS('05_Parte_Diario'!$H$5:$H$204,'05_Parte_Diario'!$D$5:$D$204,B715,'05_Parte_Diario'!$E$5:$E$204,C715)))</f>
        <v>0</v>
      </c>
      <c r="G715" s="13">
        <f t="shared" si="77"/>
        <v>81</v>
      </c>
      <c r="H715" s="21">
        <f t="shared" si="78"/>
        <v>0</v>
      </c>
      <c r="I715" s="21">
        <f>IF(OR(B715="",C715="",$V$1=""),"",MIN(E715,SUMIFS('03_Planificacion'!$G$99:$G$178,'03_Planificacion'!$E$99:$E$178,B715,'03_Planificacion'!$F$99:$F$178,C715,'03_Planificacion'!$D$99:$D$178,"&lt;="&amp;$V$1)))</f>
        <v>0</v>
      </c>
      <c r="J715" s="21">
        <f t="shared" si="79"/>
        <v>0</v>
      </c>
      <c r="K715" s="6">
        <f t="shared" si="80"/>
        <v>0</v>
      </c>
      <c r="L715" t="s">
        <v>12</v>
      </c>
      <c r="P715" s="5">
        <f t="shared" si="81"/>
        <v>46287</v>
      </c>
      <c r="Q715" t="s">
        <v>164</v>
      </c>
      <c r="R715">
        <v>75</v>
      </c>
      <c r="S715" t="s">
        <v>70</v>
      </c>
      <c r="T715" t="str">
        <f t="shared" si="82"/>
        <v/>
      </c>
      <c r="U715">
        <f>IF(AND(L715="Para Programar",G715&gt;0),COUNTIFS($L$5:L715,"Para Programar",$G$5:G715,"&gt;0"),"")</f>
        <v>122</v>
      </c>
      <c r="W715" t="str">
        <f t="shared" si="83"/>
        <v>N26 - N27|09 Paquete estructural - Compactación</v>
      </c>
      <c r="X715">
        <v>0</v>
      </c>
    </row>
    <row r="716" spans="1:24">
      <c r="A716" t="s">
        <v>100</v>
      </c>
      <c r="B716" s="14" t="s">
        <v>163</v>
      </c>
      <c r="C716" t="s">
        <v>101</v>
      </c>
      <c r="D716" s="13" t="s">
        <v>81</v>
      </c>
      <c r="E716" s="13">
        <v>1</v>
      </c>
      <c r="F716" s="13">
        <f>IF(E716="","",MIN(E716,$X716+SUMIFS('05_Parte_Diario'!$H$5:$H$204,'05_Parte_Diario'!$D$5:$D$204,B716,'05_Parte_Diario'!$E$5:$E$204,C716)))</f>
        <v>0</v>
      </c>
      <c r="G716" s="13">
        <f t="shared" si="77"/>
        <v>1</v>
      </c>
      <c r="H716" s="21">
        <f t="shared" si="78"/>
        <v>0</v>
      </c>
      <c r="I716" s="21">
        <f>IF(OR(B716="",C716="",$V$1=""),"",MIN(E716,SUMIFS('03_Planificacion'!$G$99:$G$178,'03_Planificacion'!$E$99:$E$178,B716,'03_Planificacion'!$F$99:$F$178,C716,'03_Planificacion'!$D$99:$D$178,"&lt;="&amp;$V$1)))</f>
        <v>0</v>
      </c>
      <c r="J716" s="21">
        <f t="shared" si="79"/>
        <v>0</v>
      </c>
      <c r="K716" s="6">
        <f t="shared" si="80"/>
        <v>0</v>
      </c>
      <c r="L716" t="s">
        <v>12</v>
      </c>
      <c r="P716" s="5">
        <f t="shared" si="81"/>
        <v>46287</v>
      </c>
      <c r="Q716" t="s">
        <v>164</v>
      </c>
      <c r="R716">
        <v>75</v>
      </c>
      <c r="S716" t="s">
        <v>70</v>
      </c>
      <c r="T716" t="str">
        <f t="shared" si="82"/>
        <v/>
      </c>
      <c r="U716">
        <f>IF(AND(L716="Para Programar",G716&gt;0),COUNTIFS($L$5:L716,"Para Programar",$G$5:G716,"&gt;0"),"")</f>
        <v>123</v>
      </c>
      <c r="W716" t="str">
        <f t="shared" si="83"/>
        <v>N26 - N27|09 Paquete estructural - Inspección laboratorio</v>
      </c>
      <c r="X716">
        <v>0</v>
      </c>
    </row>
    <row r="717" spans="1:24">
      <c r="A717" t="s">
        <v>102</v>
      </c>
      <c r="B717" s="14" t="s">
        <v>163</v>
      </c>
      <c r="C717" t="s">
        <v>103</v>
      </c>
      <c r="D717" s="13" t="s">
        <v>67</v>
      </c>
      <c r="E717" s="13">
        <v>81</v>
      </c>
      <c r="F717" s="13">
        <f>IF(E717="","",MIN(E717,$X717+SUMIFS('05_Parte_Diario'!$H$5:$H$204,'05_Parte_Diario'!$D$5:$D$204,B717,'05_Parte_Diario'!$E$5:$E$204,C717)))</f>
        <v>0</v>
      </c>
      <c r="G717" s="13">
        <f t="shared" si="77"/>
        <v>81</v>
      </c>
      <c r="H717" s="21">
        <f t="shared" si="78"/>
        <v>0</v>
      </c>
      <c r="I717" s="21">
        <f>IF(OR(B717="",C717="",$V$1=""),"",MIN(E717,SUMIFS('03_Planificacion'!$G$99:$G$178,'03_Planificacion'!$E$99:$E$178,B717,'03_Planificacion'!$F$99:$F$178,C717,'03_Planificacion'!$D$99:$D$178,"&lt;="&amp;$V$1)))</f>
        <v>0</v>
      </c>
      <c r="J717" s="21">
        <f t="shared" si="79"/>
        <v>0</v>
      </c>
      <c r="K717" s="6">
        <f t="shared" si="80"/>
        <v>0</v>
      </c>
      <c r="L717" t="s">
        <v>12</v>
      </c>
      <c r="P717" s="5">
        <f t="shared" si="81"/>
        <v>46287</v>
      </c>
      <c r="Q717" t="s">
        <v>164</v>
      </c>
      <c r="R717">
        <v>75</v>
      </c>
      <c r="S717" t="s">
        <v>70</v>
      </c>
      <c r="T717" t="str">
        <f t="shared" si="82"/>
        <v/>
      </c>
      <c r="U717">
        <f>IF(AND(L717="Para Programar",G717&gt;0),COUNTIFS($L$5:L717,"Para Programar",$G$5:G717,"&gt;0"),"")</f>
        <v>124</v>
      </c>
      <c r="W717" t="str">
        <f t="shared" si="83"/>
        <v>N26 - N27|10 Relleno -0,60 - Conformación de capa</v>
      </c>
      <c r="X717">
        <v>0</v>
      </c>
    </row>
    <row r="718" spans="1:24">
      <c r="A718" t="s">
        <v>104</v>
      </c>
      <c r="B718" s="14" t="s">
        <v>163</v>
      </c>
      <c r="C718" t="s">
        <v>105</v>
      </c>
      <c r="D718" s="13" t="s">
        <v>67</v>
      </c>
      <c r="E718" s="13">
        <v>81</v>
      </c>
      <c r="F718" s="13">
        <f>IF(E718="","",MIN(E718,$X718+SUMIFS('05_Parte_Diario'!$H$5:$H$204,'05_Parte_Diario'!$D$5:$D$204,B718,'05_Parte_Diario'!$E$5:$E$204,C718)))</f>
        <v>0</v>
      </c>
      <c r="G718" s="13">
        <f t="shared" si="77"/>
        <v>81</v>
      </c>
      <c r="H718" s="21">
        <f t="shared" si="78"/>
        <v>0</v>
      </c>
      <c r="I718" s="21">
        <f>IF(OR(B718="",C718="",$V$1=""),"",MIN(E718,SUMIFS('03_Planificacion'!$G$99:$G$178,'03_Planificacion'!$E$99:$E$178,B718,'03_Planificacion'!$F$99:$F$178,C718,'03_Planificacion'!$D$99:$D$178,"&lt;="&amp;$V$1)))</f>
        <v>0</v>
      </c>
      <c r="J718" s="21">
        <f t="shared" si="79"/>
        <v>0</v>
      </c>
      <c r="K718" s="6">
        <f t="shared" si="80"/>
        <v>0</v>
      </c>
      <c r="L718" t="s">
        <v>12</v>
      </c>
      <c r="P718" s="5">
        <f t="shared" si="81"/>
        <v>46287</v>
      </c>
      <c r="Q718" t="s">
        <v>164</v>
      </c>
      <c r="R718">
        <v>75</v>
      </c>
      <c r="S718" t="s">
        <v>70</v>
      </c>
      <c r="T718" t="str">
        <f t="shared" si="82"/>
        <v/>
      </c>
      <c r="U718">
        <f>IF(AND(L718="Para Programar",G718&gt;0),COUNTIFS($L$5:L718,"Para Programar",$G$5:G718,"&gt;0"),"")</f>
        <v>125</v>
      </c>
      <c r="W718" t="str">
        <f t="shared" si="83"/>
        <v>N26 - N27|10 Relleno -0,60 - Humectación</v>
      </c>
      <c r="X718">
        <v>0</v>
      </c>
    </row>
    <row r="719" spans="1:24">
      <c r="A719" t="s">
        <v>106</v>
      </c>
      <c r="B719" s="14" t="s">
        <v>163</v>
      </c>
      <c r="C719" t="s">
        <v>107</v>
      </c>
      <c r="D719" s="13" t="s">
        <v>67</v>
      </c>
      <c r="E719" s="13">
        <v>81</v>
      </c>
      <c r="F719" s="13">
        <f>IF(E719="","",MIN(E719,$X719+SUMIFS('05_Parte_Diario'!$H$5:$H$204,'05_Parte_Diario'!$D$5:$D$204,B719,'05_Parte_Diario'!$E$5:$E$204,C719)))</f>
        <v>0</v>
      </c>
      <c r="G719" s="13">
        <f t="shared" si="77"/>
        <v>81</v>
      </c>
      <c r="H719" s="21">
        <f t="shared" si="78"/>
        <v>0</v>
      </c>
      <c r="I719" s="21">
        <f>IF(OR(B719="",C719="",$V$1=""),"",MIN(E719,SUMIFS('03_Planificacion'!$G$99:$G$178,'03_Planificacion'!$E$99:$E$178,B719,'03_Planificacion'!$F$99:$F$178,C719,'03_Planificacion'!$D$99:$D$178,"&lt;="&amp;$V$1)))</f>
        <v>0</v>
      </c>
      <c r="J719" s="21">
        <f t="shared" si="79"/>
        <v>0</v>
      </c>
      <c r="K719" s="6">
        <f t="shared" si="80"/>
        <v>0</v>
      </c>
      <c r="L719" t="s">
        <v>12</v>
      </c>
      <c r="P719" s="5">
        <f t="shared" si="81"/>
        <v>46287</v>
      </c>
      <c r="Q719" t="s">
        <v>164</v>
      </c>
      <c r="R719">
        <v>75</v>
      </c>
      <c r="S719" t="s">
        <v>70</v>
      </c>
      <c r="T719" t="str">
        <f t="shared" si="82"/>
        <v/>
      </c>
      <c r="U719">
        <f>IF(AND(L719="Para Programar",G719&gt;0),COUNTIFS($L$5:L719,"Para Programar",$G$5:G719,"&gt;0"),"")</f>
        <v>126</v>
      </c>
      <c r="W719" t="str">
        <f t="shared" si="83"/>
        <v>N26 - N27|10 Relleno -0,60 - Compactación</v>
      </c>
      <c r="X719">
        <v>0</v>
      </c>
    </row>
    <row r="720" spans="1:24">
      <c r="A720" t="s">
        <v>108</v>
      </c>
      <c r="B720" s="14" t="s">
        <v>163</v>
      </c>
      <c r="C720" t="s">
        <v>109</v>
      </c>
      <c r="D720" s="13" t="s">
        <v>81</v>
      </c>
      <c r="E720" s="13">
        <v>1</v>
      </c>
      <c r="F720" s="13">
        <f>IF(E720="","",MIN(E720,$X720+SUMIFS('05_Parte_Diario'!$H$5:$H$204,'05_Parte_Diario'!$D$5:$D$204,B720,'05_Parte_Diario'!$E$5:$E$204,C720)))</f>
        <v>0</v>
      </c>
      <c r="G720" s="13">
        <f t="shared" si="77"/>
        <v>1</v>
      </c>
      <c r="H720" s="21">
        <f t="shared" si="78"/>
        <v>0</v>
      </c>
      <c r="I720" s="21">
        <f>IF(OR(B720="",C720="",$V$1=""),"",MIN(E720,SUMIFS('03_Planificacion'!$G$99:$G$178,'03_Planificacion'!$E$99:$E$178,B720,'03_Planificacion'!$F$99:$F$178,C720,'03_Planificacion'!$D$99:$D$178,"&lt;="&amp;$V$1)))</f>
        <v>0</v>
      </c>
      <c r="J720" s="21">
        <f t="shared" si="79"/>
        <v>0</v>
      </c>
      <c r="K720" s="6">
        <f t="shared" si="80"/>
        <v>0</v>
      </c>
      <c r="L720" t="s">
        <v>12</v>
      </c>
      <c r="P720" s="5">
        <f t="shared" si="81"/>
        <v>46287</v>
      </c>
      <c r="Q720" t="s">
        <v>164</v>
      </c>
      <c r="R720">
        <v>75</v>
      </c>
      <c r="S720" t="s">
        <v>70</v>
      </c>
      <c r="T720" t="str">
        <f t="shared" si="82"/>
        <v/>
      </c>
      <c r="U720">
        <f>IF(AND(L720="Para Programar",G720&gt;0),COUNTIFS($L$5:L720,"Para Programar",$G$5:G720,"&gt;0"),"")</f>
        <v>127</v>
      </c>
      <c r="W720" t="str">
        <f t="shared" si="83"/>
        <v>N26 - N27|10 Relleno -0,60 - Inspección laboratorio</v>
      </c>
      <c r="X720">
        <v>0</v>
      </c>
    </row>
    <row r="721" spans="1:24">
      <c r="A721" t="s">
        <v>110</v>
      </c>
      <c r="B721" s="14" t="s">
        <v>163</v>
      </c>
      <c r="C721" t="s">
        <v>111</v>
      </c>
      <c r="D721" s="13" t="s">
        <v>67</v>
      </c>
      <c r="E721" s="13">
        <v>81</v>
      </c>
      <c r="F721" s="13">
        <f>IF(E721="","",MIN(E721,$X721+SUMIFS('05_Parte_Diario'!$H$5:$H$204,'05_Parte_Diario'!$D$5:$D$204,B721,'05_Parte_Diario'!$E$5:$E$204,C721)))</f>
        <v>0</v>
      </c>
      <c r="G721" s="13">
        <f t="shared" si="77"/>
        <v>81</v>
      </c>
      <c r="H721" s="21">
        <f t="shared" si="78"/>
        <v>0</v>
      </c>
      <c r="I721" s="21">
        <f>IF(OR(B721="",C721="",$V$1=""),"",MIN(E721,SUMIFS('03_Planificacion'!$G$99:$G$178,'03_Planificacion'!$E$99:$E$178,B721,'03_Planificacion'!$F$99:$F$178,C721,'03_Planificacion'!$D$99:$D$178,"&lt;="&amp;$V$1)))</f>
        <v>0</v>
      </c>
      <c r="J721" s="21">
        <f t="shared" si="79"/>
        <v>0</v>
      </c>
      <c r="K721" s="6">
        <f t="shared" si="80"/>
        <v>0</v>
      </c>
      <c r="L721" t="s">
        <v>12</v>
      </c>
      <c r="P721" s="5">
        <f t="shared" si="81"/>
        <v>46287</v>
      </c>
      <c r="Q721" t="s">
        <v>164</v>
      </c>
      <c r="R721">
        <v>75</v>
      </c>
      <c r="S721" t="s">
        <v>70</v>
      </c>
      <c r="T721" t="str">
        <f t="shared" si="82"/>
        <v/>
      </c>
      <c r="U721">
        <f>IF(AND(L721="Para Programar",G721&gt;0),COUNTIFS($L$5:L721,"Para Programar",$G$5:G721,"&gt;0"),"")</f>
        <v>128</v>
      </c>
      <c r="W721" t="str">
        <f t="shared" si="83"/>
        <v>N26 - N27|11 Relleno -0,30 - Conformación de capa</v>
      </c>
      <c r="X721">
        <v>0</v>
      </c>
    </row>
    <row r="722" spans="1:24">
      <c r="A722" t="s">
        <v>112</v>
      </c>
      <c r="B722" s="14" t="s">
        <v>163</v>
      </c>
      <c r="C722" t="s">
        <v>113</v>
      </c>
      <c r="D722" s="13" t="s">
        <v>67</v>
      </c>
      <c r="E722" s="13">
        <v>81</v>
      </c>
      <c r="F722" s="13">
        <f>IF(E722="","",MIN(E722,$X722+SUMIFS('05_Parte_Diario'!$H$5:$H$204,'05_Parte_Diario'!$D$5:$D$204,B722,'05_Parte_Diario'!$E$5:$E$204,C722)))</f>
        <v>0</v>
      </c>
      <c r="G722" s="13">
        <f t="shared" si="77"/>
        <v>81</v>
      </c>
      <c r="H722" s="21">
        <f t="shared" si="78"/>
        <v>0</v>
      </c>
      <c r="I722" s="21">
        <f>IF(OR(B722="",C722="",$V$1=""),"",MIN(E722,SUMIFS('03_Planificacion'!$G$99:$G$178,'03_Planificacion'!$E$99:$E$178,B722,'03_Planificacion'!$F$99:$F$178,C722,'03_Planificacion'!$D$99:$D$178,"&lt;="&amp;$V$1)))</f>
        <v>0</v>
      </c>
      <c r="J722" s="21">
        <f t="shared" si="79"/>
        <v>0</v>
      </c>
      <c r="K722" s="6">
        <f t="shared" si="80"/>
        <v>0</v>
      </c>
      <c r="L722" t="s">
        <v>12</v>
      </c>
      <c r="P722" s="5">
        <f t="shared" si="81"/>
        <v>46287</v>
      </c>
      <c r="Q722" t="s">
        <v>164</v>
      </c>
      <c r="R722">
        <v>75</v>
      </c>
      <c r="S722" t="s">
        <v>70</v>
      </c>
      <c r="T722" t="str">
        <f t="shared" si="82"/>
        <v/>
      </c>
      <c r="U722">
        <f>IF(AND(L722="Para Programar",G722&gt;0),COUNTIFS($L$5:L722,"Para Programar",$G$5:G722,"&gt;0"),"")</f>
        <v>129</v>
      </c>
      <c r="W722" t="str">
        <f t="shared" si="83"/>
        <v>N26 - N27|11 Relleno -0,30 - Humectación</v>
      </c>
      <c r="X722">
        <v>0</v>
      </c>
    </row>
    <row r="723" spans="1:24">
      <c r="A723" t="s">
        <v>114</v>
      </c>
      <c r="B723" s="14" t="s">
        <v>163</v>
      </c>
      <c r="C723" t="s">
        <v>115</v>
      </c>
      <c r="D723" s="13" t="s">
        <v>67</v>
      </c>
      <c r="E723" s="13">
        <v>81</v>
      </c>
      <c r="F723" s="13">
        <f>IF(E723="","",MIN(E723,$X723+SUMIFS('05_Parte_Diario'!$H$5:$H$204,'05_Parte_Diario'!$D$5:$D$204,B723,'05_Parte_Diario'!$E$5:$E$204,C723)))</f>
        <v>0</v>
      </c>
      <c r="G723" s="13">
        <f t="shared" si="77"/>
        <v>81</v>
      </c>
      <c r="H723" s="21">
        <f t="shared" si="78"/>
        <v>0</v>
      </c>
      <c r="I723" s="21">
        <f>IF(OR(B723="",C723="",$V$1=""),"",MIN(E723,SUMIFS('03_Planificacion'!$G$99:$G$178,'03_Planificacion'!$E$99:$E$178,B723,'03_Planificacion'!$F$99:$F$178,C723,'03_Planificacion'!$D$99:$D$178,"&lt;="&amp;$V$1)))</f>
        <v>0</v>
      </c>
      <c r="J723" s="21">
        <f t="shared" si="79"/>
        <v>0</v>
      </c>
      <c r="K723" s="6">
        <f t="shared" si="80"/>
        <v>0</v>
      </c>
      <c r="L723" t="s">
        <v>12</v>
      </c>
      <c r="P723" s="5">
        <f t="shared" si="81"/>
        <v>46287</v>
      </c>
      <c r="Q723" t="s">
        <v>164</v>
      </c>
      <c r="R723">
        <v>75</v>
      </c>
      <c r="S723" t="s">
        <v>70</v>
      </c>
      <c r="T723" t="str">
        <f t="shared" si="82"/>
        <v/>
      </c>
      <c r="U723">
        <f>IF(AND(L723="Para Programar",G723&gt;0),COUNTIFS($L$5:L723,"Para Programar",$G$5:G723,"&gt;0"),"")</f>
        <v>130</v>
      </c>
      <c r="W723" t="str">
        <f t="shared" si="83"/>
        <v>N26 - N27|11 Relleno -0,30 - Compactación</v>
      </c>
      <c r="X723">
        <v>0</v>
      </c>
    </row>
    <row r="724" spans="1:24">
      <c r="A724" t="s">
        <v>116</v>
      </c>
      <c r="B724" s="14" t="s">
        <v>163</v>
      </c>
      <c r="C724" t="s">
        <v>117</v>
      </c>
      <c r="D724" s="13" t="s">
        <v>81</v>
      </c>
      <c r="E724" s="13">
        <v>1</v>
      </c>
      <c r="F724" s="13">
        <f>IF(E724="","",MIN(E724,$X724+SUMIFS('05_Parte_Diario'!$H$5:$H$204,'05_Parte_Diario'!$D$5:$D$204,B724,'05_Parte_Diario'!$E$5:$E$204,C724)))</f>
        <v>0</v>
      </c>
      <c r="G724" s="13">
        <f t="shared" si="77"/>
        <v>1</v>
      </c>
      <c r="H724" s="21">
        <f t="shared" si="78"/>
        <v>0</v>
      </c>
      <c r="I724" s="21">
        <f>IF(OR(B724="",C724="",$V$1=""),"",MIN(E724,SUMIFS('03_Planificacion'!$G$99:$G$178,'03_Planificacion'!$E$99:$E$178,B724,'03_Planificacion'!$F$99:$F$178,C724,'03_Planificacion'!$D$99:$D$178,"&lt;="&amp;$V$1)))</f>
        <v>0</v>
      </c>
      <c r="J724" s="21">
        <f t="shared" si="79"/>
        <v>0</v>
      </c>
      <c r="K724" s="6">
        <f t="shared" si="80"/>
        <v>0</v>
      </c>
      <c r="L724" t="s">
        <v>12</v>
      </c>
      <c r="P724" s="5">
        <f t="shared" si="81"/>
        <v>46287</v>
      </c>
      <c r="Q724" t="s">
        <v>164</v>
      </c>
      <c r="R724">
        <v>75</v>
      </c>
      <c r="S724" t="s">
        <v>70</v>
      </c>
      <c r="T724" t="str">
        <f t="shared" si="82"/>
        <v/>
      </c>
      <c r="U724">
        <f>IF(AND(L724="Para Programar",G724&gt;0),COUNTIFS($L$5:L724,"Para Programar",$G$5:G724,"&gt;0"),"")</f>
        <v>131</v>
      </c>
      <c r="W724" t="str">
        <f t="shared" si="83"/>
        <v>N26 - N27|11 Relleno -0,30 - Inspección laboratorio</v>
      </c>
      <c r="X724">
        <v>0</v>
      </c>
    </row>
    <row r="725" spans="1:24">
      <c r="A725" t="s">
        <v>64</v>
      </c>
      <c r="B725" s="14" t="s">
        <v>165</v>
      </c>
      <c r="C725" t="s">
        <v>66</v>
      </c>
      <c r="D725" s="13" t="s">
        <v>67</v>
      </c>
      <c r="E725" s="13">
        <v>82</v>
      </c>
      <c r="F725" s="13">
        <f>IF(E725="","",MIN(E725,$X725+SUMIFS('05_Parte_Diario'!$H$5:$H$204,'05_Parte_Diario'!$D$5:$D$204,B725,'05_Parte_Diario'!$E$5:$E$204,C725)))</f>
        <v>82</v>
      </c>
      <c r="G725" s="13">
        <f t="shared" si="77"/>
        <v>0</v>
      </c>
      <c r="H725" s="21">
        <f t="shared" si="78"/>
        <v>1</v>
      </c>
      <c r="I725" s="21">
        <f>IF(OR(B725="",C725="",$V$1=""),"",MIN(E725,SUMIFS('03_Planificacion'!$G$99:$G$178,'03_Planificacion'!$E$99:$E$178,B725,'03_Planificacion'!$F$99:$F$178,C725,'03_Planificacion'!$D$99:$D$178,"&lt;="&amp;$V$1)))</f>
        <v>0</v>
      </c>
      <c r="J725" s="21">
        <f t="shared" si="79"/>
        <v>0</v>
      </c>
      <c r="K725" s="6">
        <f t="shared" si="80"/>
        <v>1</v>
      </c>
      <c r="L725" t="s">
        <v>123</v>
      </c>
      <c r="P725" s="5">
        <f t="shared" si="81"/>
        <v>46287</v>
      </c>
      <c r="Q725" t="s">
        <v>164</v>
      </c>
      <c r="R725">
        <v>75</v>
      </c>
      <c r="S725" t="s">
        <v>70</v>
      </c>
      <c r="T725" t="str">
        <f t="shared" si="82"/>
        <v/>
      </c>
      <c r="U725" t="str">
        <f>IF(AND(L725="Para Programar",G725&gt;0),COUNTIFS($L$5:L725,"Para Programar",$G$5:G725,"&gt;0"),"")</f>
        <v/>
      </c>
      <c r="W725" t="str">
        <f t="shared" si="83"/>
        <v>N27 - N28|01 Replanteo - Marcación de tramo de cañería principal</v>
      </c>
      <c r="X725">
        <v>82</v>
      </c>
    </row>
    <row r="726" spans="1:24">
      <c r="A726" t="s">
        <v>71</v>
      </c>
      <c r="B726" s="14" t="s">
        <v>165</v>
      </c>
      <c r="C726" t="s">
        <v>72</v>
      </c>
      <c r="D726" s="13" t="s">
        <v>67</v>
      </c>
      <c r="E726" s="13">
        <v>82</v>
      </c>
      <c r="F726" s="13">
        <f>IF(E726="","",MIN(E726,$X726+SUMIFS('05_Parte_Diario'!$H$5:$H$204,'05_Parte_Diario'!$D$5:$D$204,B726,'05_Parte_Diario'!$E$5:$E$204,C726)))</f>
        <v>82</v>
      </c>
      <c r="G726" s="13">
        <f t="shared" si="77"/>
        <v>0</v>
      </c>
      <c r="H726" s="21">
        <f t="shared" si="78"/>
        <v>1</v>
      </c>
      <c r="I726" s="21">
        <f>IF(OR(B726="",C726="",$V$1=""),"",MIN(E726,SUMIFS('03_Planificacion'!$G$99:$G$178,'03_Planificacion'!$E$99:$E$178,B726,'03_Planificacion'!$F$99:$F$178,C726,'03_Planificacion'!$D$99:$D$178,"&lt;="&amp;$V$1)))</f>
        <v>0</v>
      </c>
      <c r="J726" s="21">
        <f t="shared" si="79"/>
        <v>0</v>
      </c>
      <c r="K726" s="6">
        <f t="shared" si="80"/>
        <v>1</v>
      </c>
      <c r="L726" t="s">
        <v>123</v>
      </c>
      <c r="P726" s="5">
        <f t="shared" si="81"/>
        <v>46287</v>
      </c>
      <c r="Q726" t="s">
        <v>164</v>
      </c>
      <c r="R726">
        <v>75</v>
      </c>
      <c r="S726" t="s">
        <v>70</v>
      </c>
      <c r="T726" t="str">
        <f t="shared" si="82"/>
        <v/>
      </c>
      <c r="U726" t="str">
        <f>IF(AND(L726="Para Programar",G726&gt;0),COUNTIFS($L$5:L726,"Para Programar",$G$5:G726,"&gt;0"),"")</f>
        <v/>
      </c>
      <c r="W726" t="str">
        <f t="shared" si="83"/>
        <v>N27 - N28|02 Excavación - Zanja principal</v>
      </c>
      <c r="X726">
        <v>82</v>
      </c>
    </row>
    <row r="727" spans="1:24">
      <c r="A727" t="s">
        <v>73</v>
      </c>
      <c r="B727" s="14" t="s">
        <v>165</v>
      </c>
      <c r="C727" t="s">
        <v>74</v>
      </c>
      <c r="D727" s="13" t="s">
        <v>67</v>
      </c>
      <c r="E727" s="13">
        <v>82</v>
      </c>
      <c r="F727" s="13">
        <f>IF(E727="","",MIN(E727,$X727+SUMIFS('05_Parte_Diario'!$H$5:$H$204,'05_Parte_Diario'!$D$5:$D$204,B727,'05_Parte_Diario'!$E$5:$E$204,C727)))</f>
        <v>82</v>
      </c>
      <c r="G727" s="13">
        <f t="shared" si="77"/>
        <v>0</v>
      </c>
      <c r="H727" s="21">
        <f t="shared" si="78"/>
        <v>1</v>
      </c>
      <c r="I727" s="21">
        <f>IF(OR(B727="",C727="",$V$1=""),"",MIN(E727,SUMIFS('03_Planificacion'!$G$99:$G$178,'03_Planificacion'!$E$99:$E$178,B727,'03_Planificacion'!$F$99:$F$178,C727,'03_Planificacion'!$D$99:$D$178,"&lt;="&amp;$V$1)))</f>
        <v>0</v>
      </c>
      <c r="J727" s="21">
        <f t="shared" si="79"/>
        <v>0</v>
      </c>
      <c r="K727" s="6">
        <f t="shared" si="80"/>
        <v>1</v>
      </c>
      <c r="L727" t="s">
        <v>123</v>
      </c>
      <c r="P727" s="5">
        <f t="shared" si="81"/>
        <v>46287</v>
      </c>
      <c r="Q727" t="s">
        <v>164</v>
      </c>
      <c r="R727">
        <v>75</v>
      </c>
      <c r="S727" t="s">
        <v>70</v>
      </c>
      <c r="T727" t="str">
        <f t="shared" si="82"/>
        <v/>
      </c>
      <c r="U727" t="str">
        <f>IF(AND(L727="Para Programar",G727&gt;0),COUNTIFS($L$5:L727,"Para Programar",$G$5:G727,"&gt;0"),"")</f>
        <v/>
      </c>
      <c r="W727" t="str">
        <f t="shared" si="83"/>
        <v>N27 - N28|03 Base de asiento - Nivelación de fondo de zanja</v>
      </c>
      <c r="X727">
        <v>82</v>
      </c>
    </row>
    <row r="728" spans="1:24">
      <c r="A728" t="s">
        <v>75</v>
      </c>
      <c r="B728" s="14" t="s">
        <v>165</v>
      </c>
      <c r="C728" t="s">
        <v>76</v>
      </c>
      <c r="D728" s="13" t="s">
        <v>67</v>
      </c>
      <c r="E728" s="13">
        <v>82</v>
      </c>
      <c r="F728" s="13">
        <f>IF(E728="","",MIN(E728,$X728+SUMIFS('05_Parte_Diario'!$H$5:$H$204,'05_Parte_Diario'!$D$5:$D$204,B728,'05_Parte_Diario'!$E$5:$E$204,C728)))</f>
        <v>82</v>
      </c>
      <c r="G728" s="13">
        <f t="shared" si="77"/>
        <v>0</v>
      </c>
      <c r="H728" s="21">
        <f t="shared" si="78"/>
        <v>1</v>
      </c>
      <c r="I728" s="21">
        <f>IF(OR(B728="",C728="",$V$1=""),"",MIN(E728,SUMIFS('03_Planificacion'!$G$99:$G$178,'03_Planificacion'!$E$99:$E$178,B728,'03_Planificacion'!$F$99:$F$178,C728,'03_Planificacion'!$D$99:$D$178,"&lt;="&amp;$V$1)))</f>
        <v>0</v>
      </c>
      <c r="J728" s="21">
        <f t="shared" si="79"/>
        <v>0</v>
      </c>
      <c r="K728" s="6">
        <f t="shared" si="80"/>
        <v>1</v>
      </c>
      <c r="L728" t="s">
        <v>123</v>
      </c>
      <c r="P728" s="5">
        <f t="shared" si="81"/>
        <v>46287</v>
      </c>
      <c r="Q728" t="s">
        <v>164</v>
      </c>
      <c r="R728">
        <v>75</v>
      </c>
      <c r="S728" t="s">
        <v>70</v>
      </c>
      <c r="T728" t="str">
        <f t="shared" si="82"/>
        <v/>
      </c>
      <c r="U728" t="str">
        <f>IF(AND(L728="Para Programar",G728&gt;0),COUNTIFS($L$5:L728,"Para Programar",$G$5:G728,"&gt;0"),"")</f>
        <v/>
      </c>
      <c r="W728" t="str">
        <f t="shared" si="83"/>
        <v>N27 - N28|03 Base de asiento - Aporte de material base e=0,10 m</v>
      </c>
      <c r="X728">
        <v>82</v>
      </c>
    </row>
    <row r="729" spans="1:24">
      <c r="A729" t="s">
        <v>77</v>
      </c>
      <c r="B729" s="14" t="s">
        <v>165</v>
      </c>
      <c r="C729" t="s">
        <v>78</v>
      </c>
      <c r="D729" s="13" t="s">
        <v>67</v>
      </c>
      <c r="E729" s="13">
        <v>82</v>
      </c>
      <c r="F729" s="13">
        <f>IF(E729="","",MIN(E729,$X729+SUMIFS('05_Parte_Diario'!$H$5:$H$204,'05_Parte_Diario'!$D$5:$D$204,B729,'05_Parte_Diario'!$E$5:$E$204,C729)))</f>
        <v>82</v>
      </c>
      <c r="G729" s="13">
        <f t="shared" si="77"/>
        <v>0</v>
      </c>
      <c r="H729" s="21">
        <f t="shared" si="78"/>
        <v>1</v>
      </c>
      <c r="I729" s="21">
        <f>IF(OR(B729="",C729="",$V$1=""),"",MIN(E729,SUMIFS('03_Planificacion'!$G$99:$G$178,'03_Planificacion'!$E$99:$E$178,B729,'03_Planificacion'!$F$99:$F$178,C729,'03_Planificacion'!$D$99:$D$178,"&lt;="&amp;$V$1)))</f>
        <v>0</v>
      </c>
      <c r="J729" s="21">
        <f t="shared" si="79"/>
        <v>0</v>
      </c>
      <c r="K729" s="6">
        <f t="shared" si="80"/>
        <v>1</v>
      </c>
      <c r="L729" t="s">
        <v>123</v>
      </c>
      <c r="P729" s="5">
        <f t="shared" si="81"/>
        <v>46287</v>
      </c>
      <c r="Q729" t="s">
        <v>164</v>
      </c>
      <c r="R729">
        <v>75</v>
      </c>
      <c r="S729" t="s">
        <v>70</v>
      </c>
      <c r="T729" t="str">
        <f t="shared" si="82"/>
        <v/>
      </c>
      <c r="U729" t="str">
        <f>IF(AND(L729="Para Programar",G729&gt;0),COUNTIFS($L$5:L729,"Para Programar",$G$5:G729,"&gt;0"),"")</f>
        <v/>
      </c>
      <c r="W729" t="str">
        <f t="shared" si="83"/>
        <v>N27 - N28|03 Base de asiento - Compactación</v>
      </c>
      <c r="X729">
        <v>82</v>
      </c>
    </row>
    <row r="730" spans="1:24">
      <c r="A730" t="s">
        <v>79</v>
      </c>
      <c r="B730" s="14" t="s">
        <v>165</v>
      </c>
      <c r="C730" t="s">
        <v>80</v>
      </c>
      <c r="D730" s="13" t="s">
        <v>81</v>
      </c>
      <c r="E730" s="13">
        <v>1</v>
      </c>
      <c r="F730" s="13">
        <f>IF(E730="","",MIN(E730,$X730+SUMIFS('05_Parte_Diario'!$H$5:$H$204,'05_Parte_Diario'!$D$5:$D$204,B730,'05_Parte_Diario'!$E$5:$E$204,C730)))</f>
        <v>1</v>
      </c>
      <c r="G730" s="13">
        <f t="shared" si="77"/>
        <v>0</v>
      </c>
      <c r="H730" s="21">
        <f t="shared" si="78"/>
        <v>1</v>
      </c>
      <c r="I730" s="21">
        <f>IF(OR(B730="",C730="",$V$1=""),"",MIN(E730,SUMIFS('03_Planificacion'!$G$99:$G$178,'03_Planificacion'!$E$99:$E$178,B730,'03_Planificacion'!$F$99:$F$178,C730,'03_Planificacion'!$D$99:$D$178,"&lt;="&amp;$V$1)))</f>
        <v>0</v>
      </c>
      <c r="J730" s="21">
        <f t="shared" si="79"/>
        <v>0</v>
      </c>
      <c r="K730" s="6">
        <f t="shared" si="80"/>
        <v>1</v>
      </c>
      <c r="L730" t="s">
        <v>123</v>
      </c>
      <c r="P730" s="5">
        <f t="shared" si="81"/>
        <v>46287</v>
      </c>
      <c r="Q730" t="s">
        <v>164</v>
      </c>
      <c r="R730">
        <v>75</v>
      </c>
      <c r="S730" t="s">
        <v>70</v>
      </c>
      <c r="T730" t="str">
        <f t="shared" si="82"/>
        <v/>
      </c>
      <c r="U730" t="str">
        <f>IF(AND(L730="Para Programar",G730&gt;0),COUNTIFS($L$5:L730,"Para Programar",$G$5:G730,"&gt;0"),"")</f>
        <v/>
      </c>
      <c r="W730" t="str">
        <f t="shared" si="83"/>
        <v>N27 - N28|04 Inspecciones previas - Laboratorio base de asiento</v>
      </c>
      <c r="X730">
        <v>1</v>
      </c>
    </row>
    <row r="731" spans="1:24">
      <c r="A731" t="s">
        <v>82</v>
      </c>
      <c r="B731" s="14" t="s">
        <v>165</v>
      </c>
      <c r="C731" t="s">
        <v>83</v>
      </c>
      <c r="D731" s="13" t="s">
        <v>81</v>
      </c>
      <c r="E731" s="13">
        <v>1</v>
      </c>
      <c r="F731" s="13">
        <f>IF(E731="","",MIN(E731,$X731+SUMIFS('05_Parte_Diario'!$H$5:$H$204,'05_Parte_Diario'!$D$5:$D$204,B731,'05_Parte_Diario'!$E$5:$E$204,C731)))</f>
        <v>1</v>
      </c>
      <c r="G731" s="13">
        <f t="shared" si="77"/>
        <v>0</v>
      </c>
      <c r="H731" s="21">
        <f t="shared" si="78"/>
        <v>1</v>
      </c>
      <c r="I731" s="21">
        <f>IF(OR(B731="",C731="",$V$1=""),"",MIN(E731,SUMIFS('03_Planificacion'!$G$99:$G$178,'03_Planificacion'!$E$99:$E$178,B731,'03_Planificacion'!$F$99:$F$178,C731,'03_Planificacion'!$D$99:$D$178,"&lt;="&amp;$V$1)))</f>
        <v>0</v>
      </c>
      <c r="J731" s="21">
        <f t="shared" si="79"/>
        <v>0</v>
      </c>
      <c r="K731" s="6">
        <f t="shared" si="80"/>
        <v>1</v>
      </c>
      <c r="L731" t="s">
        <v>123</v>
      </c>
      <c r="P731" s="5">
        <f t="shared" si="81"/>
        <v>46287</v>
      </c>
      <c r="Q731" t="s">
        <v>164</v>
      </c>
      <c r="R731">
        <v>75</v>
      </c>
      <c r="S731" t="s">
        <v>70</v>
      </c>
      <c r="T731" t="str">
        <f t="shared" si="82"/>
        <v/>
      </c>
      <c r="U731" t="str">
        <f>IF(AND(L731="Para Programar",G731&gt;0),COUNTIFS($L$5:L731,"Para Programar",$G$5:G731,"&gt;0"),"")</f>
        <v/>
      </c>
      <c r="W731" t="str">
        <f t="shared" si="83"/>
        <v>N27 - N28|04 Inspecciones previas - Zanja y materiales</v>
      </c>
      <c r="X731">
        <v>1</v>
      </c>
    </row>
    <row r="732" spans="1:24">
      <c r="A732" t="s">
        <v>84</v>
      </c>
      <c r="B732" s="14" t="s">
        <v>165</v>
      </c>
      <c r="C732" t="s">
        <v>85</v>
      </c>
      <c r="D732" s="13" t="s">
        <v>67</v>
      </c>
      <c r="E732" s="13">
        <v>82</v>
      </c>
      <c r="F732" s="13">
        <f>IF(E732="","",MIN(E732,$X732+SUMIFS('05_Parte_Diario'!$H$5:$H$204,'05_Parte_Diario'!$D$5:$D$204,B732,'05_Parte_Diario'!$E$5:$E$204,C732)))</f>
        <v>82</v>
      </c>
      <c r="G732" s="13">
        <f t="shared" si="77"/>
        <v>0</v>
      </c>
      <c r="H732" s="21">
        <f t="shared" si="78"/>
        <v>1</v>
      </c>
      <c r="I732" s="21">
        <f>IF(OR(B732="",C732="",$V$1=""),"",MIN(E732,SUMIFS('03_Planificacion'!$G$99:$G$178,'03_Planificacion'!$E$99:$E$178,B732,'03_Planificacion'!$F$99:$F$178,C732,'03_Planificacion'!$D$99:$D$178,"&lt;="&amp;$V$1)))</f>
        <v>0</v>
      </c>
      <c r="J732" s="21">
        <f t="shared" si="79"/>
        <v>0</v>
      </c>
      <c r="K732" s="6">
        <f t="shared" si="80"/>
        <v>1</v>
      </c>
      <c r="L732" t="s">
        <v>123</v>
      </c>
      <c r="P732" s="5">
        <f t="shared" si="81"/>
        <v>46287</v>
      </c>
      <c r="Q732" t="s">
        <v>164</v>
      </c>
      <c r="R732">
        <v>75</v>
      </c>
      <c r="S732" t="s">
        <v>70</v>
      </c>
      <c r="T732" t="str">
        <f t="shared" si="82"/>
        <v/>
      </c>
      <c r="U732" t="str">
        <f>IF(AND(L732="Para Programar",G732&gt;0),COUNTIFS($L$5:L732,"Para Programar",$G$5:G732,"&gt;0"),"")</f>
        <v/>
      </c>
      <c r="W732" t="str">
        <f t="shared" si="83"/>
        <v>N27 - N28|05 Tendido de cañería - Cañería principal</v>
      </c>
      <c r="X732">
        <v>82</v>
      </c>
    </row>
    <row r="733" spans="1:24">
      <c r="A733" t="s">
        <v>86</v>
      </c>
      <c r="B733" s="14" t="s">
        <v>165</v>
      </c>
      <c r="C733" t="s">
        <v>87</v>
      </c>
      <c r="D733" s="13" t="s">
        <v>67</v>
      </c>
      <c r="E733" s="13">
        <v>82</v>
      </c>
      <c r="F733" s="13">
        <f>IF(E733="","",MIN(E733,$X733+SUMIFS('05_Parte_Diario'!$H$5:$H$204,'05_Parte_Diario'!$D$5:$D$204,B733,'05_Parte_Diario'!$E$5:$E$204,C733)))</f>
        <v>82</v>
      </c>
      <c r="G733" s="13">
        <f t="shared" si="77"/>
        <v>0</v>
      </c>
      <c r="H733" s="21">
        <f t="shared" si="78"/>
        <v>1</v>
      </c>
      <c r="I733" s="21">
        <f>IF(OR(B733="",C733="",$V$1=""),"",MIN(E733,SUMIFS('03_Planificacion'!$G$99:$G$178,'03_Planificacion'!$E$99:$E$178,B733,'03_Planificacion'!$F$99:$F$178,C733,'03_Planificacion'!$D$99:$D$178,"&lt;="&amp;$V$1)))</f>
        <v>0</v>
      </c>
      <c r="J733" s="21">
        <f t="shared" si="79"/>
        <v>0</v>
      </c>
      <c r="K733" s="6">
        <f t="shared" si="80"/>
        <v>1</v>
      </c>
      <c r="L733" t="s">
        <v>123</v>
      </c>
      <c r="P733" s="5">
        <f t="shared" si="81"/>
        <v>46287</v>
      </c>
      <c r="Q733" t="s">
        <v>164</v>
      </c>
      <c r="R733">
        <v>75</v>
      </c>
      <c r="S733" t="s">
        <v>70</v>
      </c>
      <c r="T733" t="str">
        <f t="shared" si="82"/>
        <v/>
      </c>
      <c r="U733" t="str">
        <f>IF(AND(L733="Para Programar",G733&gt;0),COUNTIFS($L$5:L733,"Para Programar",$G$5:G733,"&gt;0"),"")</f>
        <v/>
      </c>
      <c r="W733" t="str">
        <f t="shared" si="83"/>
        <v>N27 - N28|05 Tendido de cañería - Relevamiento planialtimétrico</v>
      </c>
      <c r="X733">
        <v>82</v>
      </c>
    </row>
    <row r="734" spans="1:24">
      <c r="A734" t="s">
        <v>88</v>
      </c>
      <c r="B734" s="14" t="s">
        <v>165</v>
      </c>
      <c r="C734" t="s">
        <v>89</v>
      </c>
      <c r="D734" s="13" t="s">
        <v>81</v>
      </c>
      <c r="E734" s="13">
        <v>1</v>
      </c>
      <c r="F734" s="13">
        <f>IF(E734="","",MIN(E734,$X734+SUMIFS('05_Parte_Diario'!$H$5:$H$204,'05_Parte_Diario'!$D$5:$D$204,B734,'05_Parte_Diario'!$E$5:$E$204,C734)))</f>
        <v>1</v>
      </c>
      <c r="G734" s="13">
        <f t="shared" si="77"/>
        <v>0</v>
      </c>
      <c r="H734" s="21">
        <f t="shared" si="78"/>
        <v>1</v>
      </c>
      <c r="I734" s="21">
        <f>IF(OR(B734="",C734="",$V$1=""),"",MIN(E734,SUMIFS('03_Planificacion'!$G$99:$G$178,'03_Planificacion'!$E$99:$E$178,B734,'03_Planificacion'!$F$99:$F$178,C734,'03_Planificacion'!$D$99:$D$178,"&lt;="&amp;$V$1)))</f>
        <v>0</v>
      </c>
      <c r="J734" s="21">
        <f t="shared" si="79"/>
        <v>0</v>
      </c>
      <c r="K734" s="6">
        <f t="shared" si="80"/>
        <v>1</v>
      </c>
      <c r="L734" t="s">
        <v>123</v>
      </c>
      <c r="P734" s="5">
        <f t="shared" si="81"/>
        <v>46287</v>
      </c>
      <c r="Q734" t="s">
        <v>164</v>
      </c>
      <c r="R734">
        <v>75</v>
      </c>
      <c r="S734" t="s">
        <v>70</v>
      </c>
      <c r="T734" t="str">
        <f t="shared" si="82"/>
        <v/>
      </c>
      <c r="U734" t="str">
        <f>IF(AND(L734="Para Programar",G734&gt;0),COUNTIFS($L$5:L734,"Para Programar",$G$5:G734,"&gt;0"),"")</f>
        <v/>
      </c>
      <c r="W734" t="str">
        <f t="shared" si="83"/>
        <v>N27 - N28|08 Prueba hidráulica - Preparación del sistema</v>
      </c>
      <c r="X734">
        <v>1</v>
      </c>
    </row>
    <row r="735" spans="1:24">
      <c r="A735" t="s">
        <v>90</v>
      </c>
      <c r="B735" s="14" t="s">
        <v>165</v>
      </c>
      <c r="C735" t="s">
        <v>91</v>
      </c>
      <c r="D735" s="13" t="s">
        <v>81</v>
      </c>
      <c r="E735" s="13">
        <v>1</v>
      </c>
      <c r="F735" s="13">
        <f>IF(E735="","",MIN(E735,$X735+SUMIFS('05_Parte_Diario'!$H$5:$H$204,'05_Parte_Diario'!$D$5:$D$204,B735,'05_Parte_Diario'!$E$5:$E$204,C735)))</f>
        <v>1</v>
      </c>
      <c r="G735" s="13">
        <f t="shared" si="77"/>
        <v>0</v>
      </c>
      <c r="H735" s="21">
        <f t="shared" si="78"/>
        <v>1</v>
      </c>
      <c r="I735" s="21">
        <f>IF(OR(B735="",C735="",$V$1=""),"",MIN(E735,SUMIFS('03_Planificacion'!$G$99:$G$178,'03_Planificacion'!$E$99:$E$178,B735,'03_Planificacion'!$F$99:$F$178,C735,'03_Planificacion'!$D$99:$D$178,"&lt;="&amp;$V$1)))</f>
        <v>0</v>
      </c>
      <c r="J735" s="21">
        <f t="shared" si="79"/>
        <v>0</v>
      </c>
      <c r="K735" s="6">
        <f t="shared" si="80"/>
        <v>1</v>
      </c>
      <c r="L735" t="s">
        <v>123</v>
      </c>
      <c r="P735" s="5">
        <f t="shared" si="81"/>
        <v>46287</v>
      </c>
      <c r="Q735" t="s">
        <v>164</v>
      </c>
      <c r="R735">
        <v>75</v>
      </c>
      <c r="S735" t="s">
        <v>70</v>
      </c>
      <c r="T735" t="str">
        <f t="shared" si="82"/>
        <v/>
      </c>
      <c r="U735" t="str">
        <f>IF(AND(L735="Para Programar",G735&gt;0),COUNTIFS($L$5:L735,"Para Programar",$G$5:G735,"&gt;0"),"")</f>
        <v/>
      </c>
      <c r="W735" t="str">
        <f t="shared" si="83"/>
        <v>N27 - N28|08 Prueba hidráulica - Interna N° 1</v>
      </c>
      <c r="X735">
        <v>1</v>
      </c>
    </row>
    <row r="736" spans="1:24">
      <c r="A736" t="s">
        <v>92</v>
      </c>
      <c r="B736" s="14" t="s">
        <v>165</v>
      </c>
      <c r="C736" t="s">
        <v>93</v>
      </c>
      <c r="D736" s="13" t="s">
        <v>81</v>
      </c>
      <c r="E736" s="13">
        <v>1</v>
      </c>
      <c r="F736" s="13">
        <f>IF(E736="","",MIN(E736,$X736+SUMIFS('05_Parte_Diario'!$H$5:$H$204,'05_Parte_Diario'!$D$5:$D$204,B736,'05_Parte_Diario'!$E$5:$E$204,C736)))</f>
        <v>0</v>
      </c>
      <c r="G736" s="13">
        <f t="shared" si="77"/>
        <v>1</v>
      </c>
      <c r="H736" s="21">
        <f t="shared" si="78"/>
        <v>0</v>
      </c>
      <c r="I736" s="21">
        <f>IF(OR(B736="",C736="",$V$1=""),"",MIN(E736,SUMIFS('03_Planificacion'!$G$99:$G$178,'03_Planificacion'!$E$99:$E$178,B736,'03_Planificacion'!$F$99:$F$178,C736,'03_Planificacion'!$D$99:$D$178,"&lt;="&amp;$V$1)))</f>
        <v>0</v>
      </c>
      <c r="J736" s="21">
        <f t="shared" si="79"/>
        <v>0</v>
      </c>
      <c r="K736" s="6">
        <f t="shared" si="80"/>
        <v>0</v>
      </c>
      <c r="L736" t="s">
        <v>12</v>
      </c>
      <c r="P736" s="5">
        <f t="shared" si="81"/>
        <v>46287</v>
      </c>
      <c r="Q736" t="s">
        <v>164</v>
      </c>
      <c r="R736">
        <v>75</v>
      </c>
      <c r="S736" t="s">
        <v>70</v>
      </c>
      <c r="T736" t="str">
        <f t="shared" si="82"/>
        <v/>
      </c>
      <c r="U736">
        <f>IF(AND(L736="Para Programar",G736&gt;0),COUNTIFS($L$5:L736,"Para Programar",$G$5:G736,"&gt;0"),"")</f>
        <v>132</v>
      </c>
      <c r="W736" t="str">
        <f t="shared" si="83"/>
        <v>N27 - N28|08 Prueba hidráulica - Interna N° 2</v>
      </c>
      <c r="X736">
        <v>0</v>
      </c>
    </row>
    <row r="737" spans="1:24">
      <c r="A737" t="s">
        <v>94</v>
      </c>
      <c r="B737" s="14" t="s">
        <v>165</v>
      </c>
      <c r="C737" t="s">
        <v>95</v>
      </c>
      <c r="D737" s="13" t="s">
        <v>81</v>
      </c>
      <c r="E737" s="13">
        <v>1</v>
      </c>
      <c r="F737" s="13">
        <f>IF(E737="","",MIN(E737,$X737+SUMIFS('05_Parte_Diario'!$H$5:$H$204,'05_Parte_Diario'!$D$5:$D$204,B737,'05_Parte_Diario'!$E$5:$E$204,C737)))</f>
        <v>0</v>
      </c>
      <c r="G737" s="13">
        <f t="shared" si="77"/>
        <v>1</v>
      </c>
      <c r="H737" s="21">
        <f t="shared" si="78"/>
        <v>0</v>
      </c>
      <c r="I737" s="21">
        <f>IF(OR(B737="",C737="",$V$1=""),"",MIN(E737,SUMIFS('03_Planificacion'!$G$99:$G$178,'03_Planificacion'!$E$99:$E$178,B737,'03_Planificacion'!$F$99:$F$178,C737,'03_Planificacion'!$D$99:$D$178,"&lt;="&amp;$V$1)))</f>
        <v>0</v>
      </c>
      <c r="J737" s="21">
        <f t="shared" si="79"/>
        <v>0</v>
      </c>
      <c r="K737" s="6">
        <f t="shared" si="80"/>
        <v>0</v>
      </c>
      <c r="L737" t="s">
        <v>12</v>
      </c>
      <c r="P737" s="5">
        <f t="shared" si="81"/>
        <v>46287</v>
      </c>
      <c r="Q737" t="s">
        <v>164</v>
      </c>
      <c r="R737">
        <v>75</v>
      </c>
      <c r="S737" t="s">
        <v>70</v>
      </c>
      <c r="T737" t="str">
        <f t="shared" si="82"/>
        <v/>
      </c>
      <c r="U737">
        <f>IF(AND(L737="Para Programar",G737&gt;0),COUNTIFS($L$5:L737,"Para Programar",$G$5:G737,"&gt;0"),"")</f>
        <v>133</v>
      </c>
      <c r="W737" t="str">
        <f t="shared" si="83"/>
        <v>N27 - N28|08 Prueba hidráulica - Primera prueba oficial</v>
      </c>
      <c r="X737">
        <v>0</v>
      </c>
    </row>
    <row r="738" spans="1:24">
      <c r="A738" t="s">
        <v>96</v>
      </c>
      <c r="B738" s="14" t="s">
        <v>165</v>
      </c>
      <c r="C738" t="s">
        <v>97</v>
      </c>
      <c r="D738" s="13" t="s">
        <v>67</v>
      </c>
      <c r="E738" s="13">
        <v>82</v>
      </c>
      <c r="F738" s="13">
        <f>IF(E738="","",MIN(E738,$X738+SUMIFS('05_Parte_Diario'!$H$5:$H$204,'05_Parte_Diario'!$D$5:$D$204,B738,'05_Parte_Diario'!$E$5:$E$204,C738)))</f>
        <v>0</v>
      </c>
      <c r="G738" s="13">
        <f t="shared" si="77"/>
        <v>82</v>
      </c>
      <c r="H738" s="21">
        <f t="shared" si="78"/>
        <v>0</v>
      </c>
      <c r="I738" s="21">
        <f>IF(OR(B738="",C738="",$V$1=""),"",MIN(E738,SUMIFS('03_Planificacion'!$G$99:$G$178,'03_Planificacion'!$E$99:$E$178,B738,'03_Planificacion'!$F$99:$F$178,C738,'03_Planificacion'!$D$99:$D$178,"&lt;="&amp;$V$1)))</f>
        <v>0</v>
      </c>
      <c r="J738" s="21">
        <f t="shared" si="79"/>
        <v>0</v>
      </c>
      <c r="K738" s="6">
        <f t="shared" si="80"/>
        <v>0</v>
      </c>
      <c r="L738" t="s">
        <v>12</v>
      </c>
      <c r="P738" s="5">
        <f t="shared" si="81"/>
        <v>46287</v>
      </c>
      <c r="Q738" t="s">
        <v>164</v>
      </c>
      <c r="R738">
        <v>75</v>
      </c>
      <c r="S738" t="s">
        <v>70</v>
      </c>
      <c r="T738" t="str">
        <f t="shared" si="82"/>
        <v/>
      </c>
      <c r="U738">
        <f>IF(AND(L738="Para Programar",G738&gt;0),COUNTIFS($L$5:L738,"Para Programar",$G$5:G738,"&gt;0"),"")</f>
        <v>134</v>
      </c>
      <c r="W738" t="str">
        <f t="shared" si="83"/>
        <v>N27 - N28|09 Paquete estructural - Aporte e=0,30 m</v>
      </c>
      <c r="X738">
        <v>0</v>
      </c>
    </row>
    <row r="739" spans="1:24">
      <c r="A739" t="s">
        <v>98</v>
      </c>
      <c r="B739" s="14" t="s">
        <v>165</v>
      </c>
      <c r="C739" t="s">
        <v>99</v>
      </c>
      <c r="D739" s="13" t="s">
        <v>67</v>
      </c>
      <c r="E739" s="13">
        <v>82</v>
      </c>
      <c r="F739" s="13">
        <f>IF(E739="","",MIN(E739,$X739+SUMIFS('05_Parte_Diario'!$H$5:$H$204,'05_Parte_Diario'!$D$5:$D$204,B739,'05_Parte_Diario'!$E$5:$E$204,C739)))</f>
        <v>0</v>
      </c>
      <c r="G739" s="13">
        <f t="shared" si="77"/>
        <v>82</v>
      </c>
      <c r="H739" s="21">
        <f t="shared" si="78"/>
        <v>0</v>
      </c>
      <c r="I739" s="21">
        <f>IF(OR(B739="",C739="",$V$1=""),"",MIN(E739,SUMIFS('03_Planificacion'!$G$99:$G$178,'03_Planificacion'!$E$99:$E$178,B739,'03_Planificacion'!$F$99:$F$178,C739,'03_Planificacion'!$D$99:$D$178,"&lt;="&amp;$V$1)))</f>
        <v>0</v>
      </c>
      <c r="J739" s="21">
        <f t="shared" si="79"/>
        <v>0</v>
      </c>
      <c r="K739" s="6">
        <f t="shared" si="80"/>
        <v>0</v>
      </c>
      <c r="L739" t="s">
        <v>12</v>
      </c>
      <c r="P739" s="5">
        <f t="shared" si="81"/>
        <v>46287</v>
      </c>
      <c r="Q739" t="s">
        <v>164</v>
      </c>
      <c r="R739">
        <v>75</v>
      </c>
      <c r="S739" t="s">
        <v>70</v>
      </c>
      <c r="T739" t="str">
        <f t="shared" si="82"/>
        <v/>
      </c>
      <c r="U739">
        <f>IF(AND(L739="Para Programar",G739&gt;0),COUNTIFS($L$5:L739,"Para Programar",$G$5:G739,"&gt;0"),"")</f>
        <v>135</v>
      </c>
      <c r="W739" t="str">
        <f t="shared" si="83"/>
        <v>N27 - N28|09 Paquete estructural - Compactación</v>
      </c>
      <c r="X739">
        <v>0</v>
      </c>
    </row>
    <row r="740" spans="1:24">
      <c r="A740" t="s">
        <v>100</v>
      </c>
      <c r="B740" s="14" t="s">
        <v>165</v>
      </c>
      <c r="C740" t="s">
        <v>101</v>
      </c>
      <c r="D740" s="13" t="s">
        <v>81</v>
      </c>
      <c r="E740" s="13">
        <v>1</v>
      </c>
      <c r="F740" s="13">
        <f>IF(E740="","",MIN(E740,$X740+SUMIFS('05_Parte_Diario'!$H$5:$H$204,'05_Parte_Diario'!$D$5:$D$204,B740,'05_Parte_Diario'!$E$5:$E$204,C740)))</f>
        <v>0</v>
      </c>
      <c r="G740" s="13">
        <f t="shared" si="77"/>
        <v>1</v>
      </c>
      <c r="H740" s="21">
        <f t="shared" si="78"/>
        <v>0</v>
      </c>
      <c r="I740" s="21">
        <f>IF(OR(B740="",C740="",$V$1=""),"",MIN(E740,SUMIFS('03_Planificacion'!$G$99:$G$178,'03_Planificacion'!$E$99:$E$178,B740,'03_Planificacion'!$F$99:$F$178,C740,'03_Planificacion'!$D$99:$D$178,"&lt;="&amp;$V$1)))</f>
        <v>0</v>
      </c>
      <c r="J740" s="21">
        <f t="shared" si="79"/>
        <v>0</v>
      </c>
      <c r="K740" s="6">
        <f t="shared" si="80"/>
        <v>0</v>
      </c>
      <c r="L740" t="s">
        <v>12</v>
      </c>
      <c r="P740" s="5">
        <f t="shared" si="81"/>
        <v>46287</v>
      </c>
      <c r="Q740" t="s">
        <v>164</v>
      </c>
      <c r="R740">
        <v>75</v>
      </c>
      <c r="S740" t="s">
        <v>70</v>
      </c>
      <c r="T740" t="str">
        <f t="shared" si="82"/>
        <v/>
      </c>
      <c r="U740">
        <f>IF(AND(L740="Para Programar",G740&gt;0),COUNTIFS($L$5:L740,"Para Programar",$G$5:G740,"&gt;0"),"")</f>
        <v>136</v>
      </c>
      <c r="W740" t="str">
        <f t="shared" si="83"/>
        <v>N27 - N28|09 Paquete estructural - Inspección laboratorio</v>
      </c>
      <c r="X740">
        <v>0</v>
      </c>
    </row>
    <row r="741" spans="1:24">
      <c r="A741" t="s">
        <v>102</v>
      </c>
      <c r="B741" s="14" t="s">
        <v>165</v>
      </c>
      <c r="C741" t="s">
        <v>103</v>
      </c>
      <c r="D741" s="13" t="s">
        <v>67</v>
      </c>
      <c r="E741" s="13">
        <v>82</v>
      </c>
      <c r="F741" s="13">
        <f>IF(E741="","",MIN(E741,$X741+SUMIFS('05_Parte_Diario'!$H$5:$H$204,'05_Parte_Diario'!$D$5:$D$204,B741,'05_Parte_Diario'!$E$5:$E$204,C741)))</f>
        <v>0</v>
      </c>
      <c r="G741" s="13">
        <f t="shared" si="77"/>
        <v>82</v>
      </c>
      <c r="H741" s="21">
        <f t="shared" si="78"/>
        <v>0</v>
      </c>
      <c r="I741" s="21">
        <f>IF(OR(B741="",C741="",$V$1=""),"",MIN(E741,SUMIFS('03_Planificacion'!$G$99:$G$178,'03_Planificacion'!$E$99:$E$178,B741,'03_Planificacion'!$F$99:$F$178,C741,'03_Planificacion'!$D$99:$D$178,"&lt;="&amp;$V$1)))</f>
        <v>0</v>
      </c>
      <c r="J741" s="21">
        <f t="shared" si="79"/>
        <v>0</v>
      </c>
      <c r="K741" s="6">
        <f t="shared" si="80"/>
        <v>0</v>
      </c>
      <c r="L741" t="s">
        <v>12</v>
      </c>
      <c r="P741" s="5">
        <f t="shared" si="81"/>
        <v>46287</v>
      </c>
      <c r="Q741" t="s">
        <v>164</v>
      </c>
      <c r="R741">
        <v>75</v>
      </c>
      <c r="S741" t="s">
        <v>70</v>
      </c>
      <c r="T741" t="str">
        <f t="shared" si="82"/>
        <v/>
      </c>
      <c r="U741">
        <f>IF(AND(L741="Para Programar",G741&gt;0),COUNTIFS($L$5:L741,"Para Programar",$G$5:G741,"&gt;0"),"")</f>
        <v>137</v>
      </c>
      <c r="W741" t="str">
        <f t="shared" si="83"/>
        <v>N27 - N28|10 Relleno -0,60 - Conformación de capa</v>
      </c>
      <c r="X741">
        <v>0</v>
      </c>
    </row>
    <row r="742" spans="1:24">
      <c r="A742" t="s">
        <v>104</v>
      </c>
      <c r="B742" s="14" t="s">
        <v>165</v>
      </c>
      <c r="C742" t="s">
        <v>105</v>
      </c>
      <c r="D742" s="13" t="s">
        <v>67</v>
      </c>
      <c r="E742" s="13">
        <v>82</v>
      </c>
      <c r="F742" s="13">
        <f>IF(E742="","",MIN(E742,$X742+SUMIFS('05_Parte_Diario'!$H$5:$H$204,'05_Parte_Diario'!$D$5:$D$204,B742,'05_Parte_Diario'!$E$5:$E$204,C742)))</f>
        <v>0</v>
      </c>
      <c r="G742" s="13">
        <f t="shared" si="77"/>
        <v>82</v>
      </c>
      <c r="H742" s="21">
        <f t="shared" si="78"/>
        <v>0</v>
      </c>
      <c r="I742" s="21">
        <f>IF(OR(B742="",C742="",$V$1=""),"",MIN(E742,SUMIFS('03_Planificacion'!$G$99:$G$178,'03_Planificacion'!$E$99:$E$178,B742,'03_Planificacion'!$F$99:$F$178,C742,'03_Planificacion'!$D$99:$D$178,"&lt;="&amp;$V$1)))</f>
        <v>0</v>
      </c>
      <c r="J742" s="21">
        <f t="shared" si="79"/>
        <v>0</v>
      </c>
      <c r="K742" s="6">
        <f t="shared" si="80"/>
        <v>0</v>
      </c>
      <c r="L742" t="s">
        <v>12</v>
      </c>
      <c r="P742" s="5">
        <f t="shared" si="81"/>
        <v>46287</v>
      </c>
      <c r="Q742" t="s">
        <v>164</v>
      </c>
      <c r="R742">
        <v>75</v>
      </c>
      <c r="S742" t="s">
        <v>70</v>
      </c>
      <c r="T742" t="str">
        <f t="shared" si="82"/>
        <v/>
      </c>
      <c r="U742">
        <f>IF(AND(L742="Para Programar",G742&gt;0),COUNTIFS($L$5:L742,"Para Programar",$G$5:G742,"&gt;0"),"")</f>
        <v>138</v>
      </c>
      <c r="W742" t="str">
        <f t="shared" si="83"/>
        <v>N27 - N28|10 Relleno -0,60 - Humectación</v>
      </c>
      <c r="X742">
        <v>0</v>
      </c>
    </row>
    <row r="743" spans="1:24">
      <c r="A743" t="s">
        <v>106</v>
      </c>
      <c r="B743" s="14" t="s">
        <v>165</v>
      </c>
      <c r="C743" t="s">
        <v>107</v>
      </c>
      <c r="D743" s="13" t="s">
        <v>67</v>
      </c>
      <c r="E743" s="13">
        <v>82</v>
      </c>
      <c r="F743" s="13">
        <f>IF(E743="","",MIN(E743,$X743+SUMIFS('05_Parte_Diario'!$H$5:$H$204,'05_Parte_Diario'!$D$5:$D$204,B743,'05_Parte_Diario'!$E$5:$E$204,C743)))</f>
        <v>0</v>
      </c>
      <c r="G743" s="13">
        <f t="shared" si="77"/>
        <v>82</v>
      </c>
      <c r="H743" s="21">
        <f t="shared" si="78"/>
        <v>0</v>
      </c>
      <c r="I743" s="21">
        <f>IF(OR(B743="",C743="",$V$1=""),"",MIN(E743,SUMIFS('03_Planificacion'!$G$99:$G$178,'03_Planificacion'!$E$99:$E$178,B743,'03_Planificacion'!$F$99:$F$178,C743,'03_Planificacion'!$D$99:$D$178,"&lt;="&amp;$V$1)))</f>
        <v>0</v>
      </c>
      <c r="J743" s="21">
        <f t="shared" si="79"/>
        <v>0</v>
      </c>
      <c r="K743" s="6">
        <f t="shared" si="80"/>
        <v>0</v>
      </c>
      <c r="L743" t="s">
        <v>12</v>
      </c>
      <c r="P743" s="5">
        <f t="shared" si="81"/>
        <v>46287</v>
      </c>
      <c r="Q743" t="s">
        <v>164</v>
      </c>
      <c r="R743">
        <v>75</v>
      </c>
      <c r="S743" t="s">
        <v>70</v>
      </c>
      <c r="T743" t="str">
        <f t="shared" si="82"/>
        <v/>
      </c>
      <c r="U743">
        <f>IF(AND(L743="Para Programar",G743&gt;0),COUNTIFS($L$5:L743,"Para Programar",$G$5:G743,"&gt;0"),"")</f>
        <v>139</v>
      </c>
      <c r="W743" t="str">
        <f t="shared" si="83"/>
        <v>N27 - N28|10 Relleno -0,60 - Compactación</v>
      </c>
      <c r="X743">
        <v>0</v>
      </c>
    </row>
    <row r="744" spans="1:24">
      <c r="A744" t="s">
        <v>108</v>
      </c>
      <c r="B744" s="14" t="s">
        <v>165</v>
      </c>
      <c r="C744" t="s">
        <v>109</v>
      </c>
      <c r="D744" s="13" t="s">
        <v>81</v>
      </c>
      <c r="E744" s="13">
        <v>1</v>
      </c>
      <c r="F744" s="13">
        <f>IF(E744="","",MIN(E744,$X744+SUMIFS('05_Parte_Diario'!$H$5:$H$204,'05_Parte_Diario'!$D$5:$D$204,B744,'05_Parte_Diario'!$E$5:$E$204,C744)))</f>
        <v>0</v>
      </c>
      <c r="G744" s="13">
        <f t="shared" si="77"/>
        <v>1</v>
      </c>
      <c r="H744" s="21">
        <f t="shared" si="78"/>
        <v>0</v>
      </c>
      <c r="I744" s="21">
        <f>IF(OR(B744="",C744="",$V$1=""),"",MIN(E744,SUMIFS('03_Planificacion'!$G$99:$G$178,'03_Planificacion'!$E$99:$E$178,B744,'03_Planificacion'!$F$99:$F$178,C744,'03_Planificacion'!$D$99:$D$178,"&lt;="&amp;$V$1)))</f>
        <v>0</v>
      </c>
      <c r="J744" s="21">
        <f t="shared" si="79"/>
        <v>0</v>
      </c>
      <c r="K744" s="6">
        <f t="shared" si="80"/>
        <v>0</v>
      </c>
      <c r="L744" t="s">
        <v>12</v>
      </c>
      <c r="P744" s="5">
        <f t="shared" si="81"/>
        <v>46287</v>
      </c>
      <c r="Q744" t="s">
        <v>164</v>
      </c>
      <c r="R744">
        <v>75</v>
      </c>
      <c r="S744" t="s">
        <v>70</v>
      </c>
      <c r="T744" t="str">
        <f t="shared" si="82"/>
        <v/>
      </c>
      <c r="U744">
        <f>IF(AND(L744="Para Programar",G744&gt;0),COUNTIFS($L$5:L744,"Para Programar",$G$5:G744,"&gt;0"),"")</f>
        <v>140</v>
      </c>
      <c r="W744" t="str">
        <f t="shared" si="83"/>
        <v>N27 - N28|10 Relleno -0,60 - Inspección laboratorio</v>
      </c>
      <c r="X744">
        <v>0</v>
      </c>
    </row>
    <row r="745" spans="1:24">
      <c r="A745" t="s">
        <v>110</v>
      </c>
      <c r="B745" s="14" t="s">
        <v>165</v>
      </c>
      <c r="C745" t="s">
        <v>111</v>
      </c>
      <c r="D745" s="13" t="s">
        <v>67</v>
      </c>
      <c r="E745" s="13">
        <v>82</v>
      </c>
      <c r="F745" s="13">
        <f>IF(E745="","",MIN(E745,$X745+SUMIFS('05_Parte_Diario'!$H$5:$H$204,'05_Parte_Diario'!$D$5:$D$204,B745,'05_Parte_Diario'!$E$5:$E$204,C745)))</f>
        <v>0</v>
      </c>
      <c r="G745" s="13">
        <f t="shared" si="77"/>
        <v>82</v>
      </c>
      <c r="H745" s="21">
        <f t="shared" si="78"/>
        <v>0</v>
      </c>
      <c r="I745" s="21">
        <f>IF(OR(B745="",C745="",$V$1=""),"",MIN(E745,SUMIFS('03_Planificacion'!$G$99:$G$178,'03_Planificacion'!$E$99:$E$178,B745,'03_Planificacion'!$F$99:$F$178,C745,'03_Planificacion'!$D$99:$D$178,"&lt;="&amp;$V$1)))</f>
        <v>0</v>
      </c>
      <c r="J745" s="21">
        <f t="shared" si="79"/>
        <v>0</v>
      </c>
      <c r="K745" s="6">
        <f t="shared" si="80"/>
        <v>0</v>
      </c>
      <c r="L745" t="s">
        <v>12</v>
      </c>
      <c r="P745" s="5">
        <f t="shared" si="81"/>
        <v>46287</v>
      </c>
      <c r="Q745" t="s">
        <v>164</v>
      </c>
      <c r="R745">
        <v>75</v>
      </c>
      <c r="S745" t="s">
        <v>70</v>
      </c>
      <c r="T745" t="str">
        <f t="shared" si="82"/>
        <v/>
      </c>
      <c r="U745">
        <f>IF(AND(L745="Para Programar",G745&gt;0),COUNTIFS($L$5:L745,"Para Programar",$G$5:G745,"&gt;0"),"")</f>
        <v>141</v>
      </c>
      <c r="W745" t="str">
        <f t="shared" si="83"/>
        <v>N27 - N28|11 Relleno -0,30 - Conformación de capa</v>
      </c>
      <c r="X745">
        <v>0</v>
      </c>
    </row>
    <row r="746" spans="1:24">
      <c r="A746" t="s">
        <v>112</v>
      </c>
      <c r="B746" s="14" t="s">
        <v>165</v>
      </c>
      <c r="C746" t="s">
        <v>113</v>
      </c>
      <c r="D746" s="13" t="s">
        <v>67</v>
      </c>
      <c r="E746" s="13">
        <v>82</v>
      </c>
      <c r="F746" s="13">
        <f>IF(E746="","",MIN(E746,$X746+SUMIFS('05_Parte_Diario'!$H$5:$H$204,'05_Parte_Diario'!$D$5:$D$204,B746,'05_Parte_Diario'!$E$5:$E$204,C746)))</f>
        <v>0</v>
      </c>
      <c r="G746" s="13">
        <f t="shared" si="77"/>
        <v>82</v>
      </c>
      <c r="H746" s="21">
        <f t="shared" si="78"/>
        <v>0</v>
      </c>
      <c r="I746" s="21">
        <f>IF(OR(B746="",C746="",$V$1=""),"",MIN(E746,SUMIFS('03_Planificacion'!$G$99:$G$178,'03_Planificacion'!$E$99:$E$178,B746,'03_Planificacion'!$F$99:$F$178,C746,'03_Planificacion'!$D$99:$D$178,"&lt;="&amp;$V$1)))</f>
        <v>0</v>
      </c>
      <c r="J746" s="21">
        <f t="shared" si="79"/>
        <v>0</v>
      </c>
      <c r="K746" s="6">
        <f t="shared" si="80"/>
        <v>0</v>
      </c>
      <c r="L746" t="s">
        <v>12</v>
      </c>
      <c r="P746" s="5">
        <f t="shared" si="81"/>
        <v>46287</v>
      </c>
      <c r="Q746" t="s">
        <v>164</v>
      </c>
      <c r="R746">
        <v>75</v>
      </c>
      <c r="S746" t="s">
        <v>70</v>
      </c>
      <c r="T746" t="str">
        <f t="shared" si="82"/>
        <v/>
      </c>
      <c r="U746">
        <f>IF(AND(L746="Para Programar",G746&gt;0),COUNTIFS($L$5:L746,"Para Programar",$G$5:G746,"&gt;0"),"")</f>
        <v>142</v>
      </c>
      <c r="W746" t="str">
        <f t="shared" si="83"/>
        <v>N27 - N28|11 Relleno -0,30 - Humectación</v>
      </c>
      <c r="X746">
        <v>0</v>
      </c>
    </row>
    <row r="747" spans="1:24">
      <c r="A747" t="s">
        <v>114</v>
      </c>
      <c r="B747" s="14" t="s">
        <v>165</v>
      </c>
      <c r="C747" t="s">
        <v>115</v>
      </c>
      <c r="D747" s="13" t="s">
        <v>67</v>
      </c>
      <c r="E747" s="13">
        <v>82</v>
      </c>
      <c r="F747" s="13">
        <f>IF(E747="","",MIN(E747,$X747+SUMIFS('05_Parte_Diario'!$H$5:$H$204,'05_Parte_Diario'!$D$5:$D$204,B747,'05_Parte_Diario'!$E$5:$E$204,C747)))</f>
        <v>0</v>
      </c>
      <c r="G747" s="13">
        <f t="shared" si="77"/>
        <v>82</v>
      </c>
      <c r="H747" s="21">
        <f t="shared" si="78"/>
        <v>0</v>
      </c>
      <c r="I747" s="21">
        <f>IF(OR(B747="",C747="",$V$1=""),"",MIN(E747,SUMIFS('03_Planificacion'!$G$99:$G$178,'03_Planificacion'!$E$99:$E$178,B747,'03_Planificacion'!$F$99:$F$178,C747,'03_Planificacion'!$D$99:$D$178,"&lt;="&amp;$V$1)))</f>
        <v>0</v>
      </c>
      <c r="J747" s="21">
        <f t="shared" si="79"/>
        <v>0</v>
      </c>
      <c r="K747" s="6">
        <f t="shared" si="80"/>
        <v>0</v>
      </c>
      <c r="L747" t="s">
        <v>12</v>
      </c>
      <c r="P747" s="5">
        <f t="shared" si="81"/>
        <v>46287</v>
      </c>
      <c r="Q747" t="s">
        <v>164</v>
      </c>
      <c r="R747">
        <v>75</v>
      </c>
      <c r="S747" t="s">
        <v>70</v>
      </c>
      <c r="T747" t="str">
        <f t="shared" si="82"/>
        <v/>
      </c>
      <c r="U747">
        <f>IF(AND(L747="Para Programar",G747&gt;0),COUNTIFS($L$5:L747,"Para Programar",$G$5:G747,"&gt;0"),"")</f>
        <v>143</v>
      </c>
      <c r="W747" t="str">
        <f t="shared" si="83"/>
        <v>N27 - N28|11 Relleno -0,30 - Compactación</v>
      </c>
      <c r="X747">
        <v>0</v>
      </c>
    </row>
    <row r="748" spans="1:24">
      <c r="A748" t="s">
        <v>116</v>
      </c>
      <c r="B748" s="14" t="s">
        <v>165</v>
      </c>
      <c r="C748" t="s">
        <v>117</v>
      </c>
      <c r="D748" s="13" t="s">
        <v>81</v>
      </c>
      <c r="E748" s="13">
        <v>1</v>
      </c>
      <c r="F748" s="13">
        <f>IF(E748="","",MIN(E748,$X748+SUMIFS('05_Parte_Diario'!$H$5:$H$204,'05_Parte_Diario'!$D$5:$D$204,B748,'05_Parte_Diario'!$E$5:$E$204,C748)))</f>
        <v>0</v>
      </c>
      <c r="G748" s="13">
        <f t="shared" si="77"/>
        <v>1</v>
      </c>
      <c r="H748" s="21">
        <f t="shared" si="78"/>
        <v>0</v>
      </c>
      <c r="I748" s="21">
        <f>IF(OR(B748="",C748="",$V$1=""),"",MIN(E748,SUMIFS('03_Planificacion'!$G$99:$G$178,'03_Planificacion'!$E$99:$E$178,B748,'03_Planificacion'!$F$99:$F$178,C748,'03_Planificacion'!$D$99:$D$178,"&lt;="&amp;$V$1)))</f>
        <v>0</v>
      </c>
      <c r="J748" s="21">
        <f t="shared" si="79"/>
        <v>0</v>
      </c>
      <c r="K748" s="6">
        <f t="shared" si="80"/>
        <v>0</v>
      </c>
      <c r="L748" t="s">
        <v>12</v>
      </c>
      <c r="P748" s="5">
        <f t="shared" si="81"/>
        <v>46287</v>
      </c>
      <c r="Q748" t="s">
        <v>164</v>
      </c>
      <c r="R748">
        <v>75</v>
      </c>
      <c r="S748" t="s">
        <v>70</v>
      </c>
      <c r="T748" t="str">
        <f t="shared" si="82"/>
        <v/>
      </c>
      <c r="U748">
        <f>IF(AND(L748="Para Programar",G748&gt;0),COUNTIFS($L$5:L748,"Para Programar",$G$5:G748,"&gt;0"),"")</f>
        <v>144</v>
      </c>
      <c r="W748" t="str">
        <f t="shared" si="83"/>
        <v>N27 - N28|11 Relleno -0,30 - Inspección laboratorio</v>
      </c>
      <c r="X748">
        <v>0</v>
      </c>
    </row>
    <row r="749" spans="1:24">
      <c r="A749" t="s">
        <v>64</v>
      </c>
      <c r="B749" s="14" t="s">
        <v>166</v>
      </c>
      <c r="C749" t="s">
        <v>66</v>
      </c>
      <c r="D749" s="13" t="s">
        <v>67</v>
      </c>
      <c r="E749" s="13">
        <v>100</v>
      </c>
      <c r="F749" s="13">
        <f>IF(E749="","",MIN(E749,$X749+SUMIFS('05_Parte_Diario'!$H$5:$H$204,'05_Parte_Diario'!$D$5:$D$204,B749,'05_Parte_Diario'!$E$5:$E$204,C749)))</f>
        <v>100</v>
      </c>
      <c r="G749" s="13">
        <f t="shared" si="77"/>
        <v>0</v>
      </c>
      <c r="H749" s="21">
        <f t="shared" si="78"/>
        <v>1</v>
      </c>
      <c r="I749" s="21">
        <f>IF(OR(B749="",C749="",$V$1=""),"",MIN(E749,SUMIFS('03_Planificacion'!$G$99:$G$178,'03_Planificacion'!$E$99:$E$178,B749,'03_Planificacion'!$F$99:$F$178,C749,'03_Planificacion'!$D$99:$D$178,"&lt;="&amp;$V$1)))</f>
        <v>0</v>
      </c>
      <c r="J749" s="21">
        <f t="shared" si="79"/>
        <v>0</v>
      </c>
      <c r="K749" s="6">
        <f t="shared" si="80"/>
        <v>1</v>
      </c>
      <c r="L749" t="s">
        <v>123</v>
      </c>
      <c r="P749" s="5">
        <f t="shared" si="81"/>
        <v>46287</v>
      </c>
      <c r="Q749" t="s">
        <v>164</v>
      </c>
      <c r="R749">
        <v>75</v>
      </c>
      <c r="S749" t="s">
        <v>70</v>
      </c>
      <c r="T749" t="str">
        <f t="shared" si="82"/>
        <v/>
      </c>
      <c r="U749" t="str">
        <f>IF(AND(L749="Para Programar",G749&gt;0),COUNTIFS($L$5:L749,"Para Programar",$G$5:G749,"&gt;0"),"")</f>
        <v/>
      </c>
      <c r="W749" t="str">
        <f t="shared" si="83"/>
        <v>N28 - N29|01 Replanteo - Marcación de tramo de cañería principal</v>
      </c>
      <c r="X749">
        <v>100</v>
      </c>
    </row>
    <row r="750" spans="1:24">
      <c r="A750" t="s">
        <v>71</v>
      </c>
      <c r="B750" s="14" t="s">
        <v>166</v>
      </c>
      <c r="C750" t="s">
        <v>72</v>
      </c>
      <c r="D750" s="13" t="s">
        <v>67</v>
      </c>
      <c r="E750" s="13">
        <v>100</v>
      </c>
      <c r="F750" s="13">
        <f>IF(E750="","",MIN(E750,$X750+SUMIFS('05_Parte_Diario'!$H$5:$H$204,'05_Parte_Diario'!$D$5:$D$204,B750,'05_Parte_Diario'!$E$5:$E$204,C750)))</f>
        <v>100</v>
      </c>
      <c r="G750" s="13">
        <f t="shared" si="77"/>
        <v>0</v>
      </c>
      <c r="H750" s="21">
        <f t="shared" si="78"/>
        <v>1</v>
      </c>
      <c r="I750" s="21">
        <f>IF(OR(B750="",C750="",$V$1=""),"",MIN(E750,SUMIFS('03_Planificacion'!$G$99:$G$178,'03_Planificacion'!$E$99:$E$178,B750,'03_Planificacion'!$F$99:$F$178,C750,'03_Planificacion'!$D$99:$D$178,"&lt;="&amp;$V$1)))</f>
        <v>0</v>
      </c>
      <c r="J750" s="21">
        <f t="shared" si="79"/>
        <v>0</v>
      </c>
      <c r="K750" s="6">
        <f t="shared" si="80"/>
        <v>1</v>
      </c>
      <c r="L750" t="s">
        <v>123</v>
      </c>
      <c r="P750" s="5">
        <f t="shared" si="81"/>
        <v>46287</v>
      </c>
      <c r="Q750" t="s">
        <v>164</v>
      </c>
      <c r="R750">
        <v>75</v>
      </c>
      <c r="S750" t="s">
        <v>70</v>
      </c>
      <c r="T750" t="str">
        <f t="shared" si="82"/>
        <v/>
      </c>
      <c r="U750" t="str">
        <f>IF(AND(L750="Para Programar",G750&gt;0),COUNTIFS($L$5:L750,"Para Programar",$G$5:G750,"&gt;0"),"")</f>
        <v/>
      </c>
      <c r="W750" t="str">
        <f t="shared" si="83"/>
        <v>N28 - N29|02 Excavación - Zanja principal</v>
      </c>
      <c r="X750">
        <v>100</v>
      </c>
    </row>
    <row r="751" spans="1:24">
      <c r="A751" t="s">
        <v>73</v>
      </c>
      <c r="B751" s="14" t="s">
        <v>166</v>
      </c>
      <c r="C751" t="s">
        <v>74</v>
      </c>
      <c r="D751" s="13" t="s">
        <v>67</v>
      </c>
      <c r="E751" s="13">
        <v>100</v>
      </c>
      <c r="F751" s="13">
        <f>IF(E751="","",MIN(E751,$X751+SUMIFS('05_Parte_Diario'!$H$5:$H$204,'05_Parte_Diario'!$D$5:$D$204,B751,'05_Parte_Diario'!$E$5:$E$204,C751)))</f>
        <v>100</v>
      </c>
      <c r="G751" s="13">
        <f t="shared" si="77"/>
        <v>0</v>
      </c>
      <c r="H751" s="21">
        <f t="shared" si="78"/>
        <v>1</v>
      </c>
      <c r="I751" s="21">
        <f>IF(OR(B751="",C751="",$V$1=""),"",MIN(E751,SUMIFS('03_Planificacion'!$G$99:$G$178,'03_Planificacion'!$E$99:$E$178,B751,'03_Planificacion'!$F$99:$F$178,C751,'03_Planificacion'!$D$99:$D$178,"&lt;="&amp;$V$1)))</f>
        <v>0</v>
      </c>
      <c r="J751" s="21">
        <f t="shared" si="79"/>
        <v>0</v>
      </c>
      <c r="K751" s="6">
        <f t="shared" si="80"/>
        <v>1</v>
      </c>
      <c r="L751" t="s">
        <v>123</v>
      </c>
      <c r="P751" s="5">
        <f t="shared" si="81"/>
        <v>46287</v>
      </c>
      <c r="Q751" t="s">
        <v>164</v>
      </c>
      <c r="R751">
        <v>75</v>
      </c>
      <c r="S751" t="s">
        <v>70</v>
      </c>
      <c r="T751" t="str">
        <f t="shared" si="82"/>
        <v/>
      </c>
      <c r="U751" t="str">
        <f>IF(AND(L751="Para Programar",G751&gt;0),COUNTIFS($L$5:L751,"Para Programar",$G$5:G751,"&gt;0"),"")</f>
        <v/>
      </c>
      <c r="W751" t="str">
        <f t="shared" si="83"/>
        <v>N28 - N29|03 Base de asiento - Nivelación de fondo de zanja</v>
      </c>
      <c r="X751">
        <v>100</v>
      </c>
    </row>
    <row r="752" spans="1:24">
      <c r="A752" t="s">
        <v>75</v>
      </c>
      <c r="B752" s="14" t="s">
        <v>166</v>
      </c>
      <c r="C752" t="s">
        <v>76</v>
      </c>
      <c r="D752" s="13" t="s">
        <v>67</v>
      </c>
      <c r="E752" s="13">
        <v>100</v>
      </c>
      <c r="F752" s="13">
        <f>IF(E752="","",MIN(E752,$X752+SUMIFS('05_Parte_Diario'!$H$5:$H$204,'05_Parte_Diario'!$D$5:$D$204,B752,'05_Parte_Diario'!$E$5:$E$204,C752)))</f>
        <v>100</v>
      </c>
      <c r="G752" s="13">
        <f t="shared" si="77"/>
        <v>0</v>
      </c>
      <c r="H752" s="21">
        <f t="shared" si="78"/>
        <v>1</v>
      </c>
      <c r="I752" s="21">
        <f>IF(OR(B752="",C752="",$V$1=""),"",MIN(E752,SUMIFS('03_Planificacion'!$G$99:$G$178,'03_Planificacion'!$E$99:$E$178,B752,'03_Planificacion'!$F$99:$F$178,C752,'03_Planificacion'!$D$99:$D$178,"&lt;="&amp;$V$1)))</f>
        <v>0</v>
      </c>
      <c r="J752" s="21">
        <f t="shared" si="79"/>
        <v>0</v>
      </c>
      <c r="K752" s="6">
        <f t="shared" si="80"/>
        <v>1</v>
      </c>
      <c r="L752" t="s">
        <v>123</v>
      </c>
      <c r="P752" s="5">
        <f t="shared" si="81"/>
        <v>46287</v>
      </c>
      <c r="Q752" t="s">
        <v>164</v>
      </c>
      <c r="R752">
        <v>75</v>
      </c>
      <c r="S752" t="s">
        <v>70</v>
      </c>
      <c r="T752" t="str">
        <f t="shared" si="82"/>
        <v/>
      </c>
      <c r="U752" t="str">
        <f>IF(AND(L752="Para Programar",G752&gt;0),COUNTIFS($L$5:L752,"Para Programar",$G$5:G752,"&gt;0"),"")</f>
        <v/>
      </c>
      <c r="W752" t="str">
        <f t="shared" si="83"/>
        <v>N28 - N29|03 Base de asiento - Aporte de material base e=0,10 m</v>
      </c>
      <c r="X752">
        <v>100</v>
      </c>
    </row>
    <row r="753" spans="1:24">
      <c r="A753" t="s">
        <v>77</v>
      </c>
      <c r="B753" s="14" t="s">
        <v>166</v>
      </c>
      <c r="C753" t="s">
        <v>78</v>
      </c>
      <c r="D753" s="13" t="s">
        <v>67</v>
      </c>
      <c r="E753" s="13">
        <v>100</v>
      </c>
      <c r="F753" s="13">
        <f>IF(E753="","",MIN(E753,$X753+SUMIFS('05_Parte_Diario'!$H$5:$H$204,'05_Parte_Diario'!$D$5:$D$204,B753,'05_Parte_Diario'!$E$5:$E$204,C753)))</f>
        <v>100</v>
      </c>
      <c r="G753" s="13">
        <f t="shared" si="77"/>
        <v>0</v>
      </c>
      <c r="H753" s="21">
        <f t="shared" si="78"/>
        <v>1</v>
      </c>
      <c r="I753" s="21">
        <f>IF(OR(B753="",C753="",$V$1=""),"",MIN(E753,SUMIFS('03_Planificacion'!$G$99:$G$178,'03_Planificacion'!$E$99:$E$178,B753,'03_Planificacion'!$F$99:$F$178,C753,'03_Planificacion'!$D$99:$D$178,"&lt;="&amp;$V$1)))</f>
        <v>0</v>
      </c>
      <c r="J753" s="21">
        <f t="shared" si="79"/>
        <v>0</v>
      </c>
      <c r="K753" s="6">
        <f t="shared" si="80"/>
        <v>1</v>
      </c>
      <c r="L753" t="s">
        <v>123</v>
      </c>
      <c r="P753" s="5">
        <f t="shared" si="81"/>
        <v>46287</v>
      </c>
      <c r="Q753" t="s">
        <v>164</v>
      </c>
      <c r="R753">
        <v>75</v>
      </c>
      <c r="S753" t="s">
        <v>70</v>
      </c>
      <c r="T753" t="str">
        <f t="shared" si="82"/>
        <v/>
      </c>
      <c r="U753" t="str">
        <f>IF(AND(L753="Para Programar",G753&gt;0),COUNTIFS($L$5:L753,"Para Programar",$G$5:G753,"&gt;0"),"")</f>
        <v/>
      </c>
      <c r="W753" t="str">
        <f t="shared" si="83"/>
        <v>N28 - N29|03 Base de asiento - Compactación</v>
      </c>
      <c r="X753">
        <v>100</v>
      </c>
    </row>
    <row r="754" spans="1:24">
      <c r="A754" t="s">
        <v>79</v>
      </c>
      <c r="B754" s="14" t="s">
        <v>166</v>
      </c>
      <c r="C754" t="s">
        <v>80</v>
      </c>
      <c r="D754" s="13" t="s">
        <v>81</v>
      </c>
      <c r="E754" s="13">
        <v>1</v>
      </c>
      <c r="F754" s="13">
        <f>IF(E754="","",MIN(E754,$X754+SUMIFS('05_Parte_Diario'!$H$5:$H$204,'05_Parte_Diario'!$D$5:$D$204,B754,'05_Parte_Diario'!$E$5:$E$204,C754)))</f>
        <v>1</v>
      </c>
      <c r="G754" s="13">
        <f t="shared" si="77"/>
        <v>0</v>
      </c>
      <c r="H754" s="21">
        <f t="shared" si="78"/>
        <v>1</v>
      </c>
      <c r="I754" s="21">
        <f>IF(OR(B754="",C754="",$V$1=""),"",MIN(E754,SUMIFS('03_Planificacion'!$G$99:$G$178,'03_Planificacion'!$E$99:$E$178,B754,'03_Planificacion'!$F$99:$F$178,C754,'03_Planificacion'!$D$99:$D$178,"&lt;="&amp;$V$1)))</f>
        <v>0</v>
      </c>
      <c r="J754" s="21">
        <f t="shared" si="79"/>
        <v>0</v>
      </c>
      <c r="K754" s="6">
        <f t="shared" si="80"/>
        <v>1</v>
      </c>
      <c r="L754" t="s">
        <v>123</v>
      </c>
      <c r="P754" s="5">
        <f t="shared" si="81"/>
        <v>46287</v>
      </c>
      <c r="Q754" t="s">
        <v>164</v>
      </c>
      <c r="R754">
        <v>75</v>
      </c>
      <c r="S754" t="s">
        <v>70</v>
      </c>
      <c r="T754" t="str">
        <f t="shared" si="82"/>
        <v/>
      </c>
      <c r="U754" t="str">
        <f>IF(AND(L754="Para Programar",G754&gt;0),COUNTIFS($L$5:L754,"Para Programar",$G$5:G754,"&gt;0"),"")</f>
        <v/>
      </c>
      <c r="W754" t="str">
        <f t="shared" si="83"/>
        <v>N28 - N29|04 Inspecciones previas - Laboratorio base de asiento</v>
      </c>
      <c r="X754">
        <v>1</v>
      </c>
    </row>
    <row r="755" spans="1:24">
      <c r="A755" t="s">
        <v>82</v>
      </c>
      <c r="B755" s="14" t="s">
        <v>166</v>
      </c>
      <c r="C755" t="s">
        <v>83</v>
      </c>
      <c r="D755" s="13" t="s">
        <v>81</v>
      </c>
      <c r="E755" s="13">
        <v>1</v>
      </c>
      <c r="F755" s="13">
        <f>IF(E755="","",MIN(E755,$X755+SUMIFS('05_Parte_Diario'!$H$5:$H$204,'05_Parte_Diario'!$D$5:$D$204,B755,'05_Parte_Diario'!$E$5:$E$204,C755)))</f>
        <v>1</v>
      </c>
      <c r="G755" s="13">
        <f t="shared" si="77"/>
        <v>0</v>
      </c>
      <c r="H755" s="21">
        <f t="shared" si="78"/>
        <v>1</v>
      </c>
      <c r="I755" s="21">
        <f>IF(OR(B755="",C755="",$V$1=""),"",MIN(E755,SUMIFS('03_Planificacion'!$G$99:$G$178,'03_Planificacion'!$E$99:$E$178,B755,'03_Planificacion'!$F$99:$F$178,C755,'03_Planificacion'!$D$99:$D$178,"&lt;="&amp;$V$1)))</f>
        <v>0</v>
      </c>
      <c r="J755" s="21">
        <f t="shared" si="79"/>
        <v>0</v>
      </c>
      <c r="K755" s="6">
        <f t="shared" si="80"/>
        <v>1</v>
      </c>
      <c r="L755" t="s">
        <v>123</v>
      </c>
      <c r="P755" s="5">
        <f t="shared" si="81"/>
        <v>46287</v>
      </c>
      <c r="Q755" t="s">
        <v>164</v>
      </c>
      <c r="R755">
        <v>75</v>
      </c>
      <c r="S755" t="s">
        <v>70</v>
      </c>
      <c r="T755" t="str">
        <f t="shared" si="82"/>
        <v/>
      </c>
      <c r="U755" t="str">
        <f>IF(AND(L755="Para Programar",G755&gt;0),COUNTIFS($L$5:L755,"Para Programar",$G$5:G755,"&gt;0"),"")</f>
        <v/>
      </c>
      <c r="W755" t="str">
        <f t="shared" si="83"/>
        <v>N28 - N29|04 Inspecciones previas - Zanja y materiales</v>
      </c>
      <c r="X755">
        <v>1</v>
      </c>
    </row>
    <row r="756" spans="1:24">
      <c r="A756" t="s">
        <v>84</v>
      </c>
      <c r="B756" s="14" t="s">
        <v>166</v>
      </c>
      <c r="C756" t="s">
        <v>85</v>
      </c>
      <c r="D756" s="13" t="s">
        <v>67</v>
      </c>
      <c r="E756" s="13">
        <v>100</v>
      </c>
      <c r="F756" s="13">
        <f>IF(E756="","",MIN(E756,$X756+SUMIFS('05_Parte_Diario'!$H$5:$H$204,'05_Parte_Diario'!$D$5:$D$204,B756,'05_Parte_Diario'!$E$5:$E$204,C756)))</f>
        <v>100</v>
      </c>
      <c r="G756" s="13">
        <f t="shared" si="77"/>
        <v>0</v>
      </c>
      <c r="H756" s="21">
        <f t="shared" si="78"/>
        <v>1</v>
      </c>
      <c r="I756" s="21">
        <f>IF(OR(B756="",C756="",$V$1=""),"",MIN(E756,SUMIFS('03_Planificacion'!$G$99:$G$178,'03_Planificacion'!$E$99:$E$178,B756,'03_Planificacion'!$F$99:$F$178,C756,'03_Planificacion'!$D$99:$D$178,"&lt;="&amp;$V$1)))</f>
        <v>0</v>
      </c>
      <c r="J756" s="21">
        <f t="shared" si="79"/>
        <v>0</v>
      </c>
      <c r="K756" s="6">
        <f t="shared" si="80"/>
        <v>1</v>
      </c>
      <c r="L756" t="s">
        <v>123</v>
      </c>
      <c r="P756" s="5">
        <f t="shared" si="81"/>
        <v>46287</v>
      </c>
      <c r="Q756" t="s">
        <v>164</v>
      </c>
      <c r="R756">
        <v>75</v>
      </c>
      <c r="S756" t="s">
        <v>70</v>
      </c>
      <c r="T756" t="str">
        <f t="shared" si="82"/>
        <v/>
      </c>
      <c r="U756" t="str">
        <f>IF(AND(L756="Para Programar",G756&gt;0),COUNTIFS($L$5:L756,"Para Programar",$G$5:G756,"&gt;0"),"")</f>
        <v/>
      </c>
      <c r="W756" t="str">
        <f t="shared" si="83"/>
        <v>N28 - N29|05 Tendido de cañería - Cañería principal</v>
      </c>
      <c r="X756">
        <v>100</v>
      </c>
    </row>
    <row r="757" spans="1:24">
      <c r="A757" t="s">
        <v>86</v>
      </c>
      <c r="B757" s="14" t="s">
        <v>166</v>
      </c>
      <c r="C757" t="s">
        <v>87</v>
      </c>
      <c r="D757" s="13" t="s">
        <v>67</v>
      </c>
      <c r="E757" s="13">
        <v>100</v>
      </c>
      <c r="F757" s="13">
        <f>IF(E757="","",MIN(E757,$X757+SUMIFS('05_Parte_Diario'!$H$5:$H$204,'05_Parte_Diario'!$D$5:$D$204,B757,'05_Parte_Diario'!$E$5:$E$204,C757)))</f>
        <v>100</v>
      </c>
      <c r="G757" s="13">
        <f t="shared" si="77"/>
        <v>0</v>
      </c>
      <c r="H757" s="21">
        <f t="shared" si="78"/>
        <v>1</v>
      </c>
      <c r="I757" s="21">
        <f>IF(OR(B757="",C757="",$V$1=""),"",MIN(E757,SUMIFS('03_Planificacion'!$G$99:$G$178,'03_Planificacion'!$E$99:$E$178,B757,'03_Planificacion'!$F$99:$F$178,C757,'03_Planificacion'!$D$99:$D$178,"&lt;="&amp;$V$1)))</f>
        <v>0</v>
      </c>
      <c r="J757" s="21">
        <f t="shared" si="79"/>
        <v>0</v>
      </c>
      <c r="K757" s="6">
        <f t="shared" si="80"/>
        <v>1</v>
      </c>
      <c r="L757" t="s">
        <v>123</v>
      </c>
      <c r="P757" s="5">
        <f t="shared" si="81"/>
        <v>46287</v>
      </c>
      <c r="Q757" t="s">
        <v>164</v>
      </c>
      <c r="R757">
        <v>75</v>
      </c>
      <c r="S757" t="s">
        <v>70</v>
      </c>
      <c r="T757" t="str">
        <f t="shared" si="82"/>
        <v/>
      </c>
      <c r="U757" t="str">
        <f>IF(AND(L757="Para Programar",G757&gt;0),COUNTIFS($L$5:L757,"Para Programar",$G$5:G757,"&gt;0"),"")</f>
        <v/>
      </c>
      <c r="W757" t="str">
        <f t="shared" si="83"/>
        <v>N28 - N29|05 Tendido de cañería - Relevamiento planialtimétrico</v>
      </c>
      <c r="X757">
        <v>100</v>
      </c>
    </row>
    <row r="758" spans="1:24">
      <c r="A758" t="s">
        <v>88</v>
      </c>
      <c r="B758" s="14" t="s">
        <v>166</v>
      </c>
      <c r="C758" t="s">
        <v>89</v>
      </c>
      <c r="D758" s="13" t="s">
        <v>81</v>
      </c>
      <c r="E758" s="13">
        <v>1</v>
      </c>
      <c r="F758" s="13">
        <f>IF(E758="","",MIN(E758,$X758+SUMIFS('05_Parte_Diario'!$H$5:$H$204,'05_Parte_Diario'!$D$5:$D$204,B758,'05_Parte_Diario'!$E$5:$E$204,C758)))</f>
        <v>1</v>
      </c>
      <c r="G758" s="13">
        <f t="shared" si="77"/>
        <v>0</v>
      </c>
      <c r="H758" s="21">
        <f t="shared" si="78"/>
        <v>1</v>
      </c>
      <c r="I758" s="21">
        <f>IF(OR(B758="",C758="",$V$1=""),"",MIN(E758,SUMIFS('03_Planificacion'!$G$99:$G$178,'03_Planificacion'!$E$99:$E$178,B758,'03_Planificacion'!$F$99:$F$178,C758,'03_Planificacion'!$D$99:$D$178,"&lt;="&amp;$V$1)))</f>
        <v>0</v>
      </c>
      <c r="J758" s="21">
        <f t="shared" si="79"/>
        <v>0</v>
      </c>
      <c r="K758" s="6">
        <f t="shared" si="80"/>
        <v>1</v>
      </c>
      <c r="L758" t="s">
        <v>123</v>
      </c>
      <c r="P758" s="5">
        <f t="shared" si="81"/>
        <v>46287</v>
      </c>
      <c r="Q758" t="s">
        <v>164</v>
      </c>
      <c r="R758">
        <v>75</v>
      </c>
      <c r="S758" t="s">
        <v>70</v>
      </c>
      <c r="T758" t="str">
        <f t="shared" si="82"/>
        <v/>
      </c>
      <c r="U758" t="str">
        <f>IF(AND(L758="Para Programar",G758&gt;0),COUNTIFS($L$5:L758,"Para Programar",$G$5:G758,"&gt;0"),"")</f>
        <v/>
      </c>
      <c r="W758" t="str">
        <f t="shared" si="83"/>
        <v>N28 - N29|08 Prueba hidráulica - Preparación del sistema</v>
      </c>
      <c r="X758">
        <v>1</v>
      </c>
    </row>
    <row r="759" spans="1:24">
      <c r="A759" t="s">
        <v>90</v>
      </c>
      <c r="B759" s="14" t="s">
        <v>166</v>
      </c>
      <c r="C759" t="s">
        <v>91</v>
      </c>
      <c r="D759" s="13" t="s">
        <v>81</v>
      </c>
      <c r="E759" s="13">
        <v>1</v>
      </c>
      <c r="F759" s="13">
        <f>IF(E759="","",MIN(E759,$X759+SUMIFS('05_Parte_Diario'!$H$5:$H$204,'05_Parte_Diario'!$D$5:$D$204,B759,'05_Parte_Diario'!$E$5:$E$204,C759)))</f>
        <v>1</v>
      </c>
      <c r="G759" s="13">
        <f t="shared" si="77"/>
        <v>0</v>
      </c>
      <c r="H759" s="21">
        <f t="shared" si="78"/>
        <v>1</v>
      </c>
      <c r="I759" s="21">
        <f>IF(OR(B759="",C759="",$V$1=""),"",MIN(E759,SUMIFS('03_Planificacion'!$G$99:$G$178,'03_Planificacion'!$E$99:$E$178,B759,'03_Planificacion'!$F$99:$F$178,C759,'03_Planificacion'!$D$99:$D$178,"&lt;="&amp;$V$1)))</f>
        <v>0</v>
      </c>
      <c r="J759" s="21">
        <f t="shared" si="79"/>
        <v>0</v>
      </c>
      <c r="K759" s="6">
        <f t="shared" si="80"/>
        <v>1</v>
      </c>
      <c r="L759" t="s">
        <v>123</v>
      </c>
      <c r="P759" s="5">
        <f t="shared" si="81"/>
        <v>46287</v>
      </c>
      <c r="Q759" t="s">
        <v>164</v>
      </c>
      <c r="R759">
        <v>75</v>
      </c>
      <c r="S759" t="s">
        <v>70</v>
      </c>
      <c r="T759" t="str">
        <f t="shared" si="82"/>
        <v/>
      </c>
      <c r="U759" t="str">
        <f>IF(AND(L759="Para Programar",G759&gt;0),COUNTIFS($L$5:L759,"Para Programar",$G$5:G759,"&gt;0"),"")</f>
        <v/>
      </c>
      <c r="W759" t="str">
        <f t="shared" si="83"/>
        <v>N28 - N29|08 Prueba hidráulica - Interna N° 1</v>
      </c>
      <c r="X759">
        <v>1</v>
      </c>
    </row>
    <row r="760" spans="1:24">
      <c r="A760" t="s">
        <v>92</v>
      </c>
      <c r="B760" s="14" t="s">
        <v>166</v>
      </c>
      <c r="C760" t="s">
        <v>93</v>
      </c>
      <c r="D760" s="13" t="s">
        <v>81</v>
      </c>
      <c r="E760" s="13">
        <v>1</v>
      </c>
      <c r="F760" s="13">
        <f>IF(E760="","",MIN(E760,$X760+SUMIFS('05_Parte_Diario'!$H$5:$H$204,'05_Parte_Diario'!$D$5:$D$204,B760,'05_Parte_Diario'!$E$5:$E$204,C760)))</f>
        <v>1</v>
      </c>
      <c r="G760" s="13">
        <f t="shared" si="77"/>
        <v>0</v>
      </c>
      <c r="H760" s="21">
        <f t="shared" si="78"/>
        <v>1</v>
      </c>
      <c r="I760" s="21">
        <f>IF(OR(B760="",C760="",$V$1=""),"",MIN(E760,SUMIFS('03_Planificacion'!$G$99:$G$178,'03_Planificacion'!$E$99:$E$178,B760,'03_Planificacion'!$F$99:$F$178,C760,'03_Planificacion'!$D$99:$D$178,"&lt;="&amp;$V$1)))</f>
        <v>0</v>
      </c>
      <c r="J760" s="21">
        <f t="shared" si="79"/>
        <v>0</v>
      </c>
      <c r="K760" s="6">
        <f t="shared" si="80"/>
        <v>1</v>
      </c>
      <c r="L760" t="s">
        <v>123</v>
      </c>
      <c r="P760" s="5">
        <f t="shared" si="81"/>
        <v>46287</v>
      </c>
      <c r="Q760" t="s">
        <v>164</v>
      </c>
      <c r="R760">
        <v>75</v>
      </c>
      <c r="S760" t="s">
        <v>70</v>
      </c>
      <c r="T760" t="str">
        <f t="shared" si="82"/>
        <v/>
      </c>
      <c r="U760" t="str">
        <f>IF(AND(L760="Para Programar",G760&gt;0),COUNTIFS($L$5:L760,"Para Programar",$G$5:G760,"&gt;0"),"")</f>
        <v/>
      </c>
      <c r="W760" t="str">
        <f t="shared" si="83"/>
        <v>N28 - N29|08 Prueba hidráulica - Interna N° 2</v>
      </c>
      <c r="X760">
        <v>1</v>
      </c>
    </row>
    <row r="761" spans="1:24">
      <c r="A761" t="s">
        <v>94</v>
      </c>
      <c r="B761" s="14" t="s">
        <v>166</v>
      </c>
      <c r="C761" t="s">
        <v>95</v>
      </c>
      <c r="D761" s="13" t="s">
        <v>81</v>
      </c>
      <c r="E761" s="13">
        <v>1</v>
      </c>
      <c r="F761" s="13">
        <f>IF(E761="","",MIN(E761,$X761+SUMIFS('05_Parte_Diario'!$H$5:$H$204,'05_Parte_Diario'!$D$5:$D$204,B761,'05_Parte_Diario'!$E$5:$E$204,C761)))</f>
        <v>1</v>
      </c>
      <c r="G761" s="13">
        <f t="shared" si="77"/>
        <v>0</v>
      </c>
      <c r="H761" s="21">
        <f t="shared" si="78"/>
        <v>1</v>
      </c>
      <c r="I761" s="21">
        <f>IF(OR(B761="",C761="",$V$1=""),"",MIN(E761,SUMIFS('03_Planificacion'!$G$99:$G$178,'03_Planificacion'!$E$99:$E$178,B761,'03_Planificacion'!$F$99:$F$178,C761,'03_Planificacion'!$D$99:$D$178,"&lt;="&amp;$V$1)))</f>
        <v>0</v>
      </c>
      <c r="J761" s="21">
        <f t="shared" si="79"/>
        <v>0</v>
      </c>
      <c r="K761" s="6">
        <f t="shared" si="80"/>
        <v>1</v>
      </c>
      <c r="L761" t="s">
        <v>123</v>
      </c>
      <c r="P761" s="5">
        <f t="shared" si="81"/>
        <v>46287</v>
      </c>
      <c r="Q761" t="s">
        <v>164</v>
      </c>
      <c r="R761">
        <v>75</v>
      </c>
      <c r="S761" t="s">
        <v>70</v>
      </c>
      <c r="T761" t="str">
        <f t="shared" si="82"/>
        <v/>
      </c>
      <c r="U761" t="str">
        <f>IF(AND(L761="Para Programar",G761&gt;0),COUNTIFS($L$5:L761,"Para Programar",$G$5:G761,"&gt;0"),"")</f>
        <v/>
      </c>
      <c r="W761" t="str">
        <f t="shared" si="83"/>
        <v>N28 - N29|08 Prueba hidráulica - Primera prueba oficial</v>
      </c>
      <c r="X761">
        <v>1</v>
      </c>
    </row>
    <row r="762" spans="1:24">
      <c r="A762" t="s">
        <v>96</v>
      </c>
      <c r="B762" s="14" t="s">
        <v>166</v>
      </c>
      <c r="C762" t="s">
        <v>97</v>
      </c>
      <c r="D762" s="13" t="s">
        <v>67</v>
      </c>
      <c r="E762" s="13">
        <v>100</v>
      </c>
      <c r="F762" s="13">
        <f>IF(E762="","",MIN(E762,$X762+SUMIFS('05_Parte_Diario'!$H$5:$H$204,'05_Parte_Diario'!$D$5:$D$204,B762,'05_Parte_Diario'!$E$5:$E$204,C762)))</f>
        <v>100</v>
      </c>
      <c r="G762" s="13">
        <f t="shared" si="77"/>
        <v>0</v>
      </c>
      <c r="H762" s="21">
        <f t="shared" si="78"/>
        <v>1</v>
      </c>
      <c r="I762" s="21">
        <f>IF(OR(B762="",C762="",$V$1=""),"",MIN(E762,SUMIFS('03_Planificacion'!$G$99:$G$178,'03_Planificacion'!$E$99:$E$178,B762,'03_Planificacion'!$F$99:$F$178,C762,'03_Planificacion'!$D$99:$D$178,"&lt;="&amp;$V$1)))</f>
        <v>0</v>
      </c>
      <c r="J762" s="21">
        <f t="shared" si="79"/>
        <v>0</v>
      </c>
      <c r="K762" s="6">
        <f t="shared" si="80"/>
        <v>1</v>
      </c>
      <c r="L762" t="s">
        <v>123</v>
      </c>
      <c r="P762" s="5">
        <f t="shared" si="81"/>
        <v>46287</v>
      </c>
      <c r="Q762" t="s">
        <v>164</v>
      </c>
      <c r="R762">
        <v>75</v>
      </c>
      <c r="S762" t="s">
        <v>70</v>
      </c>
      <c r="T762" t="str">
        <f t="shared" si="82"/>
        <v/>
      </c>
      <c r="U762" t="str">
        <f>IF(AND(L762="Para Programar",G762&gt;0),COUNTIFS($L$5:L762,"Para Programar",$G$5:G762,"&gt;0"),"")</f>
        <v/>
      </c>
      <c r="W762" t="str">
        <f t="shared" si="83"/>
        <v>N28 - N29|09 Paquete estructural - Aporte e=0,30 m</v>
      </c>
      <c r="X762">
        <v>100</v>
      </c>
    </row>
    <row r="763" spans="1:24">
      <c r="A763" t="s">
        <v>98</v>
      </c>
      <c r="B763" s="14" t="s">
        <v>166</v>
      </c>
      <c r="C763" t="s">
        <v>99</v>
      </c>
      <c r="D763" s="13" t="s">
        <v>67</v>
      </c>
      <c r="E763" s="13">
        <v>100</v>
      </c>
      <c r="F763" s="13">
        <f>IF(E763="","",MIN(E763,$X763+SUMIFS('05_Parte_Diario'!$H$5:$H$204,'05_Parte_Diario'!$D$5:$D$204,B763,'05_Parte_Diario'!$E$5:$E$204,C763)))</f>
        <v>100</v>
      </c>
      <c r="G763" s="13">
        <f t="shared" si="77"/>
        <v>0</v>
      </c>
      <c r="H763" s="21">
        <f t="shared" si="78"/>
        <v>1</v>
      </c>
      <c r="I763" s="21">
        <f>IF(OR(B763="",C763="",$V$1=""),"",MIN(E763,SUMIFS('03_Planificacion'!$G$99:$G$178,'03_Planificacion'!$E$99:$E$178,B763,'03_Planificacion'!$F$99:$F$178,C763,'03_Planificacion'!$D$99:$D$178,"&lt;="&amp;$V$1)))</f>
        <v>0</v>
      </c>
      <c r="J763" s="21">
        <f t="shared" si="79"/>
        <v>0</v>
      </c>
      <c r="K763" s="6">
        <f t="shared" si="80"/>
        <v>1</v>
      </c>
      <c r="L763" t="s">
        <v>123</v>
      </c>
      <c r="P763" s="5">
        <f t="shared" si="81"/>
        <v>46287</v>
      </c>
      <c r="Q763" t="s">
        <v>164</v>
      </c>
      <c r="R763">
        <v>75</v>
      </c>
      <c r="S763" t="s">
        <v>70</v>
      </c>
      <c r="T763" t="str">
        <f t="shared" si="82"/>
        <v/>
      </c>
      <c r="U763" t="str">
        <f>IF(AND(L763="Para Programar",G763&gt;0),COUNTIFS($L$5:L763,"Para Programar",$G$5:G763,"&gt;0"),"")</f>
        <v/>
      </c>
      <c r="W763" t="str">
        <f t="shared" si="83"/>
        <v>N28 - N29|09 Paquete estructural - Compactación</v>
      </c>
      <c r="X763">
        <v>100</v>
      </c>
    </row>
    <row r="764" spans="1:24">
      <c r="A764" t="s">
        <v>100</v>
      </c>
      <c r="B764" s="14" t="s">
        <v>166</v>
      </c>
      <c r="C764" t="s">
        <v>101</v>
      </c>
      <c r="D764" s="13" t="s">
        <v>81</v>
      </c>
      <c r="E764" s="13">
        <v>1</v>
      </c>
      <c r="F764" s="13">
        <f>IF(E764="","",MIN(E764,$X764+SUMIFS('05_Parte_Diario'!$H$5:$H$204,'05_Parte_Diario'!$D$5:$D$204,B764,'05_Parte_Diario'!$E$5:$E$204,C764)))</f>
        <v>1</v>
      </c>
      <c r="G764" s="13">
        <f t="shared" si="77"/>
        <v>0</v>
      </c>
      <c r="H764" s="21">
        <f t="shared" si="78"/>
        <v>1</v>
      </c>
      <c r="I764" s="21">
        <f>IF(OR(B764="",C764="",$V$1=""),"",MIN(E764,SUMIFS('03_Planificacion'!$G$99:$G$178,'03_Planificacion'!$E$99:$E$178,B764,'03_Planificacion'!$F$99:$F$178,C764,'03_Planificacion'!$D$99:$D$178,"&lt;="&amp;$V$1)))</f>
        <v>0</v>
      </c>
      <c r="J764" s="21">
        <f t="shared" si="79"/>
        <v>0</v>
      </c>
      <c r="K764" s="6">
        <f t="shared" si="80"/>
        <v>1</v>
      </c>
      <c r="L764" t="s">
        <v>123</v>
      </c>
      <c r="P764" s="5">
        <f t="shared" si="81"/>
        <v>46287</v>
      </c>
      <c r="Q764" t="s">
        <v>164</v>
      </c>
      <c r="R764">
        <v>75</v>
      </c>
      <c r="S764" t="s">
        <v>70</v>
      </c>
      <c r="T764" t="str">
        <f t="shared" si="82"/>
        <v/>
      </c>
      <c r="U764" t="str">
        <f>IF(AND(L764="Para Programar",G764&gt;0),COUNTIFS($L$5:L764,"Para Programar",$G$5:G764,"&gt;0"),"")</f>
        <v/>
      </c>
      <c r="W764" t="str">
        <f t="shared" si="83"/>
        <v>N28 - N29|09 Paquete estructural - Inspección laboratorio</v>
      </c>
      <c r="X764">
        <v>1</v>
      </c>
    </row>
    <row r="765" spans="1:24">
      <c r="A765" t="s">
        <v>102</v>
      </c>
      <c r="B765" s="14" t="s">
        <v>166</v>
      </c>
      <c r="C765" t="s">
        <v>103</v>
      </c>
      <c r="D765" s="13" t="s">
        <v>67</v>
      </c>
      <c r="E765" s="13">
        <v>100</v>
      </c>
      <c r="F765" s="13">
        <f>IF(E765="","",MIN(E765,$X765+SUMIFS('05_Parte_Diario'!$H$5:$H$204,'05_Parte_Diario'!$D$5:$D$204,B765,'05_Parte_Diario'!$E$5:$E$204,C765)))</f>
        <v>100</v>
      </c>
      <c r="G765" s="13">
        <f t="shared" si="77"/>
        <v>0</v>
      </c>
      <c r="H765" s="21">
        <f t="shared" si="78"/>
        <v>1</v>
      </c>
      <c r="I765" s="21">
        <f>IF(OR(B765="",C765="",$V$1=""),"",MIN(E765,SUMIFS('03_Planificacion'!$G$99:$G$178,'03_Planificacion'!$E$99:$E$178,B765,'03_Planificacion'!$F$99:$F$178,C765,'03_Planificacion'!$D$99:$D$178,"&lt;="&amp;$V$1)))</f>
        <v>0</v>
      </c>
      <c r="J765" s="21">
        <f t="shared" si="79"/>
        <v>0</v>
      </c>
      <c r="K765" s="6">
        <f t="shared" si="80"/>
        <v>1</v>
      </c>
      <c r="L765" t="s">
        <v>123</v>
      </c>
      <c r="P765" s="5">
        <f t="shared" si="81"/>
        <v>46287</v>
      </c>
      <c r="Q765" t="s">
        <v>164</v>
      </c>
      <c r="R765">
        <v>75</v>
      </c>
      <c r="S765" t="s">
        <v>70</v>
      </c>
      <c r="T765" t="str">
        <f t="shared" si="82"/>
        <v/>
      </c>
      <c r="U765" t="str">
        <f>IF(AND(L765="Para Programar",G765&gt;0),COUNTIFS($L$5:L765,"Para Programar",$G$5:G765,"&gt;0"),"")</f>
        <v/>
      </c>
      <c r="W765" t="str">
        <f t="shared" si="83"/>
        <v>N28 - N29|10 Relleno -0,60 - Conformación de capa</v>
      </c>
      <c r="X765">
        <v>100</v>
      </c>
    </row>
    <row r="766" spans="1:24">
      <c r="A766" t="s">
        <v>104</v>
      </c>
      <c r="B766" s="14" t="s">
        <v>166</v>
      </c>
      <c r="C766" t="s">
        <v>105</v>
      </c>
      <c r="D766" s="13" t="s">
        <v>67</v>
      </c>
      <c r="E766" s="13">
        <v>100</v>
      </c>
      <c r="F766" s="13">
        <f>IF(E766="","",MIN(E766,$X766+SUMIFS('05_Parte_Diario'!$H$5:$H$204,'05_Parte_Diario'!$D$5:$D$204,B766,'05_Parte_Diario'!$E$5:$E$204,C766)))</f>
        <v>100</v>
      </c>
      <c r="G766" s="13">
        <f t="shared" si="77"/>
        <v>0</v>
      </c>
      <c r="H766" s="21">
        <f t="shared" si="78"/>
        <v>1</v>
      </c>
      <c r="I766" s="21">
        <f>IF(OR(B766="",C766="",$V$1=""),"",MIN(E766,SUMIFS('03_Planificacion'!$G$99:$G$178,'03_Planificacion'!$E$99:$E$178,B766,'03_Planificacion'!$F$99:$F$178,C766,'03_Planificacion'!$D$99:$D$178,"&lt;="&amp;$V$1)))</f>
        <v>0</v>
      </c>
      <c r="J766" s="21">
        <f t="shared" si="79"/>
        <v>0</v>
      </c>
      <c r="K766" s="6">
        <f t="shared" si="80"/>
        <v>1</v>
      </c>
      <c r="L766" t="s">
        <v>123</v>
      </c>
      <c r="P766" s="5">
        <f t="shared" si="81"/>
        <v>46287</v>
      </c>
      <c r="Q766" t="s">
        <v>164</v>
      </c>
      <c r="R766">
        <v>75</v>
      </c>
      <c r="S766" t="s">
        <v>70</v>
      </c>
      <c r="T766" t="str">
        <f t="shared" si="82"/>
        <v/>
      </c>
      <c r="U766" t="str">
        <f>IF(AND(L766="Para Programar",G766&gt;0),COUNTIFS($L$5:L766,"Para Programar",$G$5:G766,"&gt;0"),"")</f>
        <v/>
      </c>
      <c r="W766" t="str">
        <f t="shared" si="83"/>
        <v>N28 - N29|10 Relleno -0,60 - Humectación</v>
      </c>
      <c r="X766">
        <v>100</v>
      </c>
    </row>
    <row r="767" spans="1:24">
      <c r="A767" t="s">
        <v>106</v>
      </c>
      <c r="B767" s="14" t="s">
        <v>166</v>
      </c>
      <c r="C767" t="s">
        <v>107</v>
      </c>
      <c r="D767" s="13" t="s">
        <v>67</v>
      </c>
      <c r="E767" s="13">
        <v>100</v>
      </c>
      <c r="F767" s="13">
        <f>IF(E767="","",MIN(E767,$X767+SUMIFS('05_Parte_Diario'!$H$5:$H$204,'05_Parte_Diario'!$D$5:$D$204,B767,'05_Parte_Diario'!$E$5:$E$204,C767)))</f>
        <v>100</v>
      </c>
      <c r="G767" s="13">
        <f t="shared" si="77"/>
        <v>0</v>
      </c>
      <c r="H767" s="21">
        <f t="shared" si="78"/>
        <v>1</v>
      </c>
      <c r="I767" s="21">
        <f>IF(OR(B767="",C767="",$V$1=""),"",MIN(E767,SUMIFS('03_Planificacion'!$G$99:$G$178,'03_Planificacion'!$E$99:$E$178,B767,'03_Planificacion'!$F$99:$F$178,C767,'03_Planificacion'!$D$99:$D$178,"&lt;="&amp;$V$1)))</f>
        <v>0</v>
      </c>
      <c r="J767" s="21">
        <f t="shared" si="79"/>
        <v>0</v>
      </c>
      <c r="K767" s="6">
        <f t="shared" si="80"/>
        <v>1</v>
      </c>
      <c r="L767" t="s">
        <v>123</v>
      </c>
      <c r="P767" s="5">
        <f t="shared" si="81"/>
        <v>46287</v>
      </c>
      <c r="Q767" t="s">
        <v>164</v>
      </c>
      <c r="R767">
        <v>75</v>
      </c>
      <c r="S767" t="s">
        <v>70</v>
      </c>
      <c r="T767" t="str">
        <f t="shared" si="82"/>
        <v/>
      </c>
      <c r="U767" t="str">
        <f>IF(AND(L767="Para Programar",G767&gt;0),COUNTIFS($L$5:L767,"Para Programar",$G$5:G767,"&gt;0"),"")</f>
        <v/>
      </c>
      <c r="W767" t="str">
        <f t="shared" si="83"/>
        <v>N28 - N29|10 Relleno -0,60 - Compactación</v>
      </c>
      <c r="X767">
        <v>100</v>
      </c>
    </row>
    <row r="768" spans="1:24">
      <c r="A768" t="s">
        <v>108</v>
      </c>
      <c r="B768" s="14" t="s">
        <v>166</v>
      </c>
      <c r="C768" t="s">
        <v>109</v>
      </c>
      <c r="D768" s="13" t="s">
        <v>81</v>
      </c>
      <c r="E768" s="13">
        <v>1</v>
      </c>
      <c r="F768" s="13">
        <f>IF(E768="","",MIN(E768,$X768+SUMIFS('05_Parte_Diario'!$H$5:$H$204,'05_Parte_Diario'!$D$5:$D$204,B768,'05_Parte_Diario'!$E$5:$E$204,C768)))</f>
        <v>1</v>
      </c>
      <c r="G768" s="13">
        <f t="shared" si="77"/>
        <v>0</v>
      </c>
      <c r="H768" s="21">
        <f t="shared" si="78"/>
        <v>1</v>
      </c>
      <c r="I768" s="21">
        <f>IF(OR(B768="",C768="",$V$1=""),"",MIN(E768,SUMIFS('03_Planificacion'!$G$99:$G$178,'03_Planificacion'!$E$99:$E$178,B768,'03_Planificacion'!$F$99:$F$178,C768,'03_Planificacion'!$D$99:$D$178,"&lt;="&amp;$V$1)))</f>
        <v>0</v>
      </c>
      <c r="J768" s="21">
        <f t="shared" si="79"/>
        <v>0</v>
      </c>
      <c r="K768" s="6">
        <f t="shared" si="80"/>
        <v>1</v>
      </c>
      <c r="L768" t="s">
        <v>123</v>
      </c>
      <c r="P768" s="5">
        <f t="shared" si="81"/>
        <v>46287</v>
      </c>
      <c r="Q768" t="s">
        <v>164</v>
      </c>
      <c r="R768">
        <v>75</v>
      </c>
      <c r="S768" t="s">
        <v>70</v>
      </c>
      <c r="T768" t="str">
        <f t="shared" si="82"/>
        <v/>
      </c>
      <c r="U768" t="str">
        <f>IF(AND(L768="Para Programar",G768&gt;0),COUNTIFS($L$5:L768,"Para Programar",$G$5:G768,"&gt;0"),"")</f>
        <v/>
      </c>
      <c r="W768" t="str">
        <f t="shared" si="83"/>
        <v>N28 - N29|10 Relleno -0,60 - Inspección laboratorio</v>
      </c>
      <c r="X768">
        <v>1</v>
      </c>
    </row>
    <row r="769" spans="1:24">
      <c r="A769" t="s">
        <v>110</v>
      </c>
      <c r="B769" s="14" t="s">
        <v>166</v>
      </c>
      <c r="C769" t="s">
        <v>111</v>
      </c>
      <c r="D769" s="13" t="s">
        <v>67</v>
      </c>
      <c r="E769" s="13">
        <v>100</v>
      </c>
      <c r="F769" s="13">
        <f>IF(E769="","",MIN(E769,$X769+SUMIFS('05_Parte_Diario'!$H$5:$H$204,'05_Parte_Diario'!$D$5:$D$204,B769,'05_Parte_Diario'!$E$5:$E$204,C769)))</f>
        <v>100</v>
      </c>
      <c r="G769" s="13">
        <f t="shared" si="77"/>
        <v>0</v>
      </c>
      <c r="H769" s="21">
        <f t="shared" si="78"/>
        <v>1</v>
      </c>
      <c r="I769" s="21">
        <f>IF(OR(B769="",C769="",$V$1=""),"",MIN(E769,SUMIFS('03_Planificacion'!$G$99:$G$178,'03_Planificacion'!$E$99:$E$178,B769,'03_Planificacion'!$F$99:$F$178,C769,'03_Planificacion'!$D$99:$D$178,"&lt;="&amp;$V$1)))</f>
        <v>0</v>
      </c>
      <c r="J769" s="21">
        <f t="shared" si="79"/>
        <v>0</v>
      </c>
      <c r="K769" s="6">
        <f t="shared" si="80"/>
        <v>1</v>
      </c>
      <c r="L769" t="s">
        <v>123</v>
      </c>
      <c r="P769" s="5">
        <f t="shared" si="81"/>
        <v>46287</v>
      </c>
      <c r="Q769" t="s">
        <v>164</v>
      </c>
      <c r="R769">
        <v>75</v>
      </c>
      <c r="S769" t="s">
        <v>70</v>
      </c>
      <c r="T769" t="str">
        <f t="shared" si="82"/>
        <v/>
      </c>
      <c r="U769" t="str">
        <f>IF(AND(L769="Para Programar",G769&gt;0),COUNTIFS($L$5:L769,"Para Programar",$G$5:G769,"&gt;0"),"")</f>
        <v/>
      </c>
      <c r="W769" t="str">
        <f t="shared" si="83"/>
        <v>N28 - N29|11 Relleno -0,30 - Conformación de capa</v>
      </c>
      <c r="X769">
        <v>100</v>
      </c>
    </row>
    <row r="770" spans="1:24">
      <c r="A770" t="s">
        <v>112</v>
      </c>
      <c r="B770" s="14" t="s">
        <v>166</v>
      </c>
      <c r="C770" t="s">
        <v>113</v>
      </c>
      <c r="D770" s="13" t="s">
        <v>67</v>
      </c>
      <c r="E770" s="13">
        <v>100</v>
      </c>
      <c r="F770" s="13">
        <f>IF(E770="","",MIN(E770,$X770+SUMIFS('05_Parte_Diario'!$H$5:$H$204,'05_Parte_Diario'!$D$5:$D$204,B770,'05_Parte_Diario'!$E$5:$E$204,C770)))</f>
        <v>100</v>
      </c>
      <c r="G770" s="13">
        <f t="shared" si="77"/>
        <v>0</v>
      </c>
      <c r="H770" s="21">
        <f t="shared" si="78"/>
        <v>1</v>
      </c>
      <c r="I770" s="21">
        <f>IF(OR(B770="",C770="",$V$1=""),"",MIN(E770,SUMIFS('03_Planificacion'!$G$99:$G$178,'03_Planificacion'!$E$99:$E$178,B770,'03_Planificacion'!$F$99:$F$178,C770,'03_Planificacion'!$D$99:$D$178,"&lt;="&amp;$V$1)))</f>
        <v>0</v>
      </c>
      <c r="J770" s="21">
        <f t="shared" si="79"/>
        <v>0</v>
      </c>
      <c r="K770" s="6">
        <f t="shared" si="80"/>
        <v>1</v>
      </c>
      <c r="L770" t="s">
        <v>123</v>
      </c>
      <c r="P770" s="5">
        <f t="shared" si="81"/>
        <v>46287</v>
      </c>
      <c r="Q770" t="s">
        <v>164</v>
      </c>
      <c r="R770">
        <v>75</v>
      </c>
      <c r="S770" t="s">
        <v>70</v>
      </c>
      <c r="T770" t="str">
        <f t="shared" si="82"/>
        <v/>
      </c>
      <c r="U770" t="str">
        <f>IF(AND(L770="Para Programar",G770&gt;0),COUNTIFS($L$5:L770,"Para Programar",$G$5:G770,"&gt;0"),"")</f>
        <v/>
      </c>
      <c r="W770" t="str">
        <f t="shared" si="83"/>
        <v>N28 - N29|11 Relleno -0,30 - Humectación</v>
      </c>
      <c r="X770">
        <v>100</v>
      </c>
    </row>
    <row r="771" spans="1:24">
      <c r="A771" t="s">
        <v>114</v>
      </c>
      <c r="B771" s="14" t="s">
        <v>166</v>
      </c>
      <c r="C771" t="s">
        <v>115</v>
      </c>
      <c r="D771" s="13" t="s">
        <v>67</v>
      </c>
      <c r="E771" s="13">
        <v>100</v>
      </c>
      <c r="F771" s="13">
        <f>IF(E771="","",MIN(E771,$X771+SUMIFS('05_Parte_Diario'!$H$5:$H$204,'05_Parte_Diario'!$D$5:$D$204,B771,'05_Parte_Diario'!$E$5:$E$204,C771)))</f>
        <v>0</v>
      </c>
      <c r="G771" s="13">
        <f t="shared" si="77"/>
        <v>100</v>
      </c>
      <c r="H771" s="21">
        <f t="shared" si="78"/>
        <v>0</v>
      </c>
      <c r="I771" s="21">
        <f>IF(OR(B771="",C771="",$V$1=""),"",MIN(E771,SUMIFS('03_Planificacion'!$G$99:$G$178,'03_Planificacion'!$E$99:$E$178,B771,'03_Planificacion'!$F$99:$F$178,C771,'03_Planificacion'!$D$99:$D$178,"&lt;="&amp;$V$1)))</f>
        <v>0</v>
      </c>
      <c r="J771" s="21">
        <f t="shared" si="79"/>
        <v>0</v>
      </c>
      <c r="K771" s="6">
        <f t="shared" si="80"/>
        <v>0</v>
      </c>
      <c r="L771" t="s">
        <v>123</v>
      </c>
      <c r="P771" s="5">
        <f t="shared" si="81"/>
        <v>46287</v>
      </c>
      <c r="Q771" t="s">
        <v>164</v>
      </c>
      <c r="R771">
        <v>75</v>
      </c>
      <c r="S771" t="s">
        <v>70</v>
      </c>
      <c r="T771" t="str">
        <f t="shared" si="82"/>
        <v>INCONSISTENCIA - REVISAR MANUALMENTE: Terminada con saldo</v>
      </c>
      <c r="U771" t="str">
        <f>IF(AND(L771="Para Programar",G771&gt;0),COUNTIFS($L$5:L771,"Para Programar",$G$5:G771,"&gt;0"),"")</f>
        <v/>
      </c>
      <c r="W771" t="str">
        <f t="shared" si="83"/>
        <v>N28 - N29|11 Relleno -0,30 - Compactación</v>
      </c>
      <c r="X771">
        <v>0</v>
      </c>
    </row>
    <row r="772" spans="1:24">
      <c r="A772" t="s">
        <v>116</v>
      </c>
      <c r="B772" s="14" t="s">
        <v>166</v>
      </c>
      <c r="C772" t="s">
        <v>117</v>
      </c>
      <c r="D772" s="13" t="s">
        <v>81</v>
      </c>
      <c r="E772" s="13">
        <v>1</v>
      </c>
      <c r="F772" s="13">
        <v>1</v>
      </c>
      <c r="G772" s="13">
        <f t="shared" si="77"/>
        <v>0</v>
      </c>
      <c r="H772" s="21">
        <f t="shared" si="78"/>
        <v>1</v>
      </c>
      <c r="I772" s="21">
        <f>IF(OR(B772="",C772="",$V$1=""),"",MIN(E772,SUMIFS('03_Planificacion'!$G$99:$G$178,'03_Planificacion'!$E$99:$E$178,B772,'03_Planificacion'!$F$99:$F$178,C772,'03_Planificacion'!$D$99:$D$178,"&lt;="&amp;$V$1)))</f>
        <v>0</v>
      </c>
      <c r="J772" s="21">
        <f t="shared" si="79"/>
        <v>0</v>
      </c>
      <c r="K772" s="6">
        <f t="shared" si="80"/>
        <v>1</v>
      </c>
      <c r="L772" t="s">
        <v>123</v>
      </c>
      <c r="P772" s="5">
        <f t="shared" si="81"/>
        <v>46287</v>
      </c>
      <c r="Q772" t="s">
        <v>164</v>
      </c>
      <c r="R772">
        <v>75</v>
      </c>
      <c r="S772" t="s">
        <v>70</v>
      </c>
      <c r="T772" t="str">
        <f t="shared" si="82"/>
        <v/>
      </c>
      <c r="U772" t="str">
        <f>IF(AND(L772="Para Programar",G772&gt;0),COUNTIFS($L$5:L772,"Para Programar",$G$5:G772,"&gt;0"),"")</f>
        <v/>
      </c>
      <c r="W772" t="str">
        <f t="shared" si="83"/>
        <v>N28 - N29|11 Relleno -0,30 - Inspección laboratorio</v>
      </c>
      <c r="X772">
        <v>0</v>
      </c>
    </row>
    <row r="773" spans="1:24">
      <c r="A773" t="s">
        <v>64</v>
      </c>
      <c r="B773" s="14" t="s">
        <v>167</v>
      </c>
      <c r="C773" t="s">
        <v>66</v>
      </c>
      <c r="D773" s="13" t="s">
        <v>67</v>
      </c>
      <c r="E773" s="13">
        <v>106</v>
      </c>
      <c r="F773" s="13">
        <f>IF(E773="","",MIN(E773,$X773+SUMIFS('05_Parte_Diario'!$H$5:$H$204,'05_Parte_Diario'!$D$5:$D$204,B773,'05_Parte_Diario'!$E$5:$E$204,C773)))</f>
        <v>106</v>
      </c>
      <c r="G773" s="13">
        <f t="shared" ref="G773:G836" si="84">IF(E773="","",MAX(E773-F773,0))</f>
        <v>0</v>
      </c>
      <c r="H773" s="21">
        <f t="shared" ref="H773:H836" si="85">IFERROR(F773/E773,0)</f>
        <v>1</v>
      </c>
      <c r="I773" s="21">
        <f>IF(OR(B773="",C773="",$V$1=""),"",MIN(E773,SUMIFS('03_Planificacion'!$G$99:$G$178,'03_Planificacion'!$E$99:$E$178,B773,'03_Planificacion'!$F$99:$F$178,C773,'03_Planificacion'!$D$99:$D$178,"&lt;="&amp;$V$1)))</f>
        <v>0</v>
      </c>
      <c r="J773" s="21">
        <f t="shared" ref="J773:J836" si="86">IFERROR(I773/E773,0)</f>
        <v>0</v>
      </c>
      <c r="K773" s="6">
        <f t="shared" ref="K773:K836" si="87">IF(OR(E773="",$V$1=""),"",H773-J773)</f>
        <v>1</v>
      </c>
      <c r="L773" t="s">
        <v>123</v>
      </c>
      <c r="P773" s="5">
        <f t="shared" ref="P773:P836" si="88">IF(A773="","",$V$1)</f>
        <v>46287</v>
      </c>
      <c r="Q773" t="s">
        <v>164</v>
      </c>
      <c r="R773">
        <v>75</v>
      </c>
      <c r="S773" t="s">
        <v>70</v>
      </c>
      <c r="T773" t="str">
        <f t="shared" ref="T773:T836" si="89">IF(A773="","",IF(AND(L773="Para Programar",G773=0),"INCONSISTENCIA - REVISAR MANUALMENTE: Para Programar sin saldo",IF(AND(L773="Terminada",G773&gt;0),"INCONSISTENCIA - REVISAR MANUALMENTE: Terminada con saldo","")))</f>
        <v/>
      </c>
      <c r="U773" t="str">
        <f>IF(AND(L773="Para Programar",G773&gt;0),COUNTIFS($L$5:L773,"Para Programar",$G$5:G773,"&gt;0"),"")</f>
        <v/>
      </c>
      <c r="W773" t="str">
        <f t="shared" ref="W773:W836" si="90">IF(OR(B773="",C773=""),"",B773&amp;"|"&amp;C773)</f>
        <v>N29 - N30|01 Replanteo - Marcación de tramo de cañería principal</v>
      </c>
      <c r="X773">
        <v>106</v>
      </c>
    </row>
    <row r="774" spans="1:24">
      <c r="A774" t="s">
        <v>71</v>
      </c>
      <c r="B774" s="14" t="s">
        <v>167</v>
      </c>
      <c r="C774" t="s">
        <v>72</v>
      </c>
      <c r="D774" s="13" t="s">
        <v>67</v>
      </c>
      <c r="E774" s="13">
        <v>106</v>
      </c>
      <c r="F774" s="13">
        <f>IF(E774="","",MIN(E774,$X774+SUMIFS('05_Parte_Diario'!$H$5:$H$204,'05_Parte_Diario'!$D$5:$D$204,B774,'05_Parte_Diario'!$E$5:$E$204,C774)))</f>
        <v>106</v>
      </c>
      <c r="G774" s="13">
        <f t="shared" si="84"/>
        <v>0</v>
      </c>
      <c r="H774" s="21">
        <f t="shared" si="85"/>
        <v>1</v>
      </c>
      <c r="I774" s="21">
        <f>IF(OR(B774="",C774="",$V$1=""),"",MIN(E774,SUMIFS('03_Planificacion'!$G$99:$G$178,'03_Planificacion'!$E$99:$E$178,B774,'03_Planificacion'!$F$99:$F$178,C774,'03_Planificacion'!$D$99:$D$178,"&lt;="&amp;$V$1)))</f>
        <v>0</v>
      </c>
      <c r="J774" s="21">
        <f t="shared" si="86"/>
        <v>0</v>
      </c>
      <c r="K774" s="6">
        <f t="shared" si="87"/>
        <v>1</v>
      </c>
      <c r="L774" t="s">
        <v>123</v>
      </c>
      <c r="P774" s="5">
        <f t="shared" si="88"/>
        <v>46287</v>
      </c>
      <c r="Q774" t="s">
        <v>164</v>
      </c>
      <c r="R774">
        <v>75</v>
      </c>
      <c r="S774" t="s">
        <v>70</v>
      </c>
      <c r="T774" t="str">
        <f t="shared" si="89"/>
        <v/>
      </c>
      <c r="U774" t="str">
        <f>IF(AND(L774="Para Programar",G774&gt;0),COUNTIFS($L$5:L774,"Para Programar",$G$5:G774,"&gt;0"),"")</f>
        <v/>
      </c>
      <c r="W774" t="str">
        <f t="shared" si="90"/>
        <v>N29 - N30|02 Excavación - Zanja principal</v>
      </c>
      <c r="X774">
        <v>106</v>
      </c>
    </row>
    <row r="775" spans="1:24">
      <c r="A775" t="s">
        <v>73</v>
      </c>
      <c r="B775" s="14" t="s">
        <v>167</v>
      </c>
      <c r="C775" t="s">
        <v>74</v>
      </c>
      <c r="D775" s="13" t="s">
        <v>67</v>
      </c>
      <c r="E775" s="13">
        <v>106</v>
      </c>
      <c r="F775" s="13">
        <f>IF(E775="","",MIN(E775,$X775+SUMIFS('05_Parte_Diario'!$H$5:$H$204,'05_Parte_Diario'!$D$5:$D$204,B775,'05_Parte_Diario'!$E$5:$E$204,C775)))</f>
        <v>106</v>
      </c>
      <c r="G775" s="13">
        <f t="shared" si="84"/>
        <v>0</v>
      </c>
      <c r="H775" s="21">
        <f t="shared" si="85"/>
        <v>1</v>
      </c>
      <c r="I775" s="21">
        <f>IF(OR(B775="",C775="",$V$1=""),"",MIN(E775,SUMIFS('03_Planificacion'!$G$99:$G$178,'03_Planificacion'!$E$99:$E$178,B775,'03_Planificacion'!$F$99:$F$178,C775,'03_Planificacion'!$D$99:$D$178,"&lt;="&amp;$V$1)))</f>
        <v>0</v>
      </c>
      <c r="J775" s="21">
        <f t="shared" si="86"/>
        <v>0</v>
      </c>
      <c r="K775" s="6">
        <f t="shared" si="87"/>
        <v>1</v>
      </c>
      <c r="L775" t="s">
        <v>123</v>
      </c>
      <c r="P775" s="5">
        <f t="shared" si="88"/>
        <v>46287</v>
      </c>
      <c r="Q775" t="s">
        <v>164</v>
      </c>
      <c r="R775">
        <v>75</v>
      </c>
      <c r="S775" t="s">
        <v>70</v>
      </c>
      <c r="T775" t="str">
        <f t="shared" si="89"/>
        <v/>
      </c>
      <c r="U775" t="str">
        <f>IF(AND(L775="Para Programar",G775&gt;0),COUNTIFS($L$5:L775,"Para Programar",$G$5:G775,"&gt;0"),"")</f>
        <v/>
      </c>
      <c r="W775" t="str">
        <f t="shared" si="90"/>
        <v>N29 - N30|03 Base de asiento - Nivelación de fondo de zanja</v>
      </c>
      <c r="X775">
        <v>106</v>
      </c>
    </row>
    <row r="776" spans="1:24">
      <c r="A776" t="s">
        <v>75</v>
      </c>
      <c r="B776" s="14" t="s">
        <v>167</v>
      </c>
      <c r="C776" t="s">
        <v>76</v>
      </c>
      <c r="D776" s="13" t="s">
        <v>67</v>
      </c>
      <c r="E776" s="13">
        <v>106</v>
      </c>
      <c r="F776" s="13">
        <f>IF(E776="","",MIN(E776,$X776+SUMIFS('05_Parte_Diario'!$H$5:$H$204,'05_Parte_Diario'!$D$5:$D$204,B776,'05_Parte_Diario'!$E$5:$E$204,C776)))</f>
        <v>106</v>
      </c>
      <c r="G776" s="13">
        <f t="shared" si="84"/>
        <v>0</v>
      </c>
      <c r="H776" s="21">
        <f t="shared" si="85"/>
        <v>1</v>
      </c>
      <c r="I776" s="21">
        <f>IF(OR(B776="",C776="",$V$1=""),"",MIN(E776,SUMIFS('03_Planificacion'!$G$99:$G$178,'03_Planificacion'!$E$99:$E$178,B776,'03_Planificacion'!$F$99:$F$178,C776,'03_Planificacion'!$D$99:$D$178,"&lt;="&amp;$V$1)))</f>
        <v>0</v>
      </c>
      <c r="J776" s="21">
        <f t="shared" si="86"/>
        <v>0</v>
      </c>
      <c r="K776" s="6">
        <f t="shared" si="87"/>
        <v>1</v>
      </c>
      <c r="L776" t="s">
        <v>123</v>
      </c>
      <c r="P776" s="5">
        <f t="shared" si="88"/>
        <v>46287</v>
      </c>
      <c r="Q776" t="s">
        <v>164</v>
      </c>
      <c r="R776">
        <v>75</v>
      </c>
      <c r="S776" t="s">
        <v>70</v>
      </c>
      <c r="T776" t="str">
        <f t="shared" si="89"/>
        <v/>
      </c>
      <c r="U776" t="str">
        <f>IF(AND(L776="Para Programar",G776&gt;0),COUNTIFS($L$5:L776,"Para Programar",$G$5:G776,"&gt;0"),"")</f>
        <v/>
      </c>
      <c r="W776" t="str">
        <f t="shared" si="90"/>
        <v>N29 - N30|03 Base de asiento - Aporte de material base e=0,10 m</v>
      </c>
      <c r="X776">
        <v>106</v>
      </c>
    </row>
    <row r="777" spans="1:24">
      <c r="A777" t="s">
        <v>77</v>
      </c>
      <c r="B777" s="14" t="s">
        <v>167</v>
      </c>
      <c r="C777" t="s">
        <v>78</v>
      </c>
      <c r="D777" s="13" t="s">
        <v>67</v>
      </c>
      <c r="E777" s="13">
        <v>106</v>
      </c>
      <c r="F777" s="13">
        <f>IF(E777="","",MIN(E777,$X777+SUMIFS('05_Parte_Diario'!$H$5:$H$204,'05_Parte_Diario'!$D$5:$D$204,B777,'05_Parte_Diario'!$E$5:$E$204,C777)))</f>
        <v>106</v>
      </c>
      <c r="G777" s="13">
        <f t="shared" si="84"/>
        <v>0</v>
      </c>
      <c r="H777" s="21">
        <f t="shared" si="85"/>
        <v>1</v>
      </c>
      <c r="I777" s="21">
        <f>IF(OR(B777="",C777="",$V$1=""),"",MIN(E777,SUMIFS('03_Planificacion'!$G$99:$G$178,'03_Planificacion'!$E$99:$E$178,B777,'03_Planificacion'!$F$99:$F$178,C777,'03_Planificacion'!$D$99:$D$178,"&lt;="&amp;$V$1)))</f>
        <v>0</v>
      </c>
      <c r="J777" s="21">
        <f t="shared" si="86"/>
        <v>0</v>
      </c>
      <c r="K777" s="6">
        <f t="shared" si="87"/>
        <v>1</v>
      </c>
      <c r="L777" t="s">
        <v>123</v>
      </c>
      <c r="P777" s="5">
        <f t="shared" si="88"/>
        <v>46287</v>
      </c>
      <c r="Q777" t="s">
        <v>164</v>
      </c>
      <c r="R777">
        <v>75</v>
      </c>
      <c r="S777" t="s">
        <v>70</v>
      </c>
      <c r="T777" t="str">
        <f t="shared" si="89"/>
        <v/>
      </c>
      <c r="U777" t="str">
        <f>IF(AND(L777="Para Programar",G777&gt;0),COUNTIFS($L$5:L777,"Para Programar",$G$5:G777,"&gt;0"),"")</f>
        <v/>
      </c>
      <c r="W777" t="str">
        <f t="shared" si="90"/>
        <v>N29 - N30|03 Base de asiento - Compactación</v>
      </c>
      <c r="X777">
        <v>106</v>
      </c>
    </row>
    <row r="778" spans="1:24">
      <c r="A778" t="s">
        <v>79</v>
      </c>
      <c r="B778" s="14" t="s">
        <v>167</v>
      </c>
      <c r="C778" t="s">
        <v>80</v>
      </c>
      <c r="D778" s="13" t="s">
        <v>81</v>
      </c>
      <c r="E778" s="13">
        <v>1</v>
      </c>
      <c r="F778" s="13">
        <f>IF(E778="","",MIN(E778,$X778+SUMIFS('05_Parte_Diario'!$H$5:$H$204,'05_Parte_Diario'!$D$5:$D$204,B778,'05_Parte_Diario'!$E$5:$E$204,C778)))</f>
        <v>1</v>
      </c>
      <c r="G778" s="13">
        <f t="shared" si="84"/>
        <v>0</v>
      </c>
      <c r="H778" s="21">
        <f t="shared" si="85"/>
        <v>1</v>
      </c>
      <c r="I778" s="21">
        <f>IF(OR(B778="",C778="",$V$1=""),"",MIN(E778,SUMIFS('03_Planificacion'!$G$99:$G$178,'03_Planificacion'!$E$99:$E$178,B778,'03_Planificacion'!$F$99:$F$178,C778,'03_Planificacion'!$D$99:$D$178,"&lt;="&amp;$V$1)))</f>
        <v>0</v>
      </c>
      <c r="J778" s="21">
        <f t="shared" si="86"/>
        <v>0</v>
      </c>
      <c r="K778" s="6">
        <f t="shared" si="87"/>
        <v>1</v>
      </c>
      <c r="L778" t="s">
        <v>123</v>
      </c>
      <c r="P778" s="5">
        <f t="shared" si="88"/>
        <v>46287</v>
      </c>
      <c r="Q778" t="s">
        <v>164</v>
      </c>
      <c r="R778">
        <v>75</v>
      </c>
      <c r="S778" t="s">
        <v>70</v>
      </c>
      <c r="T778" t="str">
        <f t="shared" si="89"/>
        <v/>
      </c>
      <c r="U778" t="str">
        <f>IF(AND(L778="Para Programar",G778&gt;0),COUNTIFS($L$5:L778,"Para Programar",$G$5:G778,"&gt;0"),"")</f>
        <v/>
      </c>
      <c r="W778" t="str">
        <f t="shared" si="90"/>
        <v>N29 - N30|04 Inspecciones previas - Laboratorio base de asiento</v>
      </c>
      <c r="X778">
        <v>1</v>
      </c>
    </row>
    <row r="779" spans="1:24">
      <c r="A779" t="s">
        <v>82</v>
      </c>
      <c r="B779" s="14" t="s">
        <v>167</v>
      </c>
      <c r="C779" t="s">
        <v>83</v>
      </c>
      <c r="D779" s="13" t="s">
        <v>81</v>
      </c>
      <c r="E779" s="13">
        <v>1</v>
      </c>
      <c r="F779" s="13">
        <f>IF(E779="","",MIN(E779,$X779+SUMIFS('05_Parte_Diario'!$H$5:$H$204,'05_Parte_Diario'!$D$5:$D$204,B779,'05_Parte_Diario'!$E$5:$E$204,C779)))</f>
        <v>1</v>
      </c>
      <c r="G779" s="13">
        <f t="shared" si="84"/>
        <v>0</v>
      </c>
      <c r="H779" s="21">
        <f t="shared" si="85"/>
        <v>1</v>
      </c>
      <c r="I779" s="21">
        <f>IF(OR(B779="",C779="",$V$1=""),"",MIN(E779,SUMIFS('03_Planificacion'!$G$99:$G$178,'03_Planificacion'!$E$99:$E$178,B779,'03_Planificacion'!$F$99:$F$178,C779,'03_Planificacion'!$D$99:$D$178,"&lt;="&amp;$V$1)))</f>
        <v>0</v>
      </c>
      <c r="J779" s="21">
        <f t="shared" si="86"/>
        <v>0</v>
      </c>
      <c r="K779" s="6">
        <f t="shared" si="87"/>
        <v>1</v>
      </c>
      <c r="L779" t="s">
        <v>123</v>
      </c>
      <c r="P779" s="5">
        <f t="shared" si="88"/>
        <v>46287</v>
      </c>
      <c r="Q779" t="s">
        <v>164</v>
      </c>
      <c r="R779">
        <v>75</v>
      </c>
      <c r="S779" t="s">
        <v>70</v>
      </c>
      <c r="T779" t="str">
        <f t="shared" si="89"/>
        <v/>
      </c>
      <c r="U779" t="str">
        <f>IF(AND(L779="Para Programar",G779&gt;0),COUNTIFS($L$5:L779,"Para Programar",$G$5:G779,"&gt;0"),"")</f>
        <v/>
      </c>
      <c r="W779" t="str">
        <f t="shared" si="90"/>
        <v>N29 - N30|04 Inspecciones previas - Zanja y materiales</v>
      </c>
      <c r="X779">
        <v>1</v>
      </c>
    </row>
    <row r="780" spans="1:24">
      <c r="A780" t="s">
        <v>84</v>
      </c>
      <c r="B780" s="14" t="s">
        <v>167</v>
      </c>
      <c r="C780" t="s">
        <v>85</v>
      </c>
      <c r="D780" s="13" t="s">
        <v>67</v>
      </c>
      <c r="E780" s="13">
        <v>106</v>
      </c>
      <c r="F780" s="13">
        <f>IF(E780="","",MIN(E780,$X780+SUMIFS('05_Parte_Diario'!$H$5:$H$204,'05_Parte_Diario'!$D$5:$D$204,B780,'05_Parte_Diario'!$E$5:$E$204,C780)))</f>
        <v>106</v>
      </c>
      <c r="G780" s="13">
        <f t="shared" si="84"/>
        <v>0</v>
      </c>
      <c r="H780" s="21">
        <f t="shared" si="85"/>
        <v>1</v>
      </c>
      <c r="I780" s="21">
        <f>IF(OR(B780="",C780="",$V$1=""),"",MIN(E780,SUMIFS('03_Planificacion'!$G$99:$G$178,'03_Planificacion'!$E$99:$E$178,B780,'03_Planificacion'!$F$99:$F$178,C780,'03_Planificacion'!$D$99:$D$178,"&lt;="&amp;$V$1)))</f>
        <v>0</v>
      </c>
      <c r="J780" s="21">
        <f t="shared" si="86"/>
        <v>0</v>
      </c>
      <c r="K780" s="6">
        <f t="shared" si="87"/>
        <v>1</v>
      </c>
      <c r="L780" t="s">
        <v>123</v>
      </c>
      <c r="P780" s="5">
        <f t="shared" si="88"/>
        <v>46287</v>
      </c>
      <c r="Q780" t="s">
        <v>164</v>
      </c>
      <c r="R780">
        <v>75</v>
      </c>
      <c r="S780" t="s">
        <v>70</v>
      </c>
      <c r="T780" t="str">
        <f t="shared" si="89"/>
        <v/>
      </c>
      <c r="U780" t="str">
        <f>IF(AND(L780="Para Programar",G780&gt;0),COUNTIFS($L$5:L780,"Para Programar",$G$5:G780,"&gt;0"),"")</f>
        <v/>
      </c>
      <c r="W780" t="str">
        <f t="shared" si="90"/>
        <v>N29 - N30|05 Tendido de cañería - Cañería principal</v>
      </c>
      <c r="X780">
        <v>106</v>
      </c>
    </row>
    <row r="781" spans="1:24">
      <c r="A781" t="s">
        <v>86</v>
      </c>
      <c r="B781" s="14" t="s">
        <v>167</v>
      </c>
      <c r="C781" t="s">
        <v>87</v>
      </c>
      <c r="D781" s="13" t="s">
        <v>67</v>
      </c>
      <c r="E781" s="13">
        <v>106</v>
      </c>
      <c r="F781" s="13">
        <f>IF(E781="","",MIN(E781,$X781+SUMIFS('05_Parte_Diario'!$H$5:$H$204,'05_Parte_Diario'!$D$5:$D$204,B781,'05_Parte_Diario'!$E$5:$E$204,C781)))</f>
        <v>106</v>
      </c>
      <c r="G781" s="13">
        <f t="shared" si="84"/>
        <v>0</v>
      </c>
      <c r="H781" s="21">
        <f t="shared" si="85"/>
        <v>1</v>
      </c>
      <c r="I781" s="21">
        <f>IF(OR(B781="",C781="",$V$1=""),"",MIN(E781,SUMIFS('03_Planificacion'!$G$99:$G$178,'03_Planificacion'!$E$99:$E$178,B781,'03_Planificacion'!$F$99:$F$178,C781,'03_Planificacion'!$D$99:$D$178,"&lt;="&amp;$V$1)))</f>
        <v>0</v>
      </c>
      <c r="J781" s="21">
        <f t="shared" si="86"/>
        <v>0</v>
      </c>
      <c r="K781" s="6">
        <f t="shared" si="87"/>
        <v>1</v>
      </c>
      <c r="L781" t="s">
        <v>123</v>
      </c>
      <c r="P781" s="5">
        <f t="shared" si="88"/>
        <v>46287</v>
      </c>
      <c r="Q781" t="s">
        <v>164</v>
      </c>
      <c r="R781">
        <v>75</v>
      </c>
      <c r="S781" t="s">
        <v>70</v>
      </c>
      <c r="T781" t="str">
        <f t="shared" si="89"/>
        <v/>
      </c>
      <c r="U781" t="str">
        <f>IF(AND(L781="Para Programar",G781&gt;0),COUNTIFS($L$5:L781,"Para Programar",$G$5:G781,"&gt;0"),"")</f>
        <v/>
      </c>
      <c r="W781" t="str">
        <f t="shared" si="90"/>
        <v>N29 - N30|05 Tendido de cañería - Relevamiento planialtimétrico</v>
      </c>
      <c r="X781">
        <v>106</v>
      </c>
    </row>
    <row r="782" spans="1:24">
      <c r="A782" t="s">
        <v>88</v>
      </c>
      <c r="B782" s="14" t="s">
        <v>167</v>
      </c>
      <c r="C782" t="s">
        <v>89</v>
      </c>
      <c r="D782" s="13" t="s">
        <v>81</v>
      </c>
      <c r="E782" s="13">
        <v>1</v>
      </c>
      <c r="F782" s="13">
        <f>IF(E782="","",MIN(E782,$X782+SUMIFS('05_Parte_Diario'!$H$5:$H$204,'05_Parte_Diario'!$D$5:$D$204,B782,'05_Parte_Diario'!$E$5:$E$204,C782)))</f>
        <v>1</v>
      </c>
      <c r="G782" s="13">
        <f t="shared" si="84"/>
        <v>0</v>
      </c>
      <c r="H782" s="21">
        <f t="shared" si="85"/>
        <v>1</v>
      </c>
      <c r="I782" s="21">
        <f>IF(OR(B782="",C782="",$V$1=""),"",MIN(E782,SUMIFS('03_Planificacion'!$G$99:$G$178,'03_Planificacion'!$E$99:$E$178,B782,'03_Planificacion'!$F$99:$F$178,C782,'03_Planificacion'!$D$99:$D$178,"&lt;="&amp;$V$1)))</f>
        <v>0</v>
      </c>
      <c r="J782" s="21">
        <f t="shared" si="86"/>
        <v>0</v>
      </c>
      <c r="K782" s="6">
        <f t="shared" si="87"/>
        <v>1</v>
      </c>
      <c r="L782" t="s">
        <v>123</v>
      </c>
      <c r="P782" s="5">
        <f t="shared" si="88"/>
        <v>46287</v>
      </c>
      <c r="Q782" t="s">
        <v>164</v>
      </c>
      <c r="R782">
        <v>75</v>
      </c>
      <c r="S782" t="s">
        <v>70</v>
      </c>
      <c r="T782" t="str">
        <f t="shared" si="89"/>
        <v/>
      </c>
      <c r="U782" t="str">
        <f>IF(AND(L782="Para Programar",G782&gt;0),COUNTIFS($L$5:L782,"Para Programar",$G$5:G782,"&gt;0"),"")</f>
        <v/>
      </c>
      <c r="W782" t="str">
        <f t="shared" si="90"/>
        <v>N29 - N30|08 Prueba hidráulica - Preparación del sistema</v>
      </c>
      <c r="X782">
        <v>1</v>
      </c>
    </row>
    <row r="783" spans="1:24">
      <c r="A783" t="s">
        <v>90</v>
      </c>
      <c r="B783" s="14" t="s">
        <v>167</v>
      </c>
      <c r="C783" t="s">
        <v>91</v>
      </c>
      <c r="D783" s="13" t="s">
        <v>81</v>
      </c>
      <c r="E783" s="13">
        <v>1</v>
      </c>
      <c r="F783" s="13">
        <f>IF(E783="","",MIN(E783,$X783+SUMIFS('05_Parte_Diario'!$H$5:$H$204,'05_Parte_Diario'!$D$5:$D$204,B783,'05_Parte_Diario'!$E$5:$E$204,C783)))</f>
        <v>1</v>
      </c>
      <c r="G783" s="13">
        <f t="shared" si="84"/>
        <v>0</v>
      </c>
      <c r="H783" s="21">
        <f t="shared" si="85"/>
        <v>1</v>
      </c>
      <c r="I783" s="21">
        <f>IF(OR(B783="",C783="",$V$1=""),"",MIN(E783,SUMIFS('03_Planificacion'!$G$99:$G$178,'03_Planificacion'!$E$99:$E$178,B783,'03_Planificacion'!$F$99:$F$178,C783,'03_Planificacion'!$D$99:$D$178,"&lt;="&amp;$V$1)))</f>
        <v>0</v>
      </c>
      <c r="J783" s="21">
        <f t="shared" si="86"/>
        <v>0</v>
      </c>
      <c r="K783" s="6">
        <f t="shared" si="87"/>
        <v>1</v>
      </c>
      <c r="L783" t="s">
        <v>123</v>
      </c>
      <c r="P783" s="5">
        <f t="shared" si="88"/>
        <v>46287</v>
      </c>
      <c r="Q783" t="s">
        <v>164</v>
      </c>
      <c r="R783">
        <v>75</v>
      </c>
      <c r="S783" t="s">
        <v>70</v>
      </c>
      <c r="T783" t="str">
        <f t="shared" si="89"/>
        <v/>
      </c>
      <c r="U783" t="str">
        <f>IF(AND(L783="Para Programar",G783&gt;0),COUNTIFS($L$5:L783,"Para Programar",$G$5:G783,"&gt;0"),"")</f>
        <v/>
      </c>
      <c r="W783" t="str">
        <f t="shared" si="90"/>
        <v>N29 - N30|08 Prueba hidráulica - Interna N° 1</v>
      </c>
      <c r="X783">
        <v>1</v>
      </c>
    </row>
    <row r="784" spans="1:24">
      <c r="A784" t="s">
        <v>92</v>
      </c>
      <c r="B784" s="14" t="s">
        <v>167</v>
      </c>
      <c r="C784" t="s">
        <v>93</v>
      </c>
      <c r="D784" s="13" t="s">
        <v>81</v>
      </c>
      <c r="E784" s="13">
        <v>1</v>
      </c>
      <c r="F784" s="13">
        <f>IF(E784="","",MIN(E784,$X784+SUMIFS('05_Parte_Diario'!$H$5:$H$204,'05_Parte_Diario'!$D$5:$D$204,B784,'05_Parte_Diario'!$E$5:$E$204,C784)))</f>
        <v>1</v>
      </c>
      <c r="G784" s="13">
        <f t="shared" si="84"/>
        <v>0</v>
      </c>
      <c r="H784" s="21">
        <f t="shared" si="85"/>
        <v>1</v>
      </c>
      <c r="I784" s="21">
        <f>IF(OR(B784="",C784="",$V$1=""),"",MIN(E784,SUMIFS('03_Planificacion'!$G$99:$G$178,'03_Planificacion'!$E$99:$E$178,B784,'03_Planificacion'!$F$99:$F$178,C784,'03_Planificacion'!$D$99:$D$178,"&lt;="&amp;$V$1)))</f>
        <v>0</v>
      </c>
      <c r="J784" s="21">
        <f t="shared" si="86"/>
        <v>0</v>
      </c>
      <c r="K784" s="6">
        <f t="shared" si="87"/>
        <v>1</v>
      </c>
      <c r="L784" t="s">
        <v>123</v>
      </c>
      <c r="P784" s="5">
        <f t="shared" si="88"/>
        <v>46287</v>
      </c>
      <c r="Q784" t="s">
        <v>164</v>
      </c>
      <c r="R784">
        <v>75</v>
      </c>
      <c r="S784" t="s">
        <v>70</v>
      </c>
      <c r="T784" t="str">
        <f t="shared" si="89"/>
        <v/>
      </c>
      <c r="U784" t="str">
        <f>IF(AND(L784="Para Programar",G784&gt;0),COUNTIFS($L$5:L784,"Para Programar",$G$5:G784,"&gt;0"),"")</f>
        <v/>
      </c>
      <c r="W784" t="str">
        <f t="shared" si="90"/>
        <v>N29 - N30|08 Prueba hidráulica - Interna N° 2</v>
      </c>
      <c r="X784">
        <v>1</v>
      </c>
    </row>
    <row r="785" spans="1:24">
      <c r="A785" t="s">
        <v>94</v>
      </c>
      <c r="B785" s="14" t="s">
        <v>167</v>
      </c>
      <c r="C785" t="s">
        <v>95</v>
      </c>
      <c r="D785" s="13" t="s">
        <v>81</v>
      </c>
      <c r="E785" s="13">
        <v>1</v>
      </c>
      <c r="F785" s="13">
        <f>IF(E785="","",MIN(E785,$X785+SUMIFS('05_Parte_Diario'!$H$5:$H$204,'05_Parte_Diario'!$D$5:$D$204,B785,'05_Parte_Diario'!$E$5:$E$204,C785)))</f>
        <v>1</v>
      </c>
      <c r="G785" s="13">
        <f t="shared" si="84"/>
        <v>0</v>
      </c>
      <c r="H785" s="21">
        <f t="shared" si="85"/>
        <v>1</v>
      </c>
      <c r="I785" s="21">
        <f>IF(OR(B785="",C785="",$V$1=""),"",MIN(E785,SUMIFS('03_Planificacion'!$G$99:$G$178,'03_Planificacion'!$E$99:$E$178,B785,'03_Planificacion'!$F$99:$F$178,C785,'03_Planificacion'!$D$99:$D$178,"&lt;="&amp;$V$1)))</f>
        <v>0</v>
      </c>
      <c r="J785" s="21">
        <f t="shared" si="86"/>
        <v>0</v>
      </c>
      <c r="K785" s="6">
        <f t="shared" si="87"/>
        <v>1</v>
      </c>
      <c r="L785" t="s">
        <v>123</v>
      </c>
      <c r="P785" s="5">
        <f t="shared" si="88"/>
        <v>46287</v>
      </c>
      <c r="Q785" t="s">
        <v>164</v>
      </c>
      <c r="R785">
        <v>75</v>
      </c>
      <c r="S785" t="s">
        <v>70</v>
      </c>
      <c r="T785" t="str">
        <f t="shared" si="89"/>
        <v/>
      </c>
      <c r="U785" t="str">
        <f>IF(AND(L785="Para Programar",G785&gt;0),COUNTIFS($L$5:L785,"Para Programar",$G$5:G785,"&gt;0"),"")</f>
        <v/>
      </c>
      <c r="W785" t="str">
        <f t="shared" si="90"/>
        <v>N29 - N30|08 Prueba hidráulica - Primera prueba oficial</v>
      </c>
      <c r="X785">
        <v>1</v>
      </c>
    </row>
    <row r="786" spans="1:24">
      <c r="A786" t="s">
        <v>96</v>
      </c>
      <c r="B786" s="14" t="s">
        <v>167</v>
      </c>
      <c r="C786" t="s">
        <v>97</v>
      </c>
      <c r="D786" s="13" t="s">
        <v>67</v>
      </c>
      <c r="E786" s="13">
        <v>106</v>
      </c>
      <c r="F786" s="13">
        <f>IF(E786="","",MIN(E786,$X786+SUMIFS('05_Parte_Diario'!$H$5:$H$204,'05_Parte_Diario'!$D$5:$D$204,B786,'05_Parte_Diario'!$E$5:$E$204,C786)))</f>
        <v>106</v>
      </c>
      <c r="G786" s="13">
        <f t="shared" si="84"/>
        <v>0</v>
      </c>
      <c r="H786" s="21">
        <f t="shared" si="85"/>
        <v>1</v>
      </c>
      <c r="I786" s="21">
        <f>IF(OR(B786="",C786="",$V$1=""),"",MIN(E786,SUMIFS('03_Planificacion'!$G$99:$G$178,'03_Planificacion'!$E$99:$E$178,B786,'03_Planificacion'!$F$99:$F$178,C786,'03_Planificacion'!$D$99:$D$178,"&lt;="&amp;$V$1)))</f>
        <v>0</v>
      </c>
      <c r="J786" s="21">
        <f t="shared" si="86"/>
        <v>0</v>
      </c>
      <c r="K786" s="6">
        <f t="shared" si="87"/>
        <v>1</v>
      </c>
      <c r="L786" t="s">
        <v>123</v>
      </c>
      <c r="P786" s="5">
        <f t="shared" si="88"/>
        <v>46287</v>
      </c>
      <c r="Q786" t="s">
        <v>164</v>
      </c>
      <c r="R786">
        <v>75</v>
      </c>
      <c r="S786" t="s">
        <v>70</v>
      </c>
      <c r="T786" t="str">
        <f t="shared" si="89"/>
        <v/>
      </c>
      <c r="U786" t="str">
        <f>IF(AND(L786="Para Programar",G786&gt;0),COUNTIFS($L$5:L786,"Para Programar",$G$5:G786,"&gt;0"),"")</f>
        <v/>
      </c>
      <c r="W786" t="str">
        <f t="shared" si="90"/>
        <v>N29 - N30|09 Paquete estructural - Aporte e=0,30 m</v>
      </c>
      <c r="X786">
        <v>106</v>
      </c>
    </row>
    <row r="787" spans="1:24">
      <c r="A787" t="s">
        <v>98</v>
      </c>
      <c r="B787" s="14" t="s">
        <v>167</v>
      </c>
      <c r="C787" t="s">
        <v>99</v>
      </c>
      <c r="D787" s="13" t="s">
        <v>67</v>
      </c>
      <c r="E787" s="13">
        <v>106</v>
      </c>
      <c r="F787" s="13">
        <f>IF(E787="","",MIN(E787,$X787+SUMIFS('05_Parte_Diario'!$H$5:$H$204,'05_Parte_Diario'!$D$5:$D$204,B787,'05_Parte_Diario'!$E$5:$E$204,C787)))</f>
        <v>106</v>
      </c>
      <c r="G787" s="13">
        <f t="shared" si="84"/>
        <v>0</v>
      </c>
      <c r="H787" s="21">
        <f t="shared" si="85"/>
        <v>1</v>
      </c>
      <c r="I787" s="21">
        <f>IF(OR(B787="",C787="",$V$1=""),"",MIN(E787,SUMIFS('03_Planificacion'!$G$99:$G$178,'03_Planificacion'!$E$99:$E$178,B787,'03_Planificacion'!$F$99:$F$178,C787,'03_Planificacion'!$D$99:$D$178,"&lt;="&amp;$V$1)))</f>
        <v>0</v>
      </c>
      <c r="J787" s="21">
        <f t="shared" si="86"/>
        <v>0</v>
      </c>
      <c r="K787" s="6">
        <f t="shared" si="87"/>
        <v>1</v>
      </c>
      <c r="L787" t="s">
        <v>123</v>
      </c>
      <c r="P787" s="5">
        <f t="shared" si="88"/>
        <v>46287</v>
      </c>
      <c r="Q787" t="s">
        <v>164</v>
      </c>
      <c r="R787">
        <v>75</v>
      </c>
      <c r="S787" t="s">
        <v>70</v>
      </c>
      <c r="T787" t="str">
        <f t="shared" si="89"/>
        <v/>
      </c>
      <c r="U787" t="str">
        <f>IF(AND(L787="Para Programar",G787&gt;0),COUNTIFS($L$5:L787,"Para Programar",$G$5:G787,"&gt;0"),"")</f>
        <v/>
      </c>
      <c r="W787" t="str">
        <f t="shared" si="90"/>
        <v>N29 - N30|09 Paquete estructural - Compactación</v>
      </c>
      <c r="X787">
        <v>106</v>
      </c>
    </row>
    <row r="788" spans="1:24">
      <c r="A788" t="s">
        <v>100</v>
      </c>
      <c r="B788" s="14" t="s">
        <v>167</v>
      </c>
      <c r="C788" t="s">
        <v>101</v>
      </c>
      <c r="D788" s="13" t="s">
        <v>81</v>
      </c>
      <c r="E788" s="13">
        <v>1</v>
      </c>
      <c r="F788" s="13">
        <f>IF(E788="","",MIN(E788,$X788+SUMIFS('05_Parte_Diario'!$H$5:$H$204,'05_Parte_Diario'!$D$5:$D$204,B788,'05_Parte_Diario'!$E$5:$E$204,C788)))</f>
        <v>1</v>
      </c>
      <c r="G788" s="13">
        <f t="shared" si="84"/>
        <v>0</v>
      </c>
      <c r="H788" s="21">
        <f t="shared" si="85"/>
        <v>1</v>
      </c>
      <c r="I788" s="21">
        <f>IF(OR(B788="",C788="",$V$1=""),"",MIN(E788,SUMIFS('03_Planificacion'!$G$99:$G$178,'03_Planificacion'!$E$99:$E$178,B788,'03_Planificacion'!$F$99:$F$178,C788,'03_Planificacion'!$D$99:$D$178,"&lt;="&amp;$V$1)))</f>
        <v>0</v>
      </c>
      <c r="J788" s="21">
        <f t="shared" si="86"/>
        <v>0</v>
      </c>
      <c r="K788" s="6">
        <f t="shared" si="87"/>
        <v>1</v>
      </c>
      <c r="L788" t="s">
        <v>123</v>
      </c>
      <c r="P788" s="5">
        <f t="shared" si="88"/>
        <v>46287</v>
      </c>
      <c r="Q788" t="s">
        <v>164</v>
      </c>
      <c r="R788">
        <v>75</v>
      </c>
      <c r="S788" t="s">
        <v>70</v>
      </c>
      <c r="T788" t="str">
        <f t="shared" si="89"/>
        <v/>
      </c>
      <c r="U788" t="str">
        <f>IF(AND(L788="Para Programar",G788&gt;0),COUNTIFS($L$5:L788,"Para Programar",$G$5:G788,"&gt;0"),"")</f>
        <v/>
      </c>
      <c r="W788" t="str">
        <f t="shared" si="90"/>
        <v>N29 - N30|09 Paquete estructural - Inspección laboratorio</v>
      </c>
      <c r="X788">
        <v>1</v>
      </c>
    </row>
    <row r="789" spans="1:24">
      <c r="A789" t="s">
        <v>102</v>
      </c>
      <c r="B789" s="14" t="s">
        <v>167</v>
      </c>
      <c r="C789" t="s">
        <v>103</v>
      </c>
      <c r="D789" s="13" t="s">
        <v>67</v>
      </c>
      <c r="E789" s="13">
        <v>106</v>
      </c>
      <c r="F789" s="13">
        <f>IF(E789="","",MIN(E789,$X789+SUMIFS('05_Parte_Diario'!$H$5:$H$204,'05_Parte_Diario'!$D$5:$D$204,B789,'05_Parte_Diario'!$E$5:$E$204,C789)))</f>
        <v>106</v>
      </c>
      <c r="G789" s="13">
        <f t="shared" si="84"/>
        <v>0</v>
      </c>
      <c r="H789" s="21">
        <f t="shared" si="85"/>
        <v>1</v>
      </c>
      <c r="I789" s="21">
        <f>IF(OR(B789="",C789="",$V$1=""),"",MIN(E789,SUMIFS('03_Planificacion'!$G$99:$G$178,'03_Planificacion'!$E$99:$E$178,B789,'03_Planificacion'!$F$99:$F$178,C789,'03_Planificacion'!$D$99:$D$178,"&lt;="&amp;$V$1)))</f>
        <v>0</v>
      </c>
      <c r="J789" s="21">
        <f t="shared" si="86"/>
        <v>0</v>
      </c>
      <c r="K789" s="6">
        <f t="shared" si="87"/>
        <v>1</v>
      </c>
      <c r="L789" t="s">
        <v>123</v>
      </c>
      <c r="P789" s="5">
        <f t="shared" si="88"/>
        <v>46287</v>
      </c>
      <c r="Q789" t="s">
        <v>164</v>
      </c>
      <c r="R789">
        <v>75</v>
      </c>
      <c r="S789" t="s">
        <v>70</v>
      </c>
      <c r="T789" t="str">
        <f t="shared" si="89"/>
        <v/>
      </c>
      <c r="U789" t="str">
        <f>IF(AND(L789="Para Programar",G789&gt;0),COUNTIFS($L$5:L789,"Para Programar",$G$5:G789,"&gt;0"),"")</f>
        <v/>
      </c>
      <c r="W789" t="str">
        <f t="shared" si="90"/>
        <v>N29 - N30|10 Relleno -0,60 - Conformación de capa</v>
      </c>
      <c r="X789">
        <v>106</v>
      </c>
    </row>
    <row r="790" spans="1:24">
      <c r="A790" t="s">
        <v>104</v>
      </c>
      <c r="B790" s="14" t="s">
        <v>167</v>
      </c>
      <c r="C790" t="s">
        <v>105</v>
      </c>
      <c r="D790" s="13" t="s">
        <v>67</v>
      </c>
      <c r="E790" s="13">
        <v>106</v>
      </c>
      <c r="F790" s="13">
        <f>IF(E790="","",MIN(E790,$X790+SUMIFS('05_Parte_Diario'!$H$5:$H$204,'05_Parte_Diario'!$D$5:$D$204,B790,'05_Parte_Diario'!$E$5:$E$204,C790)))</f>
        <v>106</v>
      </c>
      <c r="G790" s="13">
        <f t="shared" si="84"/>
        <v>0</v>
      </c>
      <c r="H790" s="21">
        <f t="shared" si="85"/>
        <v>1</v>
      </c>
      <c r="I790" s="21">
        <f>IF(OR(B790="",C790="",$V$1=""),"",MIN(E790,SUMIFS('03_Planificacion'!$G$99:$G$178,'03_Planificacion'!$E$99:$E$178,B790,'03_Planificacion'!$F$99:$F$178,C790,'03_Planificacion'!$D$99:$D$178,"&lt;="&amp;$V$1)))</f>
        <v>0</v>
      </c>
      <c r="J790" s="21">
        <f t="shared" si="86"/>
        <v>0</v>
      </c>
      <c r="K790" s="6">
        <f t="shared" si="87"/>
        <v>1</v>
      </c>
      <c r="L790" t="s">
        <v>123</v>
      </c>
      <c r="P790" s="5">
        <f t="shared" si="88"/>
        <v>46287</v>
      </c>
      <c r="Q790" t="s">
        <v>164</v>
      </c>
      <c r="R790">
        <v>75</v>
      </c>
      <c r="S790" t="s">
        <v>70</v>
      </c>
      <c r="T790" t="str">
        <f t="shared" si="89"/>
        <v/>
      </c>
      <c r="U790" t="str">
        <f>IF(AND(L790="Para Programar",G790&gt;0),COUNTIFS($L$5:L790,"Para Programar",$G$5:G790,"&gt;0"),"")</f>
        <v/>
      </c>
      <c r="W790" t="str">
        <f t="shared" si="90"/>
        <v>N29 - N30|10 Relleno -0,60 - Humectación</v>
      </c>
      <c r="X790">
        <v>106</v>
      </c>
    </row>
    <row r="791" spans="1:24">
      <c r="A791" t="s">
        <v>106</v>
      </c>
      <c r="B791" s="14" t="s">
        <v>167</v>
      </c>
      <c r="C791" t="s">
        <v>107</v>
      </c>
      <c r="D791" s="13" t="s">
        <v>67</v>
      </c>
      <c r="E791" s="13">
        <v>106</v>
      </c>
      <c r="F791" s="13">
        <f>IF(E791="","",MIN(E791,$X791+SUMIFS('05_Parte_Diario'!$H$5:$H$204,'05_Parte_Diario'!$D$5:$D$204,B791,'05_Parte_Diario'!$E$5:$E$204,C791)))</f>
        <v>106</v>
      </c>
      <c r="G791" s="13">
        <f t="shared" si="84"/>
        <v>0</v>
      </c>
      <c r="H791" s="21">
        <f t="shared" si="85"/>
        <v>1</v>
      </c>
      <c r="I791" s="21">
        <f>IF(OR(B791="",C791="",$V$1=""),"",MIN(E791,SUMIFS('03_Planificacion'!$G$99:$G$178,'03_Planificacion'!$E$99:$E$178,B791,'03_Planificacion'!$F$99:$F$178,C791,'03_Planificacion'!$D$99:$D$178,"&lt;="&amp;$V$1)))</f>
        <v>0</v>
      </c>
      <c r="J791" s="21">
        <f t="shared" si="86"/>
        <v>0</v>
      </c>
      <c r="K791" s="6">
        <f t="shared" si="87"/>
        <v>1</v>
      </c>
      <c r="L791" t="s">
        <v>123</v>
      </c>
      <c r="P791" s="5">
        <f t="shared" si="88"/>
        <v>46287</v>
      </c>
      <c r="Q791" t="s">
        <v>164</v>
      </c>
      <c r="R791">
        <v>75</v>
      </c>
      <c r="S791" t="s">
        <v>70</v>
      </c>
      <c r="T791" t="str">
        <f t="shared" si="89"/>
        <v/>
      </c>
      <c r="U791" t="str">
        <f>IF(AND(L791="Para Programar",G791&gt;0),COUNTIFS($L$5:L791,"Para Programar",$G$5:G791,"&gt;0"),"")</f>
        <v/>
      </c>
      <c r="W791" t="str">
        <f t="shared" si="90"/>
        <v>N29 - N30|10 Relleno -0,60 - Compactación</v>
      </c>
      <c r="X791">
        <v>106</v>
      </c>
    </row>
    <row r="792" spans="1:24">
      <c r="A792" t="s">
        <v>108</v>
      </c>
      <c r="B792" s="14" t="s">
        <v>167</v>
      </c>
      <c r="C792" t="s">
        <v>109</v>
      </c>
      <c r="D792" s="13" t="s">
        <v>81</v>
      </c>
      <c r="E792" s="13">
        <v>1</v>
      </c>
      <c r="F792" s="13">
        <f>IF(E792="","",MIN(E792,$X792+SUMIFS('05_Parte_Diario'!$H$5:$H$204,'05_Parte_Diario'!$D$5:$D$204,B792,'05_Parte_Diario'!$E$5:$E$204,C792)))</f>
        <v>1</v>
      </c>
      <c r="G792" s="13">
        <f t="shared" si="84"/>
        <v>0</v>
      </c>
      <c r="H792" s="21">
        <f t="shared" si="85"/>
        <v>1</v>
      </c>
      <c r="I792" s="21">
        <f>IF(OR(B792="",C792="",$V$1=""),"",MIN(E792,SUMIFS('03_Planificacion'!$G$99:$G$178,'03_Planificacion'!$E$99:$E$178,B792,'03_Planificacion'!$F$99:$F$178,C792,'03_Planificacion'!$D$99:$D$178,"&lt;="&amp;$V$1)))</f>
        <v>0</v>
      </c>
      <c r="J792" s="21">
        <f t="shared" si="86"/>
        <v>0</v>
      </c>
      <c r="K792" s="6">
        <f t="shared" si="87"/>
        <v>1</v>
      </c>
      <c r="L792" t="s">
        <v>123</v>
      </c>
      <c r="P792" s="5">
        <f t="shared" si="88"/>
        <v>46287</v>
      </c>
      <c r="Q792" t="s">
        <v>164</v>
      </c>
      <c r="R792">
        <v>75</v>
      </c>
      <c r="S792" t="s">
        <v>70</v>
      </c>
      <c r="T792" t="str">
        <f t="shared" si="89"/>
        <v/>
      </c>
      <c r="U792" t="str">
        <f>IF(AND(L792="Para Programar",G792&gt;0),COUNTIFS($L$5:L792,"Para Programar",$G$5:G792,"&gt;0"),"")</f>
        <v/>
      </c>
      <c r="W792" t="str">
        <f t="shared" si="90"/>
        <v>N29 - N30|10 Relleno -0,60 - Inspección laboratorio</v>
      </c>
      <c r="X792">
        <v>1</v>
      </c>
    </row>
    <row r="793" spans="1:24">
      <c r="A793" t="s">
        <v>110</v>
      </c>
      <c r="B793" s="14" t="s">
        <v>167</v>
      </c>
      <c r="C793" t="s">
        <v>111</v>
      </c>
      <c r="D793" s="13" t="s">
        <v>67</v>
      </c>
      <c r="E793" s="13">
        <v>106</v>
      </c>
      <c r="F793" s="13">
        <f>IF(E793="","",MIN(E793,$X793+SUMIFS('05_Parte_Diario'!$H$5:$H$204,'05_Parte_Diario'!$D$5:$D$204,B793,'05_Parte_Diario'!$E$5:$E$204,C793)))</f>
        <v>106</v>
      </c>
      <c r="G793" s="13">
        <f t="shared" si="84"/>
        <v>0</v>
      </c>
      <c r="H793" s="21">
        <f t="shared" si="85"/>
        <v>1</v>
      </c>
      <c r="I793" s="21">
        <f>IF(OR(B793="",C793="",$V$1=""),"",MIN(E793,SUMIFS('03_Planificacion'!$G$99:$G$178,'03_Planificacion'!$E$99:$E$178,B793,'03_Planificacion'!$F$99:$F$178,C793,'03_Planificacion'!$D$99:$D$178,"&lt;="&amp;$V$1)))</f>
        <v>0</v>
      </c>
      <c r="J793" s="21">
        <f t="shared" si="86"/>
        <v>0</v>
      </c>
      <c r="K793" s="6">
        <f t="shared" si="87"/>
        <v>1</v>
      </c>
      <c r="L793" t="s">
        <v>123</v>
      </c>
      <c r="P793" s="5">
        <f t="shared" si="88"/>
        <v>46287</v>
      </c>
      <c r="Q793" t="s">
        <v>164</v>
      </c>
      <c r="R793">
        <v>75</v>
      </c>
      <c r="S793" t="s">
        <v>70</v>
      </c>
      <c r="T793" t="str">
        <f t="shared" si="89"/>
        <v/>
      </c>
      <c r="U793" t="str">
        <f>IF(AND(L793="Para Programar",G793&gt;0),COUNTIFS($L$5:L793,"Para Programar",$G$5:G793,"&gt;0"),"")</f>
        <v/>
      </c>
      <c r="W793" t="str">
        <f t="shared" si="90"/>
        <v>N29 - N30|11 Relleno -0,30 - Conformación de capa</v>
      </c>
      <c r="X793">
        <v>106</v>
      </c>
    </row>
    <row r="794" spans="1:24">
      <c r="A794" t="s">
        <v>112</v>
      </c>
      <c r="B794" s="14" t="s">
        <v>167</v>
      </c>
      <c r="C794" t="s">
        <v>113</v>
      </c>
      <c r="D794" s="13" t="s">
        <v>67</v>
      </c>
      <c r="E794" s="13">
        <v>106</v>
      </c>
      <c r="F794" s="13">
        <f>IF(E794="","",MIN(E794,$X794+SUMIFS('05_Parte_Diario'!$H$5:$H$204,'05_Parte_Diario'!$D$5:$D$204,B794,'05_Parte_Diario'!$E$5:$E$204,C794)))</f>
        <v>106</v>
      </c>
      <c r="G794" s="13">
        <f t="shared" si="84"/>
        <v>0</v>
      </c>
      <c r="H794" s="21">
        <f t="shared" si="85"/>
        <v>1</v>
      </c>
      <c r="I794" s="21">
        <f>IF(OR(B794="",C794="",$V$1=""),"",MIN(E794,SUMIFS('03_Planificacion'!$G$99:$G$178,'03_Planificacion'!$E$99:$E$178,B794,'03_Planificacion'!$F$99:$F$178,C794,'03_Planificacion'!$D$99:$D$178,"&lt;="&amp;$V$1)))</f>
        <v>0</v>
      </c>
      <c r="J794" s="21">
        <f t="shared" si="86"/>
        <v>0</v>
      </c>
      <c r="K794" s="6">
        <f t="shared" si="87"/>
        <v>1</v>
      </c>
      <c r="L794" t="s">
        <v>123</v>
      </c>
      <c r="P794" s="5">
        <f t="shared" si="88"/>
        <v>46287</v>
      </c>
      <c r="Q794" t="s">
        <v>164</v>
      </c>
      <c r="R794">
        <v>75</v>
      </c>
      <c r="S794" t="s">
        <v>70</v>
      </c>
      <c r="T794" t="str">
        <f t="shared" si="89"/>
        <v/>
      </c>
      <c r="U794" t="str">
        <f>IF(AND(L794="Para Programar",G794&gt;0),COUNTIFS($L$5:L794,"Para Programar",$G$5:G794,"&gt;0"),"")</f>
        <v/>
      </c>
      <c r="W794" t="str">
        <f t="shared" si="90"/>
        <v>N29 - N30|11 Relleno -0,30 - Humectación</v>
      </c>
      <c r="X794">
        <v>106</v>
      </c>
    </row>
    <row r="795" spans="1:24">
      <c r="A795" t="s">
        <v>114</v>
      </c>
      <c r="B795" s="14" t="s">
        <v>167</v>
      </c>
      <c r="C795" t="s">
        <v>115</v>
      </c>
      <c r="D795" s="13" t="s">
        <v>67</v>
      </c>
      <c r="E795" s="13">
        <v>106</v>
      </c>
      <c r="F795" s="13">
        <f>IF(E795="","",MIN(E795,$X795+SUMIFS('05_Parte_Diario'!$H$5:$H$204,'05_Parte_Diario'!$D$5:$D$204,B795,'05_Parte_Diario'!$E$5:$E$204,C795)))</f>
        <v>0</v>
      </c>
      <c r="G795" s="13">
        <f t="shared" si="84"/>
        <v>106</v>
      </c>
      <c r="H795" s="21">
        <f t="shared" si="85"/>
        <v>0</v>
      </c>
      <c r="I795" s="21">
        <f>IF(OR(B795="",C795="",$V$1=""),"",MIN(E795,SUMIFS('03_Planificacion'!$G$99:$G$178,'03_Planificacion'!$E$99:$E$178,B795,'03_Planificacion'!$F$99:$F$178,C795,'03_Planificacion'!$D$99:$D$178,"&lt;="&amp;$V$1)))</f>
        <v>0</v>
      </c>
      <c r="J795" s="21">
        <f t="shared" si="86"/>
        <v>0</v>
      </c>
      <c r="K795" s="6">
        <f t="shared" si="87"/>
        <v>0</v>
      </c>
      <c r="L795" t="s">
        <v>123</v>
      </c>
      <c r="P795" s="5">
        <f t="shared" si="88"/>
        <v>46287</v>
      </c>
      <c r="Q795" t="s">
        <v>164</v>
      </c>
      <c r="R795">
        <v>75</v>
      </c>
      <c r="S795" t="s">
        <v>70</v>
      </c>
      <c r="T795" t="str">
        <f t="shared" si="89"/>
        <v>INCONSISTENCIA - REVISAR MANUALMENTE: Terminada con saldo</v>
      </c>
      <c r="U795" t="str">
        <f>IF(AND(L795="Para Programar",G795&gt;0),COUNTIFS($L$5:L795,"Para Programar",$G$5:G795,"&gt;0"),"")</f>
        <v/>
      </c>
      <c r="W795" t="str">
        <f t="shared" si="90"/>
        <v>N29 - N30|11 Relleno -0,30 - Compactación</v>
      </c>
      <c r="X795">
        <v>0</v>
      </c>
    </row>
    <row r="796" spans="1:24">
      <c r="A796" t="s">
        <v>116</v>
      </c>
      <c r="B796" s="14" t="s">
        <v>167</v>
      </c>
      <c r="C796" t="s">
        <v>117</v>
      </c>
      <c r="D796" s="13" t="s">
        <v>81</v>
      </c>
      <c r="E796" s="13">
        <v>1</v>
      </c>
      <c r="F796" s="13">
        <f>IF(E796="","",MIN(E796,$X796+SUMIFS('05_Parte_Diario'!$H$5:$H$204,'05_Parte_Diario'!$D$5:$D$204,B796,'05_Parte_Diario'!$E$5:$E$204,C796)))</f>
        <v>0</v>
      </c>
      <c r="G796" s="13">
        <f t="shared" si="84"/>
        <v>1</v>
      </c>
      <c r="H796" s="21">
        <f t="shared" si="85"/>
        <v>0</v>
      </c>
      <c r="I796" s="21">
        <f>IF(OR(B796="",C796="",$V$1=""),"",MIN(E796,SUMIFS('03_Planificacion'!$G$99:$G$178,'03_Planificacion'!$E$99:$E$178,B796,'03_Planificacion'!$F$99:$F$178,C796,'03_Planificacion'!$D$99:$D$178,"&lt;="&amp;$V$1)))</f>
        <v>0</v>
      </c>
      <c r="J796" s="21">
        <f t="shared" si="86"/>
        <v>0</v>
      </c>
      <c r="K796" s="6">
        <f t="shared" si="87"/>
        <v>0</v>
      </c>
      <c r="L796" t="s">
        <v>123</v>
      </c>
      <c r="P796" s="5">
        <f t="shared" si="88"/>
        <v>46287</v>
      </c>
      <c r="Q796" t="s">
        <v>164</v>
      </c>
      <c r="R796">
        <v>75</v>
      </c>
      <c r="S796" t="s">
        <v>70</v>
      </c>
      <c r="T796" t="str">
        <f t="shared" si="89"/>
        <v>INCONSISTENCIA - REVISAR MANUALMENTE: Terminada con saldo</v>
      </c>
      <c r="U796" t="str">
        <f>IF(AND(L796="Para Programar",G796&gt;0),COUNTIFS($L$5:L796,"Para Programar",$G$5:G796,"&gt;0"),"")</f>
        <v/>
      </c>
      <c r="W796" t="str">
        <f t="shared" si="90"/>
        <v>N29 - N30|11 Relleno -0,30 - Inspección laboratorio</v>
      </c>
      <c r="X796">
        <v>0</v>
      </c>
    </row>
    <row r="797" spans="1:24">
      <c r="A797" t="s">
        <v>64</v>
      </c>
      <c r="B797" s="14" t="s">
        <v>168</v>
      </c>
      <c r="C797" t="s">
        <v>66</v>
      </c>
      <c r="D797" s="13" t="s">
        <v>67</v>
      </c>
      <c r="E797" s="13">
        <v>64</v>
      </c>
      <c r="F797" s="13">
        <f>IF(E797="","",MIN(E797,$X797+SUMIFS('05_Parte_Diario'!$H$5:$H$204,'05_Parte_Diario'!$D$5:$D$204,B797,'05_Parte_Diario'!$E$5:$E$204,C797)))</f>
        <v>0</v>
      </c>
      <c r="G797" s="13">
        <f t="shared" si="84"/>
        <v>64</v>
      </c>
      <c r="H797" s="21">
        <f t="shared" si="85"/>
        <v>0</v>
      </c>
      <c r="I797" s="21">
        <f>IF(OR(B797="",C797="",$V$1=""),"",MIN(E797,SUMIFS('03_Planificacion'!$G$99:$G$178,'03_Planificacion'!$E$99:$E$178,B797,'03_Planificacion'!$F$99:$F$178,C797,'03_Planificacion'!$D$99:$D$178,"&lt;="&amp;$V$1)))</f>
        <v>0</v>
      </c>
      <c r="J797" s="21">
        <f t="shared" si="86"/>
        <v>0</v>
      </c>
      <c r="K797" s="6">
        <f t="shared" si="87"/>
        <v>0</v>
      </c>
      <c r="L797" t="s">
        <v>68</v>
      </c>
      <c r="P797" s="5">
        <f t="shared" si="88"/>
        <v>46287</v>
      </c>
      <c r="Q797" t="s">
        <v>129</v>
      </c>
      <c r="R797">
        <v>75</v>
      </c>
      <c r="S797" t="s">
        <v>70</v>
      </c>
      <c r="T797" t="str">
        <f t="shared" si="89"/>
        <v/>
      </c>
      <c r="U797" t="str">
        <f>IF(AND(L797="Para Programar",G797&gt;0),COUNTIFS($L$5:L797,"Para Programar",$G$5:G797,"&gt;0"),"")</f>
        <v/>
      </c>
      <c r="W797" t="str">
        <f t="shared" si="90"/>
        <v>N3 - N7|01 Replanteo - Marcación de tramo de cañería principal</v>
      </c>
      <c r="X797">
        <v>0</v>
      </c>
    </row>
    <row r="798" spans="1:24">
      <c r="A798" t="s">
        <v>71</v>
      </c>
      <c r="B798" s="14" t="s">
        <v>168</v>
      </c>
      <c r="C798" t="s">
        <v>72</v>
      </c>
      <c r="D798" s="13" t="s">
        <v>67</v>
      </c>
      <c r="E798" s="13">
        <v>64</v>
      </c>
      <c r="F798" s="13">
        <f>IF(E798="","",MIN(E798,$X798+SUMIFS('05_Parte_Diario'!$H$5:$H$204,'05_Parte_Diario'!$D$5:$D$204,B798,'05_Parte_Diario'!$E$5:$E$204,C798)))</f>
        <v>0</v>
      </c>
      <c r="G798" s="13">
        <f t="shared" si="84"/>
        <v>64</v>
      </c>
      <c r="H798" s="21">
        <f t="shared" si="85"/>
        <v>0</v>
      </c>
      <c r="I798" s="21">
        <f>IF(OR(B798="",C798="",$V$1=""),"",MIN(E798,SUMIFS('03_Planificacion'!$G$99:$G$178,'03_Planificacion'!$E$99:$E$178,B798,'03_Planificacion'!$F$99:$F$178,C798,'03_Planificacion'!$D$99:$D$178,"&lt;="&amp;$V$1)))</f>
        <v>0</v>
      </c>
      <c r="J798" s="21">
        <f t="shared" si="86"/>
        <v>0</v>
      </c>
      <c r="K798" s="6">
        <f t="shared" si="87"/>
        <v>0</v>
      </c>
      <c r="L798" t="s">
        <v>68</v>
      </c>
      <c r="P798" s="5">
        <f t="shared" si="88"/>
        <v>46287</v>
      </c>
      <c r="Q798" t="s">
        <v>129</v>
      </c>
      <c r="R798">
        <v>75</v>
      </c>
      <c r="S798" t="s">
        <v>70</v>
      </c>
      <c r="T798" t="str">
        <f t="shared" si="89"/>
        <v/>
      </c>
      <c r="U798" t="str">
        <f>IF(AND(L798="Para Programar",G798&gt;0),COUNTIFS($L$5:L798,"Para Programar",$G$5:G798,"&gt;0"),"")</f>
        <v/>
      </c>
      <c r="W798" t="str">
        <f t="shared" si="90"/>
        <v>N3 - N7|02 Excavación - Zanja principal</v>
      </c>
      <c r="X798">
        <v>0</v>
      </c>
    </row>
    <row r="799" spans="1:24">
      <c r="A799" t="s">
        <v>73</v>
      </c>
      <c r="B799" s="14" t="s">
        <v>168</v>
      </c>
      <c r="C799" t="s">
        <v>74</v>
      </c>
      <c r="D799" s="13" t="s">
        <v>67</v>
      </c>
      <c r="E799" s="13">
        <v>64</v>
      </c>
      <c r="F799" s="13">
        <f>IF(E799="","",MIN(E799,$X799+SUMIFS('05_Parte_Diario'!$H$5:$H$204,'05_Parte_Diario'!$D$5:$D$204,B799,'05_Parte_Diario'!$E$5:$E$204,C799)))</f>
        <v>0</v>
      </c>
      <c r="G799" s="13">
        <f t="shared" si="84"/>
        <v>64</v>
      </c>
      <c r="H799" s="21">
        <f t="shared" si="85"/>
        <v>0</v>
      </c>
      <c r="I799" s="21">
        <f>IF(OR(B799="",C799="",$V$1=""),"",MIN(E799,SUMIFS('03_Planificacion'!$G$99:$G$178,'03_Planificacion'!$E$99:$E$178,B799,'03_Planificacion'!$F$99:$F$178,C799,'03_Planificacion'!$D$99:$D$178,"&lt;="&amp;$V$1)))</f>
        <v>0</v>
      </c>
      <c r="J799" s="21">
        <f t="shared" si="86"/>
        <v>0</v>
      </c>
      <c r="K799" s="6">
        <f t="shared" si="87"/>
        <v>0</v>
      </c>
      <c r="L799" t="s">
        <v>68</v>
      </c>
      <c r="P799" s="5">
        <f t="shared" si="88"/>
        <v>46287</v>
      </c>
      <c r="Q799" t="s">
        <v>129</v>
      </c>
      <c r="R799">
        <v>75</v>
      </c>
      <c r="S799" t="s">
        <v>70</v>
      </c>
      <c r="T799" t="str">
        <f t="shared" si="89"/>
        <v/>
      </c>
      <c r="U799" t="str">
        <f>IF(AND(L799="Para Programar",G799&gt;0),COUNTIFS($L$5:L799,"Para Programar",$G$5:G799,"&gt;0"),"")</f>
        <v/>
      </c>
      <c r="W799" t="str">
        <f t="shared" si="90"/>
        <v>N3 - N7|03 Base de asiento - Nivelación de fondo de zanja</v>
      </c>
      <c r="X799">
        <v>0</v>
      </c>
    </row>
    <row r="800" spans="1:24">
      <c r="A800" t="s">
        <v>75</v>
      </c>
      <c r="B800" s="14" t="s">
        <v>168</v>
      </c>
      <c r="C800" t="s">
        <v>76</v>
      </c>
      <c r="D800" s="13" t="s">
        <v>67</v>
      </c>
      <c r="E800" s="13">
        <v>64</v>
      </c>
      <c r="F800" s="13">
        <f>IF(E800="","",MIN(E800,$X800+SUMIFS('05_Parte_Diario'!$H$5:$H$204,'05_Parte_Diario'!$D$5:$D$204,B800,'05_Parte_Diario'!$E$5:$E$204,C800)))</f>
        <v>0</v>
      </c>
      <c r="G800" s="13">
        <f t="shared" si="84"/>
        <v>64</v>
      </c>
      <c r="H800" s="21">
        <f t="shared" si="85"/>
        <v>0</v>
      </c>
      <c r="I800" s="21">
        <f>IF(OR(B800="",C800="",$V$1=""),"",MIN(E800,SUMIFS('03_Planificacion'!$G$99:$G$178,'03_Planificacion'!$E$99:$E$178,B800,'03_Planificacion'!$F$99:$F$178,C800,'03_Planificacion'!$D$99:$D$178,"&lt;="&amp;$V$1)))</f>
        <v>0</v>
      </c>
      <c r="J800" s="21">
        <f t="shared" si="86"/>
        <v>0</v>
      </c>
      <c r="K800" s="6">
        <f t="shared" si="87"/>
        <v>0</v>
      </c>
      <c r="L800" t="s">
        <v>68</v>
      </c>
      <c r="P800" s="5">
        <f t="shared" si="88"/>
        <v>46287</v>
      </c>
      <c r="Q800" t="s">
        <v>129</v>
      </c>
      <c r="R800">
        <v>75</v>
      </c>
      <c r="S800" t="s">
        <v>70</v>
      </c>
      <c r="T800" t="str">
        <f t="shared" si="89"/>
        <v/>
      </c>
      <c r="U800" t="str">
        <f>IF(AND(L800="Para Programar",G800&gt;0),COUNTIFS($L$5:L800,"Para Programar",$G$5:G800,"&gt;0"),"")</f>
        <v/>
      </c>
      <c r="W800" t="str">
        <f t="shared" si="90"/>
        <v>N3 - N7|03 Base de asiento - Aporte de material base e=0,10 m</v>
      </c>
      <c r="X800">
        <v>0</v>
      </c>
    </row>
    <row r="801" spans="1:24">
      <c r="A801" t="s">
        <v>77</v>
      </c>
      <c r="B801" s="14" t="s">
        <v>168</v>
      </c>
      <c r="C801" t="s">
        <v>78</v>
      </c>
      <c r="D801" s="13" t="s">
        <v>67</v>
      </c>
      <c r="E801" s="13">
        <v>64</v>
      </c>
      <c r="F801" s="13">
        <f>IF(E801="","",MIN(E801,$X801+SUMIFS('05_Parte_Diario'!$H$5:$H$204,'05_Parte_Diario'!$D$5:$D$204,B801,'05_Parte_Diario'!$E$5:$E$204,C801)))</f>
        <v>0</v>
      </c>
      <c r="G801" s="13">
        <f t="shared" si="84"/>
        <v>64</v>
      </c>
      <c r="H801" s="21">
        <f t="shared" si="85"/>
        <v>0</v>
      </c>
      <c r="I801" s="21">
        <f>IF(OR(B801="",C801="",$V$1=""),"",MIN(E801,SUMIFS('03_Planificacion'!$G$99:$G$178,'03_Planificacion'!$E$99:$E$178,B801,'03_Planificacion'!$F$99:$F$178,C801,'03_Planificacion'!$D$99:$D$178,"&lt;="&amp;$V$1)))</f>
        <v>0</v>
      </c>
      <c r="J801" s="21">
        <f t="shared" si="86"/>
        <v>0</v>
      </c>
      <c r="K801" s="6">
        <f t="shared" si="87"/>
        <v>0</v>
      </c>
      <c r="L801" t="s">
        <v>68</v>
      </c>
      <c r="P801" s="5">
        <f t="shared" si="88"/>
        <v>46287</v>
      </c>
      <c r="Q801" t="s">
        <v>129</v>
      </c>
      <c r="R801">
        <v>75</v>
      </c>
      <c r="S801" t="s">
        <v>70</v>
      </c>
      <c r="T801" t="str">
        <f t="shared" si="89"/>
        <v/>
      </c>
      <c r="U801" t="str">
        <f>IF(AND(L801="Para Programar",G801&gt;0),COUNTIFS($L$5:L801,"Para Programar",$G$5:G801,"&gt;0"),"")</f>
        <v/>
      </c>
      <c r="W801" t="str">
        <f t="shared" si="90"/>
        <v>N3 - N7|03 Base de asiento - Compactación</v>
      </c>
      <c r="X801">
        <v>0</v>
      </c>
    </row>
    <row r="802" spans="1:24">
      <c r="A802" t="s">
        <v>79</v>
      </c>
      <c r="B802" s="14" t="s">
        <v>168</v>
      </c>
      <c r="C802" t="s">
        <v>80</v>
      </c>
      <c r="D802" s="13" t="s">
        <v>81</v>
      </c>
      <c r="E802" s="13">
        <v>1</v>
      </c>
      <c r="F802" s="13">
        <f>IF(E802="","",MIN(E802,$X802+SUMIFS('05_Parte_Diario'!$H$5:$H$204,'05_Parte_Diario'!$D$5:$D$204,B802,'05_Parte_Diario'!$E$5:$E$204,C802)))</f>
        <v>0</v>
      </c>
      <c r="G802" s="13">
        <f t="shared" si="84"/>
        <v>1</v>
      </c>
      <c r="H802" s="21">
        <f t="shared" si="85"/>
        <v>0</v>
      </c>
      <c r="I802" s="21">
        <f>IF(OR(B802="",C802="",$V$1=""),"",MIN(E802,SUMIFS('03_Planificacion'!$G$99:$G$178,'03_Planificacion'!$E$99:$E$178,B802,'03_Planificacion'!$F$99:$F$178,C802,'03_Planificacion'!$D$99:$D$178,"&lt;="&amp;$V$1)))</f>
        <v>0</v>
      </c>
      <c r="J802" s="21">
        <f t="shared" si="86"/>
        <v>0</v>
      </c>
      <c r="K802" s="6">
        <f t="shared" si="87"/>
        <v>0</v>
      </c>
      <c r="L802" t="s">
        <v>68</v>
      </c>
      <c r="P802" s="5">
        <f t="shared" si="88"/>
        <v>46287</v>
      </c>
      <c r="Q802" t="s">
        <v>129</v>
      </c>
      <c r="R802">
        <v>75</v>
      </c>
      <c r="S802" t="s">
        <v>70</v>
      </c>
      <c r="T802" t="str">
        <f t="shared" si="89"/>
        <v/>
      </c>
      <c r="U802" t="str">
        <f>IF(AND(L802="Para Programar",G802&gt;0),COUNTIFS($L$5:L802,"Para Programar",$G$5:G802,"&gt;0"),"")</f>
        <v/>
      </c>
      <c r="W802" t="str">
        <f t="shared" si="90"/>
        <v>N3 - N7|04 Inspecciones previas - Laboratorio base de asiento</v>
      </c>
      <c r="X802">
        <v>0</v>
      </c>
    </row>
    <row r="803" spans="1:24">
      <c r="A803" t="s">
        <v>82</v>
      </c>
      <c r="B803" s="14" t="s">
        <v>168</v>
      </c>
      <c r="C803" t="s">
        <v>83</v>
      </c>
      <c r="D803" s="13" t="s">
        <v>81</v>
      </c>
      <c r="E803" s="13">
        <v>1</v>
      </c>
      <c r="F803" s="13">
        <f>IF(E803="","",MIN(E803,$X803+SUMIFS('05_Parte_Diario'!$H$5:$H$204,'05_Parte_Diario'!$D$5:$D$204,B803,'05_Parte_Diario'!$E$5:$E$204,C803)))</f>
        <v>0</v>
      </c>
      <c r="G803" s="13">
        <f t="shared" si="84"/>
        <v>1</v>
      </c>
      <c r="H803" s="21">
        <f t="shared" si="85"/>
        <v>0</v>
      </c>
      <c r="I803" s="21">
        <f>IF(OR(B803="",C803="",$V$1=""),"",MIN(E803,SUMIFS('03_Planificacion'!$G$99:$G$178,'03_Planificacion'!$E$99:$E$178,B803,'03_Planificacion'!$F$99:$F$178,C803,'03_Planificacion'!$D$99:$D$178,"&lt;="&amp;$V$1)))</f>
        <v>0</v>
      </c>
      <c r="J803" s="21">
        <f t="shared" si="86"/>
        <v>0</v>
      </c>
      <c r="K803" s="6">
        <f t="shared" si="87"/>
        <v>0</v>
      </c>
      <c r="L803" t="s">
        <v>68</v>
      </c>
      <c r="P803" s="5">
        <f t="shared" si="88"/>
        <v>46287</v>
      </c>
      <c r="Q803" t="s">
        <v>129</v>
      </c>
      <c r="R803">
        <v>75</v>
      </c>
      <c r="S803" t="s">
        <v>70</v>
      </c>
      <c r="T803" t="str">
        <f t="shared" si="89"/>
        <v/>
      </c>
      <c r="U803" t="str">
        <f>IF(AND(L803="Para Programar",G803&gt;0),COUNTIFS($L$5:L803,"Para Programar",$G$5:G803,"&gt;0"),"")</f>
        <v/>
      </c>
      <c r="W803" t="str">
        <f t="shared" si="90"/>
        <v>N3 - N7|04 Inspecciones previas - Zanja y materiales</v>
      </c>
      <c r="X803">
        <v>0</v>
      </c>
    </row>
    <row r="804" spans="1:24">
      <c r="A804" t="s">
        <v>84</v>
      </c>
      <c r="B804" s="14" t="s">
        <v>168</v>
      </c>
      <c r="C804" t="s">
        <v>85</v>
      </c>
      <c r="D804" s="13" t="s">
        <v>67</v>
      </c>
      <c r="E804" s="13">
        <v>64</v>
      </c>
      <c r="F804" s="13">
        <f>IF(E804="","",MIN(E804,$X804+SUMIFS('05_Parte_Diario'!$H$5:$H$204,'05_Parte_Diario'!$D$5:$D$204,B804,'05_Parte_Diario'!$E$5:$E$204,C804)))</f>
        <v>0</v>
      </c>
      <c r="G804" s="13">
        <f t="shared" si="84"/>
        <v>64</v>
      </c>
      <c r="H804" s="21">
        <f t="shared" si="85"/>
        <v>0</v>
      </c>
      <c r="I804" s="21">
        <f>IF(OR(B804="",C804="",$V$1=""),"",MIN(E804,SUMIFS('03_Planificacion'!$G$99:$G$178,'03_Planificacion'!$E$99:$E$178,B804,'03_Planificacion'!$F$99:$F$178,C804,'03_Planificacion'!$D$99:$D$178,"&lt;="&amp;$V$1)))</f>
        <v>0</v>
      </c>
      <c r="J804" s="21">
        <f t="shared" si="86"/>
        <v>0</v>
      </c>
      <c r="K804" s="6">
        <f t="shared" si="87"/>
        <v>0</v>
      </c>
      <c r="L804" t="s">
        <v>68</v>
      </c>
      <c r="P804" s="5">
        <f t="shared" si="88"/>
        <v>46287</v>
      </c>
      <c r="Q804" t="s">
        <v>129</v>
      </c>
      <c r="R804">
        <v>75</v>
      </c>
      <c r="S804" t="s">
        <v>70</v>
      </c>
      <c r="T804" t="str">
        <f t="shared" si="89"/>
        <v/>
      </c>
      <c r="U804" t="str">
        <f>IF(AND(L804="Para Programar",G804&gt;0),COUNTIFS($L$5:L804,"Para Programar",$G$5:G804,"&gt;0"),"")</f>
        <v/>
      </c>
      <c r="W804" t="str">
        <f t="shared" si="90"/>
        <v>N3 - N7|05 Tendido de cañería - Cañería principal</v>
      </c>
      <c r="X804">
        <v>0</v>
      </c>
    </row>
    <row r="805" spans="1:24">
      <c r="A805" t="s">
        <v>86</v>
      </c>
      <c r="B805" s="14" t="s">
        <v>168</v>
      </c>
      <c r="C805" t="s">
        <v>87</v>
      </c>
      <c r="D805" s="13" t="s">
        <v>67</v>
      </c>
      <c r="E805" s="13">
        <v>64</v>
      </c>
      <c r="F805" s="13">
        <f>IF(E805="","",MIN(E805,$X805+SUMIFS('05_Parte_Diario'!$H$5:$H$204,'05_Parte_Diario'!$D$5:$D$204,B805,'05_Parte_Diario'!$E$5:$E$204,C805)))</f>
        <v>0</v>
      </c>
      <c r="G805" s="13">
        <f t="shared" si="84"/>
        <v>64</v>
      </c>
      <c r="H805" s="21">
        <f t="shared" si="85"/>
        <v>0</v>
      </c>
      <c r="I805" s="21">
        <f>IF(OR(B805="",C805="",$V$1=""),"",MIN(E805,SUMIFS('03_Planificacion'!$G$99:$G$178,'03_Planificacion'!$E$99:$E$178,B805,'03_Planificacion'!$F$99:$F$178,C805,'03_Planificacion'!$D$99:$D$178,"&lt;="&amp;$V$1)))</f>
        <v>0</v>
      </c>
      <c r="J805" s="21">
        <f t="shared" si="86"/>
        <v>0</v>
      </c>
      <c r="K805" s="6">
        <f t="shared" si="87"/>
        <v>0</v>
      </c>
      <c r="L805" t="s">
        <v>68</v>
      </c>
      <c r="P805" s="5">
        <f t="shared" si="88"/>
        <v>46287</v>
      </c>
      <c r="Q805" t="s">
        <v>129</v>
      </c>
      <c r="R805">
        <v>75</v>
      </c>
      <c r="S805" t="s">
        <v>70</v>
      </c>
      <c r="T805" t="str">
        <f t="shared" si="89"/>
        <v/>
      </c>
      <c r="U805" t="str">
        <f>IF(AND(L805="Para Programar",G805&gt;0),COUNTIFS($L$5:L805,"Para Programar",$G$5:G805,"&gt;0"),"")</f>
        <v/>
      </c>
      <c r="W805" t="str">
        <f t="shared" si="90"/>
        <v>N3 - N7|05 Tendido de cañería - Relevamiento planialtimétrico</v>
      </c>
      <c r="X805">
        <v>0</v>
      </c>
    </row>
    <row r="806" spans="1:24">
      <c r="A806" t="s">
        <v>88</v>
      </c>
      <c r="B806" s="14" t="s">
        <v>168</v>
      </c>
      <c r="C806" t="s">
        <v>89</v>
      </c>
      <c r="D806" s="13" t="s">
        <v>81</v>
      </c>
      <c r="E806" s="13">
        <v>1</v>
      </c>
      <c r="F806" s="13">
        <f>IF(E806="","",MIN(E806,$X806+SUMIFS('05_Parte_Diario'!$H$5:$H$204,'05_Parte_Diario'!$D$5:$D$204,B806,'05_Parte_Diario'!$E$5:$E$204,C806)))</f>
        <v>0</v>
      </c>
      <c r="G806" s="13">
        <f t="shared" si="84"/>
        <v>1</v>
      </c>
      <c r="H806" s="21">
        <f t="shared" si="85"/>
        <v>0</v>
      </c>
      <c r="I806" s="21">
        <f>IF(OR(B806="",C806="",$V$1=""),"",MIN(E806,SUMIFS('03_Planificacion'!$G$99:$G$178,'03_Planificacion'!$E$99:$E$178,B806,'03_Planificacion'!$F$99:$F$178,C806,'03_Planificacion'!$D$99:$D$178,"&lt;="&amp;$V$1)))</f>
        <v>0</v>
      </c>
      <c r="J806" s="21">
        <f t="shared" si="86"/>
        <v>0</v>
      </c>
      <c r="K806" s="6">
        <f t="shared" si="87"/>
        <v>0</v>
      </c>
      <c r="L806" t="s">
        <v>68</v>
      </c>
      <c r="P806" s="5">
        <f t="shared" si="88"/>
        <v>46287</v>
      </c>
      <c r="Q806" t="s">
        <v>129</v>
      </c>
      <c r="R806">
        <v>75</v>
      </c>
      <c r="S806" t="s">
        <v>70</v>
      </c>
      <c r="T806" t="str">
        <f t="shared" si="89"/>
        <v/>
      </c>
      <c r="U806" t="str">
        <f>IF(AND(L806="Para Programar",G806&gt;0),COUNTIFS($L$5:L806,"Para Programar",$G$5:G806,"&gt;0"),"")</f>
        <v/>
      </c>
      <c r="W806" t="str">
        <f t="shared" si="90"/>
        <v>N3 - N7|08 Prueba hidráulica - Preparación del sistema</v>
      </c>
      <c r="X806">
        <v>0</v>
      </c>
    </row>
    <row r="807" spans="1:24">
      <c r="A807" t="s">
        <v>90</v>
      </c>
      <c r="B807" s="14" t="s">
        <v>168</v>
      </c>
      <c r="C807" t="s">
        <v>91</v>
      </c>
      <c r="D807" s="13" t="s">
        <v>81</v>
      </c>
      <c r="E807" s="13">
        <v>1</v>
      </c>
      <c r="F807" s="13">
        <f>IF(E807="","",MIN(E807,$X807+SUMIFS('05_Parte_Diario'!$H$5:$H$204,'05_Parte_Diario'!$D$5:$D$204,B807,'05_Parte_Diario'!$E$5:$E$204,C807)))</f>
        <v>0</v>
      </c>
      <c r="G807" s="13">
        <f t="shared" si="84"/>
        <v>1</v>
      </c>
      <c r="H807" s="21">
        <f t="shared" si="85"/>
        <v>0</v>
      </c>
      <c r="I807" s="21">
        <f>IF(OR(B807="",C807="",$V$1=""),"",MIN(E807,SUMIFS('03_Planificacion'!$G$99:$G$178,'03_Planificacion'!$E$99:$E$178,B807,'03_Planificacion'!$F$99:$F$178,C807,'03_Planificacion'!$D$99:$D$178,"&lt;="&amp;$V$1)))</f>
        <v>0</v>
      </c>
      <c r="J807" s="21">
        <f t="shared" si="86"/>
        <v>0</v>
      </c>
      <c r="K807" s="6">
        <f t="shared" si="87"/>
        <v>0</v>
      </c>
      <c r="L807" t="s">
        <v>68</v>
      </c>
      <c r="P807" s="5">
        <f t="shared" si="88"/>
        <v>46287</v>
      </c>
      <c r="Q807" t="s">
        <v>129</v>
      </c>
      <c r="R807">
        <v>75</v>
      </c>
      <c r="S807" t="s">
        <v>70</v>
      </c>
      <c r="T807" t="str">
        <f t="shared" si="89"/>
        <v/>
      </c>
      <c r="U807" t="str">
        <f>IF(AND(L807="Para Programar",G807&gt;0),COUNTIFS($L$5:L807,"Para Programar",$G$5:G807,"&gt;0"),"")</f>
        <v/>
      </c>
      <c r="W807" t="str">
        <f t="shared" si="90"/>
        <v>N3 - N7|08 Prueba hidráulica - Interna N° 1</v>
      </c>
      <c r="X807">
        <v>0</v>
      </c>
    </row>
    <row r="808" spans="1:24">
      <c r="A808" t="s">
        <v>92</v>
      </c>
      <c r="B808" s="14" t="s">
        <v>168</v>
      </c>
      <c r="C808" t="s">
        <v>93</v>
      </c>
      <c r="D808" s="13" t="s">
        <v>81</v>
      </c>
      <c r="E808" s="13">
        <v>1</v>
      </c>
      <c r="F808" s="13">
        <f>IF(E808="","",MIN(E808,$X808+SUMIFS('05_Parte_Diario'!$H$5:$H$204,'05_Parte_Diario'!$D$5:$D$204,B808,'05_Parte_Diario'!$E$5:$E$204,C808)))</f>
        <v>0</v>
      </c>
      <c r="G808" s="13">
        <f t="shared" si="84"/>
        <v>1</v>
      </c>
      <c r="H808" s="21">
        <f t="shared" si="85"/>
        <v>0</v>
      </c>
      <c r="I808" s="21">
        <f>IF(OR(B808="",C808="",$V$1=""),"",MIN(E808,SUMIFS('03_Planificacion'!$G$99:$G$178,'03_Planificacion'!$E$99:$E$178,B808,'03_Planificacion'!$F$99:$F$178,C808,'03_Planificacion'!$D$99:$D$178,"&lt;="&amp;$V$1)))</f>
        <v>0</v>
      </c>
      <c r="J808" s="21">
        <f t="shared" si="86"/>
        <v>0</v>
      </c>
      <c r="K808" s="6">
        <f t="shared" si="87"/>
        <v>0</v>
      </c>
      <c r="L808" t="s">
        <v>68</v>
      </c>
      <c r="P808" s="5">
        <f t="shared" si="88"/>
        <v>46287</v>
      </c>
      <c r="Q808" t="s">
        <v>129</v>
      </c>
      <c r="R808">
        <v>75</v>
      </c>
      <c r="S808" t="s">
        <v>70</v>
      </c>
      <c r="T808" t="str">
        <f t="shared" si="89"/>
        <v/>
      </c>
      <c r="U808" t="str">
        <f>IF(AND(L808="Para Programar",G808&gt;0),COUNTIFS($L$5:L808,"Para Programar",$G$5:G808,"&gt;0"),"")</f>
        <v/>
      </c>
      <c r="W808" t="str">
        <f t="shared" si="90"/>
        <v>N3 - N7|08 Prueba hidráulica - Interna N° 2</v>
      </c>
      <c r="X808">
        <v>0</v>
      </c>
    </row>
    <row r="809" spans="1:24">
      <c r="A809" t="s">
        <v>94</v>
      </c>
      <c r="B809" s="14" t="s">
        <v>168</v>
      </c>
      <c r="C809" t="s">
        <v>95</v>
      </c>
      <c r="D809" s="13" t="s">
        <v>81</v>
      </c>
      <c r="E809" s="13">
        <v>1</v>
      </c>
      <c r="F809" s="13">
        <f>IF(E809="","",MIN(E809,$X809+SUMIFS('05_Parte_Diario'!$H$5:$H$204,'05_Parte_Diario'!$D$5:$D$204,B809,'05_Parte_Diario'!$E$5:$E$204,C809)))</f>
        <v>0</v>
      </c>
      <c r="G809" s="13">
        <f t="shared" si="84"/>
        <v>1</v>
      </c>
      <c r="H809" s="21">
        <f t="shared" si="85"/>
        <v>0</v>
      </c>
      <c r="I809" s="21">
        <f>IF(OR(B809="",C809="",$V$1=""),"",MIN(E809,SUMIFS('03_Planificacion'!$G$99:$G$178,'03_Planificacion'!$E$99:$E$178,B809,'03_Planificacion'!$F$99:$F$178,C809,'03_Planificacion'!$D$99:$D$178,"&lt;="&amp;$V$1)))</f>
        <v>0</v>
      </c>
      <c r="J809" s="21">
        <f t="shared" si="86"/>
        <v>0</v>
      </c>
      <c r="K809" s="6">
        <f t="shared" si="87"/>
        <v>0</v>
      </c>
      <c r="L809" t="s">
        <v>68</v>
      </c>
      <c r="P809" s="5">
        <f t="shared" si="88"/>
        <v>46287</v>
      </c>
      <c r="Q809" t="s">
        <v>129</v>
      </c>
      <c r="R809">
        <v>75</v>
      </c>
      <c r="S809" t="s">
        <v>70</v>
      </c>
      <c r="T809" t="str">
        <f t="shared" si="89"/>
        <v/>
      </c>
      <c r="U809" t="str">
        <f>IF(AND(L809="Para Programar",G809&gt;0),COUNTIFS($L$5:L809,"Para Programar",$G$5:G809,"&gt;0"),"")</f>
        <v/>
      </c>
      <c r="W809" t="str">
        <f t="shared" si="90"/>
        <v>N3 - N7|08 Prueba hidráulica - Primera prueba oficial</v>
      </c>
      <c r="X809">
        <v>0</v>
      </c>
    </row>
    <row r="810" spans="1:24">
      <c r="A810" t="s">
        <v>96</v>
      </c>
      <c r="B810" s="14" t="s">
        <v>168</v>
      </c>
      <c r="C810" t="s">
        <v>97</v>
      </c>
      <c r="D810" s="13" t="s">
        <v>67</v>
      </c>
      <c r="E810" s="13">
        <v>64</v>
      </c>
      <c r="F810" s="13">
        <f>IF(E810="","",MIN(E810,$X810+SUMIFS('05_Parte_Diario'!$H$5:$H$204,'05_Parte_Diario'!$D$5:$D$204,B810,'05_Parte_Diario'!$E$5:$E$204,C810)))</f>
        <v>0</v>
      </c>
      <c r="G810" s="13">
        <f t="shared" si="84"/>
        <v>64</v>
      </c>
      <c r="H810" s="21">
        <f t="shared" si="85"/>
        <v>0</v>
      </c>
      <c r="I810" s="21">
        <f>IF(OR(B810="",C810="",$V$1=""),"",MIN(E810,SUMIFS('03_Planificacion'!$G$99:$G$178,'03_Planificacion'!$E$99:$E$178,B810,'03_Planificacion'!$F$99:$F$178,C810,'03_Planificacion'!$D$99:$D$178,"&lt;="&amp;$V$1)))</f>
        <v>0</v>
      </c>
      <c r="J810" s="21">
        <f t="shared" si="86"/>
        <v>0</v>
      </c>
      <c r="K810" s="6">
        <f t="shared" si="87"/>
        <v>0</v>
      </c>
      <c r="L810" t="s">
        <v>68</v>
      </c>
      <c r="P810" s="5">
        <f t="shared" si="88"/>
        <v>46287</v>
      </c>
      <c r="Q810" t="s">
        <v>129</v>
      </c>
      <c r="R810">
        <v>75</v>
      </c>
      <c r="S810" t="s">
        <v>70</v>
      </c>
      <c r="T810" t="str">
        <f t="shared" si="89"/>
        <v/>
      </c>
      <c r="U810" t="str">
        <f>IF(AND(L810="Para Programar",G810&gt;0),COUNTIFS($L$5:L810,"Para Programar",$G$5:G810,"&gt;0"),"")</f>
        <v/>
      </c>
      <c r="W810" t="str">
        <f t="shared" si="90"/>
        <v>N3 - N7|09 Paquete estructural - Aporte e=0,30 m</v>
      </c>
      <c r="X810">
        <v>0</v>
      </c>
    </row>
    <row r="811" spans="1:24">
      <c r="A811" t="s">
        <v>98</v>
      </c>
      <c r="B811" s="14" t="s">
        <v>168</v>
      </c>
      <c r="C811" t="s">
        <v>99</v>
      </c>
      <c r="D811" s="13" t="s">
        <v>67</v>
      </c>
      <c r="E811" s="13">
        <v>64</v>
      </c>
      <c r="F811" s="13">
        <f>IF(E811="","",MIN(E811,$X811+SUMIFS('05_Parte_Diario'!$H$5:$H$204,'05_Parte_Diario'!$D$5:$D$204,B811,'05_Parte_Diario'!$E$5:$E$204,C811)))</f>
        <v>0</v>
      </c>
      <c r="G811" s="13">
        <f t="shared" si="84"/>
        <v>64</v>
      </c>
      <c r="H811" s="21">
        <f t="shared" si="85"/>
        <v>0</v>
      </c>
      <c r="I811" s="21">
        <f>IF(OR(B811="",C811="",$V$1=""),"",MIN(E811,SUMIFS('03_Planificacion'!$G$99:$G$178,'03_Planificacion'!$E$99:$E$178,B811,'03_Planificacion'!$F$99:$F$178,C811,'03_Planificacion'!$D$99:$D$178,"&lt;="&amp;$V$1)))</f>
        <v>0</v>
      </c>
      <c r="J811" s="21">
        <f t="shared" si="86"/>
        <v>0</v>
      </c>
      <c r="K811" s="6">
        <f t="shared" si="87"/>
        <v>0</v>
      </c>
      <c r="L811" t="s">
        <v>68</v>
      </c>
      <c r="P811" s="5">
        <f t="shared" si="88"/>
        <v>46287</v>
      </c>
      <c r="Q811" t="s">
        <v>129</v>
      </c>
      <c r="R811">
        <v>75</v>
      </c>
      <c r="S811" t="s">
        <v>70</v>
      </c>
      <c r="T811" t="str">
        <f t="shared" si="89"/>
        <v/>
      </c>
      <c r="U811" t="str">
        <f>IF(AND(L811="Para Programar",G811&gt;0),COUNTIFS($L$5:L811,"Para Programar",$G$5:G811,"&gt;0"),"")</f>
        <v/>
      </c>
      <c r="W811" t="str">
        <f t="shared" si="90"/>
        <v>N3 - N7|09 Paquete estructural - Compactación</v>
      </c>
      <c r="X811">
        <v>0</v>
      </c>
    </row>
    <row r="812" spans="1:24">
      <c r="A812" t="s">
        <v>100</v>
      </c>
      <c r="B812" s="14" t="s">
        <v>168</v>
      </c>
      <c r="C812" t="s">
        <v>101</v>
      </c>
      <c r="D812" s="13" t="s">
        <v>81</v>
      </c>
      <c r="E812" s="13">
        <v>1</v>
      </c>
      <c r="F812" s="13">
        <f>IF(E812="","",MIN(E812,$X812+SUMIFS('05_Parte_Diario'!$H$5:$H$204,'05_Parte_Diario'!$D$5:$D$204,B812,'05_Parte_Diario'!$E$5:$E$204,C812)))</f>
        <v>0</v>
      </c>
      <c r="G812" s="13">
        <f t="shared" si="84"/>
        <v>1</v>
      </c>
      <c r="H812" s="21">
        <f t="shared" si="85"/>
        <v>0</v>
      </c>
      <c r="I812" s="21">
        <f>IF(OR(B812="",C812="",$V$1=""),"",MIN(E812,SUMIFS('03_Planificacion'!$G$99:$G$178,'03_Planificacion'!$E$99:$E$178,B812,'03_Planificacion'!$F$99:$F$178,C812,'03_Planificacion'!$D$99:$D$178,"&lt;="&amp;$V$1)))</f>
        <v>0</v>
      </c>
      <c r="J812" s="21">
        <f t="shared" si="86"/>
        <v>0</v>
      </c>
      <c r="K812" s="6">
        <f t="shared" si="87"/>
        <v>0</v>
      </c>
      <c r="L812" t="s">
        <v>68</v>
      </c>
      <c r="P812" s="5">
        <f t="shared" si="88"/>
        <v>46287</v>
      </c>
      <c r="Q812" t="s">
        <v>129</v>
      </c>
      <c r="R812">
        <v>75</v>
      </c>
      <c r="S812" t="s">
        <v>70</v>
      </c>
      <c r="T812" t="str">
        <f t="shared" si="89"/>
        <v/>
      </c>
      <c r="U812" t="str">
        <f>IF(AND(L812="Para Programar",G812&gt;0),COUNTIFS($L$5:L812,"Para Programar",$G$5:G812,"&gt;0"),"")</f>
        <v/>
      </c>
      <c r="W812" t="str">
        <f t="shared" si="90"/>
        <v>N3 - N7|09 Paquete estructural - Inspección laboratorio</v>
      </c>
      <c r="X812">
        <v>0</v>
      </c>
    </row>
    <row r="813" spans="1:24">
      <c r="A813" t="s">
        <v>102</v>
      </c>
      <c r="B813" s="14" t="s">
        <v>168</v>
      </c>
      <c r="C813" t="s">
        <v>103</v>
      </c>
      <c r="D813" s="13" t="s">
        <v>67</v>
      </c>
      <c r="E813" s="13">
        <v>64</v>
      </c>
      <c r="F813" s="13">
        <f>IF(E813="","",MIN(E813,$X813+SUMIFS('05_Parte_Diario'!$H$5:$H$204,'05_Parte_Diario'!$D$5:$D$204,B813,'05_Parte_Diario'!$E$5:$E$204,C813)))</f>
        <v>0</v>
      </c>
      <c r="G813" s="13">
        <f t="shared" si="84"/>
        <v>64</v>
      </c>
      <c r="H813" s="21">
        <f t="shared" si="85"/>
        <v>0</v>
      </c>
      <c r="I813" s="21">
        <f>IF(OR(B813="",C813="",$V$1=""),"",MIN(E813,SUMIFS('03_Planificacion'!$G$99:$G$178,'03_Planificacion'!$E$99:$E$178,B813,'03_Planificacion'!$F$99:$F$178,C813,'03_Planificacion'!$D$99:$D$178,"&lt;="&amp;$V$1)))</f>
        <v>0</v>
      </c>
      <c r="J813" s="21">
        <f t="shared" si="86"/>
        <v>0</v>
      </c>
      <c r="K813" s="6">
        <f t="shared" si="87"/>
        <v>0</v>
      </c>
      <c r="L813" t="s">
        <v>68</v>
      </c>
      <c r="P813" s="5">
        <f t="shared" si="88"/>
        <v>46287</v>
      </c>
      <c r="Q813" t="s">
        <v>129</v>
      </c>
      <c r="R813">
        <v>75</v>
      </c>
      <c r="S813" t="s">
        <v>70</v>
      </c>
      <c r="T813" t="str">
        <f t="shared" si="89"/>
        <v/>
      </c>
      <c r="U813" t="str">
        <f>IF(AND(L813="Para Programar",G813&gt;0),COUNTIFS($L$5:L813,"Para Programar",$G$5:G813,"&gt;0"),"")</f>
        <v/>
      </c>
      <c r="W813" t="str">
        <f t="shared" si="90"/>
        <v>N3 - N7|10 Relleno -0,60 - Conformación de capa</v>
      </c>
      <c r="X813">
        <v>0</v>
      </c>
    </row>
    <row r="814" spans="1:24">
      <c r="A814" t="s">
        <v>104</v>
      </c>
      <c r="B814" s="14" t="s">
        <v>168</v>
      </c>
      <c r="C814" t="s">
        <v>105</v>
      </c>
      <c r="D814" s="13" t="s">
        <v>67</v>
      </c>
      <c r="E814" s="13">
        <v>64</v>
      </c>
      <c r="F814" s="13">
        <f>IF(E814="","",MIN(E814,$X814+SUMIFS('05_Parte_Diario'!$H$5:$H$204,'05_Parte_Diario'!$D$5:$D$204,B814,'05_Parte_Diario'!$E$5:$E$204,C814)))</f>
        <v>0</v>
      </c>
      <c r="G814" s="13">
        <f t="shared" si="84"/>
        <v>64</v>
      </c>
      <c r="H814" s="21">
        <f t="shared" si="85"/>
        <v>0</v>
      </c>
      <c r="I814" s="21">
        <f>IF(OR(B814="",C814="",$V$1=""),"",MIN(E814,SUMIFS('03_Planificacion'!$G$99:$G$178,'03_Planificacion'!$E$99:$E$178,B814,'03_Planificacion'!$F$99:$F$178,C814,'03_Planificacion'!$D$99:$D$178,"&lt;="&amp;$V$1)))</f>
        <v>0</v>
      </c>
      <c r="J814" s="21">
        <f t="shared" si="86"/>
        <v>0</v>
      </c>
      <c r="K814" s="6">
        <f t="shared" si="87"/>
        <v>0</v>
      </c>
      <c r="L814" t="s">
        <v>68</v>
      </c>
      <c r="P814" s="5">
        <f t="shared" si="88"/>
        <v>46287</v>
      </c>
      <c r="Q814" t="s">
        <v>129</v>
      </c>
      <c r="R814">
        <v>75</v>
      </c>
      <c r="S814" t="s">
        <v>70</v>
      </c>
      <c r="T814" t="str">
        <f t="shared" si="89"/>
        <v/>
      </c>
      <c r="U814" t="str">
        <f>IF(AND(L814="Para Programar",G814&gt;0),COUNTIFS($L$5:L814,"Para Programar",$G$5:G814,"&gt;0"),"")</f>
        <v/>
      </c>
      <c r="W814" t="str">
        <f t="shared" si="90"/>
        <v>N3 - N7|10 Relleno -0,60 - Humectación</v>
      </c>
      <c r="X814">
        <v>0</v>
      </c>
    </row>
    <row r="815" spans="1:24">
      <c r="A815" t="s">
        <v>106</v>
      </c>
      <c r="B815" s="14" t="s">
        <v>168</v>
      </c>
      <c r="C815" t="s">
        <v>107</v>
      </c>
      <c r="D815" s="13" t="s">
        <v>67</v>
      </c>
      <c r="E815" s="13">
        <v>64</v>
      </c>
      <c r="F815" s="13">
        <f>IF(E815="","",MIN(E815,$X815+SUMIFS('05_Parte_Diario'!$H$5:$H$204,'05_Parte_Diario'!$D$5:$D$204,B815,'05_Parte_Diario'!$E$5:$E$204,C815)))</f>
        <v>0</v>
      </c>
      <c r="G815" s="13">
        <f t="shared" si="84"/>
        <v>64</v>
      </c>
      <c r="H815" s="21">
        <f t="shared" si="85"/>
        <v>0</v>
      </c>
      <c r="I815" s="21">
        <f>IF(OR(B815="",C815="",$V$1=""),"",MIN(E815,SUMIFS('03_Planificacion'!$G$99:$G$178,'03_Planificacion'!$E$99:$E$178,B815,'03_Planificacion'!$F$99:$F$178,C815,'03_Planificacion'!$D$99:$D$178,"&lt;="&amp;$V$1)))</f>
        <v>0</v>
      </c>
      <c r="J815" s="21">
        <f t="shared" si="86"/>
        <v>0</v>
      </c>
      <c r="K815" s="6">
        <f t="shared" si="87"/>
        <v>0</v>
      </c>
      <c r="L815" t="s">
        <v>68</v>
      </c>
      <c r="P815" s="5">
        <f t="shared" si="88"/>
        <v>46287</v>
      </c>
      <c r="Q815" t="s">
        <v>129</v>
      </c>
      <c r="R815">
        <v>75</v>
      </c>
      <c r="S815" t="s">
        <v>70</v>
      </c>
      <c r="T815" t="str">
        <f t="shared" si="89"/>
        <v/>
      </c>
      <c r="U815" t="str">
        <f>IF(AND(L815="Para Programar",G815&gt;0),COUNTIFS($L$5:L815,"Para Programar",$G$5:G815,"&gt;0"),"")</f>
        <v/>
      </c>
      <c r="W815" t="str">
        <f t="shared" si="90"/>
        <v>N3 - N7|10 Relleno -0,60 - Compactación</v>
      </c>
      <c r="X815">
        <v>0</v>
      </c>
    </row>
    <row r="816" spans="1:24">
      <c r="A816" t="s">
        <v>108</v>
      </c>
      <c r="B816" s="14" t="s">
        <v>168</v>
      </c>
      <c r="C816" t="s">
        <v>109</v>
      </c>
      <c r="D816" s="13" t="s">
        <v>81</v>
      </c>
      <c r="E816" s="13">
        <v>1</v>
      </c>
      <c r="F816" s="13">
        <f>IF(E816="","",MIN(E816,$X816+SUMIFS('05_Parte_Diario'!$H$5:$H$204,'05_Parte_Diario'!$D$5:$D$204,B816,'05_Parte_Diario'!$E$5:$E$204,C816)))</f>
        <v>0</v>
      </c>
      <c r="G816" s="13">
        <f t="shared" si="84"/>
        <v>1</v>
      </c>
      <c r="H816" s="21">
        <f t="shared" si="85"/>
        <v>0</v>
      </c>
      <c r="I816" s="21">
        <f>IF(OR(B816="",C816="",$V$1=""),"",MIN(E816,SUMIFS('03_Planificacion'!$G$99:$G$178,'03_Planificacion'!$E$99:$E$178,B816,'03_Planificacion'!$F$99:$F$178,C816,'03_Planificacion'!$D$99:$D$178,"&lt;="&amp;$V$1)))</f>
        <v>0</v>
      </c>
      <c r="J816" s="21">
        <f t="shared" si="86"/>
        <v>0</v>
      </c>
      <c r="K816" s="6">
        <f t="shared" si="87"/>
        <v>0</v>
      </c>
      <c r="L816" t="s">
        <v>68</v>
      </c>
      <c r="P816" s="5">
        <f t="shared" si="88"/>
        <v>46287</v>
      </c>
      <c r="Q816" t="s">
        <v>129</v>
      </c>
      <c r="R816">
        <v>75</v>
      </c>
      <c r="S816" t="s">
        <v>70</v>
      </c>
      <c r="T816" t="str">
        <f t="shared" si="89"/>
        <v/>
      </c>
      <c r="U816" t="str">
        <f>IF(AND(L816="Para Programar",G816&gt;0),COUNTIFS($L$5:L816,"Para Programar",$G$5:G816,"&gt;0"),"")</f>
        <v/>
      </c>
      <c r="W816" t="str">
        <f t="shared" si="90"/>
        <v>N3 - N7|10 Relleno -0,60 - Inspección laboratorio</v>
      </c>
      <c r="X816">
        <v>0</v>
      </c>
    </row>
    <row r="817" spans="1:24">
      <c r="A817" t="s">
        <v>110</v>
      </c>
      <c r="B817" s="14" t="s">
        <v>168</v>
      </c>
      <c r="C817" t="s">
        <v>111</v>
      </c>
      <c r="D817" s="13" t="s">
        <v>67</v>
      </c>
      <c r="E817" s="13">
        <v>64</v>
      </c>
      <c r="F817" s="13">
        <f>IF(E817="","",MIN(E817,$X817+SUMIFS('05_Parte_Diario'!$H$5:$H$204,'05_Parte_Diario'!$D$5:$D$204,B817,'05_Parte_Diario'!$E$5:$E$204,C817)))</f>
        <v>0</v>
      </c>
      <c r="G817" s="13">
        <f t="shared" si="84"/>
        <v>64</v>
      </c>
      <c r="H817" s="21">
        <f t="shared" si="85"/>
        <v>0</v>
      </c>
      <c r="I817" s="21">
        <f>IF(OR(B817="",C817="",$V$1=""),"",MIN(E817,SUMIFS('03_Planificacion'!$G$99:$G$178,'03_Planificacion'!$E$99:$E$178,B817,'03_Planificacion'!$F$99:$F$178,C817,'03_Planificacion'!$D$99:$D$178,"&lt;="&amp;$V$1)))</f>
        <v>0</v>
      </c>
      <c r="J817" s="21">
        <f t="shared" si="86"/>
        <v>0</v>
      </c>
      <c r="K817" s="6">
        <f t="shared" si="87"/>
        <v>0</v>
      </c>
      <c r="L817" t="s">
        <v>68</v>
      </c>
      <c r="P817" s="5">
        <f t="shared" si="88"/>
        <v>46287</v>
      </c>
      <c r="Q817" t="s">
        <v>129</v>
      </c>
      <c r="R817">
        <v>75</v>
      </c>
      <c r="S817" t="s">
        <v>70</v>
      </c>
      <c r="T817" t="str">
        <f t="shared" si="89"/>
        <v/>
      </c>
      <c r="U817" t="str">
        <f>IF(AND(L817="Para Programar",G817&gt;0),COUNTIFS($L$5:L817,"Para Programar",$G$5:G817,"&gt;0"),"")</f>
        <v/>
      </c>
      <c r="W817" t="str">
        <f t="shared" si="90"/>
        <v>N3 - N7|11 Relleno -0,30 - Conformación de capa</v>
      </c>
      <c r="X817">
        <v>0</v>
      </c>
    </row>
    <row r="818" spans="1:24">
      <c r="A818" t="s">
        <v>112</v>
      </c>
      <c r="B818" s="14" t="s">
        <v>168</v>
      </c>
      <c r="C818" t="s">
        <v>113</v>
      </c>
      <c r="D818" s="13" t="s">
        <v>67</v>
      </c>
      <c r="E818" s="13">
        <v>64</v>
      </c>
      <c r="F818" s="13">
        <f>IF(E818="","",MIN(E818,$X818+SUMIFS('05_Parte_Diario'!$H$5:$H$204,'05_Parte_Diario'!$D$5:$D$204,B818,'05_Parte_Diario'!$E$5:$E$204,C818)))</f>
        <v>0</v>
      </c>
      <c r="G818" s="13">
        <f t="shared" si="84"/>
        <v>64</v>
      </c>
      <c r="H818" s="21">
        <f t="shared" si="85"/>
        <v>0</v>
      </c>
      <c r="I818" s="21">
        <f>IF(OR(B818="",C818="",$V$1=""),"",MIN(E818,SUMIFS('03_Planificacion'!$G$99:$G$178,'03_Planificacion'!$E$99:$E$178,B818,'03_Planificacion'!$F$99:$F$178,C818,'03_Planificacion'!$D$99:$D$178,"&lt;="&amp;$V$1)))</f>
        <v>0</v>
      </c>
      <c r="J818" s="21">
        <f t="shared" si="86"/>
        <v>0</v>
      </c>
      <c r="K818" s="6">
        <f t="shared" si="87"/>
        <v>0</v>
      </c>
      <c r="L818" t="s">
        <v>68</v>
      </c>
      <c r="P818" s="5">
        <f t="shared" si="88"/>
        <v>46287</v>
      </c>
      <c r="Q818" t="s">
        <v>129</v>
      </c>
      <c r="R818">
        <v>75</v>
      </c>
      <c r="S818" t="s">
        <v>70</v>
      </c>
      <c r="T818" t="str">
        <f t="shared" si="89"/>
        <v/>
      </c>
      <c r="U818" t="str">
        <f>IF(AND(L818="Para Programar",G818&gt;0),COUNTIFS($L$5:L818,"Para Programar",$G$5:G818,"&gt;0"),"")</f>
        <v/>
      </c>
      <c r="W818" t="str">
        <f t="shared" si="90"/>
        <v>N3 - N7|11 Relleno -0,30 - Humectación</v>
      </c>
      <c r="X818">
        <v>0</v>
      </c>
    </row>
    <row r="819" spans="1:24">
      <c r="A819" t="s">
        <v>114</v>
      </c>
      <c r="B819" s="14" t="s">
        <v>168</v>
      </c>
      <c r="C819" t="s">
        <v>115</v>
      </c>
      <c r="D819" s="13" t="s">
        <v>67</v>
      </c>
      <c r="E819" s="13">
        <v>64</v>
      </c>
      <c r="F819" s="13">
        <f>IF(E819="","",MIN(E819,$X819+SUMIFS('05_Parte_Diario'!$H$5:$H$204,'05_Parte_Diario'!$D$5:$D$204,B819,'05_Parte_Diario'!$E$5:$E$204,C819)))</f>
        <v>0</v>
      </c>
      <c r="G819" s="13">
        <f t="shared" si="84"/>
        <v>64</v>
      </c>
      <c r="H819" s="21">
        <f t="shared" si="85"/>
        <v>0</v>
      </c>
      <c r="I819" s="21">
        <f>IF(OR(B819="",C819="",$V$1=""),"",MIN(E819,SUMIFS('03_Planificacion'!$G$99:$G$178,'03_Planificacion'!$E$99:$E$178,B819,'03_Planificacion'!$F$99:$F$178,C819,'03_Planificacion'!$D$99:$D$178,"&lt;="&amp;$V$1)))</f>
        <v>0</v>
      </c>
      <c r="J819" s="21">
        <f t="shared" si="86"/>
        <v>0</v>
      </c>
      <c r="K819" s="6">
        <f t="shared" si="87"/>
        <v>0</v>
      </c>
      <c r="L819" t="s">
        <v>68</v>
      </c>
      <c r="P819" s="5">
        <f t="shared" si="88"/>
        <v>46287</v>
      </c>
      <c r="Q819" t="s">
        <v>129</v>
      </c>
      <c r="R819">
        <v>75</v>
      </c>
      <c r="S819" t="s">
        <v>70</v>
      </c>
      <c r="T819" t="str">
        <f t="shared" si="89"/>
        <v/>
      </c>
      <c r="U819" t="str">
        <f>IF(AND(L819="Para Programar",G819&gt;0),COUNTIFS($L$5:L819,"Para Programar",$G$5:G819,"&gt;0"),"")</f>
        <v/>
      </c>
      <c r="W819" t="str">
        <f t="shared" si="90"/>
        <v>N3 - N7|11 Relleno -0,30 - Compactación</v>
      </c>
      <c r="X819">
        <v>0</v>
      </c>
    </row>
    <row r="820" spans="1:24">
      <c r="A820" t="s">
        <v>116</v>
      </c>
      <c r="B820" s="14" t="s">
        <v>168</v>
      </c>
      <c r="C820" t="s">
        <v>117</v>
      </c>
      <c r="D820" s="13" t="s">
        <v>81</v>
      </c>
      <c r="E820" s="13">
        <v>1</v>
      </c>
      <c r="F820" s="13">
        <f>IF(E820="","",MIN(E820,$X820+SUMIFS('05_Parte_Diario'!$H$5:$H$204,'05_Parte_Diario'!$D$5:$D$204,B820,'05_Parte_Diario'!$E$5:$E$204,C820)))</f>
        <v>0</v>
      </c>
      <c r="G820" s="13">
        <f t="shared" si="84"/>
        <v>1</v>
      </c>
      <c r="H820" s="21">
        <f t="shared" si="85"/>
        <v>0</v>
      </c>
      <c r="I820" s="21">
        <f>IF(OR(B820="",C820="",$V$1=""),"",MIN(E820,SUMIFS('03_Planificacion'!$G$99:$G$178,'03_Planificacion'!$E$99:$E$178,B820,'03_Planificacion'!$F$99:$F$178,C820,'03_Planificacion'!$D$99:$D$178,"&lt;="&amp;$V$1)))</f>
        <v>0</v>
      </c>
      <c r="J820" s="21">
        <f t="shared" si="86"/>
        <v>0</v>
      </c>
      <c r="K820" s="6">
        <f t="shared" si="87"/>
        <v>0</v>
      </c>
      <c r="L820" t="s">
        <v>68</v>
      </c>
      <c r="P820" s="5">
        <f t="shared" si="88"/>
        <v>46287</v>
      </c>
      <c r="Q820" t="s">
        <v>129</v>
      </c>
      <c r="R820">
        <v>75</v>
      </c>
      <c r="S820" t="s">
        <v>70</v>
      </c>
      <c r="T820" t="str">
        <f t="shared" si="89"/>
        <v/>
      </c>
      <c r="U820" t="str">
        <f>IF(AND(L820="Para Programar",G820&gt;0),COUNTIFS($L$5:L820,"Para Programar",$G$5:G820,"&gt;0"),"")</f>
        <v/>
      </c>
      <c r="W820" t="str">
        <f t="shared" si="90"/>
        <v>N3 - N7|11 Relleno -0,30 - Inspección laboratorio</v>
      </c>
      <c r="X820">
        <v>0</v>
      </c>
    </row>
    <row r="821" spans="1:24">
      <c r="A821" t="s">
        <v>64</v>
      </c>
      <c r="B821" s="14" t="s">
        <v>169</v>
      </c>
      <c r="C821" t="s">
        <v>66</v>
      </c>
      <c r="D821" s="13" t="s">
        <v>67</v>
      </c>
      <c r="E821" s="13">
        <v>15</v>
      </c>
      <c r="F821" s="13">
        <f>IF(E821="","",MIN(E821,$X821+SUMIFS('05_Parte_Diario'!$H$5:$H$204,'05_Parte_Diario'!$D$5:$D$204,B821,'05_Parte_Diario'!$E$5:$E$204,C821)))</f>
        <v>0</v>
      </c>
      <c r="G821" s="13">
        <f t="shared" si="84"/>
        <v>15</v>
      </c>
      <c r="H821" s="21">
        <f t="shared" si="85"/>
        <v>0</v>
      </c>
      <c r="I821" s="21">
        <f>IF(OR(B821="",C821="",$V$1=""),"",MIN(E821,SUMIFS('03_Planificacion'!$G$99:$G$178,'03_Planificacion'!$E$99:$E$178,B821,'03_Planificacion'!$F$99:$F$178,C821,'03_Planificacion'!$D$99:$D$178,"&lt;="&amp;$V$1)))</f>
        <v>0</v>
      </c>
      <c r="J821" s="21">
        <f t="shared" si="86"/>
        <v>0</v>
      </c>
      <c r="K821" s="6">
        <f t="shared" si="87"/>
        <v>0</v>
      </c>
      <c r="L821" t="s">
        <v>68</v>
      </c>
      <c r="P821" s="5">
        <f t="shared" si="88"/>
        <v>46287</v>
      </c>
      <c r="Q821" t="s">
        <v>170</v>
      </c>
      <c r="R821">
        <v>160</v>
      </c>
      <c r="S821" t="s">
        <v>171</v>
      </c>
      <c r="T821" t="str">
        <f t="shared" si="89"/>
        <v/>
      </c>
      <c r="U821" t="str">
        <f>IF(AND(L821="Para Programar",G821&gt;0),COUNTIFS($L$5:L821,"Para Programar",$G$5:G821,"&gt;0"),"")</f>
        <v/>
      </c>
      <c r="W821" t="str">
        <f t="shared" si="90"/>
        <v>N31 - N35|01 Replanteo - Marcación de tramo de cañería principal</v>
      </c>
      <c r="X821">
        <v>0</v>
      </c>
    </row>
    <row r="822" spans="1:24">
      <c r="A822" t="s">
        <v>71</v>
      </c>
      <c r="B822" s="14" t="s">
        <v>169</v>
      </c>
      <c r="C822" t="s">
        <v>72</v>
      </c>
      <c r="D822" s="13" t="s">
        <v>67</v>
      </c>
      <c r="E822" s="13">
        <v>15</v>
      </c>
      <c r="F822" s="13">
        <f>IF(E822="","",MIN(E822,$X822+SUMIFS('05_Parte_Diario'!$H$5:$H$204,'05_Parte_Diario'!$D$5:$D$204,B822,'05_Parte_Diario'!$E$5:$E$204,C822)))</f>
        <v>0</v>
      </c>
      <c r="G822" s="13">
        <f t="shared" si="84"/>
        <v>15</v>
      </c>
      <c r="H822" s="21">
        <f t="shared" si="85"/>
        <v>0</v>
      </c>
      <c r="I822" s="21">
        <f>IF(OR(B822="",C822="",$V$1=""),"",MIN(E822,SUMIFS('03_Planificacion'!$G$99:$G$178,'03_Planificacion'!$E$99:$E$178,B822,'03_Planificacion'!$F$99:$F$178,C822,'03_Planificacion'!$D$99:$D$178,"&lt;="&amp;$V$1)))</f>
        <v>0</v>
      </c>
      <c r="J822" s="21">
        <f t="shared" si="86"/>
        <v>0</v>
      </c>
      <c r="K822" s="6">
        <f t="shared" si="87"/>
        <v>0</v>
      </c>
      <c r="L822" t="s">
        <v>68</v>
      </c>
      <c r="P822" s="5">
        <f t="shared" si="88"/>
        <v>46287</v>
      </c>
      <c r="Q822" t="s">
        <v>170</v>
      </c>
      <c r="R822">
        <v>160</v>
      </c>
      <c r="S822" t="s">
        <v>171</v>
      </c>
      <c r="T822" t="str">
        <f t="shared" si="89"/>
        <v/>
      </c>
      <c r="U822" t="str">
        <f>IF(AND(L822="Para Programar",G822&gt;0),COUNTIFS($L$5:L822,"Para Programar",$G$5:G822,"&gt;0"),"")</f>
        <v/>
      </c>
      <c r="W822" t="str">
        <f t="shared" si="90"/>
        <v>N31 - N35|02 Excavación - Zanja principal</v>
      </c>
      <c r="X822">
        <v>0</v>
      </c>
    </row>
    <row r="823" spans="1:24">
      <c r="A823" t="s">
        <v>73</v>
      </c>
      <c r="B823" s="14" t="s">
        <v>169</v>
      </c>
      <c r="C823" t="s">
        <v>74</v>
      </c>
      <c r="D823" s="13" t="s">
        <v>67</v>
      </c>
      <c r="E823" s="13">
        <v>15</v>
      </c>
      <c r="F823" s="13">
        <f>IF(E823="","",MIN(E823,$X823+SUMIFS('05_Parte_Diario'!$H$5:$H$204,'05_Parte_Diario'!$D$5:$D$204,B823,'05_Parte_Diario'!$E$5:$E$204,C823)))</f>
        <v>0</v>
      </c>
      <c r="G823" s="13">
        <f t="shared" si="84"/>
        <v>15</v>
      </c>
      <c r="H823" s="21">
        <f t="shared" si="85"/>
        <v>0</v>
      </c>
      <c r="I823" s="21">
        <f>IF(OR(B823="",C823="",$V$1=""),"",MIN(E823,SUMIFS('03_Planificacion'!$G$99:$G$178,'03_Planificacion'!$E$99:$E$178,B823,'03_Planificacion'!$F$99:$F$178,C823,'03_Planificacion'!$D$99:$D$178,"&lt;="&amp;$V$1)))</f>
        <v>0</v>
      </c>
      <c r="J823" s="21">
        <f t="shared" si="86"/>
        <v>0</v>
      </c>
      <c r="K823" s="6">
        <f t="shared" si="87"/>
        <v>0</v>
      </c>
      <c r="L823" t="s">
        <v>68</v>
      </c>
      <c r="P823" s="5">
        <f t="shared" si="88"/>
        <v>46287</v>
      </c>
      <c r="Q823" t="s">
        <v>170</v>
      </c>
      <c r="R823">
        <v>160</v>
      </c>
      <c r="S823" t="s">
        <v>171</v>
      </c>
      <c r="T823" t="str">
        <f t="shared" si="89"/>
        <v/>
      </c>
      <c r="U823" t="str">
        <f>IF(AND(L823="Para Programar",G823&gt;0),COUNTIFS($L$5:L823,"Para Programar",$G$5:G823,"&gt;0"),"")</f>
        <v/>
      </c>
      <c r="W823" t="str">
        <f t="shared" si="90"/>
        <v>N31 - N35|03 Base de asiento - Nivelación de fondo de zanja</v>
      </c>
      <c r="X823">
        <v>0</v>
      </c>
    </row>
    <row r="824" spans="1:24">
      <c r="A824" t="s">
        <v>75</v>
      </c>
      <c r="B824" s="14" t="s">
        <v>169</v>
      </c>
      <c r="C824" t="s">
        <v>76</v>
      </c>
      <c r="D824" s="13" t="s">
        <v>67</v>
      </c>
      <c r="E824" s="13">
        <v>15</v>
      </c>
      <c r="F824" s="13">
        <f>IF(E824="","",MIN(E824,$X824+SUMIFS('05_Parte_Diario'!$H$5:$H$204,'05_Parte_Diario'!$D$5:$D$204,B824,'05_Parte_Diario'!$E$5:$E$204,C824)))</f>
        <v>0</v>
      </c>
      <c r="G824" s="13">
        <f t="shared" si="84"/>
        <v>15</v>
      </c>
      <c r="H824" s="21">
        <f t="shared" si="85"/>
        <v>0</v>
      </c>
      <c r="I824" s="21">
        <f>IF(OR(B824="",C824="",$V$1=""),"",MIN(E824,SUMIFS('03_Planificacion'!$G$99:$G$178,'03_Planificacion'!$E$99:$E$178,B824,'03_Planificacion'!$F$99:$F$178,C824,'03_Planificacion'!$D$99:$D$178,"&lt;="&amp;$V$1)))</f>
        <v>0</v>
      </c>
      <c r="J824" s="21">
        <f t="shared" si="86"/>
        <v>0</v>
      </c>
      <c r="K824" s="6">
        <f t="shared" si="87"/>
        <v>0</v>
      </c>
      <c r="L824" t="s">
        <v>68</v>
      </c>
      <c r="P824" s="5">
        <f t="shared" si="88"/>
        <v>46287</v>
      </c>
      <c r="Q824" t="s">
        <v>170</v>
      </c>
      <c r="R824">
        <v>160</v>
      </c>
      <c r="S824" t="s">
        <v>171</v>
      </c>
      <c r="T824" t="str">
        <f t="shared" si="89"/>
        <v/>
      </c>
      <c r="U824" t="str">
        <f>IF(AND(L824="Para Programar",G824&gt;0),COUNTIFS($L$5:L824,"Para Programar",$G$5:G824,"&gt;0"),"")</f>
        <v/>
      </c>
      <c r="W824" t="str">
        <f t="shared" si="90"/>
        <v>N31 - N35|03 Base de asiento - Aporte de material base e=0,10 m</v>
      </c>
      <c r="X824">
        <v>0</v>
      </c>
    </row>
    <row r="825" spans="1:24">
      <c r="A825" t="s">
        <v>77</v>
      </c>
      <c r="B825" s="14" t="s">
        <v>169</v>
      </c>
      <c r="C825" t="s">
        <v>78</v>
      </c>
      <c r="D825" s="13" t="s">
        <v>67</v>
      </c>
      <c r="E825" s="13">
        <v>15</v>
      </c>
      <c r="F825" s="13">
        <f>IF(E825="","",MIN(E825,$X825+SUMIFS('05_Parte_Diario'!$H$5:$H$204,'05_Parte_Diario'!$D$5:$D$204,B825,'05_Parte_Diario'!$E$5:$E$204,C825)))</f>
        <v>0</v>
      </c>
      <c r="G825" s="13">
        <f t="shared" si="84"/>
        <v>15</v>
      </c>
      <c r="H825" s="21">
        <f t="shared" si="85"/>
        <v>0</v>
      </c>
      <c r="I825" s="21">
        <f>IF(OR(B825="",C825="",$V$1=""),"",MIN(E825,SUMIFS('03_Planificacion'!$G$99:$G$178,'03_Planificacion'!$E$99:$E$178,B825,'03_Planificacion'!$F$99:$F$178,C825,'03_Planificacion'!$D$99:$D$178,"&lt;="&amp;$V$1)))</f>
        <v>0</v>
      </c>
      <c r="J825" s="21">
        <f t="shared" si="86"/>
        <v>0</v>
      </c>
      <c r="K825" s="6">
        <f t="shared" si="87"/>
        <v>0</v>
      </c>
      <c r="L825" t="s">
        <v>68</v>
      </c>
      <c r="P825" s="5">
        <f t="shared" si="88"/>
        <v>46287</v>
      </c>
      <c r="Q825" t="s">
        <v>170</v>
      </c>
      <c r="R825">
        <v>160</v>
      </c>
      <c r="S825" t="s">
        <v>171</v>
      </c>
      <c r="T825" t="str">
        <f t="shared" si="89"/>
        <v/>
      </c>
      <c r="U825" t="str">
        <f>IF(AND(L825="Para Programar",G825&gt;0),COUNTIFS($L$5:L825,"Para Programar",$G$5:G825,"&gt;0"),"")</f>
        <v/>
      </c>
      <c r="W825" t="str">
        <f t="shared" si="90"/>
        <v>N31 - N35|03 Base de asiento - Compactación</v>
      </c>
      <c r="X825">
        <v>0</v>
      </c>
    </row>
    <row r="826" spans="1:24">
      <c r="A826" t="s">
        <v>79</v>
      </c>
      <c r="B826" s="14" t="s">
        <v>169</v>
      </c>
      <c r="C826" t="s">
        <v>80</v>
      </c>
      <c r="D826" s="13" t="s">
        <v>81</v>
      </c>
      <c r="E826" s="13">
        <v>1</v>
      </c>
      <c r="F826" s="13">
        <f>IF(E826="","",MIN(E826,$X826+SUMIFS('05_Parte_Diario'!$H$5:$H$204,'05_Parte_Diario'!$D$5:$D$204,B826,'05_Parte_Diario'!$E$5:$E$204,C826)))</f>
        <v>0</v>
      </c>
      <c r="G826" s="13">
        <f t="shared" si="84"/>
        <v>1</v>
      </c>
      <c r="H826" s="21">
        <f t="shared" si="85"/>
        <v>0</v>
      </c>
      <c r="I826" s="21">
        <f>IF(OR(B826="",C826="",$V$1=""),"",MIN(E826,SUMIFS('03_Planificacion'!$G$99:$G$178,'03_Planificacion'!$E$99:$E$178,B826,'03_Planificacion'!$F$99:$F$178,C826,'03_Planificacion'!$D$99:$D$178,"&lt;="&amp;$V$1)))</f>
        <v>0</v>
      </c>
      <c r="J826" s="21">
        <f t="shared" si="86"/>
        <v>0</v>
      </c>
      <c r="K826" s="6">
        <f t="shared" si="87"/>
        <v>0</v>
      </c>
      <c r="L826" t="s">
        <v>68</v>
      </c>
      <c r="P826" s="5">
        <f t="shared" si="88"/>
        <v>46287</v>
      </c>
      <c r="Q826" t="s">
        <v>170</v>
      </c>
      <c r="R826">
        <v>160</v>
      </c>
      <c r="S826" t="s">
        <v>171</v>
      </c>
      <c r="T826" t="str">
        <f t="shared" si="89"/>
        <v/>
      </c>
      <c r="U826" t="str">
        <f>IF(AND(L826="Para Programar",G826&gt;0),COUNTIFS($L$5:L826,"Para Programar",$G$5:G826,"&gt;0"),"")</f>
        <v/>
      </c>
      <c r="W826" t="str">
        <f t="shared" si="90"/>
        <v>N31 - N35|04 Inspecciones previas - Laboratorio base de asiento</v>
      </c>
      <c r="X826">
        <v>0</v>
      </c>
    </row>
    <row r="827" spans="1:24">
      <c r="A827" t="s">
        <v>82</v>
      </c>
      <c r="B827" s="14" t="s">
        <v>169</v>
      </c>
      <c r="C827" t="s">
        <v>83</v>
      </c>
      <c r="D827" s="13" t="s">
        <v>81</v>
      </c>
      <c r="E827" s="13">
        <v>1</v>
      </c>
      <c r="F827" s="13">
        <f>IF(E827="","",MIN(E827,$X827+SUMIFS('05_Parte_Diario'!$H$5:$H$204,'05_Parte_Diario'!$D$5:$D$204,B827,'05_Parte_Diario'!$E$5:$E$204,C827)))</f>
        <v>0</v>
      </c>
      <c r="G827" s="13">
        <f t="shared" si="84"/>
        <v>1</v>
      </c>
      <c r="H827" s="21">
        <f t="shared" si="85"/>
        <v>0</v>
      </c>
      <c r="I827" s="21">
        <f>IF(OR(B827="",C827="",$V$1=""),"",MIN(E827,SUMIFS('03_Planificacion'!$G$99:$G$178,'03_Planificacion'!$E$99:$E$178,B827,'03_Planificacion'!$F$99:$F$178,C827,'03_Planificacion'!$D$99:$D$178,"&lt;="&amp;$V$1)))</f>
        <v>0</v>
      </c>
      <c r="J827" s="21">
        <f t="shared" si="86"/>
        <v>0</v>
      </c>
      <c r="K827" s="6">
        <f t="shared" si="87"/>
        <v>0</v>
      </c>
      <c r="L827" t="s">
        <v>68</v>
      </c>
      <c r="P827" s="5">
        <f t="shared" si="88"/>
        <v>46287</v>
      </c>
      <c r="Q827" t="s">
        <v>170</v>
      </c>
      <c r="R827">
        <v>160</v>
      </c>
      <c r="S827" t="s">
        <v>171</v>
      </c>
      <c r="T827" t="str">
        <f t="shared" si="89"/>
        <v/>
      </c>
      <c r="U827" t="str">
        <f>IF(AND(L827="Para Programar",G827&gt;0),COUNTIFS($L$5:L827,"Para Programar",$G$5:G827,"&gt;0"),"")</f>
        <v/>
      </c>
      <c r="W827" t="str">
        <f t="shared" si="90"/>
        <v>N31 - N35|04 Inspecciones previas - Zanja y materiales</v>
      </c>
      <c r="X827">
        <v>0</v>
      </c>
    </row>
    <row r="828" spans="1:24">
      <c r="A828" t="s">
        <v>84</v>
      </c>
      <c r="B828" s="14" t="s">
        <v>169</v>
      </c>
      <c r="C828" t="s">
        <v>85</v>
      </c>
      <c r="D828" s="13" t="s">
        <v>67</v>
      </c>
      <c r="E828" s="13">
        <v>15</v>
      </c>
      <c r="F828" s="13">
        <f>IF(E828="","",MIN(E828,$X828+SUMIFS('05_Parte_Diario'!$H$5:$H$204,'05_Parte_Diario'!$D$5:$D$204,B828,'05_Parte_Diario'!$E$5:$E$204,C828)))</f>
        <v>0</v>
      </c>
      <c r="G828" s="13">
        <f t="shared" si="84"/>
        <v>15</v>
      </c>
      <c r="H828" s="21">
        <f t="shared" si="85"/>
        <v>0</v>
      </c>
      <c r="I828" s="21">
        <f>IF(OR(B828="",C828="",$V$1=""),"",MIN(E828,SUMIFS('03_Planificacion'!$G$99:$G$178,'03_Planificacion'!$E$99:$E$178,B828,'03_Planificacion'!$F$99:$F$178,C828,'03_Planificacion'!$D$99:$D$178,"&lt;="&amp;$V$1)))</f>
        <v>0</v>
      </c>
      <c r="J828" s="21">
        <f t="shared" si="86"/>
        <v>0</v>
      </c>
      <c r="K828" s="6">
        <f t="shared" si="87"/>
        <v>0</v>
      </c>
      <c r="L828" t="s">
        <v>68</v>
      </c>
      <c r="P828" s="5">
        <f t="shared" si="88"/>
        <v>46287</v>
      </c>
      <c r="Q828" t="s">
        <v>170</v>
      </c>
      <c r="R828">
        <v>160</v>
      </c>
      <c r="S828" t="s">
        <v>171</v>
      </c>
      <c r="T828" t="str">
        <f t="shared" si="89"/>
        <v/>
      </c>
      <c r="U828" t="str">
        <f>IF(AND(L828="Para Programar",G828&gt;0),COUNTIFS($L$5:L828,"Para Programar",$G$5:G828,"&gt;0"),"")</f>
        <v/>
      </c>
      <c r="W828" t="str">
        <f t="shared" si="90"/>
        <v>N31 - N35|05 Tendido de cañería - Cañería principal</v>
      </c>
      <c r="X828">
        <v>0</v>
      </c>
    </row>
    <row r="829" spans="1:24">
      <c r="A829" t="s">
        <v>86</v>
      </c>
      <c r="B829" s="14" t="s">
        <v>169</v>
      </c>
      <c r="C829" t="s">
        <v>87</v>
      </c>
      <c r="D829" s="13" t="s">
        <v>67</v>
      </c>
      <c r="E829" s="13">
        <v>15</v>
      </c>
      <c r="F829" s="13">
        <f>IF(E829="","",MIN(E829,$X829+SUMIFS('05_Parte_Diario'!$H$5:$H$204,'05_Parte_Diario'!$D$5:$D$204,B829,'05_Parte_Diario'!$E$5:$E$204,C829)))</f>
        <v>0</v>
      </c>
      <c r="G829" s="13">
        <f t="shared" si="84"/>
        <v>15</v>
      </c>
      <c r="H829" s="21">
        <f t="shared" si="85"/>
        <v>0</v>
      </c>
      <c r="I829" s="21">
        <f>IF(OR(B829="",C829="",$V$1=""),"",MIN(E829,SUMIFS('03_Planificacion'!$G$99:$G$178,'03_Planificacion'!$E$99:$E$178,B829,'03_Planificacion'!$F$99:$F$178,C829,'03_Planificacion'!$D$99:$D$178,"&lt;="&amp;$V$1)))</f>
        <v>0</v>
      </c>
      <c r="J829" s="21">
        <f t="shared" si="86"/>
        <v>0</v>
      </c>
      <c r="K829" s="6">
        <f t="shared" si="87"/>
        <v>0</v>
      </c>
      <c r="L829" t="s">
        <v>68</v>
      </c>
      <c r="P829" s="5">
        <f t="shared" si="88"/>
        <v>46287</v>
      </c>
      <c r="Q829" t="s">
        <v>170</v>
      </c>
      <c r="R829">
        <v>160</v>
      </c>
      <c r="S829" t="s">
        <v>171</v>
      </c>
      <c r="T829" t="str">
        <f t="shared" si="89"/>
        <v/>
      </c>
      <c r="U829" t="str">
        <f>IF(AND(L829="Para Programar",G829&gt;0),COUNTIFS($L$5:L829,"Para Programar",$G$5:G829,"&gt;0"),"")</f>
        <v/>
      </c>
      <c r="W829" t="str">
        <f t="shared" si="90"/>
        <v>N31 - N35|05 Tendido de cañería - Relevamiento planialtimétrico</v>
      </c>
      <c r="X829">
        <v>0</v>
      </c>
    </row>
    <row r="830" spans="1:24">
      <c r="A830" t="s">
        <v>88</v>
      </c>
      <c r="B830" s="14" t="s">
        <v>169</v>
      </c>
      <c r="C830" t="s">
        <v>89</v>
      </c>
      <c r="D830" s="13" t="s">
        <v>81</v>
      </c>
      <c r="E830" s="13">
        <v>1</v>
      </c>
      <c r="F830" s="13">
        <f>IF(E830="","",MIN(E830,$X830+SUMIFS('05_Parte_Diario'!$H$5:$H$204,'05_Parte_Diario'!$D$5:$D$204,B830,'05_Parte_Diario'!$E$5:$E$204,C830)))</f>
        <v>0</v>
      </c>
      <c r="G830" s="13">
        <f t="shared" si="84"/>
        <v>1</v>
      </c>
      <c r="H830" s="21">
        <f t="shared" si="85"/>
        <v>0</v>
      </c>
      <c r="I830" s="21">
        <f>IF(OR(B830="",C830="",$V$1=""),"",MIN(E830,SUMIFS('03_Planificacion'!$G$99:$G$178,'03_Planificacion'!$E$99:$E$178,B830,'03_Planificacion'!$F$99:$F$178,C830,'03_Planificacion'!$D$99:$D$178,"&lt;="&amp;$V$1)))</f>
        <v>0</v>
      </c>
      <c r="J830" s="21">
        <f t="shared" si="86"/>
        <v>0</v>
      </c>
      <c r="K830" s="6">
        <f t="shared" si="87"/>
        <v>0</v>
      </c>
      <c r="L830" t="s">
        <v>68</v>
      </c>
      <c r="P830" s="5">
        <f t="shared" si="88"/>
        <v>46287</v>
      </c>
      <c r="Q830" t="s">
        <v>170</v>
      </c>
      <c r="R830">
        <v>160</v>
      </c>
      <c r="S830" t="s">
        <v>171</v>
      </c>
      <c r="T830" t="str">
        <f t="shared" si="89"/>
        <v/>
      </c>
      <c r="U830" t="str">
        <f>IF(AND(L830="Para Programar",G830&gt;0),COUNTIFS($L$5:L830,"Para Programar",$G$5:G830,"&gt;0"),"")</f>
        <v/>
      </c>
      <c r="W830" t="str">
        <f t="shared" si="90"/>
        <v>N31 - N35|08 Prueba hidráulica - Preparación del sistema</v>
      </c>
      <c r="X830">
        <v>0</v>
      </c>
    </row>
    <row r="831" spans="1:24">
      <c r="A831" t="s">
        <v>90</v>
      </c>
      <c r="B831" s="14" t="s">
        <v>169</v>
      </c>
      <c r="C831" t="s">
        <v>91</v>
      </c>
      <c r="D831" s="13" t="s">
        <v>81</v>
      </c>
      <c r="E831" s="13">
        <v>1</v>
      </c>
      <c r="F831" s="13">
        <f>IF(E831="","",MIN(E831,$X831+SUMIFS('05_Parte_Diario'!$H$5:$H$204,'05_Parte_Diario'!$D$5:$D$204,B831,'05_Parte_Diario'!$E$5:$E$204,C831)))</f>
        <v>0</v>
      </c>
      <c r="G831" s="13">
        <f t="shared" si="84"/>
        <v>1</v>
      </c>
      <c r="H831" s="21">
        <f t="shared" si="85"/>
        <v>0</v>
      </c>
      <c r="I831" s="21">
        <f>IF(OR(B831="",C831="",$V$1=""),"",MIN(E831,SUMIFS('03_Planificacion'!$G$99:$G$178,'03_Planificacion'!$E$99:$E$178,B831,'03_Planificacion'!$F$99:$F$178,C831,'03_Planificacion'!$D$99:$D$178,"&lt;="&amp;$V$1)))</f>
        <v>0</v>
      </c>
      <c r="J831" s="21">
        <f t="shared" si="86"/>
        <v>0</v>
      </c>
      <c r="K831" s="6">
        <f t="shared" si="87"/>
        <v>0</v>
      </c>
      <c r="L831" t="s">
        <v>68</v>
      </c>
      <c r="P831" s="5">
        <f t="shared" si="88"/>
        <v>46287</v>
      </c>
      <c r="Q831" t="s">
        <v>170</v>
      </c>
      <c r="R831">
        <v>160</v>
      </c>
      <c r="S831" t="s">
        <v>171</v>
      </c>
      <c r="T831" t="str">
        <f t="shared" si="89"/>
        <v/>
      </c>
      <c r="U831" t="str">
        <f>IF(AND(L831="Para Programar",G831&gt;0),COUNTIFS($L$5:L831,"Para Programar",$G$5:G831,"&gt;0"),"")</f>
        <v/>
      </c>
      <c r="W831" t="str">
        <f t="shared" si="90"/>
        <v>N31 - N35|08 Prueba hidráulica - Interna N° 1</v>
      </c>
      <c r="X831">
        <v>0</v>
      </c>
    </row>
    <row r="832" spans="1:24">
      <c r="A832" t="s">
        <v>92</v>
      </c>
      <c r="B832" s="14" t="s">
        <v>169</v>
      </c>
      <c r="C832" t="s">
        <v>93</v>
      </c>
      <c r="D832" s="13" t="s">
        <v>81</v>
      </c>
      <c r="E832" s="13">
        <v>1</v>
      </c>
      <c r="F832" s="13">
        <f>IF(E832="","",MIN(E832,$X832+SUMIFS('05_Parte_Diario'!$H$5:$H$204,'05_Parte_Diario'!$D$5:$D$204,B832,'05_Parte_Diario'!$E$5:$E$204,C832)))</f>
        <v>0</v>
      </c>
      <c r="G832" s="13">
        <f t="shared" si="84"/>
        <v>1</v>
      </c>
      <c r="H832" s="21">
        <f t="shared" si="85"/>
        <v>0</v>
      </c>
      <c r="I832" s="21">
        <f>IF(OR(B832="",C832="",$V$1=""),"",MIN(E832,SUMIFS('03_Planificacion'!$G$99:$G$178,'03_Planificacion'!$E$99:$E$178,B832,'03_Planificacion'!$F$99:$F$178,C832,'03_Planificacion'!$D$99:$D$178,"&lt;="&amp;$V$1)))</f>
        <v>0</v>
      </c>
      <c r="J832" s="21">
        <f t="shared" si="86"/>
        <v>0</v>
      </c>
      <c r="K832" s="6">
        <f t="shared" si="87"/>
        <v>0</v>
      </c>
      <c r="L832" t="s">
        <v>68</v>
      </c>
      <c r="P832" s="5">
        <f t="shared" si="88"/>
        <v>46287</v>
      </c>
      <c r="Q832" t="s">
        <v>170</v>
      </c>
      <c r="R832">
        <v>160</v>
      </c>
      <c r="S832" t="s">
        <v>171</v>
      </c>
      <c r="T832" t="str">
        <f t="shared" si="89"/>
        <v/>
      </c>
      <c r="U832" t="str">
        <f>IF(AND(L832="Para Programar",G832&gt;0),COUNTIFS($L$5:L832,"Para Programar",$G$5:G832,"&gt;0"),"")</f>
        <v/>
      </c>
      <c r="W832" t="str">
        <f t="shared" si="90"/>
        <v>N31 - N35|08 Prueba hidráulica - Interna N° 2</v>
      </c>
      <c r="X832">
        <v>0</v>
      </c>
    </row>
    <row r="833" spans="1:24">
      <c r="A833" t="s">
        <v>94</v>
      </c>
      <c r="B833" s="14" t="s">
        <v>169</v>
      </c>
      <c r="C833" t="s">
        <v>95</v>
      </c>
      <c r="D833" s="13" t="s">
        <v>81</v>
      </c>
      <c r="E833" s="13">
        <v>1</v>
      </c>
      <c r="F833" s="13">
        <f>IF(E833="","",MIN(E833,$X833+SUMIFS('05_Parte_Diario'!$H$5:$H$204,'05_Parte_Diario'!$D$5:$D$204,B833,'05_Parte_Diario'!$E$5:$E$204,C833)))</f>
        <v>0</v>
      </c>
      <c r="G833" s="13">
        <f t="shared" si="84"/>
        <v>1</v>
      </c>
      <c r="H833" s="21">
        <f t="shared" si="85"/>
        <v>0</v>
      </c>
      <c r="I833" s="21">
        <f>IF(OR(B833="",C833="",$V$1=""),"",MIN(E833,SUMIFS('03_Planificacion'!$G$99:$G$178,'03_Planificacion'!$E$99:$E$178,B833,'03_Planificacion'!$F$99:$F$178,C833,'03_Planificacion'!$D$99:$D$178,"&lt;="&amp;$V$1)))</f>
        <v>0</v>
      </c>
      <c r="J833" s="21">
        <f t="shared" si="86"/>
        <v>0</v>
      </c>
      <c r="K833" s="6">
        <f t="shared" si="87"/>
        <v>0</v>
      </c>
      <c r="L833" t="s">
        <v>68</v>
      </c>
      <c r="P833" s="5">
        <f t="shared" si="88"/>
        <v>46287</v>
      </c>
      <c r="Q833" t="s">
        <v>170</v>
      </c>
      <c r="R833">
        <v>160</v>
      </c>
      <c r="S833" t="s">
        <v>171</v>
      </c>
      <c r="T833" t="str">
        <f t="shared" si="89"/>
        <v/>
      </c>
      <c r="U833" t="str">
        <f>IF(AND(L833="Para Programar",G833&gt;0),COUNTIFS($L$5:L833,"Para Programar",$G$5:G833,"&gt;0"),"")</f>
        <v/>
      </c>
      <c r="W833" t="str">
        <f t="shared" si="90"/>
        <v>N31 - N35|08 Prueba hidráulica - Primera prueba oficial</v>
      </c>
      <c r="X833">
        <v>0</v>
      </c>
    </row>
    <row r="834" spans="1:24">
      <c r="A834" t="s">
        <v>96</v>
      </c>
      <c r="B834" s="14" t="s">
        <v>169</v>
      </c>
      <c r="C834" t="s">
        <v>97</v>
      </c>
      <c r="D834" s="13" t="s">
        <v>67</v>
      </c>
      <c r="E834" s="13">
        <v>15</v>
      </c>
      <c r="F834" s="13">
        <f>IF(E834="","",MIN(E834,$X834+SUMIFS('05_Parte_Diario'!$H$5:$H$204,'05_Parte_Diario'!$D$5:$D$204,B834,'05_Parte_Diario'!$E$5:$E$204,C834)))</f>
        <v>0</v>
      </c>
      <c r="G834" s="13">
        <f t="shared" si="84"/>
        <v>15</v>
      </c>
      <c r="H834" s="21">
        <f t="shared" si="85"/>
        <v>0</v>
      </c>
      <c r="I834" s="21">
        <f>IF(OR(B834="",C834="",$V$1=""),"",MIN(E834,SUMIFS('03_Planificacion'!$G$99:$G$178,'03_Planificacion'!$E$99:$E$178,B834,'03_Planificacion'!$F$99:$F$178,C834,'03_Planificacion'!$D$99:$D$178,"&lt;="&amp;$V$1)))</f>
        <v>0</v>
      </c>
      <c r="J834" s="21">
        <f t="shared" si="86"/>
        <v>0</v>
      </c>
      <c r="K834" s="6">
        <f t="shared" si="87"/>
        <v>0</v>
      </c>
      <c r="L834" t="s">
        <v>68</v>
      </c>
      <c r="P834" s="5">
        <f t="shared" si="88"/>
        <v>46287</v>
      </c>
      <c r="Q834" t="s">
        <v>170</v>
      </c>
      <c r="R834">
        <v>160</v>
      </c>
      <c r="S834" t="s">
        <v>171</v>
      </c>
      <c r="T834" t="str">
        <f t="shared" si="89"/>
        <v/>
      </c>
      <c r="U834" t="str">
        <f>IF(AND(L834="Para Programar",G834&gt;0),COUNTIFS($L$5:L834,"Para Programar",$G$5:G834,"&gt;0"),"")</f>
        <v/>
      </c>
      <c r="W834" t="str">
        <f t="shared" si="90"/>
        <v>N31 - N35|09 Paquete estructural - Aporte e=0,30 m</v>
      </c>
      <c r="X834">
        <v>0</v>
      </c>
    </row>
    <row r="835" spans="1:24">
      <c r="A835" t="s">
        <v>98</v>
      </c>
      <c r="B835" s="14" t="s">
        <v>169</v>
      </c>
      <c r="C835" t="s">
        <v>99</v>
      </c>
      <c r="D835" s="13" t="s">
        <v>67</v>
      </c>
      <c r="E835" s="13">
        <v>15</v>
      </c>
      <c r="F835" s="13">
        <f>IF(E835="","",MIN(E835,$X835+SUMIFS('05_Parte_Diario'!$H$5:$H$204,'05_Parte_Diario'!$D$5:$D$204,B835,'05_Parte_Diario'!$E$5:$E$204,C835)))</f>
        <v>0</v>
      </c>
      <c r="G835" s="13">
        <f t="shared" si="84"/>
        <v>15</v>
      </c>
      <c r="H835" s="21">
        <f t="shared" si="85"/>
        <v>0</v>
      </c>
      <c r="I835" s="21">
        <f>IF(OR(B835="",C835="",$V$1=""),"",MIN(E835,SUMIFS('03_Planificacion'!$G$99:$G$178,'03_Planificacion'!$E$99:$E$178,B835,'03_Planificacion'!$F$99:$F$178,C835,'03_Planificacion'!$D$99:$D$178,"&lt;="&amp;$V$1)))</f>
        <v>0</v>
      </c>
      <c r="J835" s="21">
        <f t="shared" si="86"/>
        <v>0</v>
      </c>
      <c r="K835" s="6">
        <f t="shared" si="87"/>
        <v>0</v>
      </c>
      <c r="L835" t="s">
        <v>68</v>
      </c>
      <c r="P835" s="5">
        <f t="shared" si="88"/>
        <v>46287</v>
      </c>
      <c r="Q835" t="s">
        <v>170</v>
      </c>
      <c r="R835">
        <v>160</v>
      </c>
      <c r="S835" t="s">
        <v>171</v>
      </c>
      <c r="T835" t="str">
        <f t="shared" si="89"/>
        <v/>
      </c>
      <c r="U835" t="str">
        <f>IF(AND(L835="Para Programar",G835&gt;0),COUNTIFS($L$5:L835,"Para Programar",$G$5:G835,"&gt;0"),"")</f>
        <v/>
      </c>
      <c r="W835" t="str">
        <f t="shared" si="90"/>
        <v>N31 - N35|09 Paquete estructural - Compactación</v>
      </c>
      <c r="X835">
        <v>0</v>
      </c>
    </row>
    <row r="836" spans="1:24">
      <c r="A836" t="s">
        <v>100</v>
      </c>
      <c r="B836" s="14" t="s">
        <v>169</v>
      </c>
      <c r="C836" t="s">
        <v>101</v>
      </c>
      <c r="D836" s="13" t="s">
        <v>81</v>
      </c>
      <c r="E836" s="13">
        <v>1</v>
      </c>
      <c r="F836" s="13">
        <f>IF(E836="","",MIN(E836,$X836+SUMIFS('05_Parte_Diario'!$H$5:$H$204,'05_Parte_Diario'!$D$5:$D$204,B836,'05_Parte_Diario'!$E$5:$E$204,C836)))</f>
        <v>0</v>
      </c>
      <c r="G836" s="13">
        <f t="shared" si="84"/>
        <v>1</v>
      </c>
      <c r="H836" s="21">
        <f t="shared" si="85"/>
        <v>0</v>
      </c>
      <c r="I836" s="21">
        <f>IF(OR(B836="",C836="",$V$1=""),"",MIN(E836,SUMIFS('03_Planificacion'!$G$99:$G$178,'03_Planificacion'!$E$99:$E$178,B836,'03_Planificacion'!$F$99:$F$178,C836,'03_Planificacion'!$D$99:$D$178,"&lt;="&amp;$V$1)))</f>
        <v>0</v>
      </c>
      <c r="J836" s="21">
        <f t="shared" si="86"/>
        <v>0</v>
      </c>
      <c r="K836" s="6">
        <f t="shared" si="87"/>
        <v>0</v>
      </c>
      <c r="L836" t="s">
        <v>68</v>
      </c>
      <c r="P836" s="5">
        <f t="shared" si="88"/>
        <v>46287</v>
      </c>
      <c r="Q836" t="s">
        <v>170</v>
      </c>
      <c r="R836">
        <v>160</v>
      </c>
      <c r="S836" t="s">
        <v>171</v>
      </c>
      <c r="T836" t="str">
        <f t="shared" si="89"/>
        <v/>
      </c>
      <c r="U836" t="str">
        <f>IF(AND(L836="Para Programar",G836&gt;0),COUNTIFS($L$5:L836,"Para Programar",$G$5:G836,"&gt;0"),"")</f>
        <v/>
      </c>
      <c r="W836" t="str">
        <f t="shared" si="90"/>
        <v>N31 - N35|09 Paquete estructural - Inspección laboratorio</v>
      </c>
      <c r="X836">
        <v>0</v>
      </c>
    </row>
    <row r="837" spans="1:24">
      <c r="A837" t="s">
        <v>102</v>
      </c>
      <c r="B837" s="14" t="s">
        <v>169</v>
      </c>
      <c r="C837" t="s">
        <v>103</v>
      </c>
      <c r="D837" s="13" t="s">
        <v>67</v>
      </c>
      <c r="E837" s="13">
        <v>15</v>
      </c>
      <c r="F837" s="13">
        <f>IF(E837="","",MIN(E837,$X837+SUMIFS('05_Parte_Diario'!$H$5:$H$204,'05_Parte_Diario'!$D$5:$D$204,B837,'05_Parte_Diario'!$E$5:$E$204,C837)))</f>
        <v>0</v>
      </c>
      <c r="G837" s="13">
        <f t="shared" ref="G837:G900" si="91">IF(E837="","",MAX(E837-F837,0))</f>
        <v>15</v>
      </c>
      <c r="H837" s="21">
        <f t="shared" ref="H837:H900" si="92">IFERROR(F837/E837,0)</f>
        <v>0</v>
      </c>
      <c r="I837" s="21">
        <f>IF(OR(B837="",C837="",$V$1=""),"",MIN(E837,SUMIFS('03_Planificacion'!$G$99:$G$178,'03_Planificacion'!$E$99:$E$178,B837,'03_Planificacion'!$F$99:$F$178,C837,'03_Planificacion'!$D$99:$D$178,"&lt;="&amp;$V$1)))</f>
        <v>0</v>
      </c>
      <c r="J837" s="21">
        <f t="shared" ref="J837:J900" si="93">IFERROR(I837/E837,0)</f>
        <v>0</v>
      </c>
      <c r="K837" s="6">
        <f t="shared" ref="K837:K900" si="94">IF(OR(E837="",$V$1=""),"",H837-J837)</f>
        <v>0</v>
      </c>
      <c r="L837" t="s">
        <v>68</v>
      </c>
      <c r="P837" s="5">
        <f t="shared" ref="P837:P900" si="95">IF(A837="","",$V$1)</f>
        <v>46287</v>
      </c>
      <c r="Q837" t="s">
        <v>170</v>
      </c>
      <c r="R837">
        <v>160</v>
      </c>
      <c r="S837" t="s">
        <v>171</v>
      </c>
      <c r="T837" t="str">
        <f t="shared" ref="T837:T900" si="96">IF(A837="","",IF(AND(L837="Para Programar",G837=0),"INCONSISTENCIA - REVISAR MANUALMENTE: Para Programar sin saldo",IF(AND(L837="Terminada",G837&gt;0),"INCONSISTENCIA - REVISAR MANUALMENTE: Terminada con saldo","")))</f>
        <v/>
      </c>
      <c r="U837" t="str">
        <f>IF(AND(L837="Para Programar",G837&gt;0),COUNTIFS($L$5:L837,"Para Programar",$G$5:G837,"&gt;0"),"")</f>
        <v/>
      </c>
      <c r="W837" t="str">
        <f t="shared" ref="W837:W900" si="97">IF(OR(B837="",C837=""),"",B837&amp;"|"&amp;C837)</f>
        <v>N31 - N35|10 Relleno -0,60 - Conformación de capa</v>
      </c>
      <c r="X837">
        <v>0</v>
      </c>
    </row>
    <row r="838" spans="1:24">
      <c r="A838" t="s">
        <v>104</v>
      </c>
      <c r="B838" s="14" t="s">
        <v>169</v>
      </c>
      <c r="C838" t="s">
        <v>105</v>
      </c>
      <c r="D838" s="13" t="s">
        <v>67</v>
      </c>
      <c r="E838" s="13">
        <v>15</v>
      </c>
      <c r="F838" s="13">
        <f>IF(E838="","",MIN(E838,$X838+SUMIFS('05_Parte_Diario'!$H$5:$H$204,'05_Parte_Diario'!$D$5:$D$204,B838,'05_Parte_Diario'!$E$5:$E$204,C838)))</f>
        <v>0</v>
      </c>
      <c r="G838" s="13">
        <f t="shared" si="91"/>
        <v>15</v>
      </c>
      <c r="H838" s="21">
        <f t="shared" si="92"/>
        <v>0</v>
      </c>
      <c r="I838" s="21">
        <f>IF(OR(B838="",C838="",$V$1=""),"",MIN(E838,SUMIFS('03_Planificacion'!$G$99:$G$178,'03_Planificacion'!$E$99:$E$178,B838,'03_Planificacion'!$F$99:$F$178,C838,'03_Planificacion'!$D$99:$D$178,"&lt;="&amp;$V$1)))</f>
        <v>0</v>
      </c>
      <c r="J838" s="21">
        <f t="shared" si="93"/>
        <v>0</v>
      </c>
      <c r="K838" s="6">
        <f t="shared" si="94"/>
        <v>0</v>
      </c>
      <c r="L838" t="s">
        <v>68</v>
      </c>
      <c r="P838" s="5">
        <f t="shared" si="95"/>
        <v>46287</v>
      </c>
      <c r="Q838" t="s">
        <v>170</v>
      </c>
      <c r="R838">
        <v>160</v>
      </c>
      <c r="S838" t="s">
        <v>171</v>
      </c>
      <c r="T838" t="str">
        <f t="shared" si="96"/>
        <v/>
      </c>
      <c r="U838" t="str">
        <f>IF(AND(L838="Para Programar",G838&gt;0),COUNTIFS($L$5:L838,"Para Programar",$G$5:G838,"&gt;0"),"")</f>
        <v/>
      </c>
      <c r="W838" t="str">
        <f t="shared" si="97"/>
        <v>N31 - N35|10 Relleno -0,60 - Humectación</v>
      </c>
      <c r="X838">
        <v>0</v>
      </c>
    </row>
    <row r="839" spans="1:24">
      <c r="A839" t="s">
        <v>106</v>
      </c>
      <c r="B839" s="14" t="s">
        <v>169</v>
      </c>
      <c r="C839" t="s">
        <v>107</v>
      </c>
      <c r="D839" s="13" t="s">
        <v>67</v>
      </c>
      <c r="E839" s="13">
        <v>15</v>
      </c>
      <c r="F839" s="13">
        <f>IF(E839="","",MIN(E839,$X839+SUMIFS('05_Parte_Diario'!$H$5:$H$204,'05_Parte_Diario'!$D$5:$D$204,B839,'05_Parte_Diario'!$E$5:$E$204,C839)))</f>
        <v>0</v>
      </c>
      <c r="G839" s="13">
        <f t="shared" si="91"/>
        <v>15</v>
      </c>
      <c r="H839" s="21">
        <f t="shared" si="92"/>
        <v>0</v>
      </c>
      <c r="I839" s="21">
        <f>IF(OR(B839="",C839="",$V$1=""),"",MIN(E839,SUMIFS('03_Planificacion'!$G$99:$G$178,'03_Planificacion'!$E$99:$E$178,B839,'03_Planificacion'!$F$99:$F$178,C839,'03_Planificacion'!$D$99:$D$178,"&lt;="&amp;$V$1)))</f>
        <v>0</v>
      </c>
      <c r="J839" s="21">
        <f t="shared" si="93"/>
        <v>0</v>
      </c>
      <c r="K839" s="6">
        <f t="shared" si="94"/>
        <v>0</v>
      </c>
      <c r="L839" t="s">
        <v>68</v>
      </c>
      <c r="P839" s="5">
        <f t="shared" si="95"/>
        <v>46287</v>
      </c>
      <c r="Q839" t="s">
        <v>170</v>
      </c>
      <c r="R839">
        <v>160</v>
      </c>
      <c r="S839" t="s">
        <v>171</v>
      </c>
      <c r="T839" t="str">
        <f t="shared" si="96"/>
        <v/>
      </c>
      <c r="U839" t="str">
        <f>IF(AND(L839="Para Programar",G839&gt;0),COUNTIFS($L$5:L839,"Para Programar",$G$5:G839,"&gt;0"),"")</f>
        <v/>
      </c>
      <c r="W839" t="str">
        <f t="shared" si="97"/>
        <v>N31 - N35|10 Relleno -0,60 - Compactación</v>
      </c>
      <c r="X839">
        <v>0</v>
      </c>
    </row>
    <row r="840" spans="1:24">
      <c r="A840" t="s">
        <v>108</v>
      </c>
      <c r="B840" s="14" t="s">
        <v>169</v>
      </c>
      <c r="C840" t="s">
        <v>109</v>
      </c>
      <c r="D840" s="13" t="s">
        <v>81</v>
      </c>
      <c r="E840" s="13">
        <v>1</v>
      </c>
      <c r="F840" s="13">
        <f>IF(E840="","",MIN(E840,$X840+SUMIFS('05_Parte_Diario'!$H$5:$H$204,'05_Parte_Diario'!$D$5:$D$204,B840,'05_Parte_Diario'!$E$5:$E$204,C840)))</f>
        <v>0</v>
      </c>
      <c r="G840" s="13">
        <f t="shared" si="91"/>
        <v>1</v>
      </c>
      <c r="H840" s="21">
        <f t="shared" si="92"/>
        <v>0</v>
      </c>
      <c r="I840" s="21">
        <f>IF(OR(B840="",C840="",$V$1=""),"",MIN(E840,SUMIFS('03_Planificacion'!$G$99:$G$178,'03_Planificacion'!$E$99:$E$178,B840,'03_Planificacion'!$F$99:$F$178,C840,'03_Planificacion'!$D$99:$D$178,"&lt;="&amp;$V$1)))</f>
        <v>0</v>
      </c>
      <c r="J840" s="21">
        <f t="shared" si="93"/>
        <v>0</v>
      </c>
      <c r="K840" s="6">
        <f t="shared" si="94"/>
        <v>0</v>
      </c>
      <c r="L840" t="s">
        <v>68</v>
      </c>
      <c r="P840" s="5">
        <f t="shared" si="95"/>
        <v>46287</v>
      </c>
      <c r="Q840" t="s">
        <v>170</v>
      </c>
      <c r="R840">
        <v>160</v>
      </c>
      <c r="S840" t="s">
        <v>171</v>
      </c>
      <c r="T840" t="str">
        <f t="shared" si="96"/>
        <v/>
      </c>
      <c r="U840" t="str">
        <f>IF(AND(L840="Para Programar",G840&gt;0),COUNTIFS($L$5:L840,"Para Programar",$G$5:G840,"&gt;0"),"")</f>
        <v/>
      </c>
      <c r="W840" t="str">
        <f t="shared" si="97"/>
        <v>N31 - N35|10 Relleno -0,60 - Inspección laboratorio</v>
      </c>
      <c r="X840">
        <v>0</v>
      </c>
    </row>
    <row r="841" spans="1:24">
      <c r="A841" t="s">
        <v>110</v>
      </c>
      <c r="B841" s="14" t="s">
        <v>169</v>
      </c>
      <c r="C841" t="s">
        <v>111</v>
      </c>
      <c r="D841" s="13" t="s">
        <v>67</v>
      </c>
      <c r="E841" s="13">
        <v>15</v>
      </c>
      <c r="F841" s="13">
        <f>IF(E841="","",MIN(E841,$X841+SUMIFS('05_Parte_Diario'!$H$5:$H$204,'05_Parte_Diario'!$D$5:$D$204,B841,'05_Parte_Diario'!$E$5:$E$204,C841)))</f>
        <v>0</v>
      </c>
      <c r="G841" s="13">
        <f t="shared" si="91"/>
        <v>15</v>
      </c>
      <c r="H841" s="21">
        <f t="shared" si="92"/>
        <v>0</v>
      </c>
      <c r="I841" s="21">
        <f>IF(OR(B841="",C841="",$V$1=""),"",MIN(E841,SUMIFS('03_Planificacion'!$G$99:$G$178,'03_Planificacion'!$E$99:$E$178,B841,'03_Planificacion'!$F$99:$F$178,C841,'03_Planificacion'!$D$99:$D$178,"&lt;="&amp;$V$1)))</f>
        <v>0</v>
      </c>
      <c r="J841" s="21">
        <f t="shared" si="93"/>
        <v>0</v>
      </c>
      <c r="K841" s="6">
        <f t="shared" si="94"/>
        <v>0</v>
      </c>
      <c r="L841" t="s">
        <v>68</v>
      </c>
      <c r="P841" s="5">
        <f t="shared" si="95"/>
        <v>46287</v>
      </c>
      <c r="Q841" t="s">
        <v>170</v>
      </c>
      <c r="R841">
        <v>160</v>
      </c>
      <c r="S841" t="s">
        <v>171</v>
      </c>
      <c r="T841" t="str">
        <f t="shared" si="96"/>
        <v/>
      </c>
      <c r="U841" t="str">
        <f>IF(AND(L841="Para Programar",G841&gt;0),COUNTIFS($L$5:L841,"Para Programar",$G$5:G841,"&gt;0"),"")</f>
        <v/>
      </c>
      <c r="W841" t="str">
        <f t="shared" si="97"/>
        <v>N31 - N35|11 Relleno -0,30 - Conformación de capa</v>
      </c>
      <c r="X841">
        <v>0</v>
      </c>
    </row>
    <row r="842" spans="1:24">
      <c r="A842" t="s">
        <v>112</v>
      </c>
      <c r="B842" s="14" t="s">
        <v>169</v>
      </c>
      <c r="C842" t="s">
        <v>113</v>
      </c>
      <c r="D842" s="13" t="s">
        <v>67</v>
      </c>
      <c r="E842" s="13">
        <v>15</v>
      </c>
      <c r="F842" s="13">
        <f>IF(E842="","",MIN(E842,$X842+SUMIFS('05_Parte_Diario'!$H$5:$H$204,'05_Parte_Diario'!$D$5:$D$204,B842,'05_Parte_Diario'!$E$5:$E$204,C842)))</f>
        <v>0</v>
      </c>
      <c r="G842" s="13">
        <f t="shared" si="91"/>
        <v>15</v>
      </c>
      <c r="H842" s="21">
        <f t="shared" si="92"/>
        <v>0</v>
      </c>
      <c r="I842" s="21">
        <f>IF(OR(B842="",C842="",$V$1=""),"",MIN(E842,SUMIFS('03_Planificacion'!$G$99:$G$178,'03_Planificacion'!$E$99:$E$178,B842,'03_Planificacion'!$F$99:$F$178,C842,'03_Planificacion'!$D$99:$D$178,"&lt;="&amp;$V$1)))</f>
        <v>0</v>
      </c>
      <c r="J842" s="21">
        <f t="shared" si="93"/>
        <v>0</v>
      </c>
      <c r="K842" s="6">
        <f t="shared" si="94"/>
        <v>0</v>
      </c>
      <c r="L842" t="s">
        <v>68</v>
      </c>
      <c r="P842" s="5">
        <f t="shared" si="95"/>
        <v>46287</v>
      </c>
      <c r="Q842" t="s">
        <v>170</v>
      </c>
      <c r="R842">
        <v>160</v>
      </c>
      <c r="S842" t="s">
        <v>171</v>
      </c>
      <c r="T842" t="str">
        <f t="shared" si="96"/>
        <v/>
      </c>
      <c r="U842" t="str">
        <f>IF(AND(L842="Para Programar",G842&gt;0),COUNTIFS($L$5:L842,"Para Programar",$G$5:G842,"&gt;0"),"")</f>
        <v/>
      </c>
      <c r="W842" t="str">
        <f t="shared" si="97"/>
        <v>N31 - N35|11 Relleno -0,30 - Humectación</v>
      </c>
      <c r="X842">
        <v>0</v>
      </c>
    </row>
    <row r="843" spans="1:24">
      <c r="A843" t="s">
        <v>114</v>
      </c>
      <c r="B843" s="14" t="s">
        <v>169</v>
      </c>
      <c r="C843" t="s">
        <v>115</v>
      </c>
      <c r="D843" s="13" t="s">
        <v>67</v>
      </c>
      <c r="E843" s="13">
        <v>15</v>
      </c>
      <c r="F843" s="13">
        <f>IF(E843="","",MIN(E843,$X843+SUMIFS('05_Parte_Diario'!$H$5:$H$204,'05_Parte_Diario'!$D$5:$D$204,B843,'05_Parte_Diario'!$E$5:$E$204,C843)))</f>
        <v>0</v>
      </c>
      <c r="G843" s="13">
        <f t="shared" si="91"/>
        <v>15</v>
      </c>
      <c r="H843" s="21">
        <f t="shared" si="92"/>
        <v>0</v>
      </c>
      <c r="I843" s="21">
        <f>IF(OR(B843="",C843="",$V$1=""),"",MIN(E843,SUMIFS('03_Planificacion'!$G$99:$G$178,'03_Planificacion'!$E$99:$E$178,B843,'03_Planificacion'!$F$99:$F$178,C843,'03_Planificacion'!$D$99:$D$178,"&lt;="&amp;$V$1)))</f>
        <v>0</v>
      </c>
      <c r="J843" s="21">
        <f t="shared" si="93"/>
        <v>0</v>
      </c>
      <c r="K843" s="6">
        <f t="shared" si="94"/>
        <v>0</v>
      </c>
      <c r="L843" t="s">
        <v>68</v>
      </c>
      <c r="P843" s="5">
        <f t="shared" si="95"/>
        <v>46287</v>
      </c>
      <c r="Q843" t="s">
        <v>170</v>
      </c>
      <c r="R843">
        <v>160</v>
      </c>
      <c r="S843" t="s">
        <v>171</v>
      </c>
      <c r="T843" t="str">
        <f t="shared" si="96"/>
        <v/>
      </c>
      <c r="U843" t="str">
        <f>IF(AND(L843="Para Programar",G843&gt;0),COUNTIFS($L$5:L843,"Para Programar",$G$5:G843,"&gt;0"),"")</f>
        <v/>
      </c>
      <c r="W843" t="str">
        <f t="shared" si="97"/>
        <v>N31 - N35|11 Relleno -0,30 - Compactación</v>
      </c>
      <c r="X843">
        <v>0</v>
      </c>
    </row>
    <row r="844" spans="1:24">
      <c r="A844" t="s">
        <v>116</v>
      </c>
      <c r="B844" s="14" t="s">
        <v>169</v>
      </c>
      <c r="C844" t="s">
        <v>117</v>
      </c>
      <c r="D844" s="13" t="s">
        <v>81</v>
      </c>
      <c r="E844" s="13">
        <v>1</v>
      </c>
      <c r="F844" s="13">
        <f>IF(E844="","",MIN(E844,$X844+SUMIFS('05_Parte_Diario'!$H$5:$H$204,'05_Parte_Diario'!$D$5:$D$204,B844,'05_Parte_Diario'!$E$5:$E$204,C844)))</f>
        <v>0</v>
      </c>
      <c r="G844" s="13">
        <f t="shared" si="91"/>
        <v>1</v>
      </c>
      <c r="H844" s="21">
        <f t="shared" si="92"/>
        <v>0</v>
      </c>
      <c r="I844" s="21">
        <f>IF(OR(B844="",C844="",$V$1=""),"",MIN(E844,SUMIFS('03_Planificacion'!$G$99:$G$178,'03_Planificacion'!$E$99:$E$178,B844,'03_Planificacion'!$F$99:$F$178,C844,'03_Planificacion'!$D$99:$D$178,"&lt;="&amp;$V$1)))</f>
        <v>0</v>
      </c>
      <c r="J844" s="21">
        <f t="shared" si="93"/>
        <v>0</v>
      </c>
      <c r="K844" s="6">
        <f t="shared" si="94"/>
        <v>0</v>
      </c>
      <c r="L844" t="s">
        <v>68</v>
      </c>
      <c r="P844" s="5">
        <f t="shared" si="95"/>
        <v>46287</v>
      </c>
      <c r="Q844" t="s">
        <v>170</v>
      </c>
      <c r="R844">
        <v>160</v>
      </c>
      <c r="S844" t="s">
        <v>171</v>
      </c>
      <c r="T844" t="str">
        <f t="shared" si="96"/>
        <v/>
      </c>
      <c r="U844" t="str">
        <f>IF(AND(L844="Para Programar",G844&gt;0),COUNTIFS($L$5:L844,"Para Programar",$G$5:G844,"&gt;0"),"")</f>
        <v/>
      </c>
      <c r="W844" t="str">
        <f t="shared" si="97"/>
        <v>N31 - N35|11 Relleno -0,30 - Inspección laboratorio</v>
      </c>
      <c r="X844">
        <v>0</v>
      </c>
    </row>
    <row r="845" spans="1:24">
      <c r="A845" t="s">
        <v>64</v>
      </c>
      <c r="B845" s="14" t="s">
        <v>172</v>
      </c>
      <c r="C845" t="s">
        <v>66</v>
      </c>
      <c r="D845" s="13" t="s">
        <v>67</v>
      </c>
      <c r="E845" s="13">
        <v>85</v>
      </c>
      <c r="F845" s="13">
        <f>IF(E845="","",MIN(E845,$X845+SUMIFS('05_Parte_Diario'!$H$5:$H$204,'05_Parte_Diario'!$D$5:$D$204,B845,'05_Parte_Diario'!$E$5:$E$204,C845)))</f>
        <v>0</v>
      </c>
      <c r="G845" s="13">
        <f t="shared" si="91"/>
        <v>85</v>
      </c>
      <c r="H845" s="21">
        <f t="shared" si="92"/>
        <v>0</v>
      </c>
      <c r="I845" s="21">
        <f>IF(OR(B845="",C845="",$V$1=""),"",MIN(E845,SUMIFS('03_Planificacion'!$G$99:$G$178,'03_Planificacion'!$E$99:$E$178,B845,'03_Planificacion'!$F$99:$F$178,C845,'03_Planificacion'!$D$99:$D$178,"&lt;="&amp;$V$1)))</f>
        <v>0</v>
      </c>
      <c r="J845" s="21">
        <f t="shared" si="93"/>
        <v>0</v>
      </c>
      <c r="K845" s="6">
        <f t="shared" si="94"/>
        <v>0</v>
      </c>
      <c r="L845" t="s">
        <v>68</v>
      </c>
      <c r="P845" s="5">
        <f t="shared" si="95"/>
        <v>46287</v>
      </c>
      <c r="Q845" t="s">
        <v>170</v>
      </c>
      <c r="R845">
        <v>160</v>
      </c>
      <c r="S845" t="s">
        <v>171</v>
      </c>
      <c r="T845" t="str">
        <f t="shared" si="96"/>
        <v/>
      </c>
      <c r="U845" t="str">
        <f>IF(AND(L845="Para Programar",G845&gt;0),COUNTIFS($L$5:L845,"Para Programar",$G$5:G845,"&gt;0"),"")</f>
        <v/>
      </c>
      <c r="W845" t="str">
        <f t="shared" si="97"/>
        <v>N31 - N36|01 Replanteo - Marcación de tramo de cañería principal</v>
      </c>
      <c r="X845">
        <v>0</v>
      </c>
    </row>
    <row r="846" spans="1:24">
      <c r="A846" t="s">
        <v>71</v>
      </c>
      <c r="B846" s="14" t="s">
        <v>172</v>
      </c>
      <c r="C846" t="s">
        <v>72</v>
      </c>
      <c r="D846" s="13" t="s">
        <v>67</v>
      </c>
      <c r="E846" s="13">
        <v>85</v>
      </c>
      <c r="F846" s="13">
        <f>IF(E846="","",MIN(E846,$X846+SUMIFS('05_Parte_Diario'!$H$5:$H$204,'05_Parte_Diario'!$D$5:$D$204,B846,'05_Parte_Diario'!$E$5:$E$204,C846)))</f>
        <v>0</v>
      </c>
      <c r="G846" s="13">
        <f t="shared" si="91"/>
        <v>85</v>
      </c>
      <c r="H846" s="21">
        <f t="shared" si="92"/>
        <v>0</v>
      </c>
      <c r="I846" s="21">
        <f>IF(OR(B846="",C846="",$V$1=""),"",MIN(E846,SUMIFS('03_Planificacion'!$G$99:$G$178,'03_Planificacion'!$E$99:$E$178,B846,'03_Planificacion'!$F$99:$F$178,C846,'03_Planificacion'!$D$99:$D$178,"&lt;="&amp;$V$1)))</f>
        <v>0</v>
      </c>
      <c r="J846" s="21">
        <f t="shared" si="93"/>
        <v>0</v>
      </c>
      <c r="K846" s="6">
        <f t="shared" si="94"/>
        <v>0</v>
      </c>
      <c r="L846" t="s">
        <v>68</v>
      </c>
      <c r="P846" s="5">
        <f t="shared" si="95"/>
        <v>46287</v>
      </c>
      <c r="Q846" t="s">
        <v>170</v>
      </c>
      <c r="R846">
        <v>160</v>
      </c>
      <c r="S846" t="s">
        <v>171</v>
      </c>
      <c r="T846" t="str">
        <f t="shared" si="96"/>
        <v/>
      </c>
      <c r="U846" t="str">
        <f>IF(AND(L846="Para Programar",G846&gt;0),COUNTIFS($L$5:L846,"Para Programar",$G$5:G846,"&gt;0"),"")</f>
        <v/>
      </c>
      <c r="W846" t="str">
        <f t="shared" si="97"/>
        <v>N31 - N36|02 Excavación - Zanja principal</v>
      </c>
      <c r="X846">
        <v>0</v>
      </c>
    </row>
    <row r="847" spans="1:24">
      <c r="A847" t="s">
        <v>73</v>
      </c>
      <c r="B847" s="14" t="s">
        <v>172</v>
      </c>
      <c r="C847" t="s">
        <v>74</v>
      </c>
      <c r="D847" s="13" t="s">
        <v>67</v>
      </c>
      <c r="E847" s="13">
        <v>85</v>
      </c>
      <c r="F847" s="13">
        <f>IF(E847="","",MIN(E847,$X847+SUMIFS('05_Parte_Diario'!$H$5:$H$204,'05_Parte_Diario'!$D$5:$D$204,B847,'05_Parte_Diario'!$E$5:$E$204,C847)))</f>
        <v>0</v>
      </c>
      <c r="G847" s="13">
        <f t="shared" si="91"/>
        <v>85</v>
      </c>
      <c r="H847" s="21">
        <f t="shared" si="92"/>
        <v>0</v>
      </c>
      <c r="I847" s="21">
        <f>IF(OR(B847="",C847="",$V$1=""),"",MIN(E847,SUMIFS('03_Planificacion'!$G$99:$G$178,'03_Planificacion'!$E$99:$E$178,B847,'03_Planificacion'!$F$99:$F$178,C847,'03_Planificacion'!$D$99:$D$178,"&lt;="&amp;$V$1)))</f>
        <v>0</v>
      </c>
      <c r="J847" s="21">
        <f t="shared" si="93"/>
        <v>0</v>
      </c>
      <c r="K847" s="6">
        <f t="shared" si="94"/>
        <v>0</v>
      </c>
      <c r="L847" t="s">
        <v>68</v>
      </c>
      <c r="P847" s="5">
        <f t="shared" si="95"/>
        <v>46287</v>
      </c>
      <c r="Q847" t="s">
        <v>170</v>
      </c>
      <c r="R847">
        <v>160</v>
      </c>
      <c r="S847" t="s">
        <v>171</v>
      </c>
      <c r="T847" t="str">
        <f t="shared" si="96"/>
        <v/>
      </c>
      <c r="U847" t="str">
        <f>IF(AND(L847="Para Programar",G847&gt;0),COUNTIFS($L$5:L847,"Para Programar",$G$5:G847,"&gt;0"),"")</f>
        <v/>
      </c>
      <c r="W847" t="str">
        <f t="shared" si="97"/>
        <v>N31 - N36|03 Base de asiento - Nivelación de fondo de zanja</v>
      </c>
      <c r="X847">
        <v>0</v>
      </c>
    </row>
    <row r="848" spans="1:24">
      <c r="A848" t="s">
        <v>75</v>
      </c>
      <c r="B848" s="14" t="s">
        <v>172</v>
      </c>
      <c r="C848" t="s">
        <v>76</v>
      </c>
      <c r="D848" s="13" t="s">
        <v>67</v>
      </c>
      <c r="E848" s="13">
        <v>85</v>
      </c>
      <c r="F848" s="13">
        <f>IF(E848="","",MIN(E848,$X848+SUMIFS('05_Parte_Diario'!$H$5:$H$204,'05_Parte_Diario'!$D$5:$D$204,B848,'05_Parte_Diario'!$E$5:$E$204,C848)))</f>
        <v>0</v>
      </c>
      <c r="G848" s="13">
        <f t="shared" si="91"/>
        <v>85</v>
      </c>
      <c r="H848" s="21">
        <f t="shared" si="92"/>
        <v>0</v>
      </c>
      <c r="I848" s="21">
        <f>IF(OR(B848="",C848="",$V$1=""),"",MIN(E848,SUMIFS('03_Planificacion'!$G$99:$G$178,'03_Planificacion'!$E$99:$E$178,B848,'03_Planificacion'!$F$99:$F$178,C848,'03_Planificacion'!$D$99:$D$178,"&lt;="&amp;$V$1)))</f>
        <v>0</v>
      </c>
      <c r="J848" s="21">
        <f t="shared" si="93"/>
        <v>0</v>
      </c>
      <c r="K848" s="6">
        <f t="shared" si="94"/>
        <v>0</v>
      </c>
      <c r="L848" t="s">
        <v>68</v>
      </c>
      <c r="P848" s="5">
        <f t="shared" si="95"/>
        <v>46287</v>
      </c>
      <c r="Q848" t="s">
        <v>170</v>
      </c>
      <c r="R848">
        <v>160</v>
      </c>
      <c r="S848" t="s">
        <v>171</v>
      </c>
      <c r="T848" t="str">
        <f t="shared" si="96"/>
        <v/>
      </c>
      <c r="U848" t="str">
        <f>IF(AND(L848="Para Programar",G848&gt;0),COUNTIFS($L$5:L848,"Para Programar",$G$5:G848,"&gt;0"),"")</f>
        <v/>
      </c>
      <c r="W848" t="str">
        <f t="shared" si="97"/>
        <v>N31 - N36|03 Base de asiento - Aporte de material base e=0,10 m</v>
      </c>
      <c r="X848">
        <v>0</v>
      </c>
    </row>
    <row r="849" spans="1:24">
      <c r="A849" t="s">
        <v>77</v>
      </c>
      <c r="B849" s="14" t="s">
        <v>172</v>
      </c>
      <c r="C849" t="s">
        <v>78</v>
      </c>
      <c r="D849" s="13" t="s">
        <v>67</v>
      </c>
      <c r="E849" s="13">
        <v>85</v>
      </c>
      <c r="F849" s="13">
        <f>IF(E849="","",MIN(E849,$X849+SUMIFS('05_Parte_Diario'!$H$5:$H$204,'05_Parte_Diario'!$D$5:$D$204,B849,'05_Parte_Diario'!$E$5:$E$204,C849)))</f>
        <v>0</v>
      </c>
      <c r="G849" s="13">
        <f t="shared" si="91"/>
        <v>85</v>
      </c>
      <c r="H849" s="21">
        <f t="shared" si="92"/>
        <v>0</v>
      </c>
      <c r="I849" s="21">
        <f>IF(OR(B849="",C849="",$V$1=""),"",MIN(E849,SUMIFS('03_Planificacion'!$G$99:$G$178,'03_Planificacion'!$E$99:$E$178,B849,'03_Planificacion'!$F$99:$F$178,C849,'03_Planificacion'!$D$99:$D$178,"&lt;="&amp;$V$1)))</f>
        <v>0</v>
      </c>
      <c r="J849" s="21">
        <f t="shared" si="93"/>
        <v>0</v>
      </c>
      <c r="K849" s="6">
        <f t="shared" si="94"/>
        <v>0</v>
      </c>
      <c r="L849" t="s">
        <v>68</v>
      </c>
      <c r="P849" s="5">
        <f t="shared" si="95"/>
        <v>46287</v>
      </c>
      <c r="Q849" t="s">
        <v>170</v>
      </c>
      <c r="R849">
        <v>160</v>
      </c>
      <c r="S849" t="s">
        <v>171</v>
      </c>
      <c r="T849" t="str">
        <f t="shared" si="96"/>
        <v/>
      </c>
      <c r="U849" t="str">
        <f>IF(AND(L849="Para Programar",G849&gt;0),COUNTIFS($L$5:L849,"Para Programar",$G$5:G849,"&gt;0"),"")</f>
        <v/>
      </c>
      <c r="W849" t="str">
        <f t="shared" si="97"/>
        <v>N31 - N36|03 Base de asiento - Compactación</v>
      </c>
      <c r="X849">
        <v>0</v>
      </c>
    </row>
    <row r="850" spans="1:24">
      <c r="A850" t="s">
        <v>79</v>
      </c>
      <c r="B850" s="14" t="s">
        <v>172</v>
      </c>
      <c r="C850" t="s">
        <v>80</v>
      </c>
      <c r="D850" s="13" t="s">
        <v>81</v>
      </c>
      <c r="E850" s="13">
        <v>1</v>
      </c>
      <c r="F850" s="13">
        <f>IF(E850="","",MIN(E850,$X850+SUMIFS('05_Parte_Diario'!$H$5:$H$204,'05_Parte_Diario'!$D$5:$D$204,B850,'05_Parte_Diario'!$E$5:$E$204,C850)))</f>
        <v>0</v>
      </c>
      <c r="G850" s="13">
        <f t="shared" si="91"/>
        <v>1</v>
      </c>
      <c r="H850" s="21">
        <f t="shared" si="92"/>
        <v>0</v>
      </c>
      <c r="I850" s="21">
        <f>IF(OR(B850="",C850="",$V$1=""),"",MIN(E850,SUMIFS('03_Planificacion'!$G$99:$G$178,'03_Planificacion'!$E$99:$E$178,B850,'03_Planificacion'!$F$99:$F$178,C850,'03_Planificacion'!$D$99:$D$178,"&lt;="&amp;$V$1)))</f>
        <v>0</v>
      </c>
      <c r="J850" s="21">
        <f t="shared" si="93"/>
        <v>0</v>
      </c>
      <c r="K850" s="6">
        <f t="shared" si="94"/>
        <v>0</v>
      </c>
      <c r="L850" t="s">
        <v>68</v>
      </c>
      <c r="P850" s="5">
        <f t="shared" si="95"/>
        <v>46287</v>
      </c>
      <c r="Q850" t="s">
        <v>170</v>
      </c>
      <c r="R850">
        <v>160</v>
      </c>
      <c r="S850" t="s">
        <v>171</v>
      </c>
      <c r="T850" t="str">
        <f t="shared" si="96"/>
        <v/>
      </c>
      <c r="U850" t="str">
        <f>IF(AND(L850="Para Programar",G850&gt;0),COUNTIFS($L$5:L850,"Para Programar",$G$5:G850,"&gt;0"),"")</f>
        <v/>
      </c>
      <c r="W850" t="str">
        <f t="shared" si="97"/>
        <v>N31 - N36|04 Inspecciones previas - Laboratorio base de asiento</v>
      </c>
      <c r="X850">
        <v>0</v>
      </c>
    </row>
    <row r="851" spans="1:24">
      <c r="A851" t="s">
        <v>82</v>
      </c>
      <c r="B851" s="14" t="s">
        <v>172</v>
      </c>
      <c r="C851" t="s">
        <v>83</v>
      </c>
      <c r="D851" s="13" t="s">
        <v>81</v>
      </c>
      <c r="E851" s="13">
        <v>1</v>
      </c>
      <c r="F851" s="13">
        <f>IF(E851="","",MIN(E851,$X851+SUMIFS('05_Parte_Diario'!$H$5:$H$204,'05_Parte_Diario'!$D$5:$D$204,B851,'05_Parte_Diario'!$E$5:$E$204,C851)))</f>
        <v>0</v>
      </c>
      <c r="G851" s="13">
        <f t="shared" si="91"/>
        <v>1</v>
      </c>
      <c r="H851" s="21">
        <f t="shared" si="92"/>
        <v>0</v>
      </c>
      <c r="I851" s="21">
        <f>IF(OR(B851="",C851="",$V$1=""),"",MIN(E851,SUMIFS('03_Planificacion'!$G$99:$G$178,'03_Planificacion'!$E$99:$E$178,B851,'03_Planificacion'!$F$99:$F$178,C851,'03_Planificacion'!$D$99:$D$178,"&lt;="&amp;$V$1)))</f>
        <v>0</v>
      </c>
      <c r="J851" s="21">
        <f t="shared" si="93"/>
        <v>0</v>
      </c>
      <c r="K851" s="6">
        <f t="shared" si="94"/>
        <v>0</v>
      </c>
      <c r="L851" t="s">
        <v>68</v>
      </c>
      <c r="P851" s="5">
        <f t="shared" si="95"/>
        <v>46287</v>
      </c>
      <c r="Q851" t="s">
        <v>170</v>
      </c>
      <c r="R851">
        <v>160</v>
      </c>
      <c r="S851" t="s">
        <v>171</v>
      </c>
      <c r="T851" t="str">
        <f t="shared" si="96"/>
        <v/>
      </c>
      <c r="U851" t="str">
        <f>IF(AND(L851="Para Programar",G851&gt;0),COUNTIFS($L$5:L851,"Para Programar",$G$5:G851,"&gt;0"),"")</f>
        <v/>
      </c>
      <c r="W851" t="str">
        <f t="shared" si="97"/>
        <v>N31 - N36|04 Inspecciones previas - Zanja y materiales</v>
      </c>
      <c r="X851">
        <v>0</v>
      </c>
    </row>
    <row r="852" spans="1:24">
      <c r="A852" t="s">
        <v>84</v>
      </c>
      <c r="B852" s="14" t="s">
        <v>172</v>
      </c>
      <c r="C852" t="s">
        <v>85</v>
      </c>
      <c r="D852" s="13" t="s">
        <v>67</v>
      </c>
      <c r="E852" s="13">
        <v>85</v>
      </c>
      <c r="F852" s="13">
        <f>IF(E852="","",MIN(E852,$X852+SUMIFS('05_Parte_Diario'!$H$5:$H$204,'05_Parte_Diario'!$D$5:$D$204,B852,'05_Parte_Diario'!$E$5:$E$204,C852)))</f>
        <v>0</v>
      </c>
      <c r="G852" s="13">
        <f t="shared" si="91"/>
        <v>85</v>
      </c>
      <c r="H852" s="21">
        <f t="shared" si="92"/>
        <v>0</v>
      </c>
      <c r="I852" s="21">
        <f>IF(OR(B852="",C852="",$V$1=""),"",MIN(E852,SUMIFS('03_Planificacion'!$G$99:$G$178,'03_Planificacion'!$E$99:$E$178,B852,'03_Planificacion'!$F$99:$F$178,C852,'03_Planificacion'!$D$99:$D$178,"&lt;="&amp;$V$1)))</f>
        <v>0</v>
      </c>
      <c r="J852" s="21">
        <f t="shared" si="93"/>
        <v>0</v>
      </c>
      <c r="K852" s="6">
        <f t="shared" si="94"/>
        <v>0</v>
      </c>
      <c r="L852" t="s">
        <v>68</v>
      </c>
      <c r="P852" s="5">
        <f t="shared" si="95"/>
        <v>46287</v>
      </c>
      <c r="Q852" t="s">
        <v>170</v>
      </c>
      <c r="R852">
        <v>160</v>
      </c>
      <c r="S852" t="s">
        <v>171</v>
      </c>
      <c r="T852" t="str">
        <f t="shared" si="96"/>
        <v/>
      </c>
      <c r="U852" t="str">
        <f>IF(AND(L852="Para Programar",G852&gt;0),COUNTIFS($L$5:L852,"Para Programar",$G$5:G852,"&gt;0"),"")</f>
        <v/>
      </c>
      <c r="W852" t="str">
        <f t="shared" si="97"/>
        <v>N31 - N36|05 Tendido de cañería - Cañería principal</v>
      </c>
      <c r="X852">
        <v>0</v>
      </c>
    </row>
    <row r="853" spans="1:24">
      <c r="A853" t="s">
        <v>86</v>
      </c>
      <c r="B853" s="14" t="s">
        <v>172</v>
      </c>
      <c r="C853" t="s">
        <v>87</v>
      </c>
      <c r="D853" s="13" t="s">
        <v>67</v>
      </c>
      <c r="E853" s="13">
        <v>85</v>
      </c>
      <c r="F853" s="13">
        <f>IF(E853="","",MIN(E853,$X853+SUMIFS('05_Parte_Diario'!$H$5:$H$204,'05_Parte_Diario'!$D$5:$D$204,B853,'05_Parte_Diario'!$E$5:$E$204,C853)))</f>
        <v>0</v>
      </c>
      <c r="G853" s="13">
        <f t="shared" si="91"/>
        <v>85</v>
      </c>
      <c r="H853" s="21">
        <f t="shared" si="92"/>
        <v>0</v>
      </c>
      <c r="I853" s="21">
        <f>IF(OR(B853="",C853="",$V$1=""),"",MIN(E853,SUMIFS('03_Planificacion'!$G$99:$G$178,'03_Planificacion'!$E$99:$E$178,B853,'03_Planificacion'!$F$99:$F$178,C853,'03_Planificacion'!$D$99:$D$178,"&lt;="&amp;$V$1)))</f>
        <v>0</v>
      </c>
      <c r="J853" s="21">
        <f t="shared" si="93"/>
        <v>0</v>
      </c>
      <c r="K853" s="6">
        <f t="shared" si="94"/>
        <v>0</v>
      </c>
      <c r="L853" t="s">
        <v>68</v>
      </c>
      <c r="P853" s="5">
        <f t="shared" si="95"/>
        <v>46287</v>
      </c>
      <c r="Q853" t="s">
        <v>170</v>
      </c>
      <c r="R853">
        <v>160</v>
      </c>
      <c r="S853" t="s">
        <v>171</v>
      </c>
      <c r="T853" t="str">
        <f t="shared" si="96"/>
        <v/>
      </c>
      <c r="U853" t="str">
        <f>IF(AND(L853="Para Programar",G853&gt;0),COUNTIFS($L$5:L853,"Para Programar",$G$5:G853,"&gt;0"),"")</f>
        <v/>
      </c>
      <c r="W853" t="str">
        <f t="shared" si="97"/>
        <v>N31 - N36|05 Tendido de cañería - Relevamiento planialtimétrico</v>
      </c>
      <c r="X853">
        <v>0</v>
      </c>
    </row>
    <row r="854" spans="1:24">
      <c r="A854" t="s">
        <v>88</v>
      </c>
      <c r="B854" s="14" t="s">
        <v>172</v>
      </c>
      <c r="C854" t="s">
        <v>89</v>
      </c>
      <c r="D854" s="13" t="s">
        <v>81</v>
      </c>
      <c r="E854" s="13">
        <v>1</v>
      </c>
      <c r="F854" s="13">
        <f>IF(E854="","",MIN(E854,$X854+SUMIFS('05_Parte_Diario'!$H$5:$H$204,'05_Parte_Diario'!$D$5:$D$204,B854,'05_Parte_Diario'!$E$5:$E$204,C854)))</f>
        <v>0</v>
      </c>
      <c r="G854" s="13">
        <f t="shared" si="91"/>
        <v>1</v>
      </c>
      <c r="H854" s="21">
        <f t="shared" si="92"/>
        <v>0</v>
      </c>
      <c r="I854" s="21">
        <f>IF(OR(B854="",C854="",$V$1=""),"",MIN(E854,SUMIFS('03_Planificacion'!$G$99:$G$178,'03_Planificacion'!$E$99:$E$178,B854,'03_Planificacion'!$F$99:$F$178,C854,'03_Planificacion'!$D$99:$D$178,"&lt;="&amp;$V$1)))</f>
        <v>0</v>
      </c>
      <c r="J854" s="21">
        <f t="shared" si="93"/>
        <v>0</v>
      </c>
      <c r="K854" s="6">
        <f t="shared" si="94"/>
        <v>0</v>
      </c>
      <c r="L854" t="s">
        <v>68</v>
      </c>
      <c r="P854" s="5">
        <f t="shared" si="95"/>
        <v>46287</v>
      </c>
      <c r="Q854" t="s">
        <v>170</v>
      </c>
      <c r="R854">
        <v>160</v>
      </c>
      <c r="S854" t="s">
        <v>171</v>
      </c>
      <c r="T854" t="str">
        <f t="shared" si="96"/>
        <v/>
      </c>
      <c r="U854" t="str">
        <f>IF(AND(L854="Para Programar",G854&gt;0),COUNTIFS($L$5:L854,"Para Programar",$G$5:G854,"&gt;0"),"")</f>
        <v/>
      </c>
      <c r="W854" t="str">
        <f t="shared" si="97"/>
        <v>N31 - N36|08 Prueba hidráulica - Preparación del sistema</v>
      </c>
      <c r="X854">
        <v>0</v>
      </c>
    </row>
    <row r="855" spans="1:24">
      <c r="A855" t="s">
        <v>90</v>
      </c>
      <c r="B855" s="14" t="s">
        <v>172</v>
      </c>
      <c r="C855" t="s">
        <v>91</v>
      </c>
      <c r="D855" s="13" t="s">
        <v>81</v>
      </c>
      <c r="E855" s="13">
        <v>1</v>
      </c>
      <c r="F855" s="13">
        <f>IF(E855="","",MIN(E855,$X855+SUMIFS('05_Parte_Diario'!$H$5:$H$204,'05_Parte_Diario'!$D$5:$D$204,B855,'05_Parte_Diario'!$E$5:$E$204,C855)))</f>
        <v>0</v>
      </c>
      <c r="G855" s="13">
        <f t="shared" si="91"/>
        <v>1</v>
      </c>
      <c r="H855" s="21">
        <f t="shared" si="92"/>
        <v>0</v>
      </c>
      <c r="I855" s="21">
        <f>IF(OR(B855="",C855="",$V$1=""),"",MIN(E855,SUMIFS('03_Planificacion'!$G$99:$G$178,'03_Planificacion'!$E$99:$E$178,B855,'03_Planificacion'!$F$99:$F$178,C855,'03_Planificacion'!$D$99:$D$178,"&lt;="&amp;$V$1)))</f>
        <v>0</v>
      </c>
      <c r="J855" s="21">
        <f t="shared" si="93"/>
        <v>0</v>
      </c>
      <c r="K855" s="6">
        <f t="shared" si="94"/>
        <v>0</v>
      </c>
      <c r="L855" t="s">
        <v>68</v>
      </c>
      <c r="P855" s="5">
        <f t="shared" si="95"/>
        <v>46287</v>
      </c>
      <c r="Q855" t="s">
        <v>170</v>
      </c>
      <c r="R855">
        <v>160</v>
      </c>
      <c r="S855" t="s">
        <v>171</v>
      </c>
      <c r="T855" t="str">
        <f t="shared" si="96"/>
        <v/>
      </c>
      <c r="U855" t="str">
        <f>IF(AND(L855="Para Programar",G855&gt;0),COUNTIFS($L$5:L855,"Para Programar",$G$5:G855,"&gt;0"),"")</f>
        <v/>
      </c>
      <c r="W855" t="str">
        <f t="shared" si="97"/>
        <v>N31 - N36|08 Prueba hidráulica - Interna N° 1</v>
      </c>
      <c r="X855">
        <v>0</v>
      </c>
    </row>
    <row r="856" spans="1:24">
      <c r="A856" t="s">
        <v>92</v>
      </c>
      <c r="B856" s="14" t="s">
        <v>172</v>
      </c>
      <c r="C856" t="s">
        <v>93</v>
      </c>
      <c r="D856" s="13" t="s">
        <v>81</v>
      </c>
      <c r="E856" s="13">
        <v>1</v>
      </c>
      <c r="F856" s="13">
        <f>IF(E856="","",MIN(E856,$X856+SUMIFS('05_Parte_Diario'!$H$5:$H$204,'05_Parte_Diario'!$D$5:$D$204,B856,'05_Parte_Diario'!$E$5:$E$204,C856)))</f>
        <v>0</v>
      </c>
      <c r="G856" s="13">
        <f t="shared" si="91"/>
        <v>1</v>
      </c>
      <c r="H856" s="21">
        <f t="shared" si="92"/>
        <v>0</v>
      </c>
      <c r="I856" s="21">
        <f>IF(OR(B856="",C856="",$V$1=""),"",MIN(E856,SUMIFS('03_Planificacion'!$G$99:$G$178,'03_Planificacion'!$E$99:$E$178,B856,'03_Planificacion'!$F$99:$F$178,C856,'03_Planificacion'!$D$99:$D$178,"&lt;="&amp;$V$1)))</f>
        <v>0</v>
      </c>
      <c r="J856" s="21">
        <f t="shared" si="93"/>
        <v>0</v>
      </c>
      <c r="K856" s="6">
        <f t="shared" si="94"/>
        <v>0</v>
      </c>
      <c r="L856" t="s">
        <v>68</v>
      </c>
      <c r="P856" s="5">
        <f t="shared" si="95"/>
        <v>46287</v>
      </c>
      <c r="Q856" t="s">
        <v>170</v>
      </c>
      <c r="R856">
        <v>160</v>
      </c>
      <c r="S856" t="s">
        <v>171</v>
      </c>
      <c r="T856" t="str">
        <f t="shared" si="96"/>
        <v/>
      </c>
      <c r="U856" t="str">
        <f>IF(AND(L856="Para Programar",G856&gt;0),COUNTIFS($L$5:L856,"Para Programar",$G$5:G856,"&gt;0"),"")</f>
        <v/>
      </c>
      <c r="W856" t="str">
        <f t="shared" si="97"/>
        <v>N31 - N36|08 Prueba hidráulica - Interna N° 2</v>
      </c>
      <c r="X856">
        <v>0</v>
      </c>
    </row>
    <row r="857" spans="1:24">
      <c r="A857" t="s">
        <v>94</v>
      </c>
      <c r="B857" s="14" t="s">
        <v>172</v>
      </c>
      <c r="C857" t="s">
        <v>95</v>
      </c>
      <c r="D857" s="13" t="s">
        <v>81</v>
      </c>
      <c r="E857" s="13">
        <v>1</v>
      </c>
      <c r="F857" s="13">
        <f>IF(E857="","",MIN(E857,$X857+SUMIFS('05_Parte_Diario'!$H$5:$H$204,'05_Parte_Diario'!$D$5:$D$204,B857,'05_Parte_Diario'!$E$5:$E$204,C857)))</f>
        <v>0</v>
      </c>
      <c r="G857" s="13">
        <f t="shared" si="91"/>
        <v>1</v>
      </c>
      <c r="H857" s="21">
        <f t="shared" si="92"/>
        <v>0</v>
      </c>
      <c r="I857" s="21">
        <f>IF(OR(B857="",C857="",$V$1=""),"",MIN(E857,SUMIFS('03_Planificacion'!$G$99:$G$178,'03_Planificacion'!$E$99:$E$178,B857,'03_Planificacion'!$F$99:$F$178,C857,'03_Planificacion'!$D$99:$D$178,"&lt;="&amp;$V$1)))</f>
        <v>0</v>
      </c>
      <c r="J857" s="21">
        <f t="shared" si="93"/>
        <v>0</v>
      </c>
      <c r="K857" s="6">
        <f t="shared" si="94"/>
        <v>0</v>
      </c>
      <c r="L857" t="s">
        <v>68</v>
      </c>
      <c r="P857" s="5">
        <f t="shared" si="95"/>
        <v>46287</v>
      </c>
      <c r="Q857" t="s">
        <v>170</v>
      </c>
      <c r="R857">
        <v>160</v>
      </c>
      <c r="S857" t="s">
        <v>171</v>
      </c>
      <c r="T857" t="str">
        <f t="shared" si="96"/>
        <v/>
      </c>
      <c r="U857" t="str">
        <f>IF(AND(L857="Para Programar",G857&gt;0),COUNTIFS($L$5:L857,"Para Programar",$G$5:G857,"&gt;0"),"")</f>
        <v/>
      </c>
      <c r="W857" t="str">
        <f t="shared" si="97"/>
        <v>N31 - N36|08 Prueba hidráulica - Primera prueba oficial</v>
      </c>
      <c r="X857">
        <v>0</v>
      </c>
    </row>
    <row r="858" spans="1:24">
      <c r="A858" t="s">
        <v>96</v>
      </c>
      <c r="B858" s="14" t="s">
        <v>172</v>
      </c>
      <c r="C858" t="s">
        <v>97</v>
      </c>
      <c r="D858" s="13" t="s">
        <v>67</v>
      </c>
      <c r="E858" s="13">
        <v>85</v>
      </c>
      <c r="F858" s="13">
        <f>IF(E858="","",MIN(E858,$X858+SUMIFS('05_Parte_Diario'!$H$5:$H$204,'05_Parte_Diario'!$D$5:$D$204,B858,'05_Parte_Diario'!$E$5:$E$204,C858)))</f>
        <v>0</v>
      </c>
      <c r="G858" s="13">
        <f t="shared" si="91"/>
        <v>85</v>
      </c>
      <c r="H858" s="21">
        <f t="shared" si="92"/>
        <v>0</v>
      </c>
      <c r="I858" s="21">
        <f>IF(OR(B858="",C858="",$V$1=""),"",MIN(E858,SUMIFS('03_Planificacion'!$G$99:$G$178,'03_Planificacion'!$E$99:$E$178,B858,'03_Planificacion'!$F$99:$F$178,C858,'03_Planificacion'!$D$99:$D$178,"&lt;="&amp;$V$1)))</f>
        <v>0</v>
      </c>
      <c r="J858" s="21">
        <f t="shared" si="93"/>
        <v>0</v>
      </c>
      <c r="K858" s="6">
        <f t="shared" si="94"/>
        <v>0</v>
      </c>
      <c r="L858" t="s">
        <v>68</v>
      </c>
      <c r="P858" s="5">
        <f t="shared" si="95"/>
        <v>46287</v>
      </c>
      <c r="Q858" t="s">
        <v>170</v>
      </c>
      <c r="R858">
        <v>160</v>
      </c>
      <c r="S858" t="s">
        <v>171</v>
      </c>
      <c r="T858" t="str">
        <f t="shared" si="96"/>
        <v/>
      </c>
      <c r="U858" t="str">
        <f>IF(AND(L858="Para Programar",G858&gt;0),COUNTIFS($L$5:L858,"Para Programar",$G$5:G858,"&gt;0"),"")</f>
        <v/>
      </c>
      <c r="W858" t="str">
        <f t="shared" si="97"/>
        <v>N31 - N36|09 Paquete estructural - Aporte e=0,30 m</v>
      </c>
      <c r="X858">
        <v>0</v>
      </c>
    </row>
    <row r="859" spans="1:24">
      <c r="A859" t="s">
        <v>98</v>
      </c>
      <c r="B859" s="14" t="s">
        <v>172</v>
      </c>
      <c r="C859" t="s">
        <v>99</v>
      </c>
      <c r="D859" s="13" t="s">
        <v>67</v>
      </c>
      <c r="E859" s="13">
        <v>85</v>
      </c>
      <c r="F859" s="13">
        <f>IF(E859="","",MIN(E859,$X859+SUMIFS('05_Parte_Diario'!$H$5:$H$204,'05_Parte_Diario'!$D$5:$D$204,B859,'05_Parte_Diario'!$E$5:$E$204,C859)))</f>
        <v>0</v>
      </c>
      <c r="G859" s="13">
        <f t="shared" si="91"/>
        <v>85</v>
      </c>
      <c r="H859" s="21">
        <f t="shared" si="92"/>
        <v>0</v>
      </c>
      <c r="I859" s="21">
        <f>IF(OR(B859="",C859="",$V$1=""),"",MIN(E859,SUMIFS('03_Planificacion'!$G$99:$G$178,'03_Planificacion'!$E$99:$E$178,B859,'03_Planificacion'!$F$99:$F$178,C859,'03_Planificacion'!$D$99:$D$178,"&lt;="&amp;$V$1)))</f>
        <v>0</v>
      </c>
      <c r="J859" s="21">
        <f t="shared" si="93"/>
        <v>0</v>
      </c>
      <c r="K859" s="6">
        <f t="shared" si="94"/>
        <v>0</v>
      </c>
      <c r="L859" t="s">
        <v>68</v>
      </c>
      <c r="P859" s="5">
        <f t="shared" si="95"/>
        <v>46287</v>
      </c>
      <c r="Q859" t="s">
        <v>170</v>
      </c>
      <c r="R859">
        <v>160</v>
      </c>
      <c r="S859" t="s">
        <v>171</v>
      </c>
      <c r="T859" t="str">
        <f t="shared" si="96"/>
        <v/>
      </c>
      <c r="U859" t="str">
        <f>IF(AND(L859="Para Programar",G859&gt;0),COUNTIFS($L$5:L859,"Para Programar",$G$5:G859,"&gt;0"),"")</f>
        <v/>
      </c>
      <c r="W859" t="str">
        <f t="shared" si="97"/>
        <v>N31 - N36|09 Paquete estructural - Compactación</v>
      </c>
      <c r="X859">
        <v>0</v>
      </c>
    </row>
    <row r="860" spans="1:24">
      <c r="A860" t="s">
        <v>100</v>
      </c>
      <c r="B860" s="14" t="s">
        <v>172</v>
      </c>
      <c r="C860" t="s">
        <v>101</v>
      </c>
      <c r="D860" s="13" t="s">
        <v>81</v>
      </c>
      <c r="E860" s="13">
        <v>1</v>
      </c>
      <c r="F860" s="13">
        <f>IF(E860="","",MIN(E860,$X860+SUMIFS('05_Parte_Diario'!$H$5:$H$204,'05_Parte_Diario'!$D$5:$D$204,B860,'05_Parte_Diario'!$E$5:$E$204,C860)))</f>
        <v>0</v>
      </c>
      <c r="G860" s="13">
        <f t="shared" si="91"/>
        <v>1</v>
      </c>
      <c r="H860" s="21">
        <f t="shared" si="92"/>
        <v>0</v>
      </c>
      <c r="I860" s="21">
        <f>IF(OR(B860="",C860="",$V$1=""),"",MIN(E860,SUMIFS('03_Planificacion'!$G$99:$G$178,'03_Planificacion'!$E$99:$E$178,B860,'03_Planificacion'!$F$99:$F$178,C860,'03_Planificacion'!$D$99:$D$178,"&lt;="&amp;$V$1)))</f>
        <v>0</v>
      </c>
      <c r="J860" s="21">
        <f t="shared" si="93"/>
        <v>0</v>
      </c>
      <c r="K860" s="6">
        <f t="shared" si="94"/>
        <v>0</v>
      </c>
      <c r="L860" t="s">
        <v>68</v>
      </c>
      <c r="P860" s="5">
        <f t="shared" si="95"/>
        <v>46287</v>
      </c>
      <c r="Q860" t="s">
        <v>170</v>
      </c>
      <c r="R860">
        <v>160</v>
      </c>
      <c r="S860" t="s">
        <v>171</v>
      </c>
      <c r="T860" t="str">
        <f t="shared" si="96"/>
        <v/>
      </c>
      <c r="U860" t="str">
        <f>IF(AND(L860="Para Programar",G860&gt;0),COUNTIFS($L$5:L860,"Para Programar",$G$5:G860,"&gt;0"),"")</f>
        <v/>
      </c>
      <c r="W860" t="str">
        <f t="shared" si="97"/>
        <v>N31 - N36|09 Paquete estructural - Inspección laboratorio</v>
      </c>
      <c r="X860">
        <v>0</v>
      </c>
    </row>
    <row r="861" spans="1:24">
      <c r="A861" t="s">
        <v>102</v>
      </c>
      <c r="B861" s="14" t="s">
        <v>172</v>
      </c>
      <c r="C861" t="s">
        <v>103</v>
      </c>
      <c r="D861" s="13" t="s">
        <v>67</v>
      </c>
      <c r="E861" s="13">
        <v>85</v>
      </c>
      <c r="F861" s="13">
        <f>IF(E861="","",MIN(E861,$X861+SUMIFS('05_Parte_Diario'!$H$5:$H$204,'05_Parte_Diario'!$D$5:$D$204,B861,'05_Parte_Diario'!$E$5:$E$204,C861)))</f>
        <v>0</v>
      </c>
      <c r="G861" s="13">
        <f t="shared" si="91"/>
        <v>85</v>
      </c>
      <c r="H861" s="21">
        <f t="shared" si="92"/>
        <v>0</v>
      </c>
      <c r="I861" s="21">
        <f>IF(OR(B861="",C861="",$V$1=""),"",MIN(E861,SUMIFS('03_Planificacion'!$G$99:$G$178,'03_Planificacion'!$E$99:$E$178,B861,'03_Planificacion'!$F$99:$F$178,C861,'03_Planificacion'!$D$99:$D$178,"&lt;="&amp;$V$1)))</f>
        <v>0</v>
      </c>
      <c r="J861" s="21">
        <f t="shared" si="93"/>
        <v>0</v>
      </c>
      <c r="K861" s="6">
        <f t="shared" si="94"/>
        <v>0</v>
      </c>
      <c r="L861" t="s">
        <v>68</v>
      </c>
      <c r="P861" s="5">
        <f t="shared" si="95"/>
        <v>46287</v>
      </c>
      <c r="Q861" t="s">
        <v>170</v>
      </c>
      <c r="R861">
        <v>160</v>
      </c>
      <c r="S861" t="s">
        <v>171</v>
      </c>
      <c r="T861" t="str">
        <f t="shared" si="96"/>
        <v/>
      </c>
      <c r="U861" t="str">
        <f>IF(AND(L861="Para Programar",G861&gt;0),COUNTIFS($L$5:L861,"Para Programar",$G$5:G861,"&gt;0"),"")</f>
        <v/>
      </c>
      <c r="W861" t="str">
        <f t="shared" si="97"/>
        <v>N31 - N36|10 Relleno -0,60 - Conformación de capa</v>
      </c>
      <c r="X861">
        <v>0</v>
      </c>
    </row>
    <row r="862" spans="1:24">
      <c r="A862" t="s">
        <v>104</v>
      </c>
      <c r="B862" s="14" t="s">
        <v>172</v>
      </c>
      <c r="C862" t="s">
        <v>105</v>
      </c>
      <c r="D862" s="13" t="s">
        <v>67</v>
      </c>
      <c r="E862" s="13">
        <v>85</v>
      </c>
      <c r="F862" s="13">
        <f>IF(E862="","",MIN(E862,$X862+SUMIFS('05_Parte_Diario'!$H$5:$H$204,'05_Parte_Diario'!$D$5:$D$204,B862,'05_Parte_Diario'!$E$5:$E$204,C862)))</f>
        <v>0</v>
      </c>
      <c r="G862" s="13">
        <f t="shared" si="91"/>
        <v>85</v>
      </c>
      <c r="H862" s="21">
        <f t="shared" si="92"/>
        <v>0</v>
      </c>
      <c r="I862" s="21">
        <f>IF(OR(B862="",C862="",$V$1=""),"",MIN(E862,SUMIFS('03_Planificacion'!$G$99:$G$178,'03_Planificacion'!$E$99:$E$178,B862,'03_Planificacion'!$F$99:$F$178,C862,'03_Planificacion'!$D$99:$D$178,"&lt;="&amp;$V$1)))</f>
        <v>0</v>
      </c>
      <c r="J862" s="21">
        <f t="shared" si="93"/>
        <v>0</v>
      </c>
      <c r="K862" s="6">
        <f t="shared" si="94"/>
        <v>0</v>
      </c>
      <c r="L862" t="s">
        <v>68</v>
      </c>
      <c r="P862" s="5">
        <f t="shared" si="95"/>
        <v>46287</v>
      </c>
      <c r="Q862" t="s">
        <v>170</v>
      </c>
      <c r="R862">
        <v>160</v>
      </c>
      <c r="S862" t="s">
        <v>171</v>
      </c>
      <c r="T862" t="str">
        <f t="shared" si="96"/>
        <v/>
      </c>
      <c r="U862" t="str">
        <f>IF(AND(L862="Para Programar",G862&gt;0),COUNTIFS($L$5:L862,"Para Programar",$G$5:G862,"&gt;0"),"")</f>
        <v/>
      </c>
      <c r="W862" t="str">
        <f t="shared" si="97"/>
        <v>N31 - N36|10 Relleno -0,60 - Humectación</v>
      </c>
      <c r="X862">
        <v>0</v>
      </c>
    </row>
    <row r="863" spans="1:24">
      <c r="A863" t="s">
        <v>106</v>
      </c>
      <c r="B863" s="14" t="s">
        <v>172</v>
      </c>
      <c r="C863" t="s">
        <v>107</v>
      </c>
      <c r="D863" s="13" t="s">
        <v>67</v>
      </c>
      <c r="E863" s="13">
        <v>85</v>
      </c>
      <c r="F863" s="13">
        <f>IF(E863="","",MIN(E863,$X863+SUMIFS('05_Parte_Diario'!$H$5:$H$204,'05_Parte_Diario'!$D$5:$D$204,B863,'05_Parte_Diario'!$E$5:$E$204,C863)))</f>
        <v>0</v>
      </c>
      <c r="G863" s="13">
        <f t="shared" si="91"/>
        <v>85</v>
      </c>
      <c r="H863" s="21">
        <f t="shared" si="92"/>
        <v>0</v>
      </c>
      <c r="I863" s="21">
        <f>IF(OR(B863="",C863="",$V$1=""),"",MIN(E863,SUMIFS('03_Planificacion'!$G$99:$G$178,'03_Planificacion'!$E$99:$E$178,B863,'03_Planificacion'!$F$99:$F$178,C863,'03_Planificacion'!$D$99:$D$178,"&lt;="&amp;$V$1)))</f>
        <v>0</v>
      </c>
      <c r="J863" s="21">
        <f t="shared" si="93"/>
        <v>0</v>
      </c>
      <c r="K863" s="6">
        <f t="shared" si="94"/>
        <v>0</v>
      </c>
      <c r="L863" t="s">
        <v>68</v>
      </c>
      <c r="P863" s="5">
        <f t="shared" si="95"/>
        <v>46287</v>
      </c>
      <c r="Q863" t="s">
        <v>170</v>
      </c>
      <c r="R863">
        <v>160</v>
      </c>
      <c r="S863" t="s">
        <v>171</v>
      </c>
      <c r="T863" t="str">
        <f t="shared" si="96"/>
        <v/>
      </c>
      <c r="U863" t="str">
        <f>IF(AND(L863="Para Programar",G863&gt;0),COUNTIFS($L$5:L863,"Para Programar",$G$5:G863,"&gt;0"),"")</f>
        <v/>
      </c>
      <c r="W863" t="str">
        <f t="shared" si="97"/>
        <v>N31 - N36|10 Relleno -0,60 - Compactación</v>
      </c>
      <c r="X863">
        <v>0</v>
      </c>
    </row>
    <row r="864" spans="1:24">
      <c r="A864" t="s">
        <v>108</v>
      </c>
      <c r="B864" s="14" t="s">
        <v>172</v>
      </c>
      <c r="C864" t="s">
        <v>109</v>
      </c>
      <c r="D864" s="13" t="s">
        <v>81</v>
      </c>
      <c r="E864" s="13">
        <v>1</v>
      </c>
      <c r="F864" s="13">
        <f>IF(E864="","",MIN(E864,$X864+SUMIFS('05_Parte_Diario'!$H$5:$H$204,'05_Parte_Diario'!$D$5:$D$204,B864,'05_Parte_Diario'!$E$5:$E$204,C864)))</f>
        <v>0</v>
      </c>
      <c r="G864" s="13">
        <f t="shared" si="91"/>
        <v>1</v>
      </c>
      <c r="H864" s="21">
        <f t="shared" si="92"/>
        <v>0</v>
      </c>
      <c r="I864" s="21">
        <f>IF(OR(B864="",C864="",$V$1=""),"",MIN(E864,SUMIFS('03_Planificacion'!$G$99:$G$178,'03_Planificacion'!$E$99:$E$178,B864,'03_Planificacion'!$F$99:$F$178,C864,'03_Planificacion'!$D$99:$D$178,"&lt;="&amp;$V$1)))</f>
        <v>0</v>
      </c>
      <c r="J864" s="21">
        <f t="shared" si="93"/>
        <v>0</v>
      </c>
      <c r="K864" s="6">
        <f t="shared" si="94"/>
        <v>0</v>
      </c>
      <c r="L864" t="s">
        <v>68</v>
      </c>
      <c r="P864" s="5">
        <f t="shared" si="95"/>
        <v>46287</v>
      </c>
      <c r="Q864" t="s">
        <v>170</v>
      </c>
      <c r="R864">
        <v>160</v>
      </c>
      <c r="S864" t="s">
        <v>171</v>
      </c>
      <c r="T864" t="str">
        <f t="shared" si="96"/>
        <v/>
      </c>
      <c r="U864" t="str">
        <f>IF(AND(L864="Para Programar",G864&gt;0),COUNTIFS($L$5:L864,"Para Programar",$G$5:G864,"&gt;0"),"")</f>
        <v/>
      </c>
      <c r="W864" t="str">
        <f t="shared" si="97"/>
        <v>N31 - N36|10 Relleno -0,60 - Inspección laboratorio</v>
      </c>
      <c r="X864">
        <v>0</v>
      </c>
    </row>
    <row r="865" spans="1:24">
      <c r="A865" t="s">
        <v>110</v>
      </c>
      <c r="B865" s="14" t="s">
        <v>172</v>
      </c>
      <c r="C865" t="s">
        <v>111</v>
      </c>
      <c r="D865" s="13" t="s">
        <v>67</v>
      </c>
      <c r="E865" s="13">
        <v>85</v>
      </c>
      <c r="F865" s="13">
        <f>IF(E865="","",MIN(E865,$X865+SUMIFS('05_Parte_Diario'!$H$5:$H$204,'05_Parte_Diario'!$D$5:$D$204,B865,'05_Parte_Diario'!$E$5:$E$204,C865)))</f>
        <v>0</v>
      </c>
      <c r="G865" s="13">
        <f t="shared" si="91"/>
        <v>85</v>
      </c>
      <c r="H865" s="21">
        <f t="shared" si="92"/>
        <v>0</v>
      </c>
      <c r="I865" s="21">
        <f>IF(OR(B865="",C865="",$V$1=""),"",MIN(E865,SUMIFS('03_Planificacion'!$G$99:$G$178,'03_Planificacion'!$E$99:$E$178,B865,'03_Planificacion'!$F$99:$F$178,C865,'03_Planificacion'!$D$99:$D$178,"&lt;="&amp;$V$1)))</f>
        <v>0</v>
      </c>
      <c r="J865" s="21">
        <f t="shared" si="93"/>
        <v>0</v>
      </c>
      <c r="K865" s="6">
        <f t="shared" si="94"/>
        <v>0</v>
      </c>
      <c r="L865" t="s">
        <v>68</v>
      </c>
      <c r="P865" s="5">
        <f t="shared" si="95"/>
        <v>46287</v>
      </c>
      <c r="Q865" t="s">
        <v>170</v>
      </c>
      <c r="R865">
        <v>160</v>
      </c>
      <c r="S865" t="s">
        <v>171</v>
      </c>
      <c r="T865" t="str">
        <f t="shared" si="96"/>
        <v/>
      </c>
      <c r="U865" t="str">
        <f>IF(AND(L865="Para Programar",G865&gt;0),COUNTIFS($L$5:L865,"Para Programar",$G$5:G865,"&gt;0"),"")</f>
        <v/>
      </c>
      <c r="W865" t="str">
        <f t="shared" si="97"/>
        <v>N31 - N36|11 Relleno -0,30 - Conformación de capa</v>
      </c>
      <c r="X865">
        <v>0</v>
      </c>
    </row>
    <row r="866" spans="1:24">
      <c r="A866" t="s">
        <v>112</v>
      </c>
      <c r="B866" s="14" t="s">
        <v>172</v>
      </c>
      <c r="C866" t="s">
        <v>113</v>
      </c>
      <c r="D866" s="13" t="s">
        <v>67</v>
      </c>
      <c r="E866" s="13">
        <v>85</v>
      </c>
      <c r="F866" s="13">
        <f>IF(E866="","",MIN(E866,$X866+SUMIFS('05_Parte_Diario'!$H$5:$H$204,'05_Parte_Diario'!$D$5:$D$204,B866,'05_Parte_Diario'!$E$5:$E$204,C866)))</f>
        <v>0</v>
      </c>
      <c r="G866" s="13">
        <f t="shared" si="91"/>
        <v>85</v>
      </c>
      <c r="H866" s="21">
        <f t="shared" si="92"/>
        <v>0</v>
      </c>
      <c r="I866" s="21">
        <f>IF(OR(B866="",C866="",$V$1=""),"",MIN(E866,SUMIFS('03_Planificacion'!$G$99:$G$178,'03_Planificacion'!$E$99:$E$178,B866,'03_Planificacion'!$F$99:$F$178,C866,'03_Planificacion'!$D$99:$D$178,"&lt;="&amp;$V$1)))</f>
        <v>0</v>
      </c>
      <c r="J866" s="21">
        <f t="shared" si="93"/>
        <v>0</v>
      </c>
      <c r="K866" s="6">
        <f t="shared" si="94"/>
        <v>0</v>
      </c>
      <c r="L866" t="s">
        <v>68</v>
      </c>
      <c r="P866" s="5">
        <f t="shared" si="95"/>
        <v>46287</v>
      </c>
      <c r="Q866" t="s">
        <v>170</v>
      </c>
      <c r="R866">
        <v>160</v>
      </c>
      <c r="S866" t="s">
        <v>171</v>
      </c>
      <c r="T866" t="str">
        <f t="shared" si="96"/>
        <v/>
      </c>
      <c r="U866" t="str">
        <f>IF(AND(L866="Para Programar",G866&gt;0),COUNTIFS($L$5:L866,"Para Programar",$G$5:G866,"&gt;0"),"")</f>
        <v/>
      </c>
      <c r="W866" t="str">
        <f t="shared" si="97"/>
        <v>N31 - N36|11 Relleno -0,30 - Humectación</v>
      </c>
      <c r="X866">
        <v>0</v>
      </c>
    </row>
    <row r="867" spans="1:24">
      <c r="A867" t="s">
        <v>114</v>
      </c>
      <c r="B867" s="14" t="s">
        <v>172</v>
      </c>
      <c r="C867" t="s">
        <v>115</v>
      </c>
      <c r="D867" s="13" t="s">
        <v>67</v>
      </c>
      <c r="E867" s="13">
        <v>85</v>
      </c>
      <c r="F867" s="13">
        <f>IF(E867="","",MIN(E867,$X867+SUMIFS('05_Parte_Diario'!$H$5:$H$204,'05_Parte_Diario'!$D$5:$D$204,B867,'05_Parte_Diario'!$E$5:$E$204,C867)))</f>
        <v>0</v>
      </c>
      <c r="G867" s="13">
        <f t="shared" si="91"/>
        <v>85</v>
      </c>
      <c r="H867" s="21">
        <f t="shared" si="92"/>
        <v>0</v>
      </c>
      <c r="I867" s="21">
        <f>IF(OR(B867="",C867="",$V$1=""),"",MIN(E867,SUMIFS('03_Planificacion'!$G$99:$G$178,'03_Planificacion'!$E$99:$E$178,B867,'03_Planificacion'!$F$99:$F$178,C867,'03_Planificacion'!$D$99:$D$178,"&lt;="&amp;$V$1)))</f>
        <v>0</v>
      </c>
      <c r="J867" s="21">
        <f t="shared" si="93"/>
        <v>0</v>
      </c>
      <c r="K867" s="6">
        <f t="shared" si="94"/>
        <v>0</v>
      </c>
      <c r="L867" t="s">
        <v>68</v>
      </c>
      <c r="P867" s="5">
        <f t="shared" si="95"/>
        <v>46287</v>
      </c>
      <c r="Q867" t="s">
        <v>170</v>
      </c>
      <c r="R867">
        <v>160</v>
      </c>
      <c r="S867" t="s">
        <v>171</v>
      </c>
      <c r="T867" t="str">
        <f t="shared" si="96"/>
        <v/>
      </c>
      <c r="U867" t="str">
        <f>IF(AND(L867="Para Programar",G867&gt;0),COUNTIFS($L$5:L867,"Para Programar",$G$5:G867,"&gt;0"),"")</f>
        <v/>
      </c>
      <c r="W867" t="str">
        <f t="shared" si="97"/>
        <v>N31 - N36|11 Relleno -0,30 - Compactación</v>
      </c>
      <c r="X867">
        <v>0</v>
      </c>
    </row>
    <row r="868" spans="1:24">
      <c r="A868" t="s">
        <v>116</v>
      </c>
      <c r="B868" s="14" t="s">
        <v>172</v>
      </c>
      <c r="C868" t="s">
        <v>117</v>
      </c>
      <c r="D868" s="13" t="s">
        <v>81</v>
      </c>
      <c r="E868" s="13">
        <v>1</v>
      </c>
      <c r="F868" s="13">
        <f>IF(E868="","",MIN(E868,$X868+SUMIFS('05_Parte_Diario'!$H$5:$H$204,'05_Parte_Diario'!$D$5:$D$204,B868,'05_Parte_Diario'!$E$5:$E$204,C868)))</f>
        <v>0</v>
      </c>
      <c r="G868" s="13">
        <f t="shared" si="91"/>
        <v>1</v>
      </c>
      <c r="H868" s="21">
        <f t="shared" si="92"/>
        <v>0</v>
      </c>
      <c r="I868" s="21">
        <f>IF(OR(B868="",C868="",$V$1=""),"",MIN(E868,SUMIFS('03_Planificacion'!$G$99:$G$178,'03_Planificacion'!$E$99:$E$178,B868,'03_Planificacion'!$F$99:$F$178,C868,'03_Planificacion'!$D$99:$D$178,"&lt;="&amp;$V$1)))</f>
        <v>0</v>
      </c>
      <c r="J868" s="21">
        <f t="shared" si="93"/>
        <v>0</v>
      </c>
      <c r="K868" s="6">
        <f t="shared" si="94"/>
        <v>0</v>
      </c>
      <c r="L868" t="s">
        <v>68</v>
      </c>
      <c r="P868" s="5">
        <f t="shared" si="95"/>
        <v>46287</v>
      </c>
      <c r="Q868" t="s">
        <v>170</v>
      </c>
      <c r="R868">
        <v>160</v>
      </c>
      <c r="S868" t="s">
        <v>171</v>
      </c>
      <c r="T868" t="str">
        <f t="shared" si="96"/>
        <v/>
      </c>
      <c r="U868" t="str">
        <f>IF(AND(L868="Para Programar",G868&gt;0),COUNTIFS($L$5:L868,"Para Programar",$G$5:G868,"&gt;0"),"")</f>
        <v/>
      </c>
      <c r="W868" t="str">
        <f t="shared" si="97"/>
        <v>N31 - N36|11 Relleno -0,30 - Inspección laboratorio</v>
      </c>
      <c r="X868">
        <v>0</v>
      </c>
    </row>
    <row r="869" spans="1:24">
      <c r="A869" t="s">
        <v>64</v>
      </c>
      <c r="B869" s="14" t="s">
        <v>173</v>
      </c>
      <c r="C869" t="s">
        <v>66</v>
      </c>
      <c r="D869" s="13" t="s">
        <v>67</v>
      </c>
      <c r="E869" s="13">
        <v>260</v>
      </c>
      <c r="F869" s="13">
        <f>IF(E869="","",MIN(E869,$X869+SUMIFS('05_Parte_Diario'!$H$5:$H$204,'05_Parte_Diario'!$D$5:$D$204,B869,'05_Parte_Diario'!$E$5:$E$204,C869)))</f>
        <v>0</v>
      </c>
      <c r="G869" s="13">
        <f t="shared" si="91"/>
        <v>260</v>
      </c>
      <c r="H869" s="21">
        <f t="shared" si="92"/>
        <v>0</v>
      </c>
      <c r="I869" s="21">
        <f>IF(OR(B869="",C869="",$V$1=""),"",MIN(E869,SUMIFS('03_Planificacion'!$G$99:$G$178,'03_Planificacion'!$E$99:$E$178,B869,'03_Planificacion'!$F$99:$F$178,C869,'03_Planificacion'!$D$99:$D$178,"&lt;="&amp;$V$1)))</f>
        <v>0</v>
      </c>
      <c r="J869" s="21">
        <f t="shared" si="93"/>
        <v>0</v>
      </c>
      <c r="K869" s="6">
        <f t="shared" si="94"/>
        <v>0</v>
      </c>
      <c r="L869" t="s">
        <v>68</v>
      </c>
      <c r="P869" s="5">
        <f t="shared" si="95"/>
        <v>46287</v>
      </c>
      <c r="Q869" t="s">
        <v>174</v>
      </c>
      <c r="R869">
        <v>160</v>
      </c>
      <c r="S869" t="s">
        <v>171</v>
      </c>
      <c r="T869" t="str">
        <f t="shared" si="96"/>
        <v/>
      </c>
      <c r="U869" t="str">
        <f>IF(AND(L869="Para Programar",G869&gt;0),COUNTIFS($L$5:L869,"Para Programar",$G$5:G869,"&gt;0"),"")</f>
        <v/>
      </c>
      <c r="W869" t="str">
        <f t="shared" si="97"/>
        <v>N33 - N34|01 Replanteo - Marcación de tramo de cañería principal</v>
      </c>
      <c r="X869">
        <v>0</v>
      </c>
    </row>
    <row r="870" spans="1:24">
      <c r="A870" t="s">
        <v>71</v>
      </c>
      <c r="B870" s="14" t="s">
        <v>173</v>
      </c>
      <c r="C870" t="s">
        <v>72</v>
      </c>
      <c r="D870" s="13" t="s">
        <v>67</v>
      </c>
      <c r="E870" s="13">
        <v>260</v>
      </c>
      <c r="F870" s="13">
        <f>IF(E870="","",MIN(E870,$X870+SUMIFS('05_Parte_Diario'!$H$5:$H$204,'05_Parte_Diario'!$D$5:$D$204,B870,'05_Parte_Diario'!$E$5:$E$204,C870)))</f>
        <v>0</v>
      </c>
      <c r="G870" s="13">
        <f t="shared" si="91"/>
        <v>260</v>
      </c>
      <c r="H870" s="21">
        <f t="shared" si="92"/>
        <v>0</v>
      </c>
      <c r="I870" s="21">
        <f>IF(OR(B870="",C870="",$V$1=""),"",MIN(E870,SUMIFS('03_Planificacion'!$G$99:$G$178,'03_Planificacion'!$E$99:$E$178,B870,'03_Planificacion'!$F$99:$F$178,C870,'03_Planificacion'!$D$99:$D$178,"&lt;="&amp;$V$1)))</f>
        <v>0</v>
      </c>
      <c r="J870" s="21">
        <f t="shared" si="93"/>
        <v>0</v>
      </c>
      <c r="K870" s="6">
        <f t="shared" si="94"/>
        <v>0</v>
      </c>
      <c r="L870" t="s">
        <v>68</v>
      </c>
      <c r="P870" s="5">
        <f t="shared" si="95"/>
        <v>46287</v>
      </c>
      <c r="Q870" t="s">
        <v>174</v>
      </c>
      <c r="R870">
        <v>160</v>
      </c>
      <c r="S870" t="s">
        <v>171</v>
      </c>
      <c r="T870" t="str">
        <f t="shared" si="96"/>
        <v/>
      </c>
      <c r="U870" t="str">
        <f>IF(AND(L870="Para Programar",G870&gt;0),COUNTIFS($L$5:L870,"Para Programar",$G$5:G870,"&gt;0"),"")</f>
        <v/>
      </c>
      <c r="W870" t="str">
        <f t="shared" si="97"/>
        <v>N33 - N34|02 Excavación - Zanja principal</v>
      </c>
      <c r="X870">
        <v>0</v>
      </c>
    </row>
    <row r="871" spans="1:24">
      <c r="A871" t="s">
        <v>73</v>
      </c>
      <c r="B871" s="14" t="s">
        <v>173</v>
      </c>
      <c r="C871" t="s">
        <v>74</v>
      </c>
      <c r="D871" s="13" t="s">
        <v>67</v>
      </c>
      <c r="E871" s="13">
        <v>260</v>
      </c>
      <c r="F871" s="13">
        <f>IF(E871="","",MIN(E871,$X871+SUMIFS('05_Parte_Diario'!$H$5:$H$204,'05_Parte_Diario'!$D$5:$D$204,B871,'05_Parte_Diario'!$E$5:$E$204,C871)))</f>
        <v>0</v>
      </c>
      <c r="G871" s="13">
        <f t="shared" si="91"/>
        <v>260</v>
      </c>
      <c r="H871" s="21">
        <f t="shared" si="92"/>
        <v>0</v>
      </c>
      <c r="I871" s="21">
        <f>IF(OR(B871="",C871="",$V$1=""),"",MIN(E871,SUMIFS('03_Planificacion'!$G$99:$G$178,'03_Planificacion'!$E$99:$E$178,B871,'03_Planificacion'!$F$99:$F$178,C871,'03_Planificacion'!$D$99:$D$178,"&lt;="&amp;$V$1)))</f>
        <v>0</v>
      </c>
      <c r="J871" s="21">
        <f t="shared" si="93"/>
        <v>0</v>
      </c>
      <c r="K871" s="6">
        <f t="shared" si="94"/>
        <v>0</v>
      </c>
      <c r="L871" t="s">
        <v>68</v>
      </c>
      <c r="P871" s="5">
        <f t="shared" si="95"/>
        <v>46287</v>
      </c>
      <c r="Q871" t="s">
        <v>174</v>
      </c>
      <c r="R871">
        <v>160</v>
      </c>
      <c r="S871" t="s">
        <v>171</v>
      </c>
      <c r="T871" t="str">
        <f t="shared" si="96"/>
        <v/>
      </c>
      <c r="U871" t="str">
        <f>IF(AND(L871="Para Programar",G871&gt;0),COUNTIFS($L$5:L871,"Para Programar",$G$5:G871,"&gt;0"),"")</f>
        <v/>
      </c>
      <c r="W871" t="str">
        <f t="shared" si="97"/>
        <v>N33 - N34|03 Base de asiento - Nivelación de fondo de zanja</v>
      </c>
      <c r="X871">
        <v>0</v>
      </c>
    </row>
    <row r="872" spans="1:24">
      <c r="A872" t="s">
        <v>75</v>
      </c>
      <c r="B872" s="14" t="s">
        <v>173</v>
      </c>
      <c r="C872" t="s">
        <v>76</v>
      </c>
      <c r="D872" s="13" t="s">
        <v>67</v>
      </c>
      <c r="E872" s="13">
        <v>260</v>
      </c>
      <c r="F872" s="13">
        <f>IF(E872="","",MIN(E872,$X872+SUMIFS('05_Parte_Diario'!$H$5:$H$204,'05_Parte_Diario'!$D$5:$D$204,B872,'05_Parte_Diario'!$E$5:$E$204,C872)))</f>
        <v>0</v>
      </c>
      <c r="G872" s="13">
        <f t="shared" si="91"/>
        <v>260</v>
      </c>
      <c r="H872" s="21">
        <f t="shared" si="92"/>
        <v>0</v>
      </c>
      <c r="I872" s="21">
        <f>IF(OR(B872="",C872="",$V$1=""),"",MIN(E872,SUMIFS('03_Planificacion'!$G$99:$G$178,'03_Planificacion'!$E$99:$E$178,B872,'03_Planificacion'!$F$99:$F$178,C872,'03_Planificacion'!$D$99:$D$178,"&lt;="&amp;$V$1)))</f>
        <v>0</v>
      </c>
      <c r="J872" s="21">
        <f t="shared" si="93"/>
        <v>0</v>
      </c>
      <c r="K872" s="6">
        <f t="shared" si="94"/>
        <v>0</v>
      </c>
      <c r="L872" t="s">
        <v>68</v>
      </c>
      <c r="P872" s="5">
        <f t="shared" si="95"/>
        <v>46287</v>
      </c>
      <c r="Q872" t="s">
        <v>174</v>
      </c>
      <c r="R872">
        <v>160</v>
      </c>
      <c r="S872" t="s">
        <v>171</v>
      </c>
      <c r="T872" t="str">
        <f t="shared" si="96"/>
        <v/>
      </c>
      <c r="U872" t="str">
        <f>IF(AND(L872="Para Programar",G872&gt;0),COUNTIFS($L$5:L872,"Para Programar",$G$5:G872,"&gt;0"),"")</f>
        <v/>
      </c>
      <c r="W872" t="str">
        <f t="shared" si="97"/>
        <v>N33 - N34|03 Base de asiento - Aporte de material base e=0,10 m</v>
      </c>
      <c r="X872">
        <v>0</v>
      </c>
    </row>
    <row r="873" spans="1:24">
      <c r="A873" t="s">
        <v>77</v>
      </c>
      <c r="B873" s="14" t="s">
        <v>173</v>
      </c>
      <c r="C873" t="s">
        <v>78</v>
      </c>
      <c r="D873" s="13" t="s">
        <v>67</v>
      </c>
      <c r="E873" s="13">
        <v>260</v>
      </c>
      <c r="F873" s="13">
        <f>IF(E873="","",MIN(E873,$X873+SUMIFS('05_Parte_Diario'!$H$5:$H$204,'05_Parte_Diario'!$D$5:$D$204,B873,'05_Parte_Diario'!$E$5:$E$204,C873)))</f>
        <v>0</v>
      </c>
      <c r="G873" s="13">
        <f t="shared" si="91"/>
        <v>260</v>
      </c>
      <c r="H873" s="21">
        <f t="shared" si="92"/>
        <v>0</v>
      </c>
      <c r="I873" s="21">
        <f>IF(OR(B873="",C873="",$V$1=""),"",MIN(E873,SUMIFS('03_Planificacion'!$G$99:$G$178,'03_Planificacion'!$E$99:$E$178,B873,'03_Planificacion'!$F$99:$F$178,C873,'03_Planificacion'!$D$99:$D$178,"&lt;="&amp;$V$1)))</f>
        <v>0</v>
      </c>
      <c r="J873" s="21">
        <f t="shared" si="93"/>
        <v>0</v>
      </c>
      <c r="K873" s="6">
        <f t="shared" si="94"/>
        <v>0</v>
      </c>
      <c r="L873" t="s">
        <v>68</v>
      </c>
      <c r="P873" s="5">
        <f t="shared" si="95"/>
        <v>46287</v>
      </c>
      <c r="Q873" t="s">
        <v>174</v>
      </c>
      <c r="R873">
        <v>160</v>
      </c>
      <c r="S873" t="s">
        <v>171</v>
      </c>
      <c r="T873" t="str">
        <f t="shared" si="96"/>
        <v/>
      </c>
      <c r="U873" t="str">
        <f>IF(AND(L873="Para Programar",G873&gt;0),COUNTIFS($L$5:L873,"Para Programar",$G$5:G873,"&gt;0"),"")</f>
        <v/>
      </c>
      <c r="W873" t="str">
        <f t="shared" si="97"/>
        <v>N33 - N34|03 Base de asiento - Compactación</v>
      </c>
      <c r="X873">
        <v>0</v>
      </c>
    </row>
    <row r="874" spans="1:24">
      <c r="A874" t="s">
        <v>79</v>
      </c>
      <c r="B874" s="14" t="s">
        <v>173</v>
      </c>
      <c r="C874" t="s">
        <v>80</v>
      </c>
      <c r="D874" s="13" t="s">
        <v>81</v>
      </c>
      <c r="E874" s="13">
        <v>1</v>
      </c>
      <c r="F874" s="13">
        <f>IF(E874="","",MIN(E874,$X874+SUMIFS('05_Parte_Diario'!$H$5:$H$204,'05_Parte_Diario'!$D$5:$D$204,B874,'05_Parte_Diario'!$E$5:$E$204,C874)))</f>
        <v>0</v>
      </c>
      <c r="G874" s="13">
        <f t="shared" si="91"/>
        <v>1</v>
      </c>
      <c r="H874" s="21">
        <f t="shared" si="92"/>
        <v>0</v>
      </c>
      <c r="I874" s="21">
        <f>IF(OR(B874="",C874="",$V$1=""),"",MIN(E874,SUMIFS('03_Planificacion'!$G$99:$G$178,'03_Planificacion'!$E$99:$E$178,B874,'03_Planificacion'!$F$99:$F$178,C874,'03_Planificacion'!$D$99:$D$178,"&lt;="&amp;$V$1)))</f>
        <v>0</v>
      </c>
      <c r="J874" s="21">
        <f t="shared" si="93"/>
        <v>0</v>
      </c>
      <c r="K874" s="6">
        <f t="shared" si="94"/>
        <v>0</v>
      </c>
      <c r="L874" t="s">
        <v>68</v>
      </c>
      <c r="P874" s="5">
        <f t="shared" si="95"/>
        <v>46287</v>
      </c>
      <c r="Q874" t="s">
        <v>174</v>
      </c>
      <c r="R874">
        <v>160</v>
      </c>
      <c r="S874" t="s">
        <v>171</v>
      </c>
      <c r="T874" t="str">
        <f t="shared" si="96"/>
        <v/>
      </c>
      <c r="U874" t="str">
        <f>IF(AND(L874="Para Programar",G874&gt;0),COUNTIFS($L$5:L874,"Para Programar",$G$5:G874,"&gt;0"),"")</f>
        <v/>
      </c>
      <c r="W874" t="str">
        <f t="shared" si="97"/>
        <v>N33 - N34|04 Inspecciones previas - Laboratorio base de asiento</v>
      </c>
      <c r="X874">
        <v>0</v>
      </c>
    </row>
    <row r="875" spans="1:24">
      <c r="A875" t="s">
        <v>82</v>
      </c>
      <c r="B875" s="14" t="s">
        <v>173</v>
      </c>
      <c r="C875" t="s">
        <v>83</v>
      </c>
      <c r="D875" s="13" t="s">
        <v>81</v>
      </c>
      <c r="E875" s="13">
        <v>1</v>
      </c>
      <c r="F875" s="13">
        <f>IF(E875="","",MIN(E875,$X875+SUMIFS('05_Parte_Diario'!$H$5:$H$204,'05_Parte_Diario'!$D$5:$D$204,B875,'05_Parte_Diario'!$E$5:$E$204,C875)))</f>
        <v>0</v>
      </c>
      <c r="G875" s="13">
        <f t="shared" si="91"/>
        <v>1</v>
      </c>
      <c r="H875" s="21">
        <f t="shared" si="92"/>
        <v>0</v>
      </c>
      <c r="I875" s="21">
        <f>IF(OR(B875="",C875="",$V$1=""),"",MIN(E875,SUMIFS('03_Planificacion'!$G$99:$G$178,'03_Planificacion'!$E$99:$E$178,B875,'03_Planificacion'!$F$99:$F$178,C875,'03_Planificacion'!$D$99:$D$178,"&lt;="&amp;$V$1)))</f>
        <v>0</v>
      </c>
      <c r="J875" s="21">
        <f t="shared" si="93"/>
        <v>0</v>
      </c>
      <c r="K875" s="6">
        <f t="shared" si="94"/>
        <v>0</v>
      </c>
      <c r="L875" t="s">
        <v>68</v>
      </c>
      <c r="P875" s="5">
        <f t="shared" si="95"/>
        <v>46287</v>
      </c>
      <c r="Q875" t="s">
        <v>174</v>
      </c>
      <c r="R875">
        <v>160</v>
      </c>
      <c r="S875" t="s">
        <v>171</v>
      </c>
      <c r="T875" t="str">
        <f t="shared" si="96"/>
        <v/>
      </c>
      <c r="U875" t="str">
        <f>IF(AND(L875="Para Programar",G875&gt;0),COUNTIFS($L$5:L875,"Para Programar",$G$5:G875,"&gt;0"),"")</f>
        <v/>
      </c>
      <c r="W875" t="str">
        <f t="shared" si="97"/>
        <v>N33 - N34|04 Inspecciones previas - Zanja y materiales</v>
      </c>
      <c r="X875">
        <v>0</v>
      </c>
    </row>
    <row r="876" spans="1:24">
      <c r="A876" t="s">
        <v>84</v>
      </c>
      <c r="B876" s="14" t="s">
        <v>173</v>
      </c>
      <c r="C876" t="s">
        <v>85</v>
      </c>
      <c r="D876" s="13" t="s">
        <v>67</v>
      </c>
      <c r="E876" s="13">
        <v>260</v>
      </c>
      <c r="F876" s="13">
        <f>IF(E876="","",MIN(E876,$X876+SUMIFS('05_Parte_Diario'!$H$5:$H$204,'05_Parte_Diario'!$D$5:$D$204,B876,'05_Parte_Diario'!$E$5:$E$204,C876)))</f>
        <v>0</v>
      </c>
      <c r="G876" s="13">
        <f t="shared" si="91"/>
        <v>260</v>
      </c>
      <c r="H876" s="21">
        <f t="shared" si="92"/>
        <v>0</v>
      </c>
      <c r="I876" s="21">
        <f>IF(OR(B876="",C876="",$V$1=""),"",MIN(E876,SUMIFS('03_Planificacion'!$G$99:$G$178,'03_Planificacion'!$E$99:$E$178,B876,'03_Planificacion'!$F$99:$F$178,C876,'03_Planificacion'!$D$99:$D$178,"&lt;="&amp;$V$1)))</f>
        <v>0</v>
      </c>
      <c r="J876" s="21">
        <f t="shared" si="93"/>
        <v>0</v>
      </c>
      <c r="K876" s="6">
        <f t="shared" si="94"/>
        <v>0</v>
      </c>
      <c r="L876" t="s">
        <v>68</v>
      </c>
      <c r="P876" s="5">
        <f t="shared" si="95"/>
        <v>46287</v>
      </c>
      <c r="Q876" t="s">
        <v>174</v>
      </c>
      <c r="R876">
        <v>160</v>
      </c>
      <c r="S876" t="s">
        <v>171</v>
      </c>
      <c r="T876" t="str">
        <f t="shared" si="96"/>
        <v/>
      </c>
      <c r="U876" t="str">
        <f>IF(AND(L876="Para Programar",G876&gt;0),COUNTIFS($L$5:L876,"Para Programar",$G$5:G876,"&gt;0"),"")</f>
        <v/>
      </c>
      <c r="W876" t="str">
        <f t="shared" si="97"/>
        <v>N33 - N34|05 Tendido de cañería - Cañería principal</v>
      </c>
      <c r="X876">
        <v>0</v>
      </c>
    </row>
    <row r="877" spans="1:24">
      <c r="A877" t="s">
        <v>86</v>
      </c>
      <c r="B877" s="14" t="s">
        <v>173</v>
      </c>
      <c r="C877" t="s">
        <v>87</v>
      </c>
      <c r="D877" s="13" t="s">
        <v>67</v>
      </c>
      <c r="E877" s="13">
        <v>260</v>
      </c>
      <c r="F877" s="13">
        <f>IF(E877="","",MIN(E877,$X877+SUMIFS('05_Parte_Diario'!$H$5:$H$204,'05_Parte_Diario'!$D$5:$D$204,B877,'05_Parte_Diario'!$E$5:$E$204,C877)))</f>
        <v>0</v>
      </c>
      <c r="G877" s="13">
        <f t="shared" si="91"/>
        <v>260</v>
      </c>
      <c r="H877" s="21">
        <f t="shared" si="92"/>
        <v>0</v>
      </c>
      <c r="I877" s="21">
        <f>IF(OR(B877="",C877="",$V$1=""),"",MIN(E877,SUMIFS('03_Planificacion'!$G$99:$G$178,'03_Planificacion'!$E$99:$E$178,B877,'03_Planificacion'!$F$99:$F$178,C877,'03_Planificacion'!$D$99:$D$178,"&lt;="&amp;$V$1)))</f>
        <v>0</v>
      </c>
      <c r="J877" s="21">
        <f t="shared" si="93"/>
        <v>0</v>
      </c>
      <c r="K877" s="6">
        <f t="shared" si="94"/>
        <v>0</v>
      </c>
      <c r="L877" t="s">
        <v>68</v>
      </c>
      <c r="P877" s="5">
        <f t="shared" si="95"/>
        <v>46287</v>
      </c>
      <c r="Q877" t="s">
        <v>174</v>
      </c>
      <c r="R877">
        <v>160</v>
      </c>
      <c r="S877" t="s">
        <v>171</v>
      </c>
      <c r="T877" t="str">
        <f t="shared" si="96"/>
        <v/>
      </c>
      <c r="U877" t="str">
        <f>IF(AND(L877="Para Programar",G877&gt;0),COUNTIFS($L$5:L877,"Para Programar",$G$5:G877,"&gt;0"),"")</f>
        <v/>
      </c>
      <c r="W877" t="str">
        <f t="shared" si="97"/>
        <v>N33 - N34|05 Tendido de cañería - Relevamiento planialtimétrico</v>
      </c>
      <c r="X877">
        <v>0</v>
      </c>
    </row>
    <row r="878" spans="1:24">
      <c r="A878" t="s">
        <v>88</v>
      </c>
      <c r="B878" s="14" t="s">
        <v>173</v>
      </c>
      <c r="C878" t="s">
        <v>89</v>
      </c>
      <c r="D878" s="13" t="s">
        <v>81</v>
      </c>
      <c r="E878" s="13">
        <v>1</v>
      </c>
      <c r="F878" s="13">
        <f>IF(E878="","",MIN(E878,$X878+SUMIFS('05_Parte_Diario'!$H$5:$H$204,'05_Parte_Diario'!$D$5:$D$204,B878,'05_Parte_Diario'!$E$5:$E$204,C878)))</f>
        <v>0</v>
      </c>
      <c r="G878" s="13">
        <f t="shared" si="91"/>
        <v>1</v>
      </c>
      <c r="H878" s="21">
        <f t="shared" si="92"/>
        <v>0</v>
      </c>
      <c r="I878" s="21">
        <f>IF(OR(B878="",C878="",$V$1=""),"",MIN(E878,SUMIFS('03_Planificacion'!$G$99:$G$178,'03_Planificacion'!$E$99:$E$178,B878,'03_Planificacion'!$F$99:$F$178,C878,'03_Planificacion'!$D$99:$D$178,"&lt;="&amp;$V$1)))</f>
        <v>0</v>
      </c>
      <c r="J878" s="21">
        <f t="shared" si="93"/>
        <v>0</v>
      </c>
      <c r="K878" s="6">
        <f t="shared" si="94"/>
        <v>0</v>
      </c>
      <c r="L878" t="s">
        <v>68</v>
      </c>
      <c r="P878" s="5">
        <f t="shared" si="95"/>
        <v>46287</v>
      </c>
      <c r="Q878" t="s">
        <v>174</v>
      </c>
      <c r="R878">
        <v>160</v>
      </c>
      <c r="S878" t="s">
        <v>171</v>
      </c>
      <c r="T878" t="str">
        <f t="shared" si="96"/>
        <v/>
      </c>
      <c r="U878" t="str">
        <f>IF(AND(L878="Para Programar",G878&gt;0),COUNTIFS($L$5:L878,"Para Programar",$G$5:G878,"&gt;0"),"")</f>
        <v/>
      </c>
      <c r="W878" t="str">
        <f t="shared" si="97"/>
        <v>N33 - N34|08 Prueba hidráulica - Preparación del sistema</v>
      </c>
      <c r="X878">
        <v>0</v>
      </c>
    </row>
    <row r="879" spans="1:24">
      <c r="A879" t="s">
        <v>90</v>
      </c>
      <c r="B879" s="14" t="s">
        <v>173</v>
      </c>
      <c r="C879" t="s">
        <v>91</v>
      </c>
      <c r="D879" s="13" t="s">
        <v>81</v>
      </c>
      <c r="E879" s="13">
        <v>1</v>
      </c>
      <c r="F879" s="13">
        <f>IF(E879="","",MIN(E879,$X879+SUMIFS('05_Parte_Diario'!$H$5:$H$204,'05_Parte_Diario'!$D$5:$D$204,B879,'05_Parte_Diario'!$E$5:$E$204,C879)))</f>
        <v>0</v>
      </c>
      <c r="G879" s="13">
        <f t="shared" si="91"/>
        <v>1</v>
      </c>
      <c r="H879" s="21">
        <f t="shared" si="92"/>
        <v>0</v>
      </c>
      <c r="I879" s="21">
        <f>IF(OR(B879="",C879="",$V$1=""),"",MIN(E879,SUMIFS('03_Planificacion'!$G$99:$G$178,'03_Planificacion'!$E$99:$E$178,B879,'03_Planificacion'!$F$99:$F$178,C879,'03_Planificacion'!$D$99:$D$178,"&lt;="&amp;$V$1)))</f>
        <v>0</v>
      </c>
      <c r="J879" s="21">
        <f t="shared" si="93"/>
        <v>0</v>
      </c>
      <c r="K879" s="6">
        <f t="shared" si="94"/>
        <v>0</v>
      </c>
      <c r="L879" t="s">
        <v>68</v>
      </c>
      <c r="P879" s="5">
        <f t="shared" si="95"/>
        <v>46287</v>
      </c>
      <c r="Q879" t="s">
        <v>174</v>
      </c>
      <c r="R879">
        <v>160</v>
      </c>
      <c r="S879" t="s">
        <v>171</v>
      </c>
      <c r="T879" t="str">
        <f t="shared" si="96"/>
        <v/>
      </c>
      <c r="U879" t="str">
        <f>IF(AND(L879="Para Programar",G879&gt;0),COUNTIFS($L$5:L879,"Para Programar",$G$5:G879,"&gt;0"),"")</f>
        <v/>
      </c>
      <c r="W879" t="str">
        <f t="shared" si="97"/>
        <v>N33 - N34|08 Prueba hidráulica - Interna N° 1</v>
      </c>
      <c r="X879">
        <v>0</v>
      </c>
    </row>
    <row r="880" spans="1:24">
      <c r="A880" t="s">
        <v>92</v>
      </c>
      <c r="B880" s="14" t="s">
        <v>173</v>
      </c>
      <c r="C880" t="s">
        <v>93</v>
      </c>
      <c r="D880" s="13" t="s">
        <v>81</v>
      </c>
      <c r="E880" s="13">
        <v>1</v>
      </c>
      <c r="F880" s="13">
        <f>IF(E880="","",MIN(E880,$X880+SUMIFS('05_Parte_Diario'!$H$5:$H$204,'05_Parte_Diario'!$D$5:$D$204,B880,'05_Parte_Diario'!$E$5:$E$204,C880)))</f>
        <v>0</v>
      </c>
      <c r="G880" s="13">
        <f t="shared" si="91"/>
        <v>1</v>
      </c>
      <c r="H880" s="21">
        <f t="shared" si="92"/>
        <v>0</v>
      </c>
      <c r="I880" s="21">
        <f>IF(OR(B880="",C880="",$V$1=""),"",MIN(E880,SUMIFS('03_Planificacion'!$G$99:$G$178,'03_Planificacion'!$E$99:$E$178,B880,'03_Planificacion'!$F$99:$F$178,C880,'03_Planificacion'!$D$99:$D$178,"&lt;="&amp;$V$1)))</f>
        <v>0</v>
      </c>
      <c r="J880" s="21">
        <f t="shared" si="93"/>
        <v>0</v>
      </c>
      <c r="K880" s="6">
        <f t="shared" si="94"/>
        <v>0</v>
      </c>
      <c r="L880" t="s">
        <v>68</v>
      </c>
      <c r="P880" s="5">
        <f t="shared" si="95"/>
        <v>46287</v>
      </c>
      <c r="Q880" t="s">
        <v>174</v>
      </c>
      <c r="R880">
        <v>160</v>
      </c>
      <c r="S880" t="s">
        <v>171</v>
      </c>
      <c r="T880" t="str">
        <f t="shared" si="96"/>
        <v/>
      </c>
      <c r="U880" t="str">
        <f>IF(AND(L880="Para Programar",G880&gt;0),COUNTIFS($L$5:L880,"Para Programar",$G$5:G880,"&gt;0"),"")</f>
        <v/>
      </c>
      <c r="W880" t="str">
        <f t="shared" si="97"/>
        <v>N33 - N34|08 Prueba hidráulica - Interna N° 2</v>
      </c>
      <c r="X880">
        <v>0</v>
      </c>
    </row>
    <row r="881" spans="1:24">
      <c r="A881" t="s">
        <v>94</v>
      </c>
      <c r="B881" s="14" t="s">
        <v>173</v>
      </c>
      <c r="C881" t="s">
        <v>95</v>
      </c>
      <c r="D881" s="13" t="s">
        <v>81</v>
      </c>
      <c r="E881" s="13">
        <v>1</v>
      </c>
      <c r="F881" s="13">
        <f>IF(E881="","",MIN(E881,$X881+SUMIFS('05_Parte_Diario'!$H$5:$H$204,'05_Parte_Diario'!$D$5:$D$204,B881,'05_Parte_Diario'!$E$5:$E$204,C881)))</f>
        <v>0</v>
      </c>
      <c r="G881" s="13">
        <f t="shared" si="91"/>
        <v>1</v>
      </c>
      <c r="H881" s="21">
        <f t="shared" si="92"/>
        <v>0</v>
      </c>
      <c r="I881" s="21">
        <f>IF(OR(B881="",C881="",$V$1=""),"",MIN(E881,SUMIFS('03_Planificacion'!$G$99:$G$178,'03_Planificacion'!$E$99:$E$178,B881,'03_Planificacion'!$F$99:$F$178,C881,'03_Planificacion'!$D$99:$D$178,"&lt;="&amp;$V$1)))</f>
        <v>0</v>
      </c>
      <c r="J881" s="21">
        <f t="shared" si="93"/>
        <v>0</v>
      </c>
      <c r="K881" s="6">
        <f t="shared" si="94"/>
        <v>0</v>
      </c>
      <c r="L881" t="s">
        <v>68</v>
      </c>
      <c r="P881" s="5">
        <f t="shared" si="95"/>
        <v>46287</v>
      </c>
      <c r="Q881" t="s">
        <v>174</v>
      </c>
      <c r="R881">
        <v>160</v>
      </c>
      <c r="S881" t="s">
        <v>171</v>
      </c>
      <c r="T881" t="str">
        <f t="shared" si="96"/>
        <v/>
      </c>
      <c r="U881" t="str">
        <f>IF(AND(L881="Para Programar",G881&gt;0),COUNTIFS($L$5:L881,"Para Programar",$G$5:G881,"&gt;0"),"")</f>
        <v/>
      </c>
      <c r="W881" t="str">
        <f t="shared" si="97"/>
        <v>N33 - N34|08 Prueba hidráulica - Primera prueba oficial</v>
      </c>
      <c r="X881">
        <v>0</v>
      </c>
    </row>
    <row r="882" spans="1:24">
      <c r="A882" t="s">
        <v>96</v>
      </c>
      <c r="B882" s="14" t="s">
        <v>173</v>
      </c>
      <c r="C882" t="s">
        <v>97</v>
      </c>
      <c r="D882" s="13" t="s">
        <v>67</v>
      </c>
      <c r="E882" s="13">
        <v>260</v>
      </c>
      <c r="F882" s="13">
        <f>IF(E882="","",MIN(E882,$X882+SUMIFS('05_Parte_Diario'!$H$5:$H$204,'05_Parte_Diario'!$D$5:$D$204,B882,'05_Parte_Diario'!$E$5:$E$204,C882)))</f>
        <v>0</v>
      </c>
      <c r="G882" s="13">
        <f t="shared" si="91"/>
        <v>260</v>
      </c>
      <c r="H882" s="21">
        <f t="shared" si="92"/>
        <v>0</v>
      </c>
      <c r="I882" s="21">
        <f>IF(OR(B882="",C882="",$V$1=""),"",MIN(E882,SUMIFS('03_Planificacion'!$G$99:$G$178,'03_Planificacion'!$E$99:$E$178,B882,'03_Planificacion'!$F$99:$F$178,C882,'03_Planificacion'!$D$99:$D$178,"&lt;="&amp;$V$1)))</f>
        <v>0</v>
      </c>
      <c r="J882" s="21">
        <f t="shared" si="93"/>
        <v>0</v>
      </c>
      <c r="K882" s="6">
        <f t="shared" si="94"/>
        <v>0</v>
      </c>
      <c r="L882" t="s">
        <v>68</v>
      </c>
      <c r="P882" s="5">
        <f t="shared" si="95"/>
        <v>46287</v>
      </c>
      <c r="Q882" t="s">
        <v>174</v>
      </c>
      <c r="R882">
        <v>160</v>
      </c>
      <c r="S882" t="s">
        <v>171</v>
      </c>
      <c r="T882" t="str">
        <f t="shared" si="96"/>
        <v/>
      </c>
      <c r="U882" t="str">
        <f>IF(AND(L882="Para Programar",G882&gt;0),COUNTIFS($L$5:L882,"Para Programar",$G$5:G882,"&gt;0"),"")</f>
        <v/>
      </c>
      <c r="W882" t="str">
        <f t="shared" si="97"/>
        <v>N33 - N34|09 Paquete estructural - Aporte e=0,30 m</v>
      </c>
      <c r="X882">
        <v>0</v>
      </c>
    </row>
    <row r="883" spans="1:24">
      <c r="A883" t="s">
        <v>98</v>
      </c>
      <c r="B883" s="14" t="s">
        <v>173</v>
      </c>
      <c r="C883" t="s">
        <v>99</v>
      </c>
      <c r="D883" s="13" t="s">
        <v>67</v>
      </c>
      <c r="E883" s="13">
        <v>260</v>
      </c>
      <c r="F883" s="13">
        <f>IF(E883="","",MIN(E883,$X883+SUMIFS('05_Parte_Diario'!$H$5:$H$204,'05_Parte_Diario'!$D$5:$D$204,B883,'05_Parte_Diario'!$E$5:$E$204,C883)))</f>
        <v>0</v>
      </c>
      <c r="G883" s="13">
        <f t="shared" si="91"/>
        <v>260</v>
      </c>
      <c r="H883" s="21">
        <f t="shared" si="92"/>
        <v>0</v>
      </c>
      <c r="I883" s="21">
        <f>IF(OR(B883="",C883="",$V$1=""),"",MIN(E883,SUMIFS('03_Planificacion'!$G$99:$G$178,'03_Planificacion'!$E$99:$E$178,B883,'03_Planificacion'!$F$99:$F$178,C883,'03_Planificacion'!$D$99:$D$178,"&lt;="&amp;$V$1)))</f>
        <v>0</v>
      </c>
      <c r="J883" s="21">
        <f t="shared" si="93"/>
        <v>0</v>
      </c>
      <c r="K883" s="6">
        <f t="shared" si="94"/>
        <v>0</v>
      </c>
      <c r="L883" t="s">
        <v>68</v>
      </c>
      <c r="P883" s="5">
        <f t="shared" si="95"/>
        <v>46287</v>
      </c>
      <c r="Q883" t="s">
        <v>174</v>
      </c>
      <c r="R883">
        <v>160</v>
      </c>
      <c r="S883" t="s">
        <v>171</v>
      </c>
      <c r="T883" t="str">
        <f t="shared" si="96"/>
        <v/>
      </c>
      <c r="U883" t="str">
        <f>IF(AND(L883="Para Programar",G883&gt;0),COUNTIFS($L$5:L883,"Para Programar",$G$5:G883,"&gt;0"),"")</f>
        <v/>
      </c>
      <c r="W883" t="str">
        <f t="shared" si="97"/>
        <v>N33 - N34|09 Paquete estructural - Compactación</v>
      </c>
      <c r="X883">
        <v>0</v>
      </c>
    </row>
    <row r="884" spans="1:24">
      <c r="A884" t="s">
        <v>100</v>
      </c>
      <c r="B884" s="14" t="s">
        <v>173</v>
      </c>
      <c r="C884" t="s">
        <v>101</v>
      </c>
      <c r="D884" s="13" t="s">
        <v>81</v>
      </c>
      <c r="E884" s="13">
        <v>1</v>
      </c>
      <c r="F884" s="13">
        <f>IF(E884="","",MIN(E884,$X884+SUMIFS('05_Parte_Diario'!$H$5:$H$204,'05_Parte_Diario'!$D$5:$D$204,B884,'05_Parte_Diario'!$E$5:$E$204,C884)))</f>
        <v>0</v>
      </c>
      <c r="G884" s="13">
        <f t="shared" si="91"/>
        <v>1</v>
      </c>
      <c r="H884" s="21">
        <f t="shared" si="92"/>
        <v>0</v>
      </c>
      <c r="I884" s="21">
        <f>IF(OR(B884="",C884="",$V$1=""),"",MIN(E884,SUMIFS('03_Planificacion'!$G$99:$G$178,'03_Planificacion'!$E$99:$E$178,B884,'03_Planificacion'!$F$99:$F$178,C884,'03_Planificacion'!$D$99:$D$178,"&lt;="&amp;$V$1)))</f>
        <v>0</v>
      </c>
      <c r="J884" s="21">
        <f t="shared" si="93"/>
        <v>0</v>
      </c>
      <c r="K884" s="6">
        <f t="shared" si="94"/>
        <v>0</v>
      </c>
      <c r="L884" t="s">
        <v>68</v>
      </c>
      <c r="P884" s="5">
        <f t="shared" si="95"/>
        <v>46287</v>
      </c>
      <c r="Q884" t="s">
        <v>174</v>
      </c>
      <c r="R884">
        <v>160</v>
      </c>
      <c r="S884" t="s">
        <v>171</v>
      </c>
      <c r="T884" t="str">
        <f t="shared" si="96"/>
        <v/>
      </c>
      <c r="U884" t="str">
        <f>IF(AND(L884="Para Programar",G884&gt;0),COUNTIFS($L$5:L884,"Para Programar",$G$5:G884,"&gt;0"),"")</f>
        <v/>
      </c>
      <c r="W884" t="str">
        <f t="shared" si="97"/>
        <v>N33 - N34|09 Paquete estructural - Inspección laboratorio</v>
      </c>
      <c r="X884">
        <v>0</v>
      </c>
    </row>
    <row r="885" spans="1:24">
      <c r="A885" t="s">
        <v>102</v>
      </c>
      <c r="B885" s="14" t="s">
        <v>173</v>
      </c>
      <c r="C885" t="s">
        <v>103</v>
      </c>
      <c r="D885" s="13" t="s">
        <v>67</v>
      </c>
      <c r="E885" s="13">
        <v>260</v>
      </c>
      <c r="F885" s="13">
        <f>IF(E885="","",MIN(E885,$X885+SUMIFS('05_Parte_Diario'!$H$5:$H$204,'05_Parte_Diario'!$D$5:$D$204,B885,'05_Parte_Diario'!$E$5:$E$204,C885)))</f>
        <v>0</v>
      </c>
      <c r="G885" s="13">
        <f t="shared" si="91"/>
        <v>260</v>
      </c>
      <c r="H885" s="21">
        <f t="shared" si="92"/>
        <v>0</v>
      </c>
      <c r="I885" s="21">
        <f>IF(OR(B885="",C885="",$V$1=""),"",MIN(E885,SUMIFS('03_Planificacion'!$G$99:$G$178,'03_Planificacion'!$E$99:$E$178,B885,'03_Planificacion'!$F$99:$F$178,C885,'03_Planificacion'!$D$99:$D$178,"&lt;="&amp;$V$1)))</f>
        <v>0</v>
      </c>
      <c r="J885" s="21">
        <f t="shared" si="93"/>
        <v>0</v>
      </c>
      <c r="K885" s="6">
        <f t="shared" si="94"/>
        <v>0</v>
      </c>
      <c r="L885" t="s">
        <v>68</v>
      </c>
      <c r="P885" s="5">
        <f t="shared" si="95"/>
        <v>46287</v>
      </c>
      <c r="Q885" t="s">
        <v>174</v>
      </c>
      <c r="R885">
        <v>160</v>
      </c>
      <c r="S885" t="s">
        <v>171</v>
      </c>
      <c r="T885" t="str">
        <f t="shared" si="96"/>
        <v/>
      </c>
      <c r="U885" t="str">
        <f>IF(AND(L885="Para Programar",G885&gt;0),COUNTIFS($L$5:L885,"Para Programar",$G$5:G885,"&gt;0"),"")</f>
        <v/>
      </c>
      <c r="W885" t="str">
        <f t="shared" si="97"/>
        <v>N33 - N34|10 Relleno -0,60 - Conformación de capa</v>
      </c>
      <c r="X885">
        <v>0</v>
      </c>
    </row>
    <row r="886" spans="1:24">
      <c r="A886" t="s">
        <v>104</v>
      </c>
      <c r="B886" s="14" t="s">
        <v>173</v>
      </c>
      <c r="C886" t="s">
        <v>105</v>
      </c>
      <c r="D886" s="13" t="s">
        <v>67</v>
      </c>
      <c r="E886" s="13">
        <v>260</v>
      </c>
      <c r="F886" s="13">
        <f>IF(E886="","",MIN(E886,$X886+SUMIFS('05_Parte_Diario'!$H$5:$H$204,'05_Parte_Diario'!$D$5:$D$204,B886,'05_Parte_Diario'!$E$5:$E$204,C886)))</f>
        <v>0</v>
      </c>
      <c r="G886" s="13">
        <f t="shared" si="91"/>
        <v>260</v>
      </c>
      <c r="H886" s="21">
        <f t="shared" si="92"/>
        <v>0</v>
      </c>
      <c r="I886" s="21">
        <f>IF(OR(B886="",C886="",$V$1=""),"",MIN(E886,SUMIFS('03_Planificacion'!$G$99:$G$178,'03_Planificacion'!$E$99:$E$178,B886,'03_Planificacion'!$F$99:$F$178,C886,'03_Planificacion'!$D$99:$D$178,"&lt;="&amp;$V$1)))</f>
        <v>0</v>
      </c>
      <c r="J886" s="21">
        <f t="shared" si="93"/>
        <v>0</v>
      </c>
      <c r="K886" s="6">
        <f t="shared" si="94"/>
        <v>0</v>
      </c>
      <c r="L886" t="s">
        <v>68</v>
      </c>
      <c r="P886" s="5">
        <f t="shared" si="95"/>
        <v>46287</v>
      </c>
      <c r="Q886" t="s">
        <v>174</v>
      </c>
      <c r="R886">
        <v>160</v>
      </c>
      <c r="S886" t="s">
        <v>171</v>
      </c>
      <c r="T886" t="str">
        <f t="shared" si="96"/>
        <v/>
      </c>
      <c r="U886" t="str">
        <f>IF(AND(L886="Para Programar",G886&gt;0),COUNTIFS($L$5:L886,"Para Programar",$G$5:G886,"&gt;0"),"")</f>
        <v/>
      </c>
      <c r="W886" t="str">
        <f t="shared" si="97"/>
        <v>N33 - N34|10 Relleno -0,60 - Humectación</v>
      </c>
      <c r="X886">
        <v>0</v>
      </c>
    </row>
    <row r="887" spans="1:24">
      <c r="A887" t="s">
        <v>106</v>
      </c>
      <c r="B887" s="14" t="s">
        <v>173</v>
      </c>
      <c r="C887" t="s">
        <v>107</v>
      </c>
      <c r="D887" s="13" t="s">
        <v>67</v>
      </c>
      <c r="E887" s="13">
        <v>260</v>
      </c>
      <c r="F887" s="13">
        <f>IF(E887="","",MIN(E887,$X887+SUMIFS('05_Parte_Diario'!$H$5:$H$204,'05_Parte_Diario'!$D$5:$D$204,B887,'05_Parte_Diario'!$E$5:$E$204,C887)))</f>
        <v>0</v>
      </c>
      <c r="G887" s="13">
        <f t="shared" si="91"/>
        <v>260</v>
      </c>
      <c r="H887" s="21">
        <f t="shared" si="92"/>
        <v>0</v>
      </c>
      <c r="I887" s="21">
        <f>IF(OR(B887="",C887="",$V$1=""),"",MIN(E887,SUMIFS('03_Planificacion'!$G$99:$G$178,'03_Planificacion'!$E$99:$E$178,B887,'03_Planificacion'!$F$99:$F$178,C887,'03_Planificacion'!$D$99:$D$178,"&lt;="&amp;$V$1)))</f>
        <v>0</v>
      </c>
      <c r="J887" s="21">
        <f t="shared" si="93"/>
        <v>0</v>
      </c>
      <c r="K887" s="6">
        <f t="shared" si="94"/>
        <v>0</v>
      </c>
      <c r="L887" t="s">
        <v>68</v>
      </c>
      <c r="P887" s="5">
        <f t="shared" si="95"/>
        <v>46287</v>
      </c>
      <c r="Q887" t="s">
        <v>174</v>
      </c>
      <c r="R887">
        <v>160</v>
      </c>
      <c r="S887" t="s">
        <v>171</v>
      </c>
      <c r="T887" t="str">
        <f t="shared" si="96"/>
        <v/>
      </c>
      <c r="U887" t="str">
        <f>IF(AND(L887="Para Programar",G887&gt;0),COUNTIFS($L$5:L887,"Para Programar",$G$5:G887,"&gt;0"),"")</f>
        <v/>
      </c>
      <c r="W887" t="str">
        <f t="shared" si="97"/>
        <v>N33 - N34|10 Relleno -0,60 - Compactación</v>
      </c>
      <c r="X887">
        <v>0</v>
      </c>
    </row>
    <row r="888" spans="1:24">
      <c r="A888" t="s">
        <v>108</v>
      </c>
      <c r="B888" s="14" t="s">
        <v>173</v>
      </c>
      <c r="C888" t="s">
        <v>109</v>
      </c>
      <c r="D888" s="13" t="s">
        <v>81</v>
      </c>
      <c r="E888" s="13">
        <v>1</v>
      </c>
      <c r="F888" s="13">
        <f>IF(E888="","",MIN(E888,$X888+SUMIFS('05_Parte_Diario'!$H$5:$H$204,'05_Parte_Diario'!$D$5:$D$204,B888,'05_Parte_Diario'!$E$5:$E$204,C888)))</f>
        <v>0</v>
      </c>
      <c r="G888" s="13">
        <f t="shared" si="91"/>
        <v>1</v>
      </c>
      <c r="H888" s="21">
        <f t="shared" si="92"/>
        <v>0</v>
      </c>
      <c r="I888" s="21">
        <f>IF(OR(B888="",C888="",$V$1=""),"",MIN(E888,SUMIFS('03_Planificacion'!$G$99:$G$178,'03_Planificacion'!$E$99:$E$178,B888,'03_Planificacion'!$F$99:$F$178,C888,'03_Planificacion'!$D$99:$D$178,"&lt;="&amp;$V$1)))</f>
        <v>0</v>
      </c>
      <c r="J888" s="21">
        <f t="shared" si="93"/>
        <v>0</v>
      </c>
      <c r="K888" s="6">
        <f t="shared" si="94"/>
        <v>0</v>
      </c>
      <c r="L888" t="s">
        <v>68</v>
      </c>
      <c r="P888" s="5">
        <f t="shared" si="95"/>
        <v>46287</v>
      </c>
      <c r="Q888" t="s">
        <v>174</v>
      </c>
      <c r="R888">
        <v>160</v>
      </c>
      <c r="S888" t="s">
        <v>171</v>
      </c>
      <c r="T888" t="str">
        <f t="shared" si="96"/>
        <v/>
      </c>
      <c r="U888" t="str">
        <f>IF(AND(L888="Para Programar",G888&gt;0),COUNTIFS($L$5:L888,"Para Programar",$G$5:G888,"&gt;0"),"")</f>
        <v/>
      </c>
      <c r="W888" t="str">
        <f t="shared" si="97"/>
        <v>N33 - N34|10 Relleno -0,60 - Inspección laboratorio</v>
      </c>
      <c r="X888">
        <v>0</v>
      </c>
    </row>
    <row r="889" spans="1:24">
      <c r="A889" t="s">
        <v>110</v>
      </c>
      <c r="B889" s="14" t="s">
        <v>173</v>
      </c>
      <c r="C889" t="s">
        <v>111</v>
      </c>
      <c r="D889" s="13" t="s">
        <v>67</v>
      </c>
      <c r="E889" s="13">
        <v>260</v>
      </c>
      <c r="F889" s="13">
        <f>IF(E889="","",MIN(E889,$X889+SUMIFS('05_Parte_Diario'!$H$5:$H$204,'05_Parte_Diario'!$D$5:$D$204,B889,'05_Parte_Diario'!$E$5:$E$204,C889)))</f>
        <v>0</v>
      </c>
      <c r="G889" s="13">
        <f t="shared" si="91"/>
        <v>260</v>
      </c>
      <c r="H889" s="21">
        <f t="shared" si="92"/>
        <v>0</v>
      </c>
      <c r="I889" s="21">
        <f>IF(OR(B889="",C889="",$V$1=""),"",MIN(E889,SUMIFS('03_Planificacion'!$G$99:$G$178,'03_Planificacion'!$E$99:$E$178,B889,'03_Planificacion'!$F$99:$F$178,C889,'03_Planificacion'!$D$99:$D$178,"&lt;="&amp;$V$1)))</f>
        <v>0</v>
      </c>
      <c r="J889" s="21">
        <f t="shared" si="93"/>
        <v>0</v>
      </c>
      <c r="K889" s="6">
        <f t="shared" si="94"/>
        <v>0</v>
      </c>
      <c r="L889" t="s">
        <v>68</v>
      </c>
      <c r="P889" s="5">
        <f t="shared" si="95"/>
        <v>46287</v>
      </c>
      <c r="Q889" t="s">
        <v>174</v>
      </c>
      <c r="R889">
        <v>160</v>
      </c>
      <c r="S889" t="s">
        <v>171</v>
      </c>
      <c r="T889" t="str">
        <f t="shared" si="96"/>
        <v/>
      </c>
      <c r="U889" t="str">
        <f>IF(AND(L889="Para Programar",G889&gt;0),COUNTIFS($L$5:L889,"Para Programar",$G$5:G889,"&gt;0"),"")</f>
        <v/>
      </c>
      <c r="W889" t="str">
        <f t="shared" si="97"/>
        <v>N33 - N34|11 Relleno -0,30 - Conformación de capa</v>
      </c>
      <c r="X889">
        <v>0</v>
      </c>
    </row>
    <row r="890" spans="1:24">
      <c r="A890" t="s">
        <v>112</v>
      </c>
      <c r="B890" s="14" t="s">
        <v>173</v>
      </c>
      <c r="C890" t="s">
        <v>113</v>
      </c>
      <c r="D890" s="13" t="s">
        <v>67</v>
      </c>
      <c r="E890" s="13">
        <v>260</v>
      </c>
      <c r="F890" s="13">
        <f>IF(E890="","",MIN(E890,$X890+SUMIFS('05_Parte_Diario'!$H$5:$H$204,'05_Parte_Diario'!$D$5:$D$204,B890,'05_Parte_Diario'!$E$5:$E$204,C890)))</f>
        <v>0</v>
      </c>
      <c r="G890" s="13">
        <f t="shared" si="91"/>
        <v>260</v>
      </c>
      <c r="H890" s="21">
        <f t="shared" si="92"/>
        <v>0</v>
      </c>
      <c r="I890" s="21">
        <f>IF(OR(B890="",C890="",$V$1=""),"",MIN(E890,SUMIFS('03_Planificacion'!$G$99:$G$178,'03_Planificacion'!$E$99:$E$178,B890,'03_Planificacion'!$F$99:$F$178,C890,'03_Planificacion'!$D$99:$D$178,"&lt;="&amp;$V$1)))</f>
        <v>0</v>
      </c>
      <c r="J890" s="21">
        <f t="shared" si="93"/>
        <v>0</v>
      </c>
      <c r="K890" s="6">
        <f t="shared" si="94"/>
        <v>0</v>
      </c>
      <c r="L890" t="s">
        <v>68</v>
      </c>
      <c r="P890" s="5">
        <f t="shared" si="95"/>
        <v>46287</v>
      </c>
      <c r="Q890" t="s">
        <v>174</v>
      </c>
      <c r="R890">
        <v>160</v>
      </c>
      <c r="S890" t="s">
        <v>171</v>
      </c>
      <c r="T890" t="str">
        <f t="shared" si="96"/>
        <v/>
      </c>
      <c r="U890" t="str">
        <f>IF(AND(L890="Para Programar",G890&gt;0),COUNTIFS($L$5:L890,"Para Programar",$G$5:G890,"&gt;0"),"")</f>
        <v/>
      </c>
      <c r="W890" t="str">
        <f t="shared" si="97"/>
        <v>N33 - N34|11 Relleno -0,30 - Humectación</v>
      </c>
      <c r="X890">
        <v>0</v>
      </c>
    </row>
    <row r="891" spans="1:24">
      <c r="A891" t="s">
        <v>114</v>
      </c>
      <c r="B891" s="14" t="s">
        <v>173</v>
      </c>
      <c r="C891" t="s">
        <v>115</v>
      </c>
      <c r="D891" s="13" t="s">
        <v>67</v>
      </c>
      <c r="E891" s="13">
        <v>260</v>
      </c>
      <c r="F891" s="13">
        <f>IF(E891="","",MIN(E891,$X891+SUMIFS('05_Parte_Diario'!$H$5:$H$204,'05_Parte_Diario'!$D$5:$D$204,B891,'05_Parte_Diario'!$E$5:$E$204,C891)))</f>
        <v>0</v>
      </c>
      <c r="G891" s="13">
        <f t="shared" si="91"/>
        <v>260</v>
      </c>
      <c r="H891" s="21">
        <f t="shared" si="92"/>
        <v>0</v>
      </c>
      <c r="I891" s="21">
        <f>IF(OR(B891="",C891="",$V$1=""),"",MIN(E891,SUMIFS('03_Planificacion'!$G$99:$G$178,'03_Planificacion'!$E$99:$E$178,B891,'03_Planificacion'!$F$99:$F$178,C891,'03_Planificacion'!$D$99:$D$178,"&lt;="&amp;$V$1)))</f>
        <v>0</v>
      </c>
      <c r="J891" s="21">
        <f t="shared" si="93"/>
        <v>0</v>
      </c>
      <c r="K891" s="6">
        <f t="shared" si="94"/>
        <v>0</v>
      </c>
      <c r="L891" t="s">
        <v>68</v>
      </c>
      <c r="P891" s="5">
        <f t="shared" si="95"/>
        <v>46287</v>
      </c>
      <c r="Q891" t="s">
        <v>174</v>
      </c>
      <c r="R891">
        <v>160</v>
      </c>
      <c r="S891" t="s">
        <v>171</v>
      </c>
      <c r="T891" t="str">
        <f t="shared" si="96"/>
        <v/>
      </c>
      <c r="U891" t="str">
        <f>IF(AND(L891="Para Programar",G891&gt;0),COUNTIFS($L$5:L891,"Para Programar",$G$5:G891,"&gt;0"),"")</f>
        <v/>
      </c>
      <c r="W891" t="str">
        <f t="shared" si="97"/>
        <v>N33 - N34|11 Relleno -0,30 - Compactación</v>
      </c>
      <c r="X891">
        <v>0</v>
      </c>
    </row>
    <row r="892" spans="1:24">
      <c r="A892" t="s">
        <v>116</v>
      </c>
      <c r="B892" s="14" t="s">
        <v>173</v>
      </c>
      <c r="C892" t="s">
        <v>117</v>
      </c>
      <c r="D892" s="13" t="s">
        <v>81</v>
      </c>
      <c r="E892" s="13">
        <v>1</v>
      </c>
      <c r="F892" s="13">
        <f>IF(E892="","",MIN(E892,$X892+SUMIFS('05_Parte_Diario'!$H$5:$H$204,'05_Parte_Diario'!$D$5:$D$204,B892,'05_Parte_Diario'!$E$5:$E$204,C892)))</f>
        <v>0</v>
      </c>
      <c r="G892" s="13">
        <f t="shared" si="91"/>
        <v>1</v>
      </c>
      <c r="H892" s="21">
        <f t="shared" si="92"/>
        <v>0</v>
      </c>
      <c r="I892" s="21">
        <f>IF(OR(B892="",C892="",$V$1=""),"",MIN(E892,SUMIFS('03_Planificacion'!$G$99:$G$178,'03_Planificacion'!$E$99:$E$178,B892,'03_Planificacion'!$F$99:$F$178,C892,'03_Planificacion'!$D$99:$D$178,"&lt;="&amp;$V$1)))</f>
        <v>0</v>
      </c>
      <c r="J892" s="21">
        <f t="shared" si="93"/>
        <v>0</v>
      </c>
      <c r="K892" s="6">
        <f t="shared" si="94"/>
        <v>0</v>
      </c>
      <c r="L892" t="s">
        <v>68</v>
      </c>
      <c r="P892" s="5">
        <f t="shared" si="95"/>
        <v>46287</v>
      </c>
      <c r="Q892" t="s">
        <v>174</v>
      </c>
      <c r="R892">
        <v>160</v>
      </c>
      <c r="S892" t="s">
        <v>171</v>
      </c>
      <c r="T892" t="str">
        <f t="shared" si="96"/>
        <v/>
      </c>
      <c r="U892" t="str">
        <f>IF(AND(L892="Para Programar",G892&gt;0),COUNTIFS($L$5:L892,"Para Programar",$G$5:G892,"&gt;0"),"")</f>
        <v/>
      </c>
      <c r="W892" t="str">
        <f t="shared" si="97"/>
        <v>N33 - N34|11 Relleno -0,30 - Inspección laboratorio</v>
      </c>
      <c r="X892">
        <v>0</v>
      </c>
    </row>
    <row r="893" spans="1:24">
      <c r="A893" t="s">
        <v>64</v>
      </c>
      <c r="B893" s="14" t="s">
        <v>175</v>
      </c>
      <c r="C893" t="s">
        <v>66</v>
      </c>
      <c r="D893" s="13" t="s">
        <v>67</v>
      </c>
      <c r="E893" s="13">
        <v>195</v>
      </c>
      <c r="F893" s="13">
        <f>IF(E893="","",MIN(E893,$X893+SUMIFS('05_Parte_Diario'!$H$5:$H$204,'05_Parte_Diario'!$D$5:$D$204,B893,'05_Parte_Diario'!$E$5:$E$204,C893)))</f>
        <v>0</v>
      </c>
      <c r="G893" s="13">
        <f t="shared" si="91"/>
        <v>195</v>
      </c>
      <c r="H893" s="21">
        <f t="shared" si="92"/>
        <v>0</v>
      </c>
      <c r="I893" s="21">
        <f>IF(OR(B893="",C893="",$V$1=""),"",MIN(E893,SUMIFS('03_Planificacion'!$G$99:$G$178,'03_Planificacion'!$E$99:$E$178,B893,'03_Planificacion'!$F$99:$F$178,C893,'03_Planificacion'!$D$99:$D$178,"&lt;="&amp;$V$1)))</f>
        <v>0</v>
      </c>
      <c r="J893" s="21">
        <f t="shared" si="93"/>
        <v>0</v>
      </c>
      <c r="K893" s="6">
        <f t="shared" si="94"/>
        <v>0</v>
      </c>
      <c r="L893" t="s">
        <v>68</v>
      </c>
      <c r="P893" s="5">
        <f t="shared" si="95"/>
        <v>46287</v>
      </c>
      <c r="Q893" t="s">
        <v>170</v>
      </c>
      <c r="R893">
        <v>160</v>
      </c>
      <c r="S893" t="s">
        <v>171</v>
      </c>
      <c r="T893" t="str">
        <f t="shared" si="96"/>
        <v/>
      </c>
      <c r="U893" t="str">
        <f>IF(AND(L893="Para Programar",G893&gt;0),COUNTIFS($L$5:L893,"Para Programar",$G$5:G893,"&gt;0"),"")</f>
        <v/>
      </c>
      <c r="W893" t="str">
        <f t="shared" si="97"/>
        <v>N34 - N35|01 Replanteo - Marcación de tramo de cañería principal</v>
      </c>
      <c r="X893">
        <v>0</v>
      </c>
    </row>
    <row r="894" spans="1:24">
      <c r="A894" t="s">
        <v>71</v>
      </c>
      <c r="B894" s="14" t="s">
        <v>175</v>
      </c>
      <c r="C894" t="s">
        <v>72</v>
      </c>
      <c r="D894" s="13" t="s">
        <v>67</v>
      </c>
      <c r="E894" s="13">
        <v>195</v>
      </c>
      <c r="F894" s="13">
        <f>IF(E894="","",MIN(E894,$X894+SUMIFS('05_Parte_Diario'!$H$5:$H$204,'05_Parte_Diario'!$D$5:$D$204,B894,'05_Parte_Diario'!$E$5:$E$204,C894)))</f>
        <v>0</v>
      </c>
      <c r="G894" s="13">
        <f t="shared" si="91"/>
        <v>195</v>
      </c>
      <c r="H894" s="21">
        <f t="shared" si="92"/>
        <v>0</v>
      </c>
      <c r="I894" s="21">
        <f>IF(OR(B894="",C894="",$V$1=""),"",MIN(E894,SUMIFS('03_Planificacion'!$G$99:$G$178,'03_Planificacion'!$E$99:$E$178,B894,'03_Planificacion'!$F$99:$F$178,C894,'03_Planificacion'!$D$99:$D$178,"&lt;="&amp;$V$1)))</f>
        <v>0</v>
      </c>
      <c r="J894" s="21">
        <f t="shared" si="93"/>
        <v>0</v>
      </c>
      <c r="K894" s="6">
        <f t="shared" si="94"/>
        <v>0</v>
      </c>
      <c r="L894" t="s">
        <v>68</v>
      </c>
      <c r="P894" s="5">
        <f t="shared" si="95"/>
        <v>46287</v>
      </c>
      <c r="Q894" t="s">
        <v>170</v>
      </c>
      <c r="R894">
        <v>160</v>
      </c>
      <c r="S894" t="s">
        <v>171</v>
      </c>
      <c r="T894" t="str">
        <f t="shared" si="96"/>
        <v/>
      </c>
      <c r="U894" t="str">
        <f>IF(AND(L894="Para Programar",G894&gt;0),COUNTIFS($L$5:L894,"Para Programar",$G$5:G894,"&gt;0"),"")</f>
        <v/>
      </c>
      <c r="W894" t="str">
        <f t="shared" si="97"/>
        <v>N34 - N35|02 Excavación - Zanja principal</v>
      </c>
      <c r="X894">
        <v>0</v>
      </c>
    </row>
    <row r="895" spans="1:24">
      <c r="A895" t="s">
        <v>73</v>
      </c>
      <c r="B895" s="14" t="s">
        <v>175</v>
      </c>
      <c r="C895" t="s">
        <v>74</v>
      </c>
      <c r="D895" s="13" t="s">
        <v>67</v>
      </c>
      <c r="E895" s="13">
        <v>195</v>
      </c>
      <c r="F895" s="13">
        <f>IF(E895="","",MIN(E895,$X895+SUMIFS('05_Parte_Diario'!$H$5:$H$204,'05_Parte_Diario'!$D$5:$D$204,B895,'05_Parte_Diario'!$E$5:$E$204,C895)))</f>
        <v>0</v>
      </c>
      <c r="G895" s="13">
        <f t="shared" si="91"/>
        <v>195</v>
      </c>
      <c r="H895" s="21">
        <f t="shared" si="92"/>
        <v>0</v>
      </c>
      <c r="I895" s="21">
        <f>IF(OR(B895="",C895="",$V$1=""),"",MIN(E895,SUMIFS('03_Planificacion'!$G$99:$G$178,'03_Planificacion'!$E$99:$E$178,B895,'03_Planificacion'!$F$99:$F$178,C895,'03_Planificacion'!$D$99:$D$178,"&lt;="&amp;$V$1)))</f>
        <v>0</v>
      </c>
      <c r="J895" s="21">
        <f t="shared" si="93"/>
        <v>0</v>
      </c>
      <c r="K895" s="6">
        <f t="shared" si="94"/>
        <v>0</v>
      </c>
      <c r="L895" t="s">
        <v>68</v>
      </c>
      <c r="P895" s="5">
        <f t="shared" si="95"/>
        <v>46287</v>
      </c>
      <c r="Q895" t="s">
        <v>170</v>
      </c>
      <c r="R895">
        <v>160</v>
      </c>
      <c r="S895" t="s">
        <v>171</v>
      </c>
      <c r="T895" t="str">
        <f t="shared" si="96"/>
        <v/>
      </c>
      <c r="U895" t="str">
        <f>IF(AND(L895="Para Programar",G895&gt;0),COUNTIFS($L$5:L895,"Para Programar",$G$5:G895,"&gt;0"),"")</f>
        <v/>
      </c>
      <c r="W895" t="str">
        <f t="shared" si="97"/>
        <v>N34 - N35|03 Base de asiento - Nivelación de fondo de zanja</v>
      </c>
      <c r="X895">
        <v>0</v>
      </c>
    </row>
    <row r="896" spans="1:24">
      <c r="A896" t="s">
        <v>75</v>
      </c>
      <c r="B896" s="14" t="s">
        <v>175</v>
      </c>
      <c r="C896" t="s">
        <v>76</v>
      </c>
      <c r="D896" s="13" t="s">
        <v>67</v>
      </c>
      <c r="E896" s="13">
        <v>195</v>
      </c>
      <c r="F896" s="13">
        <f>IF(E896="","",MIN(E896,$X896+SUMIFS('05_Parte_Diario'!$H$5:$H$204,'05_Parte_Diario'!$D$5:$D$204,B896,'05_Parte_Diario'!$E$5:$E$204,C896)))</f>
        <v>0</v>
      </c>
      <c r="G896" s="13">
        <f t="shared" si="91"/>
        <v>195</v>
      </c>
      <c r="H896" s="21">
        <f t="shared" si="92"/>
        <v>0</v>
      </c>
      <c r="I896" s="21">
        <f>IF(OR(B896="",C896="",$V$1=""),"",MIN(E896,SUMIFS('03_Planificacion'!$G$99:$G$178,'03_Planificacion'!$E$99:$E$178,B896,'03_Planificacion'!$F$99:$F$178,C896,'03_Planificacion'!$D$99:$D$178,"&lt;="&amp;$V$1)))</f>
        <v>0</v>
      </c>
      <c r="J896" s="21">
        <f t="shared" si="93"/>
        <v>0</v>
      </c>
      <c r="K896" s="6">
        <f t="shared" si="94"/>
        <v>0</v>
      </c>
      <c r="L896" t="s">
        <v>68</v>
      </c>
      <c r="P896" s="5">
        <f t="shared" si="95"/>
        <v>46287</v>
      </c>
      <c r="Q896" t="s">
        <v>170</v>
      </c>
      <c r="R896">
        <v>160</v>
      </c>
      <c r="S896" t="s">
        <v>171</v>
      </c>
      <c r="T896" t="str">
        <f t="shared" si="96"/>
        <v/>
      </c>
      <c r="U896" t="str">
        <f>IF(AND(L896="Para Programar",G896&gt;0),COUNTIFS($L$5:L896,"Para Programar",$G$5:G896,"&gt;0"),"")</f>
        <v/>
      </c>
      <c r="W896" t="str">
        <f t="shared" si="97"/>
        <v>N34 - N35|03 Base de asiento - Aporte de material base e=0,10 m</v>
      </c>
      <c r="X896">
        <v>0</v>
      </c>
    </row>
    <row r="897" spans="1:24">
      <c r="A897" t="s">
        <v>77</v>
      </c>
      <c r="B897" s="14" t="s">
        <v>175</v>
      </c>
      <c r="C897" t="s">
        <v>78</v>
      </c>
      <c r="D897" s="13" t="s">
        <v>67</v>
      </c>
      <c r="E897" s="13">
        <v>195</v>
      </c>
      <c r="F897" s="13">
        <f>IF(E897="","",MIN(E897,$X897+SUMIFS('05_Parte_Diario'!$H$5:$H$204,'05_Parte_Diario'!$D$5:$D$204,B897,'05_Parte_Diario'!$E$5:$E$204,C897)))</f>
        <v>0</v>
      </c>
      <c r="G897" s="13">
        <f t="shared" si="91"/>
        <v>195</v>
      </c>
      <c r="H897" s="21">
        <f t="shared" si="92"/>
        <v>0</v>
      </c>
      <c r="I897" s="21">
        <f>IF(OR(B897="",C897="",$V$1=""),"",MIN(E897,SUMIFS('03_Planificacion'!$G$99:$G$178,'03_Planificacion'!$E$99:$E$178,B897,'03_Planificacion'!$F$99:$F$178,C897,'03_Planificacion'!$D$99:$D$178,"&lt;="&amp;$V$1)))</f>
        <v>0</v>
      </c>
      <c r="J897" s="21">
        <f t="shared" si="93"/>
        <v>0</v>
      </c>
      <c r="K897" s="6">
        <f t="shared" si="94"/>
        <v>0</v>
      </c>
      <c r="L897" t="s">
        <v>68</v>
      </c>
      <c r="P897" s="5">
        <f t="shared" si="95"/>
        <v>46287</v>
      </c>
      <c r="Q897" t="s">
        <v>170</v>
      </c>
      <c r="R897">
        <v>160</v>
      </c>
      <c r="S897" t="s">
        <v>171</v>
      </c>
      <c r="T897" t="str">
        <f t="shared" si="96"/>
        <v/>
      </c>
      <c r="U897" t="str">
        <f>IF(AND(L897="Para Programar",G897&gt;0),COUNTIFS($L$5:L897,"Para Programar",$G$5:G897,"&gt;0"),"")</f>
        <v/>
      </c>
      <c r="W897" t="str">
        <f t="shared" si="97"/>
        <v>N34 - N35|03 Base de asiento - Compactación</v>
      </c>
      <c r="X897">
        <v>0</v>
      </c>
    </row>
    <row r="898" spans="1:24">
      <c r="A898" t="s">
        <v>79</v>
      </c>
      <c r="B898" s="14" t="s">
        <v>175</v>
      </c>
      <c r="C898" t="s">
        <v>80</v>
      </c>
      <c r="D898" s="13" t="s">
        <v>81</v>
      </c>
      <c r="E898" s="13">
        <v>1</v>
      </c>
      <c r="F898" s="13">
        <f>IF(E898="","",MIN(E898,$X898+SUMIFS('05_Parte_Diario'!$H$5:$H$204,'05_Parte_Diario'!$D$5:$D$204,B898,'05_Parte_Diario'!$E$5:$E$204,C898)))</f>
        <v>0</v>
      </c>
      <c r="G898" s="13">
        <f t="shared" si="91"/>
        <v>1</v>
      </c>
      <c r="H898" s="21">
        <f t="shared" si="92"/>
        <v>0</v>
      </c>
      <c r="I898" s="21">
        <f>IF(OR(B898="",C898="",$V$1=""),"",MIN(E898,SUMIFS('03_Planificacion'!$G$99:$G$178,'03_Planificacion'!$E$99:$E$178,B898,'03_Planificacion'!$F$99:$F$178,C898,'03_Planificacion'!$D$99:$D$178,"&lt;="&amp;$V$1)))</f>
        <v>0</v>
      </c>
      <c r="J898" s="21">
        <f t="shared" si="93"/>
        <v>0</v>
      </c>
      <c r="K898" s="6">
        <f t="shared" si="94"/>
        <v>0</v>
      </c>
      <c r="L898" t="s">
        <v>68</v>
      </c>
      <c r="P898" s="5">
        <f t="shared" si="95"/>
        <v>46287</v>
      </c>
      <c r="Q898" t="s">
        <v>170</v>
      </c>
      <c r="R898">
        <v>160</v>
      </c>
      <c r="S898" t="s">
        <v>171</v>
      </c>
      <c r="T898" t="str">
        <f t="shared" si="96"/>
        <v/>
      </c>
      <c r="U898" t="str">
        <f>IF(AND(L898="Para Programar",G898&gt;0),COUNTIFS($L$5:L898,"Para Programar",$G$5:G898,"&gt;0"),"")</f>
        <v/>
      </c>
      <c r="W898" t="str">
        <f t="shared" si="97"/>
        <v>N34 - N35|04 Inspecciones previas - Laboratorio base de asiento</v>
      </c>
      <c r="X898">
        <v>0</v>
      </c>
    </row>
    <row r="899" spans="1:24">
      <c r="A899" t="s">
        <v>82</v>
      </c>
      <c r="B899" s="14" t="s">
        <v>175</v>
      </c>
      <c r="C899" t="s">
        <v>83</v>
      </c>
      <c r="D899" s="13" t="s">
        <v>81</v>
      </c>
      <c r="E899" s="13">
        <v>1</v>
      </c>
      <c r="F899" s="13">
        <f>IF(E899="","",MIN(E899,$X899+SUMIFS('05_Parte_Diario'!$H$5:$H$204,'05_Parte_Diario'!$D$5:$D$204,B899,'05_Parte_Diario'!$E$5:$E$204,C899)))</f>
        <v>0</v>
      </c>
      <c r="G899" s="13">
        <f t="shared" si="91"/>
        <v>1</v>
      </c>
      <c r="H899" s="21">
        <f t="shared" si="92"/>
        <v>0</v>
      </c>
      <c r="I899" s="21">
        <f>IF(OR(B899="",C899="",$V$1=""),"",MIN(E899,SUMIFS('03_Planificacion'!$G$99:$G$178,'03_Planificacion'!$E$99:$E$178,B899,'03_Planificacion'!$F$99:$F$178,C899,'03_Planificacion'!$D$99:$D$178,"&lt;="&amp;$V$1)))</f>
        <v>0</v>
      </c>
      <c r="J899" s="21">
        <f t="shared" si="93"/>
        <v>0</v>
      </c>
      <c r="K899" s="6">
        <f t="shared" si="94"/>
        <v>0</v>
      </c>
      <c r="L899" t="s">
        <v>68</v>
      </c>
      <c r="P899" s="5">
        <f t="shared" si="95"/>
        <v>46287</v>
      </c>
      <c r="Q899" t="s">
        <v>170</v>
      </c>
      <c r="R899">
        <v>160</v>
      </c>
      <c r="S899" t="s">
        <v>171</v>
      </c>
      <c r="T899" t="str">
        <f t="shared" si="96"/>
        <v/>
      </c>
      <c r="U899" t="str">
        <f>IF(AND(L899="Para Programar",G899&gt;0),COUNTIFS($L$5:L899,"Para Programar",$G$5:G899,"&gt;0"),"")</f>
        <v/>
      </c>
      <c r="W899" t="str">
        <f t="shared" si="97"/>
        <v>N34 - N35|04 Inspecciones previas - Zanja y materiales</v>
      </c>
      <c r="X899">
        <v>0</v>
      </c>
    </row>
    <row r="900" spans="1:24">
      <c r="A900" t="s">
        <v>84</v>
      </c>
      <c r="B900" s="14" t="s">
        <v>175</v>
      </c>
      <c r="C900" t="s">
        <v>85</v>
      </c>
      <c r="D900" s="13" t="s">
        <v>67</v>
      </c>
      <c r="E900" s="13">
        <v>195</v>
      </c>
      <c r="F900" s="13">
        <f>IF(E900="","",MIN(E900,$X900+SUMIFS('05_Parte_Diario'!$H$5:$H$204,'05_Parte_Diario'!$D$5:$D$204,B900,'05_Parte_Diario'!$E$5:$E$204,C900)))</f>
        <v>0</v>
      </c>
      <c r="G900" s="13">
        <f t="shared" si="91"/>
        <v>195</v>
      </c>
      <c r="H900" s="21">
        <f t="shared" si="92"/>
        <v>0</v>
      </c>
      <c r="I900" s="21">
        <f>IF(OR(B900="",C900="",$V$1=""),"",MIN(E900,SUMIFS('03_Planificacion'!$G$99:$G$178,'03_Planificacion'!$E$99:$E$178,B900,'03_Planificacion'!$F$99:$F$178,C900,'03_Planificacion'!$D$99:$D$178,"&lt;="&amp;$V$1)))</f>
        <v>0</v>
      </c>
      <c r="J900" s="21">
        <f t="shared" si="93"/>
        <v>0</v>
      </c>
      <c r="K900" s="6">
        <f t="shared" si="94"/>
        <v>0</v>
      </c>
      <c r="L900" t="s">
        <v>68</v>
      </c>
      <c r="P900" s="5">
        <f t="shared" si="95"/>
        <v>46287</v>
      </c>
      <c r="Q900" t="s">
        <v>170</v>
      </c>
      <c r="R900">
        <v>160</v>
      </c>
      <c r="S900" t="s">
        <v>171</v>
      </c>
      <c r="T900" t="str">
        <f t="shared" si="96"/>
        <v/>
      </c>
      <c r="U900" t="str">
        <f>IF(AND(L900="Para Programar",G900&gt;0),COUNTIFS($L$5:L900,"Para Programar",$G$5:G900,"&gt;0"),"")</f>
        <v/>
      </c>
      <c r="W900" t="str">
        <f t="shared" si="97"/>
        <v>N34 - N35|05 Tendido de cañería - Cañería principal</v>
      </c>
      <c r="X900">
        <v>0</v>
      </c>
    </row>
    <row r="901" spans="1:24">
      <c r="A901" t="s">
        <v>86</v>
      </c>
      <c r="B901" s="14" t="s">
        <v>175</v>
      </c>
      <c r="C901" t="s">
        <v>87</v>
      </c>
      <c r="D901" s="13" t="s">
        <v>67</v>
      </c>
      <c r="E901" s="13">
        <v>195</v>
      </c>
      <c r="F901" s="13">
        <f>IF(E901="","",MIN(E901,$X901+SUMIFS('05_Parte_Diario'!$H$5:$H$204,'05_Parte_Diario'!$D$5:$D$204,B901,'05_Parte_Diario'!$E$5:$E$204,C901)))</f>
        <v>0</v>
      </c>
      <c r="G901" s="13">
        <f t="shared" ref="G901:G964" si="98">IF(E901="","",MAX(E901-F901,0))</f>
        <v>195</v>
      </c>
      <c r="H901" s="21">
        <f t="shared" ref="H901:H964" si="99">IFERROR(F901/E901,0)</f>
        <v>0</v>
      </c>
      <c r="I901" s="21">
        <f>IF(OR(B901="",C901="",$V$1=""),"",MIN(E901,SUMIFS('03_Planificacion'!$G$99:$G$178,'03_Planificacion'!$E$99:$E$178,B901,'03_Planificacion'!$F$99:$F$178,C901,'03_Planificacion'!$D$99:$D$178,"&lt;="&amp;$V$1)))</f>
        <v>0</v>
      </c>
      <c r="J901" s="21">
        <f t="shared" ref="J901:J964" si="100">IFERROR(I901/E901,0)</f>
        <v>0</v>
      </c>
      <c r="K901" s="6">
        <f t="shared" ref="K901:K964" si="101">IF(OR(E901="",$V$1=""),"",H901-J901)</f>
        <v>0</v>
      </c>
      <c r="L901" t="s">
        <v>68</v>
      </c>
      <c r="P901" s="5">
        <f t="shared" ref="P901:P964" si="102">IF(A901="","",$V$1)</f>
        <v>46287</v>
      </c>
      <c r="Q901" t="s">
        <v>170</v>
      </c>
      <c r="R901">
        <v>160</v>
      </c>
      <c r="S901" t="s">
        <v>171</v>
      </c>
      <c r="T901" t="str">
        <f t="shared" ref="T901:T964" si="103">IF(A901="","",IF(AND(L901="Para Programar",G901=0),"INCONSISTENCIA - REVISAR MANUALMENTE: Para Programar sin saldo",IF(AND(L901="Terminada",G901&gt;0),"INCONSISTENCIA - REVISAR MANUALMENTE: Terminada con saldo","")))</f>
        <v/>
      </c>
      <c r="U901" t="str">
        <f>IF(AND(L901="Para Programar",G901&gt;0),COUNTIFS($L$5:L901,"Para Programar",$G$5:G901,"&gt;0"),"")</f>
        <v/>
      </c>
      <c r="W901" t="str">
        <f t="shared" ref="W901:W964" si="104">IF(OR(B901="",C901=""),"",B901&amp;"|"&amp;C901)</f>
        <v>N34 - N35|05 Tendido de cañería - Relevamiento planialtimétrico</v>
      </c>
      <c r="X901">
        <v>0</v>
      </c>
    </row>
    <row r="902" spans="1:24">
      <c r="A902" t="s">
        <v>88</v>
      </c>
      <c r="B902" s="14" t="s">
        <v>175</v>
      </c>
      <c r="C902" t="s">
        <v>89</v>
      </c>
      <c r="D902" s="13" t="s">
        <v>81</v>
      </c>
      <c r="E902" s="13">
        <v>1</v>
      </c>
      <c r="F902" s="13">
        <f>IF(E902="","",MIN(E902,$X902+SUMIFS('05_Parte_Diario'!$H$5:$H$204,'05_Parte_Diario'!$D$5:$D$204,B902,'05_Parte_Diario'!$E$5:$E$204,C902)))</f>
        <v>0</v>
      </c>
      <c r="G902" s="13">
        <f t="shared" si="98"/>
        <v>1</v>
      </c>
      <c r="H902" s="21">
        <f t="shared" si="99"/>
        <v>0</v>
      </c>
      <c r="I902" s="21">
        <f>IF(OR(B902="",C902="",$V$1=""),"",MIN(E902,SUMIFS('03_Planificacion'!$G$99:$G$178,'03_Planificacion'!$E$99:$E$178,B902,'03_Planificacion'!$F$99:$F$178,C902,'03_Planificacion'!$D$99:$D$178,"&lt;="&amp;$V$1)))</f>
        <v>0</v>
      </c>
      <c r="J902" s="21">
        <f t="shared" si="100"/>
        <v>0</v>
      </c>
      <c r="K902" s="6">
        <f t="shared" si="101"/>
        <v>0</v>
      </c>
      <c r="L902" t="s">
        <v>68</v>
      </c>
      <c r="P902" s="5">
        <f t="shared" si="102"/>
        <v>46287</v>
      </c>
      <c r="Q902" t="s">
        <v>170</v>
      </c>
      <c r="R902">
        <v>160</v>
      </c>
      <c r="S902" t="s">
        <v>171</v>
      </c>
      <c r="T902" t="str">
        <f t="shared" si="103"/>
        <v/>
      </c>
      <c r="U902" t="str">
        <f>IF(AND(L902="Para Programar",G902&gt;0),COUNTIFS($L$5:L902,"Para Programar",$G$5:G902,"&gt;0"),"")</f>
        <v/>
      </c>
      <c r="W902" t="str">
        <f t="shared" si="104"/>
        <v>N34 - N35|08 Prueba hidráulica - Preparación del sistema</v>
      </c>
      <c r="X902">
        <v>0</v>
      </c>
    </row>
    <row r="903" spans="1:24">
      <c r="A903" t="s">
        <v>90</v>
      </c>
      <c r="B903" s="14" t="s">
        <v>175</v>
      </c>
      <c r="C903" t="s">
        <v>91</v>
      </c>
      <c r="D903" s="13" t="s">
        <v>81</v>
      </c>
      <c r="E903" s="13">
        <v>1</v>
      </c>
      <c r="F903" s="13">
        <f>IF(E903="","",MIN(E903,$X903+SUMIFS('05_Parte_Diario'!$H$5:$H$204,'05_Parte_Diario'!$D$5:$D$204,B903,'05_Parte_Diario'!$E$5:$E$204,C903)))</f>
        <v>0</v>
      </c>
      <c r="G903" s="13">
        <f t="shared" si="98"/>
        <v>1</v>
      </c>
      <c r="H903" s="21">
        <f t="shared" si="99"/>
        <v>0</v>
      </c>
      <c r="I903" s="21">
        <f>IF(OR(B903="",C903="",$V$1=""),"",MIN(E903,SUMIFS('03_Planificacion'!$G$99:$G$178,'03_Planificacion'!$E$99:$E$178,B903,'03_Planificacion'!$F$99:$F$178,C903,'03_Planificacion'!$D$99:$D$178,"&lt;="&amp;$V$1)))</f>
        <v>0</v>
      </c>
      <c r="J903" s="21">
        <f t="shared" si="100"/>
        <v>0</v>
      </c>
      <c r="K903" s="6">
        <f t="shared" si="101"/>
        <v>0</v>
      </c>
      <c r="L903" t="s">
        <v>68</v>
      </c>
      <c r="P903" s="5">
        <f t="shared" si="102"/>
        <v>46287</v>
      </c>
      <c r="Q903" t="s">
        <v>170</v>
      </c>
      <c r="R903">
        <v>160</v>
      </c>
      <c r="S903" t="s">
        <v>171</v>
      </c>
      <c r="T903" t="str">
        <f t="shared" si="103"/>
        <v/>
      </c>
      <c r="U903" t="str">
        <f>IF(AND(L903="Para Programar",G903&gt;0),COUNTIFS($L$5:L903,"Para Programar",$G$5:G903,"&gt;0"),"")</f>
        <v/>
      </c>
      <c r="W903" t="str">
        <f t="shared" si="104"/>
        <v>N34 - N35|08 Prueba hidráulica - Interna N° 1</v>
      </c>
      <c r="X903">
        <v>0</v>
      </c>
    </row>
    <row r="904" spans="1:24">
      <c r="A904" t="s">
        <v>92</v>
      </c>
      <c r="B904" s="14" t="s">
        <v>175</v>
      </c>
      <c r="C904" t="s">
        <v>93</v>
      </c>
      <c r="D904" s="13" t="s">
        <v>81</v>
      </c>
      <c r="E904" s="13">
        <v>1</v>
      </c>
      <c r="F904" s="13">
        <f>IF(E904="","",MIN(E904,$X904+SUMIFS('05_Parte_Diario'!$H$5:$H$204,'05_Parte_Diario'!$D$5:$D$204,B904,'05_Parte_Diario'!$E$5:$E$204,C904)))</f>
        <v>0</v>
      </c>
      <c r="G904" s="13">
        <f t="shared" si="98"/>
        <v>1</v>
      </c>
      <c r="H904" s="21">
        <f t="shared" si="99"/>
        <v>0</v>
      </c>
      <c r="I904" s="21">
        <f>IF(OR(B904="",C904="",$V$1=""),"",MIN(E904,SUMIFS('03_Planificacion'!$G$99:$G$178,'03_Planificacion'!$E$99:$E$178,B904,'03_Planificacion'!$F$99:$F$178,C904,'03_Planificacion'!$D$99:$D$178,"&lt;="&amp;$V$1)))</f>
        <v>0</v>
      </c>
      <c r="J904" s="21">
        <f t="shared" si="100"/>
        <v>0</v>
      </c>
      <c r="K904" s="6">
        <f t="shared" si="101"/>
        <v>0</v>
      </c>
      <c r="L904" t="s">
        <v>68</v>
      </c>
      <c r="P904" s="5">
        <f t="shared" si="102"/>
        <v>46287</v>
      </c>
      <c r="Q904" t="s">
        <v>170</v>
      </c>
      <c r="R904">
        <v>160</v>
      </c>
      <c r="S904" t="s">
        <v>171</v>
      </c>
      <c r="T904" t="str">
        <f t="shared" si="103"/>
        <v/>
      </c>
      <c r="U904" t="str">
        <f>IF(AND(L904="Para Programar",G904&gt;0),COUNTIFS($L$5:L904,"Para Programar",$G$5:G904,"&gt;0"),"")</f>
        <v/>
      </c>
      <c r="W904" t="str">
        <f t="shared" si="104"/>
        <v>N34 - N35|08 Prueba hidráulica - Interna N° 2</v>
      </c>
      <c r="X904">
        <v>0</v>
      </c>
    </row>
    <row r="905" spans="1:24">
      <c r="A905" t="s">
        <v>94</v>
      </c>
      <c r="B905" s="14" t="s">
        <v>175</v>
      </c>
      <c r="C905" t="s">
        <v>95</v>
      </c>
      <c r="D905" s="13" t="s">
        <v>81</v>
      </c>
      <c r="E905" s="13">
        <v>1</v>
      </c>
      <c r="F905" s="13">
        <f>IF(E905="","",MIN(E905,$X905+SUMIFS('05_Parte_Diario'!$H$5:$H$204,'05_Parte_Diario'!$D$5:$D$204,B905,'05_Parte_Diario'!$E$5:$E$204,C905)))</f>
        <v>0</v>
      </c>
      <c r="G905" s="13">
        <f t="shared" si="98"/>
        <v>1</v>
      </c>
      <c r="H905" s="21">
        <f t="shared" si="99"/>
        <v>0</v>
      </c>
      <c r="I905" s="21">
        <f>IF(OR(B905="",C905="",$V$1=""),"",MIN(E905,SUMIFS('03_Planificacion'!$G$99:$G$178,'03_Planificacion'!$E$99:$E$178,B905,'03_Planificacion'!$F$99:$F$178,C905,'03_Planificacion'!$D$99:$D$178,"&lt;="&amp;$V$1)))</f>
        <v>0</v>
      </c>
      <c r="J905" s="21">
        <f t="shared" si="100"/>
        <v>0</v>
      </c>
      <c r="K905" s="6">
        <f t="shared" si="101"/>
        <v>0</v>
      </c>
      <c r="L905" t="s">
        <v>68</v>
      </c>
      <c r="P905" s="5">
        <f t="shared" si="102"/>
        <v>46287</v>
      </c>
      <c r="Q905" t="s">
        <v>170</v>
      </c>
      <c r="R905">
        <v>160</v>
      </c>
      <c r="S905" t="s">
        <v>171</v>
      </c>
      <c r="T905" t="str">
        <f t="shared" si="103"/>
        <v/>
      </c>
      <c r="U905" t="str">
        <f>IF(AND(L905="Para Programar",G905&gt;0),COUNTIFS($L$5:L905,"Para Programar",$G$5:G905,"&gt;0"),"")</f>
        <v/>
      </c>
      <c r="W905" t="str">
        <f t="shared" si="104"/>
        <v>N34 - N35|08 Prueba hidráulica - Primera prueba oficial</v>
      </c>
      <c r="X905">
        <v>0</v>
      </c>
    </row>
    <row r="906" spans="1:24">
      <c r="A906" t="s">
        <v>96</v>
      </c>
      <c r="B906" s="14" t="s">
        <v>175</v>
      </c>
      <c r="C906" t="s">
        <v>97</v>
      </c>
      <c r="D906" s="13" t="s">
        <v>67</v>
      </c>
      <c r="E906" s="13">
        <v>195</v>
      </c>
      <c r="F906" s="13">
        <f>IF(E906="","",MIN(E906,$X906+SUMIFS('05_Parte_Diario'!$H$5:$H$204,'05_Parte_Diario'!$D$5:$D$204,B906,'05_Parte_Diario'!$E$5:$E$204,C906)))</f>
        <v>0</v>
      </c>
      <c r="G906" s="13">
        <f t="shared" si="98"/>
        <v>195</v>
      </c>
      <c r="H906" s="21">
        <f t="shared" si="99"/>
        <v>0</v>
      </c>
      <c r="I906" s="21">
        <f>IF(OR(B906="",C906="",$V$1=""),"",MIN(E906,SUMIFS('03_Planificacion'!$G$99:$G$178,'03_Planificacion'!$E$99:$E$178,B906,'03_Planificacion'!$F$99:$F$178,C906,'03_Planificacion'!$D$99:$D$178,"&lt;="&amp;$V$1)))</f>
        <v>0</v>
      </c>
      <c r="J906" s="21">
        <f t="shared" si="100"/>
        <v>0</v>
      </c>
      <c r="K906" s="6">
        <f t="shared" si="101"/>
        <v>0</v>
      </c>
      <c r="L906" t="s">
        <v>68</v>
      </c>
      <c r="P906" s="5">
        <f t="shared" si="102"/>
        <v>46287</v>
      </c>
      <c r="Q906" t="s">
        <v>170</v>
      </c>
      <c r="R906">
        <v>160</v>
      </c>
      <c r="S906" t="s">
        <v>171</v>
      </c>
      <c r="T906" t="str">
        <f t="shared" si="103"/>
        <v/>
      </c>
      <c r="U906" t="str">
        <f>IF(AND(L906="Para Programar",G906&gt;0),COUNTIFS($L$5:L906,"Para Programar",$G$5:G906,"&gt;0"),"")</f>
        <v/>
      </c>
      <c r="W906" t="str">
        <f t="shared" si="104"/>
        <v>N34 - N35|09 Paquete estructural - Aporte e=0,30 m</v>
      </c>
      <c r="X906">
        <v>0</v>
      </c>
    </row>
    <row r="907" spans="1:24">
      <c r="A907" t="s">
        <v>98</v>
      </c>
      <c r="B907" s="14" t="s">
        <v>175</v>
      </c>
      <c r="C907" t="s">
        <v>99</v>
      </c>
      <c r="D907" s="13" t="s">
        <v>67</v>
      </c>
      <c r="E907" s="13">
        <v>195</v>
      </c>
      <c r="F907" s="13">
        <f>IF(E907="","",MIN(E907,$X907+SUMIFS('05_Parte_Diario'!$H$5:$H$204,'05_Parte_Diario'!$D$5:$D$204,B907,'05_Parte_Diario'!$E$5:$E$204,C907)))</f>
        <v>0</v>
      </c>
      <c r="G907" s="13">
        <f t="shared" si="98"/>
        <v>195</v>
      </c>
      <c r="H907" s="21">
        <f t="shared" si="99"/>
        <v>0</v>
      </c>
      <c r="I907" s="21">
        <f>IF(OR(B907="",C907="",$V$1=""),"",MIN(E907,SUMIFS('03_Planificacion'!$G$99:$G$178,'03_Planificacion'!$E$99:$E$178,B907,'03_Planificacion'!$F$99:$F$178,C907,'03_Planificacion'!$D$99:$D$178,"&lt;="&amp;$V$1)))</f>
        <v>0</v>
      </c>
      <c r="J907" s="21">
        <f t="shared" si="100"/>
        <v>0</v>
      </c>
      <c r="K907" s="6">
        <f t="shared" si="101"/>
        <v>0</v>
      </c>
      <c r="L907" t="s">
        <v>68</v>
      </c>
      <c r="P907" s="5">
        <f t="shared" si="102"/>
        <v>46287</v>
      </c>
      <c r="Q907" t="s">
        <v>170</v>
      </c>
      <c r="R907">
        <v>160</v>
      </c>
      <c r="S907" t="s">
        <v>171</v>
      </c>
      <c r="T907" t="str">
        <f t="shared" si="103"/>
        <v/>
      </c>
      <c r="U907" t="str">
        <f>IF(AND(L907="Para Programar",G907&gt;0),COUNTIFS($L$5:L907,"Para Programar",$G$5:G907,"&gt;0"),"")</f>
        <v/>
      </c>
      <c r="W907" t="str">
        <f t="shared" si="104"/>
        <v>N34 - N35|09 Paquete estructural - Compactación</v>
      </c>
      <c r="X907">
        <v>0</v>
      </c>
    </row>
    <row r="908" spans="1:24">
      <c r="A908" t="s">
        <v>100</v>
      </c>
      <c r="B908" s="14" t="s">
        <v>175</v>
      </c>
      <c r="C908" t="s">
        <v>101</v>
      </c>
      <c r="D908" s="13" t="s">
        <v>81</v>
      </c>
      <c r="E908" s="13">
        <v>1</v>
      </c>
      <c r="F908" s="13">
        <f>IF(E908="","",MIN(E908,$X908+SUMIFS('05_Parte_Diario'!$H$5:$H$204,'05_Parte_Diario'!$D$5:$D$204,B908,'05_Parte_Diario'!$E$5:$E$204,C908)))</f>
        <v>0</v>
      </c>
      <c r="G908" s="13">
        <f t="shared" si="98"/>
        <v>1</v>
      </c>
      <c r="H908" s="21">
        <f t="shared" si="99"/>
        <v>0</v>
      </c>
      <c r="I908" s="21">
        <f>IF(OR(B908="",C908="",$V$1=""),"",MIN(E908,SUMIFS('03_Planificacion'!$G$99:$G$178,'03_Planificacion'!$E$99:$E$178,B908,'03_Planificacion'!$F$99:$F$178,C908,'03_Planificacion'!$D$99:$D$178,"&lt;="&amp;$V$1)))</f>
        <v>0</v>
      </c>
      <c r="J908" s="21">
        <f t="shared" si="100"/>
        <v>0</v>
      </c>
      <c r="K908" s="6">
        <f t="shared" si="101"/>
        <v>0</v>
      </c>
      <c r="L908" t="s">
        <v>68</v>
      </c>
      <c r="P908" s="5">
        <f t="shared" si="102"/>
        <v>46287</v>
      </c>
      <c r="Q908" t="s">
        <v>170</v>
      </c>
      <c r="R908">
        <v>160</v>
      </c>
      <c r="S908" t="s">
        <v>171</v>
      </c>
      <c r="T908" t="str">
        <f t="shared" si="103"/>
        <v/>
      </c>
      <c r="U908" t="str">
        <f>IF(AND(L908="Para Programar",G908&gt;0),COUNTIFS($L$5:L908,"Para Programar",$G$5:G908,"&gt;0"),"")</f>
        <v/>
      </c>
      <c r="W908" t="str">
        <f t="shared" si="104"/>
        <v>N34 - N35|09 Paquete estructural - Inspección laboratorio</v>
      </c>
      <c r="X908">
        <v>0</v>
      </c>
    </row>
    <row r="909" spans="1:24">
      <c r="A909" t="s">
        <v>102</v>
      </c>
      <c r="B909" s="14" t="s">
        <v>175</v>
      </c>
      <c r="C909" t="s">
        <v>103</v>
      </c>
      <c r="D909" s="13" t="s">
        <v>67</v>
      </c>
      <c r="E909" s="13">
        <v>195</v>
      </c>
      <c r="F909" s="13">
        <f>IF(E909="","",MIN(E909,$X909+SUMIFS('05_Parte_Diario'!$H$5:$H$204,'05_Parte_Diario'!$D$5:$D$204,B909,'05_Parte_Diario'!$E$5:$E$204,C909)))</f>
        <v>0</v>
      </c>
      <c r="G909" s="13">
        <f t="shared" si="98"/>
        <v>195</v>
      </c>
      <c r="H909" s="21">
        <f t="shared" si="99"/>
        <v>0</v>
      </c>
      <c r="I909" s="21">
        <f>IF(OR(B909="",C909="",$V$1=""),"",MIN(E909,SUMIFS('03_Planificacion'!$G$99:$G$178,'03_Planificacion'!$E$99:$E$178,B909,'03_Planificacion'!$F$99:$F$178,C909,'03_Planificacion'!$D$99:$D$178,"&lt;="&amp;$V$1)))</f>
        <v>0</v>
      </c>
      <c r="J909" s="21">
        <f t="shared" si="100"/>
        <v>0</v>
      </c>
      <c r="K909" s="6">
        <f t="shared" si="101"/>
        <v>0</v>
      </c>
      <c r="L909" t="s">
        <v>68</v>
      </c>
      <c r="P909" s="5">
        <f t="shared" si="102"/>
        <v>46287</v>
      </c>
      <c r="Q909" t="s">
        <v>170</v>
      </c>
      <c r="R909">
        <v>160</v>
      </c>
      <c r="S909" t="s">
        <v>171</v>
      </c>
      <c r="T909" t="str">
        <f t="shared" si="103"/>
        <v/>
      </c>
      <c r="U909" t="str">
        <f>IF(AND(L909="Para Programar",G909&gt;0),COUNTIFS($L$5:L909,"Para Programar",$G$5:G909,"&gt;0"),"")</f>
        <v/>
      </c>
      <c r="W909" t="str">
        <f t="shared" si="104"/>
        <v>N34 - N35|10 Relleno -0,60 - Conformación de capa</v>
      </c>
      <c r="X909">
        <v>0</v>
      </c>
    </row>
    <row r="910" spans="1:24">
      <c r="A910" t="s">
        <v>104</v>
      </c>
      <c r="B910" s="14" t="s">
        <v>175</v>
      </c>
      <c r="C910" t="s">
        <v>105</v>
      </c>
      <c r="D910" s="13" t="s">
        <v>67</v>
      </c>
      <c r="E910" s="13">
        <v>195</v>
      </c>
      <c r="F910" s="13">
        <f>IF(E910="","",MIN(E910,$X910+SUMIFS('05_Parte_Diario'!$H$5:$H$204,'05_Parte_Diario'!$D$5:$D$204,B910,'05_Parte_Diario'!$E$5:$E$204,C910)))</f>
        <v>0</v>
      </c>
      <c r="G910" s="13">
        <f t="shared" si="98"/>
        <v>195</v>
      </c>
      <c r="H910" s="21">
        <f t="shared" si="99"/>
        <v>0</v>
      </c>
      <c r="I910" s="21">
        <f>IF(OR(B910="",C910="",$V$1=""),"",MIN(E910,SUMIFS('03_Planificacion'!$G$99:$G$178,'03_Planificacion'!$E$99:$E$178,B910,'03_Planificacion'!$F$99:$F$178,C910,'03_Planificacion'!$D$99:$D$178,"&lt;="&amp;$V$1)))</f>
        <v>0</v>
      </c>
      <c r="J910" s="21">
        <f t="shared" si="100"/>
        <v>0</v>
      </c>
      <c r="K910" s="6">
        <f t="shared" si="101"/>
        <v>0</v>
      </c>
      <c r="L910" t="s">
        <v>68</v>
      </c>
      <c r="P910" s="5">
        <f t="shared" si="102"/>
        <v>46287</v>
      </c>
      <c r="Q910" t="s">
        <v>170</v>
      </c>
      <c r="R910">
        <v>160</v>
      </c>
      <c r="S910" t="s">
        <v>171</v>
      </c>
      <c r="T910" t="str">
        <f t="shared" si="103"/>
        <v/>
      </c>
      <c r="U910" t="str">
        <f>IF(AND(L910="Para Programar",G910&gt;0),COUNTIFS($L$5:L910,"Para Programar",$G$5:G910,"&gt;0"),"")</f>
        <v/>
      </c>
      <c r="W910" t="str">
        <f t="shared" si="104"/>
        <v>N34 - N35|10 Relleno -0,60 - Humectación</v>
      </c>
      <c r="X910">
        <v>0</v>
      </c>
    </row>
    <row r="911" spans="1:24">
      <c r="A911" t="s">
        <v>106</v>
      </c>
      <c r="B911" s="14" t="s">
        <v>175</v>
      </c>
      <c r="C911" t="s">
        <v>107</v>
      </c>
      <c r="D911" s="13" t="s">
        <v>67</v>
      </c>
      <c r="E911" s="13">
        <v>195</v>
      </c>
      <c r="F911" s="13">
        <f>IF(E911="","",MIN(E911,$X911+SUMIFS('05_Parte_Diario'!$H$5:$H$204,'05_Parte_Diario'!$D$5:$D$204,B911,'05_Parte_Diario'!$E$5:$E$204,C911)))</f>
        <v>0</v>
      </c>
      <c r="G911" s="13">
        <f t="shared" si="98"/>
        <v>195</v>
      </c>
      <c r="H911" s="21">
        <f t="shared" si="99"/>
        <v>0</v>
      </c>
      <c r="I911" s="21">
        <f>IF(OR(B911="",C911="",$V$1=""),"",MIN(E911,SUMIFS('03_Planificacion'!$G$99:$G$178,'03_Planificacion'!$E$99:$E$178,B911,'03_Planificacion'!$F$99:$F$178,C911,'03_Planificacion'!$D$99:$D$178,"&lt;="&amp;$V$1)))</f>
        <v>0</v>
      </c>
      <c r="J911" s="21">
        <f t="shared" si="100"/>
        <v>0</v>
      </c>
      <c r="K911" s="6">
        <f t="shared" si="101"/>
        <v>0</v>
      </c>
      <c r="L911" t="s">
        <v>68</v>
      </c>
      <c r="P911" s="5">
        <f t="shared" si="102"/>
        <v>46287</v>
      </c>
      <c r="Q911" t="s">
        <v>170</v>
      </c>
      <c r="R911">
        <v>160</v>
      </c>
      <c r="S911" t="s">
        <v>171</v>
      </c>
      <c r="T911" t="str">
        <f t="shared" si="103"/>
        <v/>
      </c>
      <c r="U911" t="str">
        <f>IF(AND(L911="Para Programar",G911&gt;0),COUNTIFS($L$5:L911,"Para Programar",$G$5:G911,"&gt;0"),"")</f>
        <v/>
      </c>
      <c r="W911" t="str">
        <f t="shared" si="104"/>
        <v>N34 - N35|10 Relleno -0,60 - Compactación</v>
      </c>
      <c r="X911">
        <v>0</v>
      </c>
    </row>
    <row r="912" spans="1:24">
      <c r="A912" t="s">
        <v>108</v>
      </c>
      <c r="B912" s="14" t="s">
        <v>175</v>
      </c>
      <c r="C912" t="s">
        <v>109</v>
      </c>
      <c r="D912" s="13" t="s">
        <v>81</v>
      </c>
      <c r="E912" s="13">
        <v>1</v>
      </c>
      <c r="F912" s="13">
        <f>IF(E912="","",MIN(E912,$X912+SUMIFS('05_Parte_Diario'!$H$5:$H$204,'05_Parte_Diario'!$D$5:$D$204,B912,'05_Parte_Diario'!$E$5:$E$204,C912)))</f>
        <v>0</v>
      </c>
      <c r="G912" s="13">
        <f t="shared" si="98"/>
        <v>1</v>
      </c>
      <c r="H912" s="21">
        <f t="shared" si="99"/>
        <v>0</v>
      </c>
      <c r="I912" s="21">
        <f>IF(OR(B912="",C912="",$V$1=""),"",MIN(E912,SUMIFS('03_Planificacion'!$G$99:$G$178,'03_Planificacion'!$E$99:$E$178,B912,'03_Planificacion'!$F$99:$F$178,C912,'03_Planificacion'!$D$99:$D$178,"&lt;="&amp;$V$1)))</f>
        <v>0</v>
      </c>
      <c r="J912" s="21">
        <f t="shared" si="100"/>
        <v>0</v>
      </c>
      <c r="K912" s="6">
        <f t="shared" si="101"/>
        <v>0</v>
      </c>
      <c r="L912" t="s">
        <v>68</v>
      </c>
      <c r="P912" s="5">
        <f t="shared" si="102"/>
        <v>46287</v>
      </c>
      <c r="Q912" t="s">
        <v>170</v>
      </c>
      <c r="R912">
        <v>160</v>
      </c>
      <c r="S912" t="s">
        <v>171</v>
      </c>
      <c r="T912" t="str">
        <f t="shared" si="103"/>
        <v/>
      </c>
      <c r="U912" t="str">
        <f>IF(AND(L912="Para Programar",G912&gt;0),COUNTIFS($L$5:L912,"Para Programar",$G$5:G912,"&gt;0"),"")</f>
        <v/>
      </c>
      <c r="W912" t="str">
        <f t="shared" si="104"/>
        <v>N34 - N35|10 Relleno -0,60 - Inspección laboratorio</v>
      </c>
      <c r="X912">
        <v>0</v>
      </c>
    </row>
    <row r="913" spans="1:24">
      <c r="A913" t="s">
        <v>110</v>
      </c>
      <c r="B913" s="14" t="s">
        <v>175</v>
      </c>
      <c r="C913" t="s">
        <v>111</v>
      </c>
      <c r="D913" s="13" t="s">
        <v>67</v>
      </c>
      <c r="E913" s="13">
        <v>195</v>
      </c>
      <c r="F913" s="13">
        <f>IF(E913="","",MIN(E913,$X913+SUMIFS('05_Parte_Diario'!$H$5:$H$204,'05_Parte_Diario'!$D$5:$D$204,B913,'05_Parte_Diario'!$E$5:$E$204,C913)))</f>
        <v>0</v>
      </c>
      <c r="G913" s="13">
        <f t="shared" si="98"/>
        <v>195</v>
      </c>
      <c r="H913" s="21">
        <f t="shared" si="99"/>
        <v>0</v>
      </c>
      <c r="I913" s="21">
        <f>IF(OR(B913="",C913="",$V$1=""),"",MIN(E913,SUMIFS('03_Planificacion'!$G$99:$G$178,'03_Planificacion'!$E$99:$E$178,B913,'03_Planificacion'!$F$99:$F$178,C913,'03_Planificacion'!$D$99:$D$178,"&lt;="&amp;$V$1)))</f>
        <v>0</v>
      </c>
      <c r="J913" s="21">
        <f t="shared" si="100"/>
        <v>0</v>
      </c>
      <c r="K913" s="6">
        <f t="shared" si="101"/>
        <v>0</v>
      </c>
      <c r="L913" t="s">
        <v>68</v>
      </c>
      <c r="P913" s="5">
        <f t="shared" si="102"/>
        <v>46287</v>
      </c>
      <c r="Q913" t="s">
        <v>170</v>
      </c>
      <c r="R913">
        <v>160</v>
      </c>
      <c r="S913" t="s">
        <v>171</v>
      </c>
      <c r="T913" t="str">
        <f t="shared" si="103"/>
        <v/>
      </c>
      <c r="U913" t="str">
        <f>IF(AND(L913="Para Programar",G913&gt;0),COUNTIFS($L$5:L913,"Para Programar",$G$5:G913,"&gt;0"),"")</f>
        <v/>
      </c>
      <c r="W913" t="str">
        <f t="shared" si="104"/>
        <v>N34 - N35|11 Relleno -0,30 - Conformación de capa</v>
      </c>
      <c r="X913">
        <v>0</v>
      </c>
    </row>
    <row r="914" spans="1:24">
      <c r="A914" t="s">
        <v>112</v>
      </c>
      <c r="B914" s="14" t="s">
        <v>175</v>
      </c>
      <c r="C914" t="s">
        <v>113</v>
      </c>
      <c r="D914" s="13" t="s">
        <v>67</v>
      </c>
      <c r="E914" s="13">
        <v>195</v>
      </c>
      <c r="F914" s="13">
        <f>IF(E914="","",MIN(E914,$X914+SUMIFS('05_Parte_Diario'!$H$5:$H$204,'05_Parte_Diario'!$D$5:$D$204,B914,'05_Parte_Diario'!$E$5:$E$204,C914)))</f>
        <v>0</v>
      </c>
      <c r="G914" s="13">
        <f t="shared" si="98"/>
        <v>195</v>
      </c>
      <c r="H914" s="21">
        <f t="shared" si="99"/>
        <v>0</v>
      </c>
      <c r="I914" s="21">
        <f>IF(OR(B914="",C914="",$V$1=""),"",MIN(E914,SUMIFS('03_Planificacion'!$G$99:$G$178,'03_Planificacion'!$E$99:$E$178,B914,'03_Planificacion'!$F$99:$F$178,C914,'03_Planificacion'!$D$99:$D$178,"&lt;="&amp;$V$1)))</f>
        <v>0</v>
      </c>
      <c r="J914" s="21">
        <f t="shared" si="100"/>
        <v>0</v>
      </c>
      <c r="K914" s="6">
        <f t="shared" si="101"/>
        <v>0</v>
      </c>
      <c r="L914" t="s">
        <v>68</v>
      </c>
      <c r="P914" s="5">
        <f t="shared" si="102"/>
        <v>46287</v>
      </c>
      <c r="Q914" t="s">
        <v>170</v>
      </c>
      <c r="R914">
        <v>160</v>
      </c>
      <c r="S914" t="s">
        <v>171</v>
      </c>
      <c r="T914" t="str">
        <f t="shared" si="103"/>
        <v/>
      </c>
      <c r="U914" t="str">
        <f>IF(AND(L914="Para Programar",G914&gt;0),COUNTIFS($L$5:L914,"Para Programar",$G$5:G914,"&gt;0"),"")</f>
        <v/>
      </c>
      <c r="W914" t="str">
        <f t="shared" si="104"/>
        <v>N34 - N35|11 Relleno -0,30 - Humectación</v>
      </c>
      <c r="X914">
        <v>0</v>
      </c>
    </row>
    <row r="915" spans="1:24">
      <c r="A915" t="s">
        <v>114</v>
      </c>
      <c r="B915" s="14" t="s">
        <v>175</v>
      </c>
      <c r="C915" t="s">
        <v>115</v>
      </c>
      <c r="D915" s="13" t="s">
        <v>67</v>
      </c>
      <c r="E915" s="13">
        <v>195</v>
      </c>
      <c r="F915" s="13">
        <f>IF(E915="","",MIN(E915,$X915+SUMIFS('05_Parte_Diario'!$H$5:$H$204,'05_Parte_Diario'!$D$5:$D$204,B915,'05_Parte_Diario'!$E$5:$E$204,C915)))</f>
        <v>0</v>
      </c>
      <c r="G915" s="13">
        <f t="shared" si="98"/>
        <v>195</v>
      </c>
      <c r="H915" s="21">
        <f t="shared" si="99"/>
        <v>0</v>
      </c>
      <c r="I915" s="21">
        <f>IF(OR(B915="",C915="",$V$1=""),"",MIN(E915,SUMIFS('03_Planificacion'!$G$99:$G$178,'03_Planificacion'!$E$99:$E$178,B915,'03_Planificacion'!$F$99:$F$178,C915,'03_Planificacion'!$D$99:$D$178,"&lt;="&amp;$V$1)))</f>
        <v>0</v>
      </c>
      <c r="J915" s="21">
        <f t="shared" si="100"/>
        <v>0</v>
      </c>
      <c r="K915" s="6">
        <f t="shared" si="101"/>
        <v>0</v>
      </c>
      <c r="L915" t="s">
        <v>68</v>
      </c>
      <c r="P915" s="5">
        <f t="shared" si="102"/>
        <v>46287</v>
      </c>
      <c r="Q915" t="s">
        <v>170</v>
      </c>
      <c r="R915">
        <v>160</v>
      </c>
      <c r="S915" t="s">
        <v>171</v>
      </c>
      <c r="T915" t="str">
        <f t="shared" si="103"/>
        <v/>
      </c>
      <c r="U915" t="str">
        <f>IF(AND(L915="Para Programar",G915&gt;0),COUNTIFS($L$5:L915,"Para Programar",$G$5:G915,"&gt;0"),"")</f>
        <v/>
      </c>
      <c r="W915" t="str">
        <f t="shared" si="104"/>
        <v>N34 - N35|11 Relleno -0,30 - Compactación</v>
      </c>
      <c r="X915">
        <v>0</v>
      </c>
    </row>
    <row r="916" spans="1:24">
      <c r="A916" t="s">
        <v>116</v>
      </c>
      <c r="B916" s="14" t="s">
        <v>175</v>
      </c>
      <c r="C916" t="s">
        <v>117</v>
      </c>
      <c r="D916" s="13" t="s">
        <v>81</v>
      </c>
      <c r="E916" s="13">
        <v>1</v>
      </c>
      <c r="F916" s="13">
        <f>IF(E916="","",MIN(E916,$X916+SUMIFS('05_Parte_Diario'!$H$5:$H$204,'05_Parte_Diario'!$D$5:$D$204,B916,'05_Parte_Diario'!$E$5:$E$204,C916)))</f>
        <v>0</v>
      </c>
      <c r="G916" s="13">
        <f t="shared" si="98"/>
        <v>1</v>
      </c>
      <c r="H916" s="21">
        <f t="shared" si="99"/>
        <v>0</v>
      </c>
      <c r="I916" s="21">
        <f>IF(OR(B916="",C916="",$V$1=""),"",MIN(E916,SUMIFS('03_Planificacion'!$G$99:$G$178,'03_Planificacion'!$E$99:$E$178,B916,'03_Planificacion'!$F$99:$F$178,C916,'03_Planificacion'!$D$99:$D$178,"&lt;="&amp;$V$1)))</f>
        <v>0</v>
      </c>
      <c r="J916" s="21">
        <f t="shared" si="100"/>
        <v>0</v>
      </c>
      <c r="K916" s="6">
        <f t="shared" si="101"/>
        <v>0</v>
      </c>
      <c r="L916" t="s">
        <v>68</v>
      </c>
      <c r="P916" s="5">
        <f t="shared" si="102"/>
        <v>46287</v>
      </c>
      <c r="Q916" t="s">
        <v>170</v>
      </c>
      <c r="R916">
        <v>160</v>
      </c>
      <c r="S916" t="s">
        <v>171</v>
      </c>
      <c r="T916" t="str">
        <f t="shared" si="103"/>
        <v/>
      </c>
      <c r="U916" t="str">
        <f>IF(AND(L916="Para Programar",G916&gt;0),COUNTIFS($L$5:L916,"Para Programar",$G$5:G916,"&gt;0"),"")</f>
        <v/>
      </c>
      <c r="W916" t="str">
        <f t="shared" si="104"/>
        <v>N34 - N35|11 Relleno -0,30 - Inspección laboratorio</v>
      </c>
      <c r="X916">
        <v>0</v>
      </c>
    </row>
    <row r="917" spans="1:24">
      <c r="A917" t="s">
        <v>64</v>
      </c>
      <c r="B917" s="14" t="s">
        <v>176</v>
      </c>
      <c r="C917" t="s">
        <v>66</v>
      </c>
      <c r="D917" s="13" t="s">
        <v>67</v>
      </c>
      <c r="E917" s="13">
        <v>15</v>
      </c>
      <c r="F917" s="13">
        <f>IF(E917="","",MIN(E917,$X917+SUMIFS('05_Parte_Diario'!$H$5:$H$204,'05_Parte_Diario'!$D$5:$D$204,B917,'05_Parte_Diario'!$E$5:$E$204,C917)))</f>
        <v>0</v>
      </c>
      <c r="G917" s="13">
        <f t="shared" si="98"/>
        <v>15</v>
      </c>
      <c r="H917" s="21">
        <f t="shared" si="99"/>
        <v>0</v>
      </c>
      <c r="I917" s="21">
        <f>IF(OR(B917="",C917="",$V$1=""),"",MIN(E917,SUMIFS('03_Planificacion'!$G$99:$G$178,'03_Planificacion'!$E$99:$E$178,B917,'03_Planificacion'!$F$99:$F$178,C917,'03_Planificacion'!$D$99:$D$178,"&lt;="&amp;$V$1)))</f>
        <v>0</v>
      </c>
      <c r="J917" s="21">
        <f t="shared" si="100"/>
        <v>0</v>
      </c>
      <c r="K917" s="6">
        <f t="shared" si="101"/>
        <v>0</v>
      </c>
      <c r="L917" t="s">
        <v>68</v>
      </c>
      <c r="P917" s="5">
        <f t="shared" si="102"/>
        <v>46287</v>
      </c>
      <c r="Q917" t="s">
        <v>170</v>
      </c>
      <c r="R917">
        <v>160</v>
      </c>
      <c r="S917" t="s">
        <v>171</v>
      </c>
      <c r="T917" t="str">
        <f t="shared" si="103"/>
        <v/>
      </c>
      <c r="U917" t="str">
        <f>IF(AND(L917="Para Programar",G917&gt;0),COUNTIFS($L$5:L917,"Para Programar",$G$5:G917,"&gt;0"),"")</f>
        <v/>
      </c>
      <c r="W917" t="str">
        <f t="shared" si="104"/>
        <v>N36 - N37|01 Replanteo - Marcación de tramo de cañería principal</v>
      </c>
      <c r="X917">
        <v>0</v>
      </c>
    </row>
    <row r="918" spans="1:24">
      <c r="A918" t="s">
        <v>71</v>
      </c>
      <c r="B918" s="14" t="s">
        <v>176</v>
      </c>
      <c r="C918" t="s">
        <v>72</v>
      </c>
      <c r="D918" s="13" t="s">
        <v>67</v>
      </c>
      <c r="E918" s="13">
        <v>15</v>
      </c>
      <c r="F918" s="13">
        <f>IF(E918="","",MIN(E918,$X918+SUMIFS('05_Parte_Diario'!$H$5:$H$204,'05_Parte_Diario'!$D$5:$D$204,B918,'05_Parte_Diario'!$E$5:$E$204,C918)))</f>
        <v>0</v>
      </c>
      <c r="G918" s="13">
        <f t="shared" si="98"/>
        <v>15</v>
      </c>
      <c r="H918" s="21">
        <f t="shared" si="99"/>
        <v>0</v>
      </c>
      <c r="I918" s="21">
        <f>IF(OR(B918="",C918="",$V$1=""),"",MIN(E918,SUMIFS('03_Planificacion'!$G$99:$G$178,'03_Planificacion'!$E$99:$E$178,B918,'03_Planificacion'!$F$99:$F$178,C918,'03_Planificacion'!$D$99:$D$178,"&lt;="&amp;$V$1)))</f>
        <v>0</v>
      </c>
      <c r="J918" s="21">
        <f t="shared" si="100"/>
        <v>0</v>
      </c>
      <c r="K918" s="6">
        <f t="shared" si="101"/>
        <v>0</v>
      </c>
      <c r="L918" t="s">
        <v>68</v>
      </c>
      <c r="P918" s="5">
        <f t="shared" si="102"/>
        <v>46287</v>
      </c>
      <c r="Q918" t="s">
        <v>170</v>
      </c>
      <c r="R918">
        <v>160</v>
      </c>
      <c r="S918" t="s">
        <v>171</v>
      </c>
      <c r="T918" t="str">
        <f t="shared" si="103"/>
        <v/>
      </c>
      <c r="U918" t="str">
        <f>IF(AND(L918="Para Programar",G918&gt;0),COUNTIFS($L$5:L918,"Para Programar",$G$5:G918,"&gt;0"),"")</f>
        <v/>
      </c>
      <c r="W918" t="str">
        <f t="shared" si="104"/>
        <v>N36 - N37|02 Excavación - Zanja principal</v>
      </c>
      <c r="X918">
        <v>0</v>
      </c>
    </row>
    <row r="919" spans="1:24">
      <c r="A919" t="s">
        <v>73</v>
      </c>
      <c r="B919" s="14" t="s">
        <v>176</v>
      </c>
      <c r="C919" t="s">
        <v>74</v>
      </c>
      <c r="D919" s="13" t="s">
        <v>67</v>
      </c>
      <c r="E919" s="13">
        <v>15</v>
      </c>
      <c r="F919" s="13">
        <f>IF(E919="","",MIN(E919,$X919+SUMIFS('05_Parte_Diario'!$H$5:$H$204,'05_Parte_Diario'!$D$5:$D$204,B919,'05_Parte_Diario'!$E$5:$E$204,C919)))</f>
        <v>0</v>
      </c>
      <c r="G919" s="13">
        <f t="shared" si="98"/>
        <v>15</v>
      </c>
      <c r="H919" s="21">
        <f t="shared" si="99"/>
        <v>0</v>
      </c>
      <c r="I919" s="21">
        <f>IF(OR(B919="",C919="",$V$1=""),"",MIN(E919,SUMIFS('03_Planificacion'!$G$99:$G$178,'03_Planificacion'!$E$99:$E$178,B919,'03_Planificacion'!$F$99:$F$178,C919,'03_Planificacion'!$D$99:$D$178,"&lt;="&amp;$V$1)))</f>
        <v>0</v>
      </c>
      <c r="J919" s="21">
        <f t="shared" si="100"/>
        <v>0</v>
      </c>
      <c r="K919" s="6">
        <f t="shared" si="101"/>
        <v>0</v>
      </c>
      <c r="L919" t="s">
        <v>68</v>
      </c>
      <c r="P919" s="5">
        <f t="shared" si="102"/>
        <v>46287</v>
      </c>
      <c r="Q919" t="s">
        <v>170</v>
      </c>
      <c r="R919">
        <v>160</v>
      </c>
      <c r="S919" t="s">
        <v>171</v>
      </c>
      <c r="T919" t="str">
        <f t="shared" si="103"/>
        <v/>
      </c>
      <c r="U919" t="str">
        <f>IF(AND(L919="Para Programar",G919&gt;0),COUNTIFS($L$5:L919,"Para Programar",$G$5:G919,"&gt;0"),"")</f>
        <v/>
      </c>
      <c r="W919" t="str">
        <f t="shared" si="104"/>
        <v>N36 - N37|03 Base de asiento - Nivelación de fondo de zanja</v>
      </c>
      <c r="X919">
        <v>0</v>
      </c>
    </row>
    <row r="920" spans="1:24">
      <c r="A920" t="s">
        <v>75</v>
      </c>
      <c r="B920" s="14" t="s">
        <v>176</v>
      </c>
      <c r="C920" t="s">
        <v>76</v>
      </c>
      <c r="D920" s="13" t="s">
        <v>67</v>
      </c>
      <c r="E920" s="13">
        <v>15</v>
      </c>
      <c r="F920" s="13">
        <f>IF(E920="","",MIN(E920,$X920+SUMIFS('05_Parte_Diario'!$H$5:$H$204,'05_Parte_Diario'!$D$5:$D$204,B920,'05_Parte_Diario'!$E$5:$E$204,C920)))</f>
        <v>0</v>
      </c>
      <c r="G920" s="13">
        <f t="shared" si="98"/>
        <v>15</v>
      </c>
      <c r="H920" s="21">
        <f t="shared" si="99"/>
        <v>0</v>
      </c>
      <c r="I920" s="21">
        <f>IF(OR(B920="",C920="",$V$1=""),"",MIN(E920,SUMIFS('03_Planificacion'!$G$99:$G$178,'03_Planificacion'!$E$99:$E$178,B920,'03_Planificacion'!$F$99:$F$178,C920,'03_Planificacion'!$D$99:$D$178,"&lt;="&amp;$V$1)))</f>
        <v>0</v>
      </c>
      <c r="J920" s="21">
        <f t="shared" si="100"/>
        <v>0</v>
      </c>
      <c r="K920" s="6">
        <f t="shared" si="101"/>
        <v>0</v>
      </c>
      <c r="L920" t="s">
        <v>68</v>
      </c>
      <c r="P920" s="5">
        <f t="shared" si="102"/>
        <v>46287</v>
      </c>
      <c r="Q920" t="s">
        <v>170</v>
      </c>
      <c r="R920">
        <v>160</v>
      </c>
      <c r="S920" t="s">
        <v>171</v>
      </c>
      <c r="T920" t="str">
        <f t="shared" si="103"/>
        <v/>
      </c>
      <c r="U920" t="str">
        <f>IF(AND(L920="Para Programar",G920&gt;0),COUNTIFS($L$5:L920,"Para Programar",$G$5:G920,"&gt;0"),"")</f>
        <v/>
      </c>
      <c r="W920" t="str">
        <f t="shared" si="104"/>
        <v>N36 - N37|03 Base de asiento - Aporte de material base e=0,10 m</v>
      </c>
      <c r="X920">
        <v>0</v>
      </c>
    </row>
    <row r="921" spans="1:24">
      <c r="A921" t="s">
        <v>77</v>
      </c>
      <c r="B921" s="14" t="s">
        <v>176</v>
      </c>
      <c r="C921" t="s">
        <v>78</v>
      </c>
      <c r="D921" s="13" t="s">
        <v>67</v>
      </c>
      <c r="E921" s="13">
        <v>15</v>
      </c>
      <c r="F921" s="13">
        <f>IF(E921="","",MIN(E921,$X921+SUMIFS('05_Parte_Diario'!$H$5:$H$204,'05_Parte_Diario'!$D$5:$D$204,B921,'05_Parte_Diario'!$E$5:$E$204,C921)))</f>
        <v>0</v>
      </c>
      <c r="G921" s="13">
        <f t="shared" si="98"/>
        <v>15</v>
      </c>
      <c r="H921" s="21">
        <f t="shared" si="99"/>
        <v>0</v>
      </c>
      <c r="I921" s="21">
        <f>IF(OR(B921="",C921="",$V$1=""),"",MIN(E921,SUMIFS('03_Planificacion'!$G$99:$G$178,'03_Planificacion'!$E$99:$E$178,B921,'03_Planificacion'!$F$99:$F$178,C921,'03_Planificacion'!$D$99:$D$178,"&lt;="&amp;$V$1)))</f>
        <v>0</v>
      </c>
      <c r="J921" s="21">
        <f t="shared" si="100"/>
        <v>0</v>
      </c>
      <c r="K921" s="6">
        <f t="shared" si="101"/>
        <v>0</v>
      </c>
      <c r="L921" t="s">
        <v>68</v>
      </c>
      <c r="P921" s="5">
        <f t="shared" si="102"/>
        <v>46287</v>
      </c>
      <c r="Q921" t="s">
        <v>170</v>
      </c>
      <c r="R921">
        <v>160</v>
      </c>
      <c r="S921" t="s">
        <v>171</v>
      </c>
      <c r="T921" t="str">
        <f t="shared" si="103"/>
        <v/>
      </c>
      <c r="U921" t="str">
        <f>IF(AND(L921="Para Programar",G921&gt;0),COUNTIFS($L$5:L921,"Para Programar",$G$5:G921,"&gt;0"),"")</f>
        <v/>
      </c>
      <c r="W921" t="str">
        <f t="shared" si="104"/>
        <v>N36 - N37|03 Base de asiento - Compactación</v>
      </c>
      <c r="X921">
        <v>0</v>
      </c>
    </row>
    <row r="922" spans="1:24">
      <c r="A922" t="s">
        <v>79</v>
      </c>
      <c r="B922" s="14" t="s">
        <v>176</v>
      </c>
      <c r="C922" t="s">
        <v>80</v>
      </c>
      <c r="D922" s="13" t="s">
        <v>81</v>
      </c>
      <c r="E922" s="13">
        <v>1</v>
      </c>
      <c r="F922" s="13">
        <f>IF(E922="","",MIN(E922,$X922+SUMIFS('05_Parte_Diario'!$H$5:$H$204,'05_Parte_Diario'!$D$5:$D$204,B922,'05_Parte_Diario'!$E$5:$E$204,C922)))</f>
        <v>0</v>
      </c>
      <c r="G922" s="13">
        <f t="shared" si="98"/>
        <v>1</v>
      </c>
      <c r="H922" s="21">
        <f t="shared" si="99"/>
        <v>0</v>
      </c>
      <c r="I922" s="21">
        <f>IF(OR(B922="",C922="",$V$1=""),"",MIN(E922,SUMIFS('03_Planificacion'!$G$99:$G$178,'03_Planificacion'!$E$99:$E$178,B922,'03_Planificacion'!$F$99:$F$178,C922,'03_Planificacion'!$D$99:$D$178,"&lt;="&amp;$V$1)))</f>
        <v>0</v>
      </c>
      <c r="J922" s="21">
        <f t="shared" si="100"/>
        <v>0</v>
      </c>
      <c r="K922" s="6">
        <f t="shared" si="101"/>
        <v>0</v>
      </c>
      <c r="L922" t="s">
        <v>68</v>
      </c>
      <c r="P922" s="5">
        <f t="shared" si="102"/>
        <v>46287</v>
      </c>
      <c r="Q922" t="s">
        <v>170</v>
      </c>
      <c r="R922">
        <v>160</v>
      </c>
      <c r="S922" t="s">
        <v>171</v>
      </c>
      <c r="T922" t="str">
        <f t="shared" si="103"/>
        <v/>
      </c>
      <c r="U922" t="str">
        <f>IF(AND(L922="Para Programar",G922&gt;0),COUNTIFS($L$5:L922,"Para Programar",$G$5:G922,"&gt;0"),"")</f>
        <v/>
      </c>
      <c r="W922" t="str">
        <f t="shared" si="104"/>
        <v>N36 - N37|04 Inspecciones previas - Laboratorio base de asiento</v>
      </c>
      <c r="X922">
        <v>0</v>
      </c>
    </row>
    <row r="923" spans="1:24">
      <c r="A923" t="s">
        <v>82</v>
      </c>
      <c r="B923" s="14" t="s">
        <v>176</v>
      </c>
      <c r="C923" t="s">
        <v>83</v>
      </c>
      <c r="D923" s="13" t="s">
        <v>81</v>
      </c>
      <c r="E923" s="13">
        <v>1</v>
      </c>
      <c r="F923" s="13">
        <f>IF(E923="","",MIN(E923,$X923+SUMIFS('05_Parte_Diario'!$H$5:$H$204,'05_Parte_Diario'!$D$5:$D$204,B923,'05_Parte_Diario'!$E$5:$E$204,C923)))</f>
        <v>0</v>
      </c>
      <c r="G923" s="13">
        <f t="shared" si="98"/>
        <v>1</v>
      </c>
      <c r="H923" s="21">
        <f t="shared" si="99"/>
        <v>0</v>
      </c>
      <c r="I923" s="21">
        <f>IF(OR(B923="",C923="",$V$1=""),"",MIN(E923,SUMIFS('03_Planificacion'!$G$99:$G$178,'03_Planificacion'!$E$99:$E$178,B923,'03_Planificacion'!$F$99:$F$178,C923,'03_Planificacion'!$D$99:$D$178,"&lt;="&amp;$V$1)))</f>
        <v>0</v>
      </c>
      <c r="J923" s="21">
        <f t="shared" si="100"/>
        <v>0</v>
      </c>
      <c r="K923" s="6">
        <f t="shared" si="101"/>
        <v>0</v>
      </c>
      <c r="L923" t="s">
        <v>68</v>
      </c>
      <c r="P923" s="5">
        <f t="shared" si="102"/>
        <v>46287</v>
      </c>
      <c r="Q923" t="s">
        <v>170</v>
      </c>
      <c r="R923">
        <v>160</v>
      </c>
      <c r="S923" t="s">
        <v>171</v>
      </c>
      <c r="T923" t="str">
        <f t="shared" si="103"/>
        <v/>
      </c>
      <c r="U923" t="str">
        <f>IF(AND(L923="Para Programar",G923&gt;0),COUNTIFS($L$5:L923,"Para Programar",$G$5:G923,"&gt;0"),"")</f>
        <v/>
      </c>
      <c r="W923" t="str">
        <f t="shared" si="104"/>
        <v>N36 - N37|04 Inspecciones previas - Zanja y materiales</v>
      </c>
      <c r="X923">
        <v>0</v>
      </c>
    </row>
    <row r="924" spans="1:24">
      <c r="A924" t="s">
        <v>84</v>
      </c>
      <c r="B924" s="14" t="s">
        <v>176</v>
      </c>
      <c r="C924" t="s">
        <v>85</v>
      </c>
      <c r="D924" s="13" t="s">
        <v>67</v>
      </c>
      <c r="E924" s="13">
        <v>15</v>
      </c>
      <c r="F924" s="13">
        <f>IF(E924="","",MIN(E924,$X924+SUMIFS('05_Parte_Diario'!$H$5:$H$204,'05_Parte_Diario'!$D$5:$D$204,B924,'05_Parte_Diario'!$E$5:$E$204,C924)))</f>
        <v>0</v>
      </c>
      <c r="G924" s="13">
        <f t="shared" si="98"/>
        <v>15</v>
      </c>
      <c r="H924" s="21">
        <f t="shared" si="99"/>
        <v>0</v>
      </c>
      <c r="I924" s="21">
        <f>IF(OR(B924="",C924="",$V$1=""),"",MIN(E924,SUMIFS('03_Planificacion'!$G$99:$G$178,'03_Planificacion'!$E$99:$E$178,B924,'03_Planificacion'!$F$99:$F$178,C924,'03_Planificacion'!$D$99:$D$178,"&lt;="&amp;$V$1)))</f>
        <v>0</v>
      </c>
      <c r="J924" s="21">
        <f t="shared" si="100"/>
        <v>0</v>
      </c>
      <c r="K924" s="6">
        <f t="shared" si="101"/>
        <v>0</v>
      </c>
      <c r="L924" t="s">
        <v>68</v>
      </c>
      <c r="P924" s="5">
        <f t="shared" si="102"/>
        <v>46287</v>
      </c>
      <c r="Q924" t="s">
        <v>170</v>
      </c>
      <c r="R924">
        <v>160</v>
      </c>
      <c r="S924" t="s">
        <v>171</v>
      </c>
      <c r="T924" t="str">
        <f t="shared" si="103"/>
        <v/>
      </c>
      <c r="U924" t="str">
        <f>IF(AND(L924="Para Programar",G924&gt;0),COUNTIFS($L$5:L924,"Para Programar",$G$5:G924,"&gt;0"),"")</f>
        <v/>
      </c>
      <c r="W924" t="str">
        <f t="shared" si="104"/>
        <v>N36 - N37|05 Tendido de cañería - Cañería principal</v>
      </c>
      <c r="X924">
        <v>0</v>
      </c>
    </row>
    <row r="925" spans="1:24">
      <c r="A925" t="s">
        <v>86</v>
      </c>
      <c r="B925" s="14" t="s">
        <v>176</v>
      </c>
      <c r="C925" t="s">
        <v>87</v>
      </c>
      <c r="D925" s="13" t="s">
        <v>67</v>
      </c>
      <c r="E925" s="13">
        <v>15</v>
      </c>
      <c r="F925" s="13">
        <f>IF(E925="","",MIN(E925,$X925+SUMIFS('05_Parte_Diario'!$H$5:$H$204,'05_Parte_Diario'!$D$5:$D$204,B925,'05_Parte_Diario'!$E$5:$E$204,C925)))</f>
        <v>0</v>
      </c>
      <c r="G925" s="13">
        <f t="shared" si="98"/>
        <v>15</v>
      </c>
      <c r="H925" s="21">
        <f t="shared" si="99"/>
        <v>0</v>
      </c>
      <c r="I925" s="21">
        <f>IF(OR(B925="",C925="",$V$1=""),"",MIN(E925,SUMIFS('03_Planificacion'!$G$99:$G$178,'03_Planificacion'!$E$99:$E$178,B925,'03_Planificacion'!$F$99:$F$178,C925,'03_Planificacion'!$D$99:$D$178,"&lt;="&amp;$V$1)))</f>
        <v>0</v>
      </c>
      <c r="J925" s="21">
        <f t="shared" si="100"/>
        <v>0</v>
      </c>
      <c r="K925" s="6">
        <f t="shared" si="101"/>
        <v>0</v>
      </c>
      <c r="L925" t="s">
        <v>68</v>
      </c>
      <c r="P925" s="5">
        <f t="shared" si="102"/>
        <v>46287</v>
      </c>
      <c r="Q925" t="s">
        <v>170</v>
      </c>
      <c r="R925">
        <v>160</v>
      </c>
      <c r="S925" t="s">
        <v>171</v>
      </c>
      <c r="T925" t="str">
        <f t="shared" si="103"/>
        <v/>
      </c>
      <c r="U925" t="str">
        <f>IF(AND(L925="Para Programar",G925&gt;0),COUNTIFS($L$5:L925,"Para Programar",$G$5:G925,"&gt;0"),"")</f>
        <v/>
      </c>
      <c r="W925" t="str">
        <f t="shared" si="104"/>
        <v>N36 - N37|05 Tendido de cañería - Relevamiento planialtimétrico</v>
      </c>
      <c r="X925">
        <v>0</v>
      </c>
    </row>
    <row r="926" spans="1:24">
      <c r="A926" t="s">
        <v>88</v>
      </c>
      <c r="B926" s="14" t="s">
        <v>176</v>
      </c>
      <c r="C926" t="s">
        <v>89</v>
      </c>
      <c r="D926" s="13" t="s">
        <v>81</v>
      </c>
      <c r="E926" s="13">
        <v>1</v>
      </c>
      <c r="F926" s="13">
        <f>IF(E926="","",MIN(E926,$X926+SUMIFS('05_Parte_Diario'!$H$5:$H$204,'05_Parte_Diario'!$D$5:$D$204,B926,'05_Parte_Diario'!$E$5:$E$204,C926)))</f>
        <v>0</v>
      </c>
      <c r="G926" s="13">
        <f t="shared" si="98"/>
        <v>1</v>
      </c>
      <c r="H926" s="21">
        <f t="shared" si="99"/>
        <v>0</v>
      </c>
      <c r="I926" s="21">
        <f>IF(OR(B926="",C926="",$V$1=""),"",MIN(E926,SUMIFS('03_Planificacion'!$G$99:$G$178,'03_Planificacion'!$E$99:$E$178,B926,'03_Planificacion'!$F$99:$F$178,C926,'03_Planificacion'!$D$99:$D$178,"&lt;="&amp;$V$1)))</f>
        <v>0</v>
      </c>
      <c r="J926" s="21">
        <f t="shared" si="100"/>
        <v>0</v>
      </c>
      <c r="K926" s="6">
        <f t="shared" si="101"/>
        <v>0</v>
      </c>
      <c r="L926" t="s">
        <v>68</v>
      </c>
      <c r="P926" s="5">
        <f t="shared" si="102"/>
        <v>46287</v>
      </c>
      <c r="Q926" t="s">
        <v>170</v>
      </c>
      <c r="R926">
        <v>160</v>
      </c>
      <c r="S926" t="s">
        <v>171</v>
      </c>
      <c r="T926" t="str">
        <f t="shared" si="103"/>
        <v/>
      </c>
      <c r="U926" t="str">
        <f>IF(AND(L926="Para Programar",G926&gt;0),COUNTIFS($L$5:L926,"Para Programar",$G$5:G926,"&gt;0"),"")</f>
        <v/>
      </c>
      <c r="W926" t="str">
        <f t="shared" si="104"/>
        <v>N36 - N37|08 Prueba hidráulica - Preparación del sistema</v>
      </c>
      <c r="X926">
        <v>0</v>
      </c>
    </row>
    <row r="927" spans="1:24">
      <c r="A927" t="s">
        <v>90</v>
      </c>
      <c r="B927" s="14" t="s">
        <v>176</v>
      </c>
      <c r="C927" t="s">
        <v>91</v>
      </c>
      <c r="D927" s="13" t="s">
        <v>81</v>
      </c>
      <c r="E927" s="13">
        <v>1</v>
      </c>
      <c r="F927" s="13">
        <f>IF(E927="","",MIN(E927,$X927+SUMIFS('05_Parte_Diario'!$H$5:$H$204,'05_Parte_Diario'!$D$5:$D$204,B927,'05_Parte_Diario'!$E$5:$E$204,C927)))</f>
        <v>0</v>
      </c>
      <c r="G927" s="13">
        <f t="shared" si="98"/>
        <v>1</v>
      </c>
      <c r="H927" s="21">
        <f t="shared" si="99"/>
        <v>0</v>
      </c>
      <c r="I927" s="21">
        <f>IF(OR(B927="",C927="",$V$1=""),"",MIN(E927,SUMIFS('03_Planificacion'!$G$99:$G$178,'03_Planificacion'!$E$99:$E$178,B927,'03_Planificacion'!$F$99:$F$178,C927,'03_Planificacion'!$D$99:$D$178,"&lt;="&amp;$V$1)))</f>
        <v>0</v>
      </c>
      <c r="J927" s="21">
        <f t="shared" si="100"/>
        <v>0</v>
      </c>
      <c r="K927" s="6">
        <f t="shared" si="101"/>
        <v>0</v>
      </c>
      <c r="L927" t="s">
        <v>68</v>
      </c>
      <c r="P927" s="5">
        <f t="shared" si="102"/>
        <v>46287</v>
      </c>
      <c r="Q927" t="s">
        <v>170</v>
      </c>
      <c r="R927">
        <v>160</v>
      </c>
      <c r="S927" t="s">
        <v>171</v>
      </c>
      <c r="T927" t="str">
        <f t="shared" si="103"/>
        <v/>
      </c>
      <c r="U927" t="str">
        <f>IF(AND(L927="Para Programar",G927&gt;0),COUNTIFS($L$5:L927,"Para Programar",$G$5:G927,"&gt;0"),"")</f>
        <v/>
      </c>
      <c r="W927" t="str">
        <f t="shared" si="104"/>
        <v>N36 - N37|08 Prueba hidráulica - Interna N° 1</v>
      </c>
      <c r="X927">
        <v>0</v>
      </c>
    </row>
    <row r="928" spans="1:24">
      <c r="A928" t="s">
        <v>92</v>
      </c>
      <c r="B928" s="14" t="s">
        <v>176</v>
      </c>
      <c r="C928" t="s">
        <v>93</v>
      </c>
      <c r="D928" s="13" t="s">
        <v>81</v>
      </c>
      <c r="E928" s="13">
        <v>1</v>
      </c>
      <c r="F928" s="13">
        <f>IF(E928="","",MIN(E928,$X928+SUMIFS('05_Parte_Diario'!$H$5:$H$204,'05_Parte_Diario'!$D$5:$D$204,B928,'05_Parte_Diario'!$E$5:$E$204,C928)))</f>
        <v>0</v>
      </c>
      <c r="G928" s="13">
        <f t="shared" si="98"/>
        <v>1</v>
      </c>
      <c r="H928" s="21">
        <f t="shared" si="99"/>
        <v>0</v>
      </c>
      <c r="I928" s="21">
        <f>IF(OR(B928="",C928="",$V$1=""),"",MIN(E928,SUMIFS('03_Planificacion'!$G$99:$G$178,'03_Planificacion'!$E$99:$E$178,B928,'03_Planificacion'!$F$99:$F$178,C928,'03_Planificacion'!$D$99:$D$178,"&lt;="&amp;$V$1)))</f>
        <v>0</v>
      </c>
      <c r="J928" s="21">
        <f t="shared" si="100"/>
        <v>0</v>
      </c>
      <c r="K928" s="6">
        <f t="shared" si="101"/>
        <v>0</v>
      </c>
      <c r="L928" t="s">
        <v>68</v>
      </c>
      <c r="P928" s="5">
        <f t="shared" si="102"/>
        <v>46287</v>
      </c>
      <c r="Q928" t="s">
        <v>170</v>
      </c>
      <c r="R928">
        <v>160</v>
      </c>
      <c r="S928" t="s">
        <v>171</v>
      </c>
      <c r="T928" t="str">
        <f t="shared" si="103"/>
        <v/>
      </c>
      <c r="U928" t="str">
        <f>IF(AND(L928="Para Programar",G928&gt;0),COUNTIFS($L$5:L928,"Para Programar",$G$5:G928,"&gt;0"),"")</f>
        <v/>
      </c>
      <c r="W928" t="str">
        <f t="shared" si="104"/>
        <v>N36 - N37|08 Prueba hidráulica - Interna N° 2</v>
      </c>
      <c r="X928">
        <v>0</v>
      </c>
    </row>
    <row r="929" spans="1:24">
      <c r="A929" t="s">
        <v>94</v>
      </c>
      <c r="B929" s="14" t="s">
        <v>176</v>
      </c>
      <c r="C929" t="s">
        <v>95</v>
      </c>
      <c r="D929" s="13" t="s">
        <v>81</v>
      </c>
      <c r="E929" s="13">
        <v>1</v>
      </c>
      <c r="F929" s="13">
        <f>IF(E929="","",MIN(E929,$X929+SUMIFS('05_Parte_Diario'!$H$5:$H$204,'05_Parte_Diario'!$D$5:$D$204,B929,'05_Parte_Diario'!$E$5:$E$204,C929)))</f>
        <v>0</v>
      </c>
      <c r="G929" s="13">
        <f t="shared" si="98"/>
        <v>1</v>
      </c>
      <c r="H929" s="21">
        <f t="shared" si="99"/>
        <v>0</v>
      </c>
      <c r="I929" s="21">
        <f>IF(OR(B929="",C929="",$V$1=""),"",MIN(E929,SUMIFS('03_Planificacion'!$G$99:$G$178,'03_Planificacion'!$E$99:$E$178,B929,'03_Planificacion'!$F$99:$F$178,C929,'03_Planificacion'!$D$99:$D$178,"&lt;="&amp;$V$1)))</f>
        <v>0</v>
      </c>
      <c r="J929" s="21">
        <f t="shared" si="100"/>
        <v>0</v>
      </c>
      <c r="K929" s="6">
        <f t="shared" si="101"/>
        <v>0</v>
      </c>
      <c r="L929" t="s">
        <v>68</v>
      </c>
      <c r="P929" s="5">
        <f t="shared" si="102"/>
        <v>46287</v>
      </c>
      <c r="Q929" t="s">
        <v>170</v>
      </c>
      <c r="R929">
        <v>160</v>
      </c>
      <c r="S929" t="s">
        <v>171</v>
      </c>
      <c r="T929" t="str">
        <f t="shared" si="103"/>
        <v/>
      </c>
      <c r="U929" t="str">
        <f>IF(AND(L929="Para Programar",G929&gt;0),COUNTIFS($L$5:L929,"Para Programar",$G$5:G929,"&gt;0"),"")</f>
        <v/>
      </c>
      <c r="W929" t="str">
        <f t="shared" si="104"/>
        <v>N36 - N37|08 Prueba hidráulica - Primera prueba oficial</v>
      </c>
      <c r="X929">
        <v>0</v>
      </c>
    </row>
    <row r="930" spans="1:24">
      <c r="A930" t="s">
        <v>96</v>
      </c>
      <c r="B930" s="14" t="s">
        <v>176</v>
      </c>
      <c r="C930" t="s">
        <v>97</v>
      </c>
      <c r="D930" s="13" t="s">
        <v>67</v>
      </c>
      <c r="E930" s="13">
        <v>15</v>
      </c>
      <c r="F930" s="13">
        <f>IF(E930="","",MIN(E930,$X930+SUMIFS('05_Parte_Diario'!$H$5:$H$204,'05_Parte_Diario'!$D$5:$D$204,B930,'05_Parte_Diario'!$E$5:$E$204,C930)))</f>
        <v>0</v>
      </c>
      <c r="G930" s="13">
        <f t="shared" si="98"/>
        <v>15</v>
      </c>
      <c r="H930" s="21">
        <f t="shared" si="99"/>
        <v>0</v>
      </c>
      <c r="I930" s="21">
        <f>IF(OR(B930="",C930="",$V$1=""),"",MIN(E930,SUMIFS('03_Planificacion'!$G$99:$G$178,'03_Planificacion'!$E$99:$E$178,B930,'03_Planificacion'!$F$99:$F$178,C930,'03_Planificacion'!$D$99:$D$178,"&lt;="&amp;$V$1)))</f>
        <v>0</v>
      </c>
      <c r="J930" s="21">
        <f t="shared" si="100"/>
        <v>0</v>
      </c>
      <c r="K930" s="6">
        <f t="shared" si="101"/>
        <v>0</v>
      </c>
      <c r="L930" t="s">
        <v>68</v>
      </c>
      <c r="P930" s="5">
        <f t="shared" si="102"/>
        <v>46287</v>
      </c>
      <c r="Q930" t="s">
        <v>170</v>
      </c>
      <c r="R930">
        <v>160</v>
      </c>
      <c r="S930" t="s">
        <v>171</v>
      </c>
      <c r="T930" t="str">
        <f t="shared" si="103"/>
        <v/>
      </c>
      <c r="U930" t="str">
        <f>IF(AND(L930="Para Programar",G930&gt;0),COUNTIFS($L$5:L930,"Para Programar",$G$5:G930,"&gt;0"),"")</f>
        <v/>
      </c>
      <c r="W930" t="str">
        <f t="shared" si="104"/>
        <v>N36 - N37|09 Paquete estructural - Aporte e=0,30 m</v>
      </c>
      <c r="X930">
        <v>0</v>
      </c>
    </row>
    <row r="931" spans="1:24">
      <c r="A931" t="s">
        <v>98</v>
      </c>
      <c r="B931" s="14" t="s">
        <v>176</v>
      </c>
      <c r="C931" t="s">
        <v>99</v>
      </c>
      <c r="D931" s="13" t="s">
        <v>67</v>
      </c>
      <c r="E931" s="13">
        <v>15</v>
      </c>
      <c r="F931" s="13">
        <f>IF(E931="","",MIN(E931,$X931+SUMIFS('05_Parte_Diario'!$H$5:$H$204,'05_Parte_Diario'!$D$5:$D$204,B931,'05_Parte_Diario'!$E$5:$E$204,C931)))</f>
        <v>0</v>
      </c>
      <c r="G931" s="13">
        <f t="shared" si="98"/>
        <v>15</v>
      </c>
      <c r="H931" s="21">
        <f t="shared" si="99"/>
        <v>0</v>
      </c>
      <c r="I931" s="21">
        <f>IF(OR(B931="",C931="",$V$1=""),"",MIN(E931,SUMIFS('03_Planificacion'!$G$99:$G$178,'03_Planificacion'!$E$99:$E$178,B931,'03_Planificacion'!$F$99:$F$178,C931,'03_Planificacion'!$D$99:$D$178,"&lt;="&amp;$V$1)))</f>
        <v>0</v>
      </c>
      <c r="J931" s="21">
        <f t="shared" si="100"/>
        <v>0</v>
      </c>
      <c r="K931" s="6">
        <f t="shared" si="101"/>
        <v>0</v>
      </c>
      <c r="L931" t="s">
        <v>68</v>
      </c>
      <c r="P931" s="5">
        <f t="shared" si="102"/>
        <v>46287</v>
      </c>
      <c r="Q931" t="s">
        <v>170</v>
      </c>
      <c r="R931">
        <v>160</v>
      </c>
      <c r="S931" t="s">
        <v>171</v>
      </c>
      <c r="T931" t="str">
        <f t="shared" si="103"/>
        <v/>
      </c>
      <c r="U931" t="str">
        <f>IF(AND(L931="Para Programar",G931&gt;0),COUNTIFS($L$5:L931,"Para Programar",$G$5:G931,"&gt;0"),"")</f>
        <v/>
      </c>
      <c r="W931" t="str">
        <f t="shared" si="104"/>
        <v>N36 - N37|09 Paquete estructural - Compactación</v>
      </c>
      <c r="X931">
        <v>0</v>
      </c>
    </row>
    <row r="932" spans="1:24">
      <c r="A932" t="s">
        <v>100</v>
      </c>
      <c r="B932" s="14" t="s">
        <v>176</v>
      </c>
      <c r="C932" t="s">
        <v>101</v>
      </c>
      <c r="D932" s="13" t="s">
        <v>81</v>
      </c>
      <c r="E932" s="13">
        <v>1</v>
      </c>
      <c r="F932" s="13">
        <f>IF(E932="","",MIN(E932,$X932+SUMIFS('05_Parte_Diario'!$H$5:$H$204,'05_Parte_Diario'!$D$5:$D$204,B932,'05_Parte_Diario'!$E$5:$E$204,C932)))</f>
        <v>0</v>
      </c>
      <c r="G932" s="13">
        <f t="shared" si="98"/>
        <v>1</v>
      </c>
      <c r="H932" s="21">
        <f t="shared" si="99"/>
        <v>0</v>
      </c>
      <c r="I932" s="21">
        <f>IF(OR(B932="",C932="",$V$1=""),"",MIN(E932,SUMIFS('03_Planificacion'!$G$99:$G$178,'03_Planificacion'!$E$99:$E$178,B932,'03_Planificacion'!$F$99:$F$178,C932,'03_Planificacion'!$D$99:$D$178,"&lt;="&amp;$V$1)))</f>
        <v>0</v>
      </c>
      <c r="J932" s="21">
        <f t="shared" si="100"/>
        <v>0</v>
      </c>
      <c r="K932" s="6">
        <f t="shared" si="101"/>
        <v>0</v>
      </c>
      <c r="L932" t="s">
        <v>68</v>
      </c>
      <c r="P932" s="5">
        <f t="shared" si="102"/>
        <v>46287</v>
      </c>
      <c r="Q932" t="s">
        <v>170</v>
      </c>
      <c r="R932">
        <v>160</v>
      </c>
      <c r="S932" t="s">
        <v>171</v>
      </c>
      <c r="T932" t="str">
        <f t="shared" si="103"/>
        <v/>
      </c>
      <c r="U932" t="str">
        <f>IF(AND(L932="Para Programar",G932&gt;0),COUNTIFS($L$5:L932,"Para Programar",$G$5:G932,"&gt;0"),"")</f>
        <v/>
      </c>
      <c r="W932" t="str">
        <f t="shared" si="104"/>
        <v>N36 - N37|09 Paquete estructural - Inspección laboratorio</v>
      </c>
      <c r="X932">
        <v>0</v>
      </c>
    </row>
    <row r="933" spans="1:24">
      <c r="A933" t="s">
        <v>102</v>
      </c>
      <c r="B933" s="14" t="s">
        <v>176</v>
      </c>
      <c r="C933" t="s">
        <v>103</v>
      </c>
      <c r="D933" s="13" t="s">
        <v>67</v>
      </c>
      <c r="E933" s="13">
        <v>15</v>
      </c>
      <c r="F933" s="13">
        <f>IF(E933="","",MIN(E933,$X933+SUMIFS('05_Parte_Diario'!$H$5:$H$204,'05_Parte_Diario'!$D$5:$D$204,B933,'05_Parte_Diario'!$E$5:$E$204,C933)))</f>
        <v>0</v>
      </c>
      <c r="G933" s="13">
        <f t="shared" si="98"/>
        <v>15</v>
      </c>
      <c r="H933" s="21">
        <f t="shared" si="99"/>
        <v>0</v>
      </c>
      <c r="I933" s="21">
        <f>IF(OR(B933="",C933="",$V$1=""),"",MIN(E933,SUMIFS('03_Planificacion'!$G$99:$G$178,'03_Planificacion'!$E$99:$E$178,B933,'03_Planificacion'!$F$99:$F$178,C933,'03_Planificacion'!$D$99:$D$178,"&lt;="&amp;$V$1)))</f>
        <v>0</v>
      </c>
      <c r="J933" s="21">
        <f t="shared" si="100"/>
        <v>0</v>
      </c>
      <c r="K933" s="6">
        <f t="shared" si="101"/>
        <v>0</v>
      </c>
      <c r="L933" t="s">
        <v>68</v>
      </c>
      <c r="P933" s="5">
        <f t="shared" si="102"/>
        <v>46287</v>
      </c>
      <c r="Q933" t="s">
        <v>170</v>
      </c>
      <c r="R933">
        <v>160</v>
      </c>
      <c r="S933" t="s">
        <v>171</v>
      </c>
      <c r="T933" t="str">
        <f t="shared" si="103"/>
        <v/>
      </c>
      <c r="U933" t="str">
        <f>IF(AND(L933="Para Programar",G933&gt;0),COUNTIFS($L$5:L933,"Para Programar",$G$5:G933,"&gt;0"),"")</f>
        <v/>
      </c>
      <c r="W933" t="str">
        <f t="shared" si="104"/>
        <v>N36 - N37|10 Relleno -0,60 - Conformación de capa</v>
      </c>
      <c r="X933">
        <v>0</v>
      </c>
    </row>
    <row r="934" spans="1:24">
      <c r="A934" t="s">
        <v>104</v>
      </c>
      <c r="B934" s="14" t="s">
        <v>176</v>
      </c>
      <c r="C934" t="s">
        <v>105</v>
      </c>
      <c r="D934" s="13" t="s">
        <v>67</v>
      </c>
      <c r="E934" s="13">
        <v>15</v>
      </c>
      <c r="F934" s="13">
        <f>IF(E934="","",MIN(E934,$X934+SUMIFS('05_Parte_Diario'!$H$5:$H$204,'05_Parte_Diario'!$D$5:$D$204,B934,'05_Parte_Diario'!$E$5:$E$204,C934)))</f>
        <v>0</v>
      </c>
      <c r="G934" s="13">
        <f t="shared" si="98"/>
        <v>15</v>
      </c>
      <c r="H934" s="21">
        <f t="shared" si="99"/>
        <v>0</v>
      </c>
      <c r="I934" s="21">
        <f>IF(OR(B934="",C934="",$V$1=""),"",MIN(E934,SUMIFS('03_Planificacion'!$G$99:$G$178,'03_Planificacion'!$E$99:$E$178,B934,'03_Planificacion'!$F$99:$F$178,C934,'03_Planificacion'!$D$99:$D$178,"&lt;="&amp;$V$1)))</f>
        <v>0</v>
      </c>
      <c r="J934" s="21">
        <f t="shared" si="100"/>
        <v>0</v>
      </c>
      <c r="K934" s="6">
        <f t="shared" si="101"/>
        <v>0</v>
      </c>
      <c r="L934" t="s">
        <v>68</v>
      </c>
      <c r="P934" s="5">
        <f t="shared" si="102"/>
        <v>46287</v>
      </c>
      <c r="Q934" t="s">
        <v>170</v>
      </c>
      <c r="R934">
        <v>160</v>
      </c>
      <c r="S934" t="s">
        <v>171</v>
      </c>
      <c r="T934" t="str">
        <f t="shared" si="103"/>
        <v/>
      </c>
      <c r="U934" t="str">
        <f>IF(AND(L934="Para Programar",G934&gt;0),COUNTIFS($L$5:L934,"Para Programar",$G$5:G934,"&gt;0"),"")</f>
        <v/>
      </c>
      <c r="W934" t="str">
        <f t="shared" si="104"/>
        <v>N36 - N37|10 Relleno -0,60 - Humectación</v>
      </c>
      <c r="X934">
        <v>0</v>
      </c>
    </row>
    <row r="935" spans="1:24">
      <c r="A935" t="s">
        <v>106</v>
      </c>
      <c r="B935" s="14" t="s">
        <v>176</v>
      </c>
      <c r="C935" t="s">
        <v>107</v>
      </c>
      <c r="D935" s="13" t="s">
        <v>67</v>
      </c>
      <c r="E935" s="13">
        <v>15</v>
      </c>
      <c r="F935" s="13">
        <f>IF(E935="","",MIN(E935,$X935+SUMIFS('05_Parte_Diario'!$H$5:$H$204,'05_Parte_Diario'!$D$5:$D$204,B935,'05_Parte_Diario'!$E$5:$E$204,C935)))</f>
        <v>0</v>
      </c>
      <c r="G935" s="13">
        <f t="shared" si="98"/>
        <v>15</v>
      </c>
      <c r="H935" s="21">
        <f t="shared" si="99"/>
        <v>0</v>
      </c>
      <c r="I935" s="21">
        <f>IF(OR(B935="",C935="",$V$1=""),"",MIN(E935,SUMIFS('03_Planificacion'!$G$99:$G$178,'03_Planificacion'!$E$99:$E$178,B935,'03_Planificacion'!$F$99:$F$178,C935,'03_Planificacion'!$D$99:$D$178,"&lt;="&amp;$V$1)))</f>
        <v>0</v>
      </c>
      <c r="J935" s="21">
        <f t="shared" si="100"/>
        <v>0</v>
      </c>
      <c r="K935" s="6">
        <f t="shared" si="101"/>
        <v>0</v>
      </c>
      <c r="L935" t="s">
        <v>68</v>
      </c>
      <c r="P935" s="5">
        <f t="shared" si="102"/>
        <v>46287</v>
      </c>
      <c r="Q935" t="s">
        <v>170</v>
      </c>
      <c r="R935">
        <v>160</v>
      </c>
      <c r="S935" t="s">
        <v>171</v>
      </c>
      <c r="T935" t="str">
        <f t="shared" si="103"/>
        <v/>
      </c>
      <c r="U935" t="str">
        <f>IF(AND(L935="Para Programar",G935&gt;0),COUNTIFS($L$5:L935,"Para Programar",$G$5:G935,"&gt;0"),"")</f>
        <v/>
      </c>
      <c r="W935" t="str">
        <f t="shared" si="104"/>
        <v>N36 - N37|10 Relleno -0,60 - Compactación</v>
      </c>
      <c r="X935">
        <v>0</v>
      </c>
    </row>
    <row r="936" spans="1:24">
      <c r="A936" t="s">
        <v>108</v>
      </c>
      <c r="B936" s="14" t="s">
        <v>176</v>
      </c>
      <c r="C936" t="s">
        <v>109</v>
      </c>
      <c r="D936" s="13" t="s">
        <v>81</v>
      </c>
      <c r="E936" s="13">
        <v>1</v>
      </c>
      <c r="F936" s="13">
        <f>IF(E936="","",MIN(E936,$X936+SUMIFS('05_Parte_Diario'!$H$5:$H$204,'05_Parte_Diario'!$D$5:$D$204,B936,'05_Parte_Diario'!$E$5:$E$204,C936)))</f>
        <v>0</v>
      </c>
      <c r="G936" s="13">
        <f t="shared" si="98"/>
        <v>1</v>
      </c>
      <c r="H936" s="21">
        <f t="shared" si="99"/>
        <v>0</v>
      </c>
      <c r="I936" s="21">
        <f>IF(OR(B936="",C936="",$V$1=""),"",MIN(E936,SUMIFS('03_Planificacion'!$G$99:$G$178,'03_Planificacion'!$E$99:$E$178,B936,'03_Planificacion'!$F$99:$F$178,C936,'03_Planificacion'!$D$99:$D$178,"&lt;="&amp;$V$1)))</f>
        <v>0</v>
      </c>
      <c r="J936" s="21">
        <f t="shared" si="100"/>
        <v>0</v>
      </c>
      <c r="K936" s="6">
        <f t="shared" si="101"/>
        <v>0</v>
      </c>
      <c r="L936" t="s">
        <v>68</v>
      </c>
      <c r="P936" s="5">
        <f t="shared" si="102"/>
        <v>46287</v>
      </c>
      <c r="Q936" t="s">
        <v>170</v>
      </c>
      <c r="R936">
        <v>160</v>
      </c>
      <c r="S936" t="s">
        <v>171</v>
      </c>
      <c r="T936" t="str">
        <f t="shared" si="103"/>
        <v/>
      </c>
      <c r="U936" t="str">
        <f>IF(AND(L936="Para Programar",G936&gt;0),COUNTIFS($L$5:L936,"Para Programar",$G$5:G936,"&gt;0"),"")</f>
        <v/>
      </c>
      <c r="W936" t="str">
        <f t="shared" si="104"/>
        <v>N36 - N37|10 Relleno -0,60 - Inspección laboratorio</v>
      </c>
      <c r="X936">
        <v>0</v>
      </c>
    </row>
    <row r="937" spans="1:24">
      <c r="A937" t="s">
        <v>110</v>
      </c>
      <c r="B937" s="14" t="s">
        <v>176</v>
      </c>
      <c r="C937" t="s">
        <v>111</v>
      </c>
      <c r="D937" s="13" t="s">
        <v>67</v>
      </c>
      <c r="E937" s="13">
        <v>15</v>
      </c>
      <c r="F937" s="13">
        <f>IF(E937="","",MIN(E937,$X937+SUMIFS('05_Parte_Diario'!$H$5:$H$204,'05_Parte_Diario'!$D$5:$D$204,B937,'05_Parte_Diario'!$E$5:$E$204,C937)))</f>
        <v>0</v>
      </c>
      <c r="G937" s="13">
        <f t="shared" si="98"/>
        <v>15</v>
      </c>
      <c r="H937" s="21">
        <f t="shared" si="99"/>
        <v>0</v>
      </c>
      <c r="I937" s="21">
        <f>IF(OR(B937="",C937="",$V$1=""),"",MIN(E937,SUMIFS('03_Planificacion'!$G$99:$G$178,'03_Planificacion'!$E$99:$E$178,B937,'03_Planificacion'!$F$99:$F$178,C937,'03_Planificacion'!$D$99:$D$178,"&lt;="&amp;$V$1)))</f>
        <v>0</v>
      </c>
      <c r="J937" s="21">
        <f t="shared" si="100"/>
        <v>0</v>
      </c>
      <c r="K937" s="6">
        <f t="shared" si="101"/>
        <v>0</v>
      </c>
      <c r="L937" t="s">
        <v>68</v>
      </c>
      <c r="P937" s="5">
        <f t="shared" si="102"/>
        <v>46287</v>
      </c>
      <c r="Q937" t="s">
        <v>170</v>
      </c>
      <c r="R937">
        <v>160</v>
      </c>
      <c r="S937" t="s">
        <v>171</v>
      </c>
      <c r="T937" t="str">
        <f t="shared" si="103"/>
        <v/>
      </c>
      <c r="U937" t="str">
        <f>IF(AND(L937="Para Programar",G937&gt;0),COUNTIFS($L$5:L937,"Para Programar",$G$5:G937,"&gt;0"),"")</f>
        <v/>
      </c>
      <c r="W937" t="str">
        <f t="shared" si="104"/>
        <v>N36 - N37|11 Relleno -0,30 - Conformación de capa</v>
      </c>
      <c r="X937">
        <v>0</v>
      </c>
    </row>
    <row r="938" spans="1:24">
      <c r="A938" t="s">
        <v>112</v>
      </c>
      <c r="B938" s="14" t="s">
        <v>176</v>
      </c>
      <c r="C938" t="s">
        <v>113</v>
      </c>
      <c r="D938" s="13" t="s">
        <v>67</v>
      </c>
      <c r="E938" s="13">
        <v>15</v>
      </c>
      <c r="F938" s="13">
        <f>IF(E938="","",MIN(E938,$X938+SUMIFS('05_Parte_Diario'!$H$5:$H$204,'05_Parte_Diario'!$D$5:$D$204,B938,'05_Parte_Diario'!$E$5:$E$204,C938)))</f>
        <v>0</v>
      </c>
      <c r="G938" s="13">
        <f t="shared" si="98"/>
        <v>15</v>
      </c>
      <c r="H938" s="21">
        <f t="shared" si="99"/>
        <v>0</v>
      </c>
      <c r="I938" s="21">
        <f>IF(OR(B938="",C938="",$V$1=""),"",MIN(E938,SUMIFS('03_Planificacion'!$G$99:$G$178,'03_Planificacion'!$E$99:$E$178,B938,'03_Planificacion'!$F$99:$F$178,C938,'03_Planificacion'!$D$99:$D$178,"&lt;="&amp;$V$1)))</f>
        <v>0</v>
      </c>
      <c r="J938" s="21">
        <f t="shared" si="100"/>
        <v>0</v>
      </c>
      <c r="K938" s="6">
        <f t="shared" si="101"/>
        <v>0</v>
      </c>
      <c r="L938" t="s">
        <v>68</v>
      </c>
      <c r="P938" s="5">
        <f t="shared" si="102"/>
        <v>46287</v>
      </c>
      <c r="Q938" t="s">
        <v>170</v>
      </c>
      <c r="R938">
        <v>160</v>
      </c>
      <c r="S938" t="s">
        <v>171</v>
      </c>
      <c r="T938" t="str">
        <f t="shared" si="103"/>
        <v/>
      </c>
      <c r="U938" t="str">
        <f>IF(AND(L938="Para Programar",G938&gt;0),COUNTIFS($L$5:L938,"Para Programar",$G$5:G938,"&gt;0"),"")</f>
        <v/>
      </c>
      <c r="W938" t="str">
        <f t="shared" si="104"/>
        <v>N36 - N37|11 Relleno -0,30 - Humectación</v>
      </c>
      <c r="X938">
        <v>0</v>
      </c>
    </row>
    <row r="939" spans="1:24">
      <c r="A939" t="s">
        <v>114</v>
      </c>
      <c r="B939" s="14" t="s">
        <v>176</v>
      </c>
      <c r="C939" t="s">
        <v>115</v>
      </c>
      <c r="D939" s="13" t="s">
        <v>67</v>
      </c>
      <c r="E939" s="13">
        <v>15</v>
      </c>
      <c r="F939" s="13">
        <f>IF(E939="","",MIN(E939,$X939+SUMIFS('05_Parte_Diario'!$H$5:$H$204,'05_Parte_Diario'!$D$5:$D$204,B939,'05_Parte_Diario'!$E$5:$E$204,C939)))</f>
        <v>0</v>
      </c>
      <c r="G939" s="13">
        <f t="shared" si="98"/>
        <v>15</v>
      </c>
      <c r="H939" s="21">
        <f t="shared" si="99"/>
        <v>0</v>
      </c>
      <c r="I939" s="21">
        <f>IF(OR(B939="",C939="",$V$1=""),"",MIN(E939,SUMIFS('03_Planificacion'!$G$99:$G$178,'03_Planificacion'!$E$99:$E$178,B939,'03_Planificacion'!$F$99:$F$178,C939,'03_Planificacion'!$D$99:$D$178,"&lt;="&amp;$V$1)))</f>
        <v>0</v>
      </c>
      <c r="J939" s="21">
        <f t="shared" si="100"/>
        <v>0</v>
      </c>
      <c r="K939" s="6">
        <f t="shared" si="101"/>
        <v>0</v>
      </c>
      <c r="L939" t="s">
        <v>68</v>
      </c>
      <c r="P939" s="5">
        <f t="shared" si="102"/>
        <v>46287</v>
      </c>
      <c r="Q939" t="s">
        <v>170</v>
      </c>
      <c r="R939">
        <v>160</v>
      </c>
      <c r="S939" t="s">
        <v>171</v>
      </c>
      <c r="T939" t="str">
        <f t="shared" si="103"/>
        <v/>
      </c>
      <c r="U939" t="str">
        <f>IF(AND(L939="Para Programar",G939&gt;0),COUNTIFS($L$5:L939,"Para Programar",$G$5:G939,"&gt;0"),"")</f>
        <v/>
      </c>
      <c r="W939" t="str">
        <f t="shared" si="104"/>
        <v>N36 - N37|11 Relleno -0,30 - Compactación</v>
      </c>
      <c r="X939">
        <v>0</v>
      </c>
    </row>
    <row r="940" spans="1:24">
      <c r="A940" t="s">
        <v>116</v>
      </c>
      <c r="B940" s="14" t="s">
        <v>176</v>
      </c>
      <c r="C940" t="s">
        <v>117</v>
      </c>
      <c r="D940" s="13" t="s">
        <v>81</v>
      </c>
      <c r="E940" s="13">
        <v>1</v>
      </c>
      <c r="F940" s="13">
        <f>IF(E940="","",MIN(E940,$X940+SUMIFS('05_Parte_Diario'!$H$5:$H$204,'05_Parte_Diario'!$D$5:$D$204,B940,'05_Parte_Diario'!$E$5:$E$204,C940)))</f>
        <v>0</v>
      </c>
      <c r="G940" s="13">
        <f t="shared" si="98"/>
        <v>1</v>
      </c>
      <c r="H940" s="21">
        <f t="shared" si="99"/>
        <v>0</v>
      </c>
      <c r="I940" s="21">
        <f>IF(OR(B940="",C940="",$V$1=""),"",MIN(E940,SUMIFS('03_Planificacion'!$G$99:$G$178,'03_Planificacion'!$E$99:$E$178,B940,'03_Planificacion'!$F$99:$F$178,C940,'03_Planificacion'!$D$99:$D$178,"&lt;="&amp;$V$1)))</f>
        <v>0</v>
      </c>
      <c r="J940" s="21">
        <f t="shared" si="100"/>
        <v>0</v>
      </c>
      <c r="K940" s="6">
        <f t="shared" si="101"/>
        <v>0</v>
      </c>
      <c r="L940" t="s">
        <v>68</v>
      </c>
      <c r="P940" s="5">
        <f t="shared" si="102"/>
        <v>46287</v>
      </c>
      <c r="Q940" t="s">
        <v>170</v>
      </c>
      <c r="R940">
        <v>160</v>
      </c>
      <c r="S940" t="s">
        <v>171</v>
      </c>
      <c r="T940" t="str">
        <f t="shared" si="103"/>
        <v/>
      </c>
      <c r="U940" t="str">
        <f>IF(AND(L940="Para Programar",G940&gt;0),COUNTIFS($L$5:L940,"Para Programar",$G$5:G940,"&gt;0"),"")</f>
        <v/>
      </c>
      <c r="W940" t="str">
        <f t="shared" si="104"/>
        <v>N36 - N37|11 Relleno -0,30 - Inspección laboratorio</v>
      </c>
      <c r="X940">
        <v>0</v>
      </c>
    </row>
    <row r="941" spans="1:24">
      <c r="A941" t="s">
        <v>64</v>
      </c>
      <c r="B941" s="14" t="s">
        <v>177</v>
      </c>
      <c r="C941" t="s">
        <v>66</v>
      </c>
      <c r="D941" s="13" t="s">
        <v>67</v>
      </c>
      <c r="E941" s="13">
        <v>135</v>
      </c>
      <c r="F941" s="13">
        <f>IF(E941="","",MIN(E941,$X941+SUMIFS('05_Parte_Diario'!$H$5:$H$204,'05_Parte_Diario'!$D$5:$D$204,B941,'05_Parte_Diario'!$E$5:$E$204,C941)))</f>
        <v>0</v>
      </c>
      <c r="G941" s="13">
        <f t="shared" si="98"/>
        <v>135</v>
      </c>
      <c r="H941" s="21">
        <f t="shared" si="99"/>
        <v>0</v>
      </c>
      <c r="I941" s="21">
        <f>IF(OR(B941="",C941="",$V$1=""),"",MIN(E941,SUMIFS('03_Planificacion'!$G$99:$G$178,'03_Planificacion'!$E$99:$E$178,B941,'03_Planificacion'!$F$99:$F$178,C941,'03_Planificacion'!$D$99:$D$178,"&lt;="&amp;$V$1)))</f>
        <v>0</v>
      </c>
      <c r="J941" s="21">
        <f t="shared" si="100"/>
        <v>0</v>
      </c>
      <c r="K941" s="6">
        <f t="shared" si="101"/>
        <v>0</v>
      </c>
      <c r="L941" t="s">
        <v>68</v>
      </c>
      <c r="P941" s="5">
        <f t="shared" si="102"/>
        <v>46287</v>
      </c>
      <c r="Q941" t="s">
        <v>170</v>
      </c>
      <c r="R941">
        <v>160</v>
      </c>
      <c r="S941" t="s">
        <v>171</v>
      </c>
      <c r="T941" t="str">
        <f t="shared" si="103"/>
        <v/>
      </c>
      <c r="U941" t="str">
        <f>IF(AND(L941="Para Programar",G941&gt;0),COUNTIFS($L$5:L941,"Para Programar",$G$5:G941,"&gt;0"),"")</f>
        <v/>
      </c>
      <c r="W941" t="str">
        <f t="shared" si="104"/>
        <v>N37 - N38|01 Replanteo - Marcación de tramo de cañería principal</v>
      </c>
      <c r="X941">
        <v>0</v>
      </c>
    </row>
    <row r="942" spans="1:24">
      <c r="A942" t="s">
        <v>71</v>
      </c>
      <c r="B942" s="14" t="s">
        <v>177</v>
      </c>
      <c r="C942" t="s">
        <v>72</v>
      </c>
      <c r="D942" s="13" t="s">
        <v>67</v>
      </c>
      <c r="E942" s="13">
        <v>135</v>
      </c>
      <c r="F942" s="13">
        <f>IF(E942="","",MIN(E942,$X942+SUMIFS('05_Parte_Diario'!$H$5:$H$204,'05_Parte_Diario'!$D$5:$D$204,B942,'05_Parte_Diario'!$E$5:$E$204,C942)))</f>
        <v>0</v>
      </c>
      <c r="G942" s="13">
        <f t="shared" si="98"/>
        <v>135</v>
      </c>
      <c r="H942" s="21">
        <f t="shared" si="99"/>
        <v>0</v>
      </c>
      <c r="I942" s="21">
        <f>IF(OR(B942="",C942="",$V$1=""),"",MIN(E942,SUMIFS('03_Planificacion'!$G$99:$G$178,'03_Planificacion'!$E$99:$E$178,B942,'03_Planificacion'!$F$99:$F$178,C942,'03_Planificacion'!$D$99:$D$178,"&lt;="&amp;$V$1)))</f>
        <v>0</v>
      </c>
      <c r="J942" s="21">
        <f t="shared" si="100"/>
        <v>0</v>
      </c>
      <c r="K942" s="6">
        <f t="shared" si="101"/>
        <v>0</v>
      </c>
      <c r="L942" t="s">
        <v>68</v>
      </c>
      <c r="P942" s="5">
        <f t="shared" si="102"/>
        <v>46287</v>
      </c>
      <c r="Q942" t="s">
        <v>170</v>
      </c>
      <c r="R942">
        <v>160</v>
      </c>
      <c r="S942" t="s">
        <v>171</v>
      </c>
      <c r="T942" t="str">
        <f t="shared" si="103"/>
        <v/>
      </c>
      <c r="U942" t="str">
        <f>IF(AND(L942="Para Programar",G942&gt;0),COUNTIFS($L$5:L942,"Para Programar",$G$5:G942,"&gt;0"),"")</f>
        <v/>
      </c>
      <c r="W942" t="str">
        <f t="shared" si="104"/>
        <v>N37 - N38|02 Excavación - Zanja principal</v>
      </c>
      <c r="X942">
        <v>0</v>
      </c>
    </row>
    <row r="943" spans="1:24">
      <c r="A943" t="s">
        <v>73</v>
      </c>
      <c r="B943" s="14" t="s">
        <v>177</v>
      </c>
      <c r="C943" t="s">
        <v>74</v>
      </c>
      <c r="D943" s="13" t="s">
        <v>67</v>
      </c>
      <c r="E943" s="13">
        <v>135</v>
      </c>
      <c r="F943" s="13">
        <f>IF(E943="","",MIN(E943,$X943+SUMIFS('05_Parte_Diario'!$H$5:$H$204,'05_Parte_Diario'!$D$5:$D$204,B943,'05_Parte_Diario'!$E$5:$E$204,C943)))</f>
        <v>0</v>
      </c>
      <c r="G943" s="13">
        <f t="shared" si="98"/>
        <v>135</v>
      </c>
      <c r="H943" s="21">
        <f t="shared" si="99"/>
        <v>0</v>
      </c>
      <c r="I943" s="21">
        <f>IF(OR(B943="",C943="",$V$1=""),"",MIN(E943,SUMIFS('03_Planificacion'!$G$99:$G$178,'03_Planificacion'!$E$99:$E$178,B943,'03_Planificacion'!$F$99:$F$178,C943,'03_Planificacion'!$D$99:$D$178,"&lt;="&amp;$V$1)))</f>
        <v>0</v>
      </c>
      <c r="J943" s="21">
        <f t="shared" si="100"/>
        <v>0</v>
      </c>
      <c r="K943" s="6">
        <f t="shared" si="101"/>
        <v>0</v>
      </c>
      <c r="L943" t="s">
        <v>68</v>
      </c>
      <c r="P943" s="5">
        <f t="shared" si="102"/>
        <v>46287</v>
      </c>
      <c r="Q943" t="s">
        <v>170</v>
      </c>
      <c r="R943">
        <v>160</v>
      </c>
      <c r="S943" t="s">
        <v>171</v>
      </c>
      <c r="T943" t="str">
        <f t="shared" si="103"/>
        <v/>
      </c>
      <c r="U943" t="str">
        <f>IF(AND(L943="Para Programar",G943&gt;0),COUNTIFS($L$5:L943,"Para Programar",$G$5:G943,"&gt;0"),"")</f>
        <v/>
      </c>
      <c r="W943" t="str">
        <f t="shared" si="104"/>
        <v>N37 - N38|03 Base de asiento - Nivelación de fondo de zanja</v>
      </c>
      <c r="X943">
        <v>0</v>
      </c>
    </row>
    <row r="944" spans="1:24">
      <c r="A944" t="s">
        <v>75</v>
      </c>
      <c r="B944" s="14" t="s">
        <v>177</v>
      </c>
      <c r="C944" t="s">
        <v>76</v>
      </c>
      <c r="D944" s="13" t="s">
        <v>67</v>
      </c>
      <c r="E944" s="13">
        <v>135</v>
      </c>
      <c r="F944" s="13">
        <f>IF(E944="","",MIN(E944,$X944+SUMIFS('05_Parte_Diario'!$H$5:$H$204,'05_Parte_Diario'!$D$5:$D$204,B944,'05_Parte_Diario'!$E$5:$E$204,C944)))</f>
        <v>0</v>
      </c>
      <c r="G944" s="13">
        <f t="shared" si="98"/>
        <v>135</v>
      </c>
      <c r="H944" s="21">
        <f t="shared" si="99"/>
        <v>0</v>
      </c>
      <c r="I944" s="21">
        <f>IF(OR(B944="",C944="",$V$1=""),"",MIN(E944,SUMIFS('03_Planificacion'!$G$99:$G$178,'03_Planificacion'!$E$99:$E$178,B944,'03_Planificacion'!$F$99:$F$178,C944,'03_Planificacion'!$D$99:$D$178,"&lt;="&amp;$V$1)))</f>
        <v>0</v>
      </c>
      <c r="J944" s="21">
        <f t="shared" si="100"/>
        <v>0</v>
      </c>
      <c r="K944" s="6">
        <f t="shared" si="101"/>
        <v>0</v>
      </c>
      <c r="L944" t="s">
        <v>68</v>
      </c>
      <c r="P944" s="5">
        <f t="shared" si="102"/>
        <v>46287</v>
      </c>
      <c r="Q944" t="s">
        <v>170</v>
      </c>
      <c r="R944">
        <v>160</v>
      </c>
      <c r="S944" t="s">
        <v>171</v>
      </c>
      <c r="T944" t="str">
        <f t="shared" si="103"/>
        <v/>
      </c>
      <c r="U944" t="str">
        <f>IF(AND(L944="Para Programar",G944&gt;0),COUNTIFS($L$5:L944,"Para Programar",$G$5:G944,"&gt;0"),"")</f>
        <v/>
      </c>
      <c r="W944" t="str">
        <f t="shared" si="104"/>
        <v>N37 - N38|03 Base de asiento - Aporte de material base e=0,10 m</v>
      </c>
      <c r="X944">
        <v>0</v>
      </c>
    </row>
    <row r="945" spans="1:24">
      <c r="A945" t="s">
        <v>77</v>
      </c>
      <c r="B945" s="14" t="s">
        <v>177</v>
      </c>
      <c r="C945" t="s">
        <v>78</v>
      </c>
      <c r="D945" s="13" t="s">
        <v>67</v>
      </c>
      <c r="E945" s="13">
        <v>135</v>
      </c>
      <c r="F945" s="13">
        <f>IF(E945="","",MIN(E945,$X945+SUMIFS('05_Parte_Diario'!$H$5:$H$204,'05_Parte_Diario'!$D$5:$D$204,B945,'05_Parte_Diario'!$E$5:$E$204,C945)))</f>
        <v>0</v>
      </c>
      <c r="G945" s="13">
        <f t="shared" si="98"/>
        <v>135</v>
      </c>
      <c r="H945" s="21">
        <f t="shared" si="99"/>
        <v>0</v>
      </c>
      <c r="I945" s="21">
        <f>IF(OR(B945="",C945="",$V$1=""),"",MIN(E945,SUMIFS('03_Planificacion'!$G$99:$G$178,'03_Planificacion'!$E$99:$E$178,B945,'03_Planificacion'!$F$99:$F$178,C945,'03_Planificacion'!$D$99:$D$178,"&lt;="&amp;$V$1)))</f>
        <v>0</v>
      </c>
      <c r="J945" s="21">
        <f t="shared" si="100"/>
        <v>0</v>
      </c>
      <c r="K945" s="6">
        <f t="shared" si="101"/>
        <v>0</v>
      </c>
      <c r="L945" t="s">
        <v>68</v>
      </c>
      <c r="P945" s="5">
        <f t="shared" si="102"/>
        <v>46287</v>
      </c>
      <c r="Q945" t="s">
        <v>170</v>
      </c>
      <c r="R945">
        <v>160</v>
      </c>
      <c r="S945" t="s">
        <v>171</v>
      </c>
      <c r="T945" t="str">
        <f t="shared" si="103"/>
        <v/>
      </c>
      <c r="U945" t="str">
        <f>IF(AND(L945="Para Programar",G945&gt;0),COUNTIFS($L$5:L945,"Para Programar",$G$5:G945,"&gt;0"),"")</f>
        <v/>
      </c>
      <c r="W945" t="str">
        <f t="shared" si="104"/>
        <v>N37 - N38|03 Base de asiento - Compactación</v>
      </c>
      <c r="X945">
        <v>0</v>
      </c>
    </row>
    <row r="946" spans="1:24">
      <c r="A946" t="s">
        <v>79</v>
      </c>
      <c r="B946" s="14" t="s">
        <v>177</v>
      </c>
      <c r="C946" t="s">
        <v>80</v>
      </c>
      <c r="D946" s="13" t="s">
        <v>81</v>
      </c>
      <c r="E946" s="13">
        <v>1</v>
      </c>
      <c r="F946" s="13">
        <f>IF(E946="","",MIN(E946,$X946+SUMIFS('05_Parte_Diario'!$H$5:$H$204,'05_Parte_Diario'!$D$5:$D$204,B946,'05_Parte_Diario'!$E$5:$E$204,C946)))</f>
        <v>0</v>
      </c>
      <c r="G946" s="13">
        <f t="shared" si="98"/>
        <v>1</v>
      </c>
      <c r="H946" s="21">
        <f t="shared" si="99"/>
        <v>0</v>
      </c>
      <c r="I946" s="21">
        <f>IF(OR(B946="",C946="",$V$1=""),"",MIN(E946,SUMIFS('03_Planificacion'!$G$99:$G$178,'03_Planificacion'!$E$99:$E$178,B946,'03_Planificacion'!$F$99:$F$178,C946,'03_Planificacion'!$D$99:$D$178,"&lt;="&amp;$V$1)))</f>
        <v>0</v>
      </c>
      <c r="J946" s="21">
        <f t="shared" si="100"/>
        <v>0</v>
      </c>
      <c r="K946" s="6">
        <f t="shared" si="101"/>
        <v>0</v>
      </c>
      <c r="L946" t="s">
        <v>68</v>
      </c>
      <c r="P946" s="5">
        <f t="shared" si="102"/>
        <v>46287</v>
      </c>
      <c r="Q946" t="s">
        <v>170</v>
      </c>
      <c r="R946">
        <v>160</v>
      </c>
      <c r="S946" t="s">
        <v>171</v>
      </c>
      <c r="T946" t="str">
        <f t="shared" si="103"/>
        <v/>
      </c>
      <c r="U946" t="str">
        <f>IF(AND(L946="Para Programar",G946&gt;0),COUNTIFS($L$5:L946,"Para Programar",$G$5:G946,"&gt;0"),"")</f>
        <v/>
      </c>
      <c r="W946" t="str">
        <f t="shared" si="104"/>
        <v>N37 - N38|04 Inspecciones previas - Laboratorio base de asiento</v>
      </c>
      <c r="X946">
        <v>0</v>
      </c>
    </row>
    <row r="947" spans="1:24">
      <c r="A947" t="s">
        <v>82</v>
      </c>
      <c r="B947" s="14" t="s">
        <v>177</v>
      </c>
      <c r="C947" t="s">
        <v>83</v>
      </c>
      <c r="D947" s="13" t="s">
        <v>81</v>
      </c>
      <c r="E947" s="13">
        <v>1</v>
      </c>
      <c r="F947" s="13">
        <f>IF(E947="","",MIN(E947,$X947+SUMIFS('05_Parte_Diario'!$H$5:$H$204,'05_Parte_Diario'!$D$5:$D$204,B947,'05_Parte_Diario'!$E$5:$E$204,C947)))</f>
        <v>0</v>
      </c>
      <c r="G947" s="13">
        <f t="shared" si="98"/>
        <v>1</v>
      </c>
      <c r="H947" s="21">
        <f t="shared" si="99"/>
        <v>0</v>
      </c>
      <c r="I947" s="21">
        <f>IF(OR(B947="",C947="",$V$1=""),"",MIN(E947,SUMIFS('03_Planificacion'!$G$99:$G$178,'03_Planificacion'!$E$99:$E$178,B947,'03_Planificacion'!$F$99:$F$178,C947,'03_Planificacion'!$D$99:$D$178,"&lt;="&amp;$V$1)))</f>
        <v>0</v>
      </c>
      <c r="J947" s="21">
        <f t="shared" si="100"/>
        <v>0</v>
      </c>
      <c r="K947" s="6">
        <f t="shared" si="101"/>
        <v>0</v>
      </c>
      <c r="L947" t="s">
        <v>68</v>
      </c>
      <c r="P947" s="5">
        <f t="shared" si="102"/>
        <v>46287</v>
      </c>
      <c r="Q947" t="s">
        <v>170</v>
      </c>
      <c r="R947">
        <v>160</v>
      </c>
      <c r="S947" t="s">
        <v>171</v>
      </c>
      <c r="T947" t="str">
        <f t="shared" si="103"/>
        <v/>
      </c>
      <c r="U947" t="str">
        <f>IF(AND(L947="Para Programar",G947&gt;0),COUNTIFS($L$5:L947,"Para Programar",$G$5:G947,"&gt;0"),"")</f>
        <v/>
      </c>
      <c r="W947" t="str">
        <f t="shared" si="104"/>
        <v>N37 - N38|04 Inspecciones previas - Zanja y materiales</v>
      </c>
      <c r="X947">
        <v>0</v>
      </c>
    </row>
    <row r="948" spans="1:24">
      <c r="A948" t="s">
        <v>84</v>
      </c>
      <c r="B948" s="14" t="s">
        <v>177</v>
      </c>
      <c r="C948" t="s">
        <v>85</v>
      </c>
      <c r="D948" s="13" t="s">
        <v>67</v>
      </c>
      <c r="E948" s="13">
        <v>135</v>
      </c>
      <c r="F948" s="13">
        <f>IF(E948="","",MIN(E948,$X948+SUMIFS('05_Parte_Diario'!$H$5:$H$204,'05_Parte_Diario'!$D$5:$D$204,B948,'05_Parte_Diario'!$E$5:$E$204,C948)))</f>
        <v>0</v>
      </c>
      <c r="G948" s="13">
        <f t="shared" si="98"/>
        <v>135</v>
      </c>
      <c r="H948" s="21">
        <f t="shared" si="99"/>
        <v>0</v>
      </c>
      <c r="I948" s="21">
        <f>IF(OR(B948="",C948="",$V$1=""),"",MIN(E948,SUMIFS('03_Planificacion'!$G$99:$G$178,'03_Planificacion'!$E$99:$E$178,B948,'03_Planificacion'!$F$99:$F$178,C948,'03_Planificacion'!$D$99:$D$178,"&lt;="&amp;$V$1)))</f>
        <v>0</v>
      </c>
      <c r="J948" s="21">
        <f t="shared" si="100"/>
        <v>0</v>
      </c>
      <c r="K948" s="6">
        <f t="shared" si="101"/>
        <v>0</v>
      </c>
      <c r="L948" t="s">
        <v>68</v>
      </c>
      <c r="P948" s="5">
        <f t="shared" si="102"/>
        <v>46287</v>
      </c>
      <c r="Q948" t="s">
        <v>170</v>
      </c>
      <c r="R948">
        <v>160</v>
      </c>
      <c r="S948" t="s">
        <v>171</v>
      </c>
      <c r="T948" t="str">
        <f t="shared" si="103"/>
        <v/>
      </c>
      <c r="U948" t="str">
        <f>IF(AND(L948="Para Programar",G948&gt;0),COUNTIFS($L$5:L948,"Para Programar",$G$5:G948,"&gt;0"),"")</f>
        <v/>
      </c>
      <c r="W948" t="str">
        <f t="shared" si="104"/>
        <v>N37 - N38|05 Tendido de cañería - Cañería principal</v>
      </c>
      <c r="X948">
        <v>0</v>
      </c>
    </row>
    <row r="949" spans="1:24">
      <c r="A949" t="s">
        <v>86</v>
      </c>
      <c r="B949" s="14" t="s">
        <v>177</v>
      </c>
      <c r="C949" t="s">
        <v>87</v>
      </c>
      <c r="D949" s="13" t="s">
        <v>67</v>
      </c>
      <c r="E949" s="13">
        <v>135</v>
      </c>
      <c r="F949" s="13">
        <f>IF(E949="","",MIN(E949,$X949+SUMIFS('05_Parte_Diario'!$H$5:$H$204,'05_Parte_Diario'!$D$5:$D$204,B949,'05_Parte_Diario'!$E$5:$E$204,C949)))</f>
        <v>0</v>
      </c>
      <c r="G949" s="13">
        <f t="shared" si="98"/>
        <v>135</v>
      </c>
      <c r="H949" s="21">
        <f t="shared" si="99"/>
        <v>0</v>
      </c>
      <c r="I949" s="21">
        <f>IF(OR(B949="",C949="",$V$1=""),"",MIN(E949,SUMIFS('03_Planificacion'!$G$99:$G$178,'03_Planificacion'!$E$99:$E$178,B949,'03_Planificacion'!$F$99:$F$178,C949,'03_Planificacion'!$D$99:$D$178,"&lt;="&amp;$V$1)))</f>
        <v>0</v>
      </c>
      <c r="J949" s="21">
        <f t="shared" si="100"/>
        <v>0</v>
      </c>
      <c r="K949" s="6">
        <f t="shared" si="101"/>
        <v>0</v>
      </c>
      <c r="L949" t="s">
        <v>68</v>
      </c>
      <c r="P949" s="5">
        <f t="shared" si="102"/>
        <v>46287</v>
      </c>
      <c r="Q949" t="s">
        <v>170</v>
      </c>
      <c r="R949">
        <v>160</v>
      </c>
      <c r="S949" t="s">
        <v>171</v>
      </c>
      <c r="T949" t="str">
        <f t="shared" si="103"/>
        <v/>
      </c>
      <c r="U949" t="str">
        <f>IF(AND(L949="Para Programar",G949&gt;0),COUNTIFS($L$5:L949,"Para Programar",$G$5:G949,"&gt;0"),"")</f>
        <v/>
      </c>
      <c r="W949" t="str">
        <f t="shared" si="104"/>
        <v>N37 - N38|05 Tendido de cañería - Relevamiento planialtimétrico</v>
      </c>
      <c r="X949">
        <v>0</v>
      </c>
    </row>
    <row r="950" spans="1:24">
      <c r="A950" t="s">
        <v>88</v>
      </c>
      <c r="B950" s="14" t="s">
        <v>177</v>
      </c>
      <c r="C950" t="s">
        <v>89</v>
      </c>
      <c r="D950" s="13" t="s">
        <v>81</v>
      </c>
      <c r="E950" s="13">
        <v>1</v>
      </c>
      <c r="F950" s="13">
        <f>IF(E950="","",MIN(E950,$X950+SUMIFS('05_Parte_Diario'!$H$5:$H$204,'05_Parte_Diario'!$D$5:$D$204,B950,'05_Parte_Diario'!$E$5:$E$204,C950)))</f>
        <v>0</v>
      </c>
      <c r="G950" s="13">
        <f t="shared" si="98"/>
        <v>1</v>
      </c>
      <c r="H950" s="21">
        <f t="shared" si="99"/>
        <v>0</v>
      </c>
      <c r="I950" s="21">
        <f>IF(OR(B950="",C950="",$V$1=""),"",MIN(E950,SUMIFS('03_Planificacion'!$G$99:$G$178,'03_Planificacion'!$E$99:$E$178,B950,'03_Planificacion'!$F$99:$F$178,C950,'03_Planificacion'!$D$99:$D$178,"&lt;="&amp;$V$1)))</f>
        <v>0</v>
      </c>
      <c r="J950" s="21">
        <f t="shared" si="100"/>
        <v>0</v>
      </c>
      <c r="K950" s="6">
        <f t="shared" si="101"/>
        <v>0</v>
      </c>
      <c r="L950" t="s">
        <v>68</v>
      </c>
      <c r="P950" s="5">
        <f t="shared" si="102"/>
        <v>46287</v>
      </c>
      <c r="Q950" t="s">
        <v>170</v>
      </c>
      <c r="R950">
        <v>160</v>
      </c>
      <c r="S950" t="s">
        <v>171</v>
      </c>
      <c r="T950" t="str">
        <f t="shared" si="103"/>
        <v/>
      </c>
      <c r="U950" t="str">
        <f>IF(AND(L950="Para Programar",G950&gt;0),COUNTIFS($L$5:L950,"Para Programar",$G$5:G950,"&gt;0"),"")</f>
        <v/>
      </c>
      <c r="W950" t="str">
        <f t="shared" si="104"/>
        <v>N37 - N38|08 Prueba hidráulica - Preparación del sistema</v>
      </c>
      <c r="X950">
        <v>0</v>
      </c>
    </row>
    <row r="951" spans="1:24">
      <c r="A951" t="s">
        <v>90</v>
      </c>
      <c r="B951" s="14" t="s">
        <v>177</v>
      </c>
      <c r="C951" t="s">
        <v>91</v>
      </c>
      <c r="D951" s="13" t="s">
        <v>81</v>
      </c>
      <c r="E951" s="13">
        <v>1</v>
      </c>
      <c r="F951" s="13">
        <f>IF(E951="","",MIN(E951,$X951+SUMIFS('05_Parte_Diario'!$H$5:$H$204,'05_Parte_Diario'!$D$5:$D$204,B951,'05_Parte_Diario'!$E$5:$E$204,C951)))</f>
        <v>0</v>
      </c>
      <c r="G951" s="13">
        <f t="shared" si="98"/>
        <v>1</v>
      </c>
      <c r="H951" s="21">
        <f t="shared" si="99"/>
        <v>0</v>
      </c>
      <c r="I951" s="21">
        <f>IF(OR(B951="",C951="",$V$1=""),"",MIN(E951,SUMIFS('03_Planificacion'!$G$99:$G$178,'03_Planificacion'!$E$99:$E$178,B951,'03_Planificacion'!$F$99:$F$178,C951,'03_Planificacion'!$D$99:$D$178,"&lt;="&amp;$V$1)))</f>
        <v>0</v>
      </c>
      <c r="J951" s="21">
        <f t="shared" si="100"/>
        <v>0</v>
      </c>
      <c r="K951" s="6">
        <f t="shared" si="101"/>
        <v>0</v>
      </c>
      <c r="L951" t="s">
        <v>68</v>
      </c>
      <c r="P951" s="5">
        <f t="shared" si="102"/>
        <v>46287</v>
      </c>
      <c r="Q951" t="s">
        <v>170</v>
      </c>
      <c r="R951">
        <v>160</v>
      </c>
      <c r="S951" t="s">
        <v>171</v>
      </c>
      <c r="T951" t="str">
        <f t="shared" si="103"/>
        <v/>
      </c>
      <c r="U951" t="str">
        <f>IF(AND(L951="Para Programar",G951&gt;0),COUNTIFS($L$5:L951,"Para Programar",$G$5:G951,"&gt;0"),"")</f>
        <v/>
      </c>
      <c r="W951" t="str">
        <f t="shared" si="104"/>
        <v>N37 - N38|08 Prueba hidráulica - Interna N° 1</v>
      </c>
      <c r="X951">
        <v>0</v>
      </c>
    </row>
    <row r="952" spans="1:24">
      <c r="A952" t="s">
        <v>92</v>
      </c>
      <c r="B952" s="14" t="s">
        <v>177</v>
      </c>
      <c r="C952" t="s">
        <v>93</v>
      </c>
      <c r="D952" s="13" t="s">
        <v>81</v>
      </c>
      <c r="E952" s="13">
        <v>1</v>
      </c>
      <c r="F952" s="13">
        <f>IF(E952="","",MIN(E952,$X952+SUMIFS('05_Parte_Diario'!$H$5:$H$204,'05_Parte_Diario'!$D$5:$D$204,B952,'05_Parte_Diario'!$E$5:$E$204,C952)))</f>
        <v>0</v>
      </c>
      <c r="G952" s="13">
        <f t="shared" si="98"/>
        <v>1</v>
      </c>
      <c r="H952" s="21">
        <f t="shared" si="99"/>
        <v>0</v>
      </c>
      <c r="I952" s="21">
        <f>IF(OR(B952="",C952="",$V$1=""),"",MIN(E952,SUMIFS('03_Planificacion'!$G$99:$G$178,'03_Planificacion'!$E$99:$E$178,B952,'03_Planificacion'!$F$99:$F$178,C952,'03_Planificacion'!$D$99:$D$178,"&lt;="&amp;$V$1)))</f>
        <v>0</v>
      </c>
      <c r="J952" s="21">
        <f t="shared" si="100"/>
        <v>0</v>
      </c>
      <c r="K952" s="6">
        <f t="shared" si="101"/>
        <v>0</v>
      </c>
      <c r="L952" t="s">
        <v>68</v>
      </c>
      <c r="P952" s="5">
        <f t="shared" si="102"/>
        <v>46287</v>
      </c>
      <c r="Q952" t="s">
        <v>170</v>
      </c>
      <c r="R952">
        <v>160</v>
      </c>
      <c r="S952" t="s">
        <v>171</v>
      </c>
      <c r="T952" t="str">
        <f t="shared" si="103"/>
        <v/>
      </c>
      <c r="U952" t="str">
        <f>IF(AND(L952="Para Programar",G952&gt;0),COUNTIFS($L$5:L952,"Para Programar",$G$5:G952,"&gt;0"),"")</f>
        <v/>
      </c>
      <c r="W952" t="str">
        <f t="shared" si="104"/>
        <v>N37 - N38|08 Prueba hidráulica - Interna N° 2</v>
      </c>
      <c r="X952">
        <v>0</v>
      </c>
    </row>
    <row r="953" spans="1:24">
      <c r="A953" t="s">
        <v>94</v>
      </c>
      <c r="B953" s="14" t="s">
        <v>177</v>
      </c>
      <c r="C953" t="s">
        <v>95</v>
      </c>
      <c r="D953" s="13" t="s">
        <v>81</v>
      </c>
      <c r="E953" s="13">
        <v>1</v>
      </c>
      <c r="F953" s="13">
        <f>IF(E953="","",MIN(E953,$X953+SUMIFS('05_Parte_Diario'!$H$5:$H$204,'05_Parte_Diario'!$D$5:$D$204,B953,'05_Parte_Diario'!$E$5:$E$204,C953)))</f>
        <v>0</v>
      </c>
      <c r="G953" s="13">
        <f t="shared" si="98"/>
        <v>1</v>
      </c>
      <c r="H953" s="21">
        <f t="shared" si="99"/>
        <v>0</v>
      </c>
      <c r="I953" s="21">
        <f>IF(OR(B953="",C953="",$V$1=""),"",MIN(E953,SUMIFS('03_Planificacion'!$G$99:$G$178,'03_Planificacion'!$E$99:$E$178,B953,'03_Planificacion'!$F$99:$F$178,C953,'03_Planificacion'!$D$99:$D$178,"&lt;="&amp;$V$1)))</f>
        <v>0</v>
      </c>
      <c r="J953" s="21">
        <f t="shared" si="100"/>
        <v>0</v>
      </c>
      <c r="K953" s="6">
        <f t="shared" si="101"/>
        <v>0</v>
      </c>
      <c r="L953" t="s">
        <v>68</v>
      </c>
      <c r="P953" s="5">
        <f t="shared" si="102"/>
        <v>46287</v>
      </c>
      <c r="Q953" t="s">
        <v>170</v>
      </c>
      <c r="R953">
        <v>160</v>
      </c>
      <c r="S953" t="s">
        <v>171</v>
      </c>
      <c r="T953" t="str">
        <f t="shared" si="103"/>
        <v/>
      </c>
      <c r="U953" t="str">
        <f>IF(AND(L953="Para Programar",G953&gt;0),COUNTIFS($L$5:L953,"Para Programar",$G$5:G953,"&gt;0"),"")</f>
        <v/>
      </c>
      <c r="W953" t="str">
        <f t="shared" si="104"/>
        <v>N37 - N38|08 Prueba hidráulica - Primera prueba oficial</v>
      </c>
      <c r="X953">
        <v>0</v>
      </c>
    </row>
    <row r="954" spans="1:24">
      <c r="A954" t="s">
        <v>96</v>
      </c>
      <c r="B954" s="14" t="s">
        <v>177</v>
      </c>
      <c r="C954" t="s">
        <v>97</v>
      </c>
      <c r="D954" s="13" t="s">
        <v>67</v>
      </c>
      <c r="E954" s="13">
        <v>135</v>
      </c>
      <c r="F954" s="13">
        <f>IF(E954="","",MIN(E954,$X954+SUMIFS('05_Parte_Diario'!$H$5:$H$204,'05_Parte_Diario'!$D$5:$D$204,B954,'05_Parte_Diario'!$E$5:$E$204,C954)))</f>
        <v>0</v>
      </c>
      <c r="G954" s="13">
        <f t="shared" si="98"/>
        <v>135</v>
      </c>
      <c r="H954" s="21">
        <f t="shared" si="99"/>
        <v>0</v>
      </c>
      <c r="I954" s="21">
        <f>IF(OR(B954="",C954="",$V$1=""),"",MIN(E954,SUMIFS('03_Planificacion'!$G$99:$G$178,'03_Planificacion'!$E$99:$E$178,B954,'03_Planificacion'!$F$99:$F$178,C954,'03_Planificacion'!$D$99:$D$178,"&lt;="&amp;$V$1)))</f>
        <v>0</v>
      </c>
      <c r="J954" s="21">
        <f t="shared" si="100"/>
        <v>0</v>
      </c>
      <c r="K954" s="6">
        <f t="shared" si="101"/>
        <v>0</v>
      </c>
      <c r="L954" t="s">
        <v>68</v>
      </c>
      <c r="P954" s="5">
        <f t="shared" si="102"/>
        <v>46287</v>
      </c>
      <c r="Q954" t="s">
        <v>170</v>
      </c>
      <c r="R954">
        <v>160</v>
      </c>
      <c r="S954" t="s">
        <v>171</v>
      </c>
      <c r="T954" t="str">
        <f t="shared" si="103"/>
        <v/>
      </c>
      <c r="U954" t="str">
        <f>IF(AND(L954="Para Programar",G954&gt;0),COUNTIFS($L$5:L954,"Para Programar",$G$5:G954,"&gt;0"),"")</f>
        <v/>
      </c>
      <c r="W954" t="str">
        <f t="shared" si="104"/>
        <v>N37 - N38|09 Paquete estructural - Aporte e=0,30 m</v>
      </c>
      <c r="X954">
        <v>0</v>
      </c>
    </row>
    <row r="955" spans="1:24">
      <c r="A955" t="s">
        <v>98</v>
      </c>
      <c r="B955" s="14" t="s">
        <v>177</v>
      </c>
      <c r="C955" t="s">
        <v>99</v>
      </c>
      <c r="D955" s="13" t="s">
        <v>67</v>
      </c>
      <c r="E955" s="13">
        <v>135</v>
      </c>
      <c r="F955" s="13">
        <f>IF(E955="","",MIN(E955,$X955+SUMIFS('05_Parte_Diario'!$H$5:$H$204,'05_Parte_Diario'!$D$5:$D$204,B955,'05_Parte_Diario'!$E$5:$E$204,C955)))</f>
        <v>0</v>
      </c>
      <c r="G955" s="13">
        <f t="shared" si="98"/>
        <v>135</v>
      </c>
      <c r="H955" s="21">
        <f t="shared" si="99"/>
        <v>0</v>
      </c>
      <c r="I955" s="21">
        <f>IF(OR(B955="",C955="",$V$1=""),"",MIN(E955,SUMIFS('03_Planificacion'!$G$99:$G$178,'03_Planificacion'!$E$99:$E$178,B955,'03_Planificacion'!$F$99:$F$178,C955,'03_Planificacion'!$D$99:$D$178,"&lt;="&amp;$V$1)))</f>
        <v>0</v>
      </c>
      <c r="J955" s="21">
        <f t="shared" si="100"/>
        <v>0</v>
      </c>
      <c r="K955" s="6">
        <f t="shared" si="101"/>
        <v>0</v>
      </c>
      <c r="L955" t="s">
        <v>68</v>
      </c>
      <c r="P955" s="5">
        <f t="shared" si="102"/>
        <v>46287</v>
      </c>
      <c r="Q955" t="s">
        <v>170</v>
      </c>
      <c r="R955">
        <v>160</v>
      </c>
      <c r="S955" t="s">
        <v>171</v>
      </c>
      <c r="T955" t="str">
        <f t="shared" si="103"/>
        <v/>
      </c>
      <c r="U955" t="str">
        <f>IF(AND(L955="Para Programar",G955&gt;0),COUNTIFS($L$5:L955,"Para Programar",$G$5:G955,"&gt;0"),"")</f>
        <v/>
      </c>
      <c r="W955" t="str">
        <f t="shared" si="104"/>
        <v>N37 - N38|09 Paquete estructural - Compactación</v>
      </c>
      <c r="X955">
        <v>0</v>
      </c>
    </row>
    <row r="956" spans="1:24">
      <c r="A956" t="s">
        <v>100</v>
      </c>
      <c r="B956" s="14" t="s">
        <v>177</v>
      </c>
      <c r="C956" t="s">
        <v>101</v>
      </c>
      <c r="D956" s="13" t="s">
        <v>81</v>
      </c>
      <c r="E956" s="13">
        <v>1</v>
      </c>
      <c r="F956" s="13">
        <f>IF(E956="","",MIN(E956,$X956+SUMIFS('05_Parte_Diario'!$H$5:$H$204,'05_Parte_Diario'!$D$5:$D$204,B956,'05_Parte_Diario'!$E$5:$E$204,C956)))</f>
        <v>0</v>
      </c>
      <c r="G956" s="13">
        <f t="shared" si="98"/>
        <v>1</v>
      </c>
      <c r="H956" s="21">
        <f t="shared" si="99"/>
        <v>0</v>
      </c>
      <c r="I956" s="21">
        <f>IF(OR(B956="",C956="",$V$1=""),"",MIN(E956,SUMIFS('03_Planificacion'!$G$99:$G$178,'03_Planificacion'!$E$99:$E$178,B956,'03_Planificacion'!$F$99:$F$178,C956,'03_Planificacion'!$D$99:$D$178,"&lt;="&amp;$V$1)))</f>
        <v>0</v>
      </c>
      <c r="J956" s="21">
        <f t="shared" si="100"/>
        <v>0</v>
      </c>
      <c r="K956" s="6">
        <f t="shared" si="101"/>
        <v>0</v>
      </c>
      <c r="L956" t="s">
        <v>68</v>
      </c>
      <c r="P956" s="5">
        <f t="shared" si="102"/>
        <v>46287</v>
      </c>
      <c r="Q956" t="s">
        <v>170</v>
      </c>
      <c r="R956">
        <v>160</v>
      </c>
      <c r="S956" t="s">
        <v>171</v>
      </c>
      <c r="T956" t="str">
        <f t="shared" si="103"/>
        <v/>
      </c>
      <c r="U956" t="str">
        <f>IF(AND(L956="Para Programar",G956&gt;0),COUNTIFS($L$5:L956,"Para Programar",$G$5:G956,"&gt;0"),"")</f>
        <v/>
      </c>
      <c r="W956" t="str">
        <f t="shared" si="104"/>
        <v>N37 - N38|09 Paquete estructural - Inspección laboratorio</v>
      </c>
      <c r="X956">
        <v>0</v>
      </c>
    </row>
    <row r="957" spans="1:24">
      <c r="A957" t="s">
        <v>102</v>
      </c>
      <c r="B957" s="14" t="s">
        <v>177</v>
      </c>
      <c r="C957" t="s">
        <v>103</v>
      </c>
      <c r="D957" s="13" t="s">
        <v>67</v>
      </c>
      <c r="E957" s="13">
        <v>135</v>
      </c>
      <c r="F957" s="13">
        <f>IF(E957="","",MIN(E957,$X957+SUMIFS('05_Parte_Diario'!$H$5:$H$204,'05_Parte_Diario'!$D$5:$D$204,B957,'05_Parte_Diario'!$E$5:$E$204,C957)))</f>
        <v>0</v>
      </c>
      <c r="G957" s="13">
        <f t="shared" si="98"/>
        <v>135</v>
      </c>
      <c r="H957" s="21">
        <f t="shared" si="99"/>
        <v>0</v>
      </c>
      <c r="I957" s="21">
        <f>IF(OR(B957="",C957="",$V$1=""),"",MIN(E957,SUMIFS('03_Planificacion'!$G$99:$G$178,'03_Planificacion'!$E$99:$E$178,B957,'03_Planificacion'!$F$99:$F$178,C957,'03_Planificacion'!$D$99:$D$178,"&lt;="&amp;$V$1)))</f>
        <v>0</v>
      </c>
      <c r="J957" s="21">
        <f t="shared" si="100"/>
        <v>0</v>
      </c>
      <c r="K957" s="6">
        <f t="shared" si="101"/>
        <v>0</v>
      </c>
      <c r="L957" t="s">
        <v>68</v>
      </c>
      <c r="P957" s="5">
        <f t="shared" si="102"/>
        <v>46287</v>
      </c>
      <c r="Q957" t="s">
        <v>170</v>
      </c>
      <c r="R957">
        <v>160</v>
      </c>
      <c r="S957" t="s">
        <v>171</v>
      </c>
      <c r="T957" t="str">
        <f t="shared" si="103"/>
        <v/>
      </c>
      <c r="U957" t="str">
        <f>IF(AND(L957="Para Programar",G957&gt;0),COUNTIFS($L$5:L957,"Para Programar",$G$5:G957,"&gt;0"),"")</f>
        <v/>
      </c>
      <c r="W957" t="str">
        <f t="shared" si="104"/>
        <v>N37 - N38|10 Relleno -0,60 - Conformación de capa</v>
      </c>
      <c r="X957">
        <v>0</v>
      </c>
    </row>
    <row r="958" spans="1:24">
      <c r="A958" t="s">
        <v>104</v>
      </c>
      <c r="B958" s="14" t="s">
        <v>177</v>
      </c>
      <c r="C958" t="s">
        <v>105</v>
      </c>
      <c r="D958" s="13" t="s">
        <v>67</v>
      </c>
      <c r="E958" s="13">
        <v>135</v>
      </c>
      <c r="F958" s="13">
        <f>IF(E958="","",MIN(E958,$X958+SUMIFS('05_Parte_Diario'!$H$5:$H$204,'05_Parte_Diario'!$D$5:$D$204,B958,'05_Parte_Diario'!$E$5:$E$204,C958)))</f>
        <v>0</v>
      </c>
      <c r="G958" s="13">
        <f t="shared" si="98"/>
        <v>135</v>
      </c>
      <c r="H958" s="21">
        <f t="shared" si="99"/>
        <v>0</v>
      </c>
      <c r="I958" s="21">
        <f>IF(OR(B958="",C958="",$V$1=""),"",MIN(E958,SUMIFS('03_Planificacion'!$G$99:$G$178,'03_Planificacion'!$E$99:$E$178,B958,'03_Planificacion'!$F$99:$F$178,C958,'03_Planificacion'!$D$99:$D$178,"&lt;="&amp;$V$1)))</f>
        <v>0</v>
      </c>
      <c r="J958" s="21">
        <f t="shared" si="100"/>
        <v>0</v>
      </c>
      <c r="K958" s="6">
        <f t="shared" si="101"/>
        <v>0</v>
      </c>
      <c r="L958" t="s">
        <v>68</v>
      </c>
      <c r="P958" s="5">
        <f t="shared" si="102"/>
        <v>46287</v>
      </c>
      <c r="Q958" t="s">
        <v>170</v>
      </c>
      <c r="R958">
        <v>160</v>
      </c>
      <c r="S958" t="s">
        <v>171</v>
      </c>
      <c r="T958" t="str">
        <f t="shared" si="103"/>
        <v/>
      </c>
      <c r="U958" t="str">
        <f>IF(AND(L958="Para Programar",G958&gt;0),COUNTIFS($L$5:L958,"Para Programar",$G$5:G958,"&gt;0"),"")</f>
        <v/>
      </c>
      <c r="W958" t="str">
        <f t="shared" si="104"/>
        <v>N37 - N38|10 Relleno -0,60 - Humectación</v>
      </c>
      <c r="X958">
        <v>0</v>
      </c>
    </row>
    <row r="959" spans="1:24">
      <c r="A959" t="s">
        <v>106</v>
      </c>
      <c r="B959" s="14" t="s">
        <v>177</v>
      </c>
      <c r="C959" t="s">
        <v>107</v>
      </c>
      <c r="D959" s="13" t="s">
        <v>67</v>
      </c>
      <c r="E959" s="13">
        <v>135</v>
      </c>
      <c r="F959" s="13">
        <f>IF(E959="","",MIN(E959,$X959+SUMIFS('05_Parte_Diario'!$H$5:$H$204,'05_Parte_Diario'!$D$5:$D$204,B959,'05_Parte_Diario'!$E$5:$E$204,C959)))</f>
        <v>0</v>
      </c>
      <c r="G959" s="13">
        <f t="shared" si="98"/>
        <v>135</v>
      </c>
      <c r="H959" s="21">
        <f t="shared" si="99"/>
        <v>0</v>
      </c>
      <c r="I959" s="21">
        <f>IF(OR(B959="",C959="",$V$1=""),"",MIN(E959,SUMIFS('03_Planificacion'!$G$99:$G$178,'03_Planificacion'!$E$99:$E$178,B959,'03_Planificacion'!$F$99:$F$178,C959,'03_Planificacion'!$D$99:$D$178,"&lt;="&amp;$V$1)))</f>
        <v>0</v>
      </c>
      <c r="J959" s="21">
        <f t="shared" si="100"/>
        <v>0</v>
      </c>
      <c r="K959" s="6">
        <f t="shared" si="101"/>
        <v>0</v>
      </c>
      <c r="L959" t="s">
        <v>68</v>
      </c>
      <c r="P959" s="5">
        <f t="shared" si="102"/>
        <v>46287</v>
      </c>
      <c r="Q959" t="s">
        <v>170</v>
      </c>
      <c r="R959">
        <v>160</v>
      </c>
      <c r="S959" t="s">
        <v>171</v>
      </c>
      <c r="T959" t="str">
        <f t="shared" si="103"/>
        <v/>
      </c>
      <c r="U959" t="str">
        <f>IF(AND(L959="Para Programar",G959&gt;0),COUNTIFS($L$5:L959,"Para Programar",$G$5:G959,"&gt;0"),"")</f>
        <v/>
      </c>
      <c r="W959" t="str">
        <f t="shared" si="104"/>
        <v>N37 - N38|10 Relleno -0,60 - Compactación</v>
      </c>
      <c r="X959">
        <v>0</v>
      </c>
    </row>
    <row r="960" spans="1:24">
      <c r="A960" t="s">
        <v>108</v>
      </c>
      <c r="B960" s="14" t="s">
        <v>177</v>
      </c>
      <c r="C960" t="s">
        <v>109</v>
      </c>
      <c r="D960" s="13" t="s">
        <v>81</v>
      </c>
      <c r="E960" s="13">
        <v>1</v>
      </c>
      <c r="F960" s="13">
        <f>IF(E960="","",MIN(E960,$X960+SUMIFS('05_Parte_Diario'!$H$5:$H$204,'05_Parte_Diario'!$D$5:$D$204,B960,'05_Parte_Diario'!$E$5:$E$204,C960)))</f>
        <v>0</v>
      </c>
      <c r="G960" s="13">
        <f t="shared" si="98"/>
        <v>1</v>
      </c>
      <c r="H960" s="21">
        <f t="shared" si="99"/>
        <v>0</v>
      </c>
      <c r="I960" s="21">
        <f>IF(OR(B960="",C960="",$V$1=""),"",MIN(E960,SUMIFS('03_Planificacion'!$G$99:$G$178,'03_Planificacion'!$E$99:$E$178,B960,'03_Planificacion'!$F$99:$F$178,C960,'03_Planificacion'!$D$99:$D$178,"&lt;="&amp;$V$1)))</f>
        <v>0</v>
      </c>
      <c r="J960" s="21">
        <f t="shared" si="100"/>
        <v>0</v>
      </c>
      <c r="K960" s="6">
        <f t="shared" si="101"/>
        <v>0</v>
      </c>
      <c r="L960" t="s">
        <v>68</v>
      </c>
      <c r="P960" s="5">
        <f t="shared" si="102"/>
        <v>46287</v>
      </c>
      <c r="Q960" t="s">
        <v>170</v>
      </c>
      <c r="R960">
        <v>160</v>
      </c>
      <c r="S960" t="s">
        <v>171</v>
      </c>
      <c r="T960" t="str">
        <f t="shared" si="103"/>
        <v/>
      </c>
      <c r="U960" t="str">
        <f>IF(AND(L960="Para Programar",G960&gt;0),COUNTIFS($L$5:L960,"Para Programar",$G$5:G960,"&gt;0"),"")</f>
        <v/>
      </c>
      <c r="W960" t="str">
        <f t="shared" si="104"/>
        <v>N37 - N38|10 Relleno -0,60 - Inspección laboratorio</v>
      </c>
      <c r="X960">
        <v>0</v>
      </c>
    </row>
    <row r="961" spans="1:24">
      <c r="A961" t="s">
        <v>110</v>
      </c>
      <c r="B961" s="14" t="s">
        <v>177</v>
      </c>
      <c r="C961" t="s">
        <v>111</v>
      </c>
      <c r="D961" s="13" t="s">
        <v>67</v>
      </c>
      <c r="E961" s="13">
        <v>135</v>
      </c>
      <c r="F961" s="13">
        <f>IF(E961="","",MIN(E961,$X961+SUMIFS('05_Parte_Diario'!$H$5:$H$204,'05_Parte_Diario'!$D$5:$D$204,B961,'05_Parte_Diario'!$E$5:$E$204,C961)))</f>
        <v>0</v>
      </c>
      <c r="G961" s="13">
        <f t="shared" si="98"/>
        <v>135</v>
      </c>
      <c r="H961" s="21">
        <f t="shared" si="99"/>
        <v>0</v>
      </c>
      <c r="I961" s="21">
        <f>IF(OR(B961="",C961="",$V$1=""),"",MIN(E961,SUMIFS('03_Planificacion'!$G$99:$G$178,'03_Planificacion'!$E$99:$E$178,B961,'03_Planificacion'!$F$99:$F$178,C961,'03_Planificacion'!$D$99:$D$178,"&lt;="&amp;$V$1)))</f>
        <v>0</v>
      </c>
      <c r="J961" s="21">
        <f t="shared" si="100"/>
        <v>0</v>
      </c>
      <c r="K961" s="6">
        <f t="shared" si="101"/>
        <v>0</v>
      </c>
      <c r="L961" t="s">
        <v>68</v>
      </c>
      <c r="P961" s="5">
        <f t="shared" si="102"/>
        <v>46287</v>
      </c>
      <c r="Q961" t="s">
        <v>170</v>
      </c>
      <c r="R961">
        <v>160</v>
      </c>
      <c r="S961" t="s">
        <v>171</v>
      </c>
      <c r="T961" t="str">
        <f t="shared" si="103"/>
        <v/>
      </c>
      <c r="U961" t="str">
        <f>IF(AND(L961="Para Programar",G961&gt;0),COUNTIFS($L$5:L961,"Para Programar",$G$5:G961,"&gt;0"),"")</f>
        <v/>
      </c>
      <c r="W961" t="str">
        <f t="shared" si="104"/>
        <v>N37 - N38|11 Relleno -0,30 - Conformación de capa</v>
      </c>
      <c r="X961">
        <v>0</v>
      </c>
    </row>
    <row r="962" spans="1:24">
      <c r="A962" t="s">
        <v>112</v>
      </c>
      <c r="B962" s="14" t="s">
        <v>177</v>
      </c>
      <c r="C962" t="s">
        <v>113</v>
      </c>
      <c r="D962" s="13" t="s">
        <v>67</v>
      </c>
      <c r="E962" s="13">
        <v>135</v>
      </c>
      <c r="F962" s="13">
        <f>IF(E962="","",MIN(E962,$X962+SUMIFS('05_Parte_Diario'!$H$5:$H$204,'05_Parte_Diario'!$D$5:$D$204,B962,'05_Parte_Diario'!$E$5:$E$204,C962)))</f>
        <v>0</v>
      </c>
      <c r="G962" s="13">
        <f t="shared" si="98"/>
        <v>135</v>
      </c>
      <c r="H962" s="21">
        <f t="shared" si="99"/>
        <v>0</v>
      </c>
      <c r="I962" s="21">
        <f>IF(OR(B962="",C962="",$V$1=""),"",MIN(E962,SUMIFS('03_Planificacion'!$G$99:$G$178,'03_Planificacion'!$E$99:$E$178,B962,'03_Planificacion'!$F$99:$F$178,C962,'03_Planificacion'!$D$99:$D$178,"&lt;="&amp;$V$1)))</f>
        <v>0</v>
      </c>
      <c r="J962" s="21">
        <f t="shared" si="100"/>
        <v>0</v>
      </c>
      <c r="K962" s="6">
        <f t="shared" si="101"/>
        <v>0</v>
      </c>
      <c r="L962" t="s">
        <v>68</v>
      </c>
      <c r="P962" s="5">
        <f t="shared" si="102"/>
        <v>46287</v>
      </c>
      <c r="Q962" t="s">
        <v>170</v>
      </c>
      <c r="R962">
        <v>160</v>
      </c>
      <c r="S962" t="s">
        <v>171</v>
      </c>
      <c r="T962" t="str">
        <f t="shared" si="103"/>
        <v/>
      </c>
      <c r="U962" t="str">
        <f>IF(AND(L962="Para Programar",G962&gt;0),COUNTIFS($L$5:L962,"Para Programar",$G$5:G962,"&gt;0"),"")</f>
        <v/>
      </c>
      <c r="W962" t="str">
        <f t="shared" si="104"/>
        <v>N37 - N38|11 Relleno -0,30 - Humectación</v>
      </c>
      <c r="X962">
        <v>0</v>
      </c>
    </row>
    <row r="963" spans="1:24">
      <c r="A963" t="s">
        <v>114</v>
      </c>
      <c r="B963" s="14" t="s">
        <v>177</v>
      </c>
      <c r="C963" t="s">
        <v>115</v>
      </c>
      <c r="D963" s="13" t="s">
        <v>67</v>
      </c>
      <c r="E963" s="13">
        <v>135</v>
      </c>
      <c r="F963" s="13">
        <f>IF(E963="","",MIN(E963,$X963+SUMIFS('05_Parte_Diario'!$H$5:$H$204,'05_Parte_Diario'!$D$5:$D$204,B963,'05_Parte_Diario'!$E$5:$E$204,C963)))</f>
        <v>0</v>
      </c>
      <c r="G963" s="13">
        <f t="shared" si="98"/>
        <v>135</v>
      </c>
      <c r="H963" s="21">
        <f t="shared" si="99"/>
        <v>0</v>
      </c>
      <c r="I963" s="21">
        <f>IF(OR(B963="",C963="",$V$1=""),"",MIN(E963,SUMIFS('03_Planificacion'!$G$99:$G$178,'03_Planificacion'!$E$99:$E$178,B963,'03_Planificacion'!$F$99:$F$178,C963,'03_Planificacion'!$D$99:$D$178,"&lt;="&amp;$V$1)))</f>
        <v>0</v>
      </c>
      <c r="J963" s="21">
        <f t="shared" si="100"/>
        <v>0</v>
      </c>
      <c r="K963" s="6">
        <f t="shared" si="101"/>
        <v>0</v>
      </c>
      <c r="L963" t="s">
        <v>68</v>
      </c>
      <c r="P963" s="5">
        <f t="shared" si="102"/>
        <v>46287</v>
      </c>
      <c r="Q963" t="s">
        <v>170</v>
      </c>
      <c r="R963">
        <v>160</v>
      </c>
      <c r="S963" t="s">
        <v>171</v>
      </c>
      <c r="T963" t="str">
        <f t="shared" si="103"/>
        <v/>
      </c>
      <c r="U963" t="str">
        <f>IF(AND(L963="Para Programar",G963&gt;0),COUNTIFS($L$5:L963,"Para Programar",$G$5:G963,"&gt;0"),"")</f>
        <v/>
      </c>
      <c r="W963" t="str">
        <f t="shared" si="104"/>
        <v>N37 - N38|11 Relleno -0,30 - Compactación</v>
      </c>
      <c r="X963">
        <v>0</v>
      </c>
    </row>
    <row r="964" spans="1:24">
      <c r="A964" t="s">
        <v>116</v>
      </c>
      <c r="B964" s="14" t="s">
        <v>177</v>
      </c>
      <c r="C964" t="s">
        <v>117</v>
      </c>
      <c r="D964" s="13" t="s">
        <v>81</v>
      </c>
      <c r="E964" s="13">
        <v>1</v>
      </c>
      <c r="F964" s="13">
        <f>IF(E964="","",MIN(E964,$X964+SUMIFS('05_Parte_Diario'!$H$5:$H$204,'05_Parte_Diario'!$D$5:$D$204,B964,'05_Parte_Diario'!$E$5:$E$204,C964)))</f>
        <v>0</v>
      </c>
      <c r="G964" s="13">
        <f t="shared" si="98"/>
        <v>1</v>
      </c>
      <c r="H964" s="21">
        <f t="shared" si="99"/>
        <v>0</v>
      </c>
      <c r="I964" s="21">
        <f>IF(OR(B964="",C964="",$V$1=""),"",MIN(E964,SUMIFS('03_Planificacion'!$G$99:$G$178,'03_Planificacion'!$E$99:$E$178,B964,'03_Planificacion'!$F$99:$F$178,C964,'03_Planificacion'!$D$99:$D$178,"&lt;="&amp;$V$1)))</f>
        <v>0</v>
      </c>
      <c r="J964" s="21">
        <f t="shared" si="100"/>
        <v>0</v>
      </c>
      <c r="K964" s="6">
        <f t="shared" si="101"/>
        <v>0</v>
      </c>
      <c r="L964" t="s">
        <v>68</v>
      </c>
      <c r="P964" s="5">
        <f t="shared" si="102"/>
        <v>46287</v>
      </c>
      <c r="Q964" t="s">
        <v>170</v>
      </c>
      <c r="R964">
        <v>160</v>
      </c>
      <c r="S964" t="s">
        <v>171</v>
      </c>
      <c r="T964" t="str">
        <f t="shared" si="103"/>
        <v/>
      </c>
      <c r="U964" t="str">
        <f>IF(AND(L964="Para Programar",G964&gt;0),COUNTIFS($L$5:L964,"Para Programar",$G$5:G964,"&gt;0"),"")</f>
        <v/>
      </c>
      <c r="W964" t="str">
        <f t="shared" si="104"/>
        <v>N37 - N38|11 Relleno -0,30 - Inspección laboratorio</v>
      </c>
      <c r="X964">
        <v>0</v>
      </c>
    </row>
    <row r="965" spans="1:24">
      <c r="A965" t="s">
        <v>64</v>
      </c>
      <c r="B965" s="14" t="s">
        <v>178</v>
      </c>
      <c r="C965" t="s">
        <v>66</v>
      </c>
      <c r="D965" s="13" t="s">
        <v>67</v>
      </c>
      <c r="E965" s="13">
        <v>45</v>
      </c>
      <c r="F965" s="13">
        <f>IF(E965="","",MIN(E965,$X965+SUMIFS('05_Parte_Diario'!$H$5:$H$204,'05_Parte_Diario'!$D$5:$D$204,B965,'05_Parte_Diario'!$E$5:$E$204,C965)))</f>
        <v>0</v>
      </c>
      <c r="G965" s="13">
        <f t="shared" ref="G965:G1028" si="105">IF(E965="","",MAX(E965-F965,0))</f>
        <v>45</v>
      </c>
      <c r="H965" s="21">
        <f t="shared" ref="H965:H1028" si="106">IFERROR(F965/E965,0)</f>
        <v>0</v>
      </c>
      <c r="I965" s="21">
        <f>IF(OR(B965="",C965="",$V$1=""),"",MIN(E965,SUMIFS('03_Planificacion'!$G$99:$G$178,'03_Planificacion'!$E$99:$E$178,B965,'03_Planificacion'!$F$99:$F$178,C965,'03_Planificacion'!$D$99:$D$178,"&lt;="&amp;$V$1)))</f>
        <v>0</v>
      </c>
      <c r="J965" s="21">
        <f t="shared" ref="J965:J1028" si="107">IFERROR(I965/E965,0)</f>
        <v>0</v>
      </c>
      <c r="K965" s="6">
        <f t="shared" ref="K965:K1028" si="108">IF(OR(E965="",$V$1=""),"",H965-J965)</f>
        <v>0</v>
      </c>
      <c r="L965" t="s">
        <v>68</v>
      </c>
      <c r="P965" s="5">
        <f t="shared" ref="P965:P1028" si="109">IF(A965="","",$V$1)</f>
        <v>46287</v>
      </c>
      <c r="R965">
        <v>160</v>
      </c>
      <c r="S965" t="s">
        <v>171</v>
      </c>
      <c r="T965" t="str">
        <f t="shared" ref="T965:T1028" si="110">IF(A965="","",IF(AND(L965="Para Programar",G965=0),"INCONSISTENCIA - REVISAR MANUALMENTE: Para Programar sin saldo",IF(AND(L965="Terminada",G965&gt;0),"INCONSISTENCIA - REVISAR MANUALMENTE: Terminada con saldo","")))</f>
        <v/>
      </c>
      <c r="U965" t="str">
        <f>IF(AND(L965="Para Programar",G965&gt;0),COUNTIFS($L$5:L965,"Para Programar",$G$5:G965,"&gt;0"),"")</f>
        <v/>
      </c>
      <c r="W965" t="str">
        <f t="shared" ref="W965:W1028" si="111">IF(OR(B965="",C965=""),"",B965&amp;"|"&amp;C965)</f>
        <v>N38 - N39|01 Replanteo - Marcación de tramo de cañería principal</v>
      </c>
      <c r="X965">
        <v>0</v>
      </c>
    </row>
    <row r="966" spans="1:24">
      <c r="A966" t="s">
        <v>71</v>
      </c>
      <c r="B966" s="14" t="s">
        <v>178</v>
      </c>
      <c r="C966" t="s">
        <v>72</v>
      </c>
      <c r="D966" s="13" t="s">
        <v>67</v>
      </c>
      <c r="E966" s="13">
        <v>45</v>
      </c>
      <c r="F966" s="13">
        <f>IF(E966="","",MIN(E966,$X966+SUMIFS('05_Parte_Diario'!$H$5:$H$204,'05_Parte_Diario'!$D$5:$D$204,B966,'05_Parte_Diario'!$E$5:$E$204,C966)))</f>
        <v>0</v>
      </c>
      <c r="G966" s="13">
        <f t="shared" si="105"/>
        <v>45</v>
      </c>
      <c r="H966" s="21">
        <f t="shared" si="106"/>
        <v>0</v>
      </c>
      <c r="I966" s="21">
        <f>IF(OR(B966="",C966="",$V$1=""),"",MIN(E966,SUMIFS('03_Planificacion'!$G$99:$G$178,'03_Planificacion'!$E$99:$E$178,B966,'03_Planificacion'!$F$99:$F$178,C966,'03_Planificacion'!$D$99:$D$178,"&lt;="&amp;$V$1)))</f>
        <v>0</v>
      </c>
      <c r="J966" s="21">
        <f t="shared" si="107"/>
        <v>0</v>
      </c>
      <c r="K966" s="6">
        <f t="shared" si="108"/>
        <v>0</v>
      </c>
      <c r="L966" t="s">
        <v>68</v>
      </c>
      <c r="P966" s="5">
        <f t="shared" si="109"/>
        <v>46287</v>
      </c>
      <c r="R966">
        <v>160</v>
      </c>
      <c r="S966" t="s">
        <v>171</v>
      </c>
      <c r="T966" t="str">
        <f t="shared" si="110"/>
        <v/>
      </c>
      <c r="U966" t="str">
        <f>IF(AND(L966="Para Programar",G966&gt;0),COUNTIFS($L$5:L966,"Para Programar",$G$5:G966,"&gt;0"),"")</f>
        <v/>
      </c>
      <c r="W966" t="str">
        <f t="shared" si="111"/>
        <v>N38 - N39|02 Excavación - Zanja principal</v>
      </c>
      <c r="X966">
        <v>0</v>
      </c>
    </row>
    <row r="967" spans="1:24">
      <c r="A967" t="s">
        <v>73</v>
      </c>
      <c r="B967" s="14" t="s">
        <v>178</v>
      </c>
      <c r="C967" t="s">
        <v>74</v>
      </c>
      <c r="D967" s="13" t="s">
        <v>67</v>
      </c>
      <c r="E967" s="13">
        <v>45</v>
      </c>
      <c r="F967" s="13">
        <f>IF(E967="","",MIN(E967,$X967+SUMIFS('05_Parte_Diario'!$H$5:$H$204,'05_Parte_Diario'!$D$5:$D$204,B967,'05_Parte_Diario'!$E$5:$E$204,C967)))</f>
        <v>0</v>
      </c>
      <c r="G967" s="13">
        <f t="shared" si="105"/>
        <v>45</v>
      </c>
      <c r="H967" s="21">
        <f t="shared" si="106"/>
        <v>0</v>
      </c>
      <c r="I967" s="21">
        <f>IF(OR(B967="",C967="",$V$1=""),"",MIN(E967,SUMIFS('03_Planificacion'!$G$99:$G$178,'03_Planificacion'!$E$99:$E$178,B967,'03_Planificacion'!$F$99:$F$178,C967,'03_Planificacion'!$D$99:$D$178,"&lt;="&amp;$V$1)))</f>
        <v>0</v>
      </c>
      <c r="J967" s="21">
        <f t="shared" si="107"/>
        <v>0</v>
      </c>
      <c r="K967" s="6">
        <f t="shared" si="108"/>
        <v>0</v>
      </c>
      <c r="L967" t="s">
        <v>68</v>
      </c>
      <c r="P967" s="5">
        <f t="shared" si="109"/>
        <v>46287</v>
      </c>
      <c r="R967">
        <v>160</v>
      </c>
      <c r="S967" t="s">
        <v>171</v>
      </c>
      <c r="T967" t="str">
        <f t="shared" si="110"/>
        <v/>
      </c>
      <c r="U967" t="str">
        <f>IF(AND(L967="Para Programar",G967&gt;0),COUNTIFS($L$5:L967,"Para Programar",$G$5:G967,"&gt;0"),"")</f>
        <v/>
      </c>
      <c r="W967" t="str">
        <f t="shared" si="111"/>
        <v>N38 - N39|03 Base de asiento - Nivelación de fondo de zanja</v>
      </c>
      <c r="X967">
        <v>0</v>
      </c>
    </row>
    <row r="968" spans="1:24">
      <c r="A968" t="s">
        <v>75</v>
      </c>
      <c r="B968" s="14" t="s">
        <v>178</v>
      </c>
      <c r="C968" t="s">
        <v>76</v>
      </c>
      <c r="D968" s="13" t="s">
        <v>67</v>
      </c>
      <c r="E968" s="13">
        <v>45</v>
      </c>
      <c r="F968" s="13">
        <f>IF(E968="","",MIN(E968,$X968+SUMIFS('05_Parte_Diario'!$H$5:$H$204,'05_Parte_Diario'!$D$5:$D$204,B968,'05_Parte_Diario'!$E$5:$E$204,C968)))</f>
        <v>0</v>
      </c>
      <c r="G968" s="13">
        <f t="shared" si="105"/>
        <v>45</v>
      </c>
      <c r="H968" s="21">
        <f t="shared" si="106"/>
        <v>0</v>
      </c>
      <c r="I968" s="21">
        <f>IF(OR(B968="",C968="",$V$1=""),"",MIN(E968,SUMIFS('03_Planificacion'!$G$99:$G$178,'03_Planificacion'!$E$99:$E$178,B968,'03_Planificacion'!$F$99:$F$178,C968,'03_Planificacion'!$D$99:$D$178,"&lt;="&amp;$V$1)))</f>
        <v>0</v>
      </c>
      <c r="J968" s="21">
        <f t="shared" si="107"/>
        <v>0</v>
      </c>
      <c r="K968" s="6">
        <f t="shared" si="108"/>
        <v>0</v>
      </c>
      <c r="L968" t="s">
        <v>68</v>
      </c>
      <c r="P968" s="5">
        <f t="shared" si="109"/>
        <v>46287</v>
      </c>
      <c r="R968">
        <v>160</v>
      </c>
      <c r="S968" t="s">
        <v>171</v>
      </c>
      <c r="T968" t="str">
        <f t="shared" si="110"/>
        <v/>
      </c>
      <c r="U968" t="str">
        <f>IF(AND(L968="Para Programar",G968&gt;0),COUNTIFS($L$5:L968,"Para Programar",$G$5:G968,"&gt;0"),"")</f>
        <v/>
      </c>
      <c r="W968" t="str">
        <f t="shared" si="111"/>
        <v>N38 - N39|03 Base de asiento - Aporte de material base e=0,10 m</v>
      </c>
      <c r="X968">
        <v>0</v>
      </c>
    </row>
    <row r="969" spans="1:24">
      <c r="A969" t="s">
        <v>77</v>
      </c>
      <c r="B969" s="14" t="s">
        <v>178</v>
      </c>
      <c r="C969" t="s">
        <v>78</v>
      </c>
      <c r="D969" s="13" t="s">
        <v>67</v>
      </c>
      <c r="E969" s="13">
        <v>45</v>
      </c>
      <c r="F969" s="13">
        <f>IF(E969="","",MIN(E969,$X969+SUMIFS('05_Parte_Diario'!$H$5:$H$204,'05_Parte_Diario'!$D$5:$D$204,B969,'05_Parte_Diario'!$E$5:$E$204,C969)))</f>
        <v>0</v>
      </c>
      <c r="G969" s="13">
        <f t="shared" si="105"/>
        <v>45</v>
      </c>
      <c r="H969" s="21">
        <f t="shared" si="106"/>
        <v>0</v>
      </c>
      <c r="I969" s="21">
        <f>IF(OR(B969="",C969="",$V$1=""),"",MIN(E969,SUMIFS('03_Planificacion'!$G$99:$G$178,'03_Planificacion'!$E$99:$E$178,B969,'03_Planificacion'!$F$99:$F$178,C969,'03_Planificacion'!$D$99:$D$178,"&lt;="&amp;$V$1)))</f>
        <v>0</v>
      </c>
      <c r="J969" s="21">
        <f t="shared" si="107"/>
        <v>0</v>
      </c>
      <c r="K969" s="6">
        <f t="shared" si="108"/>
        <v>0</v>
      </c>
      <c r="L969" t="s">
        <v>68</v>
      </c>
      <c r="P969" s="5">
        <f t="shared" si="109"/>
        <v>46287</v>
      </c>
      <c r="R969">
        <v>160</v>
      </c>
      <c r="S969" t="s">
        <v>171</v>
      </c>
      <c r="T969" t="str">
        <f t="shared" si="110"/>
        <v/>
      </c>
      <c r="U969" t="str">
        <f>IF(AND(L969="Para Programar",G969&gt;0),COUNTIFS($L$5:L969,"Para Programar",$G$5:G969,"&gt;0"),"")</f>
        <v/>
      </c>
      <c r="W969" t="str">
        <f t="shared" si="111"/>
        <v>N38 - N39|03 Base de asiento - Compactación</v>
      </c>
      <c r="X969">
        <v>0</v>
      </c>
    </row>
    <row r="970" spans="1:24">
      <c r="A970" t="s">
        <v>79</v>
      </c>
      <c r="B970" s="14" t="s">
        <v>178</v>
      </c>
      <c r="C970" t="s">
        <v>80</v>
      </c>
      <c r="D970" s="13" t="s">
        <v>81</v>
      </c>
      <c r="E970" s="13">
        <v>1</v>
      </c>
      <c r="F970" s="13">
        <f>IF(E970="","",MIN(E970,$X970+SUMIFS('05_Parte_Diario'!$H$5:$H$204,'05_Parte_Diario'!$D$5:$D$204,B970,'05_Parte_Diario'!$E$5:$E$204,C970)))</f>
        <v>0</v>
      </c>
      <c r="G970" s="13">
        <f t="shared" si="105"/>
        <v>1</v>
      </c>
      <c r="H970" s="21">
        <f t="shared" si="106"/>
        <v>0</v>
      </c>
      <c r="I970" s="21">
        <f>IF(OR(B970="",C970="",$V$1=""),"",MIN(E970,SUMIFS('03_Planificacion'!$G$99:$G$178,'03_Planificacion'!$E$99:$E$178,B970,'03_Planificacion'!$F$99:$F$178,C970,'03_Planificacion'!$D$99:$D$178,"&lt;="&amp;$V$1)))</f>
        <v>0</v>
      </c>
      <c r="J970" s="21">
        <f t="shared" si="107"/>
        <v>0</v>
      </c>
      <c r="K970" s="6">
        <f t="shared" si="108"/>
        <v>0</v>
      </c>
      <c r="L970" t="s">
        <v>68</v>
      </c>
      <c r="P970" s="5">
        <f t="shared" si="109"/>
        <v>46287</v>
      </c>
      <c r="R970">
        <v>160</v>
      </c>
      <c r="S970" t="s">
        <v>171</v>
      </c>
      <c r="T970" t="str">
        <f t="shared" si="110"/>
        <v/>
      </c>
      <c r="U970" t="str">
        <f>IF(AND(L970="Para Programar",G970&gt;0),COUNTIFS($L$5:L970,"Para Programar",$G$5:G970,"&gt;0"),"")</f>
        <v/>
      </c>
      <c r="W970" t="str">
        <f t="shared" si="111"/>
        <v>N38 - N39|04 Inspecciones previas - Laboratorio base de asiento</v>
      </c>
      <c r="X970">
        <v>0</v>
      </c>
    </row>
    <row r="971" spans="1:24">
      <c r="A971" t="s">
        <v>82</v>
      </c>
      <c r="B971" s="14" t="s">
        <v>178</v>
      </c>
      <c r="C971" t="s">
        <v>83</v>
      </c>
      <c r="D971" s="13" t="s">
        <v>81</v>
      </c>
      <c r="E971" s="13">
        <v>1</v>
      </c>
      <c r="F971" s="13">
        <f>IF(E971="","",MIN(E971,$X971+SUMIFS('05_Parte_Diario'!$H$5:$H$204,'05_Parte_Diario'!$D$5:$D$204,B971,'05_Parte_Diario'!$E$5:$E$204,C971)))</f>
        <v>0</v>
      </c>
      <c r="G971" s="13">
        <f t="shared" si="105"/>
        <v>1</v>
      </c>
      <c r="H971" s="21">
        <f t="shared" si="106"/>
        <v>0</v>
      </c>
      <c r="I971" s="21">
        <f>IF(OR(B971="",C971="",$V$1=""),"",MIN(E971,SUMIFS('03_Planificacion'!$G$99:$G$178,'03_Planificacion'!$E$99:$E$178,B971,'03_Planificacion'!$F$99:$F$178,C971,'03_Planificacion'!$D$99:$D$178,"&lt;="&amp;$V$1)))</f>
        <v>0</v>
      </c>
      <c r="J971" s="21">
        <f t="shared" si="107"/>
        <v>0</v>
      </c>
      <c r="K971" s="6">
        <f t="shared" si="108"/>
        <v>0</v>
      </c>
      <c r="L971" t="s">
        <v>68</v>
      </c>
      <c r="P971" s="5">
        <f t="shared" si="109"/>
        <v>46287</v>
      </c>
      <c r="R971">
        <v>160</v>
      </c>
      <c r="S971" t="s">
        <v>171</v>
      </c>
      <c r="T971" t="str">
        <f t="shared" si="110"/>
        <v/>
      </c>
      <c r="U971" t="str">
        <f>IF(AND(L971="Para Programar",G971&gt;0),COUNTIFS($L$5:L971,"Para Programar",$G$5:G971,"&gt;0"),"")</f>
        <v/>
      </c>
      <c r="W971" t="str">
        <f t="shared" si="111"/>
        <v>N38 - N39|04 Inspecciones previas - Zanja y materiales</v>
      </c>
      <c r="X971">
        <v>0</v>
      </c>
    </row>
    <row r="972" spans="1:24">
      <c r="A972" t="s">
        <v>84</v>
      </c>
      <c r="B972" s="14" t="s">
        <v>178</v>
      </c>
      <c r="C972" t="s">
        <v>85</v>
      </c>
      <c r="D972" s="13" t="s">
        <v>67</v>
      </c>
      <c r="E972" s="13">
        <v>45</v>
      </c>
      <c r="F972" s="13">
        <f>IF(E972="","",MIN(E972,$X972+SUMIFS('05_Parte_Diario'!$H$5:$H$204,'05_Parte_Diario'!$D$5:$D$204,B972,'05_Parte_Diario'!$E$5:$E$204,C972)))</f>
        <v>0</v>
      </c>
      <c r="G972" s="13">
        <f t="shared" si="105"/>
        <v>45</v>
      </c>
      <c r="H972" s="21">
        <f t="shared" si="106"/>
        <v>0</v>
      </c>
      <c r="I972" s="21">
        <f>IF(OR(B972="",C972="",$V$1=""),"",MIN(E972,SUMIFS('03_Planificacion'!$G$99:$G$178,'03_Planificacion'!$E$99:$E$178,B972,'03_Planificacion'!$F$99:$F$178,C972,'03_Planificacion'!$D$99:$D$178,"&lt;="&amp;$V$1)))</f>
        <v>0</v>
      </c>
      <c r="J972" s="21">
        <f t="shared" si="107"/>
        <v>0</v>
      </c>
      <c r="K972" s="6">
        <f t="shared" si="108"/>
        <v>0</v>
      </c>
      <c r="L972" t="s">
        <v>68</v>
      </c>
      <c r="P972" s="5">
        <f t="shared" si="109"/>
        <v>46287</v>
      </c>
      <c r="R972">
        <v>160</v>
      </c>
      <c r="S972" t="s">
        <v>171</v>
      </c>
      <c r="T972" t="str">
        <f t="shared" si="110"/>
        <v/>
      </c>
      <c r="U972" t="str">
        <f>IF(AND(L972="Para Programar",G972&gt;0),COUNTIFS($L$5:L972,"Para Programar",$G$5:G972,"&gt;0"),"")</f>
        <v/>
      </c>
      <c r="W972" t="str">
        <f t="shared" si="111"/>
        <v>N38 - N39|05 Tendido de cañería - Cañería principal</v>
      </c>
      <c r="X972">
        <v>0</v>
      </c>
    </row>
    <row r="973" spans="1:24">
      <c r="A973" t="s">
        <v>86</v>
      </c>
      <c r="B973" s="14" t="s">
        <v>178</v>
      </c>
      <c r="C973" t="s">
        <v>87</v>
      </c>
      <c r="D973" s="13" t="s">
        <v>67</v>
      </c>
      <c r="E973" s="13">
        <v>45</v>
      </c>
      <c r="F973" s="13">
        <f>IF(E973="","",MIN(E973,$X973+SUMIFS('05_Parte_Diario'!$H$5:$H$204,'05_Parte_Diario'!$D$5:$D$204,B973,'05_Parte_Diario'!$E$5:$E$204,C973)))</f>
        <v>0</v>
      </c>
      <c r="G973" s="13">
        <f t="shared" si="105"/>
        <v>45</v>
      </c>
      <c r="H973" s="21">
        <f t="shared" si="106"/>
        <v>0</v>
      </c>
      <c r="I973" s="21">
        <f>IF(OR(B973="",C973="",$V$1=""),"",MIN(E973,SUMIFS('03_Planificacion'!$G$99:$G$178,'03_Planificacion'!$E$99:$E$178,B973,'03_Planificacion'!$F$99:$F$178,C973,'03_Planificacion'!$D$99:$D$178,"&lt;="&amp;$V$1)))</f>
        <v>0</v>
      </c>
      <c r="J973" s="21">
        <f t="shared" si="107"/>
        <v>0</v>
      </c>
      <c r="K973" s="6">
        <f t="shared" si="108"/>
        <v>0</v>
      </c>
      <c r="L973" t="s">
        <v>68</v>
      </c>
      <c r="P973" s="5">
        <f t="shared" si="109"/>
        <v>46287</v>
      </c>
      <c r="R973">
        <v>160</v>
      </c>
      <c r="S973" t="s">
        <v>171</v>
      </c>
      <c r="T973" t="str">
        <f t="shared" si="110"/>
        <v/>
      </c>
      <c r="U973" t="str">
        <f>IF(AND(L973="Para Programar",G973&gt;0),COUNTIFS($L$5:L973,"Para Programar",$G$5:G973,"&gt;0"),"")</f>
        <v/>
      </c>
      <c r="W973" t="str">
        <f t="shared" si="111"/>
        <v>N38 - N39|05 Tendido de cañería - Relevamiento planialtimétrico</v>
      </c>
      <c r="X973">
        <v>0</v>
      </c>
    </row>
    <row r="974" spans="1:24">
      <c r="A974" t="s">
        <v>88</v>
      </c>
      <c r="B974" s="14" t="s">
        <v>178</v>
      </c>
      <c r="C974" t="s">
        <v>89</v>
      </c>
      <c r="D974" s="13" t="s">
        <v>81</v>
      </c>
      <c r="E974" s="13">
        <v>1</v>
      </c>
      <c r="F974" s="13">
        <f>IF(E974="","",MIN(E974,$X974+SUMIFS('05_Parte_Diario'!$H$5:$H$204,'05_Parte_Diario'!$D$5:$D$204,B974,'05_Parte_Diario'!$E$5:$E$204,C974)))</f>
        <v>0</v>
      </c>
      <c r="G974" s="13">
        <f t="shared" si="105"/>
        <v>1</v>
      </c>
      <c r="H974" s="21">
        <f t="shared" si="106"/>
        <v>0</v>
      </c>
      <c r="I974" s="21">
        <f>IF(OR(B974="",C974="",$V$1=""),"",MIN(E974,SUMIFS('03_Planificacion'!$G$99:$G$178,'03_Planificacion'!$E$99:$E$178,B974,'03_Planificacion'!$F$99:$F$178,C974,'03_Planificacion'!$D$99:$D$178,"&lt;="&amp;$V$1)))</f>
        <v>0</v>
      </c>
      <c r="J974" s="21">
        <f t="shared" si="107"/>
        <v>0</v>
      </c>
      <c r="K974" s="6">
        <f t="shared" si="108"/>
        <v>0</v>
      </c>
      <c r="L974" t="s">
        <v>68</v>
      </c>
      <c r="P974" s="5">
        <f t="shared" si="109"/>
        <v>46287</v>
      </c>
      <c r="R974">
        <v>160</v>
      </c>
      <c r="S974" t="s">
        <v>171</v>
      </c>
      <c r="T974" t="str">
        <f t="shared" si="110"/>
        <v/>
      </c>
      <c r="U974" t="str">
        <f>IF(AND(L974="Para Programar",G974&gt;0),COUNTIFS($L$5:L974,"Para Programar",$G$5:G974,"&gt;0"),"")</f>
        <v/>
      </c>
      <c r="W974" t="str">
        <f t="shared" si="111"/>
        <v>N38 - N39|08 Prueba hidráulica - Preparación del sistema</v>
      </c>
      <c r="X974">
        <v>0</v>
      </c>
    </row>
    <row r="975" spans="1:24">
      <c r="A975" t="s">
        <v>90</v>
      </c>
      <c r="B975" s="14" t="s">
        <v>178</v>
      </c>
      <c r="C975" t="s">
        <v>91</v>
      </c>
      <c r="D975" s="13" t="s">
        <v>81</v>
      </c>
      <c r="E975" s="13">
        <v>1</v>
      </c>
      <c r="F975" s="13">
        <f>IF(E975="","",MIN(E975,$X975+SUMIFS('05_Parte_Diario'!$H$5:$H$204,'05_Parte_Diario'!$D$5:$D$204,B975,'05_Parte_Diario'!$E$5:$E$204,C975)))</f>
        <v>0</v>
      </c>
      <c r="G975" s="13">
        <f t="shared" si="105"/>
        <v>1</v>
      </c>
      <c r="H975" s="21">
        <f t="shared" si="106"/>
        <v>0</v>
      </c>
      <c r="I975" s="21">
        <f>IF(OR(B975="",C975="",$V$1=""),"",MIN(E975,SUMIFS('03_Planificacion'!$G$99:$G$178,'03_Planificacion'!$E$99:$E$178,B975,'03_Planificacion'!$F$99:$F$178,C975,'03_Planificacion'!$D$99:$D$178,"&lt;="&amp;$V$1)))</f>
        <v>0</v>
      </c>
      <c r="J975" s="21">
        <f t="shared" si="107"/>
        <v>0</v>
      </c>
      <c r="K975" s="6">
        <f t="shared" si="108"/>
        <v>0</v>
      </c>
      <c r="L975" t="s">
        <v>68</v>
      </c>
      <c r="P975" s="5">
        <f t="shared" si="109"/>
        <v>46287</v>
      </c>
      <c r="R975">
        <v>160</v>
      </c>
      <c r="S975" t="s">
        <v>171</v>
      </c>
      <c r="T975" t="str">
        <f t="shared" si="110"/>
        <v/>
      </c>
      <c r="U975" t="str">
        <f>IF(AND(L975="Para Programar",G975&gt;0),COUNTIFS($L$5:L975,"Para Programar",$G$5:G975,"&gt;0"),"")</f>
        <v/>
      </c>
      <c r="W975" t="str">
        <f t="shared" si="111"/>
        <v>N38 - N39|08 Prueba hidráulica - Interna N° 1</v>
      </c>
      <c r="X975">
        <v>0</v>
      </c>
    </row>
    <row r="976" spans="1:24">
      <c r="A976" t="s">
        <v>92</v>
      </c>
      <c r="B976" s="14" t="s">
        <v>178</v>
      </c>
      <c r="C976" t="s">
        <v>93</v>
      </c>
      <c r="D976" s="13" t="s">
        <v>81</v>
      </c>
      <c r="E976" s="13">
        <v>1</v>
      </c>
      <c r="F976" s="13">
        <f>IF(E976="","",MIN(E976,$X976+SUMIFS('05_Parte_Diario'!$H$5:$H$204,'05_Parte_Diario'!$D$5:$D$204,B976,'05_Parte_Diario'!$E$5:$E$204,C976)))</f>
        <v>0</v>
      </c>
      <c r="G976" s="13">
        <f t="shared" si="105"/>
        <v>1</v>
      </c>
      <c r="H976" s="21">
        <f t="shared" si="106"/>
        <v>0</v>
      </c>
      <c r="I976" s="21">
        <f>IF(OR(B976="",C976="",$V$1=""),"",MIN(E976,SUMIFS('03_Planificacion'!$G$99:$G$178,'03_Planificacion'!$E$99:$E$178,B976,'03_Planificacion'!$F$99:$F$178,C976,'03_Planificacion'!$D$99:$D$178,"&lt;="&amp;$V$1)))</f>
        <v>0</v>
      </c>
      <c r="J976" s="21">
        <f t="shared" si="107"/>
        <v>0</v>
      </c>
      <c r="K976" s="6">
        <f t="shared" si="108"/>
        <v>0</v>
      </c>
      <c r="L976" t="s">
        <v>68</v>
      </c>
      <c r="P976" s="5">
        <f t="shared" si="109"/>
        <v>46287</v>
      </c>
      <c r="R976">
        <v>160</v>
      </c>
      <c r="S976" t="s">
        <v>171</v>
      </c>
      <c r="T976" t="str">
        <f t="shared" si="110"/>
        <v/>
      </c>
      <c r="U976" t="str">
        <f>IF(AND(L976="Para Programar",G976&gt;0),COUNTIFS($L$5:L976,"Para Programar",$G$5:G976,"&gt;0"),"")</f>
        <v/>
      </c>
      <c r="W976" t="str">
        <f t="shared" si="111"/>
        <v>N38 - N39|08 Prueba hidráulica - Interna N° 2</v>
      </c>
      <c r="X976">
        <v>0</v>
      </c>
    </row>
    <row r="977" spans="1:24">
      <c r="A977" t="s">
        <v>94</v>
      </c>
      <c r="B977" s="14" t="s">
        <v>178</v>
      </c>
      <c r="C977" t="s">
        <v>95</v>
      </c>
      <c r="D977" s="13" t="s">
        <v>81</v>
      </c>
      <c r="E977" s="13">
        <v>1</v>
      </c>
      <c r="F977" s="13">
        <f>IF(E977="","",MIN(E977,$X977+SUMIFS('05_Parte_Diario'!$H$5:$H$204,'05_Parte_Diario'!$D$5:$D$204,B977,'05_Parte_Diario'!$E$5:$E$204,C977)))</f>
        <v>0</v>
      </c>
      <c r="G977" s="13">
        <f t="shared" si="105"/>
        <v>1</v>
      </c>
      <c r="H977" s="21">
        <f t="shared" si="106"/>
        <v>0</v>
      </c>
      <c r="I977" s="21">
        <f>IF(OR(B977="",C977="",$V$1=""),"",MIN(E977,SUMIFS('03_Planificacion'!$G$99:$G$178,'03_Planificacion'!$E$99:$E$178,B977,'03_Planificacion'!$F$99:$F$178,C977,'03_Planificacion'!$D$99:$D$178,"&lt;="&amp;$V$1)))</f>
        <v>0</v>
      </c>
      <c r="J977" s="21">
        <f t="shared" si="107"/>
        <v>0</v>
      </c>
      <c r="K977" s="6">
        <f t="shared" si="108"/>
        <v>0</v>
      </c>
      <c r="L977" t="s">
        <v>68</v>
      </c>
      <c r="P977" s="5">
        <f t="shared" si="109"/>
        <v>46287</v>
      </c>
      <c r="R977">
        <v>160</v>
      </c>
      <c r="S977" t="s">
        <v>171</v>
      </c>
      <c r="T977" t="str">
        <f t="shared" si="110"/>
        <v/>
      </c>
      <c r="U977" t="str">
        <f>IF(AND(L977="Para Programar",G977&gt;0),COUNTIFS($L$5:L977,"Para Programar",$G$5:G977,"&gt;0"),"")</f>
        <v/>
      </c>
      <c r="W977" t="str">
        <f t="shared" si="111"/>
        <v>N38 - N39|08 Prueba hidráulica - Primera prueba oficial</v>
      </c>
      <c r="X977">
        <v>0</v>
      </c>
    </row>
    <row r="978" spans="1:24">
      <c r="A978" t="s">
        <v>96</v>
      </c>
      <c r="B978" s="14" t="s">
        <v>178</v>
      </c>
      <c r="C978" t="s">
        <v>97</v>
      </c>
      <c r="D978" s="13" t="s">
        <v>67</v>
      </c>
      <c r="E978" s="13">
        <v>45</v>
      </c>
      <c r="F978" s="13">
        <f>IF(E978="","",MIN(E978,$X978+SUMIFS('05_Parte_Diario'!$H$5:$H$204,'05_Parte_Diario'!$D$5:$D$204,B978,'05_Parte_Diario'!$E$5:$E$204,C978)))</f>
        <v>0</v>
      </c>
      <c r="G978" s="13">
        <f t="shared" si="105"/>
        <v>45</v>
      </c>
      <c r="H978" s="21">
        <f t="shared" si="106"/>
        <v>0</v>
      </c>
      <c r="I978" s="21">
        <f>IF(OR(B978="",C978="",$V$1=""),"",MIN(E978,SUMIFS('03_Planificacion'!$G$99:$G$178,'03_Planificacion'!$E$99:$E$178,B978,'03_Planificacion'!$F$99:$F$178,C978,'03_Planificacion'!$D$99:$D$178,"&lt;="&amp;$V$1)))</f>
        <v>0</v>
      </c>
      <c r="J978" s="21">
        <f t="shared" si="107"/>
        <v>0</v>
      </c>
      <c r="K978" s="6">
        <f t="shared" si="108"/>
        <v>0</v>
      </c>
      <c r="L978" t="s">
        <v>68</v>
      </c>
      <c r="P978" s="5">
        <f t="shared" si="109"/>
        <v>46287</v>
      </c>
      <c r="R978">
        <v>160</v>
      </c>
      <c r="S978" t="s">
        <v>171</v>
      </c>
      <c r="T978" t="str">
        <f t="shared" si="110"/>
        <v/>
      </c>
      <c r="U978" t="str">
        <f>IF(AND(L978="Para Programar",G978&gt;0),COUNTIFS($L$5:L978,"Para Programar",$G$5:G978,"&gt;0"),"")</f>
        <v/>
      </c>
      <c r="W978" t="str">
        <f t="shared" si="111"/>
        <v>N38 - N39|09 Paquete estructural - Aporte e=0,30 m</v>
      </c>
      <c r="X978">
        <v>0</v>
      </c>
    </row>
    <row r="979" spans="1:24">
      <c r="A979" t="s">
        <v>98</v>
      </c>
      <c r="B979" s="14" t="s">
        <v>178</v>
      </c>
      <c r="C979" t="s">
        <v>99</v>
      </c>
      <c r="D979" s="13" t="s">
        <v>67</v>
      </c>
      <c r="E979" s="13">
        <v>45</v>
      </c>
      <c r="F979" s="13">
        <f>IF(E979="","",MIN(E979,$X979+SUMIFS('05_Parte_Diario'!$H$5:$H$204,'05_Parte_Diario'!$D$5:$D$204,B979,'05_Parte_Diario'!$E$5:$E$204,C979)))</f>
        <v>0</v>
      </c>
      <c r="G979" s="13">
        <f t="shared" si="105"/>
        <v>45</v>
      </c>
      <c r="H979" s="21">
        <f t="shared" si="106"/>
        <v>0</v>
      </c>
      <c r="I979" s="21">
        <f>IF(OR(B979="",C979="",$V$1=""),"",MIN(E979,SUMIFS('03_Planificacion'!$G$99:$G$178,'03_Planificacion'!$E$99:$E$178,B979,'03_Planificacion'!$F$99:$F$178,C979,'03_Planificacion'!$D$99:$D$178,"&lt;="&amp;$V$1)))</f>
        <v>0</v>
      </c>
      <c r="J979" s="21">
        <f t="shared" si="107"/>
        <v>0</v>
      </c>
      <c r="K979" s="6">
        <f t="shared" si="108"/>
        <v>0</v>
      </c>
      <c r="L979" t="s">
        <v>68</v>
      </c>
      <c r="P979" s="5">
        <f t="shared" si="109"/>
        <v>46287</v>
      </c>
      <c r="R979">
        <v>160</v>
      </c>
      <c r="S979" t="s">
        <v>171</v>
      </c>
      <c r="T979" t="str">
        <f t="shared" si="110"/>
        <v/>
      </c>
      <c r="U979" t="str">
        <f>IF(AND(L979="Para Programar",G979&gt;0),COUNTIFS($L$5:L979,"Para Programar",$G$5:G979,"&gt;0"),"")</f>
        <v/>
      </c>
      <c r="W979" t="str">
        <f t="shared" si="111"/>
        <v>N38 - N39|09 Paquete estructural - Compactación</v>
      </c>
      <c r="X979">
        <v>0</v>
      </c>
    </row>
    <row r="980" spans="1:24">
      <c r="A980" t="s">
        <v>100</v>
      </c>
      <c r="B980" s="14" t="s">
        <v>178</v>
      </c>
      <c r="C980" t="s">
        <v>101</v>
      </c>
      <c r="D980" s="13" t="s">
        <v>81</v>
      </c>
      <c r="E980" s="13">
        <v>1</v>
      </c>
      <c r="F980" s="13">
        <f>IF(E980="","",MIN(E980,$X980+SUMIFS('05_Parte_Diario'!$H$5:$H$204,'05_Parte_Diario'!$D$5:$D$204,B980,'05_Parte_Diario'!$E$5:$E$204,C980)))</f>
        <v>0</v>
      </c>
      <c r="G980" s="13">
        <f t="shared" si="105"/>
        <v>1</v>
      </c>
      <c r="H980" s="21">
        <f t="shared" si="106"/>
        <v>0</v>
      </c>
      <c r="I980" s="21">
        <f>IF(OR(B980="",C980="",$V$1=""),"",MIN(E980,SUMIFS('03_Planificacion'!$G$99:$G$178,'03_Planificacion'!$E$99:$E$178,B980,'03_Planificacion'!$F$99:$F$178,C980,'03_Planificacion'!$D$99:$D$178,"&lt;="&amp;$V$1)))</f>
        <v>0</v>
      </c>
      <c r="J980" s="21">
        <f t="shared" si="107"/>
        <v>0</v>
      </c>
      <c r="K980" s="6">
        <f t="shared" si="108"/>
        <v>0</v>
      </c>
      <c r="L980" t="s">
        <v>68</v>
      </c>
      <c r="P980" s="5">
        <f t="shared" si="109"/>
        <v>46287</v>
      </c>
      <c r="R980">
        <v>160</v>
      </c>
      <c r="S980" t="s">
        <v>171</v>
      </c>
      <c r="T980" t="str">
        <f t="shared" si="110"/>
        <v/>
      </c>
      <c r="U980" t="str">
        <f>IF(AND(L980="Para Programar",G980&gt;0),COUNTIFS($L$5:L980,"Para Programar",$G$5:G980,"&gt;0"),"")</f>
        <v/>
      </c>
      <c r="W980" t="str">
        <f t="shared" si="111"/>
        <v>N38 - N39|09 Paquete estructural - Inspección laboratorio</v>
      </c>
      <c r="X980">
        <v>0</v>
      </c>
    </row>
    <row r="981" spans="1:24">
      <c r="A981" t="s">
        <v>102</v>
      </c>
      <c r="B981" s="14" t="s">
        <v>178</v>
      </c>
      <c r="C981" t="s">
        <v>103</v>
      </c>
      <c r="D981" s="13" t="s">
        <v>67</v>
      </c>
      <c r="E981" s="13">
        <v>45</v>
      </c>
      <c r="F981" s="13">
        <f>IF(E981="","",MIN(E981,$X981+SUMIFS('05_Parte_Diario'!$H$5:$H$204,'05_Parte_Diario'!$D$5:$D$204,B981,'05_Parte_Diario'!$E$5:$E$204,C981)))</f>
        <v>0</v>
      </c>
      <c r="G981" s="13">
        <f t="shared" si="105"/>
        <v>45</v>
      </c>
      <c r="H981" s="21">
        <f t="shared" si="106"/>
        <v>0</v>
      </c>
      <c r="I981" s="21">
        <f>IF(OR(B981="",C981="",$V$1=""),"",MIN(E981,SUMIFS('03_Planificacion'!$G$99:$G$178,'03_Planificacion'!$E$99:$E$178,B981,'03_Planificacion'!$F$99:$F$178,C981,'03_Planificacion'!$D$99:$D$178,"&lt;="&amp;$V$1)))</f>
        <v>0</v>
      </c>
      <c r="J981" s="21">
        <f t="shared" si="107"/>
        <v>0</v>
      </c>
      <c r="K981" s="6">
        <f t="shared" si="108"/>
        <v>0</v>
      </c>
      <c r="L981" t="s">
        <v>68</v>
      </c>
      <c r="P981" s="5">
        <f t="shared" si="109"/>
        <v>46287</v>
      </c>
      <c r="R981">
        <v>160</v>
      </c>
      <c r="S981" t="s">
        <v>171</v>
      </c>
      <c r="T981" t="str">
        <f t="shared" si="110"/>
        <v/>
      </c>
      <c r="U981" t="str">
        <f>IF(AND(L981="Para Programar",G981&gt;0),COUNTIFS($L$5:L981,"Para Programar",$G$5:G981,"&gt;0"),"")</f>
        <v/>
      </c>
      <c r="W981" t="str">
        <f t="shared" si="111"/>
        <v>N38 - N39|10 Relleno -0,60 - Conformación de capa</v>
      </c>
      <c r="X981">
        <v>0</v>
      </c>
    </row>
    <row r="982" spans="1:24">
      <c r="A982" t="s">
        <v>104</v>
      </c>
      <c r="B982" s="14" t="s">
        <v>178</v>
      </c>
      <c r="C982" t="s">
        <v>105</v>
      </c>
      <c r="D982" s="13" t="s">
        <v>67</v>
      </c>
      <c r="E982" s="13">
        <v>45</v>
      </c>
      <c r="F982" s="13">
        <f>IF(E982="","",MIN(E982,$X982+SUMIFS('05_Parte_Diario'!$H$5:$H$204,'05_Parte_Diario'!$D$5:$D$204,B982,'05_Parte_Diario'!$E$5:$E$204,C982)))</f>
        <v>0</v>
      </c>
      <c r="G982" s="13">
        <f t="shared" si="105"/>
        <v>45</v>
      </c>
      <c r="H982" s="21">
        <f t="shared" si="106"/>
        <v>0</v>
      </c>
      <c r="I982" s="21">
        <f>IF(OR(B982="",C982="",$V$1=""),"",MIN(E982,SUMIFS('03_Planificacion'!$G$99:$G$178,'03_Planificacion'!$E$99:$E$178,B982,'03_Planificacion'!$F$99:$F$178,C982,'03_Planificacion'!$D$99:$D$178,"&lt;="&amp;$V$1)))</f>
        <v>0</v>
      </c>
      <c r="J982" s="21">
        <f t="shared" si="107"/>
        <v>0</v>
      </c>
      <c r="K982" s="6">
        <f t="shared" si="108"/>
        <v>0</v>
      </c>
      <c r="L982" t="s">
        <v>68</v>
      </c>
      <c r="P982" s="5">
        <f t="shared" si="109"/>
        <v>46287</v>
      </c>
      <c r="R982">
        <v>160</v>
      </c>
      <c r="S982" t="s">
        <v>171</v>
      </c>
      <c r="T982" t="str">
        <f t="shared" si="110"/>
        <v/>
      </c>
      <c r="U982" t="str">
        <f>IF(AND(L982="Para Programar",G982&gt;0),COUNTIFS($L$5:L982,"Para Programar",$G$5:G982,"&gt;0"),"")</f>
        <v/>
      </c>
      <c r="W982" t="str">
        <f t="shared" si="111"/>
        <v>N38 - N39|10 Relleno -0,60 - Humectación</v>
      </c>
      <c r="X982">
        <v>0</v>
      </c>
    </row>
    <row r="983" spans="1:24">
      <c r="A983" t="s">
        <v>106</v>
      </c>
      <c r="B983" s="14" t="s">
        <v>178</v>
      </c>
      <c r="C983" t="s">
        <v>107</v>
      </c>
      <c r="D983" s="13" t="s">
        <v>67</v>
      </c>
      <c r="E983" s="13">
        <v>45</v>
      </c>
      <c r="F983" s="13">
        <f>IF(E983="","",MIN(E983,$X983+SUMIFS('05_Parte_Diario'!$H$5:$H$204,'05_Parte_Diario'!$D$5:$D$204,B983,'05_Parte_Diario'!$E$5:$E$204,C983)))</f>
        <v>0</v>
      </c>
      <c r="G983" s="13">
        <f t="shared" si="105"/>
        <v>45</v>
      </c>
      <c r="H983" s="21">
        <f t="shared" si="106"/>
        <v>0</v>
      </c>
      <c r="I983" s="21">
        <f>IF(OR(B983="",C983="",$V$1=""),"",MIN(E983,SUMIFS('03_Planificacion'!$G$99:$G$178,'03_Planificacion'!$E$99:$E$178,B983,'03_Planificacion'!$F$99:$F$178,C983,'03_Planificacion'!$D$99:$D$178,"&lt;="&amp;$V$1)))</f>
        <v>0</v>
      </c>
      <c r="J983" s="21">
        <f t="shared" si="107"/>
        <v>0</v>
      </c>
      <c r="K983" s="6">
        <f t="shared" si="108"/>
        <v>0</v>
      </c>
      <c r="L983" t="s">
        <v>68</v>
      </c>
      <c r="P983" s="5">
        <f t="shared" si="109"/>
        <v>46287</v>
      </c>
      <c r="R983">
        <v>160</v>
      </c>
      <c r="S983" t="s">
        <v>171</v>
      </c>
      <c r="T983" t="str">
        <f t="shared" si="110"/>
        <v/>
      </c>
      <c r="U983" t="str">
        <f>IF(AND(L983="Para Programar",G983&gt;0),COUNTIFS($L$5:L983,"Para Programar",$G$5:G983,"&gt;0"),"")</f>
        <v/>
      </c>
      <c r="W983" t="str">
        <f t="shared" si="111"/>
        <v>N38 - N39|10 Relleno -0,60 - Compactación</v>
      </c>
      <c r="X983">
        <v>0</v>
      </c>
    </row>
    <row r="984" spans="1:24">
      <c r="A984" t="s">
        <v>108</v>
      </c>
      <c r="B984" s="14" t="s">
        <v>178</v>
      </c>
      <c r="C984" t="s">
        <v>109</v>
      </c>
      <c r="D984" s="13" t="s">
        <v>81</v>
      </c>
      <c r="E984" s="13">
        <v>1</v>
      </c>
      <c r="F984" s="13">
        <f>IF(E984="","",MIN(E984,$X984+SUMIFS('05_Parte_Diario'!$H$5:$H$204,'05_Parte_Diario'!$D$5:$D$204,B984,'05_Parte_Diario'!$E$5:$E$204,C984)))</f>
        <v>0</v>
      </c>
      <c r="G984" s="13">
        <f t="shared" si="105"/>
        <v>1</v>
      </c>
      <c r="H984" s="21">
        <f t="shared" si="106"/>
        <v>0</v>
      </c>
      <c r="I984" s="21">
        <f>IF(OR(B984="",C984="",$V$1=""),"",MIN(E984,SUMIFS('03_Planificacion'!$G$99:$G$178,'03_Planificacion'!$E$99:$E$178,B984,'03_Planificacion'!$F$99:$F$178,C984,'03_Planificacion'!$D$99:$D$178,"&lt;="&amp;$V$1)))</f>
        <v>0</v>
      </c>
      <c r="J984" s="21">
        <f t="shared" si="107"/>
        <v>0</v>
      </c>
      <c r="K984" s="6">
        <f t="shared" si="108"/>
        <v>0</v>
      </c>
      <c r="L984" t="s">
        <v>68</v>
      </c>
      <c r="P984" s="5">
        <f t="shared" si="109"/>
        <v>46287</v>
      </c>
      <c r="R984">
        <v>160</v>
      </c>
      <c r="S984" t="s">
        <v>171</v>
      </c>
      <c r="T984" t="str">
        <f t="shared" si="110"/>
        <v/>
      </c>
      <c r="U984" t="str">
        <f>IF(AND(L984="Para Programar",G984&gt;0),COUNTIFS($L$5:L984,"Para Programar",$G$5:G984,"&gt;0"),"")</f>
        <v/>
      </c>
      <c r="W984" t="str">
        <f t="shared" si="111"/>
        <v>N38 - N39|10 Relleno -0,60 - Inspección laboratorio</v>
      </c>
      <c r="X984">
        <v>0</v>
      </c>
    </row>
    <row r="985" spans="1:24">
      <c r="A985" t="s">
        <v>110</v>
      </c>
      <c r="B985" s="14" t="s">
        <v>178</v>
      </c>
      <c r="C985" t="s">
        <v>111</v>
      </c>
      <c r="D985" s="13" t="s">
        <v>67</v>
      </c>
      <c r="E985" s="13">
        <v>45</v>
      </c>
      <c r="F985" s="13">
        <f>IF(E985="","",MIN(E985,$X985+SUMIFS('05_Parte_Diario'!$H$5:$H$204,'05_Parte_Diario'!$D$5:$D$204,B985,'05_Parte_Diario'!$E$5:$E$204,C985)))</f>
        <v>0</v>
      </c>
      <c r="G985" s="13">
        <f t="shared" si="105"/>
        <v>45</v>
      </c>
      <c r="H985" s="21">
        <f t="shared" si="106"/>
        <v>0</v>
      </c>
      <c r="I985" s="21">
        <f>IF(OR(B985="",C985="",$V$1=""),"",MIN(E985,SUMIFS('03_Planificacion'!$G$99:$G$178,'03_Planificacion'!$E$99:$E$178,B985,'03_Planificacion'!$F$99:$F$178,C985,'03_Planificacion'!$D$99:$D$178,"&lt;="&amp;$V$1)))</f>
        <v>0</v>
      </c>
      <c r="J985" s="21">
        <f t="shared" si="107"/>
        <v>0</v>
      </c>
      <c r="K985" s="6">
        <f t="shared" si="108"/>
        <v>0</v>
      </c>
      <c r="L985" t="s">
        <v>68</v>
      </c>
      <c r="P985" s="5">
        <f t="shared" si="109"/>
        <v>46287</v>
      </c>
      <c r="R985">
        <v>160</v>
      </c>
      <c r="S985" t="s">
        <v>171</v>
      </c>
      <c r="T985" t="str">
        <f t="shared" si="110"/>
        <v/>
      </c>
      <c r="U985" t="str">
        <f>IF(AND(L985="Para Programar",G985&gt;0),COUNTIFS($L$5:L985,"Para Programar",$G$5:G985,"&gt;0"),"")</f>
        <v/>
      </c>
      <c r="W985" t="str">
        <f t="shared" si="111"/>
        <v>N38 - N39|11 Relleno -0,30 - Conformación de capa</v>
      </c>
      <c r="X985">
        <v>0</v>
      </c>
    </row>
    <row r="986" spans="1:24">
      <c r="A986" t="s">
        <v>112</v>
      </c>
      <c r="B986" s="14" t="s">
        <v>178</v>
      </c>
      <c r="C986" t="s">
        <v>113</v>
      </c>
      <c r="D986" s="13" t="s">
        <v>67</v>
      </c>
      <c r="E986" s="13">
        <v>45</v>
      </c>
      <c r="F986" s="13">
        <f>IF(E986="","",MIN(E986,$X986+SUMIFS('05_Parte_Diario'!$H$5:$H$204,'05_Parte_Diario'!$D$5:$D$204,B986,'05_Parte_Diario'!$E$5:$E$204,C986)))</f>
        <v>0</v>
      </c>
      <c r="G986" s="13">
        <f t="shared" si="105"/>
        <v>45</v>
      </c>
      <c r="H986" s="21">
        <f t="shared" si="106"/>
        <v>0</v>
      </c>
      <c r="I986" s="21">
        <f>IF(OR(B986="",C986="",$V$1=""),"",MIN(E986,SUMIFS('03_Planificacion'!$G$99:$G$178,'03_Planificacion'!$E$99:$E$178,B986,'03_Planificacion'!$F$99:$F$178,C986,'03_Planificacion'!$D$99:$D$178,"&lt;="&amp;$V$1)))</f>
        <v>0</v>
      </c>
      <c r="J986" s="21">
        <f t="shared" si="107"/>
        <v>0</v>
      </c>
      <c r="K986" s="6">
        <f t="shared" si="108"/>
        <v>0</v>
      </c>
      <c r="L986" t="s">
        <v>68</v>
      </c>
      <c r="P986" s="5">
        <f t="shared" si="109"/>
        <v>46287</v>
      </c>
      <c r="R986">
        <v>160</v>
      </c>
      <c r="S986" t="s">
        <v>171</v>
      </c>
      <c r="T986" t="str">
        <f t="shared" si="110"/>
        <v/>
      </c>
      <c r="U986" t="str">
        <f>IF(AND(L986="Para Programar",G986&gt;0),COUNTIFS($L$5:L986,"Para Programar",$G$5:G986,"&gt;0"),"")</f>
        <v/>
      </c>
      <c r="W986" t="str">
        <f t="shared" si="111"/>
        <v>N38 - N39|11 Relleno -0,30 - Humectación</v>
      </c>
      <c r="X986">
        <v>0</v>
      </c>
    </row>
    <row r="987" spans="1:24">
      <c r="A987" t="s">
        <v>114</v>
      </c>
      <c r="B987" s="14" t="s">
        <v>178</v>
      </c>
      <c r="C987" t="s">
        <v>115</v>
      </c>
      <c r="D987" s="13" t="s">
        <v>67</v>
      </c>
      <c r="E987" s="13">
        <v>45</v>
      </c>
      <c r="F987" s="13">
        <f>IF(E987="","",MIN(E987,$X987+SUMIFS('05_Parte_Diario'!$H$5:$H$204,'05_Parte_Diario'!$D$5:$D$204,B987,'05_Parte_Diario'!$E$5:$E$204,C987)))</f>
        <v>0</v>
      </c>
      <c r="G987" s="13">
        <f t="shared" si="105"/>
        <v>45</v>
      </c>
      <c r="H987" s="21">
        <f t="shared" si="106"/>
        <v>0</v>
      </c>
      <c r="I987" s="21">
        <f>IF(OR(B987="",C987="",$V$1=""),"",MIN(E987,SUMIFS('03_Planificacion'!$G$99:$G$178,'03_Planificacion'!$E$99:$E$178,B987,'03_Planificacion'!$F$99:$F$178,C987,'03_Planificacion'!$D$99:$D$178,"&lt;="&amp;$V$1)))</f>
        <v>0</v>
      </c>
      <c r="J987" s="21">
        <f t="shared" si="107"/>
        <v>0</v>
      </c>
      <c r="K987" s="6">
        <f t="shared" si="108"/>
        <v>0</v>
      </c>
      <c r="L987" t="s">
        <v>68</v>
      </c>
      <c r="P987" s="5">
        <f t="shared" si="109"/>
        <v>46287</v>
      </c>
      <c r="R987">
        <v>160</v>
      </c>
      <c r="S987" t="s">
        <v>171</v>
      </c>
      <c r="T987" t="str">
        <f t="shared" si="110"/>
        <v/>
      </c>
      <c r="U987" t="str">
        <f>IF(AND(L987="Para Programar",G987&gt;0),COUNTIFS($L$5:L987,"Para Programar",$G$5:G987,"&gt;0"),"")</f>
        <v/>
      </c>
      <c r="W987" t="str">
        <f t="shared" si="111"/>
        <v>N38 - N39|11 Relleno -0,30 - Compactación</v>
      </c>
      <c r="X987">
        <v>0</v>
      </c>
    </row>
    <row r="988" spans="1:24">
      <c r="A988" t="s">
        <v>116</v>
      </c>
      <c r="B988" s="14" t="s">
        <v>178</v>
      </c>
      <c r="C988" t="s">
        <v>117</v>
      </c>
      <c r="D988" s="13" t="s">
        <v>81</v>
      </c>
      <c r="E988" s="13">
        <v>1</v>
      </c>
      <c r="F988" s="13">
        <f>IF(E988="","",MIN(E988,$X988+SUMIFS('05_Parte_Diario'!$H$5:$H$204,'05_Parte_Diario'!$D$5:$D$204,B988,'05_Parte_Diario'!$E$5:$E$204,C988)))</f>
        <v>0</v>
      </c>
      <c r="G988" s="13">
        <f t="shared" si="105"/>
        <v>1</v>
      </c>
      <c r="H988" s="21">
        <f t="shared" si="106"/>
        <v>0</v>
      </c>
      <c r="I988" s="21">
        <f>IF(OR(B988="",C988="",$V$1=""),"",MIN(E988,SUMIFS('03_Planificacion'!$G$99:$G$178,'03_Planificacion'!$E$99:$E$178,B988,'03_Planificacion'!$F$99:$F$178,C988,'03_Planificacion'!$D$99:$D$178,"&lt;="&amp;$V$1)))</f>
        <v>0</v>
      </c>
      <c r="J988" s="21">
        <f t="shared" si="107"/>
        <v>0</v>
      </c>
      <c r="K988" s="6">
        <f t="shared" si="108"/>
        <v>0</v>
      </c>
      <c r="L988" t="s">
        <v>68</v>
      </c>
      <c r="P988" s="5">
        <f t="shared" si="109"/>
        <v>46287</v>
      </c>
      <c r="R988">
        <v>160</v>
      </c>
      <c r="S988" t="s">
        <v>171</v>
      </c>
      <c r="T988" t="str">
        <f t="shared" si="110"/>
        <v/>
      </c>
      <c r="U988" t="str">
        <f>IF(AND(L988="Para Programar",G988&gt;0),COUNTIFS($L$5:L988,"Para Programar",$G$5:G988,"&gt;0"),"")</f>
        <v/>
      </c>
      <c r="W988" t="str">
        <f t="shared" si="111"/>
        <v>N38 - N39|11 Relleno -0,30 - Inspección laboratorio</v>
      </c>
      <c r="X988">
        <v>0</v>
      </c>
    </row>
    <row r="989" spans="1:24">
      <c r="A989" t="s">
        <v>64</v>
      </c>
      <c r="B989" s="14" t="s">
        <v>179</v>
      </c>
      <c r="C989" t="s">
        <v>66</v>
      </c>
      <c r="D989" s="13" t="s">
        <v>67</v>
      </c>
      <c r="E989" s="13">
        <v>167</v>
      </c>
      <c r="F989" s="13">
        <f>IF(E989="","",MIN(E989,$X989+SUMIFS('05_Parte_Diario'!$H$5:$H$204,'05_Parte_Diario'!$D$5:$D$204,B989,'05_Parte_Diario'!$E$5:$E$204,C989)))</f>
        <v>0</v>
      </c>
      <c r="G989" s="13">
        <f t="shared" si="105"/>
        <v>167</v>
      </c>
      <c r="H989" s="21">
        <f t="shared" si="106"/>
        <v>0</v>
      </c>
      <c r="I989" s="21">
        <f>IF(OR(B989="",C989="",$V$1=""),"",MIN(E989,SUMIFS('03_Planificacion'!$G$99:$G$178,'03_Planificacion'!$E$99:$E$178,B989,'03_Planificacion'!$F$99:$F$178,C989,'03_Planificacion'!$D$99:$D$178,"&lt;="&amp;$V$1)))</f>
        <v>0</v>
      </c>
      <c r="J989" s="21">
        <f t="shared" si="107"/>
        <v>0</v>
      </c>
      <c r="K989" s="6">
        <f t="shared" si="108"/>
        <v>0</v>
      </c>
      <c r="L989" t="s">
        <v>68</v>
      </c>
      <c r="P989" s="5">
        <f t="shared" si="109"/>
        <v>46287</v>
      </c>
      <c r="Q989" t="s">
        <v>180</v>
      </c>
      <c r="R989">
        <v>75</v>
      </c>
      <c r="S989" t="s">
        <v>70</v>
      </c>
      <c r="T989" t="str">
        <f t="shared" si="110"/>
        <v/>
      </c>
      <c r="U989" t="str">
        <f>IF(AND(L989="Para Programar",G989&gt;0),COUNTIFS($L$5:L989,"Para Programar",$G$5:G989,"&gt;0"),"")</f>
        <v/>
      </c>
      <c r="W989" t="str">
        <f t="shared" si="111"/>
        <v>N4 - N6|01 Replanteo - Marcación de tramo de cañería principal</v>
      </c>
      <c r="X989">
        <v>0</v>
      </c>
    </row>
    <row r="990" spans="1:24">
      <c r="A990" t="s">
        <v>71</v>
      </c>
      <c r="B990" s="14" t="s">
        <v>179</v>
      </c>
      <c r="C990" t="s">
        <v>72</v>
      </c>
      <c r="D990" s="13" t="s">
        <v>67</v>
      </c>
      <c r="E990" s="13">
        <v>167</v>
      </c>
      <c r="F990" s="13">
        <f>IF(E990="","",MIN(E990,$X990+SUMIFS('05_Parte_Diario'!$H$5:$H$204,'05_Parte_Diario'!$D$5:$D$204,B990,'05_Parte_Diario'!$E$5:$E$204,C990)))</f>
        <v>0</v>
      </c>
      <c r="G990" s="13">
        <f t="shared" si="105"/>
        <v>167</v>
      </c>
      <c r="H990" s="21">
        <f t="shared" si="106"/>
        <v>0</v>
      </c>
      <c r="I990" s="21">
        <f>IF(OR(B990="",C990="",$V$1=""),"",MIN(E990,SUMIFS('03_Planificacion'!$G$99:$G$178,'03_Planificacion'!$E$99:$E$178,B990,'03_Planificacion'!$F$99:$F$178,C990,'03_Planificacion'!$D$99:$D$178,"&lt;="&amp;$V$1)))</f>
        <v>0</v>
      </c>
      <c r="J990" s="21">
        <f t="shared" si="107"/>
        <v>0</v>
      </c>
      <c r="K990" s="6">
        <f t="shared" si="108"/>
        <v>0</v>
      </c>
      <c r="L990" t="s">
        <v>68</v>
      </c>
      <c r="P990" s="5">
        <f t="shared" si="109"/>
        <v>46287</v>
      </c>
      <c r="Q990" t="s">
        <v>180</v>
      </c>
      <c r="R990">
        <v>75</v>
      </c>
      <c r="S990" t="s">
        <v>70</v>
      </c>
      <c r="T990" t="str">
        <f t="shared" si="110"/>
        <v/>
      </c>
      <c r="U990" t="str">
        <f>IF(AND(L990="Para Programar",G990&gt;0),COUNTIFS($L$5:L990,"Para Programar",$G$5:G990,"&gt;0"),"")</f>
        <v/>
      </c>
      <c r="W990" t="str">
        <f t="shared" si="111"/>
        <v>N4 - N6|02 Excavación - Zanja principal</v>
      </c>
      <c r="X990">
        <v>0</v>
      </c>
    </row>
    <row r="991" spans="1:24">
      <c r="A991" t="s">
        <v>73</v>
      </c>
      <c r="B991" s="14" t="s">
        <v>179</v>
      </c>
      <c r="C991" t="s">
        <v>74</v>
      </c>
      <c r="D991" s="13" t="s">
        <v>67</v>
      </c>
      <c r="E991" s="13">
        <v>167</v>
      </c>
      <c r="F991" s="13">
        <f>IF(E991="","",MIN(E991,$X991+SUMIFS('05_Parte_Diario'!$H$5:$H$204,'05_Parte_Diario'!$D$5:$D$204,B991,'05_Parte_Diario'!$E$5:$E$204,C991)))</f>
        <v>0</v>
      </c>
      <c r="G991" s="13">
        <f t="shared" si="105"/>
        <v>167</v>
      </c>
      <c r="H991" s="21">
        <f t="shared" si="106"/>
        <v>0</v>
      </c>
      <c r="I991" s="21">
        <f>IF(OR(B991="",C991="",$V$1=""),"",MIN(E991,SUMIFS('03_Planificacion'!$G$99:$G$178,'03_Planificacion'!$E$99:$E$178,B991,'03_Planificacion'!$F$99:$F$178,C991,'03_Planificacion'!$D$99:$D$178,"&lt;="&amp;$V$1)))</f>
        <v>0</v>
      </c>
      <c r="J991" s="21">
        <f t="shared" si="107"/>
        <v>0</v>
      </c>
      <c r="K991" s="6">
        <f t="shared" si="108"/>
        <v>0</v>
      </c>
      <c r="L991" t="s">
        <v>68</v>
      </c>
      <c r="P991" s="5">
        <f t="shared" si="109"/>
        <v>46287</v>
      </c>
      <c r="Q991" t="s">
        <v>180</v>
      </c>
      <c r="R991">
        <v>75</v>
      </c>
      <c r="S991" t="s">
        <v>70</v>
      </c>
      <c r="T991" t="str">
        <f t="shared" si="110"/>
        <v/>
      </c>
      <c r="U991" t="str">
        <f>IF(AND(L991="Para Programar",G991&gt;0),COUNTIFS($L$5:L991,"Para Programar",$G$5:G991,"&gt;0"),"")</f>
        <v/>
      </c>
      <c r="W991" t="str">
        <f t="shared" si="111"/>
        <v>N4 - N6|03 Base de asiento - Nivelación de fondo de zanja</v>
      </c>
      <c r="X991">
        <v>0</v>
      </c>
    </row>
    <row r="992" spans="1:24">
      <c r="A992" t="s">
        <v>75</v>
      </c>
      <c r="B992" s="14" t="s">
        <v>179</v>
      </c>
      <c r="C992" t="s">
        <v>76</v>
      </c>
      <c r="D992" s="13" t="s">
        <v>67</v>
      </c>
      <c r="E992" s="13">
        <v>167</v>
      </c>
      <c r="F992" s="13">
        <f>IF(E992="","",MIN(E992,$X992+SUMIFS('05_Parte_Diario'!$H$5:$H$204,'05_Parte_Diario'!$D$5:$D$204,B992,'05_Parte_Diario'!$E$5:$E$204,C992)))</f>
        <v>0</v>
      </c>
      <c r="G992" s="13">
        <f t="shared" si="105"/>
        <v>167</v>
      </c>
      <c r="H992" s="21">
        <f t="shared" si="106"/>
        <v>0</v>
      </c>
      <c r="I992" s="21">
        <f>IF(OR(B992="",C992="",$V$1=""),"",MIN(E992,SUMIFS('03_Planificacion'!$G$99:$G$178,'03_Planificacion'!$E$99:$E$178,B992,'03_Planificacion'!$F$99:$F$178,C992,'03_Planificacion'!$D$99:$D$178,"&lt;="&amp;$V$1)))</f>
        <v>0</v>
      </c>
      <c r="J992" s="21">
        <f t="shared" si="107"/>
        <v>0</v>
      </c>
      <c r="K992" s="6">
        <f t="shared" si="108"/>
        <v>0</v>
      </c>
      <c r="L992" t="s">
        <v>68</v>
      </c>
      <c r="P992" s="5">
        <f t="shared" si="109"/>
        <v>46287</v>
      </c>
      <c r="Q992" t="s">
        <v>180</v>
      </c>
      <c r="R992">
        <v>75</v>
      </c>
      <c r="S992" t="s">
        <v>70</v>
      </c>
      <c r="T992" t="str">
        <f t="shared" si="110"/>
        <v/>
      </c>
      <c r="U992" t="str">
        <f>IF(AND(L992="Para Programar",G992&gt;0),COUNTIFS($L$5:L992,"Para Programar",$G$5:G992,"&gt;0"),"")</f>
        <v/>
      </c>
      <c r="W992" t="str">
        <f t="shared" si="111"/>
        <v>N4 - N6|03 Base de asiento - Aporte de material base e=0,10 m</v>
      </c>
      <c r="X992">
        <v>0</v>
      </c>
    </row>
    <row r="993" spans="1:24">
      <c r="A993" t="s">
        <v>77</v>
      </c>
      <c r="B993" s="14" t="s">
        <v>179</v>
      </c>
      <c r="C993" t="s">
        <v>78</v>
      </c>
      <c r="D993" s="13" t="s">
        <v>67</v>
      </c>
      <c r="E993" s="13">
        <v>167</v>
      </c>
      <c r="F993" s="13">
        <f>IF(E993="","",MIN(E993,$X993+SUMIFS('05_Parte_Diario'!$H$5:$H$204,'05_Parte_Diario'!$D$5:$D$204,B993,'05_Parte_Diario'!$E$5:$E$204,C993)))</f>
        <v>0</v>
      </c>
      <c r="G993" s="13">
        <f t="shared" si="105"/>
        <v>167</v>
      </c>
      <c r="H993" s="21">
        <f t="shared" si="106"/>
        <v>0</v>
      </c>
      <c r="I993" s="21">
        <f>IF(OR(B993="",C993="",$V$1=""),"",MIN(E993,SUMIFS('03_Planificacion'!$G$99:$G$178,'03_Planificacion'!$E$99:$E$178,B993,'03_Planificacion'!$F$99:$F$178,C993,'03_Planificacion'!$D$99:$D$178,"&lt;="&amp;$V$1)))</f>
        <v>0</v>
      </c>
      <c r="J993" s="21">
        <f t="shared" si="107"/>
        <v>0</v>
      </c>
      <c r="K993" s="6">
        <f t="shared" si="108"/>
        <v>0</v>
      </c>
      <c r="L993" t="s">
        <v>68</v>
      </c>
      <c r="P993" s="5">
        <f t="shared" si="109"/>
        <v>46287</v>
      </c>
      <c r="Q993" t="s">
        <v>180</v>
      </c>
      <c r="R993">
        <v>75</v>
      </c>
      <c r="S993" t="s">
        <v>70</v>
      </c>
      <c r="T993" t="str">
        <f t="shared" si="110"/>
        <v/>
      </c>
      <c r="U993" t="str">
        <f>IF(AND(L993="Para Programar",G993&gt;0),COUNTIFS($L$5:L993,"Para Programar",$G$5:G993,"&gt;0"),"")</f>
        <v/>
      </c>
      <c r="W993" t="str">
        <f t="shared" si="111"/>
        <v>N4 - N6|03 Base de asiento - Compactación</v>
      </c>
      <c r="X993">
        <v>0</v>
      </c>
    </row>
    <row r="994" spans="1:24">
      <c r="A994" t="s">
        <v>79</v>
      </c>
      <c r="B994" s="14" t="s">
        <v>179</v>
      </c>
      <c r="C994" t="s">
        <v>80</v>
      </c>
      <c r="D994" s="13" t="s">
        <v>81</v>
      </c>
      <c r="E994" s="13">
        <v>1</v>
      </c>
      <c r="F994" s="13">
        <f>IF(E994="","",MIN(E994,$X994+SUMIFS('05_Parte_Diario'!$H$5:$H$204,'05_Parte_Diario'!$D$5:$D$204,B994,'05_Parte_Diario'!$E$5:$E$204,C994)))</f>
        <v>0</v>
      </c>
      <c r="G994" s="13">
        <f t="shared" si="105"/>
        <v>1</v>
      </c>
      <c r="H994" s="21">
        <f t="shared" si="106"/>
        <v>0</v>
      </c>
      <c r="I994" s="21">
        <f>IF(OR(B994="",C994="",$V$1=""),"",MIN(E994,SUMIFS('03_Planificacion'!$G$99:$G$178,'03_Planificacion'!$E$99:$E$178,B994,'03_Planificacion'!$F$99:$F$178,C994,'03_Planificacion'!$D$99:$D$178,"&lt;="&amp;$V$1)))</f>
        <v>0</v>
      </c>
      <c r="J994" s="21">
        <f t="shared" si="107"/>
        <v>0</v>
      </c>
      <c r="K994" s="6">
        <f t="shared" si="108"/>
        <v>0</v>
      </c>
      <c r="L994" t="s">
        <v>68</v>
      </c>
      <c r="P994" s="5">
        <f t="shared" si="109"/>
        <v>46287</v>
      </c>
      <c r="Q994" t="s">
        <v>180</v>
      </c>
      <c r="R994">
        <v>75</v>
      </c>
      <c r="S994" t="s">
        <v>70</v>
      </c>
      <c r="T994" t="str">
        <f t="shared" si="110"/>
        <v/>
      </c>
      <c r="U994" t="str">
        <f>IF(AND(L994="Para Programar",G994&gt;0),COUNTIFS($L$5:L994,"Para Programar",$G$5:G994,"&gt;0"),"")</f>
        <v/>
      </c>
      <c r="W994" t="str">
        <f t="shared" si="111"/>
        <v>N4 - N6|04 Inspecciones previas - Laboratorio base de asiento</v>
      </c>
      <c r="X994">
        <v>0</v>
      </c>
    </row>
    <row r="995" spans="1:24">
      <c r="A995" t="s">
        <v>82</v>
      </c>
      <c r="B995" s="14" t="s">
        <v>179</v>
      </c>
      <c r="C995" t="s">
        <v>83</v>
      </c>
      <c r="D995" s="13" t="s">
        <v>81</v>
      </c>
      <c r="E995" s="13">
        <v>1</v>
      </c>
      <c r="F995" s="13">
        <f>IF(E995="","",MIN(E995,$X995+SUMIFS('05_Parte_Diario'!$H$5:$H$204,'05_Parte_Diario'!$D$5:$D$204,B995,'05_Parte_Diario'!$E$5:$E$204,C995)))</f>
        <v>0</v>
      </c>
      <c r="G995" s="13">
        <f t="shared" si="105"/>
        <v>1</v>
      </c>
      <c r="H995" s="21">
        <f t="shared" si="106"/>
        <v>0</v>
      </c>
      <c r="I995" s="21">
        <f>IF(OR(B995="",C995="",$V$1=""),"",MIN(E995,SUMIFS('03_Planificacion'!$G$99:$G$178,'03_Planificacion'!$E$99:$E$178,B995,'03_Planificacion'!$F$99:$F$178,C995,'03_Planificacion'!$D$99:$D$178,"&lt;="&amp;$V$1)))</f>
        <v>0</v>
      </c>
      <c r="J995" s="21">
        <f t="shared" si="107"/>
        <v>0</v>
      </c>
      <c r="K995" s="6">
        <f t="shared" si="108"/>
        <v>0</v>
      </c>
      <c r="L995" t="s">
        <v>68</v>
      </c>
      <c r="P995" s="5">
        <f t="shared" si="109"/>
        <v>46287</v>
      </c>
      <c r="Q995" t="s">
        <v>180</v>
      </c>
      <c r="R995">
        <v>75</v>
      </c>
      <c r="S995" t="s">
        <v>70</v>
      </c>
      <c r="T995" t="str">
        <f t="shared" si="110"/>
        <v/>
      </c>
      <c r="U995" t="str">
        <f>IF(AND(L995="Para Programar",G995&gt;0),COUNTIFS($L$5:L995,"Para Programar",$G$5:G995,"&gt;0"),"")</f>
        <v/>
      </c>
      <c r="W995" t="str">
        <f t="shared" si="111"/>
        <v>N4 - N6|04 Inspecciones previas - Zanja y materiales</v>
      </c>
      <c r="X995">
        <v>0</v>
      </c>
    </row>
    <row r="996" spans="1:24">
      <c r="A996" t="s">
        <v>84</v>
      </c>
      <c r="B996" s="14" t="s">
        <v>179</v>
      </c>
      <c r="C996" t="s">
        <v>85</v>
      </c>
      <c r="D996" s="13" t="s">
        <v>67</v>
      </c>
      <c r="E996" s="13">
        <v>167</v>
      </c>
      <c r="F996" s="13">
        <f>IF(E996="","",MIN(E996,$X996+SUMIFS('05_Parte_Diario'!$H$5:$H$204,'05_Parte_Diario'!$D$5:$D$204,B996,'05_Parte_Diario'!$E$5:$E$204,C996)))</f>
        <v>0</v>
      </c>
      <c r="G996" s="13">
        <f t="shared" si="105"/>
        <v>167</v>
      </c>
      <c r="H996" s="21">
        <f t="shared" si="106"/>
        <v>0</v>
      </c>
      <c r="I996" s="21">
        <f>IF(OR(B996="",C996="",$V$1=""),"",MIN(E996,SUMIFS('03_Planificacion'!$G$99:$G$178,'03_Planificacion'!$E$99:$E$178,B996,'03_Planificacion'!$F$99:$F$178,C996,'03_Planificacion'!$D$99:$D$178,"&lt;="&amp;$V$1)))</f>
        <v>0</v>
      </c>
      <c r="J996" s="21">
        <f t="shared" si="107"/>
        <v>0</v>
      </c>
      <c r="K996" s="6">
        <f t="shared" si="108"/>
        <v>0</v>
      </c>
      <c r="L996" t="s">
        <v>68</v>
      </c>
      <c r="P996" s="5">
        <f t="shared" si="109"/>
        <v>46287</v>
      </c>
      <c r="Q996" t="s">
        <v>180</v>
      </c>
      <c r="R996">
        <v>75</v>
      </c>
      <c r="S996" t="s">
        <v>70</v>
      </c>
      <c r="T996" t="str">
        <f t="shared" si="110"/>
        <v/>
      </c>
      <c r="U996" t="str">
        <f>IF(AND(L996="Para Programar",G996&gt;0),COUNTIFS($L$5:L996,"Para Programar",$G$5:G996,"&gt;0"),"")</f>
        <v/>
      </c>
      <c r="W996" t="str">
        <f t="shared" si="111"/>
        <v>N4 - N6|05 Tendido de cañería - Cañería principal</v>
      </c>
      <c r="X996">
        <v>0</v>
      </c>
    </row>
    <row r="997" spans="1:24">
      <c r="A997" t="s">
        <v>86</v>
      </c>
      <c r="B997" s="14" t="s">
        <v>179</v>
      </c>
      <c r="C997" t="s">
        <v>87</v>
      </c>
      <c r="D997" s="13" t="s">
        <v>67</v>
      </c>
      <c r="E997" s="13">
        <v>167</v>
      </c>
      <c r="F997" s="13">
        <f>IF(E997="","",MIN(E997,$X997+SUMIFS('05_Parte_Diario'!$H$5:$H$204,'05_Parte_Diario'!$D$5:$D$204,B997,'05_Parte_Diario'!$E$5:$E$204,C997)))</f>
        <v>0</v>
      </c>
      <c r="G997" s="13">
        <f t="shared" si="105"/>
        <v>167</v>
      </c>
      <c r="H997" s="21">
        <f t="shared" si="106"/>
        <v>0</v>
      </c>
      <c r="I997" s="21">
        <f>IF(OR(B997="",C997="",$V$1=""),"",MIN(E997,SUMIFS('03_Planificacion'!$G$99:$G$178,'03_Planificacion'!$E$99:$E$178,B997,'03_Planificacion'!$F$99:$F$178,C997,'03_Planificacion'!$D$99:$D$178,"&lt;="&amp;$V$1)))</f>
        <v>0</v>
      </c>
      <c r="J997" s="21">
        <f t="shared" si="107"/>
        <v>0</v>
      </c>
      <c r="K997" s="6">
        <f t="shared" si="108"/>
        <v>0</v>
      </c>
      <c r="L997" t="s">
        <v>68</v>
      </c>
      <c r="P997" s="5">
        <f t="shared" si="109"/>
        <v>46287</v>
      </c>
      <c r="Q997" t="s">
        <v>180</v>
      </c>
      <c r="R997">
        <v>75</v>
      </c>
      <c r="S997" t="s">
        <v>70</v>
      </c>
      <c r="T997" t="str">
        <f t="shared" si="110"/>
        <v/>
      </c>
      <c r="U997" t="str">
        <f>IF(AND(L997="Para Programar",G997&gt;0),COUNTIFS($L$5:L997,"Para Programar",$G$5:G997,"&gt;0"),"")</f>
        <v/>
      </c>
      <c r="W997" t="str">
        <f t="shared" si="111"/>
        <v>N4 - N6|05 Tendido de cañería - Relevamiento planialtimétrico</v>
      </c>
      <c r="X997">
        <v>0</v>
      </c>
    </row>
    <row r="998" spans="1:24">
      <c r="A998" t="s">
        <v>88</v>
      </c>
      <c r="B998" s="14" t="s">
        <v>179</v>
      </c>
      <c r="C998" t="s">
        <v>89</v>
      </c>
      <c r="D998" s="13" t="s">
        <v>81</v>
      </c>
      <c r="E998" s="13">
        <v>1</v>
      </c>
      <c r="F998" s="13">
        <f>IF(E998="","",MIN(E998,$X998+SUMIFS('05_Parte_Diario'!$H$5:$H$204,'05_Parte_Diario'!$D$5:$D$204,B998,'05_Parte_Diario'!$E$5:$E$204,C998)))</f>
        <v>0</v>
      </c>
      <c r="G998" s="13">
        <f t="shared" si="105"/>
        <v>1</v>
      </c>
      <c r="H998" s="21">
        <f t="shared" si="106"/>
        <v>0</v>
      </c>
      <c r="I998" s="21">
        <f>IF(OR(B998="",C998="",$V$1=""),"",MIN(E998,SUMIFS('03_Planificacion'!$G$99:$G$178,'03_Planificacion'!$E$99:$E$178,B998,'03_Planificacion'!$F$99:$F$178,C998,'03_Planificacion'!$D$99:$D$178,"&lt;="&amp;$V$1)))</f>
        <v>0</v>
      </c>
      <c r="J998" s="21">
        <f t="shared" si="107"/>
        <v>0</v>
      </c>
      <c r="K998" s="6">
        <f t="shared" si="108"/>
        <v>0</v>
      </c>
      <c r="L998" t="s">
        <v>68</v>
      </c>
      <c r="P998" s="5">
        <f t="shared" si="109"/>
        <v>46287</v>
      </c>
      <c r="Q998" t="s">
        <v>180</v>
      </c>
      <c r="R998">
        <v>75</v>
      </c>
      <c r="S998" t="s">
        <v>70</v>
      </c>
      <c r="T998" t="str">
        <f t="shared" si="110"/>
        <v/>
      </c>
      <c r="U998" t="str">
        <f>IF(AND(L998="Para Programar",G998&gt;0),COUNTIFS($L$5:L998,"Para Programar",$G$5:G998,"&gt;0"),"")</f>
        <v/>
      </c>
      <c r="W998" t="str">
        <f t="shared" si="111"/>
        <v>N4 - N6|08 Prueba hidráulica - Preparación del sistema</v>
      </c>
      <c r="X998">
        <v>0</v>
      </c>
    </row>
    <row r="999" spans="1:24">
      <c r="A999" t="s">
        <v>90</v>
      </c>
      <c r="B999" s="14" t="s">
        <v>179</v>
      </c>
      <c r="C999" t="s">
        <v>91</v>
      </c>
      <c r="D999" s="13" t="s">
        <v>81</v>
      </c>
      <c r="E999" s="13">
        <v>1</v>
      </c>
      <c r="F999" s="13">
        <f>IF(E999="","",MIN(E999,$X999+SUMIFS('05_Parte_Diario'!$H$5:$H$204,'05_Parte_Diario'!$D$5:$D$204,B999,'05_Parte_Diario'!$E$5:$E$204,C999)))</f>
        <v>0</v>
      </c>
      <c r="G999" s="13">
        <f t="shared" si="105"/>
        <v>1</v>
      </c>
      <c r="H999" s="21">
        <f t="shared" si="106"/>
        <v>0</v>
      </c>
      <c r="I999" s="21">
        <f>IF(OR(B999="",C999="",$V$1=""),"",MIN(E999,SUMIFS('03_Planificacion'!$G$99:$G$178,'03_Planificacion'!$E$99:$E$178,B999,'03_Planificacion'!$F$99:$F$178,C999,'03_Planificacion'!$D$99:$D$178,"&lt;="&amp;$V$1)))</f>
        <v>0</v>
      </c>
      <c r="J999" s="21">
        <f t="shared" si="107"/>
        <v>0</v>
      </c>
      <c r="K999" s="6">
        <f t="shared" si="108"/>
        <v>0</v>
      </c>
      <c r="L999" t="s">
        <v>68</v>
      </c>
      <c r="P999" s="5">
        <f t="shared" si="109"/>
        <v>46287</v>
      </c>
      <c r="Q999" t="s">
        <v>180</v>
      </c>
      <c r="R999">
        <v>75</v>
      </c>
      <c r="S999" t="s">
        <v>70</v>
      </c>
      <c r="T999" t="str">
        <f t="shared" si="110"/>
        <v/>
      </c>
      <c r="U999" t="str">
        <f>IF(AND(L999="Para Programar",G999&gt;0),COUNTIFS($L$5:L999,"Para Programar",$G$5:G999,"&gt;0"),"")</f>
        <v/>
      </c>
      <c r="W999" t="str">
        <f t="shared" si="111"/>
        <v>N4 - N6|08 Prueba hidráulica - Interna N° 1</v>
      </c>
      <c r="X999">
        <v>0</v>
      </c>
    </row>
    <row r="1000" spans="1:24">
      <c r="A1000" t="s">
        <v>92</v>
      </c>
      <c r="B1000" s="14" t="s">
        <v>179</v>
      </c>
      <c r="C1000" t="s">
        <v>93</v>
      </c>
      <c r="D1000" s="13" t="s">
        <v>81</v>
      </c>
      <c r="E1000" s="13">
        <v>1</v>
      </c>
      <c r="F1000" s="13">
        <f>IF(E1000="","",MIN(E1000,$X1000+SUMIFS('05_Parte_Diario'!$H$5:$H$204,'05_Parte_Diario'!$D$5:$D$204,B1000,'05_Parte_Diario'!$E$5:$E$204,C1000)))</f>
        <v>0</v>
      </c>
      <c r="G1000" s="13">
        <f t="shared" si="105"/>
        <v>1</v>
      </c>
      <c r="H1000" s="21">
        <f t="shared" si="106"/>
        <v>0</v>
      </c>
      <c r="I1000" s="21">
        <f>IF(OR(B1000="",C1000="",$V$1=""),"",MIN(E1000,SUMIFS('03_Planificacion'!$G$99:$G$178,'03_Planificacion'!$E$99:$E$178,B1000,'03_Planificacion'!$F$99:$F$178,C1000,'03_Planificacion'!$D$99:$D$178,"&lt;="&amp;$V$1)))</f>
        <v>0</v>
      </c>
      <c r="J1000" s="21">
        <f t="shared" si="107"/>
        <v>0</v>
      </c>
      <c r="K1000" s="6">
        <f t="shared" si="108"/>
        <v>0</v>
      </c>
      <c r="L1000" t="s">
        <v>68</v>
      </c>
      <c r="P1000" s="5">
        <f t="shared" si="109"/>
        <v>46287</v>
      </c>
      <c r="Q1000" t="s">
        <v>180</v>
      </c>
      <c r="R1000">
        <v>75</v>
      </c>
      <c r="S1000" t="s">
        <v>70</v>
      </c>
      <c r="T1000" t="str">
        <f t="shared" si="110"/>
        <v/>
      </c>
      <c r="U1000" t="str">
        <f>IF(AND(L1000="Para Programar",G1000&gt;0),COUNTIFS($L$5:L1000,"Para Programar",$G$5:G1000,"&gt;0"),"")</f>
        <v/>
      </c>
      <c r="W1000" t="str">
        <f t="shared" si="111"/>
        <v>N4 - N6|08 Prueba hidráulica - Interna N° 2</v>
      </c>
      <c r="X1000">
        <v>0</v>
      </c>
    </row>
    <row r="1001" spans="1:24">
      <c r="A1001" t="s">
        <v>94</v>
      </c>
      <c r="B1001" s="14" t="s">
        <v>179</v>
      </c>
      <c r="C1001" t="s">
        <v>95</v>
      </c>
      <c r="D1001" s="13" t="s">
        <v>81</v>
      </c>
      <c r="E1001" s="13">
        <v>1</v>
      </c>
      <c r="F1001" s="13">
        <f>IF(E1001="","",MIN(E1001,$X1001+SUMIFS('05_Parte_Diario'!$H$5:$H$204,'05_Parte_Diario'!$D$5:$D$204,B1001,'05_Parte_Diario'!$E$5:$E$204,C1001)))</f>
        <v>0</v>
      </c>
      <c r="G1001" s="13">
        <f t="shared" si="105"/>
        <v>1</v>
      </c>
      <c r="H1001" s="21">
        <f t="shared" si="106"/>
        <v>0</v>
      </c>
      <c r="I1001" s="21">
        <f>IF(OR(B1001="",C1001="",$V$1=""),"",MIN(E1001,SUMIFS('03_Planificacion'!$G$99:$G$178,'03_Planificacion'!$E$99:$E$178,B1001,'03_Planificacion'!$F$99:$F$178,C1001,'03_Planificacion'!$D$99:$D$178,"&lt;="&amp;$V$1)))</f>
        <v>0</v>
      </c>
      <c r="J1001" s="21">
        <f t="shared" si="107"/>
        <v>0</v>
      </c>
      <c r="K1001" s="6">
        <f t="shared" si="108"/>
        <v>0</v>
      </c>
      <c r="L1001" t="s">
        <v>68</v>
      </c>
      <c r="P1001" s="5">
        <f t="shared" si="109"/>
        <v>46287</v>
      </c>
      <c r="Q1001" t="s">
        <v>180</v>
      </c>
      <c r="R1001">
        <v>75</v>
      </c>
      <c r="S1001" t="s">
        <v>70</v>
      </c>
      <c r="T1001" t="str">
        <f t="shared" si="110"/>
        <v/>
      </c>
      <c r="U1001" t="str">
        <f>IF(AND(L1001="Para Programar",G1001&gt;0),COUNTIFS($L$5:L1001,"Para Programar",$G$5:G1001,"&gt;0"),"")</f>
        <v/>
      </c>
      <c r="W1001" t="str">
        <f t="shared" si="111"/>
        <v>N4 - N6|08 Prueba hidráulica - Primera prueba oficial</v>
      </c>
      <c r="X1001">
        <v>0</v>
      </c>
    </row>
    <row r="1002" spans="1:24">
      <c r="A1002" t="s">
        <v>96</v>
      </c>
      <c r="B1002" s="14" t="s">
        <v>179</v>
      </c>
      <c r="C1002" t="s">
        <v>97</v>
      </c>
      <c r="D1002" s="13" t="s">
        <v>67</v>
      </c>
      <c r="E1002" s="13">
        <v>167</v>
      </c>
      <c r="F1002" s="13">
        <f>IF(E1002="","",MIN(E1002,$X1002+SUMIFS('05_Parte_Diario'!$H$5:$H$204,'05_Parte_Diario'!$D$5:$D$204,B1002,'05_Parte_Diario'!$E$5:$E$204,C1002)))</f>
        <v>0</v>
      </c>
      <c r="G1002" s="13">
        <f t="shared" si="105"/>
        <v>167</v>
      </c>
      <c r="H1002" s="21">
        <f t="shared" si="106"/>
        <v>0</v>
      </c>
      <c r="I1002" s="21">
        <f>IF(OR(B1002="",C1002="",$V$1=""),"",MIN(E1002,SUMIFS('03_Planificacion'!$G$99:$G$178,'03_Planificacion'!$E$99:$E$178,B1002,'03_Planificacion'!$F$99:$F$178,C1002,'03_Planificacion'!$D$99:$D$178,"&lt;="&amp;$V$1)))</f>
        <v>0</v>
      </c>
      <c r="J1002" s="21">
        <f t="shared" si="107"/>
        <v>0</v>
      </c>
      <c r="K1002" s="6">
        <f t="shared" si="108"/>
        <v>0</v>
      </c>
      <c r="L1002" t="s">
        <v>68</v>
      </c>
      <c r="P1002" s="5">
        <f t="shared" si="109"/>
        <v>46287</v>
      </c>
      <c r="Q1002" t="s">
        <v>180</v>
      </c>
      <c r="R1002">
        <v>75</v>
      </c>
      <c r="S1002" t="s">
        <v>70</v>
      </c>
      <c r="T1002" t="str">
        <f t="shared" si="110"/>
        <v/>
      </c>
      <c r="U1002" t="str">
        <f>IF(AND(L1002="Para Programar",G1002&gt;0),COUNTIFS($L$5:L1002,"Para Programar",$G$5:G1002,"&gt;0"),"")</f>
        <v/>
      </c>
      <c r="W1002" t="str">
        <f t="shared" si="111"/>
        <v>N4 - N6|09 Paquete estructural - Aporte e=0,30 m</v>
      </c>
      <c r="X1002">
        <v>0</v>
      </c>
    </row>
    <row r="1003" spans="1:24">
      <c r="A1003" t="s">
        <v>98</v>
      </c>
      <c r="B1003" s="14" t="s">
        <v>179</v>
      </c>
      <c r="C1003" t="s">
        <v>99</v>
      </c>
      <c r="D1003" s="13" t="s">
        <v>67</v>
      </c>
      <c r="E1003" s="13">
        <v>167</v>
      </c>
      <c r="F1003" s="13">
        <f>IF(E1003="","",MIN(E1003,$X1003+SUMIFS('05_Parte_Diario'!$H$5:$H$204,'05_Parte_Diario'!$D$5:$D$204,B1003,'05_Parte_Diario'!$E$5:$E$204,C1003)))</f>
        <v>0</v>
      </c>
      <c r="G1003" s="13">
        <f t="shared" si="105"/>
        <v>167</v>
      </c>
      <c r="H1003" s="21">
        <f t="shared" si="106"/>
        <v>0</v>
      </c>
      <c r="I1003" s="21">
        <f>IF(OR(B1003="",C1003="",$V$1=""),"",MIN(E1003,SUMIFS('03_Planificacion'!$G$99:$G$178,'03_Planificacion'!$E$99:$E$178,B1003,'03_Planificacion'!$F$99:$F$178,C1003,'03_Planificacion'!$D$99:$D$178,"&lt;="&amp;$V$1)))</f>
        <v>0</v>
      </c>
      <c r="J1003" s="21">
        <f t="shared" si="107"/>
        <v>0</v>
      </c>
      <c r="K1003" s="6">
        <f t="shared" si="108"/>
        <v>0</v>
      </c>
      <c r="L1003" t="s">
        <v>68</v>
      </c>
      <c r="P1003" s="5">
        <f t="shared" si="109"/>
        <v>46287</v>
      </c>
      <c r="Q1003" t="s">
        <v>180</v>
      </c>
      <c r="R1003">
        <v>75</v>
      </c>
      <c r="S1003" t="s">
        <v>70</v>
      </c>
      <c r="T1003" t="str">
        <f t="shared" si="110"/>
        <v/>
      </c>
      <c r="U1003" t="str">
        <f>IF(AND(L1003="Para Programar",G1003&gt;0),COUNTIFS($L$5:L1003,"Para Programar",$G$5:G1003,"&gt;0"),"")</f>
        <v/>
      </c>
      <c r="W1003" t="str">
        <f t="shared" si="111"/>
        <v>N4 - N6|09 Paquete estructural - Compactación</v>
      </c>
      <c r="X1003">
        <v>0</v>
      </c>
    </row>
    <row r="1004" spans="1:24">
      <c r="A1004" t="s">
        <v>100</v>
      </c>
      <c r="B1004" s="14" t="s">
        <v>179</v>
      </c>
      <c r="C1004" t="s">
        <v>101</v>
      </c>
      <c r="D1004" s="13" t="s">
        <v>81</v>
      </c>
      <c r="E1004" s="13">
        <v>1</v>
      </c>
      <c r="F1004" s="13">
        <f>IF(E1004="","",MIN(E1004,$X1004+SUMIFS('05_Parte_Diario'!$H$5:$H$204,'05_Parte_Diario'!$D$5:$D$204,B1004,'05_Parte_Diario'!$E$5:$E$204,C1004)))</f>
        <v>0</v>
      </c>
      <c r="G1004" s="13">
        <f t="shared" si="105"/>
        <v>1</v>
      </c>
      <c r="H1004" s="21">
        <f t="shared" si="106"/>
        <v>0</v>
      </c>
      <c r="I1004" s="21">
        <f>IF(OR(B1004="",C1004="",$V$1=""),"",MIN(E1004,SUMIFS('03_Planificacion'!$G$99:$G$178,'03_Planificacion'!$E$99:$E$178,B1004,'03_Planificacion'!$F$99:$F$178,C1004,'03_Planificacion'!$D$99:$D$178,"&lt;="&amp;$V$1)))</f>
        <v>0</v>
      </c>
      <c r="J1004" s="21">
        <f t="shared" si="107"/>
        <v>0</v>
      </c>
      <c r="K1004" s="6">
        <f t="shared" si="108"/>
        <v>0</v>
      </c>
      <c r="L1004" t="s">
        <v>68</v>
      </c>
      <c r="P1004" s="5">
        <f t="shared" si="109"/>
        <v>46287</v>
      </c>
      <c r="Q1004" t="s">
        <v>180</v>
      </c>
      <c r="R1004">
        <v>75</v>
      </c>
      <c r="S1004" t="s">
        <v>70</v>
      </c>
      <c r="T1004" t="str">
        <f t="shared" si="110"/>
        <v/>
      </c>
      <c r="U1004" t="str">
        <f>IF(AND(L1004="Para Programar",G1004&gt;0),COUNTIFS($L$5:L1004,"Para Programar",$G$5:G1004,"&gt;0"),"")</f>
        <v/>
      </c>
      <c r="W1004" t="str">
        <f t="shared" si="111"/>
        <v>N4 - N6|09 Paquete estructural - Inspección laboratorio</v>
      </c>
      <c r="X1004">
        <v>0</v>
      </c>
    </row>
    <row r="1005" spans="1:24">
      <c r="A1005" t="s">
        <v>102</v>
      </c>
      <c r="B1005" s="14" t="s">
        <v>179</v>
      </c>
      <c r="C1005" t="s">
        <v>103</v>
      </c>
      <c r="D1005" s="13" t="s">
        <v>67</v>
      </c>
      <c r="E1005" s="13">
        <v>167</v>
      </c>
      <c r="F1005" s="13">
        <f>IF(E1005="","",MIN(E1005,$X1005+SUMIFS('05_Parte_Diario'!$H$5:$H$204,'05_Parte_Diario'!$D$5:$D$204,B1005,'05_Parte_Diario'!$E$5:$E$204,C1005)))</f>
        <v>0</v>
      </c>
      <c r="G1005" s="13">
        <f t="shared" si="105"/>
        <v>167</v>
      </c>
      <c r="H1005" s="21">
        <f t="shared" si="106"/>
        <v>0</v>
      </c>
      <c r="I1005" s="21">
        <f>IF(OR(B1005="",C1005="",$V$1=""),"",MIN(E1005,SUMIFS('03_Planificacion'!$G$99:$G$178,'03_Planificacion'!$E$99:$E$178,B1005,'03_Planificacion'!$F$99:$F$178,C1005,'03_Planificacion'!$D$99:$D$178,"&lt;="&amp;$V$1)))</f>
        <v>0</v>
      </c>
      <c r="J1005" s="21">
        <f t="shared" si="107"/>
        <v>0</v>
      </c>
      <c r="K1005" s="6">
        <f t="shared" si="108"/>
        <v>0</v>
      </c>
      <c r="L1005" t="s">
        <v>68</v>
      </c>
      <c r="P1005" s="5">
        <f t="shared" si="109"/>
        <v>46287</v>
      </c>
      <c r="Q1005" t="s">
        <v>180</v>
      </c>
      <c r="R1005">
        <v>75</v>
      </c>
      <c r="S1005" t="s">
        <v>70</v>
      </c>
      <c r="T1005" t="str">
        <f t="shared" si="110"/>
        <v/>
      </c>
      <c r="U1005" t="str">
        <f>IF(AND(L1005="Para Programar",G1005&gt;0),COUNTIFS($L$5:L1005,"Para Programar",$G$5:G1005,"&gt;0"),"")</f>
        <v/>
      </c>
      <c r="W1005" t="str">
        <f t="shared" si="111"/>
        <v>N4 - N6|10 Relleno -0,60 - Conformación de capa</v>
      </c>
      <c r="X1005">
        <v>0</v>
      </c>
    </row>
    <row r="1006" spans="1:24">
      <c r="A1006" t="s">
        <v>104</v>
      </c>
      <c r="B1006" s="14" t="s">
        <v>179</v>
      </c>
      <c r="C1006" t="s">
        <v>105</v>
      </c>
      <c r="D1006" s="13" t="s">
        <v>67</v>
      </c>
      <c r="E1006" s="13">
        <v>167</v>
      </c>
      <c r="F1006" s="13">
        <f>IF(E1006="","",MIN(E1006,$X1006+SUMIFS('05_Parte_Diario'!$H$5:$H$204,'05_Parte_Diario'!$D$5:$D$204,B1006,'05_Parte_Diario'!$E$5:$E$204,C1006)))</f>
        <v>0</v>
      </c>
      <c r="G1006" s="13">
        <f t="shared" si="105"/>
        <v>167</v>
      </c>
      <c r="H1006" s="21">
        <f t="shared" si="106"/>
        <v>0</v>
      </c>
      <c r="I1006" s="21">
        <f>IF(OR(B1006="",C1006="",$V$1=""),"",MIN(E1006,SUMIFS('03_Planificacion'!$G$99:$G$178,'03_Planificacion'!$E$99:$E$178,B1006,'03_Planificacion'!$F$99:$F$178,C1006,'03_Planificacion'!$D$99:$D$178,"&lt;="&amp;$V$1)))</f>
        <v>0</v>
      </c>
      <c r="J1006" s="21">
        <f t="shared" si="107"/>
        <v>0</v>
      </c>
      <c r="K1006" s="6">
        <f t="shared" si="108"/>
        <v>0</v>
      </c>
      <c r="L1006" t="s">
        <v>68</v>
      </c>
      <c r="P1006" s="5">
        <f t="shared" si="109"/>
        <v>46287</v>
      </c>
      <c r="Q1006" t="s">
        <v>180</v>
      </c>
      <c r="R1006">
        <v>75</v>
      </c>
      <c r="S1006" t="s">
        <v>70</v>
      </c>
      <c r="T1006" t="str">
        <f t="shared" si="110"/>
        <v/>
      </c>
      <c r="U1006" t="str">
        <f>IF(AND(L1006="Para Programar",G1006&gt;0),COUNTIFS($L$5:L1006,"Para Programar",$G$5:G1006,"&gt;0"),"")</f>
        <v/>
      </c>
      <c r="W1006" t="str">
        <f t="shared" si="111"/>
        <v>N4 - N6|10 Relleno -0,60 - Humectación</v>
      </c>
      <c r="X1006">
        <v>0</v>
      </c>
    </row>
    <row r="1007" spans="1:24">
      <c r="A1007" t="s">
        <v>106</v>
      </c>
      <c r="B1007" s="14" t="s">
        <v>179</v>
      </c>
      <c r="C1007" t="s">
        <v>107</v>
      </c>
      <c r="D1007" s="13" t="s">
        <v>67</v>
      </c>
      <c r="E1007" s="13">
        <v>167</v>
      </c>
      <c r="F1007" s="13">
        <f>IF(E1007="","",MIN(E1007,$X1007+SUMIFS('05_Parte_Diario'!$H$5:$H$204,'05_Parte_Diario'!$D$5:$D$204,B1007,'05_Parte_Diario'!$E$5:$E$204,C1007)))</f>
        <v>0</v>
      </c>
      <c r="G1007" s="13">
        <f t="shared" si="105"/>
        <v>167</v>
      </c>
      <c r="H1007" s="21">
        <f t="shared" si="106"/>
        <v>0</v>
      </c>
      <c r="I1007" s="21">
        <f>IF(OR(B1007="",C1007="",$V$1=""),"",MIN(E1007,SUMIFS('03_Planificacion'!$G$99:$G$178,'03_Planificacion'!$E$99:$E$178,B1007,'03_Planificacion'!$F$99:$F$178,C1007,'03_Planificacion'!$D$99:$D$178,"&lt;="&amp;$V$1)))</f>
        <v>0</v>
      </c>
      <c r="J1007" s="21">
        <f t="shared" si="107"/>
        <v>0</v>
      </c>
      <c r="K1007" s="6">
        <f t="shared" si="108"/>
        <v>0</v>
      </c>
      <c r="L1007" t="s">
        <v>68</v>
      </c>
      <c r="P1007" s="5">
        <f t="shared" si="109"/>
        <v>46287</v>
      </c>
      <c r="Q1007" t="s">
        <v>180</v>
      </c>
      <c r="R1007">
        <v>75</v>
      </c>
      <c r="S1007" t="s">
        <v>70</v>
      </c>
      <c r="T1007" t="str">
        <f t="shared" si="110"/>
        <v/>
      </c>
      <c r="U1007" t="str">
        <f>IF(AND(L1007="Para Programar",G1007&gt;0),COUNTIFS($L$5:L1007,"Para Programar",$G$5:G1007,"&gt;0"),"")</f>
        <v/>
      </c>
      <c r="W1007" t="str">
        <f t="shared" si="111"/>
        <v>N4 - N6|10 Relleno -0,60 - Compactación</v>
      </c>
      <c r="X1007">
        <v>0</v>
      </c>
    </row>
    <row r="1008" spans="1:24">
      <c r="A1008" t="s">
        <v>108</v>
      </c>
      <c r="B1008" s="14" t="s">
        <v>179</v>
      </c>
      <c r="C1008" t="s">
        <v>109</v>
      </c>
      <c r="D1008" s="13" t="s">
        <v>81</v>
      </c>
      <c r="E1008" s="13">
        <v>1</v>
      </c>
      <c r="F1008" s="13">
        <f>IF(E1008="","",MIN(E1008,$X1008+SUMIFS('05_Parte_Diario'!$H$5:$H$204,'05_Parte_Diario'!$D$5:$D$204,B1008,'05_Parte_Diario'!$E$5:$E$204,C1008)))</f>
        <v>0</v>
      </c>
      <c r="G1008" s="13">
        <f t="shared" si="105"/>
        <v>1</v>
      </c>
      <c r="H1008" s="21">
        <f t="shared" si="106"/>
        <v>0</v>
      </c>
      <c r="I1008" s="21">
        <f>IF(OR(B1008="",C1008="",$V$1=""),"",MIN(E1008,SUMIFS('03_Planificacion'!$G$99:$G$178,'03_Planificacion'!$E$99:$E$178,B1008,'03_Planificacion'!$F$99:$F$178,C1008,'03_Planificacion'!$D$99:$D$178,"&lt;="&amp;$V$1)))</f>
        <v>0</v>
      </c>
      <c r="J1008" s="21">
        <f t="shared" si="107"/>
        <v>0</v>
      </c>
      <c r="K1008" s="6">
        <f t="shared" si="108"/>
        <v>0</v>
      </c>
      <c r="L1008" t="s">
        <v>68</v>
      </c>
      <c r="P1008" s="5">
        <f t="shared" si="109"/>
        <v>46287</v>
      </c>
      <c r="Q1008" t="s">
        <v>180</v>
      </c>
      <c r="R1008">
        <v>75</v>
      </c>
      <c r="S1008" t="s">
        <v>70</v>
      </c>
      <c r="T1008" t="str">
        <f t="shared" si="110"/>
        <v/>
      </c>
      <c r="U1008" t="str">
        <f>IF(AND(L1008="Para Programar",G1008&gt;0),COUNTIFS($L$5:L1008,"Para Programar",$G$5:G1008,"&gt;0"),"")</f>
        <v/>
      </c>
      <c r="W1008" t="str">
        <f t="shared" si="111"/>
        <v>N4 - N6|10 Relleno -0,60 - Inspección laboratorio</v>
      </c>
      <c r="X1008">
        <v>0</v>
      </c>
    </row>
    <row r="1009" spans="1:24">
      <c r="A1009" t="s">
        <v>110</v>
      </c>
      <c r="B1009" s="14" t="s">
        <v>179</v>
      </c>
      <c r="C1009" t="s">
        <v>111</v>
      </c>
      <c r="D1009" s="13" t="s">
        <v>67</v>
      </c>
      <c r="E1009" s="13">
        <v>167</v>
      </c>
      <c r="F1009" s="13">
        <f>IF(E1009="","",MIN(E1009,$X1009+SUMIFS('05_Parte_Diario'!$H$5:$H$204,'05_Parte_Diario'!$D$5:$D$204,B1009,'05_Parte_Diario'!$E$5:$E$204,C1009)))</f>
        <v>0</v>
      </c>
      <c r="G1009" s="13">
        <f t="shared" si="105"/>
        <v>167</v>
      </c>
      <c r="H1009" s="21">
        <f t="shared" si="106"/>
        <v>0</v>
      </c>
      <c r="I1009" s="21">
        <f>IF(OR(B1009="",C1009="",$V$1=""),"",MIN(E1009,SUMIFS('03_Planificacion'!$G$99:$G$178,'03_Planificacion'!$E$99:$E$178,B1009,'03_Planificacion'!$F$99:$F$178,C1009,'03_Planificacion'!$D$99:$D$178,"&lt;="&amp;$V$1)))</f>
        <v>0</v>
      </c>
      <c r="J1009" s="21">
        <f t="shared" si="107"/>
        <v>0</v>
      </c>
      <c r="K1009" s="6">
        <f t="shared" si="108"/>
        <v>0</v>
      </c>
      <c r="L1009" t="s">
        <v>68</v>
      </c>
      <c r="P1009" s="5">
        <f t="shared" si="109"/>
        <v>46287</v>
      </c>
      <c r="Q1009" t="s">
        <v>180</v>
      </c>
      <c r="R1009">
        <v>75</v>
      </c>
      <c r="S1009" t="s">
        <v>70</v>
      </c>
      <c r="T1009" t="str">
        <f t="shared" si="110"/>
        <v/>
      </c>
      <c r="U1009" t="str">
        <f>IF(AND(L1009="Para Programar",G1009&gt;0),COUNTIFS($L$5:L1009,"Para Programar",$G$5:G1009,"&gt;0"),"")</f>
        <v/>
      </c>
      <c r="W1009" t="str">
        <f t="shared" si="111"/>
        <v>N4 - N6|11 Relleno -0,30 - Conformación de capa</v>
      </c>
      <c r="X1009">
        <v>0</v>
      </c>
    </row>
    <row r="1010" spans="1:24">
      <c r="A1010" t="s">
        <v>112</v>
      </c>
      <c r="B1010" s="14" t="s">
        <v>179</v>
      </c>
      <c r="C1010" t="s">
        <v>113</v>
      </c>
      <c r="D1010" s="13" t="s">
        <v>67</v>
      </c>
      <c r="E1010" s="13">
        <v>167</v>
      </c>
      <c r="F1010" s="13">
        <f>IF(E1010="","",MIN(E1010,$X1010+SUMIFS('05_Parte_Diario'!$H$5:$H$204,'05_Parte_Diario'!$D$5:$D$204,B1010,'05_Parte_Diario'!$E$5:$E$204,C1010)))</f>
        <v>0</v>
      </c>
      <c r="G1010" s="13">
        <f t="shared" si="105"/>
        <v>167</v>
      </c>
      <c r="H1010" s="21">
        <f t="shared" si="106"/>
        <v>0</v>
      </c>
      <c r="I1010" s="21">
        <f>IF(OR(B1010="",C1010="",$V$1=""),"",MIN(E1010,SUMIFS('03_Planificacion'!$G$99:$G$178,'03_Planificacion'!$E$99:$E$178,B1010,'03_Planificacion'!$F$99:$F$178,C1010,'03_Planificacion'!$D$99:$D$178,"&lt;="&amp;$V$1)))</f>
        <v>0</v>
      </c>
      <c r="J1010" s="21">
        <f t="shared" si="107"/>
        <v>0</v>
      </c>
      <c r="K1010" s="6">
        <f t="shared" si="108"/>
        <v>0</v>
      </c>
      <c r="L1010" t="s">
        <v>68</v>
      </c>
      <c r="P1010" s="5">
        <f t="shared" si="109"/>
        <v>46287</v>
      </c>
      <c r="Q1010" t="s">
        <v>180</v>
      </c>
      <c r="R1010">
        <v>75</v>
      </c>
      <c r="S1010" t="s">
        <v>70</v>
      </c>
      <c r="T1010" t="str">
        <f t="shared" si="110"/>
        <v/>
      </c>
      <c r="U1010" t="str">
        <f>IF(AND(L1010="Para Programar",G1010&gt;0),COUNTIFS($L$5:L1010,"Para Programar",$G$5:G1010,"&gt;0"),"")</f>
        <v/>
      </c>
      <c r="W1010" t="str">
        <f t="shared" si="111"/>
        <v>N4 - N6|11 Relleno -0,30 - Humectación</v>
      </c>
      <c r="X1010">
        <v>0</v>
      </c>
    </row>
    <row r="1011" spans="1:24">
      <c r="A1011" t="s">
        <v>114</v>
      </c>
      <c r="B1011" s="14" t="s">
        <v>179</v>
      </c>
      <c r="C1011" t="s">
        <v>115</v>
      </c>
      <c r="D1011" s="13" t="s">
        <v>67</v>
      </c>
      <c r="E1011" s="13">
        <v>167</v>
      </c>
      <c r="F1011" s="13">
        <f>IF(E1011="","",MIN(E1011,$X1011+SUMIFS('05_Parte_Diario'!$H$5:$H$204,'05_Parte_Diario'!$D$5:$D$204,B1011,'05_Parte_Diario'!$E$5:$E$204,C1011)))</f>
        <v>0</v>
      </c>
      <c r="G1011" s="13">
        <f t="shared" si="105"/>
        <v>167</v>
      </c>
      <c r="H1011" s="21">
        <f t="shared" si="106"/>
        <v>0</v>
      </c>
      <c r="I1011" s="21">
        <f>IF(OR(B1011="",C1011="",$V$1=""),"",MIN(E1011,SUMIFS('03_Planificacion'!$G$99:$G$178,'03_Planificacion'!$E$99:$E$178,B1011,'03_Planificacion'!$F$99:$F$178,C1011,'03_Planificacion'!$D$99:$D$178,"&lt;="&amp;$V$1)))</f>
        <v>0</v>
      </c>
      <c r="J1011" s="21">
        <f t="shared" si="107"/>
        <v>0</v>
      </c>
      <c r="K1011" s="6">
        <f t="shared" si="108"/>
        <v>0</v>
      </c>
      <c r="L1011" t="s">
        <v>68</v>
      </c>
      <c r="P1011" s="5">
        <f t="shared" si="109"/>
        <v>46287</v>
      </c>
      <c r="Q1011" t="s">
        <v>180</v>
      </c>
      <c r="R1011">
        <v>75</v>
      </c>
      <c r="S1011" t="s">
        <v>70</v>
      </c>
      <c r="T1011" t="str">
        <f t="shared" si="110"/>
        <v/>
      </c>
      <c r="U1011" t="str">
        <f>IF(AND(L1011="Para Programar",G1011&gt;0),COUNTIFS($L$5:L1011,"Para Programar",$G$5:G1011,"&gt;0"),"")</f>
        <v/>
      </c>
      <c r="W1011" t="str">
        <f t="shared" si="111"/>
        <v>N4 - N6|11 Relleno -0,30 - Compactación</v>
      </c>
      <c r="X1011">
        <v>0</v>
      </c>
    </row>
    <row r="1012" spans="1:24">
      <c r="A1012" t="s">
        <v>116</v>
      </c>
      <c r="B1012" s="14" t="s">
        <v>179</v>
      </c>
      <c r="C1012" t="s">
        <v>117</v>
      </c>
      <c r="D1012" s="13" t="s">
        <v>81</v>
      </c>
      <c r="E1012" s="13">
        <v>1</v>
      </c>
      <c r="F1012" s="13">
        <f>IF(E1012="","",MIN(E1012,$X1012+SUMIFS('05_Parte_Diario'!$H$5:$H$204,'05_Parte_Diario'!$D$5:$D$204,B1012,'05_Parte_Diario'!$E$5:$E$204,C1012)))</f>
        <v>0</v>
      </c>
      <c r="G1012" s="13">
        <f t="shared" si="105"/>
        <v>1</v>
      </c>
      <c r="H1012" s="21">
        <f t="shared" si="106"/>
        <v>0</v>
      </c>
      <c r="I1012" s="21">
        <f>IF(OR(B1012="",C1012="",$V$1=""),"",MIN(E1012,SUMIFS('03_Planificacion'!$G$99:$G$178,'03_Planificacion'!$E$99:$E$178,B1012,'03_Planificacion'!$F$99:$F$178,C1012,'03_Planificacion'!$D$99:$D$178,"&lt;="&amp;$V$1)))</f>
        <v>0</v>
      </c>
      <c r="J1012" s="21">
        <f t="shared" si="107"/>
        <v>0</v>
      </c>
      <c r="K1012" s="6">
        <f t="shared" si="108"/>
        <v>0</v>
      </c>
      <c r="L1012" t="s">
        <v>68</v>
      </c>
      <c r="P1012" s="5">
        <f t="shared" si="109"/>
        <v>46287</v>
      </c>
      <c r="Q1012" t="s">
        <v>180</v>
      </c>
      <c r="R1012">
        <v>75</v>
      </c>
      <c r="S1012" t="s">
        <v>70</v>
      </c>
      <c r="T1012" t="str">
        <f t="shared" si="110"/>
        <v/>
      </c>
      <c r="U1012" t="str">
        <f>IF(AND(L1012="Para Programar",G1012&gt;0),COUNTIFS($L$5:L1012,"Para Programar",$G$5:G1012,"&gt;0"),"")</f>
        <v/>
      </c>
      <c r="W1012" t="str">
        <f t="shared" si="111"/>
        <v>N4 - N6|11 Relleno -0,30 - Inspección laboratorio</v>
      </c>
      <c r="X1012">
        <v>0</v>
      </c>
    </row>
    <row r="1013" spans="1:24">
      <c r="A1013" t="s">
        <v>64</v>
      </c>
      <c r="B1013" s="14" t="s">
        <v>181</v>
      </c>
      <c r="C1013" t="s">
        <v>66</v>
      </c>
      <c r="D1013" s="13" t="s">
        <v>67</v>
      </c>
      <c r="E1013" s="13">
        <v>118</v>
      </c>
      <c r="F1013" s="13">
        <f>IF(E1013="","",MIN(E1013,$X1013+SUMIFS('05_Parte_Diario'!$H$5:$H$204,'05_Parte_Diario'!$D$5:$D$204,B1013,'05_Parte_Diario'!$E$5:$E$204,C1013)))</f>
        <v>0</v>
      </c>
      <c r="G1013" s="13">
        <f t="shared" si="105"/>
        <v>118</v>
      </c>
      <c r="H1013" s="21">
        <f t="shared" si="106"/>
        <v>0</v>
      </c>
      <c r="I1013" s="21">
        <f>IF(OR(B1013="",C1013="",$V$1=""),"",MIN(E1013,SUMIFS('03_Planificacion'!$G$99:$G$178,'03_Planificacion'!$E$99:$E$178,B1013,'03_Planificacion'!$F$99:$F$178,C1013,'03_Planificacion'!$D$99:$D$178,"&lt;="&amp;$V$1)))</f>
        <v>0</v>
      </c>
      <c r="J1013" s="21">
        <f t="shared" si="107"/>
        <v>0</v>
      </c>
      <c r="K1013" s="6">
        <f t="shared" si="108"/>
        <v>0</v>
      </c>
      <c r="L1013" t="s">
        <v>68</v>
      </c>
      <c r="P1013" s="5">
        <f t="shared" si="109"/>
        <v>46287</v>
      </c>
      <c r="Q1013" t="s">
        <v>119</v>
      </c>
      <c r="R1013">
        <v>75</v>
      </c>
      <c r="S1013" t="s">
        <v>70</v>
      </c>
      <c r="T1013" t="str">
        <f t="shared" si="110"/>
        <v/>
      </c>
      <c r="U1013" t="str">
        <f>IF(AND(L1013="Para Programar",G1013&gt;0),COUNTIFS($L$5:L1013,"Para Programar",$G$5:G1013,"&gt;0"),"")</f>
        <v/>
      </c>
      <c r="W1013" t="str">
        <f t="shared" si="111"/>
        <v>N4 - N8|01 Replanteo - Marcación de tramo de cañería principal</v>
      </c>
      <c r="X1013">
        <v>0</v>
      </c>
    </row>
    <row r="1014" spans="1:24">
      <c r="A1014" t="s">
        <v>71</v>
      </c>
      <c r="B1014" s="14" t="s">
        <v>181</v>
      </c>
      <c r="C1014" t="s">
        <v>72</v>
      </c>
      <c r="D1014" s="13" t="s">
        <v>67</v>
      </c>
      <c r="E1014" s="13">
        <v>118</v>
      </c>
      <c r="F1014" s="13">
        <f>IF(E1014="","",MIN(E1014,$X1014+SUMIFS('05_Parte_Diario'!$H$5:$H$204,'05_Parte_Diario'!$D$5:$D$204,B1014,'05_Parte_Diario'!$E$5:$E$204,C1014)))</f>
        <v>0</v>
      </c>
      <c r="G1014" s="13">
        <f t="shared" si="105"/>
        <v>118</v>
      </c>
      <c r="H1014" s="21">
        <f t="shared" si="106"/>
        <v>0</v>
      </c>
      <c r="I1014" s="21">
        <f>IF(OR(B1014="",C1014="",$V$1=""),"",MIN(E1014,SUMIFS('03_Planificacion'!$G$99:$G$178,'03_Planificacion'!$E$99:$E$178,B1014,'03_Planificacion'!$F$99:$F$178,C1014,'03_Planificacion'!$D$99:$D$178,"&lt;="&amp;$V$1)))</f>
        <v>0</v>
      </c>
      <c r="J1014" s="21">
        <f t="shared" si="107"/>
        <v>0</v>
      </c>
      <c r="K1014" s="6">
        <f t="shared" si="108"/>
        <v>0</v>
      </c>
      <c r="L1014" t="s">
        <v>68</v>
      </c>
      <c r="P1014" s="5">
        <f t="shared" si="109"/>
        <v>46287</v>
      </c>
      <c r="Q1014" t="s">
        <v>119</v>
      </c>
      <c r="R1014">
        <v>75</v>
      </c>
      <c r="S1014" t="s">
        <v>70</v>
      </c>
      <c r="T1014" t="str">
        <f t="shared" si="110"/>
        <v/>
      </c>
      <c r="U1014" t="str">
        <f>IF(AND(L1014="Para Programar",G1014&gt;0),COUNTIFS($L$5:L1014,"Para Programar",$G$5:G1014,"&gt;0"),"")</f>
        <v/>
      </c>
      <c r="W1014" t="str">
        <f t="shared" si="111"/>
        <v>N4 - N8|02 Excavación - Zanja principal</v>
      </c>
      <c r="X1014">
        <v>0</v>
      </c>
    </row>
    <row r="1015" spans="1:24">
      <c r="A1015" t="s">
        <v>73</v>
      </c>
      <c r="B1015" s="14" t="s">
        <v>181</v>
      </c>
      <c r="C1015" t="s">
        <v>74</v>
      </c>
      <c r="D1015" s="13" t="s">
        <v>67</v>
      </c>
      <c r="E1015" s="13">
        <v>118</v>
      </c>
      <c r="F1015" s="13">
        <f>IF(E1015="","",MIN(E1015,$X1015+SUMIFS('05_Parte_Diario'!$H$5:$H$204,'05_Parte_Diario'!$D$5:$D$204,B1015,'05_Parte_Diario'!$E$5:$E$204,C1015)))</f>
        <v>0</v>
      </c>
      <c r="G1015" s="13">
        <f t="shared" si="105"/>
        <v>118</v>
      </c>
      <c r="H1015" s="21">
        <f t="shared" si="106"/>
        <v>0</v>
      </c>
      <c r="I1015" s="21">
        <f>IF(OR(B1015="",C1015="",$V$1=""),"",MIN(E1015,SUMIFS('03_Planificacion'!$G$99:$G$178,'03_Planificacion'!$E$99:$E$178,B1015,'03_Planificacion'!$F$99:$F$178,C1015,'03_Planificacion'!$D$99:$D$178,"&lt;="&amp;$V$1)))</f>
        <v>0</v>
      </c>
      <c r="J1015" s="21">
        <f t="shared" si="107"/>
        <v>0</v>
      </c>
      <c r="K1015" s="6">
        <f t="shared" si="108"/>
        <v>0</v>
      </c>
      <c r="L1015" t="s">
        <v>68</v>
      </c>
      <c r="P1015" s="5">
        <f t="shared" si="109"/>
        <v>46287</v>
      </c>
      <c r="Q1015" t="s">
        <v>119</v>
      </c>
      <c r="R1015">
        <v>75</v>
      </c>
      <c r="S1015" t="s">
        <v>70</v>
      </c>
      <c r="T1015" t="str">
        <f t="shared" si="110"/>
        <v/>
      </c>
      <c r="U1015" t="str">
        <f>IF(AND(L1015="Para Programar",G1015&gt;0),COUNTIFS($L$5:L1015,"Para Programar",$G$5:G1015,"&gt;0"),"")</f>
        <v/>
      </c>
      <c r="W1015" t="str">
        <f t="shared" si="111"/>
        <v>N4 - N8|03 Base de asiento - Nivelación de fondo de zanja</v>
      </c>
      <c r="X1015">
        <v>0</v>
      </c>
    </row>
    <row r="1016" spans="1:24">
      <c r="A1016" t="s">
        <v>75</v>
      </c>
      <c r="B1016" s="14" t="s">
        <v>181</v>
      </c>
      <c r="C1016" t="s">
        <v>76</v>
      </c>
      <c r="D1016" s="13" t="s">
        <v>67</v>
      </c>
      <c r="E1016" s="13">
        <v>118</v>
      </c>
      <c r="F1016" s="13">
        <f>IF(E1016="","",MIN(E1016,$X1016+SUMIFS('05_Parte_Diario'!$H$5:$H$204,'05_Parte_Diario'!$D$5:$D$204,B1016,'05_Parte_Diario'!$E$5:$E$204,C1016)))</f>
        <v>0</v>
      </c>
      <c r="G1016" s="13">
        <f t="shared" si="105"/>
        <v>118</v>
      </c>
      <c r="H1016" s="21">
        <f t="shared" si="106"/>
        <v>0</v>
      </c>
      <c r="I1016" s="21">
        <f>IF(OR(B1016="",C1016="",$V$1=""),"",MIN(E1016,SUMIFS('03_Planificacion'!$G$99:$G$178,'03_Planificacion'!$E$99:$E$178,B1016,'03_Planificacion'!$F$99:$F$178,C1016,'03_Planificacion'!$D$99:$D$178,"&lt;="&amp;$V$1)))</f>
        <v>0</v>
      </c>
      <c r="J1016" s="21">
        <f t="shared" si="107"/>
        <v>0</v>
      </c>
      <c r="K1016" s="6">
        <f t="shared" si="108"/>
        <v>0</v>
      </c>
      <c r="L1016" t="s">
        <v>68</v>
      </c>
      <c r="P1016" s="5">
        <f t="shared" si="109"/>
        <v>46287</v>
      </c>
      <c r="Q1016" t="s">
        <v>119</v>
      </c>
      <c r="R1016">
        <v>75</v>
      </c>
      <c r="S1016" t="s">
        <v>70</v>
      </c>
      <c r="T1016" t="str">
        <f t="shared" si="110"/>
        <v/>
      </c>
      <c r="U1016" t="str">
        <f>IF(AND(L1016="Para Programar",G1016&gt;0),COUNTIFS($L$5:L1016,"Para Programar",$G$5:G1016,"&gt;0"),"")</f>
        <v/>
      </c>
      <c r="W1016" t="str">
        <f t="shared" si="111"/>
        <v>N4 - N8|03 Base de asiento - Aporte de material base e=0,10 m</v>
      </c>
      <c r="X1016">
        <v>0</v>
      </c>
    </row>
    <row r="1017" spans="1:24">
      <c r="A1017" t="s">
        <v>77</v>
      </c>
      <c r="B1017" s="14" t="s">
        <v>181</v>
      </c>
      <c r="C1017" t="s">
        <v>78</v>
      </c>
      <c r="D1017" s="13" t="s">
        <v>67</v>
      </c>
      <c r="E1017" s="13">
        <v>118</v>
      </c>
      <c r="F1017" s="13">
        <f>IF(E1017="","",MIN(E1017,$X1017+SUMIFS('05_Parte_Diario'!$H$5:$H$204,'05_Parte_Diario'!$D$5:$D$204,B1017,'05_Parte_Diario'!$E$5:$E$204,C1017)))</f>
        <v>0</v>
      </c>
      <c r="G1017" s="13">
        <f t="shared" si="105"/>
        <v>118</v>
      </c>
      <c r="H1017" s="21">
        <f t="shared" si="106"/>
        <v>0</v>
      </c>
      <c r="I1017" s="21">
        <f>IF(OR(B1017="",C1017="",$V$1=""),"",MIN(E1017,SUMIFS('03_Planificacion'!$G$99:$G$178,'03_Planificacion'!$E$99:$E$178,B1017,'03_Planificacion'!$F$99:$F$178,C1017,'03_Planificacion'!$D$99:$D$178,"&lt;="&amp;$V$1)))</f>
        <v>0</v>
      </c>
      <c r="J1017" s="21">
        <f t="shared" si="107"/>
        <v>0</v>
      </c>
      <c r="K1017" s="6">
        <f t="shared" si="108"/>
        <v>0</v>
      </c>
      <c r="L1017" t="s">
        <v>68</v>
      </c>
      <c r="P1017" s="5">
        <f t="shared" si="109"/>
        <v>46287</v>
      </c>
      <c r="Q1017" t="s">
        <v>119</v>
      </c>
      <c r="R1017">
        <v>75</v>
      </c>
      <c r="S1017" t="s">
        <v>70</v>
      </c>
      <c r="T1017" t="str">
        <f t="shared" si="110"/>
        <v/>
      </c>
      <c r="U1017" t="str">
        <f>IF(AND(L1017="Para Programar",G1017&gt;0),COUNTIFS($L$5:L1017,"Para Programar",$G$5:G1017,"&gt;0"),"")</f>
        <v/>
      </c>
      <c r="W1017" t="str">
        <f t="shared" si="111"/>
        <v>N4 - N8|03 Base de asiento - Compactación</v>
      </c>
      <c r="X1017">
        <v>0</v>
      </c>
    </row>
    <row r="1018" spans="1:24">
      <c r="A1018" t="s">
        <v>79</v>
      </c>
      <c r="B1018" s="14" t="s">
        <v>181</v>
      </c>
      <c r="C1018" t="s">
        <v>80</v>
      </c>
      <c r="D1018" s="13" t="s">
        <v>81</v>
      </c>
      <c r="E1018" s="13">
        <v>1</v>
      </c>
      <c r="F1018" s="13">
        <f>IF(E1018="","",MIN(E1018,$X1018+SUMIFS('05_Parte_Diario'!$H$5:$H$204,'05_Parte_Diario'!$D$5:$D$204,B1018,'05_Parte_Diario'!$E$5:$E$204,C1018)))</f>
        <v>0</v>
      </c>
      <c r="G1018" s="13">
        <f t="shared" si="105"/>
        <v>1</v>
      </c>
      <c r="H1018" s="21">
        <f t="shared" si="106"/>
        <v>0</v>
      </c>
      <c r="I1018" s="21">
        <f>IF(OR(B1018="",C1018="",$V$1=""),"",MIN(E1018,SUMIFS('03_Planificacion'!$G$99:$G$178,'03_Planificacion'!$E$99:$E$178,B1018,'03_Planificacion'!$F$99:$F$178,C1018,'03_Planificacion'!$D$99:$D$178,"&lt;="&amp;$V$1)))</f>
        <v>0</v>
      </c>
      <c r="J1018" s="21">
        <f t="shared" si="107"/>
        <v>0</v>
      </c>
      <c r="K1018" s="6">
        <f t="shared" si="108"/>
        <v>0</v>
      </c>
      <c r="L1018" t="s">
        <v>68</v>
      </c>
      <c r="P1018" s="5">
        <f t="shared" si="109"/>
        <v>46287</v>
      </c>
      <c r="Q1018" t="s">
        <v>119</v>
      </c>
      <c r="R1018">
        <v>75</v>
      </c>
      <c r="S1018" t="s">
        <v>70</v>
      </c>
      <c r="T1018" t="str">
        <f t="shared" si="110"/>
        <v/>
      </c>
      <c r="U1018" t="str">
        <f>IF(AND(L1018="Para Programar",G1018&gt;0),COUNTIFS($L$5:L1018,"Para Programar",$G$5:G1018,"&gt;0"),"")</f>
        <v/>
      </c>
      <c r="W1018" t="str">
        <f t="shared" si="111"/>
        <v>N4 - N8|04 Inspecciones previas - Laboratorio base de asiento</v>
      </c>
      <c r="X1018">
        <v>0</v>
      </c>
    </row>
    <row r="1019" spans="1:24">
      <c r="A1019" t="s">
        <v>82</v>
      </c>
      <c r="B1019" s="14" t="s">
        <v>181</v>
      </c>
      <c r="C1019" t="s">
        <v>83</v>
      </c>
      <c r="D1019" s="13" t="s">
        <v>81</v>
      </c>
      <c r="E1019" s="13">
        <v>1</v>
      </c>
      <c r="F1019" s="13">
        <f>IF(E1019="","",MIN(E1019,$X1019+SUMIFS('05_Parte_Diario'!$H$5:$H$204,'05_Parte_Diario'!$D$5:$D$204,B1019,'05_Parte_Diario'!$E$5:$E$204,C1019)))</f>
        <v>0</v>
      </c>
      <c r="G1019" s="13">
        <f t="shared" si="105"/>
        <v>1</v>
      </c>
      <c r="H1019" s="21">
        <f t="shared" si="106"/>
        <v>0</v>
      </c>
      <c r="I1019" s="21">
        <f>IF(OR(B1019="",C1019="",$V$1=""),"",MIN(E1019,SUMIFS('03_Planificacion'!$G$99:$G$178,'03_Planificacion'!$E$99:$E$178,B1019,'03_Planificacion'!$F$99:$F$178,C1019,'03_Planificacion'!$D$99:$D$178,"&lt;="&amp;$V$1)))</f>
        <v>0</v>
      </c>
      <c r="J1019" s="21">
        <f t="shared" si="107"/>
        <v>0</v>
      </c>
      <c r="K1019" s="6">
        <f t="shared" si="108"/>
        <v>0</v>
      </c>
      <c r="L1019" t="s">
        <v>68</v>
      </c>
      <c r="P1019" s="5">
        <f t="shared" si="109"/>
        <v>46287</v>
      </c>
      <c r="Q1019" t="s">
        <v>119</v>
      </c>
      <c r="R1019">
        <v>75</v>
      </c>
      <c r="S1019" t="s">
        <v>70</v>
      </c>
      <c r="T1019" t="str">
        <f t="shared" si="110"/>
        <v/>
      </c>
      <c r="U1019" t="str">
        <f>IF(AND(L1019="Para Programar",G1019&gt;0),COUNTIFS($L$5:L1019,"Para Programar",$G$5:G1019,"&gt;0"),"")</f>
        <v/>
      </c>
      <c r="W1019" t="str">
        <f t="shared" si="111"/>
        <v>N4 - N8|04 Inspecciones previas - Zanja y materiales</v>
      </c>
      <c r="X1019">
        <v>0</v>
      </c>
    </row>
    <row r="1020" spans="1:24">
      <c r="A1020" t="s">
        <v>84</v>
      </c>
      <c r="B1020" s="14" t="s">
        <v>181</v>
      </c>
      <c r="C1020" t="s">
        <v>85</v>
      </c>
      <c r="D1020" s="13" t="s">
        <v>67</v>
      </c>
      <c r="E1020" s="13">
        <v>118</v>
      </c>
      <c r="F1020" s="13">
        <f>IF(E1020="","",MIN(E1020,$X1020+SUMIFS('05_Parte_Diario'!$H$5:$H$204,'05_Parte_Diario'!$D$5:$D$204,B1020,'05_Parte_Diario'!$E$5:$E$204,C1020)))</f>
        <v>0</v>
      </c>
      <c r="G1020" s="13">
        <f t="shared" si="105"/>
        <v>118</v>
      </c>
      <c r="H1020" s="21">
        <f t="shared" si="106"/>
        <v>0</v>
      </c>
      <c r="I1020" s="21">
        <f>IF(OR(B1020="",C1020="",$V$1=""),"",MIN(E1020,SUMIFS('03_Planificacion'!$G$99:$G$178,'03_Planificacion'!$E$99:$E$178,B1020,'03_Planificacion'!$F$99:$F$178,C1020,'03_Planificacion'!$D$99:$D$178,"&lt;="&amp;$V$1)))</f>
        <v>0</v>
      </c>
      <c r="J1020" s="21">
        <f t="shared" si="107"/>
        <v>0</v>
      </c>
      <c r="K1020" s="6">
        <f t="shared" si="108"/>
        <v>0</v>
      </c>
      <c r="L1020" t="s">
        <v>68</v>
      </c>
      <c r="P1020" s="5">
        <f t="shared" si="109"/>
        <v>46287</v>
      </c>
      <c r="Q1020" t="s">
        <v>119</v>
      </c>
      <c r="R1020">
        <v>75</v>
      </c>
      <c r="S1020" t="s">
        <v>70</v>
      </c>
      <c r="T1020" t="str">
        <f t="shared" si="110"/>
        <v/>
      </c>
      <c r="U1020" t="str">
        <f>IF(AND(L1020="Para Programar",G1020&gt;0),COUNTIFS($L$5:L1020,"Para Programar",$G$5:G1020,"&gt;0"),"")</f>
        <v/>
      </c>
      <c r="W1020" t="str">
        <f t="shared" si="111"/>
        <v>N4 - N8|05 Tendido de cañería - Cañería principal</v>
      </c>
      <c r="X1020">
        <v>0</v>
      </c>
    </row>
    <row r="1021" spans="1:24">
      <c r="A1021" t="s">
        <v>86</v>
      </c>
      <c r="B1021" s="14" t="s">
        <v>181</v>
      </c>
      <c r="C1021" t="s">
        <v>87</v>
      </c>
      <c r="D1021" s="13" t="s">
        <v>67</v>
      </c>
      <c r="E1021" s="13">
        <v>118</v>
      </c>
      <c r="F1021" s="13">
        <f>IF(E1021="","",MIN(E1021,$X1021+SUMIFS('05_Parte_Diario'!$H$5:$H$204,'05_Parte_Diario'!$D$5:$D$204,B1021,'05_Parte_Diario'!$E$5:$E$204,C1021)))</f>
        <v>0</v>
      </c>
      <c r="G1021" s="13">
        <f t="shared" si="105"/>
        <v>118</v>
      </c>
      <c r="H1021" s="21">
        <f t="shared" si="106"/>
        <v>0</v>
      </c>
      <c r="I1021" s="21">
        <f>IF(OR(B1021="",C1021="",$V$1=""),"",MIN(E1021,SUMIFS('03_Planificacion'!$G$99:$G$178,'03_Planificacion'!$E$99:$E$178,B1021,'03_Planificacion'!$F$99:$F$178,C1021,'03_Planificacion'!$D$99:$D$178,"&lt;="&amp;$V$1)))</f>
        <v>0</v>
      </c>
      <c r="J1021" s="21">
        <f t="shared" si="107"/>
        <v>0</v>
      </c>
      <c r="K1021" s="6">
        <f t="shared" si="108"/>
        <v>0</v>
      </c>
      <c r="L1021" t="s">
        <v>68</v>
      </c>
      <c r="P1021" s="5">
        <f t="shared" si="109"/>
        <v>46287</v>
      </c>
      <c r="Q1021" t="s">
        <v>119</v>
      </c>
      <c r="R1021">
        <v>75</v>
      </c>
      <c r="S1021" t="s">
        <v>70</v>
      </c>
      <c r="T1021" t="str">
        <f t="shared" si="110"/>
        <v/>
      </c>
      <c r="U1021" t="str">
        <f>IF(AND(L1021="Para Programar",G1021&gt;0),COUNTIFS($L$5:L1021,"Para Programar",$G$5:G1021,"&gt;0"),"")</f>
        <v/>
      </c>
      <c r="W1021" t="str">
        <f t="shared" si="111"/>
        <v>N4 - N8|05 Tendido de cañería - Relevamiento planialtimétrico</v>
      </c>
      <c r="X1021">
        <v>0</v>
      </c>
    </row>
    <row r="1022" spans="1:24">
      <c r="A1022" t="s">
        <v>88</v>
      </c>
      <c r="B1022" s="14" t="s">
        <v>181</v>
      </c>
      <c r="C1022" t="s">
        <v>89</v>
      </c>
      <c r="D1022" s="13" t="s">
        <v>81</v>
      </c>
      <c r="E1022" s="13">
        <v>1</v>
      </c>
      <c r="F1022" s="13">
        <f>IF(E1022="","",MIN(E1022,$X1022+SUMIFS('05_Parte_Diario'!$H$5:$H$204,'05_Parte_Diario'!$D$5:$D$204,B1022,'05_Parte_Diario'!$E$5:$E$204,C1022)))</f>
        <v>0</v>
      </c>
      <c r="G1022" s="13">
        <f t="shared" si="105"/>
        <v>1</v>
      </c>
      <c r="H1022" s="21">
        <f t="shared" si="106"/>
        <v>0</v>
      </c>
      <c r="I1022" s="21">
        <f>IF(OR(B1022="",C1022="",$V$1=""),"",MIN(E1022,SUMIFS('03_Planificacion'!$G$99:$G$178,'03_Planificacion'!$E$99:$E$178,B1022,'03_Planificacion'!$F$99:$F$178,C1022,'03_Planificacion'!$D$99:$D$178,"&lt;="&amp;$V$1)))</f>
        <v>0</v>
      </c>
      <c r="J1022" s="21">
        <f t="shared" si="107"/>
        <v>0</v>
      </c>
      <c r="K1022" s="6">
        <f t="shared" si="108"/>
        <v>0</v>
      </c>
      <c r="L1022" t="s">
        <v>68</v>
      </c>
      <c r="P1022" s="5">
        <f t="shared" si="109"/>
        <v>46287</v>
      </c>
      <c r="Q1022" t="s">
        <v>119</v>
      </c>
      <c r="R1022">
        <v>75</v>
      </c>
      <c r="S1022" t="s">
        <v>70</v>
      </c>
      <c r="T1022" t="str">
        <f t="shared" si="110"/>
        <v/>
      </c>
      <c r="U1022" t="str">
        <f>IF(AND(L1022="Para Programar",G1022&gt;0),COUNTIFS($L$5:L1022,"Para Programar",$G$5:G1022,"&gt;0"),"")</f>
        <v/>
      </c>
      <c r="W1022" t="str">
        <f t="shared" si="111"/>
        <v>N4 - N8|08 Prueba hidráulica - Preparación del sistema</v>
      </c>
      <c r="X1022">
        <v>0</v>
      </c>
    </row>
    <row r="1023" spans="1:24">
      <c r="A1023" t="s">
        <v>90</v>
      </c>
      <c r="B1023" s="14" t="s">
        <v>181</v>
      </c>
      <c r="C1023" t="s">
        <v>91</v>
      </c>
      <c r="D1023" s="13" t="s">
        <v>81</v>
      </c>
      <c r="E1023" s="13">
        <v>1</v>
      </c>
      <c r="F1023" s="13">
        <f>IF(E1023="","",MIN(E1023,$X1023+SUMIFS('05_Parte_Diario'!$H$5:$H$204,'05_Parte_Diario'!$D$5:$D$204,B1023,'05_Parte_Diario'!$E$5:$E$204,C1023)))</f>
        <v>0</v>
      </c>
      <c r="G1023" s="13">
        <f t="shared" si="105"/>
        <v>1</v>
      </c>
      <c r="H1023" s="21">
        <f t="shared" si="106"/>
        <v>0</v>
      </c>
      <c r="I1023" s="21">
        <f>IF(OR(B1023="",C1023="",$V$1=""),"",MIN(E1023,SUMIFS('03_Planificacion'!$G$99:$G$178,'03_Planificacion'!$E$99:$E$178,B1023,'03_Planificacion'!$F$99:$F$178,C1023,'03_Planificacion'!$D$99:$D$178,"&lt;="&amp;$V$1)))</f>
        <v>0</v>
      </c>
      <c r="J1023" s="21">
        <f t="shared" si="107"/>
        <v>0</v>
      </c>
      <c r="K1023" s="6">
        <f t="shared" si="108"/>
        <v>0</v>
      </c>
      <c r="L1023" t="s">
        <v>68</v>
      </c>
      <c r="P1023" s="5">
        <f t="shared" si="109"/>
        <v>46287</v>
      </c>
      <c r="Q1023" t="s">
        <v>119</v>
      </c>
      <c r="R1023">
        <v>75</v>
      </c>
      <c r="S1023" t="s">
        <v>70</v>
      </c>
      <c r="T1023" t="str">
        <f t="shared" si="110"/>
        <v/>
      </c>
      <c r="U1023" t="str">
        <f>IF(AND(L1023="Para Programar",G1023&gt;0),COUNTIFS($L$5:L1023,"Para Programar",$G$5:G1023,"&gt;0"),"")</f>
        <v/>
      </c>
      <c r="W1023" t="str">
        <f t="shared" si="111"/>
        <v>N4 - N8|08 Prueba hidráulica - Interna N° 1</v>
      </c>
      <c r="X1023">
        <v>0</v>
      </c>
    </row>
    <row r="1024" spans="1:24">
      <c r="A1024" t="s">
        <v>92</v>
      </c>
      <c r="B1024" s="14" t="s">
        <v>181</v>
      </c>
      <c r="C1024" t="s">
        <v>93</v>
      </c>
      <c r="D1024" s="13" t="s">
        <v>81</v>
      </c>
      <c r="E1024" s="13">
        <v>1</v>
      </c>
      <c r="F1024" s="13">
        <f>IF(E1024="","",MIN(E1024,$X1024+SUMIFS('05_Parte_Diario'!$H$5:$H$204,'05_Parte_Diario'!$D$5:$D$204,B1024,'05_Parte_Diario'!$E$5:$E$204,C1024)))</f>
        <v>0</v>
      </c>
      <c r="G1024" s="13">
        <f t="shared" si="105"/>
        <v>1</v>
      </c>
      <c r="H1024" s="21">
        <f t="shared" si="106"/>
        <v>0</v>
      </c>
      <c r="I1024" s="21">
        <f>IF(OR(B1024="",C1024="",$V$1=""),"",MIN(E1024,SUMIFS('03_Planificacion'!$G$99:$G$178,'03_Planificacion'!$E$99:$E$178,B1024,'03_Planificacion'!$F$99:$F$178,C1024,'03_Planificacion'!$D$99:$D$178,"&lt;="&amp;$V$1)))</f>
        <v>0</v>
      </c>
      <c r="J1024" s="21">
        <f t="shared" si="107"/>
        <v>0</v>
      </c>
      <c r="K1024" s="6">
        <f t="shared" si="108"/>
        <v>0</v>
      </c>
      <c r="L1024" t="s">
        <v>68</v>
      </c>
      <c r="P1024" s="5">
        <f t="shared" si="109"/>
        <v>46287</v>
      </c>
      <c r="Q1024" t="s">
        <v>119</v>
      </c>
      <c r="R1024">
        <v>75</v>
      </c>
      <c r="S1024" t="s">
        <v>70</v>
      </c>
      <c r="T1024" t="str">
        <f t="shared" si="110"/>
        <v/>
      </c>
      <c r="U1024" t="str">
        <f>IF(AND(L1024="Para Programar",G1024&gt;0),COUNTIFS($L$5:L1024,"Para Programar",$G$5:G1024,"&gt;0"),"")</f>
        <v/>
      </c>
      <c r="W1024" t="str">
        <f t="shared" si="111"/>
        <v>N4 - N8|08 Prueba hidráulica - Interna N° 2</v>
      </c>
      <c r="X1024">
        <v>0</v>
      </c>
    </row>
    <row r="1025" spans="1:24">
      <c r="A1025" t="s">
        <v>94</v>
      </c>
      <c r="B1025" s="14" t="s">
        <v>181</v>
      </c>
      <c r="C1025" t="s">
        <v>95</v>
      </c>
      <c r="D1025" s="13" t="s">
        <v>81</v>
      </c>
      <c r="E1025" s="13">
        <v>1</v>
      </c>
      <c r="F1025" s="13">
        <f>IF(E1025="","",MIN(E1025,$X1025+SUMIFS('05_Parte_Diario'!$H$5:$H$204,'05_Parte_Diario'!$D$5:$D$204,B1025,'05_Parte_Diario'!$E$5:$E$204,C1025)))</f>
        <v>0</v>
      </c>
      <c r="G1025" s="13">
        <f t="shared" si="105"/>
        <v>1</v>
      </c>
      <c r="H1025" s="21">
        <f t="shared" si="106"/>
        <v>0</v>
      </c>
      <c r="I1025" s="21">
        <f>IF(OR(B1025="",C1025="",$V$1=""),"",MIN(E1025,SUMIFS('03_Planificacion'!$G$99:$G$178,'03_Planificacion'!$E$99:$E$178,B1025,'03_Planificacion'!$F$99:$F$178,C1025,'03_Planificacion'!$D$99:$D$178,"&lt;="&amp;$V$1)))</f>
        <v>0</v>
      </c>
      <c r="J1025" s="21">
        <f t="shared" si="107"/>
        <v>0</v>
      </c>
      <c r="K1025" s="6">
        <f t="shared" si="108"/>
        <v>0</v>
      </c>
      <c r="L1025" t="s">
        <v>68</v>
      </c>
      <c r="P1025" s="5">
        <f t="shared" si="109"/>
        <v>46287</v>
      </c>
      <c r="Q1025" t="s">
        <v>119</v>
      </c>
      <c r="R1025">
        <v>75</v>
      </c>
      <c r="S1025" t="s">
        <v>70</v>
      </c>
      <c r="T1025" t="str">
        <f t="shared" si="110"/>
        <v/>
      </c>
      <c r="U1025" t="str">
        <f>IF(AND(L1025="Para Programar",G1025&gt;0),COUNTIFS($L$5:L1025,"Para Programar",$G$5:G1025,"&gt;0"),"")</f>
        <v/>
      </c>
      <c r="W1025" t="str">
        <f t="shared" si="111"/>
        <v>N4 - N8|08 Prueba hidráulica - Primera prueba oficial</v>
      </c>
      <c r="X1025">
        <v>0</v>
      </c>
    </row>
    <row r="1026" spans="1:24">
      <c r="A1026" t="s">
        <v>96</v>
      </c>
      <c r="B1026" s="14" t="s">
        <v>181</v>
      </c>
      <c r="C1026" t="s">
        <v>97</v>
      </c>
      <c r="D1026" s="13" t="s">
        <v>67</v>
      </c>
      <c r="E1026" s="13">
        <v>118</v>
      </c>
      <c r="F1026" s="13">
        <f>IF(E1026="","",MIN(E1026,$X1026+SUMIFS('05_Parte_Diario'!$H$5:$H$204,'05_Parte_Diario'!$D$5:$D$204,B1026,'05_Parte_Diario'!$E$5:$E$204,C1026)))</f>
        <v>0</v>
      </c>
      <c r="G1026" s="13">
        <f t="shared" si="105"/>
        <v>118</v>
      </c>
      <c r="H1026" s="21">
        <f t="shared" si="106"/>
        <v>0</v>
      </c>
      <c r="I1026" s="21">
        <f>IF(OR(B1026="",C1026="",$V$1=""),"",MIN(E1026,SUMIFS('03_Planificacion'!$G$99:$G$178,'03_Planificacion'!$E$99:$E$178,B1026,'03_Planificacion'!$F$99:$F$178,C1026,'03_Planificacion'!$D$99:$D$178,"&lt;="&amp;$V$1)))</f>
        <v>0</v>
      </c>
      <c r="J1026" s="21">
        <f t="shared" si="107"/>
        <v>0</v>
      </c>
      <c r="K1026" s="6">
        <f t="shared" si="108"/>
        <v>0</v>
      </c>
      <c r="L1026" t="s">
        <v>68</v>
      </c>
      <c r="P1026" s="5">
        <f t="shared" si="109"/>
        <v>46287</v>
      </c>
      <c r="Q1026" t="s">
        <v>119</v>
      </c>
      <c r="R1026">
        <v>75</v>
      </c>
      <c r="S1026" t="s">
        <v>70</v>
      </c>
      <c r="T1026" t="str">
        <f t="shared" si="110"/>
        <v/>
      </c>
      <c r="U1026" t="str">
        <f>IF(AND(L1026="Para Programar",G1026&gt;0),COUNTIFS($L$5:L1026,"Para Programar",$G$5:G1026,"&gt;0"),"")</f>
        <v/>
      </c>
      <c r="W1026" t="str">
        <f t="shared" si="111"/>
        <v>N4 - N8|09 Paquete estructural - Aporte e=0,30 m</v>
      </c>
      <c r="X1026">
        <v>0</v>
      </c>
    </row>
    <row r="1027" spans="1:24">
      <c r="A1027" t="s">
        <v>98</v>
      </c>
      <c r="B1027" s="14" t="s">
        <v>181</v>
      </c>
      <c r="C1027" t="s">
        <v>99</v>
      </c>
      <c r="D1027" s="13" t="s">
        <v>67</v>
      </c>
      <c r="E1027" s="13">
        <v>118</v>
      </c>
      <c r="F1027" s="13">
        <f>IF(E1027="","",MIN(E1027,$X1027+SUMIFS('05_Parte_Diario'!$H$5:$H$204,'05_Parte_Diario'!$D$5:$D$204,B1027,'05_Parte_Diario'!$E$5:$E$204,C1027)))</f>
        <v>0</v>
      </c>
      <c r="G1027" s="13">
        <f t="shared" si="105"/>
        <v>118</v>
      </c>
      <c r="H1027" s="21">
        <f t="shared" si="106"/>
        <v>0</v>
      </c>
      <c r="I1027" s="21">
        <f>IF(OR(B1027="",C1027="",$V$1=""),"",MIN(E1027,SUMIFS('03_Planificacion'!$G$99:$G$178,'03_Planificacion'!$E$99:$E$178,B1027,'03_Planificacion'!$F$99:$F$178,C1027,'03_Planificacion'!$D$99:$D$178,"&lt;="&amp;$V$1)))</f>
        <v>0</v>
      </c>
      <c r="J1027" s="21">
        <f t="shared" si="107"/>
        <v>0</v>
      </c>
      <c r="K1027" s="6">
        <f t="shared" si="108"/>
        <v>0</v>
      </c>
      <c r="L1027" t="s">
        <v>68</v>
      </c>
      <c r="P1027" s="5">
        <f t="shared" si="109"/>
        <v>46287</v>
      </c>
      <c r="Q1027" t="s">
        <v>119</v>
      </c>
      <c r="R1027">
        <v>75</v>
      </c>
      <c r="S1027" t="s">
        <v>70</v>
      </c>
      <c r="T1027" t="str">
        <f t="shared" si="110"/>
        <v/>
      </c>
      <c r="U1027" t="str">
        <f>IF(AND(L1027="Para Programar",G1027&gt;0),COUNTIFS($L$5:L1027,"Para Programar",$G$5:G1027,"&gt;0"),"")</f>
        <v/>
      </c>
      <c r="W1027" t="str">
        <f t="shared" si="111"/>
        <v>N4 - N8|09 Paquete estructural - Compactación</v>
      </c>
      <c r="X1027">
        <v>0</v>
      </c>
    </row>
    <row r="1028" spans="1:24">
      <c r="A1028" t="s">
        <v>100</v>
      </c>
      <c r="B1028" s="14" t="s">
        <v>181</v>
      </c>
      <c r="C1028" t="s">
        <v>101</v>
      </c>
      <c r="D1028" s="13" t="s">
        <v>81</v>
      </c>
      <c r="E1028" s="13">
        <v>1</v>
      </c>
      <c r="F1028" s="13">
        <f>IF(E1028="","",MIN(E1028,$X1028+SUMIFS('05_Parte_Diario'!$H$5:$H$204,'05_Parte_Diario'!$D$5:$D$204,B1028,'05_Parte_Diario'!$E$5:$E$204,C1028)))</f>
        <v>0</v>
      </c>
      <c r="G1028" s="13">
        <f t="shared" si="105"/>
        <v>1</v>
      </c>
      <c r="H1028" s="21">
        <f t="shared" si="106"/>
        <v>0</v>
      </c>
      <c r="I1028" s="21">
        <f>IF(OR(B1028="",C1028="",$V$1=""),"",MIN(E1028,SUMIFS('03_Planificacion'!$G$99:$G$178,'03_Planificacion'!$E$99:$E$178,B1028,'03_Planificacion'!$F$99:$F$178,C1028,'03_Planificacion'!$D$99:$D$178,"&lt;="&amp;$V$1)))</f>
        <v>0</v>
      </c>
      <c r="J1028" s="21">
        <f t="shared" si="107"/>
        <v>0</v>
      </c>
      <c r="K1028" s="6">
        <f t="shared" si="108"/>
        <v>0</v>
      </c>
      <c r="L1028" t="s">
        <v>68</v>
      </c>
      <c r="P1028" s="5">
        <f t="shared" si="109"/>
        <v>46287</v>
      </c>
      <c r="Q1028" t="s">
        <v>119</v>
      </c>
      <c r="R1028">
        <v>75</v>
      </c>
      <c r="S1028" t="s">
        <v>70</v>
      </c>
      <c r="T1028" t="str">
        <f t="shared" si="110"/>
        <v/>
      </c>
      <c r="U1028" t="str">
        <f>IF(AND(L1028="Para Programar",G1028&gt;0),COUNTIFS($L$5:L1028,"Para Programar",$G$5:G1028,"&gt;0"),"")</f>
        <v/>
      </c>
      <c r="W1028" t="str">
        <f t="shared" si="111"/>
        <v>N4 - N8|09 Paquete estructural - Inspección laboratorio</v>
      </c>
      <c r="X1028">
        <v>0</v>
      </c>
    </row>
    <row r="1029" spans="1:24">
      <c r="A1029" t="s">
        <v>102</v>
      </c>
      <c r="B1029" s="14" t="s">
        <v>181</v>
      </c>
      <c r="C1029" t="s">
        <v>103</v>
      </c>
      <c r="D1029" s="13" t="s">
        <v>67</v>
      </c>
      <c r="E1029" s="13">
        <v>118</v>
      </c>
      <c r="F1029" s="13">
        <f>IF(E1029="","",MIN(E1029,$X1029+SUMIFS('05_Parte_Diario'!$H$5:$H$204,'05_Parte_Diario'!$D$5:$D$204,B1029,'05_Parte_Diario'!$E$5:$E$204,C1029)))</f>
        <v>0</v>
      </c>
      <c r="G1029" s="13">
        <f t="shared" ref="G1029:G1092" si="112">IF(E1029="","",MAX(E1029-F1029,0))</f>
        <v>118</v>
      </c>
      <c r="H1029" s="21">
        <f t="shared" ref="H1029:H1092" si="113">IFERROR(F1029/E1029,0)</f>
        <v>0</v>
      </c>
      <c r="I1029" s="21">
        <f>IF(OR(B1029="",C1029="",$V$1=""),"",MIN(E1029,SUMIFS('03_Planificacion'!$G$99:$G$178,'03_Planificacion'!$E$99:$E$178,B1029,'03_Planificacion'!$F$99:$F$178,C1029,'03_Planificacion'!$D$99:$D$178,"&lt;="&amp;$V$1)))</f>
        <v>0</v>
      </c>
      <c r="J1029" s="21">
        <f t="shared" ref="J1029:J1092" si="114">IFERROR(I1029/E1029,0)</f>
        <v>0</v>
      </c>
      <c r="K1029" s="6">
        <f t="shared" ref="K1029:K1092" si="115">IF(OR(E1029="",$V$1=""),"",H1029-J1029)</f>
        <v>0</v>
      </c>
      <c r="L1029" t="s">
        <v>68</v>
      </c>
      <c r="P1029" s="5">
        <f t="shared" ref="P1029:P1092" si="116">IF(A1029="","",$V$1)</f>
        <v>46287</v>
      </c>
      <c r="Q1029" t="s">
        <v>119</v>
      </c>
      <c r="R1029">
        <v>75</v>
      </c>
      <c r="S1029" t="s">
        <v>70</v>
      </c>
      <c r="T1029" t="str">
        <f t="shared" ref="T1029:T1092" si="117">IF(A1029="","",IF(AND(L1029="Para Programar",G1029=0),"INCONSISTENCIA - REVISAR MANUALMENTE: Para Programar sin saldo",IF(AND(L1029="Terminada",G1029&gt;0),"INCONSISTENCIA - REVISAR MANUALMENTE: Terminada con saldo","")))</f>
        <v/>
      </c>
      <c r="U1029" t="str">
        <f>IF(AND(L1029="Para Programar",G1029&gt;0),COUNTIFS($L$5:L1029,"Para Programar",$G$5:G1029,"&gt;0"),"")</f>
        <v/>
      </c>
      <c r="W1029" t="str">
        <f t="shared" ref="W1029:W1092" si="118">IF(OR(B1029="",C1029=""),"",B1029&amp;"|"&amp;C1029)</f>
        <v>N4 - N8|10 Relleno -0,60 - Conformación de capa</v>
      </c>
      <c r="X1029">
        <v>0</v>
      </c>
    </row>
    <row r="1030" spans="1:24">
      <c r="A1030" t="s">
        <v>104</v>
      </c>
      <c r="B1030" s="14" t="s">
        <v>181</v>
      </c>
      <c r="C1030" t="s">
        <v>105</v>
      </c>
      <c r="D1030" s="13" t="s">
        <v>67</v>
      </c>
      <c r="E1030" s="13">
        <v>118</v>
      </c>
      <c r="F1030" s="13">
        <f>IF(E1030="","",MIN(E1030,$X1030+SUMIFS('05_Parte_Diario'!$H$5:$H$204,'05_Parte_Diario'!$D$5:$D$204,B1030,'05_Parte_Diario'!$E$5:$E$204,C1030)))</f>
        <v>0</v>
      </c>
      <c r="G1030" s="13">
        <f t="shared" si="112"/>
        <v>118</v>
      </c>
      <c r="H1030" s="21">
        <f t="shared" si="113"/>
        <v>0</v>
      </c>
      <c r="I1030" s="21">
        <f>IF(OR(B1030="",C1030="",$V$1=""),"",MIN(E1030,SUMIFS('03_Planificacion'!$G$99:$G$178,'03_Planificacion'!$E$99:$E$178,B1030,'03_Planificacion'!$F$99:$F$178,C1030,'03_Planificacion'!$D$99:$D$178,"&lt;="&amp;$V$1)))</f>
        <v>0</v>
      </c>
      <c r="J1030" s="21">
        <f t="shared" si="114"/>
        <v>0</v>
      </c>
      <c r="K1030" s="6">
        <f t="shared" si="115"/>
        <v>0</v>
      </c>
      <c r="L1030" t="s">
        <v>68</v>
      </c>
      <c r="P1030" s="5">
        <f t="shared" si="116"/>
        <v>46287</v>
      </c>
      <c r="Q1030" t="s">
        <v>119</v>
      </c>
      <c r="R1030">
        <v>75</v>
      </c>
      <c r="S1030" t="s">
        <v>70</v>
      </c>
      <c r="T1030" t="str">
        <f t="shared" si="117"/>
        <v/>
      </c>
      <c r="U1030" t="str">
        <f>IF(AND(L1030="Para Programar",G1030&gt;0),COUNTIFS($L$5:L1030,"Para Programar",$G$5:G1030,"&gt;0"),"")</f>
        <v/>
      </c>
      <c r="W1030" t="str">
        <f t="shared" si="118"/>
        <v>N4 - N8|10 Relleno -0,60 - Humectación</v>
      </c>
      <c r="X1030">
        <v>0</v>
      </c>
    </row>
    <row r="1031" spans="1:24">
      <c r="A1031" t="s">
        <v>106</v>
      </c>
      <c r="B1031" s="14" t="s">
        <v>181</v>
      </c>
      <c r="C1031" t="s">
        <v>107</v>
      </c>
      <c r="D1031" s="13" t="s">
        <v>67</v>
      </c>
      <c r="E1031" s="13">
        <v>118</v>
      </c>
      <c r="F1031" s="13">
        <f>IF(E1031="","",MIN(E1031,$X1031+SUMIFS('05_Parte_Diario'!$H$5:$H$204,'05_Parte_Diario'!$D$5:$D$204,B1031,'05_Parte_Diario'!$E$5:$E$204,C1031)))</f>
        <v>0</v>
      </c>
      <c r="G1031" s="13">
        <f t="shared" si="112"/>
        <v>118</v>
      </c>
      <c r="H1031" s="21">
        <f t="shared" si="113"/>
        <v>0</v>
      </c>
      <c r="I1031" s="21">
        <f>IF(OR(B1031="",C1031="",$V$1=""),"",MIN(E1031,SUMIFS('03_Planificacion'!$G$99:$G$178,'03_Planificacion'!$E$99:$E$178,B1031,'03_Planificacion'!$F$99:$F$178,C1031,'03_Planificacion'!$D$99:$D$178,"&lt;="&amp;$V$1)))</f>
        <v>0</v>
      </c>
      <c r="J1031" s="21">
        <f t="shared" si="114"/>
        <v>0</v>
      </c>
      <c r="K1031" s="6">
        <f t="shared" si="115"/>
        <v>0</v>
      </c>
      <c r="L1031" t="s">
        <v>68</v>
      </c>
      <c r="P1031" s="5">
        <f t="shared" si="116"/>
        <v>46287</v>
      </c>
      <c r="Q1031" t="s">
        <v>119</v>
      </c>
      <c r="R1031">
        <v>75</v>
      </c>
      <c r="S1031" t="s">
        <v>70</v>
      </c>
      <c r="T1031" t="str">
        <f t="shared" si="117"/>
        <v/>
      </c>
      <c r="U1031" t="str">
        <f>IF(AND(L1031="Para Programar",G1031&gt;0),COUNTIFS($L$5:L1031,"Para Programar",$G$5:G1031,"&gt;0"),"")</f>
        <v/>
      </c>
      <c r="W1031" t="str">
        <f t="shared" si="118"/>
        <v>N4 - N8|10 Relleno -0,60 - Compactación</v>
      </c>
      <c r="X1031">
        <v>0</v>
      </c>
    </row>
    <row r="1032" spans="1:24">
      <c r="A1032" t="s">
        <v>108</v>
      </c>
      <c r="B1032" s="14" t="s">
        <v>181</v>
      </c>
      <c r="C1032" t="s">
        <v>109</v>
      </c>
      <c r="D1032" s="13" t="s">
        <v>81</v>
      </c>
      <c r="E1032" s="13">
        <v>1</v>
      </c>
      <c r="F1032" s="13">
        <f>IF(E1032="","",MIN(E1032,$X1032+SUMIFS('05_Parte_Diario'!$H$5:$H$204,'05_Parte_Diario'!$D$5:$D$204,B1032,'05_Parte_Diario'!$E$5:$E$204,C1032)))</f>
        <v>0</v>
      </c>
      <c r="G1032" s="13">
        <f t="shared" si="112"/>
        <v>1</v>
      </c>
      <c r="H1032" s="21">
        <f t="shared" si="113"/>
        <v>0</v>
      </c>
      <c r="I1032" s="21">
        <f>IF(OR(B1032="",C1032="",$V$1=""),"",MIN(E1032,SUMIFS('03_Planificacion'!$G$99:$G$178,'03_Planificacion'!$E$99:$E$178,B1032,'03_Planificacion'!$F$99:$F$178,C1032,'03_Planificacion'!$D$99:$D$178,"&lt;="&amp;$V$1)))</f>
        <v>0</v>
      </c>
      <c r="J1032" s="21">
        <f t="shared" si="114"/>
        <v>0</v>
      </c>
      <c r="K1032" s="6">
        <f t="shared" si="115"/>
        <v>0</v>
      </c>
      <c r="L1032" t="s">
        <v>68</v>
      </c>
      <c r="P1032" s="5">
        <f t="shared" si="116"/>
        <v>46287</v>
      </c>
      <c r="Q1032" t="s">
        <v>119</v>
      </c>
      <c r="R1032">
        <v>75</v>
      </c>
      <c r="S1032" t="s">
        <v>70</v>
      </c>
      <c r="T1032" t="str">
        <f t="shared" si="117"/>
        <v/>
      </c>
      <c r="U1032" t="str">
        <f>IF(AND(L1032="Para Programar",G1032&gt;0),COUNTIFS($L$5:L1032,"Para Programar",$G$5:G1032,"&gt;0"),"")</f>
        <v/>
      </c>
      <c r="W1032" t="str">
        <f t="shared" si="118"/>
        <v>N4 - N8|10 Relleno -0,60 - Inspección laboratorio</v>
      </c>
      <c r="X1032">
        <v>0</v>
      </c>
    </row>
    <row r="1033" spans="1:24">
      <c r="A1033" t="s">
        <v>110</v>
      </c>
      <c r="B1033" s="14" t="s">
        <v>181</v>
      </c>
      <c r="C1033" t="s">
        <v>111</v>
      </c>
      <c r="D1033" s="13" t="s">
        <v>67</v>
      </c>
      <c r="E1033" s="13">
        <v>118</v>
      </c>
      <c r="F1033" s="13">
        <f>IF(E1033="","",MIN(E1033,$X1033+SUMIFS('05_Parte_Diario'!$H$5:$H$204,'05_Parte_Diario'!$D$5:$D$204,B1033,'05_Parte_Diario'!$E$5:$E$204,C1033)))</f>
        <v>0</v>
      </c>
      <c r="G1033" s="13">
        <f t="shared" si="112"/>
        <v>118</v>
      </c>
      <c r="H1033" s="21">
        <f t="shared" si="113"/>
        <v>0</v>
      </c>
      <c r="I1033" s="21">
        <f>IF(OR(B1033="",C1033="",$V$1=""),"",MIN(E1033,SUMIFS('03_Planificacion'!$G$99:$G$178,'03_Planificacion'!$E$99:$E$178,B1033,'03_Planificacion'!$F$99:$F$178,C1033,'03_Planificacion'!$D$99:$D$178,"&lt;="&amp;$V$1)))</f>
        <v>0</v>
      </c>
      <c r="J1033" s="21">
        <f t="shared" si="114"/>
        <v>0</v>
      </c>
      <c r="K1033" s="6">
        <f t="shared" si="115"/>
        <v>0</v>
      </c>
      <c r="L1033" t="s">
        <v>68</v>
      </c>
      <c r="P1033" s="5">
        <f t="shared" si="116"/>
        <v>46287</v>
      </c>
      <c r="Q1033" t="s">
        <v>119</v>
      </c>
      <c r="R1033">
        <v>75</v>
      </c>
      <c r="S1033" t="s">
        <v>70</v>
      </c>
      <c r="T1033" t="str">
        <f t="shared" si="117"/>
        <v/>
      </c>
      <c r="U1033" t="str">
        <f>IF(AND(L1033="Para Programar",G1033&gt;0),COUNTIFS($L$5:L1033,"Para Programar",$G$5:G1033,"&gt;0"),"")</f>
        <v/>
      </c>
      <c r="W1033" t="str">
        <f t="shared" si="118"/>
        <v>N4 - N8|11 Relleno -0,30 - Conformación de capa</v>
      </c>
      <c r="X1033">
        <v>0</v>
      </c>
    </row>
    <row r="1034" spans="1:24">
      <c r="A1034" t="s">
        <v>112</v>
      </c>
      <c r="B1034" s="14" t="s">
        <v>181</v>
      </c>
      <c r="C1034" t="s">
        <v>113</v>
      </c>
      <c r="D1034" s="13" t="s">
        <v>67</v>
      </c>
      <c r="E1034" s="13">
        <v>118</v>
      </c>
      <c r="F1034" s="13">
        <f>IF(E1034="","",MIN(E1034,$X1034+SUMIFS('05_Parte_Diario'!$H$5:$H$204,'05_Parte_Diario'!$D$5:$D$204,B1034,'05_Parte_Diario'!$E$5:$E$204,C1034)))</f>
        <v>0</v>
      </c>
      <c r="G1034" s="13">
        <f t="shared" si="112"/>
        <v>118</v>
      </c>
      <c r="H1034" s="21">
        <f t="shared" si="113"/>
        <v>0</v>
      </c>
      <c r="I1034" s="21">
        <f>IF(OR(B1034="",C1034="",$V$1=""),"",MIN(E1034,SUMIFS('03_Planificacion'!$G$99:$G$178,'03_Planificacion'!$E$99:$E$178,B1034,'03_Planificacion'!$F$99:$F$178,C1034,'03_Planificacion'!$D$99:$D$178,"&lt;="&amp;$V$1)))</f>
        <v>0</v>
      </c>
      <c r="J1034" s="21">
        <f t="shared" si="114"/>
        <v>0</v>
      </c>
      <c r="K1034" s="6">
        <f t="shared" si="115"/>
        <v>0</v>
      </c>
      <c r="L1034" t="s">
        <v>68</v>
      </c>
      <c r="P1034" s="5">
        <f t="shared" si="116"/>
        <v>46287</v>
      </c>
      <c r="Q1034" t="s">
        <v>119</v>
      </c>
      <c r="R1034">
        <v>75</v>
      </c>
      <c r="S1034" t="s">
        <v>70</v>
      </c>
      <c r="T1034" t="str">
        <f t="shared" si="117"/>
        <v/>
      </c>
      <c r="U1034" t="str">
        <f>IF(AND(L1034="Para Programar",G1034&gt;0),COUNTIFS($L$5:L1034,"Para Programar",$G$5:G1034,"&gt;0"),"")</f>
        <v/>
      </c>
      <c r="W1034" t="str">
        <f t="shared" si="118"/>
        <v>N4 - N8|11 Relleno -0,30 - Humectación</v>
      </c>
      <c r="X1034">
        <v>0</v>
      </c>
    </row>
    <row r="1035" spans="1:24">
      <c r="A1035" t="s">
        <v>114</v>
      </c>
      <c r="B1035" s="14" t="s">
        <v>181</v>
      </c>
      <c r="C1035" t="s">
        <v>115</v>
      </c>
      <c r="D1035" s="13" t="s">
        <v>67</v>
      </c>
      <c r="E1035" s="13">
        <v>118</v>
      </c>
      <c r="F1035" s="13">
        <f>IF(E1035="","",MIN(E1035,$X1035+SUMIFS('05_Parte_Diario'!$H$5:$H$204,'05_Parte_Diario'!$D$5:$D$204,B1035,'05_Parte_Diario'!$E$5:$E$204,C1035)))</f>
        <v>0</v>
      </c>
      <c r="G1035" s="13">
        <f t="shared" si="112"/>
        <v>118</v>
      </c>
      <c r="H1035" s="21">
        <f t="shared" si="113"/>
        <v>0</v>
      </c>
      <c r="I1035" s="21">
        <f>IF(OR(B1035="",C1035="",$V$1=""),"",MIN(E1035,SUMIFS('03_Planificacion'!$G$99:$G$178,'03_Planificacion'!$E$99:$E$178,B1035,'03_Planificacion'!$F$99:$F$178,C1035,'03_Planificacion'!$D$99:$D$178,"&lt;="&amp;$V$1)))</f>
        <v>0</v>
      </c>
      <c r="J1035" s="21">
        <f t="shared" si="114"/>
        <v>0</v>
      </c>
      <c r="K1035" s="6">
        <f t="shared" si="115"/>
        <v>0</v>
      </c>
      <c r="L1035" t="s">
        <v>68</v>
      </c>
      <c r="P1035" s="5">
        <f t="shared" si="116"/>
        <v>46287</v>
      </c>
      <c r="Q1035" t="s">
        <v>119</v>
      </c>
      <c r="R1035">
        <v>75</v>
      </c>
      <c r="S1035" t="s">
        <v>70</v>
      </c>
      <c r="T1035" t="str">
        <f t="shared" si="117"/>
        <v/>
      </c>
      <c r="U1035" t="str">
        <f>IF(AND(L1035="Para Programar",G1035&gt;0),COUNTIFS($L$5:L1035,"Para Programar",$G$5:G1035,"&gt;0"),"")</f>
        <v/>
      </c>
      <c r="W1035" t="str">
        <f t="shared" si="118"/>
        <v>N4 - N8|11 Relleno -0,30 - Compactación</v>
      </c>
      <c r="X1035">
        <v>0</v>
      </c>
    </row>
    <row r="1036" spans="1:24">
      <c r="A1036" t="s">
        <v>116</v>
      </c>
      <c r="B1036" s="14" t="s">
        <v>181</v>
      </c>
      <c r="C1036" t="s">
        <v>117</v>
      </c>
      <c r="D1036" s="13" t="s">
        <v>81</v>
      </c>
      <c r="E1036" s="13">
        <v>1</v>
      </c>
      <c r="F1036" s="13">
        <f>IF(E1036="","",MIN(E1036,$X1036+SUMIFS('05_Parte_Diario'!$H$5:$H$204,'05_Parte_Diario'!$D$5:$D$204,B1036,'05_Parte_Diario'!$E$5:$E$204,C1036)))</f>
        <v>0</v>
      </c>
      <c r="G1036" s="13">
        <f t="shared" si="112"/>
        <v>1</v>
      </c>
      <c r="H1036" s="21">
        <f t="shared" si="113"/>
        <v>0</v>
      </c>
      <c r="I1036" s="21">
        <f>IF(OR(B1036="",C1036="",$V$1=""),"",MIN(E1036,SUMIFS('03_Planificacion'!$G$99:$G$178,'03_Planificacion'!$E$99:$E$178,B1036,'03_Planificacion'!$F$99:$F$178,C1036,'03_Planificacion'!$D$99:$D$178,"&lt;="&amp;$V$1)))</f>
        <v>0</v>
      </c>
      <c r="J1036" s="21">
        <f t="shared" si="114"/>
        <v>0</v>
      </c>
      <c r="K1036" s="6">
        <f t="shared" si="115"/>
        <v>0</v>
      </c>
      <c r="L1036" t="s">
        <v>68</v>
      </c>
      <c r="P1036" s="5">
        <f t="shared" si="116"/>
        <v>46287</v>
      </c>
      <c r="Q1036" t="s">
        <v>119</v>
      </c>
      <c r="R1036">
        <v>75</v>
      </c>
      <c r="S1036" t="s">
        <v>70</v>
      </c>
      <c r="T1036" t="str">
        <f t="shared" si="117"/>
        <v/>
      </c>
      <c r="U1036" t="str">
        <f>IF(AND(L1036="Para Programar",G1036&gt;0),COUNTIFS($L$5:L1036,"Para Programar",$G$5:G1036,"&gt;0"),"")</f>
        <v/>
      </c>
      <c r="W1036" t="str">
        <f t="shared" si="118"/>
        <v>N4 - N8|11 Relleno -0,30 - Inspección laboratorio</v>
      </c>
      <c r="X1036">
        <v>0</v>
      </c>
    </row>
    <row r="1037" spans="1:24">
      <c r="A1037" t="s">
        <v>64</v>
      </c>
      <c r="B1037" s="14" t="s">
        <v>182</v>
      </c>
      <c r="C1037" t="s">
        <v>66</v>
      </c>
      <c r="D1037" s="13" t="s">
        <v>67</v>
      </c>
      <c r="E1037" s="13">
        <v>10</v>
      </c>
      <c r="F1037" s="13">
        <f>IF(E1037="","",MIN(E1037,$X1037+SUMIFS('05_Parte_Diario'!$H$5:$H$204,'05_Parte_Diario'!$D$5:$D$204,B1037,'05_Parte_Diario'!$E$5:$E$204,C1037)))</f>
        <v>0</v>
      </c>
      <c r="G1037" s="13">
        <f t="shared" si="112"/>
        <v>10</v>
      </c>
      <c r="H1037" s="21">
        <f t="shared" si="113"/>
        <v>0</v>
      </c>
      <c r="I1037" s="21">
        <f>IF(OR(B1037="",C1037="",$V$1=""),"",MIN(E1037,SUMIFS('03_Planificacion'!$G$99:$G$178,'03_Planificacion'!$E$99:$E$178,B1037,'03_Planificacion'!$F$99:$F$178,C1037,'03_Planificacion'!$D$99:$D$178,"&lt;="&amp;$V$1)))</f>
        <v>0</v>
      </c>
      <c r="J1037" s="21">
        <f t="shared" si="114"/>
        <v>0</v>
      </c>
      <c r="K1037" s="6">
        <f t="shared" si="115"/>
        <v>0</v>
      </c>
      <c r="L1037" t="s">
        <v>68</v>
      </c>
      <c r="P1037" s="5">
        <f t="shared" si="116"/>
        <v>46287</v>
      </c>
      <c r="Q1037" t="s">
        <v>125</v>
      </c>
      <c r="R1037">
        <v>110</v>
      </c>
      <c r="S1037" t="s">
        <v>70</v>
      </c>
      <c r="T1037" t="str">
        <f t="shared" si="117"/>
        <v/>
      </c>
      <c r="U1037" t="str">
        <f>IF(AND(L1037="Para Programar",G1037&gt;0),COUNTIFS($L$5:L1037,"Para Programar",$G$5:G1037,"&gt;0"),"")</f>
        <v/>
      </c>
      <c r="W1037" t="str">
        <f t="shared" si="118"/>
        <v>N5 - N6|01 Replanteo - Marcación de tramo de cañería principal</v>
      </c>
      <c r="X1037">
        <v>0</v>
      </c>
    </row>
    <row r="1038" spans="1:24">
      <c r="A1038" t="s">
        <v>71</v>
      </c>
      <c r="B1038" s="14" t="s">
        <v>182</v>
      </c>
      <c r="C1038" t="s">
        <v>72</v>
      </c>
      <c r="D1038" s="13" t="s">
        <v>67</v>
      </c>
      <c r="E1038" s="13">
        <v>10</v>
      </c>
      <c r="F1038" s="13">
        <f>IF(E1038="","",MIN(E1038,$X1038+SUMIFS('05_Parte_Diario'!$H$5:$H$204,'05_Parte_Diario'!$D$5:$D$204,B1038,'05_Parte_Diario'!$E$5:$E$204,C1038)))</f>
        <v>0</v>
      </c>
      <c r="G1038" s="13">
        <f t="shared" si="112"/>
        <v>10</v>
      </c>
      <c r="H1038" s="21">
        <f t="shared" si="113"/>
        <v>0</v>
      </c>
      <c r="I1038" s="21">
        <f>IF(OR(B1038="",C1038="",$V$1=""),"",MIN(E1038,SUMIFS('03_Planificacion'!$G$99:$G$178,'03_Planificacion'!$E$99:$E$178,B1038,'03_Planificacion'!$F$99:$F$178,C1038,'03_Planificacion'!$D$99:$D$178,"&lt;="&amp;$V$1)))</f>
        <v>0</v>
      </c>
      <c r="J1038" s="21">
        <f t="shared" si="114"/>
        <v>0</v>
      </c>
      <c r="K1038" s="6">
        <f t="shared" si="115"/>
        <v>0</v>
      </c>
      <c r="L1038" t="s">
        <v>68</v>
      </c>
      <c r="P1038" s="5">
        <f t="shared" si="116"/>
        <v>46287</v>
      </c>
      <c r="Q1038" t="s">
        <v>125</v>
      </c>
      <c r="R1038">
        <v>110</v>
      </c>
      <c r="S1038" t="s">
        <v>70</v>
      </c>
      <c r="T1038" t="str">
        <f t="shared" si="117"/>
        <v/>
      </c>
      <c r="U1038" t="str">
        <f>IF(AND(L1038="Para Programar",G1038&gt;0),COUNTIFS($L$5:L1038,"Para Programar",$G$5:G1038,"&gt;0"),"")</f>
        <v/>
      </c>
      <c r="W1038" t="str">
        <f t="shared" si="118"/>
        <v>N5 - N6|02 Excavación - Zanja principal</v>
      </c>
      <c r="X1038">
        <v>0</v>
      </c>
    </row>
    <row r="1039" spans="1:24">
      <c r="A1039" t="s">
        <v>73</v>
      </c>
      <c r="B1039" s="14" t="s">
        <v>182</v>
      </c>
      <c r="C1039" t="s">
        <v>74</v>
      </c>
      <c r="D1039" s="13" t="s">
        <v>67</v>
      </c>
      <c r="E1039" s="13">
        <v>10</v>
      </c>
      <c r="F1039" s="13">
        <f>IF(E1039="","",MIN(E1039,$X1039+SUMIFS('05_Parte_Diario'!$H$5:$H$204,'05_Parte_Diario'!$D$5:$D$204,B1039,'05_Parte_Diario'!$E$5:$E$204,C1039)))</f>
        <v>0</v>
      </c>
      <c r="G1039" s="13">
        <f t="shared" si="112"/>
        <v>10</v>
      </c>
      <c r="H1039" s="21">
        <f t="shared" si="113"/>
        <v>0</v>
      </c>
      <c r="I1039" s="21">
        <f>IF(OR(B1039="",C1039="",$V$1=""),"",MIN(E1039,SUMIFS('03_Planificacion'!$G$99:$G$178,'03_Planificacion'!$E$99:$E$178,B1039,'03_Planificacion'!$F$99:$F$178,C1039,'03_Planificacion'!$D$99:$D$178,"&lt;="&amp;$V$1)))</f>
        <v>0</v>
      </c>
      <c r="J1039" s="21">
        <f t="shared" si="114"/>
        <v>0</v>
      </c>
      <c r="K1039" s="6">
        <f t="shared" si="115"/>
        <v>0</v>
      </c>
      <c r="L1039" t="s">
        <v>68</v>
      </c>
      <c r="P1039" s="5">
        <f t="shared" si="116"/>
        <v>46287</v>
      </c>
      <c r="Q1039" t="s">
        <v>125</v>
      </c>
      <c r="R1039">
        <v>110</v>
      </c>
      <c r="S1039" t="s">
        <v>70</v>
      </c>
      <c r="T1039" t="str">
        <f t="shared" si="117"/>
        <v/>
      </c>
      <c r="U1039" t="str">
        <f>IF(AND(L1039="Para Programar",G1039&gt;0),COUNTIFS($L$5:L1039,"Para Programar",$G$5:G1039,"&gt;0"),"")</f>
        <v/>
      </c>
      <c r="W1039" t="str">
        <f t="shared" si="118"/>
        <v>N5 - N6|03 Base de asiento - Nivelación de fondo de zanja</v>
      </c>
      <c r="X1039">
        <v>0</v>
      </c>
    </row>
    <row r="1040" spans="1:24">
      <c r="A1040" t="s">
        <v>75</v>
      </c>
      <c r="B1040" s="14" t="s">
        <v>182</v>
      </c>
      <c r="C1040" t="s">
        <v>76</v>
      </c>
      <c r="D1040" s="13" t="s">
        <v>67</v>
      </c>
      <c r="E1040" s="13">
        <v>10</v>
      </c>
      <c r="F1040" s="13">
        <f>IF(E1040="","",MIN(E1040,$X1040+SUMIFS('05_Parte_Diario'!$H$5:$H$204,'05_Parte_Diario'!$D$5:$D$204,B1040,'05_Parte_Diario'!$E$5:$E$204,C1040)))</f>
        <v>0</v>
      </c>
      <c r="G1040" s="13">
        <f t="shared" si="112"/>
        <v>10</v>
      </c>
      <c r="H1040" s="21">
        <f t="shared" si="113"/>
        <v>0</v>
      </c>
      <c r="I1040" s="21">
        <f>IF(OR(B1040="",C1040="",$V$1=""),"",MIN(E1040,SUMIFS('03_Planificacion'!$G$99:$G$178,'03_Planificacion'!$E$99:$E$178,B1040,'03_Planificacion'!$F$99:$F$178,C1040,'03_Planificacion'!$D$99:$D$178,"&lt;="&amp;$V$1)))</f>
        <v>0</v>
      </c>
      <c r="J1040" s="21">
        <f t="shared" si="114"/>
        <v>0</v>
      </c>
      <c r="K1040" s="6">
        <f t="shared" si="115"/>
        <v>0</v>
      </c>
      <c r="L1040" t="s">
        <v>68</v>
      </c>
      <c r="P1040" s="5">
        <f t="shared" si="116"/>
        <v>46287</v>
      </c>
      <c r="Q1040" t="s">
        <v>125</v>
      </c>
      <c r="R1040">
        <v>110</v>
      </c>
      <c r="S1040" t="s">
        <v>70</v>
      </c>
      <c r="T1040" t="str">
        <f t="shared" si="117"/>
        <v/>
      </c>
      <c r="U1040" t="str">
        <f>IF(AND(L1040="Para Programar",G1040&gt;0),COUNTIFS($L$5:L1040,"Para Programar",$G$5:G1040,"&gt;0"),"")</f>
        <v/>
      </c>
      <c r="W1040" t="str">
        <f t="shared" si="118"/>
        <v>N5 - N6|03 Base de asiento - Aporte de material base e=0,10 m</v>
      </c>
      <c r="X1040">
        <v>0</v>
      </c>
    </row>
    <row r="1041" spans="1:24">
      <c r="A1041" t="s">
        <v>77</v>
      </c>
      <c r="B1041" s="14" t="s">
        <v>182</v>
      </c>
      <c r="C1041" t="s">
        <v>78</v>
      </c>
      <c r="D1041" s="13" t="s">
        <v>67</v>
      </c>
      <c r="E1041" s="13">
        <v>10</v>
      </c>
      <c r="F1041" s="13">
        <f>IF(E1041="","",MIN(E1041,$X1041+SUMIFS('05_Parte_Diario'!$H$5:$H$204,'05_Parte_Diario'!$D$5:$D$204,B1041,'05_Parte_Diario'!$E$5:$E$204,C1041)))</f>
        <v>0</v>
      </c>
      <c r="G1041" s="13">
        <f t="shared" si="112"/>
        <v>10</v>
      </c>
      <c r="H1041" s="21">
        <f t="shared" si="113"/>
        <v>0</v>
      </c>
      <c r="I1041" s="21">
        <f>IF(OR(B1041="",C1041="",$V$1=""),"",MIN(E1041,SUMIFS('03_Planificacion'!$G$99:$G$178,'03_Planificacion'!$E$99:$E$178,B1041,'03_Planificacion'!$F$99:$F$178,C1041,'03_Planificacion'!$D$99:$D$178,"&lt;="&amp;$V$1)))</f>
        <v>0</v>
      </c>
      <c r="J1041" s="21">
        <f t="shared" si="114"/>
        <v>0</v>
      </c>
      <c r="K1041" s="6">
        <f t="shared" si="115"/>
        <v>0</v>
      </c>
      <c r="L1041" t="s">
        <v>68</v>
      </c>
      <c r="P1041" s="5">
        <f t="shared" si="116"/>
        <v>46287</v>
      </c>
      <c r="Q1041" t="s">
        <v>125</v>
      </c>
      <c r="R1041">
        <v>110</v>
      </c>
      <c r="S1041" t="s">
        <v>70</v>
      </c>
      <c r="T1041" t="str">
        <f t="shared" si="117"/>
        <v/>
      </c>
      <c r="U1041" t="str">
        <f>IF(AND(L1041="Para Programar",G1041&gt;0),COUNTIFS($L$5:L1041,"Para Programar",$G$5:G1041,"&gt;0"),"")</f>
        <v/>
      </c>
      <c r="W1041" t="str">
        <f t="shared" si="118"/>
        <v>N5 - N6|03 Base de asiento - Compactación</v>
      </c>
      <c r="X1041">
        <v>0</v>
      </c>
    </row>
    <row r="1042" spans="1:24">
      <c r="A1042" t="s">
        <v>79</v>
      </c>
      <c r="B1042" s="14" t="s">
        <v>182</v>
      </c>
      <c r="C1042" t="s">
        <v>80</v>
      </c>
      <c r="D1042" s="13" t="s">
        <v>81</v>
      </c>
      <c r="E1042" s="13">
        <v>1</v>
      </c>
      <c r="F1042" s="13">
        <f>IF(E1042="","",MIN(E1042,$X1042+SUMIFS('05_Parte_Diario'!$H$5:$H$204,'05_Parte_Diario'!$D$5:$D$204,B1042,'05_Parte_Diario'!$E$5:$E$204,C1042)))</f>
        <v>0</v>
      </c>
      <c r="G1042" s="13">
        <f t="shared" si="112"/>
        <v>1</v>
      </c>
      <c r="H1042" s="21">
        <f t="shared" si="113"/>
        <v>0</v>
      </c>
      <c r="I1042" s="21">
        <f>IF(OR(B1042="",C1042="",$V$1=""),"",MIN(E1042,SUMIFS('03_Planificacion'!$G$99:$G$178,'03_Planificacion'!$E$99:$E$178,B1042,'03_Planificacion'!$F$99:$F$178,C1042,'03_Planificacion'!$D$99:$D$178,"&lt;="&amp;$V$1)))</f>
        <v>0</v>
      </c>
      <c r="J1042" s="21">
        <f t="shared" si="114"/>
        <v>0</v>
      </c>
      <c r="K1042" s="6">
        <f t="shared" si="115"/>
        <v>0</v>
      </c>
      <c r="L1042" t="s">
        <v>68</v>
      </c>
      <c r="P1042" s="5">
        <f t="shared" si="116"/>
        <v>46287</v>
      </c>
      <c r="Q1042" t="s">
        <v>125</v>
      </c>
      <c r="R1042">
        <v>110</v>
      </c>
      <c r="S1042" t="s">
        <v>70</v>
      </c>
      <c r="T1042" t="str">
        <f t="shared" si="117"/>
        <v/>
      </c>
      <c r="U1042" t="str">
        <f>IF(AND(L1042="Para Programar",G1042&gt;0),COUNTIFS($L$5:L1042,"Para Programar",$G$5:G1042,"&gt;0"),"")</f>
        <v/>
      </c>
      <c r="W1042" t="str">
        <f t="shared" si="118"/>
        <v>N5 - N6|04 Inspecciones previas - Laboratorio base de asiento</v>
      </c>
      <c r="X1042">
        <v>0</v>
      </c>
    </row>
    <row r="1043" spans="1:24">
      <c r="A1043" t="s">
        <v>82</v>
      </c>
      <c r="B1043" s="14" t="s">
        <v>182</v>
      </c>
      <c r="C1043" t="s">
        <v>83</v>
      </c>
      <c r="D1043" s="13" t="s">
        <v>81</v>
      </c>
      <c r="E1043" s="13">
        <v>1</v>
      </c>
      <c r="F1043" s="13">
        <f>IF(E1043="","",MIN(E1043,$X1043+SUMIFS('05_Parte_Diario'!$H$5:$H$204,'05_Parte_Diario'!$D$5:$D$204,B1043,'05_Parte_Diario'!$E$5:$E$204,C1043)))</f>
        <v>0</v>
      </c>
      <c r="G1043" s="13">
        <f t="shared" si="112"/>
        <v>1</v>
      </c>
      <c r="H1043" s="21">
        <f t="shared" si="113"/>
        <v>0</v>
      </c>
      <c r="I1043" s="21">
        <f>IF(OR(B1043="",C1043="",$V$1=""),"",MIN(E1043,SUMIFS('03_Planificacion'!$G$99:$G$178,'03_Planificacion'!$E$99:$E$178,B1043,'03_Planificacion'!$F$99:$F$178,C1043,'03_Planificacion'!$D$99:$D$178,"&lt;="&amp;$V$1)))</f>
        <v>0</v>
      </c>
      <c r="J1043" s="21">
        <f t="shared" si="114"/>
        <v>0</v>
      </c>
      <c r="K1043" s="6">
        <f t="shared" si="115"/>
        <v>0</v>
      </c>
      <c r="L1043" t="s">
        <v>68</v>
      </c>
      <c r="P1043" s="5">
        <f t="shared" si="116"/>
        <v>46287</v>
      </c>
      <c r="Q1043" t="s">
        <v>125</v>
      </c>
      <c r="R1043">
        <v>110</v>
      </c>
      <c r="S1043" t="s">
        <v>70</v>
      </c>
      <c r="T1043" t="str">
        <f t="shared" si="117"/>
        <v/>
      </c>
      <c r="U1043" t="str">
        <f>IF(AND(L1043="Para Programar",G1043&gt;0),COUNTIFS($L$5:L1043,"Para Programar",$G$5:G1043,"&gt;0"),"")</f>
        <v/>
      </c>
      <c r="W1043" t="str">
        <f t="shared" si="118"/>
        <v>N5 - N6|04 Inspecciones previas - Zanja y materiales</v>
      </c>
      <c r="X1043">
        <v>0</v>
      </c>
    </row>
    <row r="1044" spans="1:24">
      <c r="A1044" t="s">
        <v>84</v>
      </c>
      <c r="B1044" s="14" t="s">
        <v>182</v>
      </c>
      <c r="C1044" t="s">
        <v>85</v>
      </c>
      <c r="D1044" s="13" t="s">
        <v>67</v>
      </c>
      <c r="E1044" s="13">
        <v>10</v>
      </c>
      <c r="F1044" s="13">
        <f>IF(E1044="","",MIN(E1044,$X1044+SUMIFS('05_Parte_Diario'!$H$5:$H$204,'05_Parte_Diario'!$D$5:$D$204,B1044,'05_Parte_Diario'!$E$5:$E$204,C1044)))</f>
        <v>0</v>
      </c>
      <c r="G1044" s="13">
        <f t="shared" si="112"/>
        <v>10</v>
      </c>
      <c r="H1044" s="21">
        <f t="shared" si="113"/>
        <v>0</v>
      </c>
      <c r="I1044" s="21">
        <f>IF(OR(B1044="",C1044="",$V$1=""),"",MIN(E1044,SUMIFS('03_Planificacion'!$G$99:$G$178,'03_Planificacion'!$E$99:$E$178,B1044,'03_Planificacion'!$F$99:$F$178,C1044,'03_Planificacion'!$D$99:$D$178,"&lt;="&amp;$V$1)))</f>
        <v>0</v>
      </c>
      <c r="J1044" s="21">
        <f t="shared" si="114"/>
        <v>0</v>
      </c>
      <c r="K1044" s="6">
        <f t="shared" si="115"/>
        <v>0</v>
      </c>
      <c r="L1044" t="s">
        <v>68</v>
      </c>
      <c r="P1044" s="5">
        <f t="shared" si="116"/>
        <v>46287</v>
      </c>
      <c r="Q1044" t="s">
        <v>125</v>
      </c>
      <c r="R1044">
        <v>110</v>
      </c>
      <c r="S1044" t="s">
        <v>70</v>
      </c>
      <c r="T1044" t="str">
        <f t="shared" si="117"/>
        <v/>
      </c>
      <c r="U1044" t="str">
        <f>IF(AND(L1044="Para Programar",G1044&gt;0),COUNTIFS($L$5:L1044,"Para Programar",$G$5:G1044,"&gt;0"),"")</f>
        <v/>
      </c>
      <c r="W1044" t="str">
        <f t="shared" si="118"/>
        <v>N5 - N6|05 Tendido de cañería - Cañería principal</v>
      </c>
      <c r="X1044">
        <v>0</v>
      </c>
    </row>
    <row r="1045" spans="1:24">
      <c r="A1045" t="s">
        <v>86</v>
      </c>
      <c r="B1045" s="14" t="s">
        <v>182</v>
      </c>
      <c r="C1045" t="s">
        <v>87</v>
      </c>
      <c r="D1045" s="13" t="s">
        <v>67</v>
      </c>
      <c r="E1045" s="13">
        <v>10</v>
      </c>
      <c r="F1045" s="13">
        <f>IF(E1045="","",MIN(E1045,$X1045+SUMIFS('05_Parte_Diario'!$H$5:$H$204,'05_Parte_Diario'!$D$5:$D$204,B1045,'05_Parte_Diario'!$E$5:$E$204,C1045)))</f>
        <v>0</v>
      </c>
      <c r="G1045" s="13">
        <f t="shared" si="112"/>
        <v>10</v>
      </c>
      <c r="H1045" s="21">
        <f t="shared" si="113"/>
        <v>0</v>
      </c>
      <c r="I1045" s="21">
        <f>IF(OR(B1045="",C1045="",$V$1=""),"",MIN(E1045,SUMIFS('03_Planificacion'!$G$99:$G$178,'03_Planificacion'!$E$99:$E$178,B1045,'03_Planificacion'!$F$99:$F$178,C1045,'03_Planificacion'!$D$99:$D$178,"&lt;="&amp;$V$1)))</f>
        <v>0</v>
      </c>
      <c r="J1045" s="21">
        <f t="shared" si="114"/>
        <v>0</v>
      </c>
      <c r="K1045" s="6">
        <f t="shared" si="115"/>
        <v>0</v>
      </c>
      <c r="L1045" t="s">
        <v>68</v>
      </c>
      <c r="P1045" s="5">
        <f t="shared" si="116"/>
        <v>46287</v>
      </c>
      <c r="Q1045" t="s">
        <v>125</v>
      </c>
      <c r="R1045">
        <v>110</v>
      </c>
      <c r="S1045" t="s">
        <v>70</v>
      </c>
      <c r="T1045" t="str">
        <f t="shared" si="117"/>
        <v/>
      </c>
      <c r="U1045" t="str">
        <f>IF(AND(L1045="Para Programar",G1045&gt;0),COUNTIFS($L$5:L1045,"Para Programar",$G$5:G1045,"&gt;0"),"")</f>
        <v/>
      </c>
      <c r="W1045" t="str">
        <f t="shared" si="118"/>
        <v>N5 - N6|05 Tendido de cañería - Relevamiento planialtimétrico</v>
      </c>
      <c r="X1045">
        <v>0</v>
      </c>
    </row>
    <row r="1046" spans="1:24">
      <c r="A1046" t="s">
        <v>88</v>
      </c>
      <c r="B1046" s="14" t="s">
        <v>182</v>
      </c>
      <c r="C1046" t="s">
        <v>89</v>
      </c>
      <c r="D1046" s="13" t="s">
        <v>81</v>
      </c>
      <c r="E1046" s="13">
        <v>1</v>
      </c>
      <c r="F1046" s="13">
        <f>IF(E1046="","",MIN(E1046,$X1046+SUMIFS('05_Parte_Diario'!$H$5:$H$204,'05_Parte_Diario'!$D$5:$D$204,B1046,'05_Parte_Diario'!$E$5:$E$204,C1046)))</f>
        <v>0</v>
      </c>
      <c r="G1046" s="13">
        <f t="shared" si="112"/>
        <v>1</v>
      </c>
      <c r="H1046" s="21">
        <f t="shared" si="113"/>
        <v>0</v>
      </c>
      <c r="I1046" s="21">
        <f>IF(OR(B1046="",C1046="",$V$1=""),"",MIN(E1046,SUMIFS('03_Planificacion'!$G$99:$G$178,'03_Planificacion'!$E$99:$E$178,B1046,'03_Planificacion'!$F$99:$F$178,C1046,'03_Planificacion'!$D$99:$D$178,"&lt;="&amp;$V$1)))</f>
        <v>0</v>
      </c>
      <c r="J1046" s="21">
        <f t="shared" si="114"/>
        <v>0</v>
      </c>
      <c r="K1046" s="6">
        <f t="shared" si="115"/>
        <v>0</v>
      </c>
      <c r="L1046" t="s">
        <v>68</v>
      </c>
      <c r="P1046" s="5">
        <f t="shared" si="116"/>
        <v>46287</v>
      </c>
      <c r="Q1046" t="s">
        <v>125</v>
      </c>
      <c r="R1046">
        <v>110</v>
      </c>
      <c r="S1046" t="s">
        <v>70</v>
      </c>
      <c r="T1046" t="str">
        <f t="shared" si="117"/>
        <v/>
      </c>
      <c r="U1046" t="str">
        <f>IF(AND(L1046="Para Programar",G1046&gt;0),COUNTIFS($L$5:L1046,"Para Programar",$G$5:G1046,"&gt;0"),"")</f>
        <v/>
      </c>
      <c r="W1046" t="str">
        <f t="shared" si="118"/>
        <v>N5 - N6|08 Prueba hidráulica - Preparación del sistema</v>
      </c>
      <c r="X1046">
        <v>0</v>
      </c>
    </row>
    <row r="1047" spans="1:24">
      <c r="A1047" t="s">
        <v>90</v>
      </c>
      <c r="B1047" s="14" t="s">
        <v>182</v>
      </c>
      <c r="C1047" t="s">
        <v>91</v>
      </c>
      <c r="D1047" s="13" t="s">
        <v>81</v>
      </c>
      <c r="E1047" s="13">
        <v>1</v>
      </c>
      <c r="F1047" s="13">
        <f>IF(E1047="","",MIN(E1047,$X1047+SUMIFS('05_Parte_Diario'!$H$5:$H$204,'05_Parte_Diario'!$D$5:$D$204,B1047,'05_Parte_Diario'!$E$5:$E$204,C1047)))</f>
        <v>0</v>
      </c>
      <c r="G1047" s="13">
        <f t="shared" si="112"/>
        <v>1</v>
      </c>
      <c r="H1047" s="21">
        <f t="shared" si="113"/>
        <v>0</v>
      </c>
      <c r="I1047" s="21">
        <f>IF(OR(B1047="",C1047="",$V$1=""),"",MIN(E1047,SUMIFS('03_Planificacion'!$G$99:$G$178,'03_Planificacion'!$E$99:$E$178,B1047,'03_Planificacion'!$F$99:$F$178,C1047,'03_Planificacion'!$D$99:$D$178,"&lt;="&amp;$V$1)))</f>
        <v>0</v>
      </c>
      <c r="J1047" s="21">
        <f t="shared" si="114"/>
        <v>0</v>
      </c>
      <c r="K1047" s="6">
        <f t="shared" si="115"/>
        <v>0</v>
      </c>
      <c r="L1047" t="s">
        <v>68</v>
      </c>
      <c r="P1047" s="5">
        <f t="shared" si="116"/>
        <v>46287</v>
      </c>
      <c r="Q1047" t="s">
        <v>125</v>
      </c>
      <c r="R1047">
        <v>110</v>
      </c>
      <c r="S1047" t="s">
        <v>70</v>
      </c>
      <c r="T1047" t="str">
        <f t="shared" si="117"/>
        <v/>
      </c>
      <c r="U1047" t="str">
        <f>IF(AND(L1047="Para Programar",G1047&gt;0),COUNTIFS($L$5:L1047,"Para Programar",$G$5:G1047,"&gt;0"),"")</f>
        <v/>
      </c>
      <c r="W1047" t="str">
        <f t="shared" si="118"/>
        <v>N5 - N6|08 Prueba hidráulica - Interna N° 1</v>
      </c>
      <c r="X1047">
        <v>0</v>
      </c>
    </row>
    <row r="1048" spans="1:24">
      <c r="A1048" t="s">
        <v>92</v>
      </c>
      <c r="B1048" s="14" t="s">
        <v>182</v>
      </c>
      <c r="C1048" t="s">
        <v>93</v>
      </c>
      <c r="D1048" s="13" t="s">
        <v>81</v>
      </c>
      <c r="E1048" s="13">
        <v>1</v>
      </c>
      <c r="F1048" s="13">
        <f>IF(E1048="","",MIN(E1048,$X1048+SUMIFS('05_Parte_Diario'!$H$5:$H$204,'05_Parte_Diario'!$D$5:$D$204,B1048,'05_Parte_Diario'!$E$5:$E$204,C1048)))</f>
        <v>0</v>
      </c>
      <c r="G1048" s="13">
        <f t="shared" si="112"/>
        <v>1</v>
      </c>
      <c r="H1048" s="21">
        <f t="shared" si="113"/>
        <v>0</v>
      </c>
      <c r="I1048" s="21">
        <f>IF(OR(B1048="",C1048="",$V$1=""),"",MIN(E1048,SUMIFS('03_Planificacion'!$G$99:$G$178,'03_Planificacion'!$E$99:$E$178,B1048,'03_Planificacion'!$F$99:$F$178,C1048,'03_Planificacion'!$D$99:$D$178,"&lt;="&amp;$V$1)))</f>
        <v>0</v>
      </c>
      <c r="J1048" s="21">
        <f t="shared" si="114"/>
        <v>0</v>
      </c>
      <c r="K1048" s="6">
        <f t="shared" si="115"/>
        <v>0</v>
      </c>
      <c r="L1048" t="s">
        <v>68</v>
      </c>
      <c r="P1048" s="5">
        <f t="shared" si="116"/>
        <v>46287</v>
      </c>
      <c r="Q1048" t="s">
        <v>125</v>
      </c>
      <c r="R1048">
        <v>110</v>
      </c>
      <c r="S1048" t="s">
        <v>70</v>
      </c>
      <c r="T1048" t="str">
        <f t="shared" si="117"/>
        <v/>
      </c>
      <c r="U1048" t="str">
        <f>IF(AND(L1048="Para Programar",G1048&gt;0),COUNTIFS($L$5:L1048,"Para Programar",$G$5:G1048,"&gt;0"),"")</f>
        <v/>
      </c>
      <c r="W1048" t="str">
        <f t="shared" si="118"/>
        <v>N5 - N6|08 Prueba hidráulica - Interna N° 2</v>
      </c>
      <c r="X1048">
        <v>0</v>
      </c>
    </row>
    <row r="1049" spans="1:24">
      <c r="A1049" t="s">
        <v>94</v>
      </c>
      <c r="B1049" s="14" t="s">
        <v>182</v>
      </c>
      <c r="C1049" t="s">
        <v>95</v>
      </c>
      <c r="D1049" s="13" t="s">
        <v>81</v>
      </c>
      <c r="E1049" s="13">
        <v>1</v>
      </c>
      <c r="F1049" s="13">
        <f>IF(E1049="","",MIN(E1049,$X1049+SUMIFS('05_Parte_Diario'!$H$5:$H$204,'05_Parte_Diario'!$D$5:$D$204,B1049,'05_Parte_Diario'!$E$5:$E$204,C1049)))</f>
        <v>0</v>
      </c>
      <c r="G1049" s="13">
        <f t="shared" si="112"/>
        <v>1</v>
      </c>
      <c r="H1049" s="21">
        <f t="shared" si="113"/>
        <v>0</v>
      </c>
      <c r="I1049" s="21">
        <f>IF(OR(B1049="",C1049="",$V$1=""),"",MIN(E1049,SUMIFS('03_Planificacion'!$G$99:$G$178,'03_Planificacion'!$E$99:$E$178,B1049,'03_Planificacion'!$F$99:$F$178,C1049,'03_Planificacion'!$D$99:$D$178,"&lt;="&amp;$V$1)))</f>
        <v>0</v>
      </c>
      <c r="J1049" s="21">
        <f t="shared" si="114"/>
        <v>0</v>
      </c>
      <c r="K1049" s="6">
        <f t="shared" si="115"/>
        <v>0</v>
      </c>
      <c r="L1049" t="s">
        <v>68</v>
      </c>
      <c r="P1049" s="5">
        <f t="shared" si="116"/>
        <v>46287</v>
      </c>
      <c r="Q1049" t="s">
        <v>125</v>
      </c>
      <c r="R1049">
        <v>110</v>
      </c>
      <c r="S1049" t="s">
        <v>70</v>
      </c>
      <c r="T1049" t="str">
        <f t="shared" si="117"/>
        <v/>
      </c>
      <c r="U1049" t="str">
        <f>IF(AND(L1049="Para Programar",G1049&gt;0),COUNTIFS($L$5:L1049,"Para Programar",$G$5:G1049,"&gt;0"),"")</f>
        <v/>
      </c>
      <c r="W1049" t="str">
        <f t="shared" si="118"/>
        <v>N5 - N6|08 Prueba hidráulica - Primera prueba oficial</v>
      </c>
      <c r="X1049">
        <v>0</v>
      </c>
    </row>
    <row r="1050" spans="1:24">
      <c r="A1050" t="s">
        <v>96</v>
      </c>
      <c r="B1050" s="14" t="s">
        <v>182</v>
      </c>
      <c r="C1050" t="s">
        <v>97</v>
      </c>
      <c r="D1050" s="13" t="s">
        <v>67</v>
      </c>
      <c r="E1050" s="13">
        <v>10</v>
      </c>
      <c r="F1050" s="13">
        <f>IF(E1050="","",MIN(E1050,$X1050+SUMIFS('05_Parte_Diario'!$H$5:$H$204,'05_Parte_Diario'!$D$5:$D$204,B1050,'05_Parte_Diario'!$E$5:$E$204,C1050)))</f>
        <v>0</v>
      </c>
      <c r="G1050" s="13">
        <f t="shared" si="112"/>
        <v>10</v>
      </c>
      <c r="H1050" s="21">
        <f t="shared" si="113"/>
        <v>0</v>
      </c>
      <c r="I1050" s="21">
        <f>IF(OR(B1050="",C1050="",$V$1=""),"",MIN(E1050,SUMIFS('03_Planificacion'!$G$99:$G$178,'03_Planificacion'!$E$99:$E$178,B1050,'03_Planificacion'!$F$99:$F$178,C1050,'03_Planificacion'!$D$99:$D$178,"&lt;="&amp;$V$1)))</f>
        <v>0</v>
      </c>
      <c r="J1050" s="21">
        <f t="shared" si="114"/>
        <v>0</v>
      </c>
      <c r="K1050" s="6">
        <f t="shared" si="115"/>
        <v>0</v>
      </c>
      <c r="L1050" t="s">
        <v>68</v>
      </c>
      <c r="P1050" s="5">
        <f t="shared" si="116"/>
        <v>46287</v>
      </c>
      <c r="Q1050" t="s">
        <v>125</v>
      </c>
      <c r="R1050">
        <v>110</v>
      </c>
      <c r="S1050" t="s">
        <v>70</v>
      </c>
      <c r="T1050" t="str">
        <f t="shared" si="117"/>
        <v/>
      </c>
      <c r="U1050" t="str">
        <f>IF(AND(L1050="Para Programar",G1050&gt;0),COUNTIFS($L$5:L1050,"Para Programar",$G$5:G1050,"&gt;0"),"")</f>
        <v/>
      </c>
      <c r="W1050" t="str">
        <f t="shared" si="118"/>
        <v>N5 - N6|09 Paquete estructural - Aporte e=0,30 m</v>
      </c>
      <c r="X1050">
        <v>0</v>
      </c>
    </row>
    <row r="1051" spans="1:24">
      <c r="A1051" t="s">
        <v>98</v>
      </c>
      <c r="B1051" s="14" t="s">
        <v>182</v>
      </c>
      <c r="C1051" t="s">
        <v>99</v>
      </c>
      <c r="D1051" s="13" t="s">
        <v>67</v>
      </c>
      <c r="E1051" s="13">
        <v>10</v>
      </c>
      <c r="F1051" s="13">
        <f>IF(E1051="","",MIN(E1051,$X1051+SUMIFS('05_Parte_Diario'!$H$5:$H$204,'05_Parte_Diario'!$D$5:$D$204,B1051,'05_Parte_Diario'!$E$5:$E$204,C1051)))</f>
        <v>0</v>
      </c>
      <c r="G1051" s="13">
        <f t="shared" si="112"/>
        <v>10</v>
      </c>
      <c r="H1051" s="21">
        <f t="shared" si="113"/>
        <v>0</v>
      </c>
      <c r="I1051" s="21">
        <f>IF(OR(B1051="",C1051="",$V$1=""),"",MIN(E1051,SUMIFS('03_Planificacion'!$G$99:$G$178,'03_Planificacion'!$E$99:$E$178,B1051,'03_Planificacion'!$F$99:$F$178,C1051,'03_Planificacion'!$D$99:$D$178,"&lt;="&amp;$V$1)))</f>
        <v>0</v>
      </c>
      <c r="J1051" s="21">
        <f t="shared" si="114"/>
        <v>0</v>
      </c>
      <c r="K1051" s="6">
        <f t="shared" si="115"/>
        <v>0</v>
      </c>
      <c r="L1051" t="s">
        <v>68</v>
      </c>
      <c r="P1051" s="5">
        <f t="shared" si="116"/>
        <v>46287</v>
      </c>
      <c r="Q1051" t="s">
        <v>125</v>
      </c>
      <c r="R1051">
        <v>110</v>
      </c>
      <c r="S1051" t="s">
        <v>70</v>
      </c>
      <c r="T1051" t="str">
        <f t="shared" si="117"/>
        <v/>
      </c>
      <c r="U1051" t="str">
        <f>IF(AND(L1051="Para Programar",G1051&gt;0),COUNTIFS($L$5:L1051,"Para Programar",$G$5:G1051,"&gt;0"),"")</f>
        <v/>
      </c>
      <c r="W1051" t="str">
        <f t="shared" si="118"/>
        <v>N5 - N6|09 Paquete estructural - Compactación</v>
      </c>
      <c r="X1051">
        <v>0</v>
      </c>
    </row>
    <row r="1052" spans="1:24">
      <c r="A1052" t="s">
        <v>100</v>
      </c>
      <c r="B1052" s="14" t="s">
        <v>182</v>
      </c>
      <c r="C1052" t="s">
        <v>101</v>
      </c>
      <c r="D1052" s="13" t="s">
        <v>81</v>
      </c>
      <c r="E1052" s="13">
        <v>1</v>
      </c>
      <c r="F1052" s="13">
        <f>IF(E1052="","",MIN(E1052,$X1052+SUMIFS('05_Parte_Diario'!$H$5:$H$204,'05_Parte_Diario'!$D$5:$D$204,B1052,'05_Parte_Diario'!$E$5:$E$204,C1052)))</f>
        <v>0</v>
      </c>
      <c r="G1052" s="13">
        <f t="shared" si="112"/>
        <v>1</v>
      </c>
      <c r="H1052" s="21">
        <f t="shared" si="113"/>
        <v>0</v>
      </c>
      <c r="I1052" s="21">
        <f>IF(OR(B1052="",C1052="",$V$1=""),"",MIN(E1052,SUMIFS('03_Planificacion'!$G$99:$G$178,'03_Planificacion'!$E$99:$E$178,B1052,'03_Planificacion'!$F$99:$F$178,C1052,'03_Planificacion'!$D$99:$D$178,"&lt;="&amp;$V$1)))</f>
        <v>0</v>
      </c>
      <c r="J1052" s="21">
        <f t="shared" si="114"/>
        <v>0</v>
      </c>
      <c r="K1052" s="6">
        <f t="shared" si="115"/>
        <v>0</v>
      </c>
      <c r="L1052" t="s">
        <v>68</v>
      </c>
      <c r="P1052" s="5">
        <f t="shared" si="116"/>
        <v>46287</v>
      </c>
      <c r="Q1052" t="s">
        <v>125</v>
      </c>
      <c r="R1052">
        <v>110</v>
      </c>
      <c r="S1052" t="s">
        <v>70</v>
      </c>
      <c r="T1052" t="str">
        <f t="shared" si="117"/>
        <v/>
      </c>
      <c r="U1052" t="str">
        <f>IF(AND(L1052="Para Programar",G1052&gt;0),COUNTIFS($L$5:L1052,"Para Programar",$G$5:G1052,"&gt;0"),"")</f>
        <v/>
      </c>
      <c r="W1052" t="str">
        <f t="shared" si="118"/>
        <v>N5 - N6|09 Paquete estructural - Inspección laboratorio</v>
      </c>
      <c r="X1052">
        <v>0</v>
      </c>
    </row>
    <row r="1053" spans="1:24">
      <c r="A1053" t="s">
        <v>102</v>
      </c>
      <c r="B1053" s="14" t="s">
        <v>182</v>
      </c>
      <c r="C1053" t="s">
        <v>103</v>
      </c>
      <c r="D1053" s="13" t="s">
        <v>67</v>
      </c>
      <c r="E1053" s="13">
        <v>10</v>
      </c>
      <c r="F1053" s="13">
        <f>IF(E1053="","",MIN(E1053,$X1053+SUMIFS('05_Parte_Diario'!$H$5:$H$204,'05_Parte_Diario'!$D$5:$D$204,B1053,'05_Parte_Diario'!$E$5:$E$204,C1053)))</f>
        <v>0</v>
      </c>
      <c r="G1053" s="13">
        <f t="shared" si="112"/>
        <v>10</v>
      </c>
      <c r="H1053" s="21">
        <f t="shared" si="113"/>
        <v>0</v>
      </c>
      <c r="I1053" s="21">
        <f>IF(OR(B1053="",C1053="",$V$1=""),"",MIN(E1053,SUMIFS('03_Planificacion'!$G$99:$G$178,'03_Planificacion'!$E$99:$E$178,B1053,'03_Planificacion'!$F$99:$F$178,C1053,'03_Planificacion'!$D$99:$D$178,"&lt;="&amp;$V$1)))</f>
        <v>0</v>
      </c>
      <c r="J1053" s="21">
        <f t="shared" si="114"/>
        <v>0</v>
      </c>
      <c r="K1053" s="6">
        <f t="shared" si="115"/>
        <v>0</v>
      </c>
      <c r="L1053" t="s">
        <v>68</v>
      </c>
      <c r="P1053" s="5">
        <f t="shared" si="116"/>
        <v>46287</v>
      </c>
      <c r="Q1053" t="s">
        <v>125</v>
      </c>
      <c r="R1053">
        <v>110</v>
      </c>
      <c r="S1053" t="s">
        <v>70</v>
      </c>
      <c r="T1053" t="str">
        <f t="shared" si="117"/>
        <v/>
      </c>
      <c r="U1053" t="str">
        <f>IF(AND(L1053="Para Programar",G1053&gt;0),COUNTIFS($L$5:L1053,"Para Programar",$G$5:G1053,"&gt;0"),"")</f>
        <v/>
      </c>
      <c r="W1053" t="str">
        <f t="shared" si="118"/>
        <v>N5 - N6|10 Relleno -0,60 - Conformación de capa</v>
      </c>
      <c r="X1053">
        <v>0</v>
      </c>
    </row>
    <row r="1054" spans="1:24">
      <c r="A1054" t="s">
        <v>104</v>
      </c>
      <c r="B1054" s="14" t="s">
        <v>182</v>
      </c>
      <c r="C1054" t="s">
        <v>105</v>
      </c>
      <c r="D1054" s="13" t="s">
        <v>67</v>
      </c>
      <c r="E1054" s="13">
        <v>10</v>
      </c>
      <c r="F1054" s="13">
        <f>IF(E1054="","",MIN(E1054,$X1054+SUMIFS('05_Parte_Diario'!$H$5:$H$204,'05_Parte_Diario'!$D$5:$D$204,B1054,'05_Parte_Diario'!$E$5:$E$204,C1054)))</f>
        <v>0</v>
      </c>
      <c r="G1054" s="13">
        <f t="shared" si="112"/>
        <v>10</v>
      </c>
      <c r="H1054" s="21">
        <f t="shared" si="113"/>
        <v>0</v>
      </c>
      <c r="I1054" s="21">
        <f>IF(OR(B1054="",C1054="",$V$1=""),"",MIN(E1054,SUMIFS('03_Planificacion'!$G$99:$G$178,'03_Planificacion'!$E$99:$E$178,B1054,'03_Planificacion'!$F$99:$F$178,C1054,'03_Planificacion'!$D$99:$D$178,"&lt;="&amp;$V$1)))</f>
        <v>0</v>
      </c>
      <c r="J1054" s="21">
        <f t="shared" si="114"/>
        <v>0</v>
      </c>
      <c r="K1054" s="6">
        <f t="shared" si="115"/>
        <v>0</v>
      </c>
      <c r="L1054" t="s">
        <v>68</v>
      </c>
      <c r="P1054" s="5">
        <f t="shared" si="116"/>
        <v>46287</v>
      </c>
      <c r="Q1054" t="s">
        <v>125</v>
      </c>
      <c r="R1054">
        <v>110</v>
      </c>
      <c r="S1054" t="s">
        <v>70</v>
      </c>
      <c r="T1054" t="str">
        <f t="shared" si="117"/>
        <v/>
      </c>
      <c r="U1054" t="str">
        <f>IF(AND(L1054="Para Programar",G1054&gt;0),COUNTIFS($L$5:L1054,"Para Programar",$G$5:G1054,"&gt;0"),"")</f>
        <v/>
      </c>
      <c r="W1054" t="str">
        <f t="shared" si="118"/>
        <v>N5 - N6|10 Relleno -0,60 - Humectación</v>
      </c>
      <c r="X1054">
        <v>0</v>
      </c>
    </row>
    <row r="1055" spans="1:24">
      <c r="A1055" t="s">
        <v>106</v>
      </c>
      <c r="B1055" s="14" t="s">
        <v>182</v>
      </c>
      <c r="C1055" t="s">
        <v>107</v>
      </c>
      <c r="D1055" s="13" t="s">
        <v>67</v>
      </c>
      <c r="E1055" s="13">
        <v>10</v>
      </c>
      <c r="F1055" s="13">
        <f>IF(E1055="","",MIN(E1055,$X1055+SUMIFS('05_Parte_Diario'!$H$5:$H$204,'05_Parte_Diario'!$D$5:$D$204,B1055,'05_Parte_Diario'!$E$5:$E$204,C1055)))</f>
        <v>0</v>
      </c>
      <c r="G1055" s="13">
        <f t="shared" si="112"/>
        <v>10</v>
      </c>
      <c r="H1055" s="21">
        <f t="shared" si="113"/>
        <v>0</v>
      </c>
      <c r="I1055" s="21">
        <f>IF(OR(B1055="",C1055="",$V$1=""),"",MIN(E1055,SUMIFS('03_Planificacion'!$G$99:$G$178,'03_Planificacion'!$E$99:$E$178,B1055,'03_Planificacion'!$F$99:$F$178,C1055,'03_Planificacion'!$D$99:$D$178,"&lt;="&amp;$V$1)))</f>
        <v>0</v>
      </c>
      <c r="J1055" s="21">
        <f t="shared" si="114"/>
        <v>0</v>
      </c>
      <c r="K1055" s="6">
        <f t="shared" si="115"/>
        <v>0</v>
      </c>
      <c r="L1055" t="s">
        <v>68</v>
      </c>
      <c r="P1055" s="5">
        <f t="shared" si="116"/>
        <v>46287</v>
      </c>
      <c r="Q1055" t="s">
        <v>125</v>
      </c>
      <c r="R1055">
        <v>110</v>
      </c>
      <c r="S1055" t="s">
        <v>70</v>
      </c>
      <c r="T1055" t="str">
        <f t="shared" si="117"/>
        <v/>
      </c>
      <c r="U1055" t="str">
        <f>IF(AND(L1055="Para Programar",G1055&gt;0),COUNTIFS($L$5:L1055,"Para Programar",$G$5:G1055,"&gt;0"),"")</f>
        <v/>
      </c>
      <c r="W1055" t="str">
        <f t="shared" si="118"/>
        <v>N5 - N6|10 Relleno -0,60 - Compactación</v>
      </c>
      <c r="X1055">
        <v>0</v>
      </c>
    </row>
    <row r="1056" spans="1:24">
      <c r="A1056" t="s">
        <v>108</v>
      </c>
      <c r="B1056" s="14" t="s">
        <v>182</v>
      </c>
      <c r="C1056" t="s">
        <v>109</v>
      </c>
      <c r="D1056" s="13" t="s">
        <v>81</v>
      </c>
      <c r="E1056" s="13">
        <v>1</v>
      </c>
      <c r="F1056" s="13">
        <f>IF(E1056="","",MIN(E1056,$X1056+SUMIFS('05_Parte_Diario'!$H$5:$H$204,'05_Parte_Diario'!$D$5:$D$204,B1056,'05_Parte_Diario'!$E$5:$E$204,C1056)))</f>
        <v>0</v>
      </c>
      <c r="G1056" s="13">
        <f t="shared" si="112"/>
        <v>1</v>
      </c>
      <c r="H1056" s="21">
        <f t="shared" si="113"/>
        <v>0</v>
      </c>
      <c r="I1056" s="21">
        <f>IF(OR(B1056="",C1056="",$V$1=""),"",MIN(E1056,SUMIFS('03_Planificacion'!$G$99:$G$178,'03_Planificacion'!$E$99:$E$178,B1056,'03_Planificacion'!$F$99:$F$178,C1056,'03_Planificacion'!$D$99:$D$178,"&lt;="&amp;$V$1)))</f>
        <v>0</v>
      </c>
      <c r="J1056" s="21">
        <f t="shared" si="114"/>
        <v>0</v>
      </c>
      <c r="K1056" s="6">
        <f t="shared" si="115"/>
        <v>0</v>
      </c>
      <c r="L1056" t="s">
        <v>68</v>
      </c>
      <c r="P1056" s="5">
        <f t="shared" si="116"/>
        <v>46287</v>
      </c>
      <c r="Q1056" t="s">
        <v>125</v>
      </c>
      <c r="R1056">
        <v>110</v>
      </c>
      <c r="S1056" t="s">
        <v>70</v>
      </c>
      <c r="T1056" t="str">
        <f t="shared" si="117"/>
        <v/>
      </c>
      <c r="U1056" t="str">
        <f>IF(AND(L1056="Para Programar",G1056&gt;0),COUNTIFS($L$5:L1056,"Para Programar",$G$5:G1056,"&gt;0"),"")</f>
        <v/>
      </c>
      <c r="W1056" t="str">
        <f t="shared" si="118"/>
        <v>N5 - N6|10 Relleno -0,60 - Inspección laboratorio</v>
      </c>
      <c r="X1056">
        <v>0</v>
      </c>
    </row>
    <row r="1057" spans="1:24">
      <c r="A1057" t="s">
        <v>110</v>
      </c>
      <c r="B1057" s="14" t="s">
        <v>182</v>
      </c>
      <c r="C1057" t="s">
        <v>111</v>
      </c>
      <c r="D1057" s="13" t="s">
        <v>67</v>
      </c>
      <c r="E1057" s="13">
        <v>10</v>
      </c>
      <c r="F1057" s="13">
        <f>IF(E1057="","",MIN(E1057,$X1057+SUMIFS('05_Parte_Diario'!$H$5:$H$204,'05_Parte_Diario'!$D$5:$D$204,B1057,'05_Parte_Diario'!$E$5:$E$204,C1057)))</f>
        <v>0</v>
      </c>
      <c r="G1057" s="13">
        <f t="shared" si="112"/>
        <v>10</v>
      </c>
      <c r="H1057" s="21">
        <f t="shared" si="113"/>
        <v>0</v>
      </c>
      <c r="I1057" s="21">
        <f>IF(OR(B1057="",C1057="",$V$1=""),"",MIN(E1057,SUMIFS('03_Planificacion'!$G$99:$G$178,'03_Planificacion'!$E$99:$E$178,B1057,'03_Planificacion'!$F$99:$F$178,C1057,'03_Planificacion'!$D$99:$D$178,"&lt;="&amp;$V$1)))</f>
        <v>0</v>
      </c>
      <c r="J1057" s="21">
        <f t="shared" si="114"/>
        <v>0</v>
      </c>
      <c r="K1057" s="6">
        <f t="shared" si="115"/>
        <v>0</v>
      </c>
      <c r="L1057" t="s">
        <v>68</v>
      </c>
      <c r="P1057" s="5">
        <f t="shared" si="116"/>
        <v>46287</v>
      </c>
      <c r="Q1057" t="s">
        <v>125</v>
      </c>
      <c r="R1057">
        <v>110</v>
      </c>
      <c r="S1057" t="s">
        <v>70</v>
      </c>
      <c r="T1057" t="str">
        <f t="shared" si="117"/>
        <v/>
      </c>
      <c r="U1057" t="str">
        <f>IF(AND(L1057="Para Programar",G1057&gt;0),COUNTIFS($L$5:L1057,"Para Programar",$G$5:G1057,"&gt;0"),"")</f>
        <v/>
      </c>
      <c r="W1057" t="str">
        <f t="shared" si="118"/>
        <v>N5 - N6|11 Relleno -0,30 - Conformación de capa</v>
      </c>
      <c r="X1057">
        <v>0</v>
      </c>
    </row>
    <row r="1058" spans="1:24">
      <c r="A1058" t="s">
        <v>112</v>
      </c>
      <c r="B1058" s="14" t="s">
        <v>182</v>
      </c>
      <c r="C1058" t="s">
        <v>113</v>
      </c>
      <c r="D1058" s="13" t="s">
        <v>67</v>
      </c>
      <c r="E1058" s="13">
        <v>10</v>
      </c>
      <c r="F1058" s="13">
        <f>IF(E1058="","",MIN(E1058,$X1058+SUMIFS('05_Parte_Diario'!$H$5:$H$204,'05_Parte_Diario'!$D$5:$D$204,B1058,'05_Parte_Diario'!$E$5:$E$204,C1058)))</f>
        <v>0</v>
      </c>
      <c r="G1058" s="13">
        <f t="shared" si="112"/>
        <v>10</v>
      </c>
      <c r="H1058" s="21">
        <f t="shared" si="113"/>
        <v>0</v>
      </c>
      <c r="I1058" s="21">
        <f>IF(OR(B1058="",C1058="",$V$1=""),"",MIN(E1058,SUMIFS('03_Planificacion'!$G$99:$G$178,'03_Planificacion'!$E$99:$E$178,B1058,'03_Planificacion'!$F$99:$F$178,C1058,'03_Planificacion'!$D$99:$D$178,"&lt;="&amp;$V$1)))</f>
        <v>0</v>
      </c>
      <c r="J1058" s="21">
        <f t="shared" si="114"/>
        <v>0</v>
      </c>
      <c r="K1058" s="6">
        <f t="shared" si="115"/>
        <v>0</v>
      </c>
      <c r="L1058" t="s">
        <v>68</v>
      </c>
      <c r="P1058" s="5">
        <f t="shared" si="116"/>
        <v>46287</v>
      </c>
      <c r="Q1058" t="s">
        <v>125</v>
      </c>
      <c r="R1058">
        <v>110</v>
      </c>
      <c r="S1058" t="s">
        <v>70</v>
      </c>
      <c r="T1058" t="str">
        <f t="shared" si="117"/>
        <v/>
      </c>
      <c r="U1058" t="str">
        <f>IF(AND(L1058="Para Programar",G1058&gt;0),COUNTIFS($L$5:L1058,"Para Programar",$G$5:G1058,"&gt;0"),"")</f>
        <v/>
      </c>
      <c r="W1058" t="str">
        <f t="shared" si="118"/>
        <v>N5 - N6|11 Relleno -0,30 - Humectación</v>
      </c>
      <c r="X1058">
        <v>0</v>
      </c>
    </row>
    <row r="1059" spans="1:24">
      <c r="A1059" t="s">
        <v>114</v>
      </c>
      <c r="B1059" s="14" t="s">
        <v>182</v>
      </c>
      <c r="C1059" t="s">
        <v>115</v>
      </c>
      <c r="D1059" s="13" t="s">
        <v>67</v>
      </c>
      <c r="E1059" s="13">
        <v>10</v>
      </c>
      <c r="F1059" s="13">
        <f>IF(E1059="","",MIN(E1059,$X1059+SUMIFS('05_Parte_Diario'!$H$5:$H$204,'05_Parte_Diario'!$D$5:$D$204,B1059,'05_Parte_Diario'!$E$5:$E$204,C1059)))</f>
        <v>0</v>
      </c>
      <c r="G1059" s="13">
        <f t="shared" si="112"/>
        <v>10</v>
      </c>
      <c r="H1059" s="21">
        <f t="shared" si="113"/>
        <v>0</v>
      </c>
      <c r="I1059" s="21">
        <f>IF(OR(B1059="",C1059="",$V$1=""),"",MIN(E1059,SUMIFS('03_Planificacion'!$G$99:$G$178,'03_Planificacion'!$E$99:$E$178,B1059,'03_Planificacion'!$F$99:$F$178,C1059,'03_Planificacion'!$D$99:$D$178,"&lt;="&amp;$V$1)))</f>
        <v>0</v>
      </c>
      <c r="J1059" s="21">
        <f t="shared" si="114"/>
        <v>0</v>
      </c>
      <c r="K1059" s="6">
        <f t="shared" si="115"/>
        <v>0</v>
      </c>
      <c r="L1059" t="s">
        <v>68</v>
      </c>
      <c r="P1059" s="5">
        <f t="shared" si="116"/>
        <v>46287</v>
      </c>
      <c r="Q1059" t="s">
        <v>125</v>
      </c>
      <c r="R1059">
        <v>110</v>
      </c>
      <c r="S1059" t="s">
        <v>70</v>
      </c>
      <c r="T1059" t="str">
        <f t="shared" si="117"/>
        <v/>
      </c>
      <c r="U1059" t="str">
        <f>IF(AND(L1059="Para Programar",G1059&gt;0),COUNTIFS($L$5:L1059,"Para Programar",$G$5:G1059,"&gt;0"),"")</f>
        <v/>
      </c>
      <c r="W1059" t="str">
        <f t="shared" si="118"/>
        <v>N5 - N6|11 Relleno -0,30 - Compactación</v>
      </c>
      <c r="X1059">
        <v>0</v>
      </c>
    </row>
    <row r="1060" spans="1:24">
      <c r="A1060" t="s">
        <v>116</v>
      </c>
      <c r="B1060" s="14" t="s">
        <v>182</v>
      </c>
      <c r="C1060" t="s">
        <v>117</v>
      </c>
      <c r="D1060" s="13" t="s">
        <v>81</v>
      </c>
      <c r="E1060" s="13">
        <v>1</v>
      </c>
      <c r="F1060" s="13">
        <f>IF(E1060="","",MIN(E1060,$X1060+SUMIFS('05_Parte_Diario'!$H$5:$H$204,'05_Parte_Diario'!$D$5:$D$204,B1060,'05_Parte_Diario'!$E$5:$E$204,C1060)))</f>
        <v>0</v>
      </c>
      <c r="G1060" s="13">
        <f t="shared" si="112"/>
        <v>1</v>
      </c>
      <c r="H1060" s="21">
        <f t="shared" si="113"/>
        <v>0</v>
      </c>
      <c r="I1060" s="21">
        <f>IF(OR(B1060="",C1060="",$V$1=""),"",MIN(E1060,SUMIFS('03_Planificacion'!$G$99:$G$178,'03_Planificacion'!$E$99:$E$178,B1060,'03_Planificacion'!$F$99:$F$178,C1060,'03_Planificacion'!$D$99:$D$178,"&lt;="&amp;$V$1)))</f>
        <v>0</v>
      </c>
      <c r="J1060" s="21">
        <f t="shared" si="114"/>
        <v>0</v>
      </c>
      <c r="K1060" s="6">
        <f t="shared" si="115"/>
        <v>0</v>
      </c>
      <c r="L1060" t="s">
        <v>68</v>
      </c>
      <c r="P1060" s="5">
        <f t="shared" si="116"/>
        <v>46287</v>
      </c>
      <c r="Q1060" t="s">
        <v>125</v>
      </c>
      <c r="R1060">
        <v>110</v>
      </c>
      <c r="S1060" t="s">
        <v>70</v>
      </c>
      <c r="T1060" t="str">
        <f t="shared" si="117"/>
        <v/>
      </c>
      <c r="U1060" t="str">
        <f>IF(AND(L1060="Para Programar",G1060&gt;0),COUNTIFS($L$5:L1060,"Para Programar",$G$5:G1060,"&gt;0"),"")</f>
        <v/>
      </c>
      <c r="W1060" t="str">
        <f t="shared" si="118"/>
        <v>N5 - N6|11 Relleno -0,30 - Inspección laboratorio</v>
      </c>
      <c r="X1060">
        <v>0</v>
      </c>
    </row>
    <row r="1061" spans="1:24">
      <c r="A1061" t="s">
        <v>64</v>
      </c>
      <c r="B1061" s="14" t="s">
        <v>183</v>
      </c>
      <c r="C1061" t="s">
        <v>66</v>
      </c>
      <c r="D1061" s="13" t="s">
        <v>67</v>
      </c>
      <c r="E1061" s="13">
        <v>188</v>
      </c>
      <c r="F1061" s="13">
        <f>IF(E1061="","",MIN(E1061,$X1061+SUMIFS('05_Parte_Diario'!$H$5:$H$204,'05_Parte_Diario'!$D$5:$D$204,B1061,'05_Parte_Diario'!$E$5:$E$204,C1061)))</f>
        <v>0</v>
      </c>
      <c r="G1061" s="13">
        <f t="shared" si="112"/>
        <v>188</v>
      </c>
      <c r="H1061" s="21">
        <f t="shared" si="113"/>
        <v>0</v>
      </c>
      <c r="I1061" s="21">
        <f>IF(OR(B1061="",C1061="",$V$1=""),"",MIN(E1061,SUMIFS('03_Planificacion'!$G$99:$G$178,'03_Planificacion'!$E$99:$E$178,B1061,'03_Planificacion'!$F$99:$F$178,C1061,'03_Planificacion'!$D$99:$D$178,"&lt;="&amp;$V$1)))</f>
        <v>0</v>
      </c>
      <c r="J1061" s="21">
        <f t="shared" si="114"/>
        <v>0</v>
      </c>
      <c r="K1061" s="6">
        <f t="shared" si="115"/>
        <v>0</v>
      </c>
      <c r="L1061" t="s">
        <v>68</v>
      </c>
      <c r="P1061" s="5">
        <f t="shared" si="116"/>
        <v>46287</v>
      </c>
      <c r="Q1061" t="s">
        <v>180</v>
      </c>
      <c r="R1061">
        <v>75</v>
      </c>
      <c r="S1061" t="s">
        <v>70</v>
      </c>
      <c r="T1061" t="str">
        <f t="shared" si="117"/>
        <v/>
      </c>
      <c r="U1061" t="str">
        <f>IF(AND(L1061="Para Programar",G1061&gt;0),COUNTIFS($L$5:L1061,"Para Programar",$G$5:G1061,"&gt;0"),"")</f>
        <v/>
      </c>
      <c r="W1061" t="str">
        <f t="shared" si="118"/>
        <v>N5 - N7|01 Replanteo - Marcación de tramo de cañería principal</v>
      </c>
      <c r="X1061">
        <v>0</v>
      </c>
    </row>
    <row r="1062" spans="1:24">
      <c r="A1062" t="s">
        <v>71</v>
      </c>
      <c r="B1062" s="14" t="s">
        <v>183</v>
      </c>
      <c r="C1062" t="s">
        <v>72</v>
      </c>
      <c r="D1062" s="13" t="s">
        <v>67</v>
      </c>
      <c r="E1062" s="13">
        <v>188</v>
      </c>
      <c r="F1062" s="13">
        <f>IF(E1062="","",MIN(E1062,$X1062+SUMIFS('05_Parte_Diario'!$H$5:$H$204,'05_Parte_Diario'!$D$5:$D$204,B1062,'05_Parte_Diario'!$E$5:$E$204,C1062)))</f>
        <v>0</v>
      </c>
      <c r="G1062" s="13">
        <f t="shared" si="112"/>
        <v>188</v>
      </c>
      <c r="H1062" s="21">
        <f t="shared" si="113"/>
        <v>0</v>
      </c>
      <c r="I1062" s="21">
        <f>IF(OR(B1062="",C1062="",$V$1=""),"",MIN(E1062,SUMIFS('03_Planificacion'!$G$99:$G$178,'03_Planificacion'!$E$99:$E$178,B1062,'03_Planificacion'!$F$99:$F$178,C1062,'03_Planificacion'!$D$99:$D$178,"&lt;="&amp;$V$1)))</f>
        <v>0</v>
      </c>
      <c r="J1062" s="21">
        <f t="shared" si="114"/>
        <v>0</v>
      </c>
      <c r="K1062" s="6">
        <f t="shared" si="115"/>
        <v>0</v>
      </c>
      <c r="L1062" t="s">
        <v>68</v>
      </c>
      <c r="P1062" s="5">
        <f t="shared" si="116"/>
        <v>46287</v>
      </c>
      <c r="Q1062" t="s">
        <v>180</v>
      </c>
      <c r="R1062">
        <v>75</v>
      </c>
      <c r="S1062" t="s">
        <v>70</v>
      </c>
      <c r="T1062" t="str">
        <f t="shared" si="117"/>
        <v/>
      </c>
      <c r="U1062" t="str">
        <f>IF(AND(L1062="Para Programar",G1062&gt;0),COUNTIFS($L$5:L1062,"Para Programar",$G$5:G1062,"&gt;0"),"")</f>
        <v/>
      </c>
      <c r="W1062" t="str">
        <f t="shared" si="118"/>
        <v>N5 - N7|02 Excavación - Zanja principal</v>
      </c>
      <c r="X1062">
        <v>0</v>
      </c>
    </row>
    <row r="1063" spans="1:24">
      <c r="A1063" t="s">
        <v>73</v>
      </c>
      <c r="B1063" s="14" t="s">
        <v>183</v>
      </c>
      <c r="C1063" t="s">
        <v>74</v>
      </c>
      <c r="D1063" s="13" t="s">
        <v>67</v>
      </c>
      <c r="E1063" s="13">
        <v>188</v>
      </c>
      <c r="F1063" s="13">
        <f>IF(E1063="","",MIN(E1063,$X1063+SUMIFS('05_Parte_Diario'!$H$5:$H$204,'05_Parte_Diario'!$D$5:$D$204,B1063,'05_Parte_Diario'!$E$5:$E$204,C1063)))</f>
        <v>0</v>
      </c>
      <c r="G1063" s="13">
        <f t="shared" si="112"/>
        <v>188</v>
      </c>
      <c r="H1063" s="21">
        <f t="shared" si="113"/>
        <v>0</v>
      </c>
      <c r="I1063" s="21">
        <f>IF(OR(B1063="",C1063="",$V$1=""),"",MIN(E1063,SUMIFS('03_Planificacion'!$G$99:$G$178,'03_Planificacion'!$E$99:$E$178,B1063,'03_Planificacion'!$F$99:$F$178,C1063,'03_Planificacion'!$D$99:$D$178,"&lt;="&amp;$V$1)))</f>
        <v>0</v>
      </c>
      <c r="J1063" s="21">
        <f t="shared" si="114"/>
        <v>0</v>
      </c>
      <c r="K1063" s="6">
        <f t="shared" si="115"/>
        <v>0</v>
      </c>
      <c r="L1063" t="s">
        <v>68</v>
      </c>
      <c r="P1063" s="5">
        <f t="shared" si="116"/>
        <v>46287</v>
      </c>
      <c r="Q1063" t="s">
        <v>180</v>
      </c>
      <c r="R1063">
        <v>75</v>
      </c>
      <c r="S1063" t="s">
        <v>70</v>
      </c>
      <c r="T1063" t="str">
        <f t="shared" si="117"/>
        <v/>
      </c>
      <c r="U1063" t="str">
        <f>IF(AND(L1063="Para Programar",G1063&gt;0),COUNTIFS($L$5:L1063,"Para Programar",$G$5:G1063,"&gt;0"),"")</f>
        <v/>
      </c>
      <c r="W1063" t="str">
        <f t="shared" si="118"/>
        <v>N5 - N7|03 Base de asiento - Nivelación de fondo de zanja</v>
      </c>
      <c r="X1063">
        <v>0</v>
      </c>
    </row>
    <row r="1064" spans="1:24">
      <c r="A1064" t="s">
        <v>75</v>
      </c>
      <c r="B1064" s="14" t="s">
        <v>183</v>
      </c>
      <c r="C1064" t="s">
        <v>76</v>
      </c>
      <c r="D1064" s="13" t="s">
        <v>67</v>
      </c>
      <c r="E1064" s="13">
        <v>188</v>
      </c>
      <c r="F1064" s="13">
        <f>IF(E1064="","",MIN(E1064,$X1064+SUMIFS('05_Parte_Diario'!$H$5:$H$204,'05_Parte_Diario'!$D$5:$D$204,B1064,'05_Parte_Diario'!$E$5:$E$204,C1064)))</f>
        <v>0</v>
      </c>
      <c r="G1064" s="13">
        <f t="shared" si="112"/>
        <v>188</v>
      </c>
      <c r="H1064" s="21">
        <f t="shared" si="113"/>
        <v>0</v>
      </c>
      <c r="I1064" s="21">
        <f>IF(OR(B1064="",C1064="",$V$1=""),"",MIN(E1064,SUMIFS('03_Planificacion'!$G$99:$G$178,'03_Planificacion'!$E$99:$E$178,B1064,'03_Planificacion'!$F$99:$F$178,C1064,'03_Planificacion'!$D$99:$D$178,"&lt;="&amp;$V$1)))</f>
        <v>0</v>
      </c>
      <c r="J1064" s="21">
        <f t="shared" si="114"/>
        <v>0</v>
      </c>
      <c r="K1064" s="6">
        <f t="shared" si="115"/>
        <v>0</v>
      </c>
      <c r="L1064" t="s">
        <v>68</v>
      </c>
      <c r="P1064" s="5">
        <f t="shared" si="116"/>
        <v>46287</v>
      </c>
      <c r="Q1064" t="s">
        <v>180</v>
      </c>
      <c r="R1064">
        <v>75</v>
      </c>
      <c r="S1064" t="s">
        <v>70</v>
      </c>
      <c r="T1064" t="str">
        <f t="shared" si="117"/>
        <v/>
      </c>
      <c r="U1064" t="str">
        <f>IF(AND(L1064="Para Programar",G1064&gt;0),COUNTIFS($L$5:L1064,"Para Programar",$G$5:G1064,"&gt;0"),"")</f>
        <v/>
      </c>
      <c r="W1064" t="str">
        <f t="shared" si="118"/>
        <v>N5 - N7|03 Base de asiento - Aporte de material base e=0,10 m</v>
      </c>
      <c r="X1064">
        <v>0</v>
      </c>
    </row>
    <row r="1065" spans="1:24">
      <c r="A1065" t="s">
        <v>77</v>
      </c>
      <c r="B1065" s="14" t="s">
        <v>183</v>
      </c>
      <c r="C1065" t="s">
        <v>78</v>
      </c>
      <c r="D1065" s="13" t="s">
        <v>67</v>
      </c>
      <c r="E1065" s="13">
        <v>188</v>
      </c>
      <c r="F1065" s="13">
        <f>IF(E1065="","",MIN(E1065,$X1065+SUMIFS('05_Parte_Diario'!$H$5:$H$204,'05_Parte_Diario'!$D$5:$D$204,B1065,'05_Parte_Diario'!$E$5:$E$204,C1065)))</f>
        <v>0</v>
      </c>
      <c r="G1065" s="13">
        <f t="shared" si="112"/>
        <v>188</v>
      </c>
      <c r="H1065" s="21">
        <f t="shared" si="113"/>
        <v>0</v>
      </c>
      <c r="I1065" s="21">
        <f>IF(OR(B1065="",C1065="",$V$1=""),"",MIN(E1065,SUMIFS('03_Planificacion'!$G$99:$G$178,'03_Planificacion'!$E$99:$E$178,B1065,'03_Planificacion'!$F$99:$F$178,C1065,'03_Planificacion'!$D$99:$D$178,"&lt;="&amp;$V$1)))</f>
        <v>0</v>
      </c>
      <c r="J1065" s="21">
        <f t="shared" si="114"/>
        <v>0</v>
      </c>
      <c r="K1065" s="6">
        <f t="shared" si="115"/>
        <v>0</v>
      </c>
      <c r="L1065" t="s">
        <v>68</v>
      </c>
      <c r="P1065" s="5">
        <f t="shared" si="116"/>
        <v>46287</v>
      </c>
      <c r="Q1065" t="s">
        <v>180</v>
      </c>
      <c r="R1065">
        <v>75</v>
      </c>
      <c r="S1065" t="s">
        <v>70</v>
      </c>
      <c r="T1065" t="str">
        <f t="shared" si="117"/>
        <v/>
      </c>
      <c r="U1065" t="str">
        <f>IF(AND(L1065="Para Programar",G1065&gt;0),COUNTIFS($L$5:L1065,"Para Programar",$G$5:G1065,"&gt;0"),"")</f>
        <v/>
      </c>
      <c r="W1065" t="str">
        <f t="shared" si="118"/>
        <v>N5 - N7|03 Base de asiento - Compactación</v>
      </c>
      <c r="X1065">
        <v>0</v>
      </c>
    </row>
    <row r="1066" spans="1:24">
      <c r="A1066" t="s">
        <v>79</v>
      </c>
      <c r="B1066" s="14" t="s">
        <v>183</v>
      </c>
      <c r="C1066" t="s">
        <v>80</v>
      </c>
      <c r="D1066" s="13" t="s">
        <v>81</v>
      </c>
      <c r="E1066" s="13">
        <v>1</v>
      </c>
      <c r="F1066" s="13">
        <f>IF(E1066="","",MIN(E1066,$X1066+SUMIFS('05_Parte_Diario'!$H$5:$H$204,'05_Parte_Diario'!$D$5:$D$204,B1066,'05_Parte_Diario'!$E$5:$E$204,C1066)))</f>
        <v>0</v>
      </c>
      <c r="G1066" s="13">
        <f t="shared" si="112"/>
        <v>1</v>
      </c>
      <c r="H1066" s="21">
        <f t="shared" si="113"/>
        <v>0</v>
      </c>
      <c r="I1066" s="21">
        <f>IF(OR(B1066="",C1066="",$V$1=""),"",MIN(E1066,SUMIFS('03_Planificacion'!$G$99:$G$178,'03_Planificacion'!$E$99:$E$178,B1066,'03_Planificacion'!$F$99:$F$178,C1066,'03_Planificacion'!$D$99:$D$178,"&lt;="&amp;$V$1)))</f>
        <v>0</v>
      </c>
      <c r="J1066" s="21">
        <f t="shared" si="114"/>
        <v>0</v>
      </c>
      <c r="K1066" s="6">
        <f t="shared" si="115"/>
        <v>0</v>
      </c>
      <c r="L1066" t="s">
        <v>68</v>
      </c>
      <c r="P1066" s="5">
        <f t="shared" si="116"/>
        <v>46287</v>
      </c>
      <c r="Q1066" t="s">
        <v>180</v>
      </c>
      <c r="R1066">
        <v>75</v>
      </c>
      <c r="S1066" t="s">
        <v>70</v>
      </c>
      <c r="T1066" t="str">
        <f t="shared" si="117"/>
        <v/>
      </c>
      <c r="U1066" t="str">
        <f>IF(AND(L1066="Para Programar",G1066&gt;0),COUNTIFS($L$5:L1066,"Para Programar",$G$5:G1066,"&gt;0"),"")</f>
        <v/>
      </c>
      <c r="W1066" t="str">
        <f t="shared" si="118"/>
        <v>N5 - N7|04 Inspecciones previas - Laboratorio base de asiento</v>
      </c>
      <c r="X1066">
        <v>0</v>
      </c>
    </row>
    <row r="1067" spans="1:24">
      <c r="A1067" t="s">
        <v>82</v>
      </c>
      <c r="B1067" s="14" t="s">
        <v>183</v>
      </c>
      <c r="C1067" t="s">
        <v>83</v>
      </c>
      <c r="D1067" s="13" t="s">
        <v>81</v>
      </c>
      <c r="E1067" s="13">
        <v>1</v>
      </c>
      <c r="F1067" s="13">
        <f>IF(E1067="","",MIN(E1067,$X1067+SUMIFS('05_Parte_Diario'!$H$5:$H$204,'05_Parte_Diario'!$D$5:$D$204,B1067,'05_Parte_Diario'!$E$5:$E$204,C1067)))</f>
        <v>0</v>
      </c>
      <c r="G1067" s="13">
        <f t="shared" si="112"/>
        <v>1</v>
      </c>
      <c r="H1067" s="21">
        <f t="shared" si="113"/>
        <v>0</v>
      </c>
      <c r="I1067" s="21">
        <f>IF(OR(B1067="",C1067="",$V$1=""),"",MIN(E1067,SUMIFS('03_Planificacion'!$G$99:$G$178,'03_Planificacion'!$E$99:$E$178,B1067,'03_Planificacion'!$F$99:$F$178,C1067,'03_Planificacion'!$D$99:$D$178,"&lt;="&amp;$V$1)))</f>
        <v>0</v>
      </c>
      <c r="J1067" s="21">
        <f t="shared" si="114"/>
        <v>0</v>
      </c>
      <c r="K1067" s="6">
        <f t="shared" si="115"/>
        <v>0</v>
      </c>
      <c r="L1067" t="s">
        <v>68</v>
      </c>
      <c r="P1067" s="5">
        <f t="shared" si="116"/>
        <v>46287</v>
      </c>
      <c r="Q1067" t="s">
        <v>180</v>
      </c>
      <c r="R1067">
        <v>75</v>
      </c>
      <c r="S1067" t="s">
        <v>70</v>
      </c>
      <c r="T1067" t="str">
        <f t="shared" si="117"/>
        <v/>
      </c>
      <c r="U1067" t="str">
        <f>IF(AND(L1067="Para Programar",G1067&gt;0),COUNTIFS($L$5:L1067,"Para Programar",$G$5:G1067,"&gt;0"),"")</f>
        <v/>
      </c>
      <c r="W1067" t="str">
        <f t="shared" si="118"/>
        <v>N5 - N7|04 Inspecciones previas - Zanja y materiales</v>
      </c>
      <c r="X1067">
        <v>0</v>
      </c>
    </row>
    <row r="1068" spans="1:24">
      <c r="A1068" t="s">
        <v>84</v>
      </c>
      <c r="B1068" s="14" t="s">
        <v>183</v>
      </c>
      <c r="C1068" t="s">
        <v>85</v>
      </c>
      <c r="D1068" s="13" t="s">
        <v>67</v>
      </c>
      <c r="E1068" s="13">
        <v>188</v>
      </c>
      <c r="F1068" s="13">
        <f>IF(E1068="","",MIN(E1068,$X1068+SUMIFS('05_Parte_Diario'!$H$5:$H$204,'05_Parte_Diario'!$D$5:$D$204,B1068,'05_Parte_Diario'!$E$5:$E$204,C1068)))</f>
        <v>0</v>
      </c>
      <c r="G1068" s="13">
        <f t="shared" si="112"/>
        <v>188</v>
      </c>
      <c r="H1068" s="21">
        <f t="shared" si="113"/>
        <v>0</v>
      </c>
      <c r="I1068" s="21">
        <f>IF(OR(B1068="",C1068="",$V$1=""),"",MIN(E1068,SUMIFS('03_Planificacion'!$G$99:$G$178,'03_Planificacion'!$E$99:$E$178,B1068,'03_Planificacion'!$F$99:$F$178,C1068,'03_Planificacion'!$D$99:$D$178,"&lt;="&amp;$V$1)))</f>
        <v>0</v>
      </c>
      <c r="J1068" s="21">
        <f t="shared" si="114"/>
        <v>0</v>
      </c>
      <c r="K1068" s="6">
        <f t="shared" si="115"/>
        <v>0</v>
      </c>
      <c r="L1068" t="s">
        <v>68</v>
      </c>
      <c r="P1068" s="5">
        <f t="shared" si="116"/>
        <v>46287</v>
      </c>
      <c r="Q1068" t="s">
        <v>180</v>
      </c>
      <c r="R1068">
        <v>75</v>
      </c>
      <c r="S1068" t="s">
        <v>70</v>
      </c>
      <c r="T1068" t="str">
        <f t="shared" si="117"/>
        <v/>
      </c>
      <c r="U1068" t="str">
        <f>IF(AND(L1068="Para Programar",G1068&gt;0),COUNTIFS($L$5:L1068,"Para Programar",$G$5:G1068,"&gt;0"),"")</f>
        <v/>
      </c>
      <c r="W1068" t="str">
        <f t="shared" si="118"/>
        <v>N5 - N7|05 Tendido de cañería - Cañería principal</v>
      </c>
      <c r="X1068">
        <v>0</v>
      </c>
    </row>
    <row r="1069" spans="1:24">
      <c r="A1069" t="s">
        <v>86</v>
      </c>
      <c r="B1069" s="14" t="s">
        <v>183</v>
      </c>
      <c r="C1069" t="s">
        <v>87</v>
      </c>
      <c r="D1069" s="13" t="s">
        <v>67</v>
      </c>
      <c r="E1069" s="13">
        <v>188</v>
      </c>
      <c r="F1069" s="13">
        <f>IF(E1069="","",MIN(E1069,$X1069+SUMIFS('05_Parte_Diario'!$H$5:$H$204,'05_Parte_Diario'!$D$5:$D$204,B1069,'05_Parte_Diario'!$E$5:$E$204,C1069)))</f>
        <v>0</v>
      </c>
      <c r="G1069" s="13">
        <f t="shared" si="112"/>
        <v>188</v>
      </c>
      <c r="H1069" s="21">
        <f t="shared" si="113"/>
        <v>0</v>
      </c>
      <c r="I1069" s="21">
        <f>IF(OR(B1069="",C1069="",$V$1=""),"",MIN(E1069,SUMIFS('03_Planificacion'!$G$99:$G$178,'03_Planificacion'!$E$99:$E$178,B1069,'03_Planificacion'!$F$99:$F$178,C1069,'03_Planificacion'!$D$99:$D$178,"&lt;="&amp;$V$1)))</f>
        <v>0</v>
      </c>
      <c r="J1069" s="21">
        <f t="shared" si="114"/>
        <v>0</v>
      </c>
      <c r="K1069" s="6">
        <f t="shared" si="115"/>
        <v>0</v>
      </c>
      <c r="L1069" t="s">
        <v>68</v>
      </c>
      <c r="P1069" s="5">
        <f t="shared" si="116"/>
        <v>46287</v>
      </c>
      <c r="Q1069" t="s">
        <v>180</v>
      </c>
      <c r="R1069">
        <v>75</v>
      </c>
      <c r="S1069" t="s">
        <v>70</v>
      </c>
      <c r="T1069" t="str">
        <f t="shared" si="117"/>
        <v/>
      </c>
      <c r="U1069" t="str">
        <f>IF(AND(L1069="Para Programar",G1069&gt;0),COUNTIFS($L$5:L1069,"Para Programar",$G$5:G1069,"&gt;0"),"")</f>
        <v/>
      </c>
      <c r="W1069" t="str">
        <f t="shared" si="118"/>
        <v>N5 - N7|05 Tendido de cañería - Relevamiento planialtimétrico</v>
      </c>
      <c r="X1069">
        <v>0</v>
      </c>
    </row>
    <row r="1070" spans="1:24">
      <c r="A1070" t="s">
        <v>88</v>
      </c>
      <c r="B1070" s="14" t="s">
        <v>183</v>
      </c>
      <c r="C1070" t="s">
        <v>89</v>
      </c>
      <c r="D1070" s="13" t="s">
        <v>81</v>
      </c>
      <c r="E1070" s="13">
        <v>1</v>
      </c>
      <c r="F1070" s="13">
        <f>IF(E1070="","",MIN(E1070,$X1070+SUMIFS('05_Parte_Diario'!$H$5:$H$204,'05_Parte_Diario'!$D$5:$D$204,B1070,'05_Parte_Diario'!$E$5:$E$204,C1070)))</f>
        <v>0</v>
      </c>
      <c r="G1070" s="13">
        <f t="shared" si="112"/>
        <v>1</v>
      </c>
      <c r="H1070" s="21">
        <f t="shared" si="113"/>
        <v>0</v>
      </c>
      <c r="I1070" s="21">
        <f>IF(OR(B1070="",C1070="",$V$1=""),"",MIN(E1070,SUMIFS('03_Planificacion'!$G$99:$G$178,'03_Planificacion'!$E$99:$E$178,B1070,'03_Planificacion'!$F$99:$F$178,C1070,'03_Planificacion'!$D$99:$D$178,"&lt;="&amp;$V$1)))</f>
        <v>0</v>
      </c>
      <c r="J1070" s="21">
        <f t="shared" si="114"/>
        <v>0</v>
      </c>
      <c r="K1070" s="6">
        <f t="shared" si="115"/>
        <v>0</v>
      </c>
      <c r="L1070" t="s">
        <v>68</v>
      </c>
      <c r="P1070" s="5">
        <f t="shared" si="116"/>
        <v>46287</v>
      </c>
      <c r="Q1070" t="s">
        <v>180</v>
      </c>
      <c r="R1070">
        <v>75</v>
      </c>
      <c r="S1070" t="s">
        <v>70</v>
      </c>
      <c r="T1070" t="str">
        <f t="shared" si="117"/>
        <v/>
      </c>
      <c r="U1070" t="str">
        <f>IF(AND(L1070="Para Programar",G1070&gt;0),COUNTIFS($L$5:L1070,"Para Programar",$G$5:G1070,"&gt;0"),"")</f>
        <v/>
      </c>
      <c r="W1070" t="str">
        <f t="shared" si="118"/>
        <v>N5 - N7|08 Prueba hidráulica - Preparación del sistema</v>
      </c>
      <c r="X1070">
        <v>0</v>
      </c>
    </row>
    <row r="1071" spans="1:24">
      <c r="A1071" t="s">
        <v>90</v>
      </c>
      <c r="B1071" s="14" t="s">
        <v>183</v>
      </c>
      <c r="C1071" t="s">
        <v>91</v>
      </c>
      <c r="D1071" s="13" t="s">
        <v>81</v>
      </c>
      <c r="E1071" s="13">
        <v>1</v>
      </c>
      <c r="F1071" s="13">
        <f>IF(E1071="","",MIN(E1071,$X1071+SUMIFS('05_Parte_Diario'!$H$5:$H$204,'05_Parte_Diario'!$D$5:$D$204,B1071,'05_Parte_Diario'!$E$5:$E$204,C1071)))</f>
        <v>0</v>
      </c>
      <c r="G1071" s="13">
        <f t="shared" si="112"/>
        <v>1</v>
      </c>
      <c r="H1071" s="21">
        <f t="shared" si="113"/>
        <v>0</v>
      </c>
      <c r="I1071" s="21">
        <f>IF(OR(B1071="",C1071="",$V$1=""),"",MIN(E1071,SUMIFS('03_Planificacion'!$G$99:$G$178,'03_Planificacion'!$E$99:$E$178,B1071,'03_Planificacion'!$F$99:$F$178,C1071,'03_Planificacion'!$D$99:$D$178,"&lt;="&amp;$V$1)))</f>
        <v>0</v>
      </c>
      <c r="J1071" s="21">
        <f t="shared" si="114"/>
        <v>0</v>
      </c>
      <c r="K1071" s="6">
        <f t="shared" si="115"/>
        <v>0</v>
      </c>
      <c r="L1071" t="s">
        <v>68</v>
      </c>
      <c r="P1071" s="5">
        <f t="shared" si="116"/>
        <v>46287</v>
      </c>
      <c r="Q1071" t="s">
        <v>180</v>
      </c>
      <c r="R1071">
        <v>75</v>
      </c>
      <c r="S1071" t="s">
        <v>70</v>
      </c>
      <c r="T1071" t="str">
        <f t="shared" si="117"/>
        <v/>
      </c>
      <c r="U1071" t="str">
        <f>IF(AND(L1071="Para Programar",G1071&gt;0),COUNTIFS($L$5:L1071,"Para Programar",$G$5:G1071,"&gt;0"),"")</f>
        <v/>
      </c>
      <c r="W1071" t="str">
        <f t="shared" si="118"/>
        <v>N5 - N7|08 Prueba hidráulica - Interna N° 1</v>
      </c>
      <c r="X1071">
        <v>0</v>
      </c>
    </row>
    <row r="1072" spans="1:24">
      <c r="A1072" t="s">
        <v>92</v>
      </c>
      <c r="B1072" s="14" t="s">
        <v>183</v>
      </c>
      <c r="C1072" t="s">
        <v>93</v>
      </c>
      <c r="D1072" s="13" t="s">
        <v>81</v>
      </c>
      <c r="E1072" s="13">
        <v>1</v>
      </c>
      <c r="F1072" s="13">
        <f>IF(E1072="","",MIN(E1072,$X1072+SUMIFS('05_Parte_Diario'!$H$5:$H$204,'05_Parte_Diario'!$D$5:$D$204,B1072,'05_Parte_Diario'!$E$5:$E$204,C1072)))</f>
        <v>0</v>
      </c>
      <c r="G1072" s="13">
        <f t="shared" si="112"/>
        <v>1</v>
      </c>
      <c r="H1072" s="21">
        <f t="shared" si="113"/>
        <v>0</v>
      </c>
      <c r="I1072" s="21">
        <f>IF(OR(B1072="",C1072="",$V$1=""),"",MIN(E1072,SUMIFS('03_Planificacion'!$G$99:$G$178,'03_Planificacion'!$E$99:$E$178,B1072,'03_Planificacion'!$F$99:$F$178,C1072,'03_Planificacion'!$D$99:$D$178,"&lt;="&amp;$V$1)))</f>
        <v>0</v>
      </c>
      <c r="J1072" s="21">
        <f t="shared" si="114"/>
        <v>0</v>
      </c>
      <c r="K1072" s="6">
        <f t="shared" si="115"/>
        <v>0</v>
      </c>
      <c r="L1072" t="s">
        <v>68</v>
      </c>
      <c r="P1072" s="5">
        <f t="shared" si="116"/>
        <v>46287</v>
      </c>
      <c r="Q1072" t="s">
        <v>180</v>
      </c>
      <c r="R1072">
        <v>75</v>
      </c>
      <c r="S1072" t="s">
        <v>70</v>
      </c>
      <c r="T1072" t="str">
        <f t="shared" si="117"/>
        <v/>
      </c>
      <c r="U1072" t="str">
        <f>IF(AND(L1072="Para Programar",G1072&gt;0),COUNTIFS($L$5:L1072,"Para Programar",$G$5:G1072,"&gt;0"),"")</f>
        <v/>
      </c>
      <c r="W1072" t="str">
        <f t="shared" si="118"/>
        <v>N5 - N7|08 Prueba hidráulica - Interna N° 2</v>
      </c>
      <c r="X1072">
        <v>0</v>
      </c>
    </row>
    <row r="1073" spans="1:24">
      <c r="A1073" t="s">
        <v>94</v>
      </c>
      <c r="B1073" s="14" t="s">
        <v>183</v>
      </c>
      <c r="C1073" t="s">
        <v>95</v>
      </c>
      <c r="D1073" s="13" t="s">
        <v>81</v>
      </c>
      <c r="E1073" s="13">
        <v>1</v>
      </c>
      <c r="F1073" s="13">
        <f>IF(E1073="","",MIN(E1073,$X1073+SUMIFS('05_Parte_Diario'!$H$5:$H$204,'05_Parte_Diario'!$D$5:$D$204,B1073,'05_Parte_Diario'!$E$5:$E$204,C1073)))</f>
        <v>0</v>
      </c>
      <c r="G1073" s="13">
        <f t="shared" si="112"/>
        <v>1</v>
      </c>
      <c r="H1073" s="21">
        <f t="shared" si="113"/>
        <v>0</v>
      </c>
      <c r="I1073" s="21">
        <f>IF(OR(B1073="",C1073="",$V$1=""),"",MIN(E1073,SUMIFS('03_Planificacion'!$G$99:$G$178,'03_Planificacion'!$E$99:$E$178,B1073,'03_Planificacion'!$F$99:$F$178,C1073,'03_Planificacion'!$D$99:$D$178,"&lt;="&amp;$V$1)))</f>
        <v>0</v>
      </c>
      <c r="J1073" s="21">
        <f t="shared" si="114"/>
        <v>0</v>
      </c>
      <c r="K1073" s="6">
        <f t="shared" si="115"/>
        <v>0</v>
      </c>
      <c r="L1073" t="s">
        <v>68</v>
      </c>
      <c r="P1073" s="5">
        <f t="shared" si="116"/>
        <v>46287</v>
      </c>
      <c r="Q1073" t="s">
        <v>180</v>
      </c>
      <c r="R1073">
        <v>75</v>
      </c>
      <c r="S1073" t="s">
        <v>70</v>
      </c>
      <c r="T1073" t="str">
        <f t="shared" si="117"/>
        <v/>
      </c>
      <c r="U1073" t="str">
        <f>IF(AND(L1073="Para Programar",G1073&gt;0),COUNTIFS($L$5:L1073,"Para Programar",$G$5:G1073,"&gt;0"),"")</f>
        <v/>
      </c>
      <c r="W1073" t="str">
        <f t="shared" si="118"/>
        <v>N5 - N7|08 Prueba hidráulica - Primera prueba oficial</v>
      </c>
      <c r="X1073">
        <v>0</v>
      </c>
    </row>
    <row r="1074" spans="1:24">
      <c r="A1074" t="s">
        <v>96</v>
      </c>
      <c r="B1074" s="14" t="s">
        <v>183</v>
      </c>
      <c r="C1074" t="s">
        <v>97</v>
      </c>
      <c r="D1074" s="13" t="s">
        <v>67</v>
      </c>
      <c r="E1074" s="13">
        <v>188</v>
      </c>
      <c r="F1074" s="13">
        <f>IF(E1074="","",MIN(E1074,$X1074+SUMIFS('05_Parte_Diario'!$H$5:$H$204,'05_Parte_Diario'!$D$5:$D$204,B1074,'05_Parte_Diario'!$E$5:$E$204,C1074)))</f>
        <v>0</v>
      </c>
      <c r="G1074" s="13">
        <f t="shared" si="112"/>
        <v>188</v>
      </c>
      <c r="H1074" s="21">
        <f t="shared" si="113"/>
        <v>0</v>
      </c>
      <c r="I1074" s="21">
        <f>IF(OR(B1074="",C1074="",$V$1=""),"",MIN(E1074,SUMIFS('03_Planificacion'!$G$99:$G$178,'03_Planificacion'!$E$99:$E$178,B1074,'03_Planificacion'!$F$99:$F$178,C1074,'03_Planificacion'!$D$99:$D$178,"&lt;="&amp;$V$1)))</f>
        <v>0</v>
      </c>
      <c r="J1074" s="21">
        <f t="shared" si="114"/>
        <v>0</v>
      </c>
      <c r="K1074" s="6">
        <f t="shared" si="115"/>
        <v>0</v>
      </c>
      <c r="L1074" t="s">
        <v>68</v>
      </c>
      <c r="P1074" s="5">
        <f t="shared" si="116"/>
        <v>46287</v>
      </c>
      <c r="Q1074" t="s">
        <v>180</v>
      </c>
      <c r="R1074">
        <v>75</v>
      </c>
      <c r="S1074" t="s">
        <v>70</v>
      </c>
      <c r="T1074" t="str">
        <f t="shared" si="117"/>
        <v/>
      </c>
      <c r="U1074" t="str">
        <f>IF(AND(L1074="Para Programar",G1074&gt;0),COUNTIFS($L$5:L1074,"Para Programar",$G$5:G1074,"&gt;0"),"")</f>
        <v/>
      </c>
      <c r="W1074" t="str">
        <f t="shared" si="118"/>
        <v>N5 - N7|09 Paquete estructural - Aporte e=0,30 m</v>
      </c>
      <c r="X1074">
        <v>0</v>
      </c>
    </row>
    <row r="1075" spans="1:24">
      <c r="A1075" t="s">
        <v>98</v>
      </c>
      <c r="B1075" s="14" t="s">
        <v>183</v>
      </c>
      <c r="C1075" t="s">
        <v>99</v>
      </c>
      <c r="D1075" s="13" t="s">
        <v>67</v>
      </c>
      <c r="E1075" s="13">
        <v>188</v>
      </c>
      <c r="F1075" s="13">
        <f>IF(E1075="","",MIN(E1075,$X1075+SUMIFS('05_Parte_Diario'!$H$5:$H$204,'05_Parte_Diario'!$D$5:$D$204,B1075,'05_Parte_Diario'!$E$5:$E$204,C1075)))</f>
        <v>0</v>
      </c>
      <c r="G1075" s="13">
        <f t="shared" si="112"/>
        <v>188</v>
      </c>
      <c r="H1075" s="21">
        <f t="shared" si="113"/>
        <v>0</v>
      </c>
      <c r="I1075" s="21">
        <f>IF(OR(B1075="",C1075="",$V$1=""),"",MIN(E1075,SUMIFS('03_Planificacion'!$G$99:$G$178,'03_Planificacion'!$E$99:$E$178,B1075,'03_Planificacion'!$F$99:$F$178,C1075,'03_Planificacion'!$D$99:$D$178,"&lt;="&amp;$V$1)))</f>
        <v>0</v>
      </c>
      <c r="J1075" s="21">
        <f t="shared" si="114"/>
        <v>0</v>
      </c>
      <c r="K1075" s="6">
        <f t="shared" si="115"/>
        <v>0</v>
      </c>
      <c r="L1075" t="s">
        <v>68</v>
      </c>
      <c r="P1075" s="5">
        <f t="shared" si="116"/>
        <v>46287</v>
      </c>
      <c r="Q1075" t="s">
        <v>180</v>
      </c>
      <c r="R1075">
        <v>75</v>
      </c>
      <c r="S1075" t="s">
        <v>70</v>
      </c>
      <c r="T1075" t="str">
        <f t="shared" si="117"/>
        <v/>
      </c>
      <c r="U1075" t="str">
        <f>IF(AND(L1075="Para Programar",G1075&gt;0),COUNTIFS($L$5:L1075,"Para Programar",$G$5:G1075,"&gt;0"),"")</f>
        <v/>
      </c>
      <c r="W1075" t="str">
        <f t="shared" si="118"/>
        <v>N5 - N7|09 Paquete estructural - Compactación</v>
      </c>
      <c r="X1075">
        <v>0</v>
      </c>
    </row>
    <row r="1076" spans="1:24">
      <c r="A1076" t="s">
        <v>100</v>
      </c>
      <c r="B1076" s="14" t="s">
        <v>183</v>
      </c>
      <c r="C1076" t="s">
        <v>101</v>
      </c>
      <c r="D1076" s="13" t="s">
        <v>81</v>
      </c>
      <c r="E1076" s="13">
        <v>1</v>
      </c>
      <c r="F1076" s="13">
        <f>IF(E1076="","",MIN(E1076,$X1076+SUMIFS('05_Parte_Diario'!$H$5:$H$204,'05_Parte_Diario'!$D$5:$D$204,B1076,'05_Parte_Diario'!$E$5:$E$204,C1076)))</f>
        <v>0</v>
      </c>
      <c r="G1076" s="13">
        <f t="shared" si="112"/>
        <v>1</v>
      </c>
      <c r="H1076" s="21">
        <f t="shared" si="113"/>
        <v>0</v>
      </c>
      <c r="I1076" s="21">
        <f>IF(OR(B1076="",C1076="",$V$1=""),"",MIN(E1076,SUMIFS('03_Planificacion'!$G$99:$G$178,'03_Planificacion'!$E$99:$E$178,B1076,'03_Planificacion'!$F$99:$F$178,C1076,'03_Planificacion'!$D$99:$D$178,"&lt;="&amp;$V$1)))</f>
        <v>0</v>
      </c>
      <c r="J1076" s="21">
        <f t="shared" si="114"/>
        <v>0</v>
      </c>
      <c r="K1076" s="6">
        <f t="shared" si="115"/>
        <v>0</v>
      </c>
      <c r="L1076" t="s">
        <v>68</v>
      </c>
      <c r="P1076" s="5">
        <f t="shared" si="116"/>
        <v>46287</v>
      </c>
      <c r="Q1076" t="s">
        <v>180</v>
      </c>
      <c r="R1076">
        <v>75</v>
      </c>
      <c r="S1076" t="s">
        <v>70</v>
      </c>
      <c r="T1076" t="str">
        <f t="shared" si="117"/>
        <v/>
      </c>
      <c r="U1076" t="str">
        <f>IF(AND(L1076="Para Programar",G1076&gt;0),COUNTIFS($L$5:L1076,"Para Programar",$G$5:G1076,"&gt;0"),"")</f>
        <v/>
      </c>
      <c r="W1076" t="str">
        <f t="shared" si="118"/>
        <v>N5 - N7|09 Paquete estructural - Inspección laboratorio</v>
      </c>
      <c r="X1076">
        <v>0</v>
      </c>
    </row>
    <row r="1077" spans="1:24">
      <c r="A1077" t="s">
        <v>102</v>
      </c>
      <c r="B1077" s="14" t="s">
        <v>183</v>
      </c>
      <c r="C1077" t="s">
        <v>103</v>
      </c>
      <c r="D1077" s="13" t="s">
        <v>67</v>
      </c>
      <c r="E1077" s="13">
        <v>188</v>
      </c>
      <c r="F1077" s="13">
        <f>IF(E1077="","",MIN(E1077,$X1077+SUMIFS('05_Parte_Diario'!$H$5:$H$204,'05_Parte_Diario'!$D$5:$D$204,B1077,'05_Parte_Diario'!$E$5:$E$204,C1077)))</f>
        <v>0</v>
      </c>
      <c r="G1077" s="13">
        <f t="shared" si="112"/>
        <v>188</v>
      </c>
      <c r="H1077" s="21">
        <f t="shared" si="113"/>
        <v>0</v>
      </c>
      <c r="I1077" s="21">
        <f>IF(OR(B1077="",C1077="",$V$1=""),"",MIN(E1077,SUMIFS('03_Planificacion'!$G$99:$G$178,'03_Planificacion'!$E$99:$E$178,B1077,'03_Planificacion'!$F$99:$F$178,C1077,'03_Planificacion'!$D$99:$D$178,"&lt;="&amp;$V$1)))</f>
        <v>0</v>
      </c>
      <c r="J1077" s="21">
        <f t="shared" si="114"/>
        <v>0</v>
      </c>
      <c r="K1077" s="6">
        <f t="shared" si="115"/>
        <v>0</v>
      </c>
      <c r="L1077" t="s">
        <v>68</v>
      </c>
      <c r="P1077" s="5">
        <f t="shared" si="116"/>
        <v>46287</v>
      </c>
      <c r="Q1077" t="s">
        <v>180</v>
      </c>
      <c r="R1077">
        <v>75</v>
      </c>
      <c r="S1077" t="s">
        <v>70</v>
      </c>
      <c r="T1077" t="str">
        <f t="shared" si="117"/>
        <v/>
      </c>
      <c r="U1077" t="str">
        <f>IF(AND(L1077="Para Programar",G1077&gt;0),COUNTIFS($L$5:L1077,"Para Programar",$G$5:G1077,"&gt;0"),"")</f>
        <v/>
      </c>
      <c r="W1077" t="str">
        <f t="shared" si="118"/>
        <v>N5 - N7|10 Relleno -0,60 - Conformación de capa</v>
      </c>
      <c r="X1077">
        <v>0</v>
      </c>
    </row>
    <row r="1078" spans="1:24">
      <c r="A1078" t="s">
        <v>104</v>
      </c>
      <c r="B1078" s="14" t="s">
        <v>183</v>
      </c>
      <c r="C1078" t="s">
        <v>105</v>
      </c>
      <c r="D1078" s="13" t="s">
        <v>67</v>
      </c>
      <c r="E1078" s="13">
        <v>188</v>
      </c>
      <c r="F1078" s="13">
        <f>IF(E1078="","",MIN(E1078,$X1078+SUMIFS('05_Parte_Diario'!$H$5:$H$204,'05_Parte_Diario'!$D$5:$D$204,B1078,'05_Parte_Diario'!$E$5:$E$204,C1078)))</f>
        <v>0</v>
      </c>
      <c r="G1078" s="13">
        <f t="shared" si="112"/>
        <v>188</v>
      </c>
      <c r="H1078" s="21">
        <f t="shared" si="113"/>
        <v>0</v>
      </c>
      <c r="I1078" s="21">
        <f>IF(OR(B1078="",C1078="",$V$1=""),"",MIN(E1078,SUMIFS('03_Planificacion'!$G$99:$G$178,'03_Planificacion'!$E$99:$E$178,B1078,'03_Planificacion'!$F$99:$F$178,C1078,'03_Planificacion'!$D$99:$D$178,"&lt;="&amp;$V$1)))</f>
        <v>0</v>
      </c>
      <c r="J1078" s="21">
        <f t="shared" si="114"/>
        <v>0</v>
      </c>
      <c r="K1078" s="6">
        <f t="shared" si="115"/>
        <v>0</v>
      </c>
      <c r="L1078" t="s">
        <v>68</v>
      </c>
      <c r="P1078" s="5">
        <f t="shared" si="116"/>
        <v>46287</v>
      </c>
      <c r="Q1078" t="s">
        <v>180</v>
      </c>
      <c r="R1078">
        <v>75</v>
      </c>
      <c r="S1078" t="s">
        <v>70</v>
      </c>
      <c r="T1078" t="str">
        <f t="shared" si="117"/>
        <v/>
      </c>
      <c r="U1078" t="str">
        <f>IF(AND(L1078="Para Programar",G1078&gt;0),COUNTIFS($L$5:L1078,"Para Programar",$G$5:G1078,"&gt;0"),"")</f>
        <v/>
      </c>
      <c r="W1078" t="str">
        <f t="shared" si="118"/>
        <v>N5 - N7|10 Relleno -0,60 - Humectación</v>
      </c>
      <c r="X1078">
        <v>0</v>
      </c>
    </row>
    <row r="1079" spans="1:24">
      <c r="A1079" t="s">
        <v>106</v>
      </c>
      <c r="B1079" s="14" t="s">
        <v>183</v>
      </c>
      <c r="C1079" t="s">
        <v>107</v>
      </c>
      <c r="D1079" s="13" t="s">
        <v>67</v>
      </c>
      <c r="E1079" s="13">
        <v>188</v>
      </c>
      <c r="F1079" s="13">
        <f>IF(E1079="","",MIN(E1079,$X1079+SUMIFS('05_Parte_Diario'!$H$5:$H$204,'05_Parte_Diario'!$D$5:$D$204,B1079,'05_Parte_Diario'!$E$5:$E$204,C1079)))</f>
        <v>0</v>
      </c>
      <c r="G1079" s="13">
        <f t="shared" si="112"/>
        <v>188</v>
      </c>
      <c r="H1079" s="21">
        <f t="shared" si="113"/>
        <v>0</v>
      </c>
      <c r="I1079" s="21">
        <f>IF(OR(B1079="",C1079="",$V$1=""),"",MIN(E1079,SUMIFS('03_Planificacion'!$G$99:$G$178,'03_Planificacion'!$E$99:$E$178,B1079,'03_Planificacion'!$F$99:$F$178,C1079,'03_Planificacion'!$D$99:$D$178,"&lt;="&amp;$V$1)))</f>
        <v>0</v>
      </c>
      <c r="J1079" s="21">
        <f t="shared" si="114"/>
        <v>0</v>
      </c>
      <c r="K1079" s="6">
        <f t="shared" si="115"/>
        <v>0</v>
      </c>
      <c r="L1079" t="s">
        <v>68</v>
      </c>
      <c r="P1079" s="5">
        <f t="shared" si="116"/>
        <v>46287</v>
      </c>
      <c r="Q1079" t="s">
        <v>180</v>
      </c>
      <c r="R1079">
        <v>75</v>
      </c>
      <c r="S1079" t="s">
        <v>70</v>
      </c>
      <c r="T1079" t="str">
        <f t="shared" si="117"/>
        <v/>
      </c>
      <c r="U1079" t="str">
        <f>IF(AND(L1079="Para Programar",G1079&gt;0),COUNTIFS($L$5:L1079,"Para Programar",$G$5:G1079,"&gt;0"),"")</f>
        <v/>
      </c>
      <c r="W1079" t="str">
        <f t="shared" si="118"/>
        <v>N5 - N7|10 Relleno -0,60 - Compactación</v>
      </c>
      <c r="X1079">
        <v>0</v>
      </c>
    </row>
    <row r="1080" spans="1:24">
      <c r="A1080" t="s">
        <v>108</v>
      </c>
      <c r="B1080" s="14" t="s">
        <v>183</v>
      </c>
      <c r="C1080" t="s">
        <v>109</v>
      </c>
      <c r="D1080" s="13" t="s">
        <v>81</v>
      </c>
      <c r="E1080" s="13">
        <v>1</v>
      </c>
      <c r="F1080" s="13">
        <f>IF(E1080="","",MIN(E1080,$X1080+SUMIFS('05_Parte_Diario'!$H$5:$H$204,'05_Parte_Diario'!$D$5:$D$204,B1080,'05_Parte_Diario'!$E$5:$E$204,C1080)))</f>
        <v>0</v>
      </c>
      <c r="G1080" s="13">
        <f t="shared" si="112"/>
        <v>1</v>
      </c>
      <c r="H1080" s="21">
        <f t="shared" si="113"/>
        <v>0</v>
      </c>
      <c r="I1080" s="21">
        <f>IF(OR(B1080="",C1080="",$V$1=""),"",MIN(E1080,SUMIFS('03_Planificacion'!$G$99:$G$178,'03_Planificacion'!$E$99:$E$178,B1080,'03_Planificacion'!$F$99:$F$178,C1080,'03_Planificacion'!$D$99:$D$178,"&lt;="&amp;$V$1)))</f>
        <v>0</v>
      </c>
      <c r="J1080" s="21">
        <f t="shared" si="114"/>
        <v>0</v>
      </c>
      <c r="K1080" s="6">
        <f t="shared" si="115"/>
        <v>0</v>
      </c>
      <c r="L1080" t="s">
        <v>68</v>
      </c>
      <c r="P1080" s="5">
        <f t="shared" si="116"/>
        <v>46287</v>
      </c>
      <c r="Q1080" t="s">
        <v>180</v>
      </c>
      <c r="R1080">
        <v>75</v>
      </c>
      <c r="S1080" t="s">
        <v>70</v>
      </c>
      <c r="T1080" t="str">
        <f t="shared" si="117"/>
        <v/>
      </c>
      <c r="U1080" t="str">
        <f>IF(AND(L1080="Para Programar",G1080&gt;0),COUNTIFS($L$5:L1080,"Para Programar",$G$5:G1080,"&gt;0"),"")</f>
        <v/>
      </c>
      <c r="W1080" t="str">
        <f t="shared" si="118"/>
        <v>N5 - N7|10 Relleno -0,60 - Inspección laboratorio</v>
      </c>
      <c r="X1080">
        <v>0</v>
      </c>
    </row>
    <row r="1081" spans="1:24">
      <c r="A1081" t="s">
        <v>110</v>
      </c>
      <c r="B1081" s="14" t="s">
        <v>183</v>
      </c>
      <c r="C1081" t="s">
        <v>111</v>
      </c>
      <c r="D1081" s="13" t="s">
        <v>67</v>
      </c>
      <c r="E1081" s="13">
        <v>188</v>
      </c>
      <c r="F1081" s="13">
        <f>IF(E1081="","",MIN(E1081,$X1081+SUMIFS('05_Parte_Diario'!$H$5:$H$204,'05_Parte_Diario'!$D$5:$D$204,B1081,'05_Parte_Diario'!$E$5:$E$204,C1081)))</f>
        <v>0</v>
      </c>
      <c r="G1081" s="13">
        <f t="shared" si="112"/>
        <v>188</v>
      </c>
      <c r="H1081" s="21">
        <f t="shared" si="113"/>
        <v>0</v>
      </c>
      <c r="I1081" s="21">
        <f>IF(OR(B1081="",C1081="",$V$1=""),"",MIN(E1081,SUMIFS('03_Planificacion'!$G$99:$G$178,'03_Planificacion'!$E$99:$E$178,B1081,'03_Planificacion'!$F$99:$F$178,C1081,'03_Planificacion'!$D$99:$D$178,"&lt;="&amp;$V$1)))</f>
        <v>0</v>
      </c>
      <c r="J1081" s="21">
        <f t="shared" si="114"/>
        <v>0</v>
      </c>
      <c r="K1081" s="6">
        <f t="shared" si="115"/>
        <v>0</v>
      </c>
      <c r="L1081" t="s">
        <v>68</v>
      </c>
      <c r="P1081" s="5">
        <f t="shared" si="116"/>
        <v>46287</v>
      </c>
      <c r="Q1081" t="s">
        <v>180</v>
      </c>
      <c r="R1081">
        <v>75</v>
      </c>
      <c r="S1081" t="s">
        <v>70</v>
      </c>
      <c r="T1081" t="str">
        <f t="shared" si="117"/>
        <v/>
      </c>
      <c r="U1081" t="str">
        <f>IF(AND(L1081="Para Programar",G1081&gt;0),COUNTIFS($L$5:L1081,"Para Programar",$G$5:G1081,"&gt;0"),"")</f>
        <v/>
      </c>
      <c r="W1081" t="str">
        <f t="shared" si="118"/>
        <v>N5 - N7|11 Relleno -0,30 - Conformación de capa</v>
      </c>
      <c r="X1081">
        <v>0</v>
      </c>
    </row>
    <row r="1082" spans="1:24">
      <c r="A1082" t="s">
        <v>112</v>
      </c>
      <c r="B1082" s="14" t="s">
        <v>183</v>
      </c>
      <c r="C1082" t="s">
        <v>113</v>
      </c>
      <c r="D1082" s="13" t="s">
        <v>67</v>
      </c>
      <c r="E1082" s="13">
        <v>188</v>
      </c>
      <c r="F1082" s="13">
        <f>IF(E1082="","",MIN(E1082,$X1082+SUMIFS('05_Parte_Diario'!$H$5:$H$204,'05_Parte_Diario'!$D$5:$D$204,B1082,'05_Parte_Diario'!$E$5:$E$204,C1082)))</f>
        <v>0</v>
      </c>
      <c r="G1082" s="13">
        <f t="shared" si="112"/>
        <v>188</v>
      </c>
      <c r="H1082" s="21">
        <f t="shared" si="113"/>
        <v>0</v>
      </c>
      <c r="I1082" s="21">
        <f>IF(OR(B1082="",C1082="",$V$1=""),"",MIN(E1082,SUMIFS('03_Planificacion'!$G$99:$G$178,'03_Planificacion'!$E$99:$E$178,B1082,'03_Planificacion'!$F$99:$F$178,C1082,'03_Planificacion'!$D$99:$D$178,"&lt;="&amp;$V$1)))</f>
        <v>0</v>
      </c>
      <c r="J1082" s="21">
        <f t="shared" si="114"/>
        <v>0</v>
      </c>
      <c r="K1082" s="6">
        <f t="shared" si="115"/>
        <v>0</v>
      </c>
      <c r="L1082" t="s">
        <v>68</v>
      </c>
      <c r="P1082" s="5">
        <f t="shared" si="116"/>
        <v>46287</v>
      </c>
      <c r="Q1082" t="s">
        <v>180</v>
      </c>
      <c r="R1082">
        <v>75</v>
      </c>
      <c r="S1082" t="s">
        <v>70</v>
      </c>
      <c r="T1082" t="str">
        <f t="shared" si="117"/>
        <v/>
      </c>
      <c r="U1082" t="str">
        <f>IF(AND(L1082="Para Programar",G1082&gt;0),COUNTIFS($L$5:L1082,"Para Programar",$G$5:G1082,"&gt;0"),"")</f>
        <v/>
      </c>
      <c r="W1082" t="str">
        <f t="shared" si="118"/>
        <v>N5 - N7|11 Relleno -0,30 - Humectación</v>
      </c>
      <c r="X1082">
        <v>0</v>
      </c>
    </row>
    <row r="1083" spans="1:24">
      <c r="A1083" t="s">
        <v>114</v>
      </c>
      <c r="B1083" s="14" t="s">
        <v>183</v>
      </c>
      <c r="C1083" t="s">
        <v>115</v>
      </c>
      <c r="D1083" s="13" t="s">
        <v>67</v>
      </c>
      <c r="E1083" s="13">
        <v>188</v>
      </c>
      <c r="F1083" s="13">
        <f>IF(E1083="","",MIN(E1083,$X1083+SUMIFS('05_Parte_Diario'!$H$5:$H$204,'05_Parte_Diario'!$D$5:$D$204,B1083,'05_Parte_Diario'!$E$5:$E$204,C1083)))</f>
        <v>0</v>
      </c>
      <c r="G1083" s="13">
        <f t="shared" si="112"/>
        <v>188</v>
      </c>
      <c r="H1083" s="21">
        <f t="shared" si="113"/>
        <v>0</v>
      </c>
      <c r="I1083" s="21">
        <f>IF(OR(B1083="",C1083="",$V$1=""),"",MIN(E1083,SUMIFS('03_Planificacion'!$G$99:$G$178,'03_Planificacion'!$E$99:$E$178,B1083,'03_Planificacion'!$F$99:$F$178,C1083,'03_Planificacion'!$D$99:$D$178,"&lt;="&amp;$V$1)))</f>
        <v>0</v>
      </c>
      <c r="J1083" s="21">
        <f t="shared" si="114"/>
        <v>0</v>
      </c>
      <c r="K1083" s="6">
        <f t="shared" si="115"/>
        <v>0</v>
      </c>
      <c r="L1083" t="s">
        <v>68</v>
      </c>
      <c r="P1083" s="5">
        <f t="shared" si="116"/>
        <v>46287</v>
      </c>
      <c r="Q1083" t="s">
        <v>180</v>
      </c>
      <c r="R1083">
        <v>75</v>
      </c>
      <c r="S1083" t="s">
        <v>70</v>
      </c>
      <c r="T1083" t="str">
        <f t="shared" si="117"/>
        <v/>
      </c>
      <c r="U1083" t="str">
        <f>IF(AND(L1083="Para Programar",G1083&gt;0),COUNTIFS($L$5:L1083,"Para Programar",$G$5:G1083,"&gt;0"),"")</f>
        <v/>
      </c>
      <c r="W1083" t="str">
        <f t="shared" si="118"/>
        <v>N5 - N7|11 Relleno -0,30 - Compactación</v>
      </c>
      <c r="X1083">
        <v>0</v>
      </c>
    </row>
    <row r="1084" spans="1:24">
      <c r="A1084" t="s">
        <v>116</v>
      </c>
      <c r="B1084" s="14" t="s">
        <v>183</v>
      </c>
      <c r="C1084" t="s">
        <v>117</v>
      </c>
      <c r="D1084" s="13" t="s">
        <v>81</v>
      </c>
      <c r="E1084" s="13">
        <v>1</v>
      </c>
      <c r="F1084" s="13">
        <f>IF(E1084="","",MIN(E1084,$X1084+SUMIFS('05_Parte_Diario'!$H$5:$H$204,'05_Parte_Diario'!$D$5:$D$204,B1084,'05_Parte_Diario'!$E$5:$E$204,C1084)))</f>
        <v>0</v>
      </c>
      <c r="G1084" s="13">
        <f t="shared" si="112"/>
        <v>1</v>
      </c>
      <c r="H1084" s="21">
        <f t="shared" si="113"/>
        <v>0</v>
      </c>
      <c r="I1084" s="21">
        <f>IF(OR(B1084="",C1084="",$V$1=""),"",MIN(E1084,SUMIFS('03_Planificacion'!$G$99:$G$178,'03_Planificacion'!$E$99:$E$178,B1084,'03_Planificacion'!$F$99:$F$178,C1084,'03_Planificacion'!$D$99:$D$178,"&lt;="&amp;$V$1)))</f>
        <v>0</v>
      </c>
      <c r="J1084" s="21">
        <f t="shared" si="114"/>
        <v>0</v>
      </c>
      <c r="K1084" s="6">
        <f t="shared" si="115"/>
        <v>0</v>
      </c>
      <c r="L1084" t="s">
        <v>68</v>
      </c>
      <c r="P1084" s="5">
        <f t="shared" si="116"/>
        <v>46287</v>
      </c>
      <c r="Q1084" t="s">
        <v>180</v>
      </c>
      <c r="R1084">
        <v>75</v>
      </c>
      <c r="S1084" t="s">
        <v>70</v>
      </c>
      <c r="T1084" t="str">
        <f t="shared" si="117"/>
        <v/>
      </c>
      <c r="U1084" t="str">
        <f>IF(AND(L1084="Para Programar",G1084&gt;0),COUNTIFS($L$5:L1084,"Para Programar",$G$5:G1084,"&gt;0"),"")</f>
        <v/>
      </c>
      <c r="W1084" t="str">
        <f t="shared" si="118"/>
        <v>N5 - N7|11 Relleno -0,30 - Inspección laboratorio</v>
      </c>
      <c r="X1084">
        <v>0</v>
      </c>
    </row>
    <row r="1085" spans="1:24">
      <c r="A1085" t="s">
        <v>64</v>
      </c>
      <c r="B1085" s="14" t="s">
        <v>184</v>
      </c>
      <c r="C1085" t="s">
        <v>66</v>
      </c>
      <c r="D1085" s="13" t="s">
        <v>67</v>
      </c>
      <c r="E1085" s="13">
        <v>91</v>
      </c>
      <c r="F1085" s="13">
        <f>IF(E1085="","",MIN(E1085,$X1085+SUMIFS('05_Parte_Diario'!$H$5:$H$204,'05_Parte_Diario'!$D$5:$D$204,B1085,'05_Parte_Diario'!$E$5:$E$204,C1085)))</f>
        <v>0</v>
      </c>
      <c r="G1085" s="13">
        <f t="shared" si="112"/>
        <v>91</v>
      </c>
      <c r="H1085" s="21">
        <f t="shared" si="113"/>
        <v>0</v>
      </c>
      <c r="I1085" s="21">
        <f>IF(OR(B1085="",C1085="",$V$1=""),"",MIN(E1085,SUMIFS('03_Planificacion'!$G$99:$G$178,'03_Planificacion'!$E$99:$E$178,B1085,'03_Planificacion'!$F$99:$F$178,C1085,'03_Planificacion'!$D$99:$D$178,"&lt;="&amp;$V$1)))</f>
        <v>0</v>
      </c>
      <c r="J1085" s="21">
        <f t="shared" si="114"/>
        <v>0</v>
      </c>
      <c r="K1085" s="6">
        <f t="shared" si="115"/>
        <v>0</v>
      </c>
      <c r="L1085" t="s">
        <v>68</v>
      </c>
      <c r="P1085" s="5">
        <f t="shared" si="116"/>
        <v>46287</v>
      </c>
      <c r="Q1085" t="s">
        <v>125</v>
      </c>
      <c r="R1085">
        <v>110</v>
      </c>
      <c r="S1085" t="s">
        <v>70</v>
      </c>
      <c r="T1085" t="str">
        <f t="shared" si="117"/>
        <v/>
      </c>
      <c r="U1085" t="str">
        <f>IF(AND(L1085="Para Programar",G1085&gt;0),COUNTIFS($L$5:L1085,"Para Programar",$G$5:G1085,"&gt;0"),"")</f>
        <v/>
      </c>
      <c r="W1085" t="str">
        <f t="shared" si="118"/>
        <v>N6 - N9|01 Replanteo - Marcación de tramo de cañería principal</v>
      </c>
      <c r="X1085">
        <v>0</v>
      </c>
    </row>
    <row r="1086" spans="1:24">
      <c r="A1086" t="s">
        <v>71</v>
      </c>
      <c r="B1086" s="14" t="s">
        <v>184</v>
      </c>
      <c r="C1086" t="s">
        <v>72</v>
      </c>
      <c r="D1086" s="13" t="s">
        <v>67</v>
      </c>
      <c r="E1086" s="13">
        <v>91</v>
      </c>
      <c r="F1086" s="13">
        <f>IF(E1086="","",MIN(E1086,$X1086+SUMIFS('05_Parte_Diario'!$H$5:$H$204,'05_Parte_Diario'!$D$5:$D$204,B1086,'05_Parte_Diario'!$E$5:$E$204,C1086)))</f>
        <v>0</v>
      </c>
      <c r="G1086" s="13">
        <f t="shared" si="112"/>
        <v>91</v>
      </c>
      <c r="H1086" s="21">
        <f t="shared" si="113"/>
        <v>0</v>
      </c>
      <c r="I1086" s="21">
        <f>IF(OR(B1086="",C1086="",$V$1=""),"",MIN(E1086,SUMIFS('03_Planificacion'!$G$99:$G$178,'03_Planificacion'!$E$99:$E$178,B1086,'03_Planificacion'!$F$99:$F$178,C1086,'03_Planificacion'!$D$99:$D$178,"&lt;="&amp;$V$1)))</f>
        <v>0</v>
      </c>
      <c r="J1086" s="21">
        <f t="shared" si="114"/>
        <v>0</v>
      </c>
      <c r="K1086" s="6">
        <f t="shared" si="115"/>
        <v>0</v>
      </c>
      <c r="L1086" t="s">
        <v>68</v>
      </c>
      <c r="P1086" s="5">
        <f t="shared" si="116"/>
        <v>46287</v>
      </c>
      <c r="Q1086" t="s">
        <v>125</v>
      </c>
      <c r="R1086">
        <v>110</v>
      </c>
      <c r="S1086" t="s">
        <v>70</v>
      </c>
      <c r="T1086" t="str">
        <f t="shared" si="117"/>
        <v/>
      </c>
      <c r="U1086" t="str">
        <f>IF(AND(L1086="Para Programar",G1086&gt;0),COUNTIFS($L$5:L1086,"Para Programar",$G$5:G1086,"&gt;0"),"")</f>
        <v/>
      </c>
      <c r="W1086" t="str">
        <f t="shared" si="118"/>
        <v>N6 - N9|02 Excavación - Zanja principal</v>
      </c>
      <c r="X1086">
        <v>0</v>
      </c>
    </row>
    <row r="1087" spans="1:24">
      <c r="A1087" t="s">
        <v>73</v>
      </c>
      <c r="B1087" s="14" t="s">
        <v>184</v>
      </c>
      <c r="C1087" t="s">
        <v>74</v>
      </c>
      <c r="D1087" s="13" t="s">
        <v>67</v>
      </c>
      <c r="E1087" s="13">
        <v>91</v>
      </c>
      <c r="F1087" s="13">
        <f>IF(E1087="","",MIN(E1087,$X1087+SUMIFS('05_Parte_Diario'!$H$5:$H$204,'05_Parte_Diario'!$D$5:$D$204,B1087,'05_Parte_Diario'!$E$5:$E$204,C1087)))</f>
        <v>0</v>
      </c>
      <c r="G1087" s="13">
        <f t="shared" si="112"/>
        <v>91</v>
      </c>
      <c r="H1087" s="21">
        <f t="shared" si="113"/>
        <v>0</v>
      </c>
      <c r="I1087" s="21">
        <f>IF(OR(B1087="",C1087="",$V$1=""),"",MIN(E1087,SUMIFS('03_Planificacion'!$G$99:$G$178,'03_Planificacion'!$E$99:$E$178,B1087,'03_Planificacion'!$F$99:$F$178,C1087,'03_Planificacion'!$D$99:$D$178,"&lt;="&amp;$V$1)))</f>
        <v>0</v>
      </c>
      <c r="J1087" s="21">
        <f t="shared" si="114"/>
        <v>0</v>
      </c>
      <c r="K1087" s="6">
        <f t="shared" si="115"/>
        <v>0</v>
      </c>
      <c r="L1087" t="s">
        <v>68</v>
      </c>
      <c r="P1087" s="5">
        <f t="shared" si="116"/>
        <v>46287</v>
      </c>
      <c r="Q1087" t="s">
        <v>125</v>
      </c>
      <c r="R1087">
        <v>110</v>
      </c>
      <c r="S1087" t="s">
        <v>70</v>
      </c>
      <c r="T1087" t="str">
        <f t="shared" si="117"/>
        <v/>
      </c>
      <c r="U1087" t="str">
        <f>IF(AND(L1087="Para Programar",G1087&gt;0),COUNTIFS($L$5:L1087,"Para Programar",$G$5:G1087,"&gt;0"),"")</f>
        <v/>
      </c>
      <c r="W1087" t="str">
        <f t="shared" si="118"/>
        <v>N6 - N9|03 Base de asiento - Nivelación de fondo de zanja</v>
      </c>
      <c r="X1087">
        <v>0</v>
      </c>
    </row>
    <row r="1088" spans="1:24">
      <c r="A1088" t="s">
        <v>75</v>
      </c>
      <c r="B1088" s="14" t="s">
        <v>184</v>
      </c>
      <c r="C1088" t="s">
        <v>76</v>
      </c>
      <c r="D1088" s="13" t="s">
        <v>67</v>
      </c>
      <c r="E1088" s="13">
        <v>91</v>
      </c>
      <c r="F1088" s="13">
        <f>IF(E1088="","",MIN(E1088,$X1088+SUMIFS('05_Parte_Diario'!$H$5:$H$204,'05_Parte_Diario'!$D$5:$D$204,B1088,'05_Parte_Diario'!$E$5:$E$204,C1088)))</f>
        <v>0</v>
      </c>
      <c r="G1088" s="13">
        <f t="shared" si="112"/>
        <v>91</v>
      </c>
      <c r="H1088" s="21">
        <f t="shared" si="113"/>
        <v>0</v>
      </c>
      <c r="I1088" s="21">
        <f>IF(OR(B1088="",C1088="",$V$1=""),"",MIN(E1088,SUMIFS('03_Planificacion'!$G$99:$G$178,'03_Planificacion'!$E$99:$E$178,B1088,'03_Planificacion'!$F$99:$F$178,C1088,'03_Planificacion'!$D$99:$D$178,"&lt;="&amp;$V$1)))</f>
        <v>0</v>
      </c>
      <c r="J1088" s="21">
        <f t="shared" si="114"/>
        <v>0</v>
      </c>
      <c r="K1088" s="6">
        <f t="shared" si="115"/>
        <v>0</v>
      </c>
      <c r="L1088" t="s">
        <v>68</v>
      </c>
      <c r="P1088" s="5">
        <f t="shared" si="116"/>
        <v>46287</v>
      </c>
      <c r="Q1088" t="s">
        <v>125</v>
      </c>
      <c r="R1088">
        <v>110</v>
      </c>
      <c r="S1088" t="s">
        <v>70</v>
      </c>
      <c r="T1088" t="str">
        <f t="shared" si="117"/>
        <v/>
      </c>
      <c r="U1088" t="str">
        <f>IF(AND(L1088="Para Programar",G1088&gt;0),COUNTIFS($L$5:L1088,"Para Programar",$G$5:G1088,"&gt;0"),"")</f>
        <v/>
      </c>
      <c r="W1088" t="str">
        <f t="shared" si="118"/>
        <v>N6 - N9|03 Base de asiento - Aporte de material base e=0,10 m</v>
      </c>
      <c r="X1088">
        <v>0</v>
      </c>
    </row>
    <row r="1089" spans="1:24">
      <c r="A1089" t="s">
        <v>77</v>
      </c>
      <c r="B1089" s="14" t="s">
        <v>184</v>
      </c>
      <c r="C1089" t="s">
        <v>78</v>
      </c>
      <c r="D1089" s="13" t="s">
        <v>67</v>
      </c>
      <c r="E1089" s="13">
        <v>91</v>
      </c>
      <c r="F1089" s="13">
        <f>IF(E1089="","",MIN(E1089,$X1089+SUMIFS('05_Parte_Diario'!$H$5:$H$204,'05_Parte_Diario'!$D$5:$D$204,B1089,'05_Parte_Diario'!$E$5:$E$204,C1089)))</f>
        <v>0</v>
      </c>
      <c r="G1089" s="13">
        <f t="shared" si="112"/>
        <v>91</v>
      </c>
      <c r="H1089" s="21">
        <f t="shared" si="113"/>
        <v>0</v>
      </c>
      <c r="I1089" s="21">
        <f>IF(OR(B1089="",C1089="",$V$1=""),"",MIN(E1089,SUMIFS('03_Planificacion'!$G$99:$G$178,'03_Planificacion'!$E$99:$E$178,B1089,'03_Planificacion'!$F$99:$F$178,C1089,'03_Planificacion'!$D$99:$D$178,"&lt;="&amp;$V$1)))</f>
        <v>0</v>
      </c>
      <c r="J1089" s="21">
        <f t="shared" si="114"/>
        <v>0</v>
      </c>
      <c r="K1089" s="6">
        <f t="shared" si="115"/>
        <v>0</v>
      </c>
      <c r="L1089" t="s">
        <v>68</v>
      </c>
      <c r="P1089" s="5">
        <f t="shared" si="116"/>
        <v>46287</v>
      </c>
      <c r="Q1089" t="s">
        <v>125</v>
      </c>
      <c r="R1089">
        <v>110</v>
      </c>
      <c r="S1089" t="s">
        <v>70</v>
      </c>
      <c r="T1089" t="str">
        <f t="shared" si="117"/>
        <v/>
      </c>
      <c r="U1089" t="str">
        <f>IF(AND(L1089="Para Programar",G1089&gt;0),COUNTIFS($L$5:L1089,"Para Programar",$G$5:G1089,"&gt;0"),"")</f>
        <v/>
      </c>
      <c r="W1089" t="str">
        <f t="shared" si="118"/>
        <v>N6 - N9|03 Base de asiento - Compactación</v>
      </c>
      <c r="X1089">
        <v>0</v>
      </c>
    </row>
    <row r="1090" spans="1:24">
      <c r="A1090" t="s">
        <v>79</v>
      </c>
      <c r="B1090" s="14" t="s">
        <v>184</v>
      </c>
      <c r="C1090" t="s">
        <v>80</v>
      </c>
      <c r="D1090" s="13" t="s">
        <v>81</v>
      </c>
      <c r="E1090" s="13">
        <v>1</v>
      </c>
      <c r="F1090" s="13">
        <f>IF(E1090="","",MIN(E1090,$X1090+SUMIFS('05_Parte_Diario'!$H$5:$H$204,'05_Parte_Diario'!$D$5:$D$204,B1090,'05_Parte_Diario'!$E$5:$E$204,C1090)))</f>
        <v>0</v>
      </c>
      <c r="G1090" s="13">
        <f t="shared" si="112"/>
        <v>1</v>
      </c>
      <c r="H1090" s="21">
        <f t="shared" si="113"/>
        <v>0</v>
      </c>
      <c r="I1090" s="21">
        <f>IF(OR(B1090="",C1090="",$V$1=""),"",MIN(E1090,SUMIFS('03_Planificacion'!$G$99:$G$178,'03_Planificacion'!$E$99:$E$178,B1090,'03_Planificacion'!$F$99:$F$178,C1090,'03_Planificacion'!$D$99:$D$178,"&lt;="&amp;$V$1)))</f>
        <v>0</v>
      </c>
      <c r="J1090" s="21">
        <f t="shared" si="114"/>
        <v>0</v>
      </c>
      <c r="K1090" s="6">
        <f t="shared" si="115"/>
        <v>0</v>
      </c>
      <c r="L1090" t="s">
        <v>68</v>
      </c>
      <c r="P1090" s="5">
        <f t="shared" si="116"/>
        <v>46287</v>
      </c>
      <c r="Q1090" t="s">
        <v>125</v>
      </c>
      <c r="R1090">
        <v>110</v>
      </c>
      <c r="S1090" t="s">
        <v>70</v>
      </c>
      <c r="T1090" t="str">
        <f t="shared" si="117"/>
        <v/>
      </c>
      <c r="U1090" t="str">
        <f>IF(AND(L1090="Para Programar",G1090&gt;0),COUNTIFS($L$5:L1090,"Para Programar",$G$5:G1090,"&gt;0"),"")</f>
        <v/>
      </c>
      <c r="W1090" t="str">
        <f t="shared" si="118"/>
        <v>N6 - N9|04 Inspecciones previas - Laboratorio base de asiento</v>
      </c>
      <c r="X1090">
        <v>0</v>
      </c>
    </row>
    <row r="1091" spans="1:24">
      <c r="A1091" t="s">
        <v>82</v>
      </c>
      <c r="B1091" s="14" t="s">
        <v>184</v>
      </c>
      <c r="C1091" t="s">
        <v>83</v>
      </c>
      <c r="D1091" s="13" t="s">
        <v>81</v>
      </c>
      <c r="E1091" s="13">
        <v>1</v>
      </c>
      <c r="F1091" s="13">
        <f>IF(E1091="","",MIN(E1091,$X1091+SUMIFS('05_Parte_Diario'!$H$5:$H$204,'05_Parte_Diario'!$D$5:$D$204,B1091,'05_Parte_Diario'!$E$5:$E$204,C1091)))</f>
        <v>0</v>
      </c>
      <c r="G1091" s="13">
        <f t="shared" si="112"/>
        <v>1</v>
      </c>
      <c r="H1091" s="21">
        <f t="shared" si="113"/>
        <v>0</v>
      </c>
      <c r="I1091" s="21">
        <f>IF(OR(B1091="",C1091="",$V$1=""),"",MIN(E1091,SUMIFS('03_Planificacion'!$G$99:$G$178,'03_Planificacion'!$E$99:$E$178,B1091,'03_Planificacion'!$F$99:$F$178,C1091,'03_Planificacion'!$D$99:$D$178,"&lt;="&amp;$V$1)))</f>
        <v>0</v>
      </c>
      <c r="J1091" s="21">
        <f t="shared" si="114"/>
        <v>0</v>
      </c>
      <c r="K1091" s="6">
        <f t="shared" si="115"/>
        <v>0</v>
      </c>
      <c r="L1091" t="s">
        <v>68</v>
      </c>
      <c r="P1091" s="5">
        <f t="shared" si="116"/>
        <v>46287</v>
      </c>
      <c r="Q1091" t="s">
        <v>125</v>
      </c>
      <c r="R1091">
        <v>110</v>
      </c>
      <c r="S1091" t="s">
        <v>70</v>
      </c>
      <c r="T1091" t="str">
        <f t="shared" si="117"/>
        <v/>
      </c>
      <c r="U1091" t="str">
        <f>IF(AND(L1091="Para Programar",G1091&gt;0),COUNTIFS($L$5:L1091,"Para Programar",$G$5:G1091,"&gt;0"),"")</f>
        <v/>
      </c>
      <c r="W1091" t="str">
        <f t="shared" si="118"/>
        <v>N6 - N9|04 Inspecciones previas - Zanja y materiales</v>
      </c>
      <c r="X1091">
        <v>0</v>
      </c>
    </row>
    <row r="1092" spans="1:24">
      <c r="A1092" t="s">
        <v>84</v>
      </c>
      <c r="B1092" s="14" t="s">
        <v>184</v>
      </c>
      <c r="C1092" t="s">
        <v>85</v>
      </c>
      <c r="D1092" s="13" t="s">
        <v>67</v>
      </c>
      <c r="E1092" s="13">
        <v>91</v>
      </c>
      <c r="F1092" s="13">
        <f>IF(E1092="","",MIN(E1092,$X1092+SUMIFS('05_Parte_Diario'!$H$5:$H$204,'05_Parte_Diario'!$D$5:$D$204,B1092,'05_Parte_Diario'!$E$5:$E$204,C1092)))</f>
        <v>0</v>
      </c>
      <c r="G1092" s="13">
        <f t="shared" si="112"/>
        <v>91</v>
      </c>
      <c r="H1092" s="21">
        <f t="shared" si="113"/>
        <v>0</v>
      </c>
      <c r="I1092" s="21">
        <f>IF(OR(B1092="",C1092="",$V$1=""),"",MIN(E1092,SUMIFS('03_Planificacion'!$G$99:$G$178,'03_Planificacion'!$E$99:$E$178,B1092,'03_Planificacion'!$F$99:$F$178,C1092,'03_Planificacion'!$D$99:$D$178,"&lt;="&amp;$V$1)))</f>
        <v>0</v>
      </c>
      <c r="J1092" s="21">
        <f t="shared" si="114"/>
        <v>0</v>
      </c>
      <c r="K1092" s="6">
        <f t="shared" si="115"/>
        <v>0</v>
      </c>
      <c r="L1092" t="s">
        <v>68</v>
      </c>
      <c r="P1092" s="5">
        <f t="shared" si="116"/>
        <v>46287</v>
      </c>
      <c r="Q1092" t="s">
        <v>125</v>
      </c>
      <c r="R1092">
        <v>110</v>
      </c>
      <c r="S1092" t="s">
        <v>70</v>
      </c>
      <c r="T1092" t="str">
        <f t="shared" si="117"/>
        <v/>
      </c>
      <c r="U1092" t="str">
        <f>IF(AND(L1092="Para Programar",G1092&gt;0),COUNTIFS($L$5:L1092,"Para Programar",$G$5:G1092,"&gt;0"),"")</f>
        <v/>
      </c>
      <c r="W1092" t="str">
        <f t="shared" si="118"/>
        <v>N6 - N9|05 Tendido de cañería - Cañería principal</v>
      </c>
      <c r="X1092">
        <v>0</v>
      </c>
    </row>
    <row r="1093" spans="1:24">
      <c r="A1093" t="s">
        <v>86</v>
      </c>
      <c r="B1093" s="14" t="s">
        <v>184</v>
      </c>
      <c r="C1093" t="s">
        <v>87</v>
      </c>
      <c r="D1093" s="13" t="s">
        <v>67</v>
      </c>
      <c r="E1093" s="13">
        <v>91</v>
      </c>
      <c r="F1093" s="13">
        <f>IF(E1093="","",MIN(E1093,$X1093+SUMIFS('05_Parte_Diario'!$H$5:$H$204,'05_Parte_Diario'!$D$5:$D$204,B1093,'05_Parte_Diario'!$E$5:$E$204,C1093)))</f>
        <v>0</v>
      </c>
      <c r="G1093" s="13">
        <f t="shared" ref="G1093:G1156" si="119">IF(E1093="","",MAX(E1093-F1093,0))</f>
        <v>91</v>
      </c>
      <c r="H1093" s="21">
        <f t="shared" ref="H1093:H1156" si="120">IFERROR(F1093/E1093,0)</f>
        <v>0</v>
      </c>
      <c r="I1093" s="21">
        <f>IF(OR(B1093="",C1093="",$V$1=""),"",MIN(E1093,SUMIFS('03_Planificacion'!$G$99:$G$178,'03_Planificacion'!$E$99:$E$178,B1093,'03_Planificacion'!$F$99:$F$178,C1093,'03_Planificacion'!$D$99:$D$178,"&lt;="&amp;$V$1)))</f>
        <v>0</v>
      </c>
      <c r="J1093" s="21">
        <f t="shared" ref="J1093:J1156" si="121">IFERROR(I1093/E1093,0)</f>
        <v>0</v>
      </c>
      <c r="K1093" s="6">
        <f t="shared" ref="K1093:K1156" si="122">IF(OR(E1093="",$V$1=""),"",H1093-J1093)</f>
        <v>0</v>
      </c>
      <c r="L1093" t="s">
        <v>68</v>
      </c>
      <c r="P1093" s="5">
        <f t="shared" ref="P1093:P1156" si="123">IF(A1093="","",$V$1)</f>
        <v>46287</v>
      </c>
      <c r="Q1093" t="s">
        <v>125</v>
      </c>
      <c r="R1093">
        <v>110</v>
      </c>
      <c r="S1093" t="s">
        <v>70</v>
      </c>
      <c r="T1093" t="str">
        <f t="shared" ref="T1093:T1156" si="124">IF(A1093="","",IF(AND(L1093="Para Programar",G1093=0),"INCONSISTENCIA - REVISAR MANUALMENTE: Para Programar sin saldo",IF(AND(L1093="Terminada",G1093&gt;0),"INCONSISTENCIA - REVISAR MANUALMENTE: Terminada con saldo","")))</f>
        <v/>
      </c>
      <c r="U1093" t="str">
        <f>IF(AND(L1093="Para Programar",G1093&gt;0),COUNTIFS($L$5:L1093,"Para Programar",$G$5:G1093,"&gt;0"),"")</f>
        <v/>
      </c>
      <c r="W1093" t="str">
        <f t="shared" ref="W1093:W1156" si="125">IF(OR(B1093="",C1093=""),"",B1093&amp;"|"&amp;C1093)</f>
        <v>N6 - N9|05 Tendido de cañería - Relevamiento planialtimétrico</v>
      </c>
      <c r="X1093">
        <v>0</v>
      </c>
    </row>
    <row r="1094" spans="1:24">
      <c r="A1094" t="s">
        <v>88</v>
      </c>
      <c r="B1094" s="14" t="s">
        <v>184</v>
      </c>
      <c r="C1094" t="s">
        <v>89</v>
      </c>
      <c r="D1094" s="13" t="s">
        <v>81</v>
      </c>
      <c r="E1094" s="13">
        <v>1</v>
      </c>
      <c r="F1094" s="13">
        <f>IF(E1094="","",MIN(E1094,$X1094+SUMIFS('05_Parte_Diario'!$H$5:$H$204,'05_Parte_Diario'!$D$5:$D$204,B1094,'05_Parte_Diario'!$E$5:$E$204,C1094)))</f>
        <v>0</v>
      </c>
      <c r="G1094" s="13">
        <f t="shared" si="119"/>
        <v>1</v>
      </c>
      <c r="H1094" s="21">
        <f t="shared" si="120"/>
        <v>0</v>
      </c>
      <c r="I1094" s="21">
        <f>IF(OR(B1094="",C1094="",$V$1=""),"",MIN(E1094,SUMIFS('03_Planificacion'!$G$99:$G$178,'03_Planificacion'!$E$99:$E$178,B1094,'03_Planificacion'!$F$99:$F$178,C1094,'03_Planificacion'!$D$99:$D$178,"&lt;="&amp;$V$1)))</f>
        <v>0</v>
      </c>
      <c r="J1094" s="21">
        <f t="shared" si="121"/>
        <v>0</v>
      </c>
      <c r="K1094" s="6">
        <f t="shared" si="122"/>
        <v>0</v>
      </c>
      <c r="L1094" t="s">
        <v>68</v>
      </c>
      <c r="P1094" s="5">
        <f t="shared" si="123"/>
        <v>46287</v>
      </c>
      <c r="Q1094" t="s">
        <v>125</v>
      </c>
      <c r="R1094">
        <v>110</v>
      </c>
      <c r="S1094" t="s">
        <v>70</v>
      </c>
      <c r="T1094" t="str">
        <f t="shared" si="124"/>
        <v/>
      </c>
      <c r="U1094" t="str">
        <f>IF(AND(L1094="Para Programar",G1094&gt;0),COUNTIFS($L$5:L1094,"Para Programar",$G$5:G1094,"&gt;0"),"")</f>
        <v/>
      </c>
      <c r="W1094" t="str">
        <f t="shared" si="125"/>
        <v>N6 - N9|08 Prueba hidráulica - Preparación del sistema</v>
      </c>
      <c r="X1094">
        <v>0</v>
      </c>
    </row>
    <row r="1095" spans="1:24">
      <c r="A1095" t="s">
        <v>90</v>
      </c>
      <c r="B1095" s="14" t="s">
        <v>184</v>
      </c>
      <c r="C1095" t="s">
        <v>91</v>
      </c>
      <c r="D1095" s="13" t="s">
        <v>81</v>
      </c>
      <c r="E1095" s="13">
        <v>1</v>
      </c>
      <c r="F1095" s="13">
        <f>IF(E1095="","",MIN(E1095,$X1095+SUMIFS('05_Parte_Diario'!$H$5:$H$204,'05_Parte_Diario'!$D$5:$D$204,B1095,'05_Parte_Diario'!$E$5:$E$204,C1095)))</f>
        <v>0</v>
      </c>
      <c r="G1095" s="13">
        <f t="shared" si="119"/>
        <v>1</v>
      </c>
      <c r="H1095" s="21">
        <f t="shared" si="120"/>
        <v>0</v>
      </c>
      <c r="I1095" s="21">
        <f>IF(OR(B1095="",C1095="",$V$1=""),"",MIN(E1095,SUMIFS('03_Planificacion'!$G$99:$G$178,'03_Planificacion'!$E$99:$E$178,B1095,'03_Planificacion'!$F$99:$F$178,C1095,'03_Planificacion'!$D$99:$D$178,"&lt;="&amp;$V$1)))</f>
        <v>0</v>
      </c>
      <c r="J1095" s="21">
        <f t="shared" si="121"/>
        <v>0</v>
      </c>
      <c r="K1095" s="6">
        <f t="shared" si="122"/>
        <v>0</v>
      </c>
      <c r="L1095" t="s">
        <v>68</v>
      </c>
      <c r="P1095" s="5">
        <f t="shared" si="123"/>
        <v>46287</v>
      </c>
      <c r="Q1095" t="s">
        <v>125</v>
      </c>
      <c r="R1095">
        <v>110</v>
      </c>
      <c r="S1095" t="s">
        <v>70</v>
      </c>
      <c r="T1095" t="str">
        <f t="shared" si="124"/>
        <v/>
      </c>
      <c r="U1095" t="str">
        <f>IF(AND(L1095="Para Programar",G1095&gt;0),COUNTIFS($L$5:L1095,"Para Programar",$G$5:G1095,"&gt;0"),"")</f>
        <v/>
      </c>
      <c r="W1095" t="str">
        <f t="shared" si="125"/>
        <v>N6 - N9|08 Prueba hidráulica - Interna N° 1</v>
      </c>
      <c r="X1095">
        <v>0</v>
      </c>
    </row>
    <row r="1096" spans="1:24">
      <c r="A1096" t="s">
        <v>92</v>
      </c>
      <c r="B1096" s="14" t="s">
        <v>184</v>
      </c>
      <c r="C1096" t="s">
        <v>93</v>
      </c>
      <c r="D1096" s="13" t="s">
        <v>81</v>
      </c>
      <c r="E1096" s="13">
        <v>1</v>
      </c>
      <c r="F1096" s="13">
        <f>IF(E1096="","",MIN(E1096,$X1096+SUMIFS('05_Parte_Diario'!$H$5:$H$204,'05_Parte_Diario'!$D$5:$D$204,B1096,'05_Parte_Diario'!$E$5:$E$204,C1096)))</f>
        <v>0</v>
      </c>
      <c r="G1096" s="13">
        <f t="shared" si="119"/>
        <v>1</v>
      </c>
      <c r="H1096" s="21">
        <f t="shared" si="120"/>
        <v>0</v>
      </c>
      <c r="I1096" s="21">
        <f>IF(OR(B1096="",C1096="",$V$1=""),"",MIN(E1096,SUMIFS('03_Planificacion'!$G$99:$G$178,'03_Planificacion'!$E$99:$E$178,B1096,'03_Planificacion'!$F$99:$F$178,C1096,'03_Planificacion'!$D$99:$D$178,"&lt;="&amp;$V$1)))</f>
        <v>0</v>
      </c>
      <c r="J1096" s="21">
        <f t="shared" si="121"/>
        <v>0</v>
      </c>
      <c r="K1096" s="6">
        <f t="shared" si="122"/>
        <v>0</v>
      </c>
      <c r="L1096" t="s">
        <v>68</v>
      </c>
      <c r="P1096" s="5">
        <f t="shared" si="123"/>
        <v>46287</v>
      </c>
      <c r="Q1096" t="s">
        <v>125</v>
      </c>
      <c r="R1096">
        <v>110</v>
      </c>
      <c r="S1096" t="s">
        <v>70</v>
      </c>
      <c r="T1096" t="str">
        <f t="shared" si="124"/>
        <v/>
      </c>
      <c r="U1096" t="str">
        <f>IF(AND(L1096="Para Programar",G1096&gt;0),COUNTIFS($L$5:L1096,"Para Programar",$G$5:G1096,"&gt;0"),"")</f>
        <v/>
      </c>
      <c r="W1096" t="str">
        <f t="shared" si="125"/>
        <v>N6 - N9|08 Prueba hidráulica - Interna N° 2</v>
      </c>
      <c r="X1096">
        <v>0</v>
      </c>
    </row>
    <row r="1097" spans="1:24">
      <c r="A1097" t="s">
        <v>94</v>
      </c>
      <c r="B1097" s="14" t="s">
        <v>184</v>
      </c>
      <c r="C1097" t="s">
        <v>95</v>
      </c>
      <c r="D1097" s="13" t="s">
        <v>81</v>
      </c>
      <c r="E1097" s="13">
        <v>1</v>
      </c>
      <c r="F1097" s="13">
        <f>IF(E1097="","",MIN(E1097,$X1097+SUMIFS('05_Parte_Diario'!$H$5:$H$204,'05_Parte_Diario'!$D$5:$D$204,B1097,'05_Parte_Diario'!$E$5:$E$204,C1097)))</f>
        <v>0</v>
      </c>
      <c r="G1097" s="13">
        <f t="shared" si="119"/>
        <v>1</v>
      </c>
      <c r="H1097" s="21">
        <f t="shared" si="120"/>
        <v>0</v>
      </c>
      <c r="I1097" s="21">
        <f>IF(OR(B1097="",C1097="",$V$1=""),"",MIN(E1097,SUMIFS('03_Planificacion'!$G$99:$G$178,'03_Planificacion'!$E$99:$E$178,B1097,'03_Planificacion'!$F$99:$F$178,C1097,'03_Planificacion'!$D$99:$D$178,"&lt;="&amp;$V$1)))</f>
        <v>0</v>
      </c>
      <c r="J1097" s="21">
        <f t="shared" si="121"/>
        <v>0</v>
      </c>
      <c r="K1097" s="6">
        <f t="shared" si="122"/>
        <v>0</v>
      </c>
      <c r="L1097" t="s">
        <v>68</v>
      </c>
      <c r="P1097" s="5">
        <f t="shared" si="123"/>
        <v>46287</v>
      </c>
      <c r="Q1097" t="s">
        <v>125</v>
      </c>
      <c r="R1097">
        <v>110</v>
      </c>
      <c r="S1097" t="s">
        <v>70</v>
      </c>
      <c r="T1097" t="str">
        <f t="shared" si="124"/>
        <v/>
      </c>
      <c r="U1097" t="str">
        <f>IF(AND(L1097="Para Programar",G1097&gt;0),COUNTIFS($L$5:L1097,"Para Programar",$G$5:G1097,"&gt;0"),"")</f>
        <v/>
      </c>
      <c r="W1097" t="str">
        <f t="shared" si="125"/>
        <v>N6 - N9|08 Prueba hidráulica - Primera prueba oficial</v>
      </c>
      <c r="X1097">
        <v>0</v>
      </c>
    </row>
    <row r="1098" spans="1:24">
      <c r="A1098" t="s">
        <v>96</v>
      </c>
      <c r="B1098" s="14" t="s">
        <v>184</v>
      </c>
      <c r="C1098" t="s">
        <v>97</v>
      </c>
      <c r="D1098" s="13" t="s">
        <v>67</v>
      </c>
      <c r="E1098" s="13">
        <v>91</v>
      </c>
      <c r="F1098" s="13">
        <f>IF(E1098="","",MIN(E1098,$X1098+SUMIFS('05_Parte_Diario'!$H$5:$H$204,'05_Parte_Diario'!$D$5:$D$204,B1098,'05_Parte_Diario'!$E$5:$E$204,C1098)))</f>
        <v>0</v>
      </c>
      <c r="G1098" s="13">
        <f t="shared" si="119"/>
        <v>91</v>
      </c>
      <c r="H1098" s="21">
        <f t="shared" si="120"/>
        <v>0</v>
      </c>
      <c r="I1098" s="21">
        <f>IF(OR(B1098="",C1098="",$V$1=""),"",MIN(E1098,SUMIFS('03_Planificacion'!$G$99:$G$178,'03_Planificacion'!$E$99:$E$178,B1098,'03_Planificacion'!$F$99:$F$178,C1098,'03_Planificacion'!$D$99:$D$178,"&lt;="&amp;$V$1)))</f>
        <v>0</v>
      </c>
      <c r="J1098" s="21">
        <f t="shared" si="121"/>
        <v>0</v>
      </c>
      <c r="K1098" s="6">
        <f t="shared" si="122"/>
        <v>0</v>
      </c>
      <c r="L1098" t="s">
        <v>68</v>
      </c>
      <c r="P1098" s="5">
        <f t="shared" si="123"/>
        <v>46287</v>
      </c>
      <c r="Q1098" t="s">
        <v>125</v>
      </c>
      <c r="R1098">
        <v>110</v>
      </c>
      <c r="S1098" t="s">
        <v>70</v>
      </c>
      <c r="T1098" t="str">
        <f t="shared" si="124"/>
        <v/>
      </c>
      <c r="U1098" t="str">
        <f>IF(AND(L1098="Para Programar",G1098&gt;0),COUNTIFS($L$5:L1098,"Para Programar",$G$5:G1098,"&gt;0"),"")</f>
        <v/>
      </c>
      <c r="W1098" t="str">
        <f t="shared" si="125"/>
        <v>N6 - N9|09 Paquete estructural - Aporte e=0,30 m</v>
      </c>
      <c r="X1098">
        <v>0</v>
      </c>
    </row>
    <row r="1099" spans="1:24">
      <c r="A1099" t="s">
        <v>98</v>
      </c>
      <c r="B1099" s="14" t="s">
        <v>184</v>
      </c>
      <c r="C1099" t="s">
        <v>99</v>
      </c>
      <c r="D1099" s="13" t="s">
        <v>67</v>
      </c>
      <c r="E1099" s="13">
        <v>91</v>
      </c>
      <c r="F1099" s="13">
        <f>IF(E1099="","",MIN(E1099,$X1099+SUMIFS('05_Parte_Diario'!$H$5:$H$204,'05_Parte_Diario'!$D$5:$D$204,B1099,'05_Parte_Diario'!$E$5:$E$204,C1099)))</f>
        <v>0</v>
      </c>
      <c r="G1099" s="13">
        <f t="shared" si="119"/>
        <v>91</v>
      </c>
      <c r="H1099" s="21">
        <f t="shared" si="120"/>
        <v>0</v>
      </c>
      <c r="I1099" s="21">
        <f>IF(OR(B1099="",C1099="",$V$1=""),"",MIN(E1099,SUMIFS('03_Planificacion'!$G$99:$G$178,'03_Planificacion'!$E$99:$E$178,B1099,'03_Planificacion'!$F$99:$F$178,C1099,'03_Planificacion'!$D$99:$D$178,"&lt;="&amp;$V$1)))</f>
        <v>0</v>
      </c>
      <c r="J1099" s="21">
        <f t="shared" si="121"/>
        <v>0</v>
      </c>
      <c r="K1099" s="6">
        <f t="shared" si="122"/>
        <v>0</v>
      </c>
      <c r="L1099" t="s">
        <v>68</v>
      </c>
      <c r="P1099" s="5">
        <f t="shared" si="123"/>
        <v>46287</v>
      </c>
      <c r="Q1099" t="s">
        <v>125</v>
      </c>
      <c r="R1099">
        <v>110</v>
      </c>
      <c r="S1099" t="s">
        <v>70</v>
      </c>
      <c r="T1099" t="str">
        <f t="shared" si="124"/>
        <v/>
      </c>
      <c r="U1099" t="str">
        <f>IF(AND(L1099="Para Programar",G1099&gt;0),COUNTIFS($L$5:L1099,"Para Programar",$G$5:G1099,"&gt;0"),"")</f>
        <v/>
      </c>
      <c r="W1099" t="str">
        <f t="shared" si="125"/>
        <v>N6 - N9|09 Paquete estructural - Compactación</v>
      </c>
      <c r="X1099">
        <v>0</v>
      </c>
    </row>
    <row r="1100" spans="1:24">
      <c r="A1100" t="s">
        <v>100</v>
      </c>
      <c r="B1100" s="14" t="s">
        <v>184</v>
      </c>
      <c r="C1100" t="s">
        <v>101</v>
      </c>
      <c r="D1100" s="13" t="s">
        <v>81</v>
      </c>
      <c r="E1100" s="13">
        <v>1</v>
      </c>
      <c r="F1100" s="13">
        <f>IF(E1100="","",MIN(E1100,$X1100+SUMIFS('05_Parte_Diario'!$H$5:$H$204,'05_Parte_Diario'!$D$5:$D$204,B1100,'05_Parte_Diario'!$E$5:$E$204,C1100)))</f>
        <v>0</v>
      </c>
      <c r="G1100" s="13">
        <f t="shared" si="119"/>
        <v>1</v>
      </c>
      <c r="H1100" s="21">
        <f t="shared" si="120"/>
        <v>0</v>
      </c>
      <c r="I1100" s="21">
        <f>IF(OR(B1100="",C1100="",$V$1=""),"",MIN(E1100,SUMIFS('03_Planificacion'!$G$99:$G$178,'03_Planificacion'!$E$99:$E$178,B1100,'03_Planificacion'!$F$99:$F$178,C1100,'03_Planificacion'!$D$99:$D$178,"&lt;="&amp;$V$1)))</f>
        <v>0</v>
      </c>
      <c r="J1100" s="21">
        <f t="shared" si="121"/>
        <v>0</v>
      </c>
      <c r="K1100" s="6">
        <f t="shared" si="122"/>
        <v>0</v>
      </c>
      <c r="L1100" t="s">
        <v>68</v>
      </c>
      <c r="P1100" s="5">
        <f t="shared" si="123"/>
        <v>46287</v>
      </c>
      <c r="Q1100" t="s">
        <v>125</v>
      </c>
      <c r="R1100">
        <v>110</v>
      </c>
      <c r="S1100" t="s">
        <v>70</v>
      </c>
      <c r="T1100" t="str">
        <f t="shared" si="124"/>
        <v/>
      </c>
      <c r="U1100" t="str">
        <f>IF(AND(L1100="Para Programar",G1100&gt;0),COUNTIFS($L$5:L1100,"Para Programar",$G$5:G1100,"&gt;0"),"")</f>
        <v/>
      </c>
      <c r="W1100" t="str">
        <f t="shared" si="125"/>
        <v>N6 - N9|09 Paquete estructural - Inspección laboratorio</v>
      </c>
      <c r="X1100">
        <v>0</v>
      </c>
    </row>
    <row r="1101" spans="1:24">
      <c r="A1101" t="s">
        <v>102</v>
      </c>
      <c r="B1101" s="14" t="s">
        <v>184</v>
      </c>
      <c r="C1101" t="s">
        <v>103</v>
      </c>
      <c r="D1101" s="13" t="s">
        <v>67</v>
      </c>
      <c r="E1101" s="13">
        <v>91</v>
      </c>
      <c r="F1101" s="13">
        <f>IF(E1101="","",MIN(E1101,$X1101+SUMIFS('05_Parte_Diario'!$H$5:$H$204,'05_Parte_Diario'!$D$5:$D$204,B1101,'05_Parte_Diario'!$E$5:$E$204,C1101)))</f>
        <v>0</v>
      </c>
      <c r="G1101" s="13">
        <f t="shared" si="119"/>
        <v>91</v>
      </c>
      <c r="H1101" s="21">
        <f t="shared" si="120"/>
        <v>0</v>
      </c>
      <c r="I1101" s="21">
        <f>IF(OR(B1101="",C1101="",$V$1=""),"",MIN(E1101,SUMIFS('03_Planificacion'!$G$99:$G$178,'03_Planificacion'!$E$99:$E$178,B1101,'03_Planificacion'!$F$99:$F$178,C1101,'03_Planificacion'!$D$99:$D$178,"&lt;="&amp;$V$1)))</f>
        <v>0</v>
      </c>
      <c r="J1101" s="21">
        <f t="shared" si="121"/>
        <v>0</v>
      </c>
      <c r="K1101" s="6">
        <f t="shared" si="122"/>
        <v>0</v>
      </c>
      <c r="L1101" t="s">
        <v>68</v>
      </c>
      <c r="P1101" s="5">
        <f t="shared" si="123"/>
        <v>46287</v>
      </c>
      <c r="Q1101" t="s">
        <v>125</v>
      </c>
      <c r="R1101">
        <v>110</v>
      </c>
      <c r="S1101" t="s">
        <v>70</v>
      </c>
      <c r="T1101" t="str">
        <f t="shared" si="124"/>
        <v/>
      </c>
      <c r="U1101" t="str">
        <f>IF(AND(L1101="Para Programar",G1101&gt;0),COUNTIFS($L$5:L1101,"Para Programar",$G$5:G1101,"&gt;0"),"")</f>
        <v/>
      </c>
      <c r="W1101" t="str">
        <f t="shared" si="125"/>
        <v>N6 - N9|10 Relleno -0,60 - Conformación de capa</v>
      </c>
      <c r="X1101">
        <v>0</v>
      </c>
    </row>
    <row r="1102" spans="1:24">
      <c r="A1102" t="s">
        <v>104</v>
      </c>
      <c r="B1102" s="14" t="s">
        <v>184</v>
      </c>
      <c r="C1102" t="s">
        <v>105</v>
      </c>
      <c r="D1102" s="13" t="s">
        <v>67</v>
      </c>
      <c r="E1102" s="13">
        <v>91</v>
      </c>
      <c r="F1102" s="13">
        <f>IF(E1102="","",MIN(E1102,$X1102+SUMIFS('05_Parte_Diario'!$H$5:$H$204,'05_Parte_Diario'!$D$5:$D$204,B1102,'05_Parte_Diario'!$E$5:$E$204,C1102)))</f>
        <v>0</v>
      </c>
      <c r="G1102" s="13">
        <f t="shared" si="119"/>
        <v>91</v>
      </c>
      <c r="H1102" s="21">
        <f t="shared" si="120"/>
        <v>0</v>
      </c>
      <c r="I1102" s="21">
        <f>IF(OR(B1102="",C1102="",$V$1=""),"",MIN(E1102,SUMIFS('03_Planificacion'!$G$99:$G$178,'03_Planificacion'!$E$99:$E$178,B1102,'03_Planificacion'!$F$99:$F$178,C1102,'03_Planificacion'!$D$99:$D$178,"&lt;="&amp;$V$1)))</f>
        <v>0</v>
      </c>
      <c r="J1102" s="21">
        <f t="shared" si="121"/>
        <v>0</v>
      </c>
      <c r="K1102" s="6">
        <f t="shared" si="122"/>
        <v>0</v>
      </c>
      <c r="L1102" t="s">
        <v>68</v>
      </c>
      <c r="P1102" s="5">
        <f t="shared" si="123"/>
        <v>46287</v>
      </c>
      <c r="Q1102" t="s">
        <v>125</v>
      </c>
      <c r="R1102">
        <v>110</v>
      </c>
      <c r="S1102" t="s">
        <v>70</v>
      </c>
      <c r="T1102" t="str">
        <f t="shared" si="124"/>
        <v/>
      </c>
      <c r="U1102" t="str">
        <f>IF(AND(L1102="Para Programar",G1102&gt;0),COUNTIFS($L$5:L1102,"Para Programar",$G$5:G1102,"&gt;0"),"")</f>
        <v/>
      </c>
      <c r="W1102" t="str">
        <f t="shared" si="125"/>
        <v>N6 - N9|10 Relleno -0,60 - Humectación</v>
      </c>
      <c r="X1102">
        <v>0</v>
      </c>
    </row>
    <row r="1103" spans="1:24">
      <c r="A1103" t="s">
        <v>106</v>
      </c>
      <c r="B1103" s="14" t="s">
        <v>184</v>
      </c>
      <c r="C1103" t="s">
        <v>107</v>
      </c>
      <c r="D1103" s="13" t="s">
        <v>67</v>
      </c>
      <c r="E1103" s="13">
        <v>91</v>
      </c>
      <c r="F1103" s="13">
        <f>IF(E1103="","",MIN(E1103,$X1103+SUMIFS('05_Parte_Diario'!$H$5:$H$204,'05_Parte_Diario'!$D$5:$D$204,B1103,'05_Parte_Diario'!$E$5:$E$204,C1103)))</f>
        <v>0</v>
      </c>
      <c r="G1103" s="13">
        <f t="shared" si="119"/>
        <v>91</v>
      </c>
      <c r="H1103" s="21">
        <f t="shared" si="120"/>
        <v>0</v>
      </c>
      <c r="I1103" s="21">
        <f>IF(OR(B1103="",C1103="",$V$1=""),"",MIN(E1103,SUMIFS('03_Planificacion'!$G$99:$G$178,'03_Planificacion'!$E$99:$E$178,B1103,'03_Planificacion'!$F$99:$F$178,C1103,'03_Planificacion'!$D$99:$D$178,"&lt;="&amp;$V$1)))</f>
        <v>0</v>
      </c>
      <c r="J1103" s="21">
        <f t="shared" si="121"/>
        <v>0</v>
      </c>
      <c r="K1103" s="6">
        <f t="shared" si="122"/>
        <v>0</v>
      </c>
      <c r="L1103" t="s">
        <v>68</v>
      </c>
      <c r="P1103" s="5">
        <f t="shared" si="123"/>
        <v>46287</v>
      </c>
      <c r="Q1103" t="s">
        <v>125</v>
      </c>
      <c r="R1103">
        <v>110</v>
      </c>
      <c r="S1103" t="s">
        <v>70</v>
      </c>
      <c r="T1103" t="str">
        <f t="shared" si="124"/>
        <v/>
      </c>
      <c r="U1103" t="str">
        <f>IF(AND(L1103="Para Programar",G1103&gt;0),COUNTIFS($L$5:L1103,"Para Programar",$G$5:G1103,"&gt;0"),"")</f>
        <v/>
      </c>
      <c r="W1103" t="str">
        <f t="shared" si="125"/>
        <v>N6 - N9|10 Relleno -0,60 - Compactación</v>
      </c>
      <c r="X1103">
        <v>0</v>
      </c>
    </row>
    <row r="1104" spans="1:24">
      <c r="A1104" t="s">
        <v>108</v>
      </c>
      <c r="B1104" s="14" t="s">
        <v>184</v>
      </c>
      <c r="C1104" t="s">
        <v>109</v>
      </c>
      <c r="D1104" s="13" t="s">
        <v>81</v>
      </c>
      <c r="E1104" s="13">
        <v>1</v>
      </c>
      <c r="F1104" s="13">
        <f>IF(E1104="","",MIN(E1104,$X1104+SUMIFS('05_Parte_Diario'!$H$5:$H$204,'05_Parte_Diario'!$D$5:$D$204,B1104,'05_Parte_Diario'!$E$5:$E$204,C1104)))</f>
        <v>0</v>
      </c>
      <c r="G1104" s="13">
        <f t="shared" si="119"/>
        <v>1</v>
      </c>
      <c r="H1104" s="21">
        <f t="shared" si="120"/>
        <v>0</v>
      </c>
      <c r="I1104" s="21">
        <f>IF(OR(B1104="",C1104="",$V$1=""),"",MIN(E1104,SUMIFS('03_Planificacion'!$G$99:$G$178,'03_Planificacion'!$E$99:$E$178,B1104,'03_Planificacion'!$F$99:$F$178,C1104,'03_Planificacion'!$D$99:$D$178,"&lt;="&amp;$V$1)))</f>
        <v>0</v>
      </c>
      <c r="J1104" s="21">
        <f t="shared" si="121"/>
        <v>0</v>
      </c>
      <c r="K1104" s="6">
        <f t="shared" si="122"/>
        <v>0</v>
      </c>
      <c r="L1104" t="s">
        <v>68</v>
      </c>
      <c r="P1104" s="5">
        <f t="shared" si="123"/>
        <v>46287</v>
      </c>
      <c r="Q1104" t="s">
        <v>125</v>
      </c>
      <c r="R1104">
        <v>110</v>
      </c>
      <c r="S1104" t="s">
        <v>70</v>
      </c>
      <c r="T1104" t="str">
        <f t="shared" si="124"/>
        <v/>
      </c>
      <c r="U1104" t="str">
        <f>IF(AND(L1104="Para Programar",G1104&gt;0),COUNTIFS($L$5:L1104,"Para Programar",$G$5:G1104,"&gt;0"),"")</f>
        <v/>
      </c>
      <c r="W1104" t="str">
        <f t="shared" si="125"/>
        <v>N6 - N9|10 Relleno -0,60 - Inspección laboratorio</v>
      </c>
      <c r="X1104">
        <v>0</v>
      </c>
    </row>
    <row r="1105" spans="1:24">
      <c r="A1105" t="s">
        <v>110</v>
      </c>
      <c r="B1105" s="14" t="s">
        <v>184</v>
      </c>
      <c r="C1105" t="s">
        <v>111</v>
      </c>
      <c r="D1105" s="13" t="s">
        <v>67</v>
      </c>
      <c r="E1105" s="13">
        <v>91</v>
      </c>
      <c r="F1105" s="13">
        <f>IF(E1105="","",MIN(E1105,$X1105+SUMIFS('05_Parte_Diario'!$H$5:$H$204,'05_Parte_Diario'!$D$5:$D$204,B1105,'05_Parte_Diario'!$E$5:$E$204,C1105)))</f>
        <v>0</v>
      </c>
      <c r="G1105" s="13">
        <f t="shared" si="119"/>
        <v>91</v>
      </c>
      <c r="H1105" s="21">
        <f t="shared" si="120"/>
        <v>0</v>
      </c>
      <c r="I1105" s="21">
        <f>IF(OR(B1105="",C1105="",$V$1=""),"",MIN(E1105,SUMIFS('03_Planificacion'!$G$99:$G$178,'03_Planificacion'!$E$99:$E$178,B1105,'03_Planificacion'!$F$99:$F$178,C1105,'03_Planificacion'!$D$99:$D$178,"&lt;="&amp;$V$1)))</f>
        <v>0</v>
      </c>
      <c r="J1105" s="21">
        <f t="shared" si="121"/>
        <v>0</v>
      </c>
      <c r="K1105" s="6">
        <f t="shared" si="122"/>
        <v>0</v>
      </c>
      <c r="L1105" t="s">
        <v>68</v>
      </c>
      <c r="P1105" s="5">
        <f t="shared" si="123"/>
        <v>46287</v>
      </c>
      <c r="Q1105" t="s">
        <v>125</v>
      </c>
      <c r="R1105">
        <v>110</v>
      </c>
      <c r="S1105" t="s">
        <v>70</v>
      </c>
      <c r="T1105" t="str">
        <f t="shared" si="124"/>
        <v/>
      </c>
      <c r="U1105" t="str">
        <f>IF(AND(L1105="Para Programar",G1105&gt;0),COUNTIFS($L$5:L1105,"Para Programar",$G$5:G1105,"&gt;0"),"")</f>
        <v/>
      </c>
      <c r="W1105" t="str">
        <f t="shared" si="125"/>
        <v>N6 - N9|11 Relleno -0,30 - Conformación de capa</v>
      </c>
      <c r="X1105">
        <v>0</v>
      </c>
    </row>
    <row r="1106" spans="1:24">
      <c r="A1106" t="s">
        <v>112</v>
      </c>
      <c r="B1106" s="14" t="s">
        <v>184</v>
      </c>
      <c r="C1106" t="s">
        <v>113</v>
      </c>
      <c r="D1106" s="13" t="s">
        <v>67</v>
      </c>
      <c r="E1106" s="13">
        <v>91</v>
      </c>
      <c r="F1106" s="13">
        <f>IF(E1106="","",MIN(E1106,$X1106+SUMIFS('05_Parte_Diario'!$H$5:$H$204,'05_Parte_Diario'!$D$5:$D$204,B1106,'05_Parte_Diario'!$E$5:$E$204,C1106)))</f>
        <v>0</v>
      </c>
      <c r="G1106" s="13">
        <f t="shared" si="119"/>
        <v>91</v>
      </c>
      <c r="H1106" s="21">
        <f t="shared" si="120"/>
        <v>0</v>
      </c>
      <c r="I1106" s="21">
        <f>IF(OR(B1106="",C1106="",$V$1=""),"",MIN(E1106,SUMIFS('03_Planificacion'!$G$99:$G$178,'03_Planificacion'!$E$99:$E$178,B1106,'03_Planificacion'!$F$99:$F$178,C1106,'03_Planificacion'!$D$99:$D$178,"&lt;="&amp;$V$1)))</f>
        <v>0</v>
      </c>
      <c r="J1106" s="21">
        <f t="shared" si="121"/>
        <v>0</v>
      </c>
      <c r="K1106" s="6">
        <f t="shared" si="122"/>
        <v>0</v>
      </c>
      <c r="L1106" t="s">
        <v>68</v>
      </c>
      <c r="P1106" s="5">
        <f t="shared" si="123"/>
        <v>46287</v>
      </c>
      <c r="Q1106" t="s">
        <v>125</v>
      </c>
      <c r="R1106">
        <v>110</v>
      </c>
      <c r="S1106" t="s">
        <v>70</v>
      </c>
      <c r="T1106" t="str">
        <f t="shared" si="124"/>
        <v/>
      </c>
      <c r="U1106" t="str">
        <f>IF(AND(L1106="Para Programar",G1106&gt;0),COUNTIFS($L$5:L1106,"Para Programar",$G$5:G1106,"&gt;0"),"")</f>
        <v/>
      </c>
      <c r="W1106" t="str">
        <f t="shared" si="125"/>
        <v>N6 - N9|11 Relleno -0,30 - Humectación</v>
      </c>
      <c r="X1106">
        <v>0</v>
      </c>
    </row>
    <row r="1107" spans="1:24">
      <c r="A1107" t="s">
        <v>114</v>
      </c>
      <c r="B1107" s="14" t="s">
        <v>184</v>
      </c>
      <c r="C1107" t="s">
        <v>115</v>
      </c>
      <c r="D1107" s="13" t="s">
        <v>67</v>
      </c>
      <c r="E1107" s="13">
        <v>91</v>
      </c>
      <c r="F1107" s="13">
        <f>IF(E1107="","",MIN(E1107,$X1107+SUMIFS('05_Parte_Diario'!$H$5:$H$204,'05_Parte_Diario'!$D$5:$D$204,B1107,'05_Parte_Diario'!$E$5:$E$204,C1107)))</f>
        <v>0</v>
      </c>
      <c r="G1107" s="13">
        <f t="shared" si="119"/>
        <v>91</v>
      </c>
      <c r="H1107" s="21">
        <f t="shared" si="120"/>
        <v>0</v>
      </c>
      <c r="I1107" s="21">
        <f>IF(OR(B1107="",C1107="",$V$1=""),"",MIN(E1107,SUMIFS('03_Planificacion'!$G$99:$G$178,'03_Planificacion'!$E$99:$E$178,B1107,'03_Planificacion'!$F$99:$F$178,C1107,'03_Planificacion'!$D$99:$D$178,"&lt;="&amp;$V$1)))</f>
        <v>0</v>
      </c>
      <c r="J1107" s="21">
        <f t="shared" si="121"/>
        <v>0</v>
      </c>
      <c r="K1107" s="6">
        <f t="shared" si="122"/>
        <v>0</v>
      </c>
      <c r="L1107" t="s">
        <v>68</v>
      </c>
      <c r="P1107" s="5">
        <f t="shared" si="123"/>
        <v>46287</v>
      </c>
      <c r="Q1107" t="s">
        <v>125</v>
      </c>
      <c r="R1107">
        <v>110</v>
      </c>
      <c r="S1107" t="s">
        <v>70</v>
      </c>
      <c r="T1107" t="str">
        <f t="shared" si="124"/>
        <v/>
      </c>
      <c r="U1107" t="str">
        <f>IF(AND(L1107="Para Programar",G1107&gt;0),COUNTIFS($L$5:L1107,"Para Programar",$G$5:G1107,"&gt;0"),"")</f>
        <v/>
      </c>
      <c r="W1107" t="str">
        <f t="shared" si="125"/>
        <v>N6 - N9|11 Relleno -0,30 - Compactación</v>
      </c>
      <c r="X1107">
        <v>0</v>
      </c>
    </row>
    <row r="1108" spans="1:24">
      <c r="A1108" t="s">
        <v>116</v>
      </c>
      <c r="B1108" s="14" t="s">
        <v>184</v>
      </c>
      <c r="C1108" t="s">
        <v>117</v>
      </c>
      <c r="D1108" s="13" t="s">
        <v>81</v>
      </c>
      <c r="E1108" s="13">
        <v>1</v>
      </c>
      <c r="F1108" s="13">
        <f>IF(E1108="","",MIN(E1108,$X1108+SUMIFS('05_Parte_Diario'!$H$5:$H$204,'05_Parte_Diario'!$D$5:$D$204,B1108,'05_Parte_Diario'!$E$5:$E$204,C1108)))</f>
        <v>0</v>
      </c>
      <c r="G1108" s="13">
        <f t="shared" si="119"/>
        <v>1</v>
      </c>
      <c r="H1108" s="21">
        <f t="shared" si="120"/>
        <v>0</v>
      </c>
      <c r="I1108" s="21">
        <f>IF(OR(B1108="",C1108="",$V$1=""),"",MIN(E1108,SUMIFS('03_Planificacion'!$G$99:$G$178,'03_Planificacion'!$E$99:$E$178,B1108,'03_Planificacion'!$F$99:$F$178,C1108,'03_Planificacion'!$D$99:$D$178,"&lt;="&amp;$V$1)))</f>
        <v>0</v>
      </c>
      <c r="J1108" s="21">
        <f t="shared" si="121"/>
        <v>0</v>
      </c>
      <c r="K1108" s="6">
        <f t="shared" si="122"/>
        <v>0</v>
      </c>
      <c r="L1108" t="s">
        <v>68</v>
      </c>
      <c r="P1108" s="5">
        <f t="shared" si="123"/>
        <v>46287</v>
      </c>
      <c r="Q1108" t="s">
        <v>125</v>
      </c>
      <c r="R1108">
        <v>110</v>
      </c>
      <c r="S1108" t="s">
        <v>70</v>
      </c>
      <c r="T1108" t="str">
        <f t="shared" si="124"/>
        <v/>
      </c>
      <c r="U1108" t="str">
        <f>IF(AND(L1108="Para Programar",G1108&gt;0),COUNTIFS($L$5:L1108,"Para Programar",$G$5:G1108,"&gt;0"),"")</f>
        <v/>
      </c>
      <c r="W1108" t="str">
        <f t="shared" si="125"/>
        <v>N6 - N9|11 Relleno -0,30 - Inspección laboratorio</v>
      </c>
      <c r="X1108">
        <v>0</v>
      </c>
    </row>
    <row r="1109" spans="1:24">
      <c r="A1109" t="s">
        <v>64</v>
      </c>
      <c r="B1109" s="14" t="s">
        <v>185</v>
      </c>
      <c r="C1109" t="s">
        <v>66</v>
      </c>
      <c r="D1109" s="13" t="s">
        <v>67</v>
      </c>
      <c r="E1109" s="13">
        <v>80</v>
      </c>
      <c r="F1109" s="13">
        <f>IF(E1109="","",MIN(E1109,$X1109+SUMIFS('05_Parte_Diario'!$H$5:$H$204,'05_Parte_Diario'!$D$5:$D$204,B1109,'05_Parte_Diario'!$E$5:$E$204,C1109)))</f>
        <v>0</v>
      </c>
      <c r="G1109" s="13">
        <f t="shared" si="119"/>
        <v>80</v>
      </c>
      <c r="H1109" s="21">
        <f t="shared" si="120"/>
        <v>0</v>
      </c>
      <c r="I1109" s="21">
        <f>IF(OR(B1109="",C1109="",$V$1=""),"",MIN(E1109,SUMIFS('03_Planificacion'!$G$99:$G$178,'03_Planificacion'!$E$99:$E$178,B1109,'03_Planificacion'!$F$99:$F$178,C1109,'03_Planificacion'!$D$99:$D$178,"&lt;="&amp;$V$1)))</f>
        <v>0</v>
      </c>
      <c r="J1109" s="21">
        <f t="shared" si="121"/>
        <v>0</v>
      </c>
      <c r="K1109" s="6">
        <f t="shared" si="122"/>
        <v>0</v>
      </c>
      <c r="L1109" t="s">
        <v>68</v>
      </c>
      <c r="P1109" s="5">
        <f t="shared" si="123"/>
        <v>46287</v>
      </c>
      <c r="Q1109" t="s">
        <v>129</v>
      </c>
      <c r="R1109">
        <v>75</v>
      </c>
      <c r="S1109" t="s">
        <v>70</v>
      </c>
      <c r="T1109" t="str">
        <f t="shared" si="124"/>
        <v/>
      </c>
      <c r="U1109" t="str">
        <f>IF(AND(L1109="Para Programar",G1109&gt;0),COUNTIFS($L$5:L1109,"Para Programar",$G$5:G1109,"&gt;0"),"")</f>
        <v/>
      </c>
      <c r="W1109" t="str">
        <f t="shared" si="125"/>
        <v>N7 - N11|01 Replanteo - Marcación de tramo de cañería principal</v>
      </c>
      <c r="X1109">
        <v>0</v>
      </c>
    </row>
    <row r="1110" spans="1:24">
      <c r="A1110" t="s">
        <v>71</v>
      </c>
      <c r="B1110" s="14" t="s">
        <v>185</v>
      </c>
      <c r="C1110" t="s">
        <v>72</v>
      </c>
      <c r="D1110" s="13" t="s">
        <v>67</v>
      </c>
      <c r="E1110" s="13">
        <v>80</v>
      </c>
      <c r="F1110" s="13">
        <f>IF(E1110="","",MIN(E1110,$X1110+SUMIFS('05_Parte_Diario'!$H$5:$H$204,'05_Parte_Diario'!$D$5:$D$204,B1110,'05_Parte_Diario'!$E$5:$E$204,C1110)))</f>
        <v>0</v>
      </c>
      <c r="G1110" s="13">
        <f t="shared" si="119"/>
        <v>80</v>
      </c>
      <c r="H1110" s="21">
        <f t="shared" si="120"/>
        <v>0</v>
      </c>
      <c r="I1110" s="21">
        <f>IF(OR(B1110="",C1110="",$V$1=""),"",MIN(E1110,SUMIFS('03_Planificacion'!$G$99:$G$178,'03_Planificacion'!$E$99:$E$178,B1110,'03_Planificacion'!$F$99:$F$178,C1110,'03_Planificacion'!$D$99:$D$178,"&lt;="&amp;$V$1)))</f>
        <v>0</v>
      </c>
      <c r="J1110" s="21">
        <f t="shared" si="121"/>
        <v>0</v>
      </c>
      <c r="K1110" s="6">
        <f t="shared" si="122"/>
        <v>0</v>
      </c>
      <c r="L1110" t="s">
        <v>68</v>
      </c>
      <c r="P1110" s="5">
        <f t="shared" si="123"/>
        <v>46287</v>
      </c>
      <c r="Q1110" t="s">
        <v>129</v>
      </c>
      <c r="R1110">
        <v>75</v>
      </c>
      <c r="S1110" t="s">
        <v>70</v>
      </c>
      <c r="T1110" t="str">
        <f t="shared" si="124"/>
        <v/>
      </c>
      <c r="U1110" t="str">
        <f>IF(AND(L1110="Para Programar",G1110&gt;0),COUNTIFS($L$5:L1110,"Para Programar",$G$5:G1110,"&gt;0"),"")</f>
        <v/>
      </c>
      <c r="W1110" t="str">
        <f t="shared" si="125"/>
        <v>N7 - N11|02 Excavación - Zanja principal</v>
      </c>
      <c r="X1110">
        <v>0</v>
      </c>
    </row>
    <row r="1111" spans="1:24">
      <c r="A1111" t="s">
        <v>73</v>
      </c>
      <c r="B1111" s="14" t="s">
        <v>185</v>
      </c>
      <c r="C1111" t="s">
        <v>74</v>
      </c>
      <c r="D1111" s="13" t="s">
        <v>67</v>
      </c>
      <c r="E1111" s="13">
        <v>80</v>
      </c>
      <c r="F1111" s="13">
        <f>IF(E1111="","",MIN(E1111,$X1111+SUMIFS('05_Parte_Diario'!$H$5:$H$204,'05_Parte_Diario'!$D$5:$D$204,B1111,'05_Parte_Diario'!$E$5:$E$204,C1111)))</f>
        <v>0</v>
      </c>
      <c r="G1111" s="13">
        <f t="shared" si="119"/>
        <v>80</v>
      </c>
      <c r="H1111" s="21">
        <f t="shared" si="120"/>
        <v>0</v>
      </c>
      <c r="I1111" s="21">
        <f>IF(OR(B1111="",C1111="",$V$1=""),"",MIN(E1111,SUMIFS('03_Planificacion'!$G$99:$G$178,'03_Planificacion'!$E$99:$E$178,B1111,'03_Planificacion'!$F$99:$F$178,C1111,'03_Planificacion'!$D$99:$D$178,"&lt;="&amp;$V$1)))</f>
        <v>0</v>
      </c>
      <c r="J1111" s="21">
        <f t="shared" si="121"/>
        <v>0</v>
      </c>
      <c r="K1111" s="6">
        <f t="shared" si="122"/>
        <v>0</v>
      </c>
      <c r="L1111" t="s">
        <v>68</v>
      </c>
      <c r="P1111" s="5">
        <f t="shared" si="123"/>
        <v>46287</v>
      </c>
      <c r="Q1111" t="s">
        <v>129</v>
      </c>
      <c r="R1111">
        <v>75</v>
      </c>
      <c r="S1111" t="s">
        <v>70</v>
      </c>
      <c r="T1111" t="str">
        <f t="shared" si="124"/>
        <v/>
      </c>
      <c r="U1111" t="str">
        <f>IF(AND(L1111="Para Programar",G1111&gt;0),COUNTIFS($L$5:L1111,"Para Programar",$G$5:G1111,"&gt;0"),"")</f>
        <v/>
      </c>
      <c r="W1111" t="str">
        <f t="shared" si="125"/>
        <v>N7 - N11|03 Base de asiento - Nivelación de fondo de zanja</v>
      </c>
      <c r="X1111">
        <v>0</v>
      </c>
    </row>
    <row r="1112" spans="1:24">
      <c r="A1112" t="s">
        <v>75</v>
      </c>
      <c r="B1112" s="14" t="s">
        <v>185</v>
      </c>
      <c r="C1112" t="s">
        <v>76</v>
      </c>
      <c r="D1112" s="13" t="s">
        <v>67</v>
      </c>
      <c r="E1112" s="13">
        <v>80</v>
      </c>
      <c r="F1112" s="13">
        <f>IF(E1112="","",MIN(E1112,$X1112+SUMIFS('05_Parte_Diario'!$H$5:$H$204,'05_Parte_Diario'!$D$5:$D$204,B1112,'05_Parte_Diario'!$E$5:$E$204,C1112)))</f>
        <v>0</v>
      </c>
      <c r="G1112" s="13">
        <f t="shared" si="119"/>
        <v>80</v>
      </c>
      <c r="H1112" s="21">
        <f t="shared" si="120"/>
        <v>0</v>
      </c>
      <c r="I1112" s="21">
        <f>IF(OR(B1112="",C1112="",$V$1=""),"",MIN(E1112,SUMIFS('03_Planificacion'!$G$99:$G$178,'03_Planificacion'!$E$99:$E$178,B1112,'03_Planificacion'!$F$99:$F$178,C1112,'03_Planificacion'!$D$99:$D$178,"&lt;="&amp;$V$1)))</f>
        <v>0</v>
      </c>
      <c r="J1112" s="21">
        <f t="shared" si="121"/>
        <v>0</v>
      </c>
      <c r="K1112" s="6">
        <f t="shared" si="122"/>
        <v>0</v>
      </c>
      <c r="L1112" t="s">
        <v>68</v>
      </c>
      <c r="P1112" s="5">
        <f t="shared" si="123"/>
        <v>46287</v>
      </c>
      <c r="Q1112" t="s">
        <v>129</v>
      </c>
      <c r="R1112">
        <v>75</v>
      </c>
      <c r="S1112" t="s">
        <v>70</v>
      </c>
      <c r="T1112" t="str">
        <f t="shared" si="124"/>
        <v/>
      </c>
      <c r="U1112" t="str">
        <f>IF(AND(L1112="Para Programar",G1112&gt;0),COUNTIFS($L$5:L1112,"Para Programar",$G$5:G1112,"&gt;0"),"")</f>
        <v/>
      </c>
      <c r="W1112" t="str">
        <f t="shared" si="125"/>
        <v>N7 - N11|03 Base de asiento - Aporte de material base e=0,10 m</v>
      </c>
      <c r="X1112">
        <v>0</v>
      </c>
    </row>
    <row r="1113" spans="1:24">
      <c r="A1113" t="s">
        <v>77</v>
      </c>
      <c r="B1113" s="14" t="s">
        <v>185</v>
      </c>
      <c r="C1113" t="s">
        <v>78</v>
      </c>
      <c r="D1113" s="13" t="s">
        <v>67</v>
      </c>
      <c r="E1113" s="13">
        <v>80</v>
      </c>
      <c r="F1113" s="13">
        <f>IF(E1113="","",MIN(E1113,$X1113+SUMIFS('05_Parte_Diario'!$H$5:$H$204,'05_Parte_Diario'!$D$5:$D$204,B1113,'05_Parte_Diario'!$E$5:$E$204,C1113)))</f>
        <v>0</v>
      </c>
      <c r="G1113" s="13">
        <f t="shared" si="119"/>
        <v>80</v>
      </c>
      <c r="H1113" s="21">
        <f t="shared" si="120"/>
        <v>0</v>
      </c>
      <c r="I1113" s="21">
        <f>IF(OR(B1113="",C1113="",$V$1=""),"",MIN(E1113,SUMIFS('03_Planificacion'!$G$99:$G$178,'03_Planificacion'!$E$99:$E$178,B1113,'03_Planificacion'!$F$99:$F$178,C1113,'03_Planificacion'!$D$99:$D$178,"&lt;="&amp;$V$1)))</f>
        <v>0</v>
      </c>
      <c r="J1113" s="21">
        <f t="shared" si="121"/>
        <v>0</v>
      </c>
      <c r="K1113" s="6">
        <f t="shared" si="122"/>
        <v>0</v>
      </c>
      <c r="L1113" t="s">
        <v>68</v>
      </c>
      <c r="P1113" s="5">
        <f t="shared" si="123"/>
        <v>46287</v>
      </c>
      <c r="Q1113" t="s">
        <v>129</v>
      </c>
      <c r="R1113">
        <v>75</v>
      </c>
      <c r="S1113" t="s">
        <v>70</v>
      </c>
      <c r="T1113" t="str">
        <f t="shared" si="124"/>
        <v/>
      </c>
      <c r="U1113" t="str">
        <f>IF(AND(L1113="Para Programar",G1113&gt;0),COUNTIFS($L$5:L1113,"Para Programar",$G$5:G1113,"&gt;0"),"")</f>
        <v/>
      </c>
      <c r="W1113" t="str">
        <f t="shared" si="125"/>
        <v>N7 - N11|03 Base de asiento - Compactación</v>
      </c>
      <c r="X1113">
        <v>0</v>
      </c>
    </row>
    <row r="1114" spans="1:24">
      <c r="A1114" t="s">
        <v>79</v>
      </c>
      <c r="B1114" s="14" t="s">
        <v>185</v>
      </c>
      <c r="C1114" t="s">
        <v>80</v>
      </c>
      <c r="D1114" s="13" t="s">
        <v>81</v>
      </c>
      <c r="E1114" s="13">
        <v>1</v>
      </c>
      <c r="F1114" s="13">
        <f>IF(E1114="","",MIN(E1114,$X1114+SUMIFS('05_Parte_Diario'!$H$5:$H$204,'05_Parte_Diario'!$D$5:$D$204,B1114,'05_Parte_Diario'!$E$5:$E$204,C1114)))</f>
        <v>0</v>
      </c>
      <c r="G1114" s="13">
        <f t="shared" si="119"/>
        <v>1</v>
      </c>
      <c r="H1114" s="21">
        <f t="shared" si="120"/>
        <v>0</v>
      </c>
      <c r="I1114" s="21">
        <f>IF(OR(B1114="",C1114="",$V$1=""),"",MIN(E1114,SUMIFS('03_Planificacion'!$G$99:$G$178,'03_Planificacion'!$E$99:$E$178,B1114,'03_Planificacion'!$F$99:$F$178,C1114,'03_Planificacion'!$D$99:$D$178,"&lt;="&amp;$V$1)))</f>
        <v>0</v>
      </c>
      <c r="J1114" s="21">
        <f t="shared" si="121"/>
        <v>0</v>
      </c>
      <c r="K1114" s="6">
        <f t="shared" si="122"/>
        <v>0</v>
      </c>
      <c r="L1114" t="s">
        <v>68</v>
      </c>
      <c r="P1114" s="5">
        <f t="shared" si="123"/>
        <v>46287</v>
      </c>
      <c r="Q1114" t="s">
        <v>129</v>
      </c>
      <c r="R1114">
        <v>75</v>
      </c>
      <c r="S1114" t="s">
        <v>70</v>
      </c>
      <c r="T1114" t="str">
        <f t="shared" si="124"/>
        <v/>
      </c>
      <c r="U1114" t="str">
        <f>IF(AND(L1114="Para Programar",G1114&gt;0),COUNTIFS($L$5:L1114,"Para Programar",$G$5:G1114,"&gt;0"),"")</f>
        <v/>
      </c>
      <c r="W1114" t="str">
        <f t="shared" si="125"/>
        <v>N7 - N11|04 Inspecciones previas - Laboratorio base de asiento</v>
      </c>
      <c r="X1114">
        <v>0</v>
      </c>
    </row>
    <row r="1115" spans="1:24">
      <c r="A1115" t="s">
        <v>82</v>
      </c>
      <c r="B1115" s="14" t="s">
        <v>185</v>
      </c>
      <c r="C1115" t="s">
        <v>83</v>
      </c>
      <c r="D1115" s="13" t="s">
        <v>81</v>
      </c>
      <c r="E1115" s="13">
        <v>1</v>
      </c>
      <c r="F1115" s="13">
        <f>IF(E1115="","",MIN(E1115,$X1115+SUMIFS('05_Parte_Diario'!$H$5:$H$204,'05_Parte_Diario'!$D$5:$D$204,B1115,'05_Parte_Diario'!$E$5:$E$204,C1115)))</f>
        <v>0</v>
      </c>
      <c r="G1115" s="13">
        <f t="shared" si="119"/>
        <v>1</v>
      </c>
      <c r="H1115" s="21">
        <f t="shared" si="120"/>
        <v>0</v>
      </c>
      <c r="I1115" s="21">
        <f>IF(OR(B1115="",C1115="",$V$1=""),"",MIN(E1115,SUMIFS('03_Planificacion'!$G$99:$G$178,'03_Planificacion'!$E$99:$E$178,B1115,'03_Planificacion'!$F$99:$F$178,C1115,'03_Planificacion'!$D$99:$D$178,"&lt;="&amp;$V$1)))</f>
        <v>0</v>
      </c>
      <c r="J1115" s="21">
        <f t="shared" si="121"/>
        <v>0</v>
      </c>
      <c r="K1115" s="6">
        <f t="shared" si="122"/>
        <v>0</v>
      </c>
      <c r="L1115" t="s">
        <v>68</v>
      </c>
      <c r="P1115" s="5">
        <f t="shared" si="123"/>
        <v>46287</v>
      </c>
      <c r="Q1115" t="s">
        <v>129</v>
      </c>
      <c r="R1115">
        <v>75</v>
      </c>
      <c r="S1115" t="s">
        <v>70</v>
      </c>
      <c r="T1115" t="str">
        <f t="shared" si="124"/>
        <v/>
      </c>
      <c r="U1115" t="str">
        <f>IF(AND(L1115="Para Programar",G1115&gt;0),COUNTIFS($L$5:L1115,"Para Programar",$G$5:G1115,"&gt;0"),"")</f>
        <v/>
      </c>
      <c r="W1115" t="str">
        <f t="shared" si="125"/>
        <v>N7 - N11|04 Inspecciones previas - Zanja y materiales</v>
      </c>
      <c r="X1115">
        <v>0</v>
      </c>
    </row>
    <row r="1116" spans="1:24">
      <c r="A1116" t="s">
        <v>84</v>
      </c>
      <c r="B1116" s="14" t="s">
        <v>185</v>
      </c>
      <c r="C1116" t="s">
        <v>85</v>
      </c>
      <c r="D1116" s="13" t="s">
        <v>67</v>
      </c>
      <c r="E1116" s="13">
        <v>80</v>
      </c>
      <c r="F1116" s="13">
        <f>IF(E1116="","",MIN(E1116,$X1116+SUMIFS('05_Parte_Diario'!$H$5:$H$204,'05_Parte_Diario'!$D$5:$D$204,B1116,'05_Parte_Diario'!$E$5:$E$204,C1116)))</f>
        <v>0</v>
      </c>
      <c r="G1116" s="13">
        <f t="shared" si="119"/>
        <v>80</v>
      </c>
      <c r="H1116" s="21">
        <f t="shared" si="120"/>
        <v>0</v>
      </c>
      <c r="I1116" s="21">
        <f>IF(OR(B1116="",C1116="",$V$1=""),"",MIN(E1116,SUMIFS('03_Planificacion'!$G$99:$G$178,'03_Planificacion'!$E$99:$E$178,B1116,'03_Planificacion'!$F$99:$F$178,C1116,'03_Planificacion'!$D$99:$D$178,"&lt;="&amp;$V$1)))</f>
        <v>0</v>
      </c>
      <c r="J1116" s="21">
        <f t="shared" si="121"/>
        <v>0</v>
      </c>
      <c r="K1116" s="6">
        <f t="shared" si="122"/>
        <v>0</v>
      </c>
      <c r="L1116" t="s">
        <v>68</v>
      </c>
      <c r="P1116" s="5">
        <f t="shared" si="123"/>
        <v>46287</v>
      </c>
      <c r="Q1116" t="s">
        <v>129</v>
      </c>
      <c r="R1116">
        <v>75</v>
      </c>
      <c r="S1116" t="s">
        <v>70</v>
      </c>
      <c r="T1116" t="str">
        <f t="shared" si="124"/>
        <v/>
      </c>
      <c r="U1116" t="str">
        <f>IF(AND(L1116="Para Programar",G1116&gt;0),COUNTIFS($L$5:L1116,"Para Programar",$G$5:G1116,"&gt;0"),"")</f>
        <v/>
      </c>
      <c r="W1116" t="str">
        <f t="shared" si="125"/>
        <v>N7 - N11|05 Tendido de cañería - Cañería principal</v>
      </c>
      <c r="X1116">
        <v>0</v>
      </c>
    </row>
    <row r="1117" spans="1:24">
      <c r="A1117" t="s">
        <v>86</v>
      </c>
      <c r="B1117" s="14" t="s">
        <v>185</v>
      </c>
      <c r="C1117" t="s">
        <v>87</v>
      </c>
      <c r="D1117" s="13" t="s">
        <v>67</v>
      </c>
      <c r="E1117" s="13">
        <v>80</v>
      </c>
      <c r="F1117" s="13">
        <f>IF(E1117="","",MIN(E1117,$X1117+SUMIFS('05_Parte_Diario'!$H$5:$H$204,'05_Parte_Diario'!$D$5:$D$204,B1117,'05_Parte_Diario'!$E$5:$E$204,C1117)))</f>
        <v>0</v>
      </c>
      <c r="G1117" s="13">
        <f t="shared" si="119"/>
        <v>80</v>
      </c>
      <c r="H1117" s="21">
        <f t="shared" si="120"/>
        <v>0</v>
      </c>
      <c r="I1117" s="21">
        <f>IF(OR(B1117="",C1117="",$V$1=""),"",MIN(E1117,SUMIFS('03_Planificacion'!$G$99:$G$178,'03_Planificacion'!$E$99:$E$178,B1117,'03_Planificacion'!$F$99:$F$178,C1117,'03_Planificacion'!$D$99:$D$178,"&lt;="&amp;$V$1)))</f>
        <v>0</v>
      </c>
      <c r="J1117" s="21">
        <f t="shared" si="121"/>
        <v>0</v>
      </c>
      <c r="K1117" s="6">
        <f t="shared" si="122"/>
        <v>0</v>
      </c>
      <c r="L1117" t="s">
        <v>68</v>
      </c>
      <c r="P1117" s="5">
        <f t="shared" si="123"/>
        <v>46287</v>
      </c>
      <c r="Q1117" t="s">
        <v>129</v>
      </c>
      <c r="R1117">
        <v>75</v>
      </c>
      <c r="S1117" t="s">
        <v>70</v>
      </c>
      <c r="T1117" t="str">
        <f t="shared" si="124"/>
        <v/>
      </c>
      <c r="U1117" t="str">
        <f>IF(AND(L1117="Para Programar",G1117&gt;0),COUNTIFS($L$5:L1117,"Para Programar",$G$5:G1117,"&gt;0"),"")</f>
        <v/>
      </c>
      <c r="W1117" t="str">
        <f t="shared" si="125"/>
        <v>N7 - N11|05 Tendido de cañería - Relevamiento planialtimétrico</v>
      </c>
      <c r="X1117">
        <v>0</v>
      </c>
    </row>
    <row r="1118" spans="1:24">
      <c r="A1118" t="s">
        <v>88</v>
      </c>
      <c r="B1118" s="14" t="s">
        <v>185</v>
      </c>
      <c r="C1118" t="s">
        <v>89</v>
      </c>
      <c r="D1118" s="13" t="s">
        <v>81</v>
      </c>
      <c r="E1118" s="13">
        <v>1</v>
      </c>
      <c r="F1118" s="13">
        <f>IF(E1118="","",MIN(E1118,$X1118+SUMIFS('05_Parte_Diario'!$H$5:$H$204,'05_Parte_Diario'!$D$5:$D$204,B1118,'05_Parte_Diario'!$E$5:$E$204,C1118)))</f>
        <v>0</v>
      </c>
      <c r="G1118" s="13">
        <f t="shared" si="119"/>
        <v>1</v>
      </c>
      <c r="H1118" s="21">
        <f t="shared" si="120"/>
        <v>0</v>
      </c>
      <c r="I1118" s="21">
        <f>IF(OR(B1118="",C1118="",$V$1=""),"",MIN(E1118,SUMIFS('03_Planificacion'!$G$99:$G$178,'03_Planificacion'!$E$99:$E$178,B1118,'03_Planificacion'!$F$99:$F$178,C1118,'03_Planificacion'!$D$99:$D$178,"&lt;="&amp;$V$1)))</f>
        <v>0</v>
      </c>
      <c r="J1118" s="21">
        <f t="shared" si="121"/>
        <v>0</v>
      </c>
      <c r="K1118" s="6">
        <f t="shared" si="122"/>
        <v>0</v>
      </c>
      <c r="L1118" t="s">
        <v>68</v>
      </c>
      <c r="P1118" s="5">
        <f t="shared" si="123"/>
        <v>46287</v>
      </c>
      <c r="Q1118" t="s">
        <v>129</v>
      </c>
      <c r="R1118">
        <v>75</v>
      </c>
      <c r="S1118" t="s">
        <v>70</v>
      </c>
      <c r="T1118" t="str">
        <f t="shared" si="124"/>
        <v/>
      </c>
      <c r="U1118" t="str">
        <f>IF(AND(L1118="Para Programar",G1118&gt;0),COUNTIFS($L$5:L1118,"Para Programar",$G$5:G1118,"&gt;0"),"")</f>
        <v/>
      </c>
      <c r="W1118" t="str">
        <f t="shared" si="125"/>
        <v>N7 - N11|08 Prueba hidráulica - Preparación del sistema</v>
      </c>
      <c r="X1118">
        <v>0</v>
      </c>
    </row>
    <row r="1119" spans="1:24">
      <c r="A1119" t="s">
        <v>90</v>
      </c>
      <c r="B1119" s="14" t="s">
        <v>185</v>
      </c>
      <c r="C1119" t="s">
        <v>91</v>
      </c>
      <c r="D1119" s="13" t="s">
        <v>81</v>
      </c>
      <c r="E1119" s="13">
        <v>1</v>
      </c>
      <c r="F1119" s="13">
        <f>IF(E1119="","",MIN(E1119,$X1119+SUMIFS('05_Parte_Diario'!$H$5:$H$204,'05_Parte_Diario'!$D$5:$D$204,B1119,'05_Parte_Diario'!$E$5:$E$204,C1119)))</f>
        <v>0</v>
      </c>
      <c r="G1119" s="13">
        <f t="shared" si="119"/>
        <v>1</v>
      </c>
      <c r="H1119" s="21">
        <f t="shared" si="120"/>
        <v>0</v>
      </c>
      <c r="I1119" s="21">
        <f>IF(OR(B1119="",C1119="",$V$1=""),"",MIN(E1119,SUMIFS('03_Planificacion'!$G$99:$G$178,'03_Planificacion'!$E$99:$E$178,B1119,'03_Planificacion'!$F$99:$F$178,C1119,'03_Planificacion'!$D$99:$D$178,"&lt;="&amp;$V$1)))</f>
        <v>0</v>
      </c>
      <c r="J1119" s="21">
        <f t="shared" si="121"/>
        <v>0</v>
      </c>
      <c r="K1119" s="6">
        <f t="shared" si="122"/>
        <v>0</v>
      </c>
      <c r="L1119" t="s">
        <v>68</v>
      </c>
      <c r="P1119" s="5">
        <f t="shared" si="123"/>
        <v>46287</v>
      </c>
      <c r="Q1119" t="s">
        <v>129</v>
      </c>
      <c r="R1119">
        <v>75</v>
      </c>
      <c r="S1119" t="s">
        <v>70</v>
      </c>
      <c r="T1119" t="str">
        <f t="shared" si="124"/>
        <v/>
      </c>
      <c r="U1119" t="str">
        <f>IF(AND(L1119="Para Programar",G1119&gt;0),COUNTIFS($L$5:L1119,"Para Programar",$G$5:G1119,"&gt;0"),"")</f>
        <v/>
      </c>
      <c r="W1119" t="str">
        <f t="shared" si="125"/>
        <v>N7 - N11|08 Prueba hidráulica - Interna N° 1</v>
      </c>
      <c r="X1119">
        <v>0</v>
      </c>
    </row>
    <row r="1120" spans="1:24">
      <c r="A1120" t="s">
        <v>92</v>
      </c>
      <c r="B1120" s="14" t="s">
        <v>185</v>
      </c>
      <c r="C1120" t="s">
        <v>93</v>
      </c>
      <c r="D1120" s="13" t="s">
        <v>81</v>
      </c>
      <c r="E1120" s="13">
        <v>1</v>
      </c>
      <c r="F1120" s="13">
        <f>IF(E1120="","",MIN(E1120,$X1120+SUMIFS('05_Parte_Diario'!$H$5:$H$204,'05_Parte_Diario'!$D$5:$D$204,B1120,'05_Parte_Diario'!$E$5:$E$204,C1120)))</f>
        <v>0</v>
      </c>
      <c r="G1120" s="13">
        <f t="shared" si="119"/>
        <v>1</v>
      </c>
      <c r="H1120" s="21">
        <f t="shared" si="120"/>
        <v>0</v>
      </c>
      <c r="I1120" s="21">
        <f>IF(OR(B1120="",C1120="",$V$1=""),"",MIN(E1120,SUMIFS('03_Planificacion'!$G$99:$G$178,'03_Planificacion'!$E$99:$E$178,B1120,'03_Planificacion'!$F$99:$F$178,C1120,'03_Planificacion'!$D$99:$D$178,"&lt;="&amp;$V$1)))</f>
        <v>0</v>
      </c>
      <c r="J1120" s="21">
        <f t="shared" si="121"/>
        <v>0</v>
      </c>
      <c r="K1120" s="6">
        <f t="shared" si="122"/>
        <v>0</v>
      </c>
      <c r="L1120" t="s">
        <v>68</v>
      </c>
      <c r="P1120" s="5">
        <f t="shared" si="123"/>
        <v>46287</v>
      </c>
      <c r="Q1120" t="s">
        <v>129</v>
      </c>
      <c r="R1120">
        <v>75</v>
      </c>
      <c r="S1120" t="s">
        <v>70</v>
      </c>
      <c r="T1120" t="str">
        <f t="shared" si="124"/>
        <v/>
      </c>
      <c r="U1120" t="str">
        <f>IF(AND(L1120="Para Programar",G1120&gt;0),COUNTIFS($L$5:L1120,"Para Programar",$G$5:G1120,"&gt;0"),"")</f>
        <v/>
      </c>
      <c r="W1120" t="str">
        <f t="shared" si="125"/>
        <v>N7 - N11|08 Prueba hidráulica - Interna N° 2</v>
      </c>
      <c r="X1120">
        <v>0</v>
      </c>
    </row>
    <row r="1121" spans="1:24">
      <c r="A1121" t="s">
        <v>94</v>
      </c>
      <c r="B1121" s="14" t="s">
        <v>185</v>
      </c>
      <c r="C1121" t="s">
        <v>95</v>
      </c>
      <c r="D1121" s="13" t="s">
        <v>81</v>
      </c>
      <c r="E1121" s="13">
        <v>1</v>
      </c>
      <c r="F1121" s="13">
        <f>IF(E1121="","",MIN(E1121,$X1121+SUMIFS('05_Parte_Diario'!$H$5:$H$204,'05_Parte_Diario'!$D$5:$D$204,B1121,'05_Parte_Diario'!$E$5:$E$204,C1121)))</f>
        <v>0</v>
      </c>
      <c r="G1121" s="13">
        <f t="shared" si="119"/>
        <v>1</v>
      </c>
      <c r="H1121" s="21">
        <f t="shared" si="120"/>
        <v>0</v>
      </c>
      <c r="I1121" s="21">
        <f>IF(OR(B1121="",C1121="",$V$1=""),"",MIN(E1121,SUMIFS('03_Planificacion'!$G$99:$G$178,'03_Planificacion'!$E$99:$E$178,B1121,'03_Planificacion'!$F$99:$F$178,C1121,'03_Planificacion'!$D$99:$D$178,"&lt;="&amp;$V$1)))</f>
        <v>0</v>
      </c>
      <c r="J1121" s="21">
        <f t="shared" si="121"/>
        <v>0</v>
      </c>
      <c r="K1121" s="6">
        <f t="shared" si="122"/>
        <v>0</v>
      </c>
      <c r="L1121" t="s">
        <v>68</v>
      </c>
      <c r="P1121" s="5">
        <f t="shared" si="123"/>
        <v>46287</v>
      </c>
      <c r="Q1121" t="s">
        <v>129</v>
      </c>
      <c r="R1121">
        <v>75</v>
      </c>
      <c r="S1121" t="s">
        <v>70</v>
      </c>
      <c r="T1121" t="str">
        <f t="shared" si="124"/>
        <v/>
      </c>
      <c r="U1121" t="str">
        <f>IF(AND(L1121="Para Programar",G1121&gt;0),COUNTIFS($L$5:L1121,"Para Programar",$G$5:G1121,"&gt;0"),"")</f>
        <v/>
      </c>
      <c r="W1121" t="str">
        <f t="shared" si="125"/>
        <v>N7 - N11|08 Prueba hidráulica - Primera prueba oficial</v>
      </c>
      <c r="X1121">
        <v>0</v>
      </c>
    </row>
    <row r="1122" spans="1:24">
      <c r="A1122" t="s">
        <v>96</v>
      </c>
      <c r="B1122" s="14" t="s">
        <v>185</v>
      </c>
      <c r="C1122" t="s">
        <v>97</v>
      </c>
      <c r="D1122" s="13" t="s">
        <v>67</v>
      </c>
      <c r="E1122" s="13">
        <v>80</v>
      </c>
      <c r="F1122" s="13">
        <f>IF(E1122="","",MIN(E1122,$X1122+SUMIFS('05_Parte_Diario'!$H$5:$H$204,'05_Parte_Diario'!$D$5:$D$204,B1122,'05_Parte_Diario'!$E$5:$E$204,C1122)))</f>
        <v>0</v>
      </c>
      <c r="G1122" s="13">
        <f t="shared" si="119"/>
        <v>80</v>
      </c>
      <c r="H1122" s="21">
        <f t="shared" si="120"/>
        <v>0</v>
      </c>
      <c r="I1122" s="21">
        <f>IF(OR(B1122="",C1122="",$V$1=""),"",MIN(E1122,SUMIFS('03_Planificacion'!$G$99:$G$178,'03_Planificacion'!$E$99:$E$178,B1122,'03_Planificacion'!$F$99:$F$178,C1122,'03_Planificacion'!$D$99:$D$178,"&lt;="&amp;$V$1)))</f>
        <v>0</v>
      </c>
      <c r="J1122" s="21">
        <f t="shared" si="121"/>
        <v>0</v>
      </c>
      <c r="K1122" s="6">
        <f t="shared" si="122"/>
        <v>0</v>
      </c>
      <c r="L1122" t="s">
        <v>68</v>
      </c>
      <c r="P1122" s="5">
        <f t="shared" si="123"/>
        <v>46287</v>
      </c>
      <c r="Q1122" t="s">
        <v>129</v>
      </c>
      <c r="R1122">
        <v>75</v>
      </c>
      <c r="S1122" t="s">
        <v>70</v>
      </c>
      <c r="T1122" t="str">
        <f t="shared" si="124"/>
        <v/>
      </c>
      <c r="U1122" t="str">
        <f>IF(AND(L1122="Para Programar",G1122&gt;0),COUNTIFS($L$5:L1122,"Para Programar",$G$5:G1122,"&gt;0"),"")</f>
        <v/>
      </c>
      <c r="W1122" t="str">
        <f t="shared" si="125"/>
        <v>N7 - N11|09 Paquete estructural - Aporte e=0,30 m</v>
      </c>
      <c r="X1122">
        <v>0</v>
      </c>
    </row>
    <row r="1123" spans="1:24">
      <c r="A1123" t="s">
        <v>98</v>
      </c>
      <c r="B1123" s="14" t="s">
        <v>185</v>
      </c>
      <c r="C1123" t="s">
        <v>99</v>
      </c>
      <c r="D1123" s="13" t="s">
        <v>67</v>
      </c>
      <c r="E1123" s="13">
        <v>80</v>
      </c>
      <c r="F1123" s="13">
        <f>IF(E1123="","",MIN(E1123,$X1123+SUMIFS('05_Parte_Diario'!$H$5:$H$204,'05_Parte_Diario'!$D$5:$D$204,B1123,'05_Parte_Diario'!$E$5:$E$204,C1123)))</f>
        <v>0</v>
      </c>
      <c r="G1123" s="13">
        <f t="shared" si="119"/>
        <v>80</v>
      </c>
      <c r="H1123" s="21">
        <f t="shared" si="120"/>
        <v>0</v>
      </c>
      <c r="I1123" s="21">
        <f>IF(OR(B1123="",C1123="",$V$1=""),"",MIN(E1123,SUMIFS('03_Planificacion'!$G$99:$G$178,'03_Planificacion'!$E$99:$E$178,B1123,'03_Planificacion'!$F$99:$F$178,C1123,'03_Planificacion'!$D$99:$D$178,"&lt;="&amp;$V$1)))</f>
        <v>0</v>
      </c>
      <c r="J1123" s="21">
        <f t="shared" si="121"/>
        <v>0</v>
      </c>
      <c r="K1123" s="6">
        <f t="shared" si="122"/>
        <v>0</v>
      </c>
      <c r="L1123" t="s">
        <v>68</v>
      </c>
      <c r="P1123" s="5">
        <f t="shared" si="123"/>
        <v>46287</v>
      </c>
      <c r="Q1123" t="s">
        <v>129</v>
      </c>
      <c r="R1123">
        <v>75</v>
      </c>
      <c r="S1123" t="s">
        <v>70</v>
      </c>
      <c r="T1123" t="str">
        <f t="shared" si="124"/>
        <v/>
      </c>
      <c r="U1123" t="str">
        <f>IF(AND(L1123="Para Programar",G1123&gt;0),COUNTIFS($L$5:L1123,"Para Programar",$G$5:G1123,"&gt;0"),"")</f>
        <v/>
      </c>
      <c r="W1123" t="str">
        <f t="shared" si="125"/>
        <v>N7 - N11|09 Paquete estructural - Compactación</v>
      </c>
      <c r="X1123">
        <v>0</v>
      </c>
    </row>
    <row r="1124" spans="1:24">
      <c r="A1124" t="s">
        <v>100</v>
      </c>
      <c r="B1124" s="14" t="s">
        <v>185</v>
      </c>
      <c r="C1124" t="s">
        <v>101</v>
      </c>
      <c r="D1124" s="13" t="s">
        <v>81</v>
      </c>
      <c r="E1124" s="13">
        <v>1</v>
      </c>
      <c r="F1124" s="13">
        <f>IF(E1124="","",MIN(E1124,$X1124+SUMIFS('05_Parte_Diario'!$H$5:$H$204,'05_Parte_Diario'!$D$5:$D$204,B1124,'05_Parte_Diario'!$E$5:$E$204,C1124)))</f>
        <v>0</v>
      </c>
      <c r="G1124" s="13">
        <f t="shared" si="119"/>
        <v>1</v>
      </c>
      <c r="H1124" s="21">
        <f t="shared" si="120"/>
        <v>0</v>
      </c>
      <c r="I1124" s="21">
        <f>IF(OR(B1124="",C1124="",$V$1=""),"",MIN(E1124,SUMIFS('03_Planificacion'!$G$99:$G$178,'03_Planificacion'!$E$99:$E$178,B1124,'03_Planificacion'!$F$99:$F$178,C1124,'03_Planificacion'!$D$99:$D$178,"&lt;="&amp;$V$1)))</f>
        <v>0</v>
      </c>
      <c r="J1124" s="21">
        <f t="shared" si="121"/>
        <v>0</v>
      </c>
      <c r="K1124" s="6">
        <f t="shared" si="122"/>
        <v>0</v>
      </c>
      <c r="L1124" t="s">
        <v>68</v>
      </c>
      <c r="P1124" s="5">
        <f t="shared" si="123"/>
        <v>46287</v>
      </c>
      <c r="Q1124" t="s">
        <v>129</v>
      </c>
      <c r="R1124">
        <v>75</v>
      </c>
      <c r="S1124" t="s">
        <v>70</v>
      </c>
      <c r="T1124" t="str">
        <f t="shared" si="124"/>
        <v/>
      </c>
      <c r="U1124" t="str">
        <f>IF(AND(L1124="Para Programar",G1124&gt;0),COUNTIFS($L$5:L1124,"Para Programar",$G$5:G1124,"&gt;0"),"")</f>
        <v/>
      </c>
      <c r="W1124" t="str">
        <f t="shared" si="125"/>
        <v>N7 - N11|09 Paquete estructural - Inspección laboratorio</v>
      </c>
      <c r="X1124">
        <v>0</v>
      </c>
    </row>
    <row r="1125" spans="1:24">
      <c r="A1125" t="s">
        <v>102</v>
      </c>
      <c r="B1125" s="14" t="s">
        <v>185</v>
      </c>
      <c r="C1125" t="s">
        <v>103</v>
      </c>
      <c r="D1125" s="13" t="s">
        <v>67</v>
      </c>
      <c r="E1125" s="13">
        <v>80</v>
      </c>
      <c r="F1125" s="13">
        <f>IF(E1125="","",MIN(E1125,$X1125+SUMIFS('05_Parte_Diario'!$H$5:$H$204,'05_Parte_Diario'!$D$5:$D$204,B1125,'05_Parte_Diario'!$E$5:$E$204,C1125)))</f>
        <v>0</v>
      </c>
      <c r="G1125" s="13">
        <f t="shared" si="119"/>
        <v>80</v>
      </c>
      <c r="H1125" s="21">
        <f t="shared" si="120"/>
        <v>0</v>
      </c>
      <c r="I1125" s="21">
        <f>IF(OR(B1125="",C1125="",$V$1=""),"",MIN(E1125,SUMIFS('03_Planificacion'!$G$99:$G$178,'03_Planificacion'!$E$99:$E$178,B1125,'03_Planificacion'!$F$99:$F$178,C1125,'03_Planificacion'!$D$99:$D$178,"&lt;="&amp;$V$1)))</f>
        <v>0</v>
      </c>
      <c r="J1125" s="21">
        <f t="shared" si="121"/>
        <v>0</v>
      </c>
      <c r="K1125" s="6">
        <f t="shared" si="122"/>
        <v>0</v>
      </c>
      <c r="L1125" t="s">
        <v>68</v>
      </c>
      <c r="P1125" s="5">
        <f t="shared" si="123"/>
        <v>46287</v>
      </c>
      <c r="Q1125" t="s">
        <v>129</v>
      </c>
      <c r="R1125">
        <v>75</v>
      </c>
      <c r="S1125" t="s">
        <v>70</v>
      </c>
      <c r="T1125" t="str">
        <f t="shared" si="124"/>
        <v/>
      </c>
      <c r="U1125" t="str">
        <f>IF(AND(L1125="Para Programar",G1125&gt;0),COUNTIFS($L$5:L1125,"Para Programar",$G$5:G1125,"&gt;0"),"")</f>
        <v/>
      </c>
      <c r="W1125" t="str">
        <f t="shared" si="125"/>
        <v>N7 - N11|10 Relleno -0,60 - Conformación de capa</v>
      </c>
      <c r="X1125">
        <v>0</v>
      </c>
    </row>
    <row r="1126" spans="1:24">
      <c r="A1126" t="s">
        <v>104</v>
      </c>
      <c r="B1126" s="14" t="s">
        <v>185</v>
      </c>
      <c r="C1126" t="s">
        <v>105</v>
      </c>
      <c r="D1126" s="13" t="s">
        <v>67</v>
      </c>
      <c r="E1126" s="13">
        <v>80</v>
      </c>
      <c r="F1126" s="13">
        <f>IF(E1126="","",MIN(E1126,$X1126+SUMIFS('05_Parte_Diario'!$H$5:$H$204,'05_Parte_Diario'!$D$5:$D$204,B1126,'05_Parte_Diario'!$E$5:$E$204,C1126)))</f>
        <v>0</v>
      </c>
      <c r="G1126" s="13">
        <f t="shared" si="119"/>
        <v>80</v>
      </c>
      <c r="H1126" s="21">
        <f t="shared" si="120"/>
        <v>0</v>
      </c>
      <c r="I1126" s="21">
        <f>IF(OR(B1126="",C1126="",$V$1=""),"",MIN(E1126,SUMIFS('03_Planificacion'!$G$99:$G$178,'03_Planificacion'!$E$99:$E$178,B1126,'03_Planificacion'!$F$99:$F$178,C1126,'03_Planificacion'!$D$99:$D$178,"&lt;="&amp;$V$1)))</f>
        <v>0</v>
      </c>
      <c r="J1126" s="21">
        <f t="shared" si="121"/>
        <v>0</v>
      </c>
      <c r="K1126" s="6">
        <f t="shared" si="122"/>
        <v>0</v>
      </c>
      <c r="L1126" t="s">
        <v>68</v>
      </c>
      <c r="P1126" s="5">
        <f t="shared" si="123"/>
        <v>46287</v>
      </c>
      <c r="Q1126" t="s">
        <v>129</v>
      </c>
      <c r="R1126">
        <v>75</v>
      </c>
      <c r="S1126" t="s">
        <v>70</v>
      </c>
      <c r="T1126" t="str">
        <f t="shared" si="124"/>
        <v/>
      </c>
      <c r="U1126" t="str">
        <f>IF(AND(L1126="Para Programar",G1126&gt;0),COUNTIFS($L$5:L1126,"Para Programar",$G$5:G1126,"&gt;0"),"")</f>
        <v/>
      </c>
      <c r="W1126" t="str">
        <f t="shared" si="125"/>
        <v>N7 - N11|10 Relleno -0,60 - Humectación</v>
      </c>
      <c r="X1126">
        <v>0</v>
      </c>
    </row>
    <row r="1127" spans="1:24">
      <c r="A1127" t="s">
        <v>106</v>
      </c>
      <c r="B1127" s="14" t="s">
        <v>185</v>
      </c>
      <c r="C1127" t="s">
        <v>107</v>
      </c>
      <c r="D1127" s="13" t="s">
        <v>67</v>
      </c>
      <c r="E1127" s="13">
        <v>80</v>
      </c>
      <c r="F1127" s="13">
        <f>IF(E1127="","",MIN(E1127,$X1127+SUMIFS('05_Parte_Diario'!$H$5:$H$204,'05_Parte_Diario'!$D$5:$D$204,B1127,'05_Parte_Diario'!$E$5:$E$204,C1127)))</f>
        <v>0</v>
      </c>
      <c r="G1127" s="13">
        <f t="shared" si="119"/>
        <v>80</v>
      </c>
      <c r="H1127" s="21">
        <f t="shared" si="120"/>
        <v>0</v>
      </c>
      <c r="I1127" s="21">
        <f>IF(OR(B1127="",C1127="",$V$1=""),"",MIN(E1127,SUMIFS('03_Planificacion'!$G$99:$G$178,'03_Planificacion'!$E$99:$E$178,B1127,'03_Planificacion'!$F$99:$F$178,C1127,'03_Planificacion'!$D$99:$D$178,"&lt;="&amp;$V$1)))</f>
        <v>0</v>
      </c>
      <c r="J1127" s="21">
        <f t="shared" si="121"/>
        <v>0</v>
      </c>
      <c r="K1127" s="6">
        <f t="shared" si="122"/>
        <v>0</v>
      </c>
      <c r="L1127" t="s">
        <v>68</v>
      </c>
      <c r="P1127" s="5">
        <f t="shared" si="123"/>
        <v>46287</v>
      </c>
      <c r="Q1127" t="s">
        <v>129</v>
      </c>
      <c r="R1127">
        <v>75</v>
      </c>
      <c r="S1127" t="s">
        <v>70</v>
      </c>
      <c r="T1127" t="str">
        <f t="shared" si="124"/>
        <v/>
      </c>
      <c r="U1127" t="str">
        <f>IF(AND(L1127="Para Programar",G1127&gt;0),COUNTIFS($L$5:L1127,"Para Programar",$G$5:G1127,"&gt;0"),"")</f>
        <v/>
      </c>
      <c r="W1127" t="str">
        <f t="shared" si="125"/>
        <v>N7 - N11|10 Relleno -0,60 - Compactación</v>
      </c>
      <c r="X1127">
        <v>0</v>
      </c>
    </row>
    <row r="1128" spans="1:24">
      <c r="A1128" t="s">
        <v>108</v>
      </c>
      <c r="B1128" s="14" t="s">
        <v>185</v>
      </c>
      <c r="C1128" t="s">
        <v>109</v>
      </c>
      <c r="D1128" s="13" t="s">
        <v>81</v>
      </c>
      <c r="E1128" s="13">
        <v>1</v>
      </c>
      <c r="F1128" s="13">
        <f>IF(E1128="","",MIN(E1128,$X1128+SUMIFS('05_Parte_Diario'!$H$5:$H$204,'05_Parte_Diario'!$D$5:$D$204,B1128,'05_Parte_Diario'!$E$5:$E$204,C1128)))</f>
        <v>0</v>
      </c>
      <c r="G1128" s="13">
        <f t="shared" si="119"/>
        <v>1</v>
      </c>
      <c r="H1128" s="21">
        <f t="shared" si="120"/>
        <v>0</v>
      </c>
      <c r="I1128" s="21">
        <f>IF(OR(B1128="",C1128="",$V$1=""),"",MIN(E1128,SUMIFS('03_Planificacion'!$G$99:$G$178,'03_Planificacion'!$E$99:$E$178,B1128,'03_Planificacion'!$F$99:$F$178,C1128,'03_Planificacion'!$D$99:$D$178,"&lt;="&amp;$V$1)))</f>
        <v>0</v>
      </c>
      <c r="J1128" s="21">
        <f t="shared" si="121"/>
        <v>0</v>
      </c>
      <c r="K1128" s="6">
        <f t="shared" si="122"/>
        <v>0</v>
      </c>
      <c r="L1128" t="s">
        <v>68</v>
      </c>
      <c r="P1128" s="5">
        <f t="shared" si="123"/>
        <v>46287</v>
      </c>
      <c r="Q1128" t="s">
        <v>129</v>
      </c>
      <c r="R1128">
        <v>75</v>
      </c>
      <c r="S1128" t="s">
        <v>70</v>
      </c>
      <c r="T1128" t="str">
        <f t="shared" si="124"/>
        <v/>
      </c>
      <c r="U1128" t="str">
        <f>IF(AND(L1128="Para Programar",G1128&gt;0),COUNTIFS($L$5:L1128,"Para Programar",$G$5:G1128,"&gt;0"),"")</f>
        <v/>
      </c>
      <c r="W1128" t="str">
        <f t="shared" si="125"/>
        <v>N7 - N11|10 Relleno -0,60 - Inspección laboratorio</v>
      </c>
      <c r="X1128">
        <v>0</v>
      </c>
    </row>
    <row r="1129" spans="1:24">
      <c r="A1129" t="s">
        <v>110</v>
      </c>
      <c r="B1129" s="14" t="s">
        <v>185</v>
      </c>
      <c r="C1129" t="s">
        <v>111</v>
      </c>
      <c r="D1129" s="13" t="s">
        <v>67</v>
      </c>
      <c r="E1129" s="13">
        <v>80</v>
      </c>
      <c r="F1129" s="13">
        <f>IF(E1129="","",MIN(E1129,$X1129+SUMIFS('05_Parte_Diario'!$H$5:$H$204,'05_Parte_Diario'!$D$5:$D$204,B1129,'05_Parte_Diario'!$E$5:$E$204,C1129)))</f>
        <v>0</v>
      </c>
      <c r="G1129" s="13">
        <f t="shared" si="119"/>
        <v>80</v>
      </c>
      <c r="H1129" s="21">
        <f t="shared" si="120"/>
        <v>0</v>
      </c>
      <c r="I1129" s="21">
        <f>IF(OR(B1129="",C1129="",$V$1=""),"",MIN(E1129,SUMIFS('03_Planificacion'!$G$99:$G$178,'03_Planificacion'!$E$99:$E$178,B1129,'03_Planificacion'!$F$99:$F$178,C1129,'03_Planificacion'!$D$99:$D$178,"&lt;="&amp;$V$1)))</f>
        <v>0</v>
      </c>
      <c r="J1129" s="21">
        <f t="shared" si="121"/>
        <v>0</v>
      </c>
      <c r="K1129" s="6">
        <f t="shared" si="122"/>
        <v>0</v>
      </c>
      <c r="L1129" t="s">
        <v>68</v>
      </c>
      <c r="P1129" s="5">
        <f t="shared" si="123"/>
        <v>46287</v>
      </c>
      <c r="Q1129" t="s">
        <v>129</v>
      </c>
      <c r="R1129">
        <v>75</v>
      </c>
      <c r="S1129" t="s">
        <v>70</v>
      </c>
      <c r="T1129" t="str">
        <f t="shared" si="124"/>
        <v/>
      </c>
      <c r="U1129" t="str">
        <f>IF(AND(L1129="Para Programar",G1129&gt;0),COUNTIFS($L$5:L1129,"Para Programar",$G$5:G1129,"&gt;0"),"")</f>
        <v/>
      </c>
      <c r="W1129" t="str">
        <f t="shared" si="125"/>
        <v>N7 - N11|11 Relleno -0,30 - Conformación de capa</v>
      </c>
      <c r="X1129">
        <v>0</v>
      </c>
    </row>
    <row r="1130" spans="1:24">
      <c r="A1130" t="s">
        <v>112</v>
      </c>
      <c r="B1130" s="14" t="s">
        <v>185</v>
      </c>
      <c r="C1130" t="s">
        <v>113</v>
      </c>
      <c r="D1130" s="13" t="s">
        <v>67</v>
      </c>
      <c r="E1130" s="13">
        <v>80</v>
      </c>
      <c r="F1130" s="13">
        <f>IF(E1130="","",MIN(E1130,$X1130+SUMIFS('05_Parte_Diario'!$H$5:$H$204,'05_Parte_Diario'!$D$5:$D$204,B1130,'05_Parte_Diario'!$E$5:$E$204,C1130)))</f>
        <v>0</v>
      </c>
      <c r="G1130" s="13">
        <f t="shared" si="119"/>
        <v>80</v>
      </c>
      <c r="H1130" s="21">
        <f t="shared" si="120"/>
        <v>0</v>
      </c>
      <c r="I1130" s="21">
        <f>IF(OR(B1130="",C1130="",$V$1=""),"",MIN(E1130,SUMIFS('03_Planificacion'!$G$99:$G$178,'03_Planificacion'!$E$99:$E$178,B1130,'03_Planificacion'!$F$99:$F$178,C1130,'03_Planificacion'!$D$99:$D$178,"&lt;="&amp;$V$1)))</f>
        <v>0</v>
      </c>
      <c r="J1130" s="21">
        <f t="shared" si="121"/>
        <v>0</v>
      </c>
      <c r="K1130" s="6">
        <f t="shared" si="122"/>
        <v>0</v>
      </c>
      <c r="L1130" t="s">
        <v>68</v>
      </c>
      <c r="P1130" s="5">
        <f t="shared" si="123"/>
        <v>46287</v>
      </c>
      <c r="Q1130" t="s">
        <v>129</v>
      </c>
      <c r="R1130">
        <v>75</v>
      </c>
      <c r="S1130" t="s">
        <v>70</v>
      </c>
      <c r="T1130" t="str">
        <f t="shared" si="124"/>
        <v/>
      </c>
      <c r="U1130" t="str">
        <f>IF(AND(L1130="Para Programar",G1130&gt;0),COUNTIFS($L$5:L1130,"Para Programar",$G$5:G1130,"&gt;0"),"")</f>
        <v/>
      </c>
      <c r="W1130" t="str">
        <f t="shared" si="125"/>
        <v>N7 - N11|11 Relleno -0,30 - Humectación</v>
      </c>
      <c r="X1130">
        <v>0</v>
      </c>
    </row>
    <row r="1131" spans="1:24">
      <c r="A1131" t="s">
        <v>114</v>
      </c>
      <c r="B1131" s="14" t="s">
        <v>185</v>
      </c>
      <c r="C1131" t="s">
        <v>115</v>
      </c>
      <c r="D1131" s="13" t="s">
        <v>67</v>
      </c>
      <c r="E1131" s="13">
        <v>80</v>
      </c>
      <c r="F1131" s="13">
        <f>IF(E1131="","",MIN(E1131,$X1131+SUMIFS('05_Parte_Diario'!$H$5:$H$204,'05_Parte_Diario'!$D$5:$D$204,B1131,'05_Parte_Diario'!$E$5:$E$204,C1131)))</f>
        <v>0</v>
      </c>
      <c r="G1131" s="13">
        <f t="shared" si="119"/>
        <v>80</v>
      </c>
      <c r="H1131" s="21">
        <f t="shared" si="120"/>
        <v>0</v>
      </c>
      <c r="I1131" s="21">
        <f>IF(OR(B1131="",C1131="",$V$1=""),"",MIN(E1131,SUMIFS('03_Planificacion'!$G$99:$G$178,'03_Planificacion'!$E$99:$E$178,B1131,'03_Planificacion'!$F$99:$F$178,C1131,'03_Planificacion'!$D$99:$D$178,"&lt;="&amp;$V$1)))</f>
        <v>0</v>
      </c>
      <c r="J1131" s="21">
        <f t="shared" si="121"/>
        <v>0</v>
      </c>
      <c r="K1131" s="6">
        <f t="shared" si="122"/>
        <v>0</v>
      </c>
      <c r="L1131" t="s">
        <v>68</v>
      </c>
      <c r="P1131" s="5">
        <f t="shared" si="123"/>
        <v>46287</v>
      </c>
      <c r="Q1131" t="s">
        <v>129</v>
      </c>
      <c r="R1131">
        <v>75</v>
      </c>
      <c r="S1131" t="s">
        <v>70</v>
      </c>
      <c r="T1131" t="str">
        <f t="shared" si="124"/>
        <v/>
      </c>
      <c r="U1131" t="str">
        <f>IF(AND(L1131="Para Programar",G1131&gt;0),COUNTIFS($L$5:L1131,"Para Programar",$G$5:G1131,"&gt;0"),"")</f>
        <v/>
      </c>
      <c r="W1131" t="str">
        <f t="shared" si="125"/>
        <v>N7 - N11|11 Relleno -0,30 - Compactación</v>
      </c>
      <c r="X1131">
        <v>0</v>
      </c>
    </row>
    <row r="1132" spans="1:24">
      <c r="A1132" t="s">
        <v>116</v>
      </c>
      <c r="B1132" s="14" t="s">
        <v>185</v>
      </c>
      <c r="C1132" t="s">
        <v>117</v>
      </c>
      <c r="D1132" s="13" t="s">
        <v>81</v>
      </c>
      <c r="E1132" s="13">
        <v>1</v>
      </c>
      <c r="F1132" s="13">
        <f>IF(E1132="","",MIN(E1132,$X1132+SUMIFS('05_Parte_Diario'!$H$5:$H$204,'05_Parte_Diario'!$D$5:$D$204,B1132,'05_Parte_Diario'!$E$5:$E$204,C1132)))</f>
        <v>0</v>
      </c>
      <c r="G1132" s="13">
        <f t="shared" si="119"/>
        <v>1</v>
      </c>
      <c r="H1132" s="21">
        <f t="shared" si="120"/>
        <v>0</v>
      </c>
      <c r="I1132" s="21">
        <f>IF(OR(B1132="",C1132="",$V$1=""),"",MIN(E1132,SUMIFS('03_Planificacion'!$G$99:$G$178,'03_Planificacion'!$E$99:$E$178,B1132,'03_Planificacion'!$F$99:$F$178,C1132,'03_Planificacion'!$D$99:$D$178,"&lt;="&amp;$V$1)))</f>
        <v>0</v>
      </c>
      <c r="J1132" s="21">
        <f t="shared" si="121"/>
        <v>0</v>
      </c>
      <c r="K1132" s="6">
        <f t="shared" si="122"/>
        <v>0</v>
      </c>
      <c r="L1132" t="s">
        <v>68</v>
      </c>
      <c r="P1132" s="5">
        <f t="shared" si="123"/>
        <v>46287</v>
      </c>
      <c r="Q1132" t="s">
        <v>129</v>
      </c>
      <c r="R1132">
        <v>75</v>
      </c>
      <c r="S1132" t="s">
        <v>70</v>
      </c>
      <c r="T1132" t="str">
        <f t="shared" si="124"/>
        <v/>
      </c>
      <c r="U1132" t="str">
        <f>IF(AND(L1132="Para Programar",G1132&gt;0),COUNTIFS($L$5:L1132,"Para Programar",$G$5:G1132,"&gt;0"),"")</f>
        <v/>
      </c>
      <c r="W1132" t="str">
        <f t="shared" si="125"/>
        <v>N7 - N11|11 Relleno -0,30 - Inspección laboratorio</v>
      </c>
      <c r="X1132">
        <v>0</v>
      </c>
    </row>
    <row r="1133" spans="1:24">
      <c r="A1133" t="s">
        <v>64</v>
      </c>
      <c r="B1133" s="14" t="s">
        <v>186</v>
      </c>
      <c r="C1133" t="s">
        <v>66</v>
      </c>
      <c r="D1133" s="13" t="s">
        <v>67</v>
      </c>
      <c r="E1133" s="13">
        <v>110</v>
      </c>
      <c r="F1133" s="13">
        <f>IF(E1133="","",MIN(E1133,$X1133+SUMIFS('05_Parte_Diario'!$H$5:$H$204,'05_Parte_Diario'!$D$5:$D$204,B1133,'05_Parte_Diario'!$E$5:$E$204,C1133)))</f>
        <v>0</v>
      </c>
      <c r="G1133" s="13">
        <f t="shared" si="119"/>
        <v>110</v>
      </c>
      <c r="H1133" s="21">
        <f t="shared" si="120"/>
        <v>0</v>
      </c>
      <c r="I1133" s="21">
        <f>IF(OR(B1133="",C1133="",$V$1=""),"",MIN(E1133,SUMIFS('03_Planificacion'!$G$99:$G$178,'03_Planificacion'!$E$99:$E$178,B1133,'03_Planificacion'!$F$99:$F$178,C1133,'03_Planificacion'!$D$99:$D$178,"&lt;="&amp;$V$1)))</f>
        <v>0</v>
      </c>
      <c r="J1133" s="21">
        <f t="shared" si="121"/>
        <v>0</v>
      </c>
      <c r="K1133" s="6">
        <f t="shared" si="122"/>
        <v>0</v>
      </c>
      <c r="L1133" t="s">
        <v>68</v>
      </c>
      <c r="P1133" s="5">
        <f t="shared" si="123"/>
        <v>46287</v>
      </c>
      <c r="Q1133" t="s">
        <v>119</v>
      </c>
      <c r="R1133">
        <v>75</v>
      </c>
      <c r="S1133" t="s">
        <v>70</v>
      </c>
      <c r="T1133" t="str">
        <f t="shared" si="124"/>
        <v/>
      </c>
      <c r="U1133" t="str">
        <f>IF(AND(L1133="Para Programar",G1133&gt;0),COUNTIFS($L$5:L1133,"Para Programar",$G$5:G1133,"&gt;0"),"")</f>
        <v/>
      </c>
      <c r="W1133" t="str">
        <f t="shared" si="125"/>
        <v>N8 - N14|01 Replanteo - Marcación de tramo de cañería principal</v>
      </c>
      <c r="X1133">
        <v>0</v>
      </c>
    </row>
    <row r="1134" spans="1:24">
      <c r="A1134" t="s">
        <v>71</v>
      </c>
      <c r="B1134" s="14" t="s">
        <v>186</v>
      </c>
      <c r="C1134" t="s">
        <v>72</v>
      </c>
      <c r="D1134" s="13" t="s">
        <v>67</v>
      </c>
      <c r="E1134" s="13">
        <v>110</v>
      </c>
      <c r="F1134" s="13">
        <f>IF(E1134="","",MIN(E1134,$X1134+SUMIFS('05_Parte_Diario'!$H$5:$H$204,'05_Parte_Diario'!$D$5:$D$204,B1134,'05_Parte_Diario'!$E$5:$E$204,C1134)))</f>
        <v>0</v>
      </c>
      <c r="G1134" s="13">
        <f t="shared" si="119"/>
        <v>110</v>
      </c>
      <c r="H1134" s="21">
        <f t="shared" si="120"/>
        <v>0</v>
      </c>
      <c r="I1134" s="21">
        <f>IF(OR(B1134="",C1134="",$V$1=""),"",MIN(E1134,SUMIFS('03_Planificacion'!$G$99:$G$178,'03_Planificacion'!$E$99:$E$178,B1134,'03_Planificacion'!$F$99:$F$178,C1134,'03_Planificacion'!$D$99:$D$178,"&lt;="&amp;$V$1)))</f>
        <v>0</v>
      </c>
      <c r="J1134" s="21">
        <f t="shared" si="121"/>
        <v>0</v>
      </c>
      <c r="K1134" s="6">
        <f t="shared" si="122"/>
        <v>0</v>
      </c>
      <c r="L1134" t="s">
        <v>68</v>
      </c>
      <c r="P1134" s="5">
        <f t="shared" si="123"/>
        <v>46287</v>
      </c>
      <c r="Q1134" t="s">
        <v>119</v>
      </c>
      <c r="R1134">
        <v>75</v>
      </c>
      <c r="S1134" t="s">
        <v>70</v>
      </c>
      <c r="T1134" t="str">
        <f t="shared" si="124"/>
        <v/>
      </c>
      <c r="U1134" t="str">
        <f>IF(AND(L1134="Para Programar",G1134&gt;0),COUNTIFS($L$5:L1134,"Para Programar",$G$5:G1134,"&gt;0"),"")</f>
        <v/>
      </c>
      <c r="W1134" t="str">
        <f t="shared" si="125"/>
        <v>N8 - N14|02 Excavación - Zanja principal</v>
      </c>
      <c r="X1134">
        <v>0</v>
      </c>
    </row>
    <row r="1135" spans="1:24">
      <c r="A1135" t="s">
        <v>73</v>
      </c>
      <c r="B1135" s="14" t="s">
        <v>186</v>
      </c>
      <c r="C1135" t="s">
        <v>74</v>
      </c>
      <c r="D1135" s="13" t="s">
        <v>67</v>
      </c>
      <c r="E1135" s="13">
        <v>110</v>
      </c>
      <c r="F1135" s="13">
        <f>IF(E1135="","",MIN(E1135,$X1135+SUMIFS('05_Parte_Diario'!$H$5:$H$204,'05_Parte_Diario'!$D$5:$D$204,B1135,'05_Parte_Diario'!$E$5:$E$204,C1135)))</f>
        <v>0</v>
      </c>
      <c r="G1135" s="13">
        <f t="shared" si="119"/>
        <v>110</v>
      </c>
      <c r="H1135" s="21">
        <f t="shared" si="120"/>
        <v>0</v>
      </c>
      <c r="I1135" s="21">
        <f>IF(OR(B1135="",C1135="",$V$1=""),"",MIN(E1135,SUMIFS('03_Planificacion'!$G$99:$G$178,'03_Planificacion'!$E$99:$E$178,B1135,'03_Planificacion'!$F$99:$F$178,C1135,'03_Planificacion'!$D$99:$D$178,"&lt;="&amp;$V$1)))</f>
        <v>0</v>
      </c>
      <c r="J1135" s="21">
        <f t="shared" si="121"/>
        <v>0</v>
      </c>
      <c r="K1135" s="6">
        <f t="shared" si="122"/>
        <v>0</v>
      </c>
      <c r="L1135" t="s">
        <v>68</v>
      </c>
      <c r="P1135" s="5">
        <f t="shared" si="123"/>
        <v>46287</v>
      </c>
      <c r="Q1135" t="s">
        <v>119</v>
      </c>
      <c r="R1135">
        <v>75</v>
      </c>
      <c r="S1135" t="s">
        <v>70</v>
      </c>
      <c r="T1135" t="str">
        <f t="shared" si="124"/>
        <v/>
      </c>
      <c r="U1135" t="str">
        <f>IF(AND(L1135="Para Programar",G1135&gt;0),COUNTIFS($L$5:L1135,"Para Programar",$G$5:G1135,"&gt;0"),"")</f>
        <v/>
      </c>
      <c r="W1135" t="str">
        <f t="shared" si="125"/>
        <v>N8 - N14|03 Base de asiento - Nivelación de fondo de zanja</v>
      </c>
      <c r="X1135">
        <v>0</v>
      </c>
    </row>
    <row r="1136" spans="1:24">
      <c r="A1136" t="s">
        <v>75</v>
      </c>
      <c r="B1136" s="14" t="s">
        <v>186</v>
      </c>
      <c r="C1136" t="s">
        <v>76</v>
      </c>
      <c r="D1136" s="13" t="s">
        <v>67</v>
      </c>
      <c r="E1136" s="13">
        <v>110</v>
      </c>
      <c r="F1136" s="13">
        <f>IF(E1136="","",MIN(E1136,$X1136+SUMIFS('05_Parte_Diario'!$H$5:$H$204,'05_Parte_Diario'!$D$5:$D$204,B1136,'05_Parte_Diario'!$E$5:$E$204,C1136)))</f>
        <v>0</v>
      </c>
      <c r="G1136" s="13">
        <f t="shared" si="119"/>
        <v>110</v>
      </c>
      <c r="H1136" s="21">
        <f t="shared" si="120"/>
        <v>0</v>
      </c>
      <c r="I1136" s="21">
        <f>IF(OR(B1136="",C1136="",$V$1=""),"",MIN(E1136,SUMIFS('03_Planificacion'!$G$99:$G$178,'03_Planificacion'!$E$99:$E$178,B1136,'03_Planificacion'!$F$99:$F$178,C1136,'03_Planificacion'!$D$99:$D$178,"&lt;="&amp;$V$1)))</f>
        <v>0</v>
      </c>
      <c r="J1136" s="21">
        <f t="shared" si="121"/>
        <v>0</v>
      </c>
      <c r="K1136" s="6">
        <f t="shared" si="122"/>
        <v>0</v>
      </c>
      <c r="L1136" t="s">
        <v>68</v>
      </c>
      <c r="P1136" s="5">
        <f t="shared" si="123"/>
        <v>46287</v>
      </c>
      <c r="Q1136" t="s">
        <v>119</v>
      </c>
      <c r="R1136">
        <v>75</v>
      </c>
      <c r="S1136" t="s">
        <v>70</v>
      </c>
      <c r="T1136" t="str">
        <f t="shared" si="124"/>
        <v/>
      </c>
      <c r="U1136" t="str">
        <f>IF(AND(L1136="Para Programar",G1136&gt;0),COUNTIFS($L$5:L1136,"Para Programar",$G$5:G1136,"&gt;0"),"")</f>
        <v/>
      </c>
      <c r="W1136" t="str">
        <f t="shared" si="125"/>
        <v>N8 - N14|03 Base de asiento - Aporte de material base e=0,10 m</v>
      </c>
      <c r="X1136">
        <v>0</v>
      </c>
    </row>
    <row r="1137" spans="1:24">
      <c r="A1137" t="s">
        <v>77</v>
      </c>
      <c r="B1137" s="14" t="s">
        <v>186</v>
      </c>
      <c r="C1137" t="s">
        <v>78</v>
      </c>
      <c r="D1137" s="13" t="s">
        <v>67</v>
      </c>
      <c r="E1137" s="13">
        <v>110</v>
      </c>
      <c r="F1137" s="13">
        <f>IF(E1137="","",MIN(E1137,$X1137+SUMIFS('05_Parte_Diario'!$H$5:$H$204,'05_Parte_Diario'!$D$5:$D$204,B1137,'05_Parte_Diario'!$E$5:$E$204,C1137)))</f>
        <v>0</v>
      </c>
      <c r="G1137" s="13">
        <f t="shared" si="119"/>
        <v>110</v>
      </c>
      <c r="H1137" s="21">
        <f t="shared" si="120"/>
        <v>0</v>
      </c>
      <c r="I1137" s="21">
        <f>IF(OR(B1137="",C1137="",$V$1=""),"",MIN(E1137,SUMIFS('03_Planificacion'!$G$99:$G$178,'03_Planificacion'!$E$99:$E$178,B1137,'03_Planificacion'!$F$99:$F$178,C1137,'03_Planificacion'!$D$99:$D$178,"&lt;="&amp;$V$1)))</f>
        <v>0</v>
      </c>
      <c r="J1137" s="21">
        <f t="shared" si="121"/>
        <v>0</v>
      </c>
      <c r="K1137" s="6">
        <f t="shared" si="122"/>
        <v>0</v>
      </c>
      <c r="L1137" t="s">
        <v>68</v>
      </c>
      <c r="P1137" s="5">
        <f t="shared" si="123"/>
        <v>46287</v>
      </c>
      <c r="Q1137" t="s">
        <v>119</v>
      </c>
      <c r="R1137">
        <v>75</v>
      </c>
      <c r="S1137" t="s">
        <v>70</v>
      </c>
      <c r="T1137" t="str">
        <f t="shared" si="124"/>
        <v/>
      </c>
      <c r="U1137" t="str">
        <f>IF(AND(L1137="Para Programar",G1137&gt;0),COUNTIFS($L$5:L1137,"Para Programar",$G$5:G1137,"&gt;0"),"")</f>
        <v/>
      </c>
      <c r="W1137" t="str">
        <f t="shared" si="125"/>
        <v>N8 - N14|03 Base de asiento - Compactación</v>
      </c>
      <c r="X1137">
        <v>0</v>
      </c>
    </row>
    <row r="1138" spans="1:24">
      <c r="A1138" t="s">
        <v>79</v>
      </c>
      <c r="B1138" s="14" t="s">
        <v>186</v>
      </c>
      <c r="C1138" t="s">
        <v>80</v>
      </c>
      <c r="D1138" s="13" t="s">
        <v>81</v>
      </c>
      <c r="E1138" s="13">
        <v>1</v>
      </c>
      <c r="F1138" s="13">
        <f>IF(E1138="","",MIN(E1138,$X1138+SUMIFS('05_Parte_Diario'!$H$5:$H$204,'05_Parte_Diario'!$D$5:$D$204,B1138,'05_Parte_Diario'!$E$5:$E$204,C1138)))</f>
        <v>0</v>
      </c>
      <c r="G1138" s="13">
        <f t="shared" si="119"/>
        <v>1</v>
      </c>
      <c r="H1138" s="21">
        <f t="shared" si="120"/>
        <v>0</v>
      </c>
      <c r="I1138" s="21">
        <f>IF(OR(B1138="",C1138="",$V$1=""),"",MIN(E1138,SUMIFS('03_Planificacion'!$G$99:$G$178,'03_Planificacion'!$E$99:$E$178,B1138,'03_Planificacion'!$F$99:$F$178,C1138,'03_Planificacion'!$D$99:$D$178,"&lt;="&amp;$V$1)))</f>
        <v>0</v>
      </c>
      <c r="J1138" s="21">
        <f t="shared" si="121"/>
        <v>0</v>
      </c>
      <c r="K1138" s="6">
        <f t="shared" si="122"/>
        <v>0</v>
      </c>
      <c r="L1138" t="s">
        <v>68</v>
      </c>
      <c r="P1138" s="5">
        <f t="shared" si="123"/>
        <v>46287</v>
      </c>
      <c r="Q1138" t="s">
        <v>119</v>
      </c>
      <c r="R1138">
        <v>75</v>
      </c>
      <c r="S1138" t="s">
        <v>70</v>
      </c>
      <c r="T1138" t="str">
        <f t="shared" si="124"/>
        <v/>
      </c>
      <c r="U1138" t="str">
        <f>IF(AND(L1138="Para Programar",G1138&gt;0),COUNTIFS($L$5:L1138,"Para Programar",$G$5:G1138,"&gt;0"),"")</f>
        <v/>
      </c>
      <c r="W1138" t="str">
        <f t="shared" si="125"/>
        <v>N8 - N14|04 Inspecciones previas - Laboratorio base de asiento</v>
      </c>
      <c r="X1138">
        <v>0</v>
      </c>
    </row>
    <row r="1139" spans="1:24">
      <c r="A1139" t="s">
        <v>82</v>
      </c>
      <c r="B1139" s="14" t="s">
        <v>186</v>
      </c>
      <c r="C1139" t="s">
        <v>83</v>
      </c>
      <c r="D1139" s="13" t="s">
        <v>81</v>
      </c>
      <c r="E1139" s="13">
        <v>1</v>
      </c>
      <c r="F1139" s="13">
        <f>IF(E1139="","",MIN(E1139,$X1139+SUMIFS('05_Parte_Diario'!$H$5:$H$204,'05_Parte_Diario'!$D$5:$D$204,B1139,'05_Parte_Diario'!$E$5:$E$204,C1139)))</f>
        <v>0</v>
      </c>
      <c r="G1139" s="13">
        <f t="shared" si="119"/>
        <v>1</v>
      </c>
      <c r="H1139" s="21">
        <f t="shared" si="120"/>
        <v>0</v>
      </c>
      <c r="I1139" s="21">
        <f>IF(OR(B1139="",C1139="",$V$1=""),"",MIN(E1139,SUMIFS('03_Planificacion'!$G$99:$G$178,'03_Planificacion'!$E$99:$E$178,B1139,'03_Planificacion'!$F$99:$F$178,C1139,'03_Planificacion'!$D$99:$D$178,"&lt;="&amp;$V$1)))</f>
        <v>0</v>
      </c>
      <c r="J1139" s="21">
        <f t="shared" si="121"/>
        <v>0</v>
      </c>
      <c r="K1139" s="6">
        <f t="shared" si="122"/>
        <v>0</v>
      </c>
      <c r="L1139" t="s">
        <v>68</v>
      </c>
      <c r="P1139" s="5">
        <f t="shared" si="123"/>
        <v>46287</v>
      </c>
      <c r="Q1139" t="s">
        <v>119</v>
      </c>
      <c r="R1139">
        <v>75</v>
      </c>
      <c r="S1139" t="s">
        <v>70</v>
      </c>
      <c r="T1139" t="str">
        <f t="shared" si="124"/>
        <v/>
      </c>
      <c r="U1139" t="str">
        <f>IF(AND(L1139="Para Programar",G1139&gt;0),COUNTIFS($L$5:L1139,"Para Programar",$G$5:G1139,"&gt;0"),"")</f>
        <v/>
      </c>
      <c r="W1139" t="str">
        <f t="shared" si="125"/>
        <v>N8 - N14|04 Inspecciones previas - Zanja y materiales</v>
      </c>
      <c r="X1139">
        <v>0</v>
      </c>
    </row>
    <row r="1140" spans="1:24">
      <c r="A1140" t="s">
        <v>84</v>
      </c>
      <c r="B1140" s="14" t="s">
        <v>186</v>
      </c>
      <c r="C1140" t="s">
        <v>85</v>
      </c>
      <c r="D1140" s="13" t="s">
        <v>67</v>
      </c>
      <c r="E1140" s="13">
        <v>110</v>
      </c>
      <c r="F1140" s="13">
        <f>IF(E1140="","",MIN(E1140,$X1140+SUMIFS('05_Parte_Diario'!$H$5:$H$204,'05_Parte_Diario'!$D$5:$D$204,B1140,'05_Parte_Diario'!$E$5:$E$204,C1140)))</f>
        <v>0</v>
      </c>
      <c r="G1140" s="13">
        <f t="shared" si="119"/>
        <v>110</v>
      </c>
      <c r="H1140" s="21">
        <f t="shared" si="120"/>
        <v>0</v>
      </c>
      <c r="I1140" s="21">
        <f>IF(OR(B1140="",C1140="",$V$1=""),"",MIN(E1140,SUMIFS('03_Planificacion'!$G$99:$G$178,'03_Planificacion'!$E$99:$E$178,B1140,'03_Planificacion'!$F$99:$F$178,C1140,'03_Planificacion'!$D$99:$D$178,"&lt;="&amp;$V$1)))</f>
        <v>0</v>
      </c>
      <c r="J1140" s="21">
        <f t="shared" si="121"/>
        <v>0</v>
      </c>
      <c r="K1140" s="6">
        <f t="shared" si="122"/>
        <v>0</v>
      </c>
      <c r="L1140" t="s">
        <v>68</v>
      </c>
      <c r="P1140" s="5">
        <f t="shared" si="123"/>
        <v>46287</v>
      </c>
      <c r="Q1140" t="s">
        <v>119</v>
      </c>
      <c r="R1140">
        <v>75</v>
      </c>
      <c r="S1140" t="s">
        <v>70</v>
      </c>
      <c r="T1140" t="str">
        <f t="shared" si="124"/>
        <v/>
      </c>
      <c r="U1140" t="str">
        <f>IF(AND(L1140="Para Programar",G1140&gt;0),COUNTIFS($L$5:L1140,"Para Programar",$G$5:G1140,"&gt;0"),"")</f>
        <v/>
      </c>
      <c r="W1140" t="str">
        <f t="shared" si="125"/>
        <v>N8 - N14|05 Tendido de cañería - Cañería principal</v>
      </c>
      <c r="X1140">
        <v>0</v>
      </c>
    </row>
    <row r="1141" spans="1:24">
      <c r="A1141" t="s">
        <v>86</v>
      </c>
      <c r="B1141" s="14" t="s">
        <v>186</v>
      </c>
      <c r="C1141" t="s">
        <v>87</v>
      </c>
      <c r="D1141" s="13" t="s">
        <v>67</v>
      </c>
      <c r="E1141" s="13">
        <v>110</v>
      </c>
      <c r="F1141" s="13">
        <f>IF(E1141="","",MIN(E1141,$X1141+SUMIFS('05_Parte_Diario'!$H$5:$H$204,'05_Parte_Diario'!$D$5:$D$204,B1141,'05_Parte_Diario'!$E$5:$E$204,C1141)))</f>
        <v>0</v>
      </c>
      <c r="G1141" s="13">
        <f t="shared" si="119"/>
        <v>110</v>
      </c>
      <c r="H1141" s="21">
        <f t="shared" si="120"/>
        <v>0</v>
      </c>
      <c r="I1141" s="21">
        <f>IF(OR(B1141="",C1141="",$V$1=""),"",MIN(E1141,SUMIFS('03_Planificacion'!$G$99:$G$178,'03_Planificacion'!$E$99:$E$178,B1141,'03_Planificacion'!$F$99:$F$178,C1141,'03_Planificacion'!$D$99:$D$178,"&lt;="&amp;$V$1)))</f>
        <v>0</v>
      </c>
      <c r="J1141" s="21">
        <f t="shared" si="121"/>
        <v>0</v>
      </c>
      <c r="K1141" s="6">
        <f t="shared" si="122"/>
        <v>0</v>
      </c>
      <c r="L1141" t="s">
        <v>68</v>
      </c>
      <c r="P1141" s="5">
        <f t="shared" si="123"/>
        <v>46287</v>
      </c>
      <c r="Q1141" t="s">
        <v>119</v>
      </c>
      <c r="R1141">
        <v>75</v>
      </c>
      <c r="S1141" t="s">
        <v>70</v>
      </c>
      <c r="T1141" t="str">
        <f t="shared" si="124"/>
        <v/>
      </c>
      <c r="U1141" t="str">
        <f>IF(AND(L1141="Para Programar",G1141&gt;0),COUNTIFS($L$5:L1141,"Para Programar",$G$5:G1141,"&gt;0"),"")</f>
        <v/>
      </c>
      <c r="W1141" t="str">
        <f t="shared" si="125"/>
        <v>N8 - N14|05 Tendido de cañería - Relevamiento planialtimétrico</v>
      </c>
      <c r="X1141">
        <v>0</v>
      </c>
    </row>
    <row r="1142" spans="1:24">
      <c r="A1142" t="s">
        <v>88</v>
      </c>
      <c r="B1142" s="14" t="s">
        <v>186</v>
      </c>
      <c r="C1142" t="s">
        <v>89</v>
      </c>
      <c r="D1142" s="13" t="s">
        <v>81</v>
      </c>
      <c r="E1142" s="13">
        <v>1</v>
      </c>
      <c r="F1142" s="13">
        <f>IF(E1142="","",MIN(E1142,$X1142+SUMIFS('05_Parte_Diario'!$H$5:$H$204,'05_Parte_Diario'!$D$5:$D$204,B1142,'05_Parte_Diario'!$E$5:$E$204,C1142)))</f>
        <v>0</v>
      </c>
      <c r="G1142" s="13">
        <f t="shared" si="119"/>
        <v>1</v>
      </c>
      <c r="H1142" s="21">
        <f t="shared" si="120"/>
        <v>0</v>
      </c>
      <c r="I1142" s="21">
        <f>IF(OR(B1142="",C1142="",$V$1=""),"",MIN(E1142,SUMIFS('03_Planificacion'!$G$99:$G$178,'03_Planificacion'!$E$99:$E$178,B1142,'03_Planificacion'!$F$99:$F$178,C1142,'03_Planificacion'!$D$99:$D$178,"&lt;="&amp;$V$1)))</f>
        <v>0</v>
      </c>
      <c r="J1142" s="21">
        <f t="shared" si="121"/>
        <v>0</v>
      </c>
      <c r="K1142" s="6">
        <f t="shared" si="122"/>
        <v>0</v>
      </c>
      <c r="L1142" t="s">
        <v>68</v>
      </c>
      <c r="P1142" s="5">
        <f t="shared" si="123"/>
        <v>46287</v>
      </c>
      <c r="Q1142" t="s">
        <v>119</v>
      </c>
      <c r="R1142">
        <v>75</v>
      </c>
      <c r="S1142" t="s">
        <v>70</v>
      </c>
      <c r="T1142" t="str">
        <f t="shared" si="124"/>
        <v/>
      </c>
      <c r="U1142" t="str">
        <f>IF(AND(L1142="Para Programar",G1142&gt;0),COUNTIFS($L$5:L1142,"Para Programar",$G$5:G1142,"&gt;0"),"")</f>
        <v/>
      </c>
      <c r="W1142" t="str">
        <f t="shared" si="125"/>
        <v>N8 - N14|08 Prueba hidráulica - Preparación del sistema</v>
      </c>
      <c r="X1142">
        <v>0</v>
      </c>
    </row>
    <row r="1143" spans="1:24">
      <c r="A1143" t="s">
        <v>90</v>
      </c>
      <c r="B1143" s="14" t="s">
        <v>186</v>
      </c>
      <c r="C1143" t="s">
        <v>91</v>
      </c>
      <c r="D1143" s="13" t="s">
        <v>81</v>
      </c>
      <c r="E1143" s="13">
        <v>1</v>
      </c>
      <c r="F1143" s="13">
        <f>IF(E1143="","",MIN(E1143,$X1143+SUMIFS('05_Parte_Diario'!$H$5:$H$204,'05_Parte_Diario'!$D$5:$D$204,B1143,'05_Parte_Diario'!$E$5:$E$204,C1143)))</f>
        <v>0</v>
      </c>
      <c r="G1143" s="13">
        <f t="shared" si="119"/>
        <v>1</v>
      </c>
      <c r="H1143" s="21">
        <f t="shared" si="120"/>
        <v>0</v>
      </c>
      <c r="I1143" s="21">
        <f>IF(OR(B1143="",C1143="",$V$1=""),"",MIN(E1143,SUMIFS('03_Planificacion'!$G$99:$G$178,'03_Planificacion'!$E$99:$E$178,B1143,'03_Planificacion'!$F$99:$F$178,C1143,'03_Planificacion'!$D$99:$D$178,"&lt;="&amp;$V$1)))</f>
        <v>0</v>
      </c>
      <c r="J1143" s="21">
        <f t="shared" si="121"/>
        <v>0</v>
      </c>
      <c r="K1143" s="6">
        <f t="shared" si="122"/>
        <v>0</v>
      </c>
      <c r="L1143" t="s">
        <v>68</v>
      </c>
      <c r="P1143" s="5">
        <f t="shared" si="123"/>
        <v>46287</v>
      </c>
      <c r="Q1143" t="s">
        <v>119</v>
      </c>
      <c r="R1143">
        <v>75</v>
      </c>
      <c r="S1143" t="s">
        <v>70</v>
      </c>
      <c r="T1143" t="str">
        <f t="shared" si="124"/>
        <v/>
      </c>
      <c r="U1143" t="str">
        <f>IF(AND(L1143="Para Programar",G1143&gt;0),COUNTIFS($L$5:L1143,"Para Programar",$G$5:G1143,"&gt;0"),"")</f>
        <v/>
      </c>
      <c r="W1143" t="str">
        <f t="shared" si="125"/>
        <v>N8 - N14|08 Prueba hidráulica - Interna N° 1</v>
      </c>
      <c r="X1143">
        <v>0</v>
      </c>
    </row>
    <row r="1144" spans="1:24">
      <c r="A1144" t="s">
        <v>92</v>
      </c>
      <c r="B1144" s="14" t="s">
        <v>186</v>
      </c>
      <c r="C1144" t="s">
        <v>93</v>
      </c>
      <c r="D1144" s="13" t="s">
        <v>81</v>
      </c>
      <c r="E1144" s="13">
        <v>1</v>
      </c>
      <c r="F1144" s="13">
        <f>IF(E1144="","",MIN(E1144,$X1144+SUMIFS('05_Parte_Diario'!$H$5:$H$204,'05_Parte_Diario'!$D$5:$D$204,B1144,'05_Parte_Diario'!$E$5:$E$204,C1144)))</f>
        <v>0</v>
      </c>
      <c r="G1144" s="13">
        <f t="shared" si="119"/>
        <v>1</v>
      </c>
      <c r="H1144" s="21">
        <f t="shared" si="120"/>
        <v>0</v>
      </c>
      <c r="I1144" s="21">
        <f>IF(OR(B1144="",C1144="",$V$1=""),"",MIN(E1144,SUMIFS('03_Planificacion'!$G$99:$G$178,'03_Planificacion'!$E$99:$E$178,B1144,'03_Planificacion'!$F$99:$F$178,C1144,'03_Planificacion'!$D$99:$D$178,"&lt;="&amp;$V$1)))</f>
        <v>0</v>
      </c>
      <c r="J1144" s="21">
        <f t="shared" si="121"/>
        <v>0</v>
      </c>
      <c r="K1144" s="6">
        <f t="shared" si="122"/>
        <v>0</v>
      </c>
      <c r="L1144" t="s">
        <v>68</v>
      </c>
      <c r="P1144" s="5">
        <f t="shared" si="123"/>
        <v>46287</v>
      </c>
      <c r="Q1144" t="s">
        <v>119</v>
      </c>
      <c r="R1144">
        <v>75</v>
      </c>
      <c r="S1144" t="s">
        <v>70</v>
      </c>
      <c r="T1144" t="str">
        <f t="shared" si="124"/>
        <v/>
      </c>
      <c r="U1144" t="str">
        <f>IF(AND(L1144="Para Programar",G1144&gt;0),COUNTIFS($L$5:L1144,"Para Programar",$G$5:G1144,"&gt;0"),"")</f>
        <v/>
      </c>
      <c r="W1144" t="str">
        <f t="shared" si="125"/>
        <v>N8 - N14|08 Prueba hidráulica - Interna N° 2</v>
      </c>
      <c r="X1144">
        <v>0</v>
      </c>
    </row>
    <row r="1145" spans="1:24">
      <c r="A1145" t="s">
        <v>94</v>
      </c>
      <c r="B1145" s="14" t="s">
        <v>186</v>
      </c>
      <c r="C1145" t="s">
        <v>95</v>
      </c>
      <c r="D1145" s="13" t="s">
        <v>81</v>
      </c>
      <c r="E1145" s="13">
        <v>1</v>
      </c>
      <c r="F1145" s="13">
        <f>IF(E1145="","",MIN(E1145,$X1145+SUMIFS('05_Parte_Diario'!$H$5:$H$204,'05_Parte_Diario'!$D$5:$D$204,B1145,'05_Parte_Diario'!$E$5:$E$204,C1145)))</f>
        <v>0</v>
      </c>
      <c r="G1145" s="13">
        <f t="shared" si="119"/>
        <v>1</v>
      </c>
      <c r="H1145" s="21">
        <f t="shared" si="120"/>
        <v>0</v>
      </c>
      <c r="I1145" s="21">
        <f>IF(OR(B1145="",C1145="",$V$1=""),"",MIN(E1145,SUMIFS('03_Planificacion'!$G$99:$G$178,'03_Planificacion'!$E$99:$E$178,B1145,'03_Planificacion'!$F$99:$F$178,C1145,'03_Planificacion'!$D$99:$D$178,"&lt;="&amp;$V$1)))</f>
        <v>0</v>
      </c>
      <c r="J1145" s="21">
        <f t="shared" si="121"/>
        <v>0</v>
      </c>
      <c r="K1145" s="6">
        <f t="shared" si="122"/>
        <v>0</v>
      </c>
      <c r="L1145" t="s">
        <v>68</v>
      </c>
      <c r="P1145" s="5">
        <f t="shared" si="123"/>
        <v>46287</v>
      </c>
      <c r="Q1145" t="s">
        <v>119</v>
      </c>
      <c r="R1145">
        <v>75</v>
      </c>
      <c r="S1145" t="s">
        <v>70</v>
      </c>
      <c r="T1145" t="str">
        <f t="shared" si="124"/>
        <v/>
      </c>
      <c r="U1145" t="str">
        <f>IF(AND(L1145="Para Programar",G1145&gt;0),COUNTIFS($L$5:L1145,"Para Programar",$G$5:G1145,"&gt;0"),"")</f>
        <v/>
      </c>
      <c r="W1145" t="str">
        <f t="shared" si="125"/>
        <v>N8 - N14|08 Prueba hidráulica - Primera prueba oficial</v>
      </c>
      <c r="X1145">
        <v>0</v>
      </c>
    </row>
    <row r="1146" spans="1:24">
      <c r="A1146" t="s">
        <v>96</v>
      </c>
      <c r="B1146" s="14" t="s">
        <v>186</v>
      </c>
      <c r="C1146" t="s">
        <v>97</v>
      </c>
      <c r="D1146" s="13" t="s">
        <v>67</v>
      </c>
      <c r="E1146" s="13">
        <v>110</v>
      </c>
      <c r="F1146" s="13">
        <f>IF(E1146="","",MIN(E1146,$X1146+SUMIFS('05_Parte_Diario'!$H$5:$H$204,'05_Parte_Diario'!$D$5:$D$204,B1146,'05_Parte_Diario'!$E$5:$E$204,C1146)))</f>
        <v>0</v>
      </c>
      <c r="G1146" s="13">
        <f t="shared" si="119"/>
        <v>110</v>
      </c>
      <c r="H1146" s="21">
        <f t="shared" si="120"/>
        <v>0</v>
      </c>
      <c r="I1146" s="21">
        <f>IF(OR(B1146="",C1146="",$V$1=""),"",MIN(E1146,SUMIFS('03_Planificacion'!$G$99:$G$178,'03_Planificacion'!$E$99:$E$178,B1146,'03_Planificacion'!$F$99:$F$178,C1146,'03_Planificacion'!$D$99:$D$178,"&lt;="&amp;$V$1)))</f>
        <v>0</v>
      </c>
      <c r="J1146" s="21">
        <f t="shared" si="121"/>
        <v>0</v>
      </c>
      <c r="K1146" s="6">
        <f t="shared" si="122"/>
        <v>0</v>
      </c>
      <c r="L1146" t="s">
        <v>68</v>
      </c>
      <c r="P1146" s="5">
        <f t="shared" si="123"/>
        <v>46287</v>
      </c>
      <c r="Q1146" t="s">
        <v>119</v>
      </c>
      <c r="R1146">
        <v>75</v>
      </c>
      <c r="S1146" t="s">
        <v>70</v>
      </c>
      <c r="T1146" t="str">
        <f t="shared" si="124"/>
        <v/>
      </c>
      <c r="U1146" t="str">
        <f>IF(AND(L1146="Para Programar",G1146&gt;0),COUNTIFS($L$5:L1146,"Para Programar",$G$5:G1146,"&gt;0"),"")</f>
        <v/>
      </c>
      <c r="W1146" t="str">
        <f t="shared" si="125"/>
        <v>N8 - N14|09 Paquete estructural - Aporte e=0,30 m</v>
      </c>
      <c r="X1146">
        <v>0</v>
      </c>
    </row>
    <row r="1147" spans="1:24">
      <c r="A1147" t="s">
        <v>98</v>
      </c>
      <c r="B1147" s="14" t="s">
        <v>186</v>
      </c>
      <c r="C1147" t="s">
        <v>99</v>
      </c>
      <c r="D1147" s="13" t="s">
        <v>67</v>
      </c>
      <c r="E1147" s="13">
        <v>110</v>
      </c>
      <c r="F1147" s="13">
        <f>IF(E1147="","",MIN(E1147,$X1147+SUMIFS('05_Parte_Diario'!$H$5:$H$204,'05_Parte_Diario'!$D$5:$D$204,B1147,'05_Parte_Diario'!$E$5:$E$204,C1147)))</f>
        <v>0</v>
      </c>
      <c r="G1147" s="13">
        <f t="shared" si="119"/>
        <v>110</v>
      </c>
      <c r="H1147" s="21">
        <f t="shared" si="120"/>
        <v>0</v>
      </c>
      <c r="I1147" s="21">
        <f>IF(OR(B1147="",C1147="",$V$1=""),"",MIN(E1147,SUMIFS('03_Planificacion'!$G$99:$G$178,'03_Planificacion'!$E$99:$E$178,B1147,'03_Planificacion'!$F$99:$F$178,C1147,'03_Planificacion'!$D$99:$D$178,"&lt;="&amp;$V$1)))</f>
        <v>0</v>
      </c>
      <c r="J1147" s="21">
        <f t="shared" si="121"/>
        <v>0</v>
      </c>
      <c r="K1147" s="6">
        <f t="shared" si="122"/>
        <v>0</v>
      </c>
      <c r="L1147" t="s">
        <v>68</v>
      </c>
      <c r="P1147" s="5">
        <f t="shared" si="123"/>
        <v>46287</v>
      </c>
      <c r="Q1147" t="s">
        <v>119</v>
      </c>
      <c r="R1147">
        <v>75</v>
      </c>
      <c r="S1147" t="s">
        <v>70</v>
      </c>
      <c r="T1147" t="str">
        <f t="shared" si="124"/>
        <v/>
      </c>
      <c r="U1147" t="str">
        <f>IF(AND(L1147="Para Programar",G1147&gt;0),COUNTIFS($L$5:L1147,"Para Programar",$G$5:G1147,"&gt;0"),"")</f>
        <v/>
      </c>
      <c r="W1147" t="str">
        <f t="shared" si="125"/>
        <v>N8 - N14|09 Paquete estructural - Compactación</v>
      </c>
      <c r="X1147">
        <v>0</v>
      </c>
    </row>
    <row r="1148" spans="1:24">
      <c r="A1148" t="s">
        <v>100</v>
      </c>
      <c r="B1148" s="14" t="s">
        <v>186</v>
      </c>
      <c r="C1148" t="s">
        <v>101</v>
      </c>
      <c r="D1148" s="13" t="s">
        <v>81</v>
      </c>
      <c r="E1148" s="13">
        <v>1</v>
      </c>
      <c r="F1148" s="13">
        <f>IF(E1148="","",MIN(E1148,$X1148+SUMIFS('05_Parte_Diario'!$H$5:$H$204,'05_Parte_Diario'!$D$5:$D$204,B1148,'05_Parte_Diario'!$E$5:$E$204,C1148)))</f>
        <v>0</v>
      </c>
      <c r="G1148" s="13">
        <f t="shared" si="119"/>
        <v>1</v>
      </c>
      <c r="H1148" s="21">
        <f t="shared" si="120"/>
        <v>0</v>
      </c>
      <c r="I1148" s="21">
        <f>IF(OR(B1148="",C1148="",$V$1=""),"",MIN(E1148,SUMIFS('03_Planificacion'!$G$99:$G$178,'03_Planificacion'!$E$99:$E$178,B1148,'03_Planificacion'!$F$99:$F$178,C1148,'03_Planificacion'!$D$99:$D$178,"&lt;="&amp;$V$1)))</f>
        <v>0</v>
      </c>
      <c r="J1148" s="21">
        <f t="shared" si="121"/>
        <v>0</v>
      </c>
      <c r="K1148" s="6">
        <f t="shared" si="122"/>
        <v>0</v>
      </c>
      <c r="L1148" t="s">
        <v>68</v>
      </c>
      <c r="P1148" s="5">
        <f t="shared" si="123"/>
        <v>46287</v>
      </c>
      <c r="Q1148" t="s">
        <v>119</v>
      </c>
      <c r="R1148">
        <v>75</v>
      </c>
      <c r="S1148" t="s">
        <v>70</v>
      </c>
      <c r="T1148" t="str">
        <f t="shared" si="124"/>
        <v/>
      </c>
      <c r="U1148" t="str">
        <f>IF(AND(L1148="Para Programar",G1148&gt;0),COUNTIFS($L$5:L1148,"Para Programar",$G$5:G1148,"&gt;0"),"")</f>
        <v/>
      </c>
      <c r="W1148" t="str">
        <f t="shared" si="125"/>
        <v>N8 - N14|09 Paquete estructural - Inspección laboratorio</v>
      </c>
      <c r="X1148">
        <v>0</v>
      </c>
    </row>
    <row r="1149" spans="1:24">
      <c r="A1149" t="s">
        <v>102</v>
      </c>
      <c r="B1149" s="14" t="s">
        <v>186</v>
      </c>
      <c r="C1149" t="s">
        <v>103</v>
      </c>
      <c r="D1149" s="13" t="s">
        <v>67</v>
      </c>
      <c r="E1149" s="13">
        <v>110</v>
      </c>
      <c r="F1149" s="13">
        <f>IF(E1149="","",MIN(E1149,$X1149+SUMIFS('05_Parte_Diario'!$H$5:$H$204,'05_Parte_Diario'!$D$5:$D$204,B1149,'05_Parte_Diario'!$E$5:$E$204,C1149)))</f>
        <v>0</v>
      </c>
      <c r="G1149" s="13">
        <f t="shared" si="119"/>
        <v>110</v>
      </c>
      <c r="H1149" s="21">
        <f t="shared" si="120"/>
        <v>0</v>
      </c>
      <c r="I1149" s="21">
        <f>IF(OR(B1149="",C1149="",$V$1=""),"",MIN(E1149,SUMIFS('03_Planificacion'!$G$99:$G$178,'03_Planificacion'!$E$99:$E$178,B1149,'03_Planificacion'!$F$99:$F$178,C1149,'03_Planificacion'!$D$99:$D$178,"&lt;="&amp;$V$1)))</f>
        <v>0</v>
      </c>
      <c r="J1149" s="21">
        <f t="shared" si="121"/>
        <v>0</v>
      </c>
      <c r="K1149" s="6">
        <f t="shared" si="122"/>
        <v>0</v>
      </c>
      <c r="L1149" t="s">
        <v>68</v>
      </c>
      <c r="P1149" s="5">
        <f t="shared" si="123"/>
        <v>46287</v>
      </c>
      <c r="Q1149" t="s">
        <v>119</v>
      </c>
      <c r="R1149">
        <v>75</v>
      </c>
      <c r="S1149" t="s">
        <v>70</v>
      </c>
      <c r="T1149" t="str">
        <f t="shared" si="124"/>
        <v/>
      </c>
      <c r="U1149" t="str">
        <f>IF(AND(L1149="Para Programar",G1149&gt;0),COUNTIFS($L$5:L1149,"Para Programar",$G$5:G1149,"&gt;0"),"")</f>
        <v/>
      </c>
      <c r="W1149" t="str">
        <f t="shared" si="125"/>
        <v>N8 - N14|10 Relleno -0,60 - Conformación de capa</v>
      </c>
      <c r="X1149">
        <v>0</v>
      </c>
    </row>
    <row r="1150" spans="1:24">
      <c r="A1150" t="s">
        <v>104</v>
      </c>
      <c r="B1150" s="14" t="s">
        <v>186</v>
      </c>
      <c r="C1150" t="s">
        <v>105</v>
      </c>
      <c r="D1150" s="13" t="s">
        <v>67</v>
      </c>
      <c r="E1150" s="13">
        <v>110</v>
      </c>
      <c r="F1150" s="13">
        <f>IF(E1150="","",MIN(E1150,$X1150+SUMIFS('05_Parte_Diario'!$H$5:$H$204,'05_Parte_Diario'!$D$5:$D$204,B1150,'05_Parte_Diario'!$E$5:$E$204,C1150)))</f>
        <v>0</v>
      </c>
      <c r="G1150" s="13">
        <f t="shared" si="119"/>
        <v>110</v>
      </c>
      <c r="H1150" s="21">
        <f t="shared" si="120"/>
        <v>0</v>
      </c>
      <c r="I1150" s="21">
        <f>IF(OR(B1150="",C1150="",$V$1=""),"",MIN(E1150,SUMIFS('03_Planificacion'!$G$99:$G$178,'03_Planificacion'!$E$99:$E$178,B1150,'03_Planificacion'!$F$99:$F$178,C1150,'03_Planificacion'!$D$99:$D$178,"&lt;="&amp;$V$1)))</f>
        <v>0</v>
      </c>
      <c r="J1150" s="21">
        <f t="shared" si="121"/>
        <v>0</v>
      </c>
      <c r="K1150" s="6">
        <f t="shared" si="122"/>
        <v>0</v>
      </c>
      <c r="L1150" t="s">
        <v>68</v>
      </c>
      <c r="P1150" s="5">
        <f t="shared" si="123"/>
        <v>46287</v>
      </c>
      <c r="Q1150" t="s">
        <v>119</v>
      </c>
      <c r="R1150">
        <v>75</v>
      </c>
      <c r="S1150" t="s">
        <v>70</v>
      </c>
      <c r="T1150" t="str">
        <f t="shared" si="124"/>
        <v/>
      </c>
      <c r="U1150" t="str">
        <f>IF(AND(L1150="Para Programar",G1150&gt;0),COUNTIFS($L$5:L1150,"Para Programar",$G$5:G1150,"&gt;0"),"")</f>
        <v/>
      </c>
      <c r="W1150" t="str">
        <f t="shared" si="125"/>
        <v>N8 - N14|10 Relleno -0,60 - Humectación</v>
      </c>
      <c r="X1150">
        <v>0</v>
      </c>
    </row>
    <row r="1151" spans="1:24">
      <c r="A1151" t="s">
        <v>106</v>
      </c>
      <c r="B1151" s="14" t="s">
        <v>186</v>
      </c>
      <c r="C1151" t="s">
        <v>107</v>
      </c>
      <c r="D1151" s="13" t="s">
        <v>67</v>
      </c>
      <c r="E1151" s="13">
        <v>110</v>
      </c>
      <c r="F1151" s="13">
        <f>IF(E1151="","",MIN(E1151,$X1151+SUMIFS('05_Parte_Diario'!$H$5:$H$204,'05_Parte_Diario'!$D$5:$D$204,B1151,'05_Parte_Diario'!$E$5:$E$204,C1151)))</f>
        <v>0</v>
      </c>
      <c r="G1151" s="13">
        <f t="shared" si="119"/>
        <v>110</v>
      </c>
      <c r="H1151" s="21">
        <f t="shared" si="120"/>
        <v>0</v>
      </c>
      <c r="I1151" s="21">
        <f>IF(OR(B1151="",C1151="",$V$1=""),"",MIN(E1151,SUMIFS('03_Planificacion'!$G$99:$G$178,'03_Planificacion'!$E$99:$E$178,B1151,'03_Planificacion'!$F$99:$F$178,C1151,'03_Planificacion'!$D$99:$D$178,"&lt;="&amp;$V$1)))</f>
        <v>0</v>
      </c>
      <c r="J1151" s="21">
        <f t="shared" si="121"/>
        <v>0</v>
      </c>
      <c r="K1151" s="6">
        <f t="shared" si="122"/>
        <v>0</v>
      </c>
      <c r="L1151" t="s">
        <v>68</v>
      </c>
      <c r="P1151" s="5">
        <f t="shared" si="123"/>
        <v>46287</v>
      </c>
      <c r="Q1151" t="s">
        <v>119</v>
      </c>
      <c r="R1151">
        <v>75</v>
      </c>
      <c r="S1151" t="s">
        <v>70</v>
      </c>
      <c r="T1151" t="str">
        <f t="shared" si="124"/>
        <v/>
      </c>
      <c r="U1151" t="str">
        <f>IF(AND(L1151="Para Programar",G1151&gt;0),COUNTIFS($L$5:L1151,"Para Programar",$G$5:G1151,"&gt;0"),"")</f>
        <v/>
      </c>
      <c r="W1151" t="str">
        <f t="shared" si="125"/>
        <v>N8 - N14|10 Relleno -0,60 - Compactación</v>
      </c>
      <c r="X1151">
        <v>0</v>
      </c>
    </row>
    <row r="1152" spans="1:24">
      <c r="A1152" t="s">
        <v>108</v>
      </c>
      <c r="B1152" s="14" t="s">
        <v>186</v>
      </c>
      <c r="C1152" t="s">
        <v>109</v>
      </c>
      <c r="D1152" s="13" t="s">
        <v>81</v>
      </c>
      <c r="E1152" s="13">
        <v>1</v>
      </c>
      <c r="F1152" s="13">
        <f>IF(E1152="","",MIN(E1152,$X1152+SUMIFS('05_Parte_Diario'!$H$5:$H$204,'05_Parte_Diario'!$D$5:$D$204,B1152,'05_Parte_Diario'!$E$5:$E$204,C1152)))</f>
        <v>0</v>
      </c>
      <c r="G1152" s="13">
        <f t="shared" si="119"/>
        <v>1</v>
      </c>
      <c r="H1152" s="21">
        <f t="shared" si="120"/>
        <v>0</v>
      </c>
      <c r="I1152" s="21">
        <f>IF(OR(B1152="",C1152="",$V$1=""),"",MIN(E1152,SUMIFS('03_Planificacion'!$G$99:$G$178,'03_Planificacion'!$E$99:$E$178,B1152,'03_Planificacion'!$F$99:$F$178,C1152,'03_Planificacion'!$D$99:$D$178,"&lt;="&amp;$V$1)))</f>
        <v>0</v>
      </c>
      <c r="J1152" s="21">
        <f t="shared" si="121"/>
        <v>0</v>
      </c>
      <c r="K1152" s="6">
        <f t="shared" si="122"/>
        <v>0</v>
      </c>
      <c r="L1152" t="s">
        <v>68</v>
      </c>
      <c r="P1152" s="5">
        <f t="shared" si="123"/>
        <v>46287</v>
      </c>
      <c r="Q1152" t="s">
        <v>119</v>
      </c>
      <c r="R1152">
        <v>75</v>
      </c>
      <c r="S1152" t="s">
        <v>70</v>
      </c>
      <c r="T1152" t="str">
        <f t="shared" si="124"/>
        <v/>
      </c>
      <c r="U1152" t="str">
        <f>IF(AND(L1152="Para Programar",G1152&gt;0),COUNTIFS($L$5:L1152,"Para Programar",$G$5:G1152,"&gt;0"),"")</f>
        <v/>
      </c>
      <c r="W1152" t="str">
        <f t="shared" si="125"/>
        <v>N8 - N14|10 Relleno -0,60 - Inspección laboratorio</v>
      </c>
      <c r="X1152">
        <v>0</v>
      </c>
    </row>
    <row r="1153" spans="1:24">
      <c r="A1153" t="s">
        <v>110</v>
      </c>
      <c r="B1153" s="14" t="s">
        <v>186</v>
      </c>
      <c r="C1153" t="s">
        <v>111</v>
      </c>
      <c r="D1153" s="13" t="s">
        <v>67</v>
      </c>
      <c r="E1153" s="13">
        <v>110</v>
      </c>
      <c r="F1153" s="13">
        <f>IF(E1153="","",MIN(E1153,$X1153+SUMIFS('05_Parte_Diario'!$H$5:$H$204,'05_Parte_Diario'!$D$5:$D$204,B1153,'05_Parte_Diario'!$E$5:$E$204,C1153)))</f>
        <v>0</v>
      </c>
      <c r="G1153" s="13">
        <f t="shared" si="119"/>
        <v>110</v>
      </c>
      <c r="H1153" s="21">
        <f t="shared" si="120"/>
        <v>0</v>
      </c>
      <c r="I1153" s="21">
        <f>IF(OR(B1153="",C1153="",$V$1=""),"",MIN(E1153,SUMIFS('03_Planificacion'!$G$99:$G$178,'03_Planificacion'!$E$99:$E$178,B1153,'03_Planificacion'!$F$99:$F$178,C1153,'03_Planificacion'!$D$99:$D$178,"&lt;="&amp;$V$1)))</f>
        <v>0</v>
      </c>
      <c r="J1153" s="21">
        <f t="shared" si="121"/>
        <v>0</v>
      </c>
      <c r="K1153" s="6">
        <f t="shared" si="122"/>
        <v>0</v>
      </c>
      <c r="L1153" t="s">
        <v>68</v>
      </c>
      <c r="P1153" s="5">
        <f t="shared" si="123"/>
        <v>46287</v>
      </c>
      <c r="Q1153" t="s">
        <v>119</v>
      </c>
      <c r="R1153">
        <v>75</v>
      </c>
      <c r="S1153" t="s">
        <v>70</v>
      </c>
      <c r="T1153" t="str">
        <f t="shared" si="124"/>
        <v/>
      </c>
      <c r="U1153" t="str">
        <f>IF(AND(L1153="Para Programar",G1153&gt;0),COUNTIFS($L$5:L1153,"Para Programar",$G$5:G1153,"&gt;0"),"")</f>
        <v/>
      </c>
      <c r="W1153" t="str">
        <f t="shared" si="125"/>
        <v>N8 - N14|11 Relleno -0,30 - Conformación de capa</v>
      </c>
      <c r="X1153">
        <v>0</v>
      </c>
    </row>
    <row r="1154" spans="1:24">
      <c r="A1154" t="s">
        <v>112</v>
      </c>
      <c r="B1154" s="14" t="s">
        <v>186</v>
      </c>
      <c r="C1154" t="s">
        <v>113</v>
      </c>
      <c r="D1154" s="13" t="s">
        <v>67</v>
      </c>
      <c r="E1154" s="13">
        <v>110</v>
      </c>
      <c r="F1154" s="13">
        <f>IF(E1154="","",MIN(E1154,$X1154+SUMIFS('05_Parte_Diario'!$H$5:$H$204,'05_Parte_Diario'!$D$5:$D$204,B1154,'05_Parte_Diario'!$E$5:$E$204,C1154)))</f>
        <v>0</v>
      </c>
      <c r="G1154" s="13">
        <f t="shared" si="119"/>
        <v>110</v>
      </c>
      <c r="H1154" s="21">
        <f t="shared" si="120"/>
        <v>0</v>
      </c>
      <c r="I1154" s="21">
        <f>IF(OR(B1154="",C1154="",$V$1=""),"",MIN(E1154,SUMIFS('03_Planificacion'!$G$99:$G$178,'03_Planificacion'!$E$99:$E$178,B1154,'03_Planificacion'!$F$99:$F$178,C1154,'03_Planificacion'!$D$99:$D$178,"&lt;="&amp;$V$1)))</f>
        <v>0</v>
      </c>
      <c r="J1154" s="21">
        <f t="shared" si="121"/>
        <v>0</v>
      </c>
      <c r="K1154" s="6">
        <f t="shared" si="122"/>
        <v>0</v>
      </c>
      <c r="L1154" t="s">
        <v>68</v>
      </c>
      <c r="P1154" s="5">
        <f t="shared" si="123"/>
        <v>46287</v>
      </c>
      <c r="Q1154" t="s">
        <v>119</v>
      </c>
      <c r="R1154">
        <v>75</v>
      </c>
      <c r="S1154" t="s">
        <v>70</v>
      </c>
      <c r="T1154" t="str">
        <f t="shared" si="124"/>
        <v/>
      </c>
      <c r="U1154" t="str">
        <f>IF(AND(L1154="Para Programar",G1154&gt;0),COUNTIFS($L$5:L1154,"Para Programar",$G$5:G1154,"&gt;0"),"")</f>
        <v/>
      </c>
      <c r="W1154" t="str">
        <f t="shared" si="125"/>
        <v>N8 - N14|11 Relleno -0,30 - Humectación</v>
      </c>
      <c r="X1154">
        <v>0</v>
      </c>
    </row>
    <row r="1155" spans="1:24">
      <c r="A1155" t="s">
        <v>114</v>
      </c>
      <c r="B1155" s="14" t="s">
        <v>186</v>
      </c>
      <c r="C1155" t="s">
        <v>115</v>
      </c>
      <c r="D1155" s="13" t="s">
        <v>67</v>
      </c>
      <c r="E1155" s="13">
        <v>110</v>
      </c>
      <c r="F1155" s="13">
        <f>IF(E1155="","",MIN(E1155,$X1155+SUMIFS('05_Parte_Diario'!$H$5:$H$204,'05_Parte_Diario'!$D$5:$D$204,B1155,'05_Parte_Diario'!$E$5:$E$204,C1155)))</f>
        <v>0</v>
      </c>
      <c r="G1155" s="13">
        <f t="shared" si="119"/>
        <v>110</v>
      </c>
      <c r="H1155" s="21">
        <f t="shared" si="120"/>
        <v>0</v>
      </c>
      <c r="I1155" s="21">
        <f>IF(OR(B1155="",C1155="",$V$1=""),"",MIN(E1155,SUMIFS('03_Planificacion'!$G$99:$G$178,'03_Planificacion'!$E$99:$E$178,B1155,'03_Planificacion'!$F$99:$F$178,C1155,'03_Planificacion'!$D$99:$D$178,"&lt;="&amp;$V$1)))</f>
        <v>0</v>
      </c>
      <c r="J1155" s="21">
        <f t="shared" si="121"/>
        <v>0</v>
      </c>
      <c r="K1155" s="6">
        <f t="shared" si="122"/>
        <v>0</v>
      </c>
      <c r="L1155" t="s">
        <v>68</v>
      </c>
      <c r="P1155" s="5">
        <f t="shared" si="123"/>
        <v>46287</v>
      </c>
      <c r="Q1155" t="s">
        <v>119</v>
      </c>
      <c r="R1155">
        <v>75</v>
      </c>
      <c r="S1155" t="s">
        <v>70</v>
      </c>
      <c r="T1155" t="str">
        <f t="shared" si="124"/>
        <v/>
      </c>
      <c r="U1155" t="str">
        <f>IF(AND(L1155="Para Programar",G1155&gt;0),COUNTIFS($L$5:L1155,"Para Programar",$G$5:G1155,"&gt;0"),"")</f>
        <v/>
      </c>
      <c r="W1155" t="str">
        <f t="shared" si="125"/>
        <v>N8 - N14|11 Relleno -0,30 - Compactación</v>
      </c>
      <c r="X1155">
        <v>0</v>
      </c>
    </row>
    <row r="1156" spans="1:24">
      <c r="A1156" t="s">
        <v>116</v>
      </c>
      <c r="B1156" s="14" t="s">
        <v>186</v>
      </c>
      <c r="C1156" t="s">
        <v>117</v>
      </c>
      <c r="D1156" s="13" t="s">
        <v>81</v>
      </c>
      <c r="E1156" s="13">
        <v>1</v>
      </c>
      <c r="F1156" s="13">
        <f>IF(E1156="","",MIN(E1156,$X1156+SUMIFS('05_Parte_Diario'!$H$5:$H$204,'05_Parte_Diario'!$D$5:$D$204,B1156,'05_Parte_Diario'!$E$5:$E$204,C1156)))</f>
        <v>0</v>
      </c>
      <c r="G1156" s="13">
        <f t="shared" si="119"/>
        <v>1</v>
      </c>
      <c r="H1156" s="21">
        <f t="shared" si="120"/>
        <v>0</v>
      </c>
      <c r="I1156" s="21">
        <f>IF(OR(B1156="",C1156="",$V$1=""),"",MIN(E1156,SUMIFS('03_Planificacion'!$G$99:$G$178,'03_Planificacion'!$E$99:$E$178,B1156,'03_Planificacion'!$F$99:$F$178,C1156,'03_Planificacion'!$D$99:$D$178,"&lt;="&amp;$V$1)))</f>
        <v>0</v>
      </c>
      <c r="J1156" s="21">
        <f t="shared" si="121"/>
        <v>0</v>
      </c>
      <c r="K1156" s="6">
        <f t="shared" si="122"/>
        <v>0</v>
      </c>
      <c r="L1156" t="s">
        <v>68</v>
      </c>
      <c r="P1156" s="5">
        <f t="shared" si="123"/>
        <v>46287</v>
      </c>
      <c r="Q1156" t="s">
        <v>119</v>
      </c>
      <c r="R1156">
        <v>75</v>
      </c>
      <c r="S1156" t="s">
        <v>70</v>
      </c>
      <c r="T1156" t="str">
        <f t="shared" si="124"/>
        <v/>
      </c>
      <c r="U1156" t="str">
        <f>IF(AND(L1156="Para Programar",G1156&gt;0),COUNTIFS($L$5:L1156,"Para Programar",$G$5:G1156,"&gt;0"),"")</f>
        <v/>
      </c>
      <c r="W1156" t="str">
        <f t="shared" si="125"/>
        <v>N8 - N14|11 Relleno -0,30 - Inspección laboratorio</v>
      </c>
      <c r="X1156">
        <v>0</v>
      </c>
    </row>
    <row r="1157" spans="1:24">
      <c r="A1157" t="s">
        <v>64</v>
      </c>
      <c r="B1157" s="14" t="s">
        <v>187</v>
      </c>
      <c r="C1157" t="s">
        <v>66</v>
      </c>
      <c r="D1157" s="13" t="s">
        <v>67</v>
      </c>
      <c r="E1157" s="13">
        <v>140</v>
      </c>
      <c r="F1157" s="13">
        <f>IF(E1157="","",MIN(E1157,$X1157+SUMIFS('05_Parte_Diario'!$H$5:$H$204,'05_Parte_Diario'!$D$5:$D$204,B1157,'05_Parte_Diario'!$E$5:$E$204,C1157)))</f>
        <v>0</v>
      </c>
      <c r="G1157" s="13">
        <f t="shared" ref="G1157:G1204" si="126">IF(E1157="","",MAX(E1157-F1157,0))</f>
        <v>140</v>
      </c>
      <c r="H1157" s="21">
        <f t="shared" ref="H1157:H1204" si="127">IFERROR(F1157/E1157,0)</f>
        <v>0</v>
      </c>
      <c r="I1157" s="21">
        <f>IF(OR(B1157="",C1157="",$V$1=""),"",MIN(E1157,SUMIFS('03_Planificacion'!$G$99:$G$178,'03_Planificacion'!$E$99:$E$178,B1157,'03_Planificacion'!$F$99:$F$178,C1157,'03_Planificacion'!$D$99:$D$178,"&lt;="&amp;$V$1)))</f>
        <v>0</v>
      </c>
      <c r="J1157" s="21">
        <f t="shared" ref="J1157:J1204" si="128">IFERROR(I1157/E1157,0)</f>
        <v>0</v>
      </c>
      <c r="K1157" s="6">
        <f t="shared" ref="K1157:K1204" si="129">IF(OR(E1157="",$V$1=""),"",H1157-J1157)</f>
        <v>0</v>
      </c>
      <c r="L1157" t="s">
        <v>68</v>
      </c>
      <c r="P1157" s="5">
        <f t="shared" ref="P1157:P1204" si="130">IF(A1157="","",$V$1)</f>
        <v>46287</v>
      </c>
      <c r="Q1157" t="s">
        <v>188</v>
      </c>
      <c r="R1157">
        <v>75</v>
      </c>
      <c r="S1157" t="s">
        <v>70</v>
      </c>
      <c r="T1157" t="str">
        <f t="shared" ref="T1157:T1204" si="131">IF(A1157="","",IF(AND(L1157="Para Programar",G1157=0),"INCONSISTENCIA - REVISAR MANUALMENTE: Para Programar sin saldo",IF(AND(L1157="Terminada",G1157&gt;0),"INCONSISTENCIA - REVISAR MANUALMENTE: Terminada con saldo","")))</f>
        <v/>
      </c>
      <c r="U1157" t="str">
        <f>IF(AND(L1157="Para Programar",G1157&gt;0),COUNTIFS($L$5:L1157,"Para Programar",$G$5:G1157,"&gt;0"),"")</f>
        <v/>
      </c>
      <c r="W1157" t="str">
        <f t="shared" ref="W1157:W1204" si="132">IF(OR(B1157="",C1157=""),"",B1157&amp;"|"&amp;C1157)</f>
        <v>N8 - N10|01 Replanteo - Marcación de tramo de cañería principal</v>
      </c>
      <c r="X1157">
        <v>0</v>
      </c>
    </row>
    <row r="1158" spans="1:24">
      <c r="A1158" t="s">
        <v>71</v>
      </c>
      <c r="B1158" s="14" t="s">
        <v>187</v>
      </c>
      <c r="C1158" t="s">
        <v>72</v>
      </c>
      <c r="D1158" s="13" t="s">
        <v>67</v>
      </c>
      <c r="E1158" s="13">
        <v>140</v>
      </c>
      <c r="F1158" s="13">
        <f>IF(E1158="","",MIN(E1158,$X1158+SUMIFS('05_Parte_Diario'!$H$5:$H$204,'05_Parte_Diario'!$D$5:$D$204,B1158,'05_Parte_Diario'!$E$5:$E$204,C1158)))</f>
        <v>0</v>
      </c>
      <c r="G1158" s="13">
        <f t="shared" si="126"/>
        <v>140</v>
      </c>
      <c r="H1158" s="21">
        <f t="shared" si="127"/>
        <v>0</v>
      </c>
      <c r="I1158" s="21">
        <f>IF(OR(B1158="",C1158="",$V$1=""),"",MIN(E1158,SUMIFS('03_Planificacion'!$G$99:$G$178,'03_Planificacion'!$E$99:$E$178,B1158,'03_Planificacion'!$F$99:$F$178,C1158,'03_Planificacion'!$D$99:$D$178,"&lt;="&amp;$V$1)))</f>
        <v>0</v>
      </c>
      <c r="J1158" s="21">
        <f t="shared" si="128"/>
        <v>0</v>
      </c>
      <c r="K1158" s="6">
        <f t="shared" si="129"/>
        <v>0</v>
      </c>
      <c r="L1158" t="s">
        <v>68</v>
      </c>
      <c r="P1158" s="5">
        <f t="shared" si="130"/>
        <v>46287</v>
      </c>
      <c r="Q1158" t="s">
        <v>188</v>
      </c>
      <c r="R1158">
        <v>75</v>
      </c>
      <c r="S1158" t="s">
        <v>70</v>
      </c>
      <c r="T1158" t="str">
        <f t="shared" si="131"/>
        <v/>
      </c>
      <c r="U1158" t="str">
        <f>IF(AND(L1158="Para Programar",G1158&gt;0),COUNTIFS($L$5:L1158,"Para Programar",$G$5:G1158,"&gt;0"),"")</f>
        <v/>
      </c>
      <c r="W1158" t="str">
        <f t="shared" si="132"/>
        <v>N8 - N10|02 Excavación - Zanja principal</v>
      </c>
      <c r="X1158">
        <v>0</v>
      </c>
    </row>
    <row r="1159" spans="1:24">
      <c r="A1159" t="s">
        <v>73</v>
      </c>
      <c r="B1159" s="14" t="s">
        <v>187</v>
      </c>
      <c r="C1159" t="s">
        <v>74</v>
      </c>
      <c r="D1159" s="13" t="s">
        <v>67</v>
      </c>
      <c r="E1159" s="13">
        <v>140</v>
      </c>
      <c r="F1159" s="13">
        <f>IF(E1159="","",MIN(E1159,$X1159+SUMIFS('05_Parte_Diario'!$H$5:$H$204,'05_Parte_Diario'!$D$5:$D$204,B1159,'05_Parte_Diario'!$E$5:$E$204,C1159)))</f>
        <v>0</v>
      </c>
      <c r="G1159" s="13">
        <f t="shared" si="126"/>
        <v>140</v>
      </c>
      <c r="H1159" s="21">
        <f t="shared" si="127"/>
        <v>0</v>
      </c>
      <c r="I1159" s="21">
        <f>IF(OR(B1159="",C1159="",$V$1=""),"",MIN(E1159,SUMIFS('03_Planificacion'!$G$99:$G$178,'03_Planificacion'!$E$99:$E$178,B1159,'03_Planificacion'!$F$99:$F$178,C1159,'03_Planificacion'!$D$99:$D$178,"&lt;="&amp;$V$1)))</f>
        <v>0</v>
      </c>
      <c r="J1159" s="21">
        <f t="shared" si="128"/>
        <v>0</v>
      </c>
      <c r="K1159" s="6">
        <f t="shared" si="129"/>
        <v>0</v>
      </c>
      <c r="L1159" t="s">
        <v>68</v>
      </c>
      <c r="P1159" s="5">
        <f t="shared" si="130"/>
        <v>46287</v>
      </c>
      <c r="Q1159" t="s">
        <v>188</v>
      </c>
      <c r="R1159">
        <v>75</v>
      </c>
      <c r="S1159" t="s">
        <v>70</v>
      </c>
      <c r="T1159" t="str">
        <f t="shared" si="131"/>
        <v/>
      </c>
      <c r="U1159" t="str">
        <f>IF(AND(L1159="Para Programar",G1159&gt;0),COUNTIFS($L$5:L1159,"Para Programar",$G$5:G1159,"&gt;0"),"")</f>
        <v/>
      </c>
      <c r="W1159" t="str">
        <f t="shared" si="132"/>
        <v>N8 - N10|03 Base de asiento - Nivelación de fondo de zanja</v>
      </c>
      <c r="X1159">
        <v>0</v>
      </c>
    </row>
    <row r="1160" spans="1:24">
      <c r="A1160" t="s">
        <v>75</v>
      </c>
      <c r="B1160" s="14" t="s">
        <v>187</v>
      </c>
      <c r="C1160" t="s">
        <v>76</v>
      </c>
      <c r="D1160" s="13" t="s">
        <v>67</v>
      </c>
      <c r="E1160" s="13">
        <v>140</v>
      </c>
      <c r="F1160" s="13">
        <f>IF(E1160="","",MIN(E1160,$X1160+SUMIFS('05_Parte_Diario'!$H$5:$H$204,'05_Parte_Diario'!$D$5:$D$204,B1160,'05_Parte_Diario'!$E$5:$E$204,C1160)))</f>
        <v>0</v>
      </c>
      <c r="G1160" s="13">
        <f t="shared" si="126"/>
        <v>140</v>
      </c>
      <c r="H1160" s="21">
        <f t="shared" si="127"/>
        <v>0</v>
      </c>
      <c r="I1160" s="21">
        <f>IF(OR(B1160="",C1160="",$V$1=""),"",MIN(E1160,SUMIFS('03_Planificacion'!$G$99:$G$178,'03_Planificacion'!$E$99:$E$178,B1160,'03_Planificacion'!$F$99:$F$178,C1160,'03_Planificacion'!$D$99:$D$178,"&lt;="&amp;$V$1)))</f>
        <v>0</v>
      </c>
      <c r="J1160" s="21">
        <f t="shared" si="128"/>
        <v>0</v>
      </c>
      <c r="K1160" s="6">
        <f t="shared" si="129"/>
        <v>0</v>
      </c>
      <c r="L1160" t="s">
        <v>68</v>
      </c>
      <c r="P1160" s="5">
        <f t="shared" si="130"/>
        <v>46287</v>
      </c>
      <c r="Q1160" t="s">
        <v>188</v>
      </c>
      <c r="R1160">
        <v>75</v>
      </c>
      <c r="S1160" t="s">
        <v>70</v>
      </c>
      <c r="T1160" t="str">
        <f t="shared" si="131"/>
        <v/>
      </c>
      <c r="U1160" t="str">
        <f>IF(AND(L1160="Para Programar",G1160&gt;0),COUNTIFS($L$5:L1160,"Para Programar",$G$5:G1160,"&gt;0"),"")</f>
        <v/>
      </c>
      <c r="W1160" t="str">
        <f t="shared" si="132"/>
        <v>N8 - N10|03 Base de asiento - Aporte de material base e=0,10 m</v>
      </c>
      <c r="X1160">
        <v>0</v>
      </c>
    </row>
    <row r="1161" spans="1:24">
      <c r="A1161" t="s">
        <v>77</v>
      </c>
      <c r="B1161" s="14" t="s">
        <v>187</v>
      </c>
      <c r="C1161" t="s">
        <v>78</v>
      </c>
      <c r="D1161" s="13" t="s">
        <v>67</v>
      </c>
      <c r="E1161" s="13">
        <v>140</v>
      </c>
      <c r="F1161" s="13">
        <f>IF(E1161="","",MIN(E1161,$X1161+SUMIFS('05_Parte_Diario'!$H$5:$H$204,'05_Parte_Diario'!$D$5:$D$204,B1161,'05_Parte_Diario'!$E$5:$E$204,C1161)))</f>
        <v>0</v>
      </c>
      <c r="G1161" s="13">
        <f t="shared" si="126"/>
        <v>140</v>
      </c>
      <c r="H1161" s="21">
        <f t="shared" si="127"/>
        <v>0</v>
      </c>
      <c r="I1161" s="21">
        <f>IF(OR(B1161="",C1161="",$V$1=""),"",MIN(E1161,SUMIFS('03_Planificacion'!$G$99:$G$178,'03_Planificacion'!$E$99:$E$178,B1161,'03_Planificacion'!$F$99:$F$178,C1161,'03_Planificacion'!$D$99:$D$178,"&lt;="&amp;$V$1)))</f>
        <v>0</v>
      </c>
      <c r="J1161" s="21">
        <f t="shared" si="128"/>
        <v>0</v>
      </c>
      <c r="K1161" s="6">
        <f t="shared" si="129"/>
        <v>0</v>
      </c>
      <c r="L1161" t="s">
        <v>68</v>
      </c>
      <c r="P1161" s="5">
        <f t="shared" si="130"/>
        <v>46287</v>
      </c>
      <c r="Q1161" t="s">
        <v>188</v>
      </c>
      <c r="R1161">
        <v>75</v>
      </c>
      <c r="S1161" t="s">
        <v>70</v>
      </c>
      <c r="T1161" t="str">
        <f t="shared" si="131"/>
        <v/>
      </c>
      <c r="U1161" t="str">
        <f>IF(AND(L1161="Para Programar",G1161&gt;0),COUNTIFS($L$5:L1161,"Para Programar",$G$5:G1161,"&gt;0"),"")</f>
        <v/>
      </c>
      <c r="W1161" t="str">
        <f t="shared" si="132"/>
        <v>N8 - N10|03 Base de asiento - Compactación</v>
      </c>
      <c r="X1161">
        <v>0</v>
      </c>
    </row>
    <row r="1162" spans="1:24">
      <c r="A1162" t="s">
        <v>79</v>
      </c>
      <c r="B1162" s="14" t="s">
        <v>187</v>
      </c>
      <c r="C1162" t="s">
        <v>80</v>
      </c>
      <c r="D1162" s="13" t="s">
        <v>81</v>
      </c>
      <c r="E1162" s="13">
        <v>1</v>
      </c>
      <c r="F1162" s="13">
        <f>IF(E1162="","",MIN(E1162,$X1162+SUMIFS('05_Parte_Diario'!$H$5:$H$204,'05_Parte_Diario'!$D$5:$D$204,B1162,'05_Parte_Diario'!$E$5:$E$204,C1162)))</f>
        <v>0</v>
      </c>
      <c r="G1162" s="13">
        <f t="shared" si="126"/>
        <v>1</v>
      </c>
      <c r="H1162" s="21">
        <f t="shared" si="127"/>
        <v>0</v>
      </c>
      <c r="I1162" s="21">
        <f>IF(OR(B1162="",C1162="",$V$1=""),"",MIN(E1162,SUMIFS('03_Planificacion'!$G$99:$G$178,'03_Planificacion'!$E$99:$E$178,B1162,'03_Planificacion'!$F$99:$F$178,C1162,'03_Planificacion'!$D$99:$D$178,"&lt;="&amp;$V$1)))</f>
        <v>0</v>
      </c>
      <c r="J1162" s="21">
        <f t="shared" si="128"/>
        <v>0</v>
      </c>
      <c r="K1162" s="6">
        <f t="shared" si="129"/>
        <v>0</v>
      </c>
      <c r="L1162" t="s">
        <v>68</v>
      </c>
      <c r="P1162" s="5">
        <f t="shared" si="130"/>
        <v>46287</v>
      </c>
      <c r="Q1162" t="s">
        <v>188</v>
      </c>
      <c r="R1162">
        <v>75</v>
      </c>
      <c r="S1162" t="s">
        <v>70</v>
      </c>
      <c r="T1162" t="str">
        <f t="shared" si="131"/>
        <v/>
      </c>
      <c r="U1162" t="str">
        <f>IF(AND(L1162="Para Programar",G1162&gt;0),COUNTIFS($L$5:L1162,"Para Programar",$G$5:G1162,"&gt;0"),"")</f>
        <v/>
      </c>
      <c r="W1162" t="str">
        <f t="shared" si="132"/>
        <v>N8 - N10|04 Inspecciones previas - Laboratorio base de asiento</v>
      </c>
      <c r="X1162">
        <v>0</v>
      </c>
    </row>
    <row r="1163" spans="1:24">
      <c r="A1163" t="s">
        <v>82</v>
      </c>
      <c r="B1163" s="14" t="s">
        <v>187</v>
      </c>
      <c r="C1163" t="s">
        <v>83</v>
      </c>
      <c r="D1163" s="13" t="s">
        <v>81</v>
      </c>
      <c r="E1163" s="13">
        <v>1</v>
      </c>
      <c r="F1163" s="13">
        <f>IF(E1163="","",MIN(E1163,$X1163+SUMIFS('05_Parte_Diario'!$H$5:$H$204,'05_Parte_Diario'!$D$5:$D$204,B1163,'05_Parte_Diario'!$E$5:$E$204,C1163)))</f>
        <v>0</v>
      </c>
      <c r="G1163" s="13">
        <f t="shared" si="126"/>
        <v>1</v>
      </c>
      <c r="H1163" s="21">
        <f t="shared" si="127"/>
        <v>0</v>
      </c>
      <c r="I1163" s="21">
        <f>IF(OR(B1163="",C1163="",$V$1=""),"",MIN(E1163,SUMIFS('03_Planificacion'!$G$99:$G$178,'03_Planificacion'!$E$99:$E$178,B1163,'03_Planificacion'!$F$99:$F$178,C1163,'03_Planificacion'!$D$99:$D$178,"&lt;="&amp;$V$1)))</f>
        <v>0</v>
      </c>
      <c r="J1163" s="21">
        <f t="shared" si="128"/>
        <v>0</v>
      </c>
      <c r="K1163" s="6">
        <f t="shared" si="129"/>
        <v>0</v>
      </c>
      <c r="L1163" t="s">
        <v>68</v>
      </c>
      <c r="P1163" s="5">
        <f t="shared" si="130"/>
        <v>46287</v>
      </c>
      <c r="Q1163" t="s">
        <v>188</v>
      </c>
      <c r="R1163">
        <v>75</v>
      </c>
      <c r="S1163" t="s">
        <v>70</v>
      </c>
      <c r="T1163" t="str">
        <f t="shared" si="131"/>
        <v/>
      </c>
      <c r="U1163" t="str">
        <f>IF(AND(L1163="Para Programar",G1163&gt;0),COUNTIFS($L$5:L1163,"Para Programar",$G$5:G1163,"&gt;0"),"")</f>
        <v/>
      </c>
      <c r="W1163" t="str">
        <f t="shared" si="132"/>
        <v>N8 - N10|04 Inspecciones previas - Zanja y materiales</v>
      </c>
      <c r="X1163">
        <v>0</v>
      </c>
    </row>
    <row r="1164" spans="1:24">
      <c r="A1164" t="s">
        <v>84</v>
      </c>
      <c r="B1164" s="14" t="s">
        <v>187</v>
      </c>
      <c r="C1164" t="s">
        <v>85</v>
      </c>
      <c r="D1164" s="13" t="s">
        <v>67</v>
      </c>
      <c r="E1164" s="13">
        <v>140</v>
      </c>
      <c r="F1164" s="13">
        <f>IF(E1164="","",MIN(E1164,$X1164+SUMIFS('05_Parte_Diario'!$H$5:$H$204,'05_Parte_Diario'!$D$5:$D$204,B1164,'05_Parte_Diario'!$E$5:$E$204,C1164)))</f>
        <v>0</v>
      </c>
      <c r="G1164" s="13">
        <f t="shared" si="126"/>
        <v>140</v>
      </c>
      <c r="H1164" s="21">
        <f t="shared" si="127"/>
        <v>0</v>
      </c>
      <c r="I1164" s="21">
        <f>IF(OR(B1164="",C1164="",$V$1=""),"",MIN(E1164,SUMIFS('03_Planificacion'!$G$99:$G$178,'03_Planificacion'!$E$99:$E$178,B1164,'03_Planificacion'!$F$99:$F$178,C1164,'03_Planificacion'!$D$99:$D$178,"&lt;="&amp;$V$1)))</f>
        <v>0</v>
      </c>
      <c r="J1164" s="21">
        <f t="shared" si="128"/>
        <v>0</v>
      </c>
      <c r="K1164" s="6">
        <f t="shared" si="129"/>
        <v>0</v>
      </c>
      <c r="L1164" t="s">
        <v>68</v>
      </c>
      <c r="P1164" s="5">
        <f t="shared" si="130"/>
        <v>46287</v>
      </c>
      <c r="Q1164" t="s">
        <v>188</v>
      </c>
      <c r="R1164">
        <v>75</v>
      </c>
      <c r="S1164" t="s">
        <v>70</v>
      </c>
      <c r="T1164" t="str">
        <f t="shared" si="131"/>
        <v/>
      </c>
      <c r="U1164" t="str">
        <f>IF(AND(L1164="Para Programar",G1164&gt;0),COUNTIFS($L$5:L1164,"Para Programar",$G$5:G1164,"&gt;0"),"")</f>
        <v/>
      </c>
      <c r="W1164" t="str">
        <f t="shared" si="132"/>
        <v>N8 - N10|05 Tendido de cañería - Cañería principal</v>
      </c>
      <c r="X1164">
        <v>0</v>
      </c>
    </row>
    <row r="1165" spans="1:24">
      <c r="A1165" t="s">
        <v>86</v>
      </c>
      <c r="B1165" s="14" t="s">
        <v>187</v>
      </c>
      <c r="C1165" t="s">
        <v>87</v>
      </c>
      <c r="D1165" s="13" t="s">
        <v>67</v>
      </c>
      <c r="E1165" s="13">
        <v>140</v>
      </c>
      <c r="F1165" s="13">
        <f>IF(E1165="","",MIN(E1165,$X1165+SUMIFS('05_Parte_Diario'!$H$5:$H$204,'05_Parte_Diario'!$D$5:$D$204,B1165,'05_Parte_Diario'!$E$5:$E$204,C1165)))</f>
        <v>0</v>
      </c>
      <c r="G1165" s="13">
        <f t="shared" si="126"/>
        <v>140</v>
      </c>
      <c r="H1165" s="21">
        <f t="shared" si="127"/>
        <v>0</v>
      </c>
      <c r="I1165" s="21">
        <f>IF(OR(B1165="",C1165="",$V$1=""),"",MIN(E1165,SUMIFS('03_Planificacion'!$G$99:$G$178,'03_Planificacion'!$E$99:$E$178,B1165,'03_Planificacion'!$F$99:$F$178,C1165,'03_Planificacion'!$D$99:$D$178,"&lt;="&amp;$V$1)))</f>
        <v>0</v>
      </c>
      <c r="J1165" s="21">
        <f t="shared" si="128"/>
        <v>0</v>
      </c>
      <c r="K1165" s="6">
        <f t="shared" si="129"/>
        <v>0</v>
      </c>
      <c r="L1165" t="s">
        <v>68</v>
      </c>
      <c r="P1165" s="5">
        <f t="shared" si="130"/>
        <v>46287</v>
      </c>
      <c r="Q1165" t="s">
        <v>188</v>
      </c>
      <c r="R1165">
        <v>75</v>
      </c>
      <c r="S1165" t="s">
        <v>70</v>
      </c>
      <c r="T1165" t="str">
        <f t="shared" si="131"/>
        <v/>
      </c>
      <c r="U1165" t="str">
        <f>IF(AND(L1165="Para Programar",G1165&gt;0),COUNTIFS($L$5:L1165,"Para Programar",$G$5:G1165,"&gt;0"),"")</f>
        <v/>
      </c>
      <c r="W1165" t="str">
        <f t="shared" si="132"/>
        <v>N8 - N10|05 Tendido de cañería - Relevamiento planialtimétrico</v>
      </c>
      <c r="X1165">
        <v>0</v>
      </c>
    </row>
    <row r="1166" spans="1:24">
      <c r="A1166" t="s">
        <v>88</v>
      </c>
      <c r="B1166" s="14" t="s">
        <v>187</v>
      </c>
      <c r="C1166" t="s">
        <v>89</v>
      </c>
      <c r="D1166" s="13" t="s">
        <v>81</v>
      </c>
      <c r="E1166" s="13">
        <v>1</v>
      </c>
      <c r="F1166" s="13">
        <f>IF(E1166="","",MIN(E1166,$X1166+SUMIFS('05_Parte_Diario'!$H$5:$H$204,'05_Parte_Diario'!$D$5:$D$204,B1166,'05_Parte_Diario'!$E$5:$E$204,C1166)))</f>
        <v>0</v>
      </c>
      <c r="G1166" s="13">
        <f t="shared" si="126"/>
        <v>1</v>
      </c>
      <c r="H1166" s="21">
        <f t="shared" si="127"/>
        <v>0</v>
      </c>
      <c r="I1166" s="21">
        <f>IF(OR(B1166="",C1166="",$V$1=""),"",MIN(E1166,SUMIFS('03_Planificacion'!$G$99:$G$178,'03_Planificacion'!$E$99:$E$178,B1166,'03_Planificacion'!$F$99:$F$178,C1166,'03_Planificacion'!$D$99:$D$178,"&lt;="&amp;$V$1)))</f>
        <v>0</v>
      </c>
      <c r="J1166" s="21">
        <f t="shared" si="128"/>
        <v>0</v>
      </c>
      <c r="K1166" s="6">
        <f t="shared" si="129"/>
        <v>0</v>
      </c>
      <c r="L1166" t="s">
        <v>68</v>
      </c>
      <c r="P1166" s="5">
        <f t="shared" si="130"/>
        <v>46287</v>
      </c>
      <c r="Q1166" t="s">
        <v>188</v>
      </c>
      <c r="R1166">
        <v>75</v>
      </c>
      <c r="S1166" t="s">
        <v>70</v>
      </c>
      <c r="T1166" t="str">
        <f t="shared" si="131"/>
        <v/>
      </c>
      <c r="U1166" t="str">
        <f>IF(AND(L1166="Para Programar",G1166&gt;0),COUNTIFS($L$5:L1166,"Para Programar",$G$5:G1166,"&gt;0"),"")</f>
        <v/>
      </c>
      <c r="W1166" t="str">
        <f t="shared" si="132"/>
        <v>N8 - N10|08 Prueba hidráulica - Preparación del sistema</v>
      </c>
      <c r="X1166">
        <v>0</v>
      </c>
    </row>
    <row r="1167" spans="1:24">
      <c r="A1167" t="s">
        <v>90</v>
      </c>
      <c r="B1167" s="14" t="s">
        <v>187</v>
      </c>
      <c r="C1167" t="s">
        <v>91</v>
      </c>
      <c r="D1167" s="13" t="s">
        <v>81</v>
      </c>
      <c r="E1167" s="13">
        <v>1</v>
      </c>
      <c r="F1167" s="13">
        <f>IF(E1167="","",MIN(E1167,$X1167+SUMIFS('05_Parte_Diario'!$H$5:$H$204,'05_Parte_Diario'!$D$5:$D$204,B1167,'05_Parte_Diario'!$E$5:$E$204,C1167)))</f>
        <v>0</v>
      </c>
      <c r="G1167" s="13">
        <f t="shared" si="126"/>
        <v>1</v>
      </c>
      <c r="H1167" s="21">
        <f t="shared" si="127"/>
        <v>0</v>
      </c>
      <c r="I1167" s="21">
        <f>IF(OR(B1167="",C1167="",$V$1=""),"",MIN(E1167,SUMIFS('03_Planificacion'!$G$99:$G$178,'03_Planificacion'!$E$99:$E$178,B1167,'03_Planificacion'!$F$99:$F$178,C1167,'03_Planificacion'!$D$99:$D$178,"&lt;="&amp;$V$1)))</f>
        <v>0</v>
      </c>
      <c r="J1167" s="21">
        <f t="shared" si="128"/>
        <v>0</v>
      </c>
      <c r="K1167" s="6">
        <f t="shared" si="129"/>
        <v>0</v>
      </c>
      <c r="L1167" t="s">
        <v>68</v>
      </c>
      <c r="P1167" s="5">
        <f t="shared" si="130"/>
        <v>46287</v>
      </c>
      <c r="Q1167" t="s">
        <v>188</v>
      </c>
      <c r="R1167">
        <v>75</v>
      </c>
      <c r="S1167" t="s">
        <v>70</v>
      </c>
      <c r="T1167" t="str">
        <f t="shared" si="131"/>
        <v/>
      </c>
      <c r="U1167" t="str">
        <f>IF(AND(L1167="Para Programar",G1167&gt;0),COUNTIFS($L$5:L1167,"Para Programar",$G$5:G1167,"&gt;0"),"")</f>
        <v/>
      </c>
      <c r="W1167" t="str">
        <f t="shared" si="132"/>
        <v>N8 - N10|08 Prueba hidráulica - Interna N° 1</v>
      </c>
      <c r="X1167">
        <v>0</v>
      </c>
    </row>
    <row r="1168" spans="1:24">
      <c r="A1168" t="s">
        <v>92</v>
      </c>
      <c r="B1168" s="14" t="s">
        <v>187</v>
      </c>
      <c r="C1168" t="s">
        <v>93</v>
      </c>
      <c r="D1168" s="13" t="s">
        <v>81</v>
      </c>
      <c r="E1168" s="13">
        <v>1</v>
      </c>
      <c r="F1168" s="13">
        <f>IF(E1168="","",MIN(E1168,$X1168+SUMIFS('05_Parte_Diario'!$H$5:$H$204,'05_Parte_Diario'!$D$5:$D$204,B1168,'05_Parte_Diario'!$E$5:$E$204,C1168)))</f>
        <v>0</v>
      </c>
      <c r="G1168" s="13">
        <f t="shared" si="126"/>
        <v>1</v>
      </c>
      <c r="H1168" s="21">
        <f t="shared" si="127"/>
        <v>0</v>
      </c>
      <c r="I1168" s="21">
        <f>IF(OR(B1168="",C1168="",$V$1=""),"",MIN(E1168,SUMIFS('03_Planificacion'!$G$99:$G$178,'03_Planificacion'!$E$99:$E$178,B1168,'03_Planificacion'!$F$99:$F$178,C1168,'03_Planificacion'!$D$99:$D$178,"&lt;="&amp;$V$1)))</f>
        <v>0</v>
      </c>
      <c r="J1168" s="21">
        <f t="shared" si="128"/>
        <v>0</v>
      </c>
      <c r="K1168" s="6">
        <f t="shared" si="129"/>
        <v>0</v>
      </c>
      <c r="L1168" t="s">
        <v>68</v>
      </c>
      <c r="P1168" s="5">
        <f t="shared" si="130"/>
        <v>46287</v>
      </c>
      <c r="Q1168" t="s">
        <v>188</v>
      </c>
      <c r="R1168">
        <v>75</v>
      </c>
      <c r="S1168" t="s">
        <v>70</v>
      </c>
      <c r="T1168" t="str">
        <f t="shared" si="131"/>
        <v/>
      </c>
      <c r="U1168" t="str">
        <f>IF(AND(L1168="Para Programar",G1168&gt;0),COUNTIFS($L$5:L1168,"Para Programar",$G$5:G1168,"&gt;0"),"")</f>
        <v/>
      </c>
      <c r="W1168" t="str">
        <f t="shared" si="132"/>
        <v>N8 - N10|08 Prueba hidráulica - Interna N° 2</v>
      </c>
      <c r="X1168">
        <v>0</v>
      </c>
    </row>
    <row r="1169" spans="1:24">
      <c r="A1169" t="s">
        <v>94</v>
      </c>
      <c r="B1169" s="14" t="s">
        <v>187</v>
      </c>
      <c r="C1169" t="s">
        <v>95</v>
      </c>
      <c r="D1169" s="13" t="s">
        <v>81</v>
      </c>
      <c r="E1169" s="13">
        <v>1</v>
      </c>
      <c r="F1169" s="13">
        <f>IF(E1169="","",MIN(E1169,$X1169+SUMIFS('05_Parte_Diario'!$H$5:$H$204,'05_Parte_Diario'!$D$5:$D$204,B1169,'05_Parte_Diario'!$E$5:$E$204,C1169)))</f>
        <v>0</v>
      </c>
      <c r="G1169" s="13">
        <f t="shared" si="126"/>
        <v>1</v>
      </c>
      <c r="H1169" s="21">
        <f t="shared" si="127"/>
        <v>0</v>
      </c>
      <c r="I1169" s="21">
        <f>IF(OR(B1169="",C1169="",$V$1=""),"",MIN(E1169,SUMIFS('03_Planificacion'!$G$99:$G$178,'03_Planificacion'!$E$99:$E$178,B1169,'03_Planificacion'!$F$99:$F$178,C1169,'03_Planificacion'!$D$99:$D$178,"&lt;="&amp;$V$1)))</f>
        <v>0</v>
      </c>
      <c r="J1169" s="21">
        <f t="shared" si="128"/>
        <v>0</v>
      </c>
      <c r="K1169" s="6">
        <f t="shared" si="129"/>
        <v>0</v>
      </c>
      <c r="L1169" t="s">
        <v>68</v>
      </c>
      <c r="P1169" s="5">
        <f t="shared" si="130"/>
        <v>46287</v>
      </c>
      <c r="Q1169" t="s">
        <v>188</v>
      </c>
      <c r="R1169">
        <v>75</v>
      </c>
      <c r="S1169" t="s">
        <v>70</v>
      </c>
      <c r="T1169" t="str">
        <f t="shared" si="131"/>
        <v/>
      </c>
      <c r="U1169" t="str">
        <f>IF(AND(L1169="Para Programar",G1169&gt;0),COUNTIFS($L$5:L1169,"Para Programar",$G$5:G1169,"&gt;0"),"")</f>
        <v/>
      </c>
      <c r="W1169" t="str">
        <f t="shared" si="132"/>
        <v>N8 - N10|08 Prueba hidráulica - Primera prueba oficial</v>
      </c>
      <c r="X1169">
        <v>0</v>
      </c>
    </row>
    <row r="1170" spans="1:24">
      <c r="A1170" t="s">
        <v>96</v>
      </c>
      <c r="B1170" s="14" t="s">
        <v>187</v>
      </c>
      <c r="C1170" t="s">
        <v>97</v>
      </c>
      <c r="D1170" s="13" t="s">
        <v>67</v>
      </c>
      <c r="E1170" s="13">
        <v>140</v>
      </c>
      <c r="F1170" s="13">
        <f>IF(E1170="","",MIN(E1170,$X1170+SUMIFS('05_Parte_Diario'!$H$5:$H$204,'05_Parte_Diario'!$D$5:$D$204,B1170,'05_Parte_Diario'!$E$5:$E$204,C1170)))</f>
        <v>0</v>
      </c>
      <c r="G1170" s="13">
        <f t="shared" si="126"/>
        <v>140</v>
      </c>
      <c r="H1170" s="21">
        <f t="shared" si="127"/>
        <v>0</v>
      </c>
      <c r="I1170" s="21">
        <f>IF(OR(B1170="",C1170="",$V$1=""),"",MIN(E1170,SUMIFS('03_Planificacion'!$G$99:$G$178,'03_Planificacion'!$E$99:$E$178,B1170,'03_Planificacion'!$F$99:$F$178,C1170,'03_Planificacion'!$D$99:$D$178,"&lt;="&amp;$V$1)))</f>
        <v>0</v>
      </c>
      <c r="J1170" s="21">
        <f t="shared" si="128"/>
        <v>0</v>
      </c>
      <c r="K1170" s="6">
        <f t="shared" si="129"/>
        <v>0</v>
      </c>
      <c r="L1170" t="s">
        <v>68</v>
      </c>
      <c r="P1170" s="5">
        <f t="shared" si="130"/>
        <v>46287</v>
      </c>
      <c r="Q1170" t="s">
        <v>188</v>
      </c>
      <c r="R1170">
        <v>75</v>
      </c>
      <c r="S1170" t="s">
        <v>70</v>
      </c>
      <c r="T1170" t="str">
        <f t="shared" si="131"/>
        <v/>
      </c>
      <c r="U1170" t="str">
        <f>IF(AND(L1170="Para Programar",G1170&gt;0),COUNTIFS($L$5:L1170,"Para Programar",$G$5:G1170,"&gt;0"),"")</f>
        <v/>
      </c>
      <c r="W1170" t="str">
        <f t="shared" si="132"/>
        <v>N8 - N10|09 Paquete estructural - Aporte e=0,30 m</v>
      </c>
      <c r="X1170">
        <v>0</v>
      </c>
    </row>
    <row r="1171" spans="1:24">
      <c r="A1171" t="s">
        <v>98</v>
      </c>
      <c r="B1171" s="14" t="s">
        <v>187</v>
      </c>
      <c r="C1171" t="s">
        <v>99</v>
      </c>
      <c r="D1171" s="13" t="s">
        <v>67</v>
      </c>
      <c r="E1171" s="13">
        <v>140</v>
      </c>
      <c r="F1171" s="13">
        <f>IF(E1171="","",MIN(E1171,$X1171+SUMIFS('05_Parte_Diario'!$H$5:$H$204,'05_Parte_Diario'!$D$5:$D$204,B1171,'05_Parte_Diario'!$E$5:$E$204,C1171)))</f>
        <v>0</v>
      </c>
      <c r="G1171" s="13">
        <f t="shared" si="126"/>
        <v>140</v>
      </c>
      <c r="H1171" s="21">
        <f t="shared" si="127"/>
        <v>0</v>
      </c>
      <c r="I1171" s="21">
        <f>IF(OR(B1171="",C1171="",$V$1=""),"",MIN(E1171,SUMIFS('03_Planificacion'!$G$99:$G$178,'03_Planificacion'!$E$99:$E$178,B1171,'03_Planificacion'!$F$99:$F$178,C1171,'03_Planificacion'!$D$99:$D$178,"&lt;="&amp;$V$1)))</f>
        <v>0</v>
      </c>
      <c r="J1171" s="21">
        <f t="shared" si="128"/>
        <v>0</v>
      </c>
      <c r="K1171" s="6">
        <f t="shared" si="129"/>
        <v>0</v>
      </c>
      <c r="L1171" t="s">
        <v>68</v>
      </c>
      <c r="P1171" s="5">
        <f t="shared" si="130"/>
        <v>46287</v>
      </c>
      <c r="Q1171" t="s">
        <v>188</v>
      </c>
      <c r="R1171">
        <v>75</v>
      </c>
      <c r="S1171" t="s">
        <v>70</v>
      </c>
      <c r="T1171" t="str">
        <f t="shared" si="131"/>
        <v/>
      </c>
      <c r="U1171" t="str">
        <f>IF(AND(L1171="Para Programar",G1171&gt;0),COUNTIFS($L$5:L1171,"Para Programar",$G$5:G1171,"&gt;0"),"")</f>
        <v/>
      </c>
      <c r="W1171" t="str">
        <f t="shared" si="132"/>
        <v>N8 - N10|09 Paquete estructural - Compactación</v>
      </c>
      <c r="X1171">
        <v>0</v>
      </c>
    </row>
    <row r="1172" spans="1:24">
      <c r="A1172" t="s">
        <v>100</v>
      </c>
      <c r="B1172" s="14" t="s">
        <v>187</v>
      </c>
      <c r="C1172" t="s">
        <v>101</v>
      </c>
      <c r="D1172" s="13" t="s">
        <v>81</v>
      </c>
      <c r="E1172" s="13">
        <v>1</v>
      </c>
      <c r="F1172" s="13">
        <f>IF(E1172="","",MIN(E1172,$X1172+SUMIFS('05_Parte_Diario'!$H$5:$H$204,'05_Parte_Diario'!$D$5:$D$204,B1172,'05_Parte_Diario'!$E$5:$E$204,C1172)))</f>
        <v>0</v>
      </c>
      <c r="G1172" s="13">
        <f t="shared" si="126"/>
        <v>1</v>
      </c>
      <c r="H1172" s="21">
        <f t="shared" si="127"/>
        <v>0</v>
      </c>
      <c r="I1172" s="21">
        <f>IF(OR(B1172="",C1172="",$V$1=""),"",MIN(E1172,SUMIFS('03_Planificacion'!$G$99:$G$178,'03_Planificacion'!$E$99:$E$178,B1172,'03_Planificacion'!$F$99:$F$178,C1172,'03_Planificacion'!$D$99:$D$178,"&lt;="&amp;$V$1)))</f>
        <v>0</v>
      </c>
      <c r="J1172" s="21">
        <f t="shared" si="128"/>
        <v>0</v>
      </c>
      <c r="K1172" s="6">
        <f t="shared" si="129"/>
        <v>0</v>
      </c>
      <c r="L1172" t="s">
        <v>68</v>
      </c>
      <c r="P1172" s="5">
        <f t="shared" si="130"/>
        <v>46287</v>
      </c>
      <c r="Q1172" t="s">
        <v>188</v>
      </c>
      <c r="R1172">
        <v>75</v>
      </c>
      <c r="S1172" t="s">
        <v>70</v>
      </c>
      <c r="T1172" t="str">
        <f t="shared" si="131"/>
        <v/>
      </c>
      <c r="U1172" t="str">
        <f>IF(AND(L1172="Para Programar",G1172&gt;0),COUNTIFS($L$5:L1172,"Para Programar",$G$5:G1172,"&gt;0"),"")</f>
        <v/>
      </c>
      <c r="W1172" t="str">
        <f t="shared" si="132"/>
        <v>N8 - N10|09 Paquete estructural - Inspección laboratorio</v>
      </c>
      <c r="X1172">
        <v>0</v>
      </c>
    </row>
    <row r="1173" spans="1:24">
      <c r="A1173" t="s">
        <v>102</v>
      </c>
      <c r="B1173" s="14" t="s">
        <v>187</v>
      </c>
      <c r="C1173" t="s">
        <v>103</v>
      </c>
      <c r="D1173" s="13" t="s">
        <v>67</v>
      </c>
      <c r="E1173" s="13">
        <v>140</v>
      </c>
      <c r="F1173" s="13">
        <f>IF(E1173="","",MIN(E1173,$X1173+SUMIFS('05_Parte_Diario'!$H$5:$H$204,'05_Parte_Diario'!$D$5:$D$204,B1173,'05_Parte_Diario'!$E$5:$E$204,C1173)))</f>
        <v>0</v>
      </c>
      <c r="G1173" s="13">
        <f t="shared" si="126"/>
        <v>140</v>
      </c>
      <c r="H1173" s="21">
        <f t="shared" si="127"/>
        <v>0</v>
      </c>
      <c r="I1173" s="21">
        <f>IF(OR(B1173="",C1173="",$V$1=""),"",MIN(E1173,SUMIFS('03_Planificacion'!$G$99:$G$178,'03_Planificacion'!$E$99:$E$178,B1173,'03_Planificacion'!$F$99:$F$178,C1173,'03_Planificacion'!$D$99:$D$178,"&lt;="&amp;$V$1)))</f>
        <v>0</v>
      </c>
      <c r="J1173" s="21">
        <f t="shared" si="128"/>
        <v>0</v>
      </c>
      <c r="K1173" s="6">
        <f t="shared" si="129"/>
        <v>0</v>
      </c>
      <c r="L1173" t="s">
        <v>68</v>
      </c>
      <c r="P1173" s="5">
        <f t="shared" si="130"/>
        <v>46287</v>
      </c>
      <c r="Q1173" t="s">
        <v>188</v>
      </c>
      <c r="R1173">
        <v>75</v>
      </c>
      <c r="S1173" t="s">
        <v>70</v>
      </c>
      <c r="T1173" t="str">
        <f t="shared" si="131"/>
        <v/>
      </c>
      <c r="U1173" t="str">
        <f>IF(AND(L1173="Para Programar",G1173&gt;0),COUNTIFS($L$5:L1173,"Para Programar",$G$5:G1173,"&gt;0"),"")</f>
        <v/>
      </c>
      <c r="W1173" t="str">
        <f t="shared" si="132"/>
        <v>N8 - N10|10 Relleno -0,60 - Conformación de capa</v>
      </c>
      <c r="X1173">
        <v>0</v>
      </c>
    </row>
    <row r="1174" spans="1:24">
      <c r="A1174" t="s">
        <v>104</v>
      </c>
      <c r="B1174" s="14" t="s">
        <v>187</v>
      </c>
      <c r="C1174" t="s">
        <v>105</v>
      </c>
      <c r="D1174" s="13" t="s">
        <v>67</v>
      </c>
      <c r="E1174" s="13">
        <v>140</v>
      </c>
      <c r="F1174" s="13">
        <f>IF(E1174="","",MIN(E1174,$X1174+SUMIFS('05_Parte_Diario'!$H$5:$H$204,'05_Parte_Diario'!$D$5:$D$204,B1174,'05_Parte_Diario'!$E$5:$E$204,C1174)))</f>
        <v>0</v>
      </c>
      <c r="G1174" s="13">
        <f t="shared" si="126"/>
        <v>140</v>
      </c>
      <c r="H1174" s="21">
        <f t="shared" si="127"/>
        <v>0</v>
      </c>
      <c r="I1174" s="21">
        <f>IF(OR(B1174="",C1174="",$V$1=""),"",MIN(E1174,SUMIFS('03_Planificacion'!$G$99:$G$178,'03_Planificacion'!$E$99:$E$178,B1174,'03_Planificacion'!$F$99:$F$178,C1174,'03_Planificacion'!$D$99:$D$178,"&lt;="&amp;$V$1)))</f>
        <v>0</v>
      </c>
      <c r="J1174" s="21">
        <f t="shared" si="128"/>
        <v>0</v>
      </c>
      <c r="K1174" s="6">
        <f t="shared" si="129"/>
        <v>0</v>
      </c>
      <c r="L1174" t="s">
        <v>68</v>
      </c>
      <c r="P1174" s="5">
        <f t="shared" si="130"/>
        <v>46287</v>
      </c>
      <c r="Q1174" t="s">
        <v>188</v>
      </c>
      <c r="R1174">
        <v>75</v>
      </c>
      <c r="S1174" t="s">
        <v>70</v>
      </c>
      <c r="T1174" t="str">
        <f t="shared" si="131"/>
        <v/>
      </c>
      <c r="U1174" t="str">
        <f>IF(AND(L1174="Para Programar",G1174&gt;0),COUNTIFS($L$5:L1174,"Para Programar",$G$5:G1174,"&gt;0"),"")</f>
        <v/>
      </c>
      <c r="W1174" t="str">
        <f t="shared" si="132"/>
        <v>N8 - N10|10 Relleno -0,60 - Humectación</v>
      </c>
      <c r="X1174">
        <v>0</v>
      </c>
    </row>
    <row r="1175" spans="1:24">
      <c r="A1175" t="s">
        <v>106</v>
      </c>
      <c r="B1175" s="14" t="s">
        <v>187</v>
      </c>
      <c r="C1175" t="s">
        <v>107</v>
      </c>
      <c r="D1175" s="13" t="s">
        <v>67</v>
      </c>
      <c r="E1175" s="13">
        <v>140</v>
      </c>
      <c r="F1175" s="13">
        <f>IF(E1175="","",MIN(E1175,$X1175+SUMIFS('05_Parte_Diario'!$H$5:$H$204,'05_Parte_Diario'!$D$5:$D$204,B1175,'05_Parte_Diario'!$E$5:$E$204,C1175)))</f>
        <v>0</v>
      </c>
      <c r="G1175" s="13">
        <f t="shared" si="126"/>
        <v>140</v>
      </c>
      <c r="H1175" s="21">
        <f t="shared" si="127"/>
        <v>0</v>
      </c>
      <c r="I1175" s="21">
        <f>IF(OR(B1175="",C1175="",$V$1=""),"",MIN(E1175,SUMIFS('03_Planificacion'!$G$99:$G$178,'03_Planificacion'!$E$99:$E$178,B1175,'03_Planificacion'!$F$99:$F$178,C1175,'03_Planificacion'!$D$99:$D$178,"&lt;="&amp;$V$1)))</f>
        <v>0</v>
      </c>
      <c r="J1175" s="21">
        <f t="shared" si="128"/>
        <v>0</v>
      </c>
      <c r="K1175" s="6">
        <f t="shared" si="129"/>
        <v>0</v>
      </c>
      <c r="L1175" t="s">
        <v>68</v>
      </c>
      <c r="P1175" s="5">
        <f t="shared" si="130"/>
        <v>46287</v>
      </c>
      <c r="Q1175" t="s">
        <v>188</v>
      </c>
      <c r="R1175">
        <v>75</v>
      </c>
      <c r="S1175" t="s">
        <v>70</v>
      </c>
      <c r="T1175" t="str">
        <f t="shared" si="131"/>
        <v/>
      </c>
      <c r="U1175" t="str">
        <f>IF(AND(L1175="Para Programar",G1175&gt;0),COUNTIFS($L$5:L1175,"Para Programar",$G$5:G1175,"&gt;0"),"")</f>
        <v/>
      </c>
      <c r="W1175" t="str">
        <f t="shared" si="132"/>
        <v>N8 - N10|10 Relleno -0,60 - Compactación</v>
      </c>
      <c r="X1175">
        <v>0</v>
      </c>
    </row>
    <row r="1176" spans="1:24">
      <c r="A1176" t="s">
        <v>108</v>
      </c>
      <c r="B1176" s="14" t="s">
        <v>187</v>
      </c>
      <c r="C1176" t="s">
        <v>109</v>
      </c>
      <c r="D1176" s="13" t="s">
        <v>81</v>
      </c>
      <c r="E1176" s="13">
        <v>1</v>
      </c>
      <c r="F1176" s="13">
        <f>IF(E1176="","",MIN(E1176,$X1176+SUMIFS('05_Parte_Diario'!$H$5:$H$204,'05_Parte_Diario'!$D$5:$D$204,B1176,'05_Parte_Diario'!$E$5:$E$204,C1176)))</f>
        <v>0</v>
      </c>
      <c r="G1176" s="13">
        <f t="shared" si="126"/>
        <v>1</v>
      </c>
      <c r="H1176" s="21">
        <f t="shared" si="127"/>
        <v>0</v>
      </c>
      <c r="I1176" s="21">
        <f>IF(OR(B1176="",C1176="",$V$1=""),"",MIN(E1176,SUMIFS('03_Planificacion'!$G$99:$G$178,'03_Planificacion'!$E$99:$E$178,B1176,'03_Planificacion'!$F$99:$F$178,C1176,'03_Planificacion'!$D$99:$D$178,"&lt;="&amp;$V$1)))</f>
        <v>0</v>
      </c>
      <c r="J1176" s="21">
        <f t="shared" si="128"/>
        <v>0</v>
      </c>
      <c r="K1176" s="6">
        <f t="shared" si="129"/>
        <v>0</v>
      </c>
      <c r="L1176" t="s">
        <v>68</v>
      </c>
      <c r="P1176" s="5">
        <f t="shared" si="130"/>
        <v>46287</v>
      </c>
      <c r="Q1176" t="s">
        <v>188</v>
      </c>
      <c r="R1176">
        <v>75</v>
      </c>
      <c r="S1176" t="s">
        <v>70</v>
      </c>
      <c r="T1176" t="str">
        <f t="shared" si="131"/>
        <v/>
      </c>
      <c r="U1176" t="str">
        <f>IF(AND(L1176="Para Programar",G1176&gt;0),COUNTIFS($L$5:L1176,"Para Programar",$G$5:G1176,"&gt;0"),"")</f>
        <v/>
      </c>
      <c r="W1176" t="str">
        <f t="shared" si="132"/>
        <v>N8 - N10|10 Relleno -0,60 - Inspección laboratorio</v>
      </c>
      <c r="X1176">
        <v>0</v>
      </c>
    </row>
    <row r="1177" spans="1:24">
      <c r="A1177" t="s">
        <v>110</v>
      </c>
      <c r="B1177" s="14" t="s">
        <v>187</v>
      </c>
      <c r="C1177" t="s">
        <v>111</v>
      </c>
      <c r="D1177" s="13" t="s">
        <v>67</v>
      </c>
      <c r="E1177" s="13">
        <v>140</v>
      </c>
      <c r="F1177" s="13">
        <f>IF(E1177="","",MIN(E1177,$X1177+SUMIFS('05_Parte_Diario'!$H$5:$H$204,'05_Parte_Diario'!$D$5:$D$204,B1177,'05_Parte_Diario'!$E$5:$E$204,C1177)))</f>
        <v>0</v>
      </c>
      <c r="G1177" s="13">
        <f t="shared" si="126"/>
        <v>140</v>
      </c>
      <c r="H1177" s="21">
        <f t="shared" si="127"/>
        <v>0</v>
      </c>
      <c r="I1177" s="21">
        <f>IF(OR(B1177="",C1177="",$V$1=""),"",MIN(E1177,SUMIFS('03_Planificacion'!$G$99:$G$178,'03_Planificacion'!$E$99:$E$178,B1177,'03_Planificacion'!$F$99:$F$178,C1177,'03_Planificacion'!$D$99:$D$178,"&lt;="&amp;$V$1)))</f>
        <v>0</v>
      </c>
      <c r="J1177" s="21">
        <f t="shared" si="128"/>
        <v>0</v>
      </c>
      <c r="K1177" s="6">
        <f t="shared" si="129"/>
        <v>0</v>
      </c>
      <c r="L1177" t="s">
        <v>68</v>
      </c>
      <c r="P1177" s="5">
        <f t="shared" si="130"/>
        <v>46287</v>
      </c>
      <c r="Q1177" t="s">
        <v>188</v>
      </c>
      <c r="R1177">
        <v>75</v>
      </c>
      <c r="S1177" t="s">
        <v>70</v>
      </c>
      <c r="T1177" t="str">
        <f t="shared" si="131"/>
        <v/>
      </c>
      <c r="U1177" t="str">
        <f>IF(AND(L1177="Para Programar",G1177&gt;0),COUNTIFS($L$5:L1177,"Para Programar",$G$5:G1177,"&gt;0"),"")</f>
        <v/>
      </c>
      <c r="W1177" t="str">
        <f t="shared" si="132"/>
        <v>N8 - N10|11 Relleno -0,30 - Conformación de capa</v>
      </c>
      <c r="X1177">
        <v>0</v>
      </c>
    </row>
    <row r="1178" spans="1:24">
      <c r="A1178" t="s">
        <v>112</v>
      </c>
      <c r="B1178" s="14" t="s">
        <v>187</v>
      </c>
      <c r="C1178" t="s">
        <v>113</v>
      </c>
      <c r="D1178" s="13" t="s">
        <v>67</v>
      </c>
      <c r="E1178" s="13">
        <v>140</v>
      </c>
      <c r="F1178" s="13">
        <f>IF(E1178="","",MIN(E1178,$X1178+SUMIFS('05_Parte_Diario'!$H$5:$H$204,'05_Parte_Diario'!$D$5:$D$204,B1178,'05_Parte_Diario'!$E$5:$E$204,C1178)))</f>
        <v>0</v>
      </c>
      <c r="G1178" s="13">
        <f t="shared" si="126"/>
        <v>140</v>
      </c>
      <c r="H1178" s="21">
        <f t="shared" si="127"/>
        <v>0</v>
      </c>
      <c r="I1178" s="21">
        <f>IF(OR(B1178="",C1178="",$V$1=""),"",MIN(E1178,SUMIFS('03_Planificacion'!$G$99:$G$178,'03_Planificacion'!$E$99:$E$178,B1178,'03_Planificacion'!$F$99:$F$178,C1178,'03_Planificacion'!$D$99:$D$178,"&lt;="&amp;$V$1)))</f>
        <v>0</v>
      </c>
      <c r="J1178" s="21">
        <f t="shared" si="128"/>
        <v>0</v>
      </c>
      <c r="K1178" s="6">
        <f t="shared" si="129"/>
        <v>0</v>
      </c>
      <c r="L1178" t="s">
        <v>68</v>
      </c>
      <c r="P1178" s="5">
        <f t="shared" si="130"/>
        <v>46287</v>
      </c>
      <c r="Q1178" t="s">
        <v>188</v>
      </c>
      <c r="R1178">
        <v>75</v>
      </c>
      <c r="S1178" t="s">
        <v>70</v>
      </c>
      <c r="T1178" t="str">
        <f t="shared" si="131"/>
        <v/>
      </c>
      <c r="U1178" t="str">
        <f>IF(AND(L1178="Para Programar",G1178&gt;0),COUNTIFS($L$5:L1178,"Para Programar",$G$5:G1178,"&gt;0"),"")</f>
        <v/>
      </c>
      <c r="W1178" t="str">
        <f t="shared" si="132"/>
        <v>N8 - N10|11 Relleno -0,30 - Humectación</v>
      </c>
      <c r="X1178">
        <v>0</v>
      </c>
    </row>
    <row r="1179" spans="1:24">
      <c r="A1179" t="s">
        <v>114</v>
      </c>
      <c r="B1179" s="14" t="s">
        <v>187</v>
      </c>
      <c r="C1179" t="s">
        <v>115</v>
      </c>
      <c r="D1179" s="13" t="s">
        <v>67</v>
      </c>
      <c r="E1179" s="13">
        <v>140</v>
      </c>
      <c r="F1179" s="13">
        <f>IF(E1179="","",MIN(E1179,$X1179+SUMIFS('05_Parte_Diario'!$H$5:$H$204,'05_Parte_Diario'!$D$5:$D$204,B1179,'05_Parte_Diario'!$E$5:$E$204,C1179)))</f>
        <v>0</v>
      </c>
      <c r="G1179" s="13">
        <f t="shared" si="126"/>
        <v>140</v>
      </c>
      <c r="H1179" s="21">
        <f t="shared" si="127"/>
        <v>0</v>
      </c>
      <c r="I1179" s="21">
        <f>IF(OR(B1179="",C1179="",$V$1=""),"",MIN(E1179,SUMIFS('03_Planificacion'!$G$99:$G$178,'03_Planificacion'!$E$99:$E$178,B1179,'03_Planificacion'!$F$99:$F$178,C1179,'03_Planificacion'!$D$99:$D$178,"&lt;="&amp;$V$1)))</f>
        <v>0</v>
      </c>
      <c r="J1179" s="21">
        <f t="shared" si="128"/>
        <v>0</v>
      </c>
      <c r="K1179" s="6">
        <f t="shared" si="129"/>
        <v>0</v>
      </c>
      <c r="L1179" t="s">
        <v>68</v>
      </c>
      <c r="P1179" s="5">
        <f t="shared" si="130"/>
        <v>46287</v>
      </c>
      <c r="Q1179" t="s">
        <v>188</v>
      </c>
      <c r="R1179">
        <v>75</v>
      </c>
      <c r="S1179" t="s">
        <v>70</v>
      </c>
      <c r="T1179" t="str">
        <f t="shared" si="131"/>
        <v/>
      </c>
      <c r="U1179" t="str">
        <f>IF(AND(L1179="Para Programar",G1179&gt;0),COUNTIFS($L$5:L1179,"Para Programar",$G$5:G1179,"&gt;0"),"")</f>
        <v/>
      </c>
      <c r="W1179" t="str">
        <f t="shared" si="132"/>
        <v>N8 - N10|11 Relleno -0,30 - Compactación</v>
      </c>
      <c r="X1179">
        <v>0</v>
      </c>
    </row>
    <row r="1180" spans="1:24">
      <c r="A1180" t="s">
        <v>116</v>
      </c>
      <c r="B1180" s="14" t="s">
        <v>187</v>
      </c>
      <c r="C1180" t="s">
        <v>117</v>
      </c>
      <c r="D1180" s="13" t="s">
        <v>81</v>
      </c>
      <c r="E1180" s="13">
        <v>1</v>
      </c>
      <c r="F1180" s="13">
        <f>IF(E1180="","",MIN(E1180,$X1180+SUMIFS('05_Parte_Diario'!$H$5:$H$204,'05_Parte_Diario'!$D$5:$D$204,B1180,'05_Parte_Diario'!$E$5:$E$204,C1180)))</f>
        <v>0</v>
      </c>
      <c r="G1180" s="13">
        <f t="shared" si="126"/>
        <v>1</v>
      </c>
      <c r="H1180" s="21">
        <f t="shared" si="127"/>
        <v>0</v>
      </c>
      <c r="I1180" s="21">
        <f>IF(OR(B1180="",C1180="",$V$1=""),"",MIN(E1180,SUMIFS('03_Planificacion'!$G$99:$G$178,'03_Planificacion'!$E$99:$E$178,B1180,'03_Planificacion'!$F$99:$F$178,C1180,'03_Planificacion'!$D$99:$D$178,"&lt;="&amp;$V$1)))</f>
        <v>0</v>
      </c>
      <c r="J1180" s="21">
        <f t="shared" si="128"/>
        <v>0</v>
      </c>
      <c r="K1180" s="6">
        <f t="shared" si="129"/>
        <v>0</v>
      </c>
      <c r="L1180" t="s">
        <v>68</v>
      </c>
      <c r="P1180" s="5">
        <f t="shared" si="130"/>
        <v>46287</v>
      </c>
      <c r="Q1180" t="s">
        <v>188</v>
      </c>
      <c r="R1180">
        <v>75</v>
      </c>
      <c r="S1180" t="s">
        <v>70</v>
      </c>
      <c r="T1180" t="str">
        <f t="shared" si="131"/>
        <v/>
      </c>
      <c r="U1180" t="str">
        <f>IF(AND(L1180="Para Programar",G1180&gt;0),COUNTIFS($L$5:L1180,"Para Programar",$G$5:G1180,"&gt;0"),"")</f>
        <v/>
      </c>
      <c r="W1180" t="str">
        <f t="shared" si="132"/>
        <v>N8 - N10|11 Relleno -0,30 - Inspección laboratorio</v>
      </c>
      <c r="X1180">
        <v>0</v>
      </c>
    </row>
    <row r="1181" spans="1:24">
      <c r="A1181" t="s">
        <v>64</v>
      </c>
      <c r="B1181" s="14" t="s">
        <v>189</v>
      </c>
      <c r="C1181" t="s">
        <v>66</v>
      </c>
      <c r="D1181" s="13" t="s">
        <v>67</v>
      </c>
      <c r="E1181" s="13">
        <v>10</v>
      </c>
      <c r="F1181" s="13">
        <f>IF(E1181="","",MIN(E1181,$X1181+SUMIFS('05_Parte_Diario'!$H$5:$H$204,'05_Parte_Diario'!$D$5:$D$204,B1181,'05_Parte_Diario'!$E$5:$E$204,C1181)))</f>
        <v>0</v>
      </c>
      <c r="G1181" s="13">
        <f t="shared" si="126"/>
        <v>10</v>
      </c>
      <c r="H1181" s="21">
        <f t="shared" si="127"/>
        <v>0</v>
      </c>
      <c r="I1181" s="21">
        <f>IF(OR(B1181="",C1181="",$V$1=""),"",MIN(E1181,SUMIFS('03_Planificacion'!$G$99:$G$178,'03_Planificacion'!$E$99:$E$178,B1181,'03_Planificacion'!$F$99:$F$178,C1181,'03_Planificacion'!$D$99:$D$178,"&lt;="&amp;$V$1)))</f>
        <v>0</v>
      </c>
      <c r="J1181" s="21">
        <f t="shared" si="128"/>
        <v>0</v>
      </c>
      <c r="K1181" s="6">
        <f t="shared" si="129"/>
        <v>0</v>
      </c>
      <c r="L1181" t="s">
        <v>68</v>
      </c>
      <c r="P1181" s="5">
        <f t="shared" si="130"/>
        <v>46287</v>
      </c>
      <c r="Q1181" t="s">
        <v>125</v>
      </c>
      <c r="R1181">
        <v>110</v>
      </c>
      <c r="S1181" t="s">
        <v>70</v>
      </c>
      <c r="T1181" t="str">
        <f t="shared" si="131"/>
        <v/>
      </c>
      <c r="U1181" t="str">
        <f>IF(AND(L1181="Para Programar",G1181&gt;0),COUNTIFS($L$5:L1181,"Para Programar",$G$5:G1181,"&gt;0"),"")</f>
        <v/>
      </c>
      <c r="W1181" t="str">
        <f t="shared" si="132"/>
        <v>N9 - N10|01 Replanteo - Marcación de tramo de cañería principal</v>
      </c>
      <c r="X1181">
        <v>0</v>
      </c>
    </row>
    <row r="1182" spans="1:24">
      <c r="A1182" t="s">
        <v>71</v>
      </c>
      <c r="B1182" s="14" t="s">
        <v>189</v>
      </c>
      <c r="C1182" t="s">
        <v>72</v>
      </c>
      <c r="D1182" s="13" t="s">
        <v>67</v>
      </c>
      <c r="E1182" s="13">
        <v>10</v>
      </c>
      <c r="F1182" s="13">
        <f>IF(E1182="","",MIN(E1182,$X1182+SUMIFS('05_Parte_Diario'!$H$5:$H$204,'05_Parte_Diario'!$D$5:$D$204,B1182,'05_Parte_Diario'!$E$5:$E$204,C1182)))</f>
        <v>0</v>
      </c>
      <c r="G1182" s="13">
        <f t="shared" si="126"/>
        <v>10</v>
      </c>
      <c r="H1182" s="21">
        <f t="shared" si="127"/>
        <v>0</v>
      </c>
      <c r="I1182" s="21">
        <f>IF(OR(B1182="",C1182="",$V$1=""),"",MIN(E1182,SUMIFS('03_Planificacion'!$G$99:$G$178,'03_Planificacion'!$E$99:$E$178,B1182,'03_Planificacion'!$F$99:$F$178,C1182,'03_Planificacion'!$D$99:$D$178,"&lt;="&amp;$V$1)))</f>
        <v>0</v>
      </c>
      <c r="J1182" s="21">
        <f t="shared" si="128"/>
        <v>0</v>
      </c>
      <c r="K1182" s="6">
        <f t="shared" si="129"/>
        <v>0</v>
      </c>
      <c r="L1182" t="s">
        <v>68</v>
      </c>
      <c r="P1182" s="5">
        <f t="shared" si="130"/>
        <v>46287</v>
      </c>
      <c r="Q1182" t="s">
        <v>125</v>
      </c>
      <c r="R1182">
        <v>110</v>
      </c>
      <c r="S1182" t="s">
        <v>70</v>
      </c>
      <c r="T1182" t="str">
        <f t="shared" si="131"/>
        <v/>
      </c>
      <c r="U1182" t="str">
        <f>IF(AND(L1182="Para Programar",G1182&gt;0),COUNTIFS($L$5:L1182,"Para Programar",$G$5:G1182,"&gt;0"),"")</f>
        <v/>
      </c>
      <c r="W1182" t="str">
        <f t="shared" si="132"/>
        <v>N9 - N10|02 Excavación - Zanja principal</v>
      </c>
      <c r="X1182">
        <v>0</v>
      </c>
    </row>
    <row r="1183" spans="1:24">
      <c r="A1183" t="s">
        <v>73</v>
      </c>
      <c r="B1183" s="14" t="s">
        <v>189</v>
      </c>
      <c r="C1183" t="s">
        <v>74</v>
      </c>
      <c r="D1183" s="13" t="s">
        <v>67</v>
      </c>
      <c r="E1183" s="13">
        <v>10</v>
      </c>
      <c r="F1183" s="13">
        <f>IF(E1183="","",MIN(E1183,$X1183+SUMIFS('05_Parte_Diario'!$H$5:$H$204,'05_Parte_Diario'!$D$5:$D$204,B1183,'05_Parte_Diario'!$E$5:$E$204,C1183)))</f>
        <v>0</v>
      </c>
      <c r="G1183" s="13">
        <f t="shared" si="126"/>
        <v>10</v>
      </c>
      <c r="H1183" s="21">
        <f t="shared" si="127"/>
        <v>0</v>
      </c>
      <c r="I1183" s="21">
        <f>IF(OR(B1183="",C1183="",$V$1=""),"",MIN(E1183,SUMIFS('03_Planificacion'!$G$99:$G$178,'03_Planificacion'!$E$99:$E$178,B1183,'03_Planificacion'!$F$99:$F$178,C1183,'03_Planificacion'!$D$99:$D$178,"&lt;="&amp;$V$1)))</f>
        <v>0</v>
      </c>
      <c r="J1183" s="21">
        <f t="shared" si="128"/>
        <v>0</v>
      </c>
      <c r="K1183" s="6">
        <f t="shared" si="129"/>
        <v>0</v>
      </c>
      <c r="L1183" t="s">
        <v>68</v>
      </c>
      <c r="P1183" s="5">
        <f t="shared" si="130"/>
        <v>46287</v>
      </c>
      <c r="Q1183" t="s">
        <v>125</v>
      </c>
      <c r="R1183">
        <v>110</v>
      </c>
      <c r="S1183" t="s">
        <v>70</v>
      </c>
      <c r="T1183" t="str">
        <f t="shared" si="131"/>
        <v/>
      </c>
      <c r="U1183" t="str">
        <f>IF(AND(L1183="Para Programar",G1183&gt;0),COUNTIFS($L$5:L1183,"Para Programar",$G$5:G1183,"&gt;0"),"")</f>
        <v/>
      </c>
      <c r="W1183" t="str">
        <f t="shared" si="132"/>
        <v>N9 - N10|03 Base de asiento - Nivelación de fondo de zanja</v>
      </c>
      <c r="X1183">
        <v>0</v>
      </c>
    </row>
    <row r="1184" spans="1:24">
      <c r="A1184" t="s">
        <v>75</v>
      </c>
      <c r="B1184" s="14" t="s">
        <v>189</v>
      </c>
      <c r="C1184" t="s">
        <v>76</v>
      </c>
      <c r="D1184" s="13" t="s">
        <v>67</v>
      </c>
      <c r="E1184" s="13">
        <v>10</v>
      </c>
      <c r="F1184" s="13">
        <f>IF(E1184="","",MIN(E1184,$X1184+SUMIFS('05_Parte_Diario'!$H$5:$H$204,'05_Parte_Diario'!$D$5:$D$204,B1184,'05_Parte_Diario'!$E$5:$E$204,C1184)))</f>
        <v>0</v>
      </c>
      <c r="G1184" s="13">
        <f t="shared" si="126"/>
        <v>10</v>
      </c>
      <c r="H1184" s="21">
        <f t="shared" si="127"/>
        <v>0</v>
      </c>
      <c r="I1184" s="21">
        <f>IF(OR(B1184="",C1184="",$V$1=""),"",MIN(E1184,SUMIFS('03_Planificacion'!$G$99:$G$178,'03_Planificacion'!$E$99:$E$178,B1184,'03_Planificacion'!$F$99:$F$178,C1184,'03_Planificacion'!$D$99:$D$178,"&lt;="&amp;$V$1)))</f>
        <v>0</v>
      </c>
      <c r="J1184" s="21">
        <f t="shared" si="128"/>
        <v>0</v>
      </c>
      <c r="K1184" s="6">
        <f t="shared" si="129"/>
        <v>0</v>
      </c>
      <c r="L1184" t="s">
        <v>68</v>
      </c>
      <c r="P1184" s="5">
        <f t="shared" si="130"/>
        <v>46287</v>
      </c>
      <c r="Q1184" t="s">
        <v>125</v>
      </c>
      <c r="R1184">
        <v>110</v>
      </c>
      <c r="S1184" t="s">
        <v>70</v>
      </c>
      <c r="T1184" t="str">
        <f t="shared" si="131"/>
        <v/>
      </c>
      <c r="U1184" t="str">
        <f>IF(AND(L1184="Para Programar",G1184&gt;0),COUNTIFS($L$5:L1184,"Para Programar",$G$5:G1184,"&gt;0"),"")</f>
        <v/>
      </c>
      <c r="W1184" t="str">
        <f t="shared" si="132"/>
        <v>N9 - N10|03 Base de asiento - Aporte de material base e=0,10 m</v>
      </c>
      <c r="X1184">
        <v>0</v>
      </c>
    </row>
    <row r="1185" spans="1:24">
      <c r="A1185" t="s">
        <v>77</v>
      </c>
      <c r="B1185" s="14" t="s">
        <v>189</v>
      </c>
      <c r="C1185" t="s">
        <v>78</v>
      </c>
      <c r="D1185" s="13" t="s">
        <v>67</v>
      </c>
      <c r="E1185" s="13">
        <v>10</v>
      </c>
      <c r="F1185" s="13">
        <f>IF(E1185="","",MIN(E1185,$X1185+SUMIFS('05_Parte_Diario'!$H$5:$H$204,'05_Parte_Diario'!$D$5:$D$204,B1185,'05_Parte_Diario'!$E$5:$E$204,C1185)))</f>
        <v>0</v>
      </c>
      <c r="G1185" s="13">
        <f t="shared" si="126"/>
        <v>10</v>
      </c>
      <c r="H1185" s="21">
        <f t="shared" si="127"/>
        <v>0</v>
      </c>
      <c r="I1185" s="21">
        <f>IF(OR(B1185="",C1185="",$V$1=""),"",MIN(E1185,SUMIFS('03_Planificacion'!$G$99:$G$178,'03_Planificacion'!$E$99:$E$178,B1185,'03_Planificacion'!$F$99:$F$178,C1185,'03_Planificacion'!$D$99:$D$178,"&lt;="&amp;$V$1)))</f>
        <v>0</v>
      </c>
      <c r="J1185" s="21">
        <f t="shared" si="128"/>
        <v>0</v>
      </c>
      <c r="K1185" s="6">
        <f t="shared" si="129"/>
        <v>0</v>
      </c>
      <c r="L1185" t="s">
        <v>68</v>
      </c>
      <c r="P1185" s="5">
        <f t="shared" si="130"/>
        <v>46287</v>
      </c>
      <c r="Q1185" t="s">
        <v>125</v>
      </c>
      <c r="R1185">
        <v>110</v>
      </c>
      <c r="S1185" t="s">
        <v>70</v>
      </c>
      <c r="T1185" t="str">
        <f t="shared" si="131"/>
        <v/>
      </c>
      <c r="U1185" t="str">
        <f>IF(AND(L1185="Para Programar",G1185&gt;0),COUNTIFS($L$5:L1185,"Para Programar",$G$5:G1185,"&gt;0"),"")</f>
        <v/>
      </c>
      <c r="W1185" t="str">
        <f t="shared" si="132"/>
        <v>N9 - N10|03 Base de asiento - Compactación</v>
      </c>
      <c r="X1185">
        <v>0</v>
      </c>
    </row>
    <row r="1186" spans="1:24">
      <c r="A1186" t="s">
        <v>79</v>
      </c>
      <c r="B1186" s="14" t="s">
        <v>189</v>
      </c>
      <c r="C1186" t="s">
        <v>80</v>
      </c>
      <c r="D1186" s="13" t="s">
        <v>81</v>
      </c>
      <c r="E1186" s="13">
        <v>1</v>
      </c>
      <c r="F1186" s="13">
        <f>IF(E1186="","",MIN(E1186,$X1186+SUMIFS('05_Parte_Diario'!$H$5:$H$204,'05_Parte_Diario'!$D$5:$D$204,B1186,'05_Parte_Diario'!$E$5:$E$204,C1186)))</f>
        <v>0</v>
      </c>
      <c r="G1186" s="13">
        <f t="shared" si="126"/>
        <v>1</v>
      </c>
      <c r="H1186" s="21">
        <f t="shared" si="127"/>
        <v>0</v>
      </c>
      <c r="I1186" s="21">
        <f>IF(OR(B1186="",C1186="",$V$1=""),"",MIN(E1186,SUMIFS('03_Planificacion'!$G$99:$G$178,'03_Planificacion'!$E$99:$E$178,B1186,'03_Planificacion'!$F$99:$F$178,C1186,'03_Planificacion'!$D$99:$D$178,"&lt;="&amp;$V$1)))</f>
        <v>0</v>
      </c>
      <c r="J1186" s="21">
        <f t="shared" si="128"/>
        <v>0</v>
      </c>
      <c r="K1186" s="6">
        <f t="shared" si="129"/>
        <v>0</v>
      </c>
      <c r="L1186" t="s">
        <v>68</v>
      </c>
      <c r="P1186" s="5">
        <f t="shared" si="130"/>
        <v>46287</v>
      </c>
      <c r="Q1186" t="s">
        <v>125</v>
      </c>
      <c r="R1186">
        <v>110</v>
      </c>
      <c r="S1186" t="s">
        <v>70</v>
      </c>
      <c r="T1186" t="str">
        <f t="shared" si="131"/>
        <v/>
      </c>
      <c r="U1186" t="str">
        <f>IF(AND(L1186="Para Programar",G1186&gt;0),COUNTIFS($L$5:L1186,"Para Programar",$G$5:G1186,"&gt;0"),"")</f>
        <v/>
      </c>
      <c r="W1186" t="str">
        <f t="shared" si="132"/>
        <v>N9 - N10|04 Inspecciones previas - Laboratorio base de asiento</v>
      </c>
      <c r="X1186">
        <v>0</v>
      </c>
    </row>
    <row r="1187" spans="1:24">
      <c r="A1187" t="s">
        <v>82</v>
      </c>
      <c r="B1187" s="14" t="s">
        <v>189</v>
      </c>
      <c r="C1187" t="s">
        <v>83</v>
      </c>
      <c r="D1187" s="13" t="s">
        <v>81</v>
      </c>
      <c r="E1187" s="13">
        <v>1</v>
      </c>
      <c r="F1187" s="13">
        <f>IF(E1187="","",MIN(E1187,$X1187+SUMIFS('05_Parte_Diario'!$H$5:$H$204,'05_Parte_Diario'!$D$5:$D$204,B1187,'05_Parte_Diario'!$E$5:$E$204,C1187)))</f>
        <v>0</v>
      </c>
      <c r="G1187" s="13">
        <f t="shared" si="126"/>
        <v>1</v>
      </c>
      <c r="H1187" s="21">
        <f t="shared" si="127"/>
        <v>0</v>
      </c>
      <c r="I1187" s="21">
        <f>IF(OR(B1187="",C1187="",$V$1=""),"",MIN(E1187,SUMIFS('03_Planificacion'!$G$99:$G$178,'03_Planificacion'!$E$99:$E$178,B1187,'03_Planificacion'!$F$99:$F$178,C1187,'03_Planificacion'!$D$99:$D$178,"&lt;="&amp;$V$1)))</f>
        <v>0</v>
      </c>
      <c r="J1187" s="21">
        <f t="shared" si="128"/>
        <v>0</v>
      </c>
      <c r="K1187" s="6">
        <f t="shared" si="129"/>
        <v>0</v>
      </c>
      <c r="L1187" t="s">
        <v>68</v>
      </c>
      <c r="P1187" s="5">
        <f t="shared" si="130"/>
        <v>46287</v>
      </c>
      <c r="Q1187" t="s">
        <v>125</v>
      </c>
      <c r="R1187">
        <v>110</v>
      </c>
      <c r="S1187" t="s">
        <v>70</v>
      </c>
      <c r="T1187" t="str">
        <f t="shared" si="131"/>
        <v/>
      </c>
      <c r="U1187" t="str">
        <f>IF(AND(L1187="Para Programar",G1187&gt;0),COUNTIFS($L$5:L1187,"Para Programar",$G$5:G1187,"&gt;0"),"")</f>
        <v/>
      </c>
      <c r="W1187" t="str">
        <f t="shared" si="132"/>
        <v>N9 - N10|04 Inspecciones previas - Zanja y materiales</v>
      </c>
      <c r="X1187">
        <v>0</v>
      </c>
    </row>
    <row r="1188" spans="1:24">
      <c r="A1188" t="s">
        <v>84</v>
      </c>
      <c r="B1188" s="14" t="s">
        <v>189</v>
      </c>
      <c r="C1188" t="s">
        <v>85</v>
      </c>
      <c r="D1188" s="13" t="s">
        <v>67</v>
      </c>
      <c r="E1188" s="13">
        <v>10</v>
      </c>
      <c r="F1188" s="13">
        <f>IF(E1188="","",MIN(E1188,$X1188+SUMIFS('05_Parte_Diario'!$H$5:$H$204,'05_Parte_Diario'!$D$5:$D$204,B1188,'05_Parte_Diario'!$E$5:$E$204,C1188)))</f>
        <v>0</v>
      </c>
      <c r="G1188" s="13">
        <f t="shared" si="126"/>
        <v>10</v>
      </c>
      <c r="H1188" s="21">
        <f t="shared" si="127"/>
        <v>0</v>
      </c>
      <c r="I1188" s="21">
        <f>IF(OR(B1188="",C1188="",$V$1=""),"",MIN(E1188,SUMIFS('03_Planificacion'!$G$99:$G$178,'03_Planificacion'!$E$99:$E$178,B1188,'03_Planificacion'!$F$99:$F$178,C1188,'03_Planificacion'!$D$99:$D$178,"&lt;="&amp;$V$1)))</f>
        <v>0</v>
      </c>
      <c r="J1188" s="21">
        <f t="shared" si="128"/>
        <v>0</v>
      </c>
      <c r="K1188" s="6">
        <f t="shared" si="129"/>
        <v>0</v>
      </c>
      <c r="L1188" t="s">
        <v>68</v>
      </c>
      <c r="P1188" s="5">
        <f t="shared" si="130"/>
        <v>46287</v>
      </c>
      <c r="Q1188" t="s">
        <v>125</v>
      </c>
      <c r="R1188">
        <v>110</v>
      </c>
      <c r="S1188" t="s">
        <v>70</v>
      </c>
      <c r="T1188" t="str">
        <f t="shared" si="131"/>
        <v/>
      </c>
      <c r="U1188" t="str">
        <f>IF(AND(L1188="Para Programar",G1188&gt;0),COUNTIFS($L$5:L1188,"Para Programar",$G$5:G1188,"&gt;0"),"")</f>
        <v/>
      </c>
      <c r="W1188" t="str">
        <f t="shared" si="132"/>
        <v>N9 - N10|05 Tendido de cañería - Cañería principal</v>
      </c>
      <c r="X1188">
        <v>0</v>
      </c>
    </row>
    <row r="1189" spans="1:24">
      <c r="A1189" t="s">
        <v>86</v>
      </c>
      <c r="B1189" s="14" t="s">
        <v>189</v>
      </c>
      <c r="C1189" t="s">
        <v>87</v>
      </c>
      <c r="D1189" s="13" t="s">
        <v>67</v>
      </c>
      <c r="E1189" s="13">
        <v>10</v>
      </c>
      <c r="F1189" s="13">
        <f>IF(E1189="","",MIN(E1189,$X1189+SUMIFS('05_Parte_Diario'!$H$5:$H$204,'05_Parte_Diario'!$D$5:$D$204,B1189,'05_Parte_Diario'!$E$5:$E$204,C1189)))</f>
        <v>0</v>
      </c>
      <c r="G1189" s="13">
        <f t="shared" si="126"/>
        <v>10</v>
      </c>
      <c r="H1189" s="21">
        <f t="shared" si="127"/>
        <v>0</v>
      </c>
      <c r="I1189" s="21">
        <f>IF(OR(B1189="",C1189="",$V$1=""),"",MIN(E1189,SUMIFS('03_Planificacion'!$G$99:$G$178,'03_Planificacion'!$E$99:$E$178,B1189,'03_Planificacion'!$F$99:$F$178,C1189,'03_Planificacion'!$D$99:$D$178,"&lt;="&amp;$V$1)))</f>
        <v>0</v>
      </c>
      <c r="J1189" s="21">
        <f t="shared" si="128"/>
        <v>0</v>
      </c>
      <c r="K1189" s="6">
        <f t="shared" si="129"/>
        <v>0</v>
      </c>
      <c r="L1189" t="s">
        <v>68</v>
      </c>
      <c r="P1189" s="5">
        <f t="shared" si="130"/>
        <v>46287</v>
      </c>
      <c r="Q1189" t="s">
        <v>125</v>
      </c>
      <c r="R1189">
        <v>110</v>
      </c>
      <c r="S1189" t="s">
        <v>70</v>
      </c>
      <c r="T1189" t="str">
        <f t="shared" si="131"/>
        <v/>
      </c>
      <c r="U1189" t="str">
        <f>IF(AND(L1189="Para Programar",G1189&gt;0),COUNTIFS($L$5:L1189,"Para Programar",$G$5:G1189,"&gt;0"),"")</f>
        <v/>
      </c>
      <c r="W1189" t="str">
        <f t="shared" si="132"/>
        <v>N9 - N10|05 Tendido de cañería - Relevamiento planialtimétrico</v>
      </c>
      <c r="X1189">
        <v>0</v>
      </c>
    </row>
    <row r="1190" spans="1:24">
      <c r="A1190" t="s">
        <v>88</v>
      </c>
      <c r="B1190" s="14" t="s">
        <v>189</v>
      </c>
      <c r="C1190" t="s">
        <v>89</v>
      </c>
      <c r="D1190" s="13" t="s">
        <v>81</v>
      </c>
      <c r="E1190" s="13">
        <v>1</v>
      </c>
      <c r="F1190" s="13">
        <f>IF(E1190="","",MIN(E1190,$X1190+SUMIFS('05_Parte_Diario'!$H$5:$H$204,'05_Parte_Diario'!$D$5:$D$204,B1190,'05_Parte_Diario'!$E$5:$E$204,C1190)))</f>
        <v>0</v>
      </c>
      <c r="G1190" s="13">
        <f t="shared" si="126"/>
        <v>1</v>
      </c>
      <c r="H1190" s="21">
        <f t="shared" si="127"/>
        <v>0</v>
      </c>
      <c r="I1190" s="21">
        <f>IF(OR(B1190="",C1190="",$V$1=""),"",MIN(E1190,SUMIFS('03_Planificacion'!$G$99:$G$178,'03_Planificacion'!$E$99:$E$178,B1190,'03_Planificacion'!$F$99:$F$178,C1190,'03_Planificacion'!$D$99:$D$178,"&lt;="&amp;$V$1)))</f>
        <v>0</v>
      </c>
      <c r="J1190" s="21">
        <f t="shared" si="128"/>
        <v>0</v>
      </c>
      <c r="K1190" s="6">
        <f t="shared" si="129"/>
        <v>0</v>
      </c>
      <c r="L1190" t="s">
        <v>68</v>
      </c>
      <c r="P1190" s="5">
        <f t="shared" si="130"/>
        <v>46287</v>
      </c>
      <c r="Q1190" t="s">
        <v>125</v>
      </c>
      <c r="R1190">
        <v>110</v>
      </c>
      <c r="S1190" t="s">
        <v>70</v>
      </c>
      <c r="T1190" t="str">
        <f t="shared" si="131"/>
        <v/>
      </c>
      <c r="U1190" t="str">
        <f>IF(AND(L1190="Para Programar",G1190&gt;0),COUNTIFS($L$5:L1190,"Para Programar",$G$5:G1190,"&gt;0"),"")</f>
        <v/>
      </c>
      <c r="W1190" t="str">
        <f t="shared" si="132"/>
        <v>N9 - N10|08 Prueba hidráulica - Preparación del sistema</v>
      </c>
      <c r="X1190">
        <v>0</v>
      </c>
    </row>
    <row r="1191" spans="1:24">
      <c r="A1191" t="s">
        <v>90</v>
      </c>
      <c r="B1191" s="14" t="s">
        <v>189</v>
      </c>
      <c r="C1191" t="s">
        <v>91</v>
      </c>
      <c r="D1191" s="13" t="s">
        <v>81</v>
      </c>
      <c r="E1191" s="13">
        <v>1</v>
      </c>
      <c r="F1191" s="13">
        <f>IF(E1191="","",MIN(E1191,$X1191+SUMIFS('05_Parte_Diario'!$H$5:$H$204,'05_Parte_Diario'!$D$5:$D$204,B1191,'05_Parte_Diario'!$E$5:$E$204,C1191)))</f>
        <v>0</v>
      </c>
      <c r="G1191" s="13">
        <f t="shared" si="126"/>
        <v>1</v>
      </c>
      <c r="H1191" s="21">
        <f t="shared" si="127"/>
        <v>0</v>
      </c>
      <c r="I1191" s="21">
        <f>IF(OR(B1191="",C1191="",$V$1=""),"",MIN(E1191,SUMIFS('03_Planificacion'!$G$99:$G$178,'03_Planificacion'!$E$99:$E$178,B1191,'03_Planificacion'!$F$99:$F$178,C1191,'03_Planificacion'!$D$99:$D$178,"&lt;="&amp;$V$1)))</f>
        <v>0</v>
      </c>
      <c r="J1191" s="21">
        <f t="shared" si="128"/>
        <v>0</v>
      </c>
      <c r="K1191" s="6">
        <f t="shared" si="129"/>
        <v>0</v>
      </c>
      <c r="L1191" t="s">
        <v>68</v>
      </c>
      <c r="P1191" s="5">
        <f t="shared" si="130"/>
        <v>46287</v>
      </c>
      <c r="Q1191" t="s">
        <v>125</v>
      </c>
      <c r="R1191">
        <v>110</v>
      </c>
      <c r="S1191" t="s">
        <v>70</v>
      </c>
      <c r="T1191" t="str">
        <f t="shared" si="131"/>
        <v/>
      </c>
      <c r="U1191" t="str">
        <f>IF(AND(L1191="Para Programar",G1191&gt;0),COUNTIFS($L$5:L1191,"Para Programar",$G$5:G1191,"&gt;0"),"")</f>
        <v/>
      </c>
      <c r="W1191" t="str">
        <f t="shared" si="132"/>
        <v>N9 - N10|08 Prueba hidráulica - Interna N° 1</v>
      </c>
      <c r="X1191">
        <v>0</v>
      </c>
    </row>
    <row r="1192" spans="1:24">
      <c r="A1192" t="s">
        <v>92</v>
      </c>
      <c r="B1192" s="14" t="s">
        <v>189</v>
      </c>
      <c r="C1192" t="s">
        <v>93</v>
      </c>
      <c r="D1192" s="13" t="s">
        <v>81</v>
      </c>
      <c r="E1192" s="13">
        <v>1</v>
      </c>
      <c r="F1192" s="13">
        <f>IF(E1192="","",MIN(E1192,$X1192+SUMIFS('05_Parte_Diario'!$H$5:$H$204,'05_Parte_Diario'!$D$5:$D$204,B1192,'05_Parte_Diario'!$E$5:$E$204,C1192)))</f>
        <v>0</v>
      </c>
      <c r="G1192" s="13">
        <f t="shared" si="126"/>
        <v>1</v>
      </c>
      <c r="H1192" s="21">
        <f t="shared" si="127"/>
        <v>0</v>
      </c>
      <c r="I1192" s="21">
        <f>IF(OR(B1192="",C1192="",$V$1=""),"",MIN(E1192,SUMIFS('03_Planificacion'!$G$99:$G$178,'03_Planificacion'!$E$99:$E$178,B1192,'03_Planificacion'!$F$99:$F$178,C1192,'03_Planificacion'!$D$99:$D$178,"&lt;="&amp;$V$1)))</f>
        <v>0</v>
      </c>
      <c r="J1192" s="21">
        <f t="shared" si="128"/>
        <v>0</v>
      </c>
      <c r="K1192" s="6">
        <f t="shared" si="129"/>
        <v>0</v>
      </c>
      <c r="L1192" t="s">
        <v>68</v>
      </c>
      <c r="P1192" s="5">
        <f t="shared" si="130"/>
        <v>46287</v>
      </c>
      <c r="Q1192" t="s">
        <v>125</v>
      </c>
      <c r="R1192">
        <v>110</v>
      </c>
      <c r="S1192" t="s">
        <v>70</v>
      </c>
      <c r="T1192" t="str">
        <f t="shared" si="131"/>
        <v/>
      </c>
      <c r="U1192" t="str">
        <f>IF(AND(L1192="Para Programar",G1192&gt;0),COUNTIFS($L$5:L1192,"Para Programar",$G$5:G1192,"&gt;0"),"")</f>
        <v/>
      </c>
      <c r="W1192" t="str">
        <f t="shared" si="132"/>
        <v>N9 - N10|08 Prueba hidráulica - Interna N° 2</v>
      </c>
      <c r="X1192">
        <v>0</v>
      </c>
    </row>
    <row r="1193" spans="1:24">
      <c r="A1193" t="s">
        <v>94</v>
      </c>
      <c r="B1193" s="14" t="s">
        <v>189</v>
      </c>
      <c r="C1193" t="s">
        <v>95</v>
      </c>
      <c r="D1193" s="13" t="s">
        <v>81</v>
      </c>
      <c r="E1193" s="13">
        <v>1</v>
      </c>
      <c r="F1193" s="13">
        <f>IF(E1193="","",MIN(E1193,$X1193+SUMIFS('05_Parte_Diario'!$H$5:$H$204,'05_Parte_Diario'!$D$5:$D$204,B1193,'05_Parte_Diario'!$E$5:$E$204,C1193)))</f>
        <v>0</v>
      </c>
      <c r="G1193" s="13">
        <f t="shared" si="126"/>
        <v>1</v>
      </c>
      <c r="H1193" s="21">
        <f t="shared" si="127"/>
        <v>0</v>
      </c>
      <c r="I1193" s="21">
        <f>IF(OR(B1193="",C1193="",$V$1=""),"",MIN(E1193,SUMIFS('03_Planificacion'!$G$99:$G$178,'03_Planificacion'!$E$99:$E$178,B1193,'03_Planificacion'!$F$99:$F$178,C1193,'03_Planificacion'!$D$99:$D$178,"&lt;="&amp;$V$1)))</f>
        <v>0</v>
      </c>
      <c r="J1193" s="21">
        <f t="shared" si="128"/>
        <v>0</v>
      </c>
      <c r="K1193" s="6">
        <f t="shared" si="129"/>
        <v>0</v>
      </c>
      <c r="L1193" t="s">
        <v>68</v>
      </c>
      <c r="P1193" s="5">
        <f t="shared" si="130"/>
        <v>46287</v>
      </c>
      <c r="Q1193" t="s">
        <v>125</v>
      </c>
      <c r="R1193">
        <v>110</v>
      </c>
      <c r="S1193" t="s">
        <v>70</v>
      </c>
      <c r="T1193" t="str">
        <f t="shared" si="131"/>
        <v/>
      </c>
      <c r="U1193" t="str">
        <f>IF(AND(L1193="Para Programar",G1193&gt;0),COUNTIFS($L$5:L1193,"Para Programar",$G$5:G1193,"&gt;0"),"")</f>
        <v/>
      </c>
      <c r="W1193" t="str">
        <f t="shared" si="132"/>
        <v>N9 - N10|08 Prueba hidráulica - Primera prueba oficial</v>
      </c>
      <c r="X1193">
        <v>0</v>
      </c>
    </row>
    <row r="1194" spans="1:24">
      <c r="A1194" t="s">
        <v>96</v>
      </c>
      <c r="B1194" s="14" t="s">
        <v>189</v>
      </c>
      <c r="C1194" t="s">
        <v>97</v>
      </c>
      <c r="D1194" s="13" t="s">
        <v>67</v>
      </c>
      <c r="E1194" s="13">
        <v>10</v>
      </c>
      <c r="F1194" s="13">
        <f>IF(E1194="","",MIN(E1194,$X1194+SUMIFS('05_Parte_Diario'!$H$5:$H$204,'05_Parte_Diario'!$D$5:$D$204,B1194,'05_Parte_Diario'!$E$5:$E$204,C1194)))</f>
        <v>0</v>
      </c>
      <c r="G1194" s="13">
        <f t="shared" si="126"/>
        <v>10</v>
      </c>
      <c r="H1194" s="21">
        <f t="shared" si="127"/>
        <v>0</v>
      </c>
      <c r="I1194" s="21">
        <f>IF(OR(B1194="",C1194="",$V$1=""),"",MIN(E1194,SUMIFS('03_Planificacion'!$G$99:$G$178,'03_Planificacion'!$E$99:$E$178,B1194,'03_Planificacion'!$F$99:$F$178,C1194,'03_Planificacion'!$D$99:$D$178,"&lt;="&amp;$V$1)))</f>
        <v>0</v>
      </c>
      <c r="J1194" s="21">
        <f t="shared" si="128"/>
        <v>0</v>
      </c>
      <c r="K1194" s="6">
        <f t="shared" si="129"/>
        <v>0</v>
      </c>
      <c r="L1194" t="s">
        <v>68</v>
      </c>
      <c r="P1194" s="5">
        <f t="shared" si="130"/>
        <v>46287</v>
      </c>
      <c r="Q1194" t="s">
        <v>125</v>
      </c>
      <c r="R1194">
        <v>110</v>
      </c>
      <c r="S1194" t="s">
        <v>70</v>
      </c>
      <c r="T1194" t="str">
        <f t="shared" si="131"/>
        <v/>
      </c>
      <c r="U1194" t="str">
        <f>IF(AND(L1194="Para Programar",G1194&gt;0),COUNTIFS($L$5:L1194,"Para Programar",$G$5:G1194,"&gt;0"),"")</f>
        <v/>
      </c>
      <c r="W1194" t="str">
        <f t="shared" si="132"/>
        <v>N9 - N10|09 Paquete estructural - Aporte e=0,30 m</v>
      </c>
      <c r="X1194">
        <v>0</v>
      </c>
    </row>
    <row r="1195" spans="1:24">
      <c r="A1195" t="s">
        <v>98</v>
      </c>
      <c r="B1195" s="14" t="s">
        <v>189</v>
      </c>
      <c r="C1195" t="s">
        <v>99</v>
      </c>
      <c r="D1195" s="13" t="s">
        <v>67</v>
      </c>
      <c r="E1195" s="13">
        <v>10</v>
      </c>
      <c r="F1195" s="13">
        <f>IF(E1195="","",MIN(E1195,$X1195+SUMIFS('05_Parte_Diario'!$H$5:$H$204,'05_Parte_Diario'!$D$5:$D$204,B1195,'05_Parte_Diario'!$E$5:$E$204,C1195)))</f>
        <v>0</v>
      </c>
      <c r="G1195" s="13">
        <f t="shared" si="126"/>
        <v>10</v>
      </c>
      <c r="H1195" s="21">
        <f t="shared" si="127"/>
        <v>0</v>
      </c>
      <c r="I1195" s="21">
        <f>IF(OR(B1195="",C1195="",$V$1=""),"",MIN(E1195,SUMIFS('03_Planificacion'!$G$99:$G$178,'03_Planificacion'!$E$99:$E$178,B1195,'03_Planificacion'!$F$99:$F$178,C1195,'03_Planificacion'!$D$99:$D$178,"&lt;="&amp;$V$1)))</f>
        <v>0</v>
      </c>
      <c r="J1195" s="21">
        <f t="shared" si="128"/>
        <v>0</v>
      </c>
      <c r="K1195" s="6">
        <f t="shared" si="129"/>
        <v>0</v>
      </c>
      <c r="L1195" t="s">
        <v>68</v>
      </c>
      <c r="P1195" s="5">
        <f t="shared" si="130"/>
        <v>46287</v>
      </c>
      <c r="Q1195" t="s">
        <v>125</v>
      </c>
      <c r="R1195">
        <v>110</v>
      </c>
      <c r="S1195" t="s">
        <v>70</v>
      </c>
      <c r="T1195" t="str">
        <f t="shared" si="131"/>
        <v/>
      </c>
      <c r="U1195" t="str">
        <f>IF(AND(L1195="Para Programar",G1195&gt;0),COUNTIFS($L$5:L1195,"Para Programar",$G$5:G1195,"&gt;0"),"")</f>
        <v/>
      </c>
      <c r="W1195" t="str">
        <f t="shared" si="132"/>
        <v>N9 - N10|09 Paquete estructural - Compactación</v>
      </c>
      <c r="X1195">
        <v>0</v>
      </c>
    </row>
    <row r="1196" spans="1:24">
      <c r="A1196" t="s">
        <v>100</v>
      </c>
      <c r="B1196" s="14" t="s">
        <v>189</v>
      </c>
      <c r="C1196" t="s">
        <v>101</v>
      </c>
      <c r="D1196" s="13" t="s">
        <v>81</v>
      </c>
      <c r="E1196" s="13">
        <v>1</v>
      </c>
      <c r="F1196" s="13">
        <f>IF(E1196="","",MIN(E1196,$X1196+SUMIFS('05_Parte_Diario'!$H$5:$H$204,'05_Parte_Diario'!$D$5:$D$204,B1196,'05_Parte_Diario'!$E$5:$E$204,C1196)))</f>
        <v>0</v>
      </c>
      <c r="G1196" s="13">
        <f t="shared" si="126"/>
        <v>1</v>
      </c>
      <c r="H1196" s="21">
        <f t="shared" si="127"/>
        <v>0</v>
      </c>
      <c r="I1196" s="21">
        <f>IF(OR(B1196="",C1196="",$V$1=""),"",MIN(E1196,SUMIFS('03_Planificacion'!$G$99:$G$178,'03_Planificacion'!$E$99:$E$178,B1196,'03_Planificacion'!$F$99:$F$178,C1196,'03_Planificacion'!$D$99:$D$178,"&lt;="&amp;$V$1)))</f>
        <v>0</v>
      </c>
      <c r="J1196" s="21">
        <f t="shared" si="128"/>
        <v>0</v>
      </c>
      <c r="K1196" s="6">
        <f t="shared" si="129"/>
        <v>0</v>
      </c>
      <c r="L1196" t="s">
        <v>68</v>
      </c>
      <c r="P1196" s="5">
        <f t="shared" si="130"/>
        <v>46287</v>
      </c>
      <c r="Q1196" t="s">
        <v>125</v>
      </c>
      <c r="R1196">
        <v>110</v>
      </c>
      <c r="S1196" t="s">
        <v>70</v>
      </c>
      <c r="T1196" t="str">
        <f t="shared" si="131"/>
        <v/>
      </c>
      <c r="U1196" t="str">
        <f>IF(AND(L1196="Para Programar",G1196&gt;0),COUNTIFS($L$5:L1196,"Para Programar",$G$5:G1196,"&gt;0"),"")</f>
        <v/>
      </c>
      <c r="W1196" t="str">
        <f t="shared" si="132"/>
        <v>N9 - N10|09 Paquete estructural - Inspección laboratorio</v>
      </c>
      <c r="X1196">
        <v>0</v>
      </c>
    </row>
    <row r="1197" spans="1:24">
      <c r="A1197" t="s">
        <v>102</v>
      </c>
      <c r="B1197" s="14" t="s">
        <v>189</v>
      </c>
      <c r="C1197" t="s">
        <v>103</v>
      </c>
      <c r="D1197" s="13" t="s">
        <v>67</v>
      </c>
      <c r="E1197" s="13">
        <v>10</v>
      </c>
      <c r="F1197" s="13">
        <f>IF(E1197="","",MIN(E1197,$X1197+SUMIFS('05_Parte_Diario'!$H$5:$H$204,'05_Parte_Diario'!$D$5:$D$204,B1197,'05_Parte_Diario'!$E$5:$E$204,C1197)))</f>
        <v>0</v>
      </c>
      <c r="G1197" s="13">
        <f t="shared" si="126"/>
        <v>10</v>
      </c>
      <c r="H1197" s="21">
        <f t="shared" si="127"/>
        <v>0</v>
      </c>
      <c r="I1197" s="21">
        <f>IF(OR(B1197="",C1197="",$V$1=""),"",MIN(E1197,SUMIFS('03_Planificacion'!$G$99:$G$178,'03_Planificacion'!$E$99:$E$178,B1197,'03_Planificacion'!$F$99:$F$178,C1197,'03_Planificacion'!$D$99:$D$178,"&lt;="&amp;$V$1)))</f>
        <v>0</v>
      </c>
      <c r="J1197" s="21">
        <f t="shared" si="128"/>
        <v>0</v>
      </c>
      <c r="K1197" s="6">
        <f t="shared" si="129"/>
        <v>0</v>
      </c>
      <c r="L1197" t="s">
        <v>68</v>
      </c>
      <c r="P1197" s="5">
        <f t="shared" si="130"/>
        <v>46287</v>
      </c>
      <c r="Q1197" t="s">
        <v>125</v>
      </c>
      <c r="R1197">
        <v>110</v>
      </c>
      <c r="S1197" t="s">
        <v>70</v>
      </c>
      <c r="T1197" t="str">
        <f t="shared" si="131"/>
        <v/>
      </c>
      <c r="U1197" t="str">
        <f>IF(AND(L1197="Para Programar",G1197&gt;0),COUNTIFS($L$5:L1197,"Para Programar",$G$5:G1197,"&gt;0"),"")</f>
        <v/>
      </c>
      <c r="W1197" t="str">
        <f t="shared" si="132"/>
        <v>N9 - N10|10 Relleno -0,60 - Conformación de capa</v>
      </c>
      <c r="X1197">
        <v>0</v>
      </c>
    </row>
    <row r="1198" spans="1:24">
      <c r="A1198" t="s">
        <v>104</v>
      </c>
      <c r="B1198" s="14" t="s">
        <v>189</v>
      </c>
      <c r="C1198" t="s">
        <v>105</v>
      </c>
      <c r="D1198" s="13" t="s">
        <v>67</v>
      </c>
      <c r="E1198" s="13">
        <v>10</v>
      </c>
      <c r="F1198" s="13">
        <f>IF(E1198="","",MIN(E1198,$X1198+SUMIFS('05_Parte_Diario'!$H$5:$H$204,'05_Parte_Diario'!$D$5:$D$204,B1198,'05_Parte_Diario'!$E$5:$E$204,C1198)))</f>
        <v>0</v>
      </c>
      <c r="G1198" s="13">
        <f t="shared" si="126"/>
        <v>10</v>
      </c>
      <c r="H1198" s="21">
        <f t="shared" si="127"/>
        <v>0</v>
      </c>
      <c r="I1198" s="21">
        <f>IF(OR(B1198="",C1198="",$V$1=""),"",MIN(E1198,SUMIFS('03_Planificacion'!$G$99:$G$178,'03_Planificacion'!$E$99:$E$178,B1198,'03_Planificacion'!$F$99:$F$178,C1198,'03_Planificacion'!$D$99:$D$178,"&lt;="&amp;$V$1)))</f>
        <v>0</v>
      </c>
      <c r="J1198" s="21">
        <f t="shared" si="128"/>
        <v>0</v>
      </c>
      <c r="K1198" s="6">
        <f t="shared" si="129"/>
        <v>0</v>
      </c>
      <c r="L1198" t="s">
        <v>68</v>
      </c>
      <c r="P1198" s="5">
        <f t="shared" si="130"/>
        <v>46287</v>
      </c>
      <c r="Q1198" t="s">
        <v>125</v>
      </c>
      <c r="R1198">
        <v>110</v>
      </c>
      <c r="S1198" t="s">
        <v>70</v>
      </c>
      <c r="T1198" t="str">
        <f t="shared" si="131"/>
        <v/>
      </c>
      <c r="U1198" t="str">
        <f>IF(AND(L1198="Para Programar",G1198&gt;0),COUNTIFS($L$5:L1198,"Para Programar",$G$5:G1198,"&gt;0"),"")</f>
        <v/>
      </c>
      <c r="W1198" t="str">
        <f t="shared" si="132"/>
        <v>N9 - N10|10 Relleno -0,60 - Humectación</v>
      </c>
      <c r="X1198">
        <v>0</v>
      </c>
    </row>
    <row r="1199" spans="1:24">
      <c r="A1199" t="s">
        <v>106</v>
      </c>
      <c r="B1199" s="14" t="s">
        <v>189</v>
      </c>
      <c r="C1199" t="s">
        <v>107</v>
      </c>
      <c r="D1199" s="13" t="s">
        <v>67</v>
      </c>
      <c r="E1199" s="13">
        <v>10</v>
      </c>
      <c r="F1199" s="13">
        <f>IF(E1199="","",MIN(E1199,$X1199+SUMIFS('05_Parte_Diario'!$H$5:$H$204,'05_Parte_Diario'!$D$5:$D$204,B1199,'05_Parte_Diario'!$E$5:$E$204,C1199)))</f>
        <v>0</v>
      </c>
      <c r="G1199" s="13">
        <f t="shared" si="126"/>
        <v>10</v>
      </c>
      <c r="H1199" s="21">
        <f t="shared" si="127"/>
        <v>0</v>
      </c>
      <c r="I1199" s="21">
        <f>IF(OR(B1199="",C1199="",$V$1=""),"",MIN(E1199,SUMIFS('03_Planificacion'!$G$99:$G$178,'03_Planificacion'!$E$99:$E$178,B1199,'03_Planificacion'!$F$99:$F$178,C1199,'03_Planificacion'!$D$99:$D$178,"&lt;="&amp;$V$1)))</f>
        <v>0</v>
      </c>
      <c r="J1199" s="21">
        <f t="shared" si="128"/>
        <v>0</v>
      </c>
      <c r="K1199" s="6">
        <f t="shared" si="129"/>
        <v>0</v>
      </c>
      <c r="L1199" t="s">
        <v>68</v>
      </c>
      <c r="P1199" s="5">
        <f t="shared" si="130"/>
        <v>46287</v>
      </c>
      <c r="Q1199" t="s">
        <v>125</v>
      </c>
      <c r="R1199">
        <v>110</v>
      </c>
      <c r="S1199" t="s">
        <v>70</v>
      </c>
      <c r="T1199" t="str">
        <f t="shared" si="131"/>
        <v/>
      </c>
      <c r="U1199" t="str">
        <f>IF(AND(L1199="Para Programar",G1199&gt;0),COUNTIFS($L$5:L1199,"Para Programar",$G$5:G1199,"&gt;0"),"")</f>
        <v/>
      </c>
      <c r="W1199" t="str">
        <f t="shared" si="132"/>
        <v>N9 - N10|10 Relleno -0,60 - Compactación</v>
      </c>
      <c r="X1199">
        <v>0</v>
      </c>
    </row>
    <row r="1200" spans="1:24">
      <c r="A1200" t="s">
        <v>108</v>
      </c>
      <c r="B1200" s="14" t="s">
        <v>189</v>
      </c>
      <c r="C1200" t="s">
        <v>109</v>
      </c>
      <c r="D1200" s="13" t="s">
        <v>81</v>
      </c>
      <c r="E1200" s="13">
        <v>1</v>
      </c>
      <c r="F1200" s="13">
        <f>IF(E1200="","",MIN(E1200,$X1200+SUMIFS('05_Parte_Diario'!$H$5:$H$204,'05_Parte_Diario'!$D$5:$D$204,B1200,'05_Parte_Diario'!$E$5:$E$204,C1200)))</f>
        <v>0</v>
      </c>
      <c r="G1200" s="13">
        <f t="shared" si="126"/>
        <v>1</v>
      </c>
      <c r="H1200" s="21">
        <f t="shared" si="127"/>
        <v>0</v>
      </c>
      <c r="I1200" s="21">
        <f>IF(OR(B1200="",C1200="",$V$1=""),"",MIN(E1200,SUMIFS('03_Planificacion'!$G$99:$G$178,'03_Planificacion'!$E$99:$E$178,B1200,'03_Planificacion'!$F$99:$F$178,C1200,'03_Planificacion'!$D$99:$D$178,"&lt;="&amp;$V$1)))</f>
        <v>0</v>
      </c>
      <c r="J1200" s="21">
        <f t="shared" si="128"/>
        <v>0</v>
      </c>
      <c r="K1200" s="6">
        <f t="shared" si="129"/>
        <v>0</v>
      </c>
      <c r="L1200" t="s">
        <v>68</v>
      </c>
      <c r="P1200" s="5">
        <f t="shared" si="130"/>
        <v>46287</v>
      </c>
      <c r="Q1200" t="s">
        <v>125</v>
      </c>
      <c r="R1200">
        <v>110</v>
      </c>
      <c r="S1200" t="s">
        <v>70</v>
      </c>
      <c r="T1200" t="str">
        <f t="shared" si="131"/>
        <v/>
      </c>
      <c r="U1200" t="str">
        <f>IF(AND(L1200="Para Programar",G1200&gt;0),COUNTIFS($L$5:L1200,"Para Programar",$G$5:G1200,"&gt;0"),"")</f>
        <v/>
      </c>
      <c r="W1200" t="str">
        <f t="shared" si="132"/>
        <v>N9 - N10|10 Relleno -0,60 - Inspección laboratorio</v>
      </c>
      <c r="X1200">
        <v>0</v>
      </c>
    </row>
    <row r="1201" spans="1:24">
      <c r="A1201" t="s">
        <v>110</v>
      </c>
      <c r="B1201" s="14" t="s">
        <v>189</v>
      </c>
      <c r="C1201" t="s">
        <v>111</v>
      </c>
      <c r="D1201" s="13" t="s">
        <v>67</v>
      </c>
      <c r="E1201" s="13">
        <v>10</v>
      </c>
      <c r="F1201" s="13">
        <f>IF(E1201="","",MIN(E1201,$X1201+SUMIFS('05_Parte_Diario'!$H$5:$H$204,'05_Parte_Diario'!$D$5:$D$204,B1201,'05_Parte_Diario'!$E$5:$E$204,C1201)))</f>
        <v>0</v>
      </c>
      <c r="G1201" s="13">
        <f t="shared" si="126"/>
        <v>10</v>
      </c>
      <c r="H1201" s="21">
        <f t="shared" si="127"/>
        <v>0</v>
      </c>
      <c r="I1201" s="21">
        <f>IF(OR(B1201="",C1201="",$V$1=""),"",MIN(E1201,SUMIFS('03_Planificacion'!$G$99:$G$178,'03_Planificacion'!$E$99:$E$178,B1201,'03_Planificacion'!$F$99:$F$178,C1201,'03_Planificacion'!$D$99:$D$178,"&lt;="&amp;$V$1)))</f>
        <v>0</v>
      </c>
      <c r="J1201" s="21">
        <f t="shared" si="128"/>
        <v>0</v>
      </c>
      <c r="K1201" s="6">
        <f t="shared" si="129"/>
        <v>0</v>
      </c>
      <c r="L1201" t="s">
        <v>68</v>
      </c>
      <c r="P1201" s="5">
        <f t="shared" si="130"/>
        <v>46287</v>
      </c>
      <c r="Q1201" t="s">
        <v>125</v>
      </c>
      <c r="R1201">
        <v>110</v>
      </c>
      <c r="S1201" t="s">
        <v>70</v>
      </c>
      <c r="T1201" t="str">
        <f t="shared" si="131"/>
        <v/>
      </c>
      <c r="U1201" t="str">
        <f>IF(AND(L1201="Para Programar",G1201&gt;0),COUNTIFS($L$5:L1201,"Para Programar",$G$5:G1201,"&gt;0"),"")</f>
        <v/>
      </c>
      <c r="W1201" t="str">
        <f t="shared" si="132"/>
        <v>N9 - N10|11 Relleno -0,30 - Conformación de capa</v>
      </c>
      <c r="X1201">
        <v>0</v>
      </c>
    </row>
    <row r="1202" spans="1:24">
      <c r="A1202" t="s">
        <v>112</v>
      </c>
      <c r="B1202" s="14" t="s">
        <v>189</v>
      </c>
      <c r="C1202" t="s">
        <v>113</v>
      </c>
      <c r="D1202" s="13" t="s">
        <v>67</v>
      </c>
      <c r="E1202" s="13">
        <v>10</v>
      </c>
      <c r="F1202" s="13">
        <f>IF(E1202="","",MIN(E1202,$X1202+SUMIFS('05_Parte_Diario'!$H$5:$H$204,'05_Parte_Diario'!$D$5:$D$204,B1202,'05_Parte_Diario'!$E$5:$E$204,C1202)))</f>
        <v>0</v>
      </c>
      <c r="G1202" s="13">
        <f t="shared" si="126"/>
        <v>10</v>
      </c>
      <c r="H1202" s="21">
        <f t="shared" si="127"/>
        <v>0</v>
      </c>
      <c r="I1202" s="21">
        <f>IF(OR(B1202="",C1202="",$V$1=""),"",MIN(E1202,SUMIFS('03_Planificacion'!$G$99:$G$178,'03_Planificacion'!$E$99:$E$178,B1202,'03_Planificacion'!$F$99:$F$178,C1202,'03_Planificacion'!$D$99:$D$178,"&lt;="&amp;$V$1)))</f>
        <v>0</v>
      </c>
      <c r="J1202" s="21">
        <f t="shared" si="128"/>
        <v>0</v>
      </c>
      <c r="K1202" s="6">
        <f t="shared" si="129"/>
        <v>0</v>
      </c>
      <c r="L1202" t="s">
        <v>68</v>
      </c>
      <c r="P1202" s="5">
        <f t="shared" si="130"/>
        <v>46287</v>
      </c>
      <c r="Q1202" t="s">
        <v>125</v>
      </c>
      <c r="R1202">
        <v>110</v>
      </c>
      <c r="S1202" t="s">
        <v>70</v>
      </c>
      <c r="T1202" t="str">
        <f t="shared" si="131"/>
        <v/>
      </c>
      <c r="U1202" t="str">
        <f>IF(AND(L1202="Para Programar",G1202&gt;0),COUNTIFS($L$5:L1202,"Para Programar",$G$5:G1202,"&gt;0"),"")</f>
        <v/>
      </c>
      <c r="W1202" t="str">
        <f t="shared" si="132"/>
        <v>N9 - N10|11 Relleno -0,30 - Humectación</v>
      </c>
      <c r="X1202">
        <v>0</v>
      </c>
    </row>
    <row r="1203" spans="1:24">
      <c r="A1203" t="s">
        <v>114</v>
      </c>
      <c r="B1203" s="14" t="s">
        <v>189</v>
      </c>
      <c r="C1203" t="s">
        <v>115</v>
      </c>
      <c r="D1203" s="13" t="s">
        <v>67</v>
      </c>
      <c r="E1203" s="13">
        <v>10</v>
      </c>
      <c r="F1203" s="13">
        <f>IF(E1203="","",MIN(E1203,$X1203+SUMIFS('05_Parte_Diario'!$H$5:$H$204,'05_Parte_Diario'!$D$5:$D$204,B1203,'05_Parte_Diario'!$E$5:$E$204,C1203)))</f>
        <v>0</v>
      </c>
      <c r="G1203" s="13">
        <f t="shared" si="126"/>
        <v>10</v>
      </c>
      <c r="H1203" s="21">
        <f t="shared" si="127"/>
        <v>0</v>
      </c>
      <c r="I1203" s="21">
        <f>IF(OR(B1203="",C1203="",$V$1=""),"",MIN(E1203,SUMIFS('03_Planificacion'!$G$99:$G$178,'03_Planificacion'!$E$99:$E$178,B1203,'03_Planificacion'!$F$99:$F$178,C1203,'03_Planificacion'!$D$99:$D$178,"&lt;="&amp;$V$1)))</f>
        <v>0</v>
      </c>
      <c r="J1203" s="21">
        <f t="shared" si="128"/>
        <v>0</v>
      </c>
      <c r="K1203" s="6">
        <f t="shared" si="129"/>
        <v>0</v>
      </c>
      <c r="L1203" t="s">
        <v>68</v>
      </c>
      <c r="P1203" s="5">
        <f t="shared" si="130"/>
        <v>46287</v>
      </c>
      <c r="Q1203" t="s">
        <v>125</v>
      </c>
      <c r="R1203">
        <v>110</v>
      </c>
      <c r="S1203" t="s">
        <v>70</v>
      </c>
      <c r="T1203" t="str">
        <f t="shared" si="131"/>
        <v/>
      </c>
      <c r="U1203" t="str">
        <f>IF(AND(L1203="Para Programar",G1203&gt;0),COUNTIFS($L$5:L1203,"Para Programar",$G$5:G1203,"&gt;0"),"")</f>
        <v/>
      </c>
      <c r="W1203" t="str">
        <f t="shared" si="132"/>
        <v>N9 - N10|11 Relleno -0,30 - Compactación</v>
      </c>
      <c r="X1203">
        <v>0</v>
      </c>
    </row>
    <row r="1204" spans="1:24">
      <c r="A1204" t="s">
        <v>116</v>
      </c>
      <c r="B1204" s="14" t="s">
        <v>189</v>
      </c>
      <c r="C1204" t="s">
        <v>117</v>
      </c>
      <c r="D1204" s="13" t="s">
        <v>81</v>
      </c>
      <c r="E1204" s="13">
        <v>1</v>
      </c>
      <c r="F1204" s="13">
        <f>IF(E1204="","",MIN(E1204,$X1204+SUMIFS('05_Parte_Diario'!$H$5:$H$204,'05_Parte_Diario'!$D$5:$D$204,B1204,'05_Parte_Diario'!$E$5:$E$204,C1204)))</f>
        <v>0</v>
      </c>
      <c r="G1204" s="13">
        <f t="shared" si="126"/>
        <v>1</v>
      </c>
      <c r="H1204" s="21">
        <f t="shared" si="127"/>
        <v>0</v>
      </c>
      <c r="I1204" s="21">
        <f>IF(OR(B1204="",C1204="",$V$1=""),"",MIN(E1204,SUMIFS('03_Planificacion'!$G$99:$G$178,'03_Planificacion'!$E$99:$E$178,B1204,'03_Planificacion'!$F$99:$F$178,C1204,'03_Planificacion'!$D$99:$D$178,"&lt;="&amp;$V$1)))</f>
        <v>0</v>
      </c>
      <c r="J1204" s="21">
        <f t="shared" si="128"/>
        <v>0</v>
      </c>
      <c r="K1204" s="6">
        <f t="shared" si="129"/>
        <v>0</v>
      </c>
      <c r="L1204" t="s">
        <v>68</v>
      </c>
      <c r="P1204" s="5">
        <f t="shared" si="130"/>
        <v>46287</v>
      </c>
      <c r="Q1204" t="s">
        <v>125</v>
      </c>
      <c r="R1204">
        <v>110</v>
      </c>
      <c r="S1204" t="s">
        <v>70</v>
      </c>
      <c r="T1204" t="str">
        <f t="shared" si="131"/>
        <v/>
      </c>
      <c r="U1204" t="str">
        <f>IF(AND(L1204="Para Programar",G1204&gt;0),COUNTIFS($L$5:L1204,"Para Programar",$G$5:G1204,"&gt;0"),"")</f>
        <v/>
      </c>
      <c r="W1204" t="str">
        <f t="shared" si="132"/>
        <v>N9 - N10|11 Relleno -0,30 - Inspección laboratorio</v>
      </c>
      <c r="X1204">
        <v>0</v>
      </c>
    </row>
  </sheetData>
  <mergeCells count="2">
    <mergeCell ref="A1:T1"/>
    <mergeCell ref="A2:T2"/>
  </mergeCells>
  <conditionalFormatting sqref="A5:T1204">
    <cfRule type="expression" dxfId="16" priority="1">
      <formula>$L5="Terminada"</formula>
    </cfRule>
    <cfRule type="expression" dxfId="15" priority="2">
      <formula>$L5="Para Programar"</formula>
    </cfRule>
  </conditionalFormatting>
  <conditionalFormatting sqref="T5:T1204">
    <cfRule type="expression" dxfId="14" priority="3">
      <formula>T5&lt;&gt;""</formula>
    </cfRule>
  </conditionalFormatting>
  <dataValidations count="2">
    <dataValidation type="list" sqref="L5:L1204" xr:uid="{00000000-0002-0000-0100-000000000000}">
      <formula1>"No iniciada,Para Programar,En curso,Bloqueada,Terminada,Reprogramada"</formula1>
    </dataValidation>
    <dataValidation type="list" sqref="N5:N1204" xr:uid="{00000000-0002-0000-0100-000001000000}">
      <formula1>"Alta,Media,Baja,Crítica"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304"/>
  <sheetViews>
    <sheetView workbookViewId="0">
      <selection activeCell="D155" sqref="D155"/>
    </sheetView>
  </sheetViews>
  <sheetFormatPr baseColWidth="10" defaultColWidth="8.796875" defaultRowHeight="13.8"/>
  <cols>
    <col min="1" max="1" width="10" customWidth="1"/>
    <col min="2" max="2" width="18" customWidth="1"/>
    <col min="3" max="3" width="11" customWidth="1"/>
    <col min="4" max="4" width="49" customWidth="1"/>
    <col min="5" max="5" width="9.5" style="14" customWidth="1"/>
    <col min="6" max="6" width="10.69921875" style="14" customWidth="1"/>
    <col min="7" max="7" width="17.59765625" customWidth="1"/>
    <col min="8" max="8" width="10" customWidth="1"/>
    <col min="9" max="9" width="12" customWidth="1"/>
    <col min="10" max="10" width="18" customWidth="1"/>
    <col min="11" max="11" width="17" customWidth="1"/>
    <col min="12" max="12" width="32" customWidth="1"/>
    <col min="13" max="14" width="2" customWidth="1"/>
  </cols>
  <sheetData>
    <row r="1" spans="1:14" ht="22.35" customHeight="1">
      <c r="A1" s="15" t="s">
        <v>190</v>
      </c>
      <c r="B1" s="15"/>
      <c r="C1" s="15"/>
      <c r="D1" s="15"/>
      <c r="E1" s="17"/>
      <c r="F1" s="17"/>
      <c r="G1" s="15"/>
      <c r="H1" s="15"/>
      <c r="I1" s="15"/>
      <c r="J1" s="15"/>
      <c r="K1" s="15"/>
      <c r="L1" s="15"/>
    </row>
    <row r="2" spans="1:14" ht="27.15" customHeight="1">
      <c r="A2" s="16" t="s">
        <v>191</v>
      </c>
      <c r="B2" s="16"/>
      <c r="C2" s="16"/>
      <c r="D2" s="16"/>
      <c r="E2" s="18"/>
      <c r="F2" s="18"/>
      <c r="G2" s="16"/>
      <c r="H2" s="16"/>
      <c r="I2" s="16"/>
      <c r="J2" s="16"/>
      <c r="K2" s="16"/>
      <c r="L2" s="16"/>
    </row>
    <row r="3" spans="1:14">
      <c r="A3" s="7" t="s">
        <v>192</v>
      </c>
      <c r="B3" s="7">
        <f>COUNTIFS('01_Estado_Actual'!$L$5:$L$1204,"Para Programar",'01_Estado_Actual'!$G$5:$G$1204,"&gt;0")</f>
        <v>144</v>
      </c>
    </row>
    <row r="4" spans="1:14" ht="30.45" customHeight="1">
      <c r="A4" s="1" t="s">
        <v>193</v>
      </c>
      <c r="B4" s="1" t="s">
        <v>42</v>
      </c>
      <c r="C4" s="1" t="s">
        <v>41</v>
      </c>
      <c r="D4" s="1" t="s">
        <v>43</v>
      </c>
      <c r="E4" s="1" t="s">
        <v>44</v>
      </c>
      <c r="F4" s="1" t="s">
        <v>47</v>
      </c>
      <c r="G4" s="1" t="s">
        <v>57</v>
      </c>
      <c r="H4" s="1" t="s">
        <v>58</v>
      </c>
      <c r="I4" s="1" t="s">
        <v>54</v>
      </c>
      <c r="J4" s="1" t="s">
        <v>55</v>
      </c>
      <c r="K4" s="1" t="s">
        <v>194</v>
      </c>
      <c r="L4" s="1" t="s">
        <v>53</v>
      </c>
      <c r="N4" t="s">
        <v>195</v>
      </c>
    </row>
    <row r="5" spans="1:14" hidden="1">
      <c r="A5" t="str" cm="1">
        <f t="array" aca="1" ref="A5:J185" ca="1">IF(B5="","","PP-"&amp;1)</f>
        <v>PP-1</v>
      </c>
      <c r="B5" t="str" cm="1">
        <f ca="1"/>
        <v>N10 - N15</v>
      </c>
      <c r="C5" t="str">
        <f ca="1"/>
        <v>AG-03</v>
      </c>
      <c r="D5" t="str">
        <f ca="1"/>
        <v>02 Excavación - Zanja principal</v>
      </c>
      <c r="E5" t="str">
        <f ca="1"/>
        <v>m</v>
      </c>
      <c r="F5">
        <f ca="1"/>
        <v>56</v>
      </c>
      <c r="G5" t="str">
        <f ca="1"/>
        <v>Pasaje N°2</v>
      </c>
      <c r="H5">
        <f ca="1"/>
        <v>110</v>
      </c>
      <c r="I5">
        <f ca="1"/>
        <v>0</v>
      </c>
      <c r="J5">
        <f ca="1"/>
        <v>0</v>
      </c>
      <c r="K5" t="str">
        <f ca="1">IF(A5="","",IF(COUNTIFS('03_Planificacion'!$B$5:$B$84,B5,'03_Planificacion'!$C$5:$C$84,D5)&gt;0,"SÍ","NO"))</f>
        <v>NO</v>
      </c>
      <c r="L5" cm="1">
        <f t="array" ref="L5:L148">_xlfn._xlws.FILTER('01_Estado_Actual'!$M$5:$M$1204,('01_Estado_Actual'!$L$5:$L$1204="Para Programar")*('01_Estado_Actual'!$G$5:$G$1204&gt;0),"")</f>
        <v>0</v>
      </c>
      <c r="N5" t="str">
        <f t="shared" ref="N5:N68" ca="1" si="0">IF(B5="","",B5&amp;"|"&amp;D5)</f>
        <v>N10 - N15|02 Excavación - Zanja principal</v>
      </c>
    </row>
    <row r="6" spans="1:14" hidden="1">
      <c r="A6" t="str">
        <f ca="1"/>
        <v>PP-2</v>
      </c>
      <c r="B6" t="str">
        <f ca="1"/>
        <v>N10 - N15</v>
      </c>
      <c r="C6" t="str">
        <f ca="1"/>
        <v>AG-05</v>
      </c>
      <c r="D6" t="str">
        <f ca="1"/>
        <v>03 Base de asiento - Nivelación de fondo de zanja</v>
      </c>
      <c r="E6" t="str">
        <f ca="1"/>
        <v>m</v>
      </c>
      <c r="F6">
        <f ca="1"/>
        <v>81</v>
      </c>
      <c r="G6" t="str">
        <f ca="1"/>
        <v>Pasaje N°2</v>
      </c>
      <c r="H6">
        <f ca="1"/>
        <v>110</v>
      </c>
      <c r="I6">
        <f ca="1"/>
        <v>0</v>
      </c>
      <c r="J6">
        <f ca="1"/>
        <v>0</v>
      </c>
      <c r="K6" t="str">
        <f ca="1">IF(A6="","",IF(COUNTIFS('03_Planificacion'!$B$5:$B$84,B6,'03_Planificacion'!$C$5:$C$84,D6)&gt;0,"SÍ","NO"))</f>
        <v>NO</v>
      </c>
      <c r="L6">
        <v>0</v>
      </c>
      <c r="N6" t="str">
        <f t="shared" ca="1" si="0"/>
        <v>N10 - N15|03 Base de asiento - Nivelación de fondo de zanja</v>
      </c>
    </row>
    <row r="7" spans="1:14" hidden="1">
      <c r="A7" t="str">
        <f ca="1"/>
        <v>PP-3</v>
      </c>
      <c r="B7" t="str">
        <f ca="1"/>
        <v>N10 - N15</v>
      </c>
      <c r="C7" t="str">
        <f ca="1"/>
        <v>AG-06</v>
      </c>
      <c r="D7" t="str">
        <f ca="1"/>
        <v>03 Base de asiento - Aporte de material base e=0,10 m</v>
      </c>
      <c r="E7" t="str">
        <f ca="1"/>
        <v>m</v>
      </c>
      <c r="F7">
        <f ca="1"/>
        <v>81</v>
      </c>
      <c r="G7" t="str">
        <f ca="1"/>
        <v>Pasaje N°2</v>
      </c>
      <c r="H7">
        <f ca="1"/>
        <v>110</v>
      </c>
      <c r="I7">
        <f ca="1"/>
        <v>0</v>
      </c>
      <c r="J7">
        <f ca="1"/>
        <v>0</v>
      </c>
      <c r="K7" t="str">
        <f ca="1">IF(A7="","",IF(COUNTIFS('03_Planificacion'!$B$5:$B$84,B7,'03_Planificacion'!$C$5:$C$84,D7)&gt;0,"SÍ","NO"))</f>
        <v>NO</v>
      </c>
      <c r="L7">
        <v>0</v>
      </c>
      <c r="N7" t="str">
        <f t="shared" ca="1" si="0"/>
        <v>N10 - N15|03 Base de asiento - Aporte de material base e=0,10 m</v>
      </c>
    </row>
    <row r="8" spans="1:14" hidden="1">
      <c r="A8" t="str">
        <f ca="1"/>
        <v>PP-4</v>
      </c>
      <c r="B8" t="str">
        <f ca="1"/>
        <v>N10 - N15</v>
      </c>
      <c r="C8" t="str">
        <f ca="1"/>
        <v>AG-07</v>
      </c>
      <c r="D8" t="str">
        <f ca="1"/>
        <v>03 Base de asiento - Compactación</v>
      </c>
      <c r="E8" t="str">
        <f ca="1"/>
        <v>m</v>
      </c>
      <c r="F8">
        <f ca="1"/>
        <v>81</v>
      </c>
      <c r="G8" t="str">
        <f ca="1"/>
        <v>Pasaje N°2</v>
      </c>
      <c r="H8">
        <f ca="1"/>
        <v>110</v>
      </c>
      <c r="I8" t="str">
        <f ca="1"/>
        <v>Alta</v>
      </c>
      <c r="J8">
        <f ca="1"/>
        <v>0</v>
      </c>
      <c r="K8" t="str">
        <f ca="1">IF(A8="","",IF(COUNTIFS('03_Planificacion'!$B$5:$B$84,B8,'03_Planificacion'!$C$5:$C$84,D8)&gt;0,"SÍ","NO"))</f>
        <v>NO</v>
      </c>
      <c r="L8">
        <v>0</v>
      </c>
      <c r="N8" t="str">
        <f t="shared" ca="1" si="0"/>
        <v>N10 - N15|03 Base de asiento - Compactación</v>
      </c>
    </row>
    <row r="9" spans="1:14" hidden="1">
      <c r="A9" t="str">
        <f ca="1"/>
        <v>PP-5</v>
      </c>
      <c r="B9" t="str">
        <f ca="1"/>
        <v>N10 - N15</v>
      </c>
      <c r="C9" t="str">
        <f ca="1"/>
        <v>HI-01</v>
      </c>
      <c r="D9" t="str">
        <f ca="1"/>
        <v>04 Inspecciones previas - Laboratorio base de asiento</v>
      </c>
      <c r="E9" t="str">
        <f ca="1"/>
        <v>tramo</v>
      </c>
      <c r="F9">
        <f ca="1"/>
        <v>1</v>
      </c>
      <c r="G9" t="str">
        <f ca="1"/>
        <v>Pasaje N°2</v>
      </c>
      <c r="H9">
        <f ca="1"/>
        <v>110</v>
      </c>
      <c r="I9">
        <f ca="1"/>
        <v>0</v>
      </c>
      <c r="J9">
        <f ca="1"/>
        <v>0</v>
      </c>
      <c r="K9" t="str">
        <f ca="1">IF(A9="","",IF(COUNTIFS('03_Planificacion'!$B$5:$B$84,B9,'03_Planificacion'!$C$5:$C$84,D9)&gt;0,"SÍ","NO"))</f>
        <v>NO</v>
      </c>
      <c r="L9">
        <v>0</v>
      </c>
      <c r="N9" t="str">
        <f t="shared" ca="1" si="0"/>
        <v>N10 - N15|04 Inspecciones previas - Laboratorio base de asiento</v>
      </c>
    </row>
    <row r="10" spans="1:14" hidden="1">
      <c r="A10" t="str">
        <f ca="1"/>
        <v>PP-6</v>
      </c>
      <c r="B10" t="str">
        <f ca="1"/>
        <v>N10 - N15</v>
      </c>
      <c r="C10" t="str">
        <f ca="1"/>
        <v>HI-02</v>
      </c>
      <c r="D10" t="str">
        <f ca="1"/>
        <v>04 Inspecciones previas - Zanja y materiales</v>
      </c>
      <c r="E10" t="str">
        <f ca="1"/>
        <v>tramo</v>
      </c>
      <c r="F10">
        <f ca="1"/>
        <v>1</v>
      </c>
      <c r="G10" t="str">
        <f ca="1"/>
        <v>Pasaje N°2</v>
      </c>
      <c r="H10">
        <f ca="1"/>
        <v>110</v>
      </c>
      <c r="I10">
        <f ca="1"/>
        <v>0</v>
      </c>
      <c r="J10">
        <f ca="1"/>
        <v>0</v>
      </c>
      <c r="K10" t="str">
        <f ca="1">IF(A10="","",IF(COUNTIFS('03_Planificacion'!$B$5:$B$84,B10,'03_Planificacion'!$C$5:$C$84,D10)&gt;0,"SÍ","NO"))</f>
        <v>NO</v>
      </c>
      <c r="L10">
        <v>0</v>
      </c>
      <c r="N10" t="str">
        <f t="shared" ca="1" si="0"/>
        <v>N10 - N15|04 Inspecciones previas - Zanja y materiales</v>
      </c>
    </row>
    <row r="11" spans="1:14" hidden="1">
      <c r="A11" t="str">
        <f ca="1"/>
        <v>PP-7</v>
      </c>
      <c r="B11" t="str">
        <f ca="1"/>
        <v>N10 - N15</v>
      </c>
      <c r="C11" t="str">
        <f ca="1"/>
        <v>AG-08</v>
      </c>
      <c r="D11" t="str">
        <f ca="1"/>
        <v>05 Tendido de cañería - Cañería principal</v>
      </c>
      <c r="E11" t="str">
        <f ca="1"/>
        <v>m</v>
      </c>
      <c r="F11">
        <f ca="1"/>
        <v>81</v>
      </c>
      <c r="G11" t="str">
        <f ca="1"/>
        <v>Pasaje N°2</v>
      </c>
      <c r="H11">
        <f ca="1"/>
        <v>110</v>
      </c>
      <c r="I11">
        <f ca="1"/>
        <v>0</v>
      </c>
      <c r="J11">
        <f ca="1"/>
        <v>0</v>
      </c>
      <c r="K11" t="str">
        <f ca="1">IF(A11="","",IF(COUNTIFS('03_Planificacion'!$B$5:$B$84,B11,'03_Planificacion'!$C$5:$C$84,D11)&gt;0,"SÍ","NO"))</f>
        <v>NO</v>
      </c>
      <c r="L11">
        <v>0</v>
      </c>
      <c r="N11" t="str">
        <f t="shared" ca="1" si="0"/>
        <v>N10 - N15|05 Tendido de cañería - Cañería principal</v>
      </c>
    </row>
    <row r="12" spans="1:14" hidden="1">
      <c r="A12" t="str">
        <f ca="1"/>
        <v>PP-8</v>
      </c>
      <c r="B12" t="str">
        <f ca="1"/>
        <v>N10 - N15</v>
      </c>
      <c r="C12" t="str">
        <f ca="1"/>
        <v>AG-09</v>
      </c>
      <c r="D12" t="str">
        <f ca="1"/>
        <v>05 Tendido de cañería - Relevamiento planialtimétrico</v>
      </c>
      <c r="E12" t="str">
        <f ca="1"/>
        <v>m</v>
      </c>
      <c r="F12">
        <f ca="1"/>
        <v>81</v>
      </c>
      <c r="G12" t="str">
        <f ca="1"/>
        <v>Pasaje N°2</v>
      </c>
      <c r="H12">
        <f ca="1"/>
        <v>110</v>
      </c>
      <c r="I12">
        <f ca="1"/>
        <v>0</v>
      </c>
      <c r="J12">
        <f ca="1"/>
        <v>0</v>
      </c>
      <c r="K12" t="str">
        <f ca="1">IF(A12="","",IF(COUNTIFS('03_Planificacion'!$B$5:$B$84,B12,'03_Planificacion'!$C$5:$C$84,D12)&gt;0,"SÍ","NO"))</f>
        <v>NO</v>
      </c>
      <c r="L12">
        <v>0</v>
      </c>
      <c r="N12" t="str">
        <f t="shared" ca="1" si="0"/>
        <v>N10 - N15|05 Tendido de cañería - Relevamiento planialtimétrico</v>
      </c>
    </row>
    <row r="13" spans="1:14" hidden="1">
      <c r="A13" t="str">
        <f ca="1"/>
        <v>PP-9</v>
      </c>
      <c r="B13" t="str">
        <f ca="1"/>
        <v>N10 - N15</v>
      </c>
      <c r="C13" t="str">
        <f ca="1"/>
        <v>AG-17</v>
      </c>
      <c r="D13" t="str">
        <f ca="1"/>
        <v>08 Prueba hidráulica - Preparación del sistema</v>
      </c>
      <c r="E13" t="str">
        <f ca="1"/>
        <v>tramo</v>
      </c>
      <c r="F13">
        <f ca="1"/>
        <v>1</v>
      </c>
      <c r="G13" t="str">
        <f ca="1"/>
        <v>Pasaje N°2</v>
      </c>
      <c r="H13">
        <f ca="1"/>
        <v>110</v>
      </c>
      <c r="I13">
        <f ca="1"/>
        <v>0</v>
      </c>
      <c r="J13">
        <f ca="1"/>
        <v>0</v>
      </c>
      <c r="K13" t="str">
        <f ca="1">IF(A13="","",IF(COUNTIFS('03_Planificacion'!$B$5:$B$84,B13,'03_Planificacion'!$C$5:$C$84,D13)&gt;0,"SÍ","NO"))</f>
        <v>NO</v>
      </c>
      <c r="L13">
        <v>0</v>
      </c>
      <c r="N13" t="str">
        <f t="shared" ca="1" si="0"/>
        <v>N10 - N15|08 Prueba hidráulica - Preparación del sistema</v>
      </c>
    </row>
    <row r="14" spans="1:14" hidden="1">
      <c r="A14" t="str">
        <f ca="1"/>
        <v>PP-10</v>
      </c>
      <c r="B14" t="str">
        <f ca="1"/>
        <v>N10 - N15</v>
      </c>
      <c r="C14" t="str">
        <f ca="1"/>
        <v>AG-18</v>
      </c>
      <c r="D14" t="str">
        <f ca="1"/>
        <v>08 Prueba hidráulica - Interna N° 1</v>
      </c>
      <c r="E14" t="str">
        <f ca="1"/>
        <v>tramo</v>
      </c>
      <c r="F14">
        <f ca="1"/>
        <v>1</v>
      </c>
      <c r="G14" t="str">
        <f ca="1"/>
        <v>Pasaje N°2</v>
      </c>
      <c r="H14">
        <f ca="1"/>
        <v>110</v>
      </c>
      <c r="I14">
        <f ca="1"/>
        <v>0</v>
      </c>
      <c r="J14">
        <f ca="1"/>
        <v>0</v>
      </c>
      <c r="K14" t="str">
        <f ca="1">IF(A14="","",IF(COUNTIFS('03_Planificacion'!$B$5:$B$84,B14,'03_Planificacion'!$C$5:$C$84,D14)&gt;0,"SÍ","NO"))</f>
        <v>NO</v>
      </c>
      <c r="L14">
        <v>0</v>
      </c>
      <c r="N14" t="str">
        <f t="shared" ca="1" si="0"/>
        <v>N10 - N15|08 Prueba hidráulica - Interna N° 1</v>
      </c>
    </row>
    <row r="15" spans="1:14" hidden="1">
      <c r="A15" t="str">
        <f ca="1"/>
        <v>PP-11</v>
      </c>
      <c r="B15" t="str">
        <f ca="1"/>
        <v>N10 - N15</v>
      </c>
      <c r="C15" t="str">
        <f ca="1"/>
        <v>AG-19</v>
      </c>
      <c r="D15" t="str">
        <f ca="1"/>
        <v>08 Prueba hidráulica - Interna N° 2</v>
      </c>
      <c r="E15" t="str">
        <f ca="1"/>
        <v>tramo</v>
      </c>
      <c r="F15">
        <f ca="1"/>
        <v>1</v>
      </c>
      <c r="G15" t="str">
        <f ca="1"/>
        <v>Pasaje N°2</v>
      </c>
      <c r="H15">
        <f ca="1"/>
        <v>110</v>
      </c>
      <c r="I15">
        <f ca="1"/>
        <v>0</v>
      </c>
      <c r="J15">
        <f ca="1"/>
        <v>0</v>
      </c>
      <c r="K15" t="str">
        <f ca="1">IF(A15="","",IF(COUNTIFS('03_Planificacion'!$B$5:$B$84,B15,'03_Planificacion'!$C$5:$C$84,D15)&gt;0,"SÍ","NO"))</f>
        <v>NO</v>
      </c>
      <c r="L15">
        <v>0</v>
      </c>
      <c r="N15" t="str">
        <f t="shared" ca="1" si="0"/>
        <v>N10 - N15|08 Prueba hidráulica - Interna N° 2</v>
      </c>
    </row>
    <row r="16" spans="1:14" hidden="1">
      <c r="A16" t="str">
        <f ca="1"/>
        <v>PP-12</v>
      </c>
      <c r="B16" t="str">
        <f ca="1"/>
        <v>N10 - N15</v>
      </c>
      <c r="C16" t="str">
        <f ca="1"/>
        <v>HI-03</v>
      </c>
      <c r="D16" t="str">
        <f ca="1"/>
        <v>08 Prueba hidráulica - Primera prueba oficial</v>
      </c>
      <c r="E16" t="str">
        <f ca="1"/>
        <v>tramo</v>
      </c>
      <c r="F16">
        <f ca="1"/>
        <v>1</v>
      </c>
      <c r="G16" t="str">
        <f ca="1"/>
        <v>Pasaje N°2</v>
      </c>
      <c r="H16">
        <f ca="1"/>
        <v>110</v>
      </c>
      <c r="I16">
        <f ca="1"/>
        <v>0</v>
      </c>
      <c r="J16">
        <f ca="1"/>
        <v>0</v>
      </c>
      <c r="K16" t="str">
        <f ca="1">IF(A16="","",IF(COUNTIFS('03_Planificacion'!$B$5:$B$84,B16,'03_Planificacion'!$C$5:$C$84,D16)&gt;0,"SÍ","NO"))</f>
        <v>NO</v>
      </c>
      <c r="L16">
        <v>0</v>
      </c>
      <c r="N16" t="str">
        <f t="shared" ca="1" si="0"/>
        <v>N10 - N15|08 Prueba hidráulica - Primera prueba oficial</v>
      </c>
    </row>
    <row r="17" spans="1:14" hidden="1">
      <c r="A17" t="str">
        <f ca="1"/>
        <v>PP-13</v>
      </c>
      <c r="B17" t="str">
        <f ca="1"/>
        <v>N10 - N15</v>
      </c>
      <c r="C17" t="str">
        <f ca="1"/>
        <v>AG-20</v>
      </c>
      <c r="D17" t="str">
        <f ca="1"/>
        <v>09 Paquete estructural - Aporte e=0,30 m</v>
      </c>
      <c r="E17" t="str">
        <f ca="1"/>
        <v>m</v>
      </c>
      <c r="F17">
        <f ca="1"/>
        <v>81</v>
      </c>
      <c r="G17" t="str">
        <f ca="1"/>
        <v>Pasaje N°2</v>
      </c>
      <c r="H17">
        <f ca="1"/>
        <v>110</v>
      </c>
      <c r="I17">
        <f ca="1"/>
        <v>0</v>
      </c>
      <c r="J17">
        <f ca="1"/>
        <v>0</v>
      </c>
      <c r="K17" t="str">
        <f ca="1">IF(A17="","",IF(COUNTIFS('03_Planificacion'!$B$5:$B$84,B17,'03_Planificacion'!$C$5:$C$84,D17)&gt;0,"SÍ","NO"))</f>
        <v>NO</v>
      </c>
      <c r="L17">
        <v>0</v>
      </c>
      <c r="N17" t="str">
        <f t="shared" ca="1" si="0"/>
        <v>N10 - N15|09 Paquete estructural - Aporte e=0,30 m</v>
      </c>
    </row>
    <row r="18" spans="1:14" hidden="1">
      <c r="A18" t="str">
        <f ca="1"/>
        <v>PP-14</v>
      </c>
      <c r="B18" t="str">
        <f ca="1"/>
        <v>N10 - N15</v>
      </c>
      <c r="C18" t="str">
        <f ca="1"/>
        <v>AG-21</v>
      </c>
      <c r="D18" t="str">
        <f ca="1"/>
        <v>09 Paquete estructural - Compactación</v>
      </c>
      <c r="E18" t="str">
        <f ca="1"/>
        <v>m</v>
      </c>
      <c r="F18">
        <f ca="1"/>
        <v>81</v>
      </c>
      <c r="G18" t="str">
        <f ca="1"/>
        <v>Pasaje N°2</v>
      </c>
      <c r="H18">
        <f ca="1"/>
        <v>110</v>
      </c>
      <c r="I18">
        <f ca="1"/>
        <v>0</v>
      </c>
      <c r="J18">
        <f ca="1"/>
        <v>0</v>
      </c>
      <c r="K18" t="str">
        <f ca="1">IF(A18="","",IF(COUNTIFS('03_Planificacion'!$B$5:$B$84,B18,'03_Planificacion'!$C$5:$C$84,D18)&gt;0,"SÍ","NO"))</f>
        <v>NO</v>
      </c>
      <c r="L18">
        <v>0</v>
      </c>
      <c r="N18" t="str">
        <f t="shared" ca="1" si="0"/>
        <v>N10 - N15|09 Paquete estructural - Compactación</v>
      </c>
    </row>
    <row r="19" spans="1:14" hidden="1">
      <c r="A19" t="str">
        <f ca="1"/>
        <v>PP-15</v>
      </c>
      <c r="B19" t="str">
        <f ca="1"/>
        <v>N10 - N15</v>
      </c>
      <c r="C19" t="str">
        <f ca="1"/>
        <v>HI-04</v>
      </c>
      <c r="D19" t="str">
        <f ca="1"/>
        <v>09 Paquete estructural - Inspección laboratorio</v>
      </c>
      <c r="E19" t="str">
        <f ca="1"/>
        <v>tramo</v>
      </c>
      <c r="F19">
        <f ca="1"/>
        <v>1</v>
      </c>
      <c r="G19" t="str">
        <f ca="1"/>
        <v>Pasaje N°2</v>
      </c>
      <c r="H19">
        <f ca="1"/>
        <v>110</v>
      </c>
      <c r="I19">
        <f ca="1"/>
        <v>0</v>
      </c>
      <c r="J19">
        <f ca="1"/>
        <v>0</v>
      </c>
      <c r="K19" t="str">
        <f ca="1">IF(A19="","",IF(COUNTIFS('03_Planificacion'!$B$5:$B$84,B19,'03_Planificacion'!$C$5:$C$84,D19)&gt;0,"SÍ","NO"))</f>
        <v>NO</v>
      </c>
      <c r="L19">
        <v>0</v>
      </c>
      <c r="N19" t="str">
        <f t="shared" ca="1" si="0"/>
        <v>N10 - N15|09 Paquete estructural - Inspección laboratorio</v>
      </c>
    </row>
    <row r="20" spans="1:14" hidden="1">
      <c r="A20" t="str">
        <f ca="1"/>
        <v>PP-16</v>
      </c>
      <c r="B20" t="str">
        <f ca="1"/>
        <v>N10 - N15</v>
      </c>
      <c r="C20" t="str">
        <f ca="1"/>
        <v>AG-22</v>
      </c>
      <c r="D20" t="str">
        <f ca="1"/>
        <v>10 Relleno -0,60 - Conformación de capa</v>
      </c>
      <c r="E20" t="str">
        <f ca="1"/>
        <v>m</v>
      </c>
      <c r="F20">
        <f ca="1"/>
        <v>81</v>
      </c>
      <c r="G20" t="str">
        <f ca="1"/>
        <v>Pasaje N°2</v>
      </c>
      <c r="H20">
        <f ca="1"/>
        <v>110</v>
      </c>
      <c r="I20">
        <f ca="1"/>
        <v>0</v>
      </c>
      <c r="J20">
        <f ca="1"/>
        <v>0</v>
      </c>
      <c r="K20" t="str">
        <f ca="1">IF(A20="","",IF(COUNTIFS('03_Planificacion'!$B$5:$B$84,B20,'03_Planificacion'!$C$5:$C$84,D20)&gt;0,"SÍ","NO"))</f>
        <v>NO</v>
      </c>
      <c r="L20">
        <v>0</v>
      </c>
      <c r="N20" t="str">
        <f t="shared" ca="1" si="0"/>
        <v>N10 - N15|10 Relleno -0,60 - Conformación de capa</v>
      </c>
    </row>
    <row r="21" spans="1:14" hidden="1">
      <c r="A21" t="str">
        <f ca="1"/>
        <v>PP-17</v>
      </c>
      <c r="B21" t="str">
        <f ca="1"/>
        <v>N10 - N15</v>
      </c>
      <c r="C21" t="str">
        <f ca="1"/>
        <v>AG-23</v>
      </c>
      <c r="D21" t="str">
        <f ca="1"/>
        <v>10 Relleno -0,60 - Humectación</v>
      </c>
      <c r="E21" t="str">
        <f ca="1"/>
        <v>m</v>
      </c>
      <c r="F21">
        <f ca="1"/>
        <v>81</v>
      </c>
      <c r="G21" t="str">
        <f ca="1"/>
        <v>Pasaje N°2</v>
      </c>
      <c r="H21">
        <f ca="1"/>
        <v>110</v>
      </c>
      <c r="I21">
        <f ca="1"/>
        <v>0</v>
      </c>
      <c r="J21">
        <f ca="1"/>
        <v>0</v>
      </c>
      <c r="K21" t="str">
        <f ca="1">IF(A21="","",IF(COUNTIFS('03_Planificacion'!$B$5:$B$84,B21,'03_Planificacion'!$C$5:$C$84,D21)&gt;0,"SÍ","NO"))</f>
        <v>NO</v>
      </c>
      <c r="L21">
        <v>0</v>
      </c>
      <c r="N21" t="str">
        <f t="shared" ca="1" si="0"/>
        <v>N10 - N15|10 Relleno -0,60 - Humectación</v>
      </c>
    </row>
    <row r="22" spans="1:14" hidden="1">
      <c r="A22" t="str">
        <f ca="1"/>
        <v>PP-18</v>
      </c>
      <c r="B22" t="str">
        <f ca="1"/>
        <v>N10 - N15</v>
      </c>
      <c r="C22" t="str">
        <f ca="1"/>
        <v>AG-24</v>
      </c>
      <c r="D22" t="str">
        <f ca="1"/>
        <v>10 Relleno -0,60 - Compactación</v>
      </c>
      <c r="E22" t="str">
        <f ca="1"/>
        <v>m</v>
      </c>
      <c r="F22">
        <f ca="1"/>
        <v>81</v>
      </c>
      <c r="G22" t="str">
        <f ca="1"/>
        <v>Pasaje N°2</v>
      </c>
      <c r="H22">
        <f ca="1"/>
        <v>110</v>
      </c>
      <c r="I22">
        <f ca="1"/>
        <v>0</v>
      </c>
      <c r="J22">
        <f ca="1"/>
        <v>0</v>
      </c>
      <c r="K22" t="str">
        <f ca="1">IF(A22="","",IF(COUNTIFS('03_Planificacion'!$B$5:$B$84,B22,'03_Planificacion'!$C$5:$C$84,D22)&gt;0,"SÍ","NO"))</f>
        <v>NO</v>
      </c>
      <c r="L22">
        <v>0</v>
      </c>
      <c r="N22" t="str">
        <f t="shared" ca="1" si="0"/>
        <v>N10 - N15|10 Relleno -0,60 - Compactación</v>
      </c>
    </row>
    <row r="23" spans="1:14" hidden="1">
      <c r="A23" t="str">
        <f ca="1"/>
        <v>PP-19</v>
      </c>
      <c r="B23" t="str">
        <f ca="1"/>
        <v>N10 - N15</v>
      </c>
      <c r="C23" t="str">
        <f ca="1"/>
        <v>HI-05</v>
      </c>
      <c r="D23" t="str">
        <f ca="1"/>
        <v>10 Relleno -0,60 - Inspección laboratorio</v>
      </c>
      <c r="E23" t="str">
        <f ca="1"/>
        <v>tramo</v>
      </c>
      <c r="F23">
        <f ca="1"/>
        <v>1</v>
      </c>
      <c r="G23" t="str">
        <f ca="1"/>
        <v>Pasaje N°2</v>
      </c>
      <c r="H23">
        <f ca="1"/>
        <v>110</v>
      </c>
      <c r="I23">
        <f ca="1"/>
        <v>0</v>
      </c>
      <c r="J23">
        <f ca="1"/>
        <v>0</v>
      </c>
      <c r="K23" t="str">
        <f ca="1">IF(A23="","",IF(COUNTIFS('03_Planificacion'!$B$5:$B$84,B23,'03_Planificacion'!$C$5:$C$84,D23)&gt;0,"SÍ","NO"))</f>
        <v>NO</v>
      </c>
      <c r="L23">
        <v>0</v>
      </c>
      <c r="N23" t="str">
        <f t="shared" ca="1" si="0"/>
        <v>N10 - N15|10 Relleno -0,60 - Inspección laboratorio</v>
      </c>
    </row>
    <row r="24" spans="1:14" hidden="1">
      <c r="A24" t="str">
        <f ca="1"/>
        <v>PP-20</v>
      </c>
      <c r="B24" t="str">
        <f ca="1"/>
        <v>N10 - N15</v>
      </c>
      <c r="C24" t="str">
        <f ca="1"/>
        <v>AG-25</v>
      </c>
      <c r="D24" t="str">
        <f ca="1"/>
        <v>11 Relleno -0,30 - Conformación de capa</v>
      </c>
      <c r="E24" t="str">
        <f ca="1"/>
        <v>m</v>
      </c>
      <c r="F24">
        <f ca="1"/>
        <v>81</v>
      </c>
      <c r="G24" t="str">
        <f ca="1"/>
        <v>Pasaje N°2</v>
      </c>
      <c r="H24">
        <f ca="1"/>
        <v>110</v>
      </c>
      <c r="I24">
        <f ca="1"/>
        <v>0</v>
      </c>
      <c r="J24">
        <f ca="1"/>
        <v>0</v>
      </c>
      <c r="K24" t="str">
        <f ca="1">IF(A24="","",IF(COUNTIFS('03_Planificacion'!$B$5:$B$84,B24,'03_Planificacion'!$C$5:$C$84,D24)&gt;0,"SÍ","NO"))</f>
        <v>NO</v>
      </c>
      <c r="L24">
        <v>0</v>
      </c>
      <c r="N24" t="str">
        <f t="shared" ca="1" si="0"/>
        <v>N10 - N15|11 Relleno -0,30 - Conformación de capa</v>
      </c>
    </row>
    <row r="25" spans="1:14" hidden="1">
      <c r="A25" t="str">
        <f ca="1"/>
        <v>PP-21</v>
      </c>
      <c r="B25" t="str">
        <f ca="1"/>
        <v>N10 - N15</v>
      </c>
      <c r="C25" t="str">
        <f ca="1"/>
        <v>AG-26</v>
      </c>
      <c r="D25" t="str">
        <f ca="1"/>
        <v>11 Relleno -0,30 - Humectación</v>
      </c>
      <c r="E25" t="str">
        <f ca="1"/>
        <v>m</v>
      </c>
      <c r="F25">
        <f ca="1"/>
        <v>81</v>
      </c>
      <c r="G25" t="str">
        <f ca="1"/>
        <v>Pasaje N°2</v>
      </c>
      <c r="H25">
        <f ca="1"/>
        <v>110</v>
      </c>
      <c r="I25">
        <f ca="1"/>
        <v>0</v>
      </c>
      <c r="J25">
        <f ca="1"/>
        <v>0</v>
      </c>
      <c r="K25" t="str">
        <f ca="1">IF(A25="","",IF(COUNTIFS('03_Planificacion'!$B$5:$B$84,B25,'03_Planificacion'!$C$5:$C$84,D25)&gt;0,"SÍ","NO"))</f>
        <v>NO</v>
      </c>
      <c r="L25">
        <v>0</v>
      </c>
      <c r="N25" t="str">
        <f t="shared" ca="1" si="0"/>
        <v>N10 - N15|11 Relleno -0,30 - Humectación</v>
      </c>
    </row>
    <row r="26" spans="1:14" hidden="1">
      <c r="A26" t="str">
        <f ca="1"/>
        <v>PP-22</v>
      </c>
      <c r="B26" t="str">
        <f ca="1"/>
        <v>N10 - N15</v>
      </c>
      <c r="C26" t="str">
        <f ca="1"/>
        <v>AG-27</v>
      </c>
      <c r="D26" t="str">
        <f ca="1"/>
        <v>11 Relleno -0,30 - Compactación</v>
      </c>
      <c r="E26" t="str">
        <f ca="1"/>
        <v>m</v>
      </c>
      <c r="F26">
        <f ca="1"/>
        <v>81</v>
      </c>
      <c r="G26" t="str">
        <f ca="1"/>
        <v>Pasaje N°2</v>
      </c>
      <c r="H26">
        <f ca="1"/>
        <v>110</v>
      </c>
      <c r="I26">
        <f ca="1"/>
        <v>0</v>
      </c>
      <c r="J26">
        <f ca="1"/>
        <v>0</v>
      </c>
      <c r="K26" t="str">
        <f ca="1">IF(A26="","",IF(COUNTIFS('03_Planificacion'!$B$5:$B$84,B26,'03_Planificacion'!$C$5:$C$84,D26)&gt;0,"SÍ","NO"))</f>
        <v>NO</v>
      </c>
      <c r="L26">
        <v>0</v>
      </c>
      <c r="N26" t="str">
        <f t="shared" ca="1" si="0"/>
        <v>N10 - N15|11 Relleno -0,30 - Compactación</v>
      </c>
    </row>
    <row r="27" spans="1:14" hidden="1">
      <c r="A27" t="str">
        <f ca="1"/>
        <v>PP-23</v>
      </c>
      <c r="B27" t="str">
        <f ca="1"/>
        <v>N10 - N15</v>
      </c>
      <c r="C27" t="str">
        <f ca="1"/>
        <v>HI-06</v>
      </c>
      <c r="D27" t="str">
        <f ca="1"/>
        <v>11 Relleno -0,30 - Inspección laboratorio</v>
      </c>
      <c r="E27" t="str">
        <f ca="1"/>
        <v>tramo</v>
      </c>
      <c r="F27">
        <f ca="1"/>
        <v>1</v>
      </c>
      <c r="G27" t="str">
        <f ca="1"/>
        <v>Pasaje N°2</v>
      </c>
      <c r="H27">
        <f ca="1"/>
        <v>110</v>
      </c>
      <c r="I27">
        <f ca="1"/>
        <v>0</v>
      </c>
      <c r="J27">
        <f ca="1"/>
        <v>0</v>
      </c>
      <c r="K27" t="str">
        <f ca="1">IF(A27="","",IF(COUNTIFS('03_Planificacion'!$B$5:$B$84,B27,'03_Planificacion'!$C$5:$C$84,D27)&gt;0,"SÍ","NO"))</f>
        <v>NO</v>
      </c>
      <c r="L27">
        <v>0</v>
      </c>
      <c r="N27" t="str">
        <f t="shared" ca="1" si="0"/>
        <v>N10 - N15|11 Relleno -0,30 - Inspección laboratorio</v>
      </c>
    </row>
    <row r="28" spans="1:14" hidden="1">
      <c r="A28" t="str">
        <f ca="1"/>
        <v>PP-24</v>
      </c>
      <c r="B28" t="str">
        <f ca="1"/>
        <v>N12 - N13</v>
      </c>
      <c r="C28" t="str">
        <f ca="1"/>
        <v>AG-07</v>
      </c>
      <c r="D28" t="str">
        <f ca="1"/>
        <v>03 Base de asiento - Compactación</v>
      </c>
      <c r="E28" t="str">
        <f ca="1"/>
        <v>m</v>
      </c>
      <c r="F28">
        <f ca="1"/>
        <v>200</v>
      </c>
      <c r="G28" t="str">
        <f ca="1"/>
        <v>Pasaje N°9</v>
      </c>
      <c r="H28">
        <f ca="1"/>
        <v>75</v>
      </c>
      <c r="I28" t="str">
        <f ca="1"/>
        <v>Alta</v>
      </c>
      <c r="J28">
        <f ca="1"/>
        <v>0</v>
      </c>
      <c r="K28" t="str">
        <f ca="1">IF(A28="","",IF(COUNTIFS('03_Planificacion'!$B$5:$B$84,B28,'03_Planificacion'!$C$5:$C$84,D28)&gt;0,"SÍ","NO"))</f>
        <v>NO</v>
      </c>
      <c r="L28">
        <v>0</v>
      </c>
      <c r="N28" t="str">
        <f t="shared" ca="1" si="0"/>
        <v>N12 - N13|03 Base de asiento - Compactación</v>
      </c>
    </row>
    <row r="29" spans="1:14" hidden="1">
      <c r="A29" t="str">
        <f ca="1"/>
        <v>PP-25</v>
      </c>
      <c r="B29" t="str">
        <f ca="1"/>
        <v>N12 - N13</v>
      </c>
      <c r="C29" t="str">
        <f ca="1"/>
        <v>HI-01</v>
      </c>
      <c r="D29" t="str">
        <f ca="1"/>
        <v>04 Inspecciones previas - Laboratorio base de asiento</v>
      </c>
      <c r="E29" t="str">
        <f ca="1"/>
        <v>tramo</v>
      </c>
      <c r="F29">
        <f ca="1"/>
        <v>1</v>
      </c>
      <c r="G29" t="str">
        <f ca="1"/>
        <v>Pasaje N°9</v>
      </c>
      <c r="H29">
        <f ca="1"/>
        <v>75</v>
      </c>
      <c r="I29">
        <f ca="1"/>
        <v>0</v>
      </c>
      <c r="J29">
        <f ca="1"/>
        <v>0</v>
      </c>
      <c r="K29" t="str">
        <f ca="1">IF(A29="","",IF(COUNTIFS('03_Planificacion'!$B$5:$B$84,B29,'03_Planificacion'!$C$5:$C$84,D29)&gt;0,"SÍ","NO"))</f>
        <v>NO</v>
      </c>
      <c r="L29">
        <v>0</v>
      </c>
      <c r="N29" t="str">
        <f t="shared" ca="1" si="0"/>
        <v>N12 - N13|04 Inspecciones previas - Laboratorio base de asiento</v>
      </c>
    </row>
    <row r="30" spans="1:14" hidden="1">
      <c r="A30" t="str">
        <f ca="1"/>
        <v>PP-26</v>
      </c>
      <c r="B30" t="str">
        <f ca="1"/>
        <v>N12 - N13</v>
      </c>
      <c r="C30" t="str">
        <f ca="1"/>
        <v>HI-02</v>
      </c>
      <c r="D30" t="str">
        <f ca="1"/>
        <v>04 Inspecciones previas - Zanja y materiales</v>
      </c>
      <c r="E30" t="str">
        <f ca="1"/>
        <v>tramo</v>
      </c>
      <c r="F30">
        <f ca="1"/>
        <v>1</v>
      </c>
      <c r="G30" t="str">
        <f ca="1"/>
        <v>Pasaje N°9</v>
      </c>
      <c r="H30">
        <f ca="1"/>
        <v>75</v>
      </c>
      <c r="I30">
        <f ca="1"/>
        <v>0</v>
      </c>
      <c r="J30">
        <f ca="1"/>
        <v>0</v>
      </c>
      <c r="K30" t="str">
        <f ca="1">IF(A30="","",IF(COUNTIFS('03_Planificacion'!$B$5:$B$84,B30,'03_Planificacion'!$C$5:$C$84,D30)&gt;0,"SÍ","NO"))</f>
        <v>NO</v>
      </c>
      <c r="L30">
        <v>0</v>
      </c>
      <c r="N30" t="str">
        <f t="shared" ca="1" si="0"/>
        <v>N12 - N13|04 Inspecciones previas - Zanja y materiales</v>
      </c>
    </row>
    <row r="31" spans="1:14" hidden="1">
      <c r="A31" t="str">
        <f ca="1"/>
        <v>PP-27</v>
      </c>
      <c r="B31" t="str">
        <f ca="1"/>
        <v>N12 - N13</v>
      </c>
      <c r="C31" t="str">
        <f ca="1"/>
        <v>AG-08</v>
      </c>
      <c r="D31" t="str">
        <f ca="1"/>
        <v>05 Tendido de cañería - Cañería principal</v>
      </c>
      <c r="E31" t="str">
        <f ca="1"/>
        <v>m</v>
      </c>
      <c r="F31">
        <f ca="1"/>
        <v>200</v>
      </c>
      <c r="G31" t="str">
        <f ca="1"/>
        <v>Pasaje N°9</v>
      </c>
      <c r="H31">
        <f ca="1"/>
        <v>75</v>
      </c>
      <c r="I31">
        <f ca="1"/>
        <v>0</v>
      </c>
      <c r="J31">
        <f ca="1"/>
        <v>0</v>
      </c>
      <c r="K31" t="str">
        <f ca="1">IF(A31="","",IF(COUNTIFS('03_Planificacion'!$B$5:$B$84,B31,'03_Planificacion'!$C$5:$C$84,D31)&gt;0,"SÍ","NO"))</f>
        <v>NO</v>
      </c>
      <c r="L31">
        <v>0</v>
      </c>
      <c r="N31" t="str">
        <f t="shared" ca="1" si="0"/>
        <v>N12 - N13|05 Tendido de cañería - Cañería principal</v>
      </c>
    </row>
    <row r="32" spans="1:14" hidden="1">
      <c r="A32" t="str">
        <f ca="1"/>
        <v>PP-28</v>
      </c>
      <c r="B32" t="str">
        <f ca="1"/>
        <v>N12 - N13</v>
      </c>
      <c r="C32" t="str">
        <f ca="1"/>
        <v>AG-09</v>
      </c>
      <c r="D32" t="str">
        <f ca="1"/>
        <v>05 Tendido de cañería - Relevamiento planialtimétrico</v>
      </c>
      <c r="E32" t="str">
        <f ca="1"/>
        <v>m</v>
      </c>
      <c r="F32">
        <f ca="1"/>
        <v>200</v>
      </c>
      <c r="G32" t="str">
        <f ca="1"/>
        <v>Pasaje N°9</v>
      </c>
      <c r="H32">
        <f ca="1"/>
        <v>75</v>
      </c>
      <c r="I32">
        <f ca="1"/>
        <v>0</v>
      </c>
      <c r="J32">
        <f ca="1"/>
        <v>0</v>
      </c>
      <c r="K32" t="str">
        <f ca="1">IF(A32="","",IF(COUNTIFS('03_Planificacion'!$B$5:$B$84,B32,'03_Planificacion'!$C$5:$C$84,D32)&gt;0,"SÍ","NO"))</f>
        <v>NO</v>
      </c>
      <c r="L32">
        <v>0</v>
      </c>
      <c r="N32" t="str">
        <f t="shared" ca="1" si="0"/>
        <v>N12 - N13|05 Tendido de cañería - Relevamiento planialtimétrico</v>
      </c>
    </row>
    <row r="33" spans="1:14" hidden="1">
      <c r="A33" t="str">
        <f ca="1"/>
        <v>PP-29</v>
      </c>
      <c r="B33" t="str">
        <f ca="1"/>
        <v>N12 - N13</v>
      </c>
      <c r="C33" t="str">
        <f ca="1"/>
        <v>AG-17</v>
      </c>
      <c r="D33" t="str">
        <f ca="1"/>
        <v>08 Prueba hidráulica - Preparación del sistema</v>
      </c>
      <c r="E33" t="str">
        <f ca="1"/>
        <v>tramo</v>
      </c>
      <c r="F33">
        <f ca="1"/>
        <v>1</v>
      </c>
      <c r="G33" t="str">
        <f ca="1"/>
        <v>Pasaje N°9</v>
      </c>
      <c r="H33">
        <f ca="1"/>
        <v>75</v>
      </c>
      <c r="I33">
        <f ca="1"/>
        <v>0</v>
      </c>
      <c r="J33">
        <f ca="1"/>
        <v>0</v>
      </c>
      <c r="K33" t="str">
        <f ca="1">IF(A33="","",IF(COUNTIFS('03_Planificacion'!$B$5:$B$84,B33,'03_Planificacion'!$C$5:$C$84,D33)&gt;0,"SÍ","NO"))</f>
        <v>NO</v>
      </c>
      <c r="L33">
        <v>0</v>
      </c>
      <c r="N33" t="str">
        <f t="shared" ca="1" si="0"/>
        <v>N12 - N13|08 Prueba hidráulica - Preparación del sistema</v>
      </c>
    </row>
    <row r="34" spans="1:14" hidden="1">
      <c r="A34" t="str">
        <f ca="1"/>
        <v>PP-30</v>
      </c>
      <c r="B34" t="str">
        <f ca="1"/>
        <v>N12 - N13</v>
      </c>
      <c r="C34" t="str">
        <f ca="1"/>
        <v>AG-18</v>
      </c>
      <c r="D34" t="str">
        <f ca="1"/>
        <v>08 Prueba hidráulica - Interna N° 1</v>
      </c>
      <c r="E34" t="str">
        <f ca="1"/>
        <v>tramo</v>
      </c>
      <c r="F34">
        <f ca="1"/>
        <v>1</v>
      </c>
      <c r="G34" t="str">
        <f ca="1"/>
        <v>Pasaje N°9</v>
      </c>
      <c r="H34">
        <f ca="1"/>
        <v>75</v>
      </c>
      <c r="I34">
        <f ca="1"/>
        <v>0</v>
      </c>
      <c r="J34">
        <f ca="1"/>
        <v>0</v>
      </c>
      <c r="K34" t="str">
        <f ca="1">IF(A34="","",IF(COUNTIFS('03_Planificacion'!$B$5:$B$84,B34,'03_Planificacion'!$C$5:$C$84,D34)&gt;0,"SÍ","NO"))</f>
        <v>NO</v>
      </c>
      <c r="L34">
        <v>0</v>
      </c>
      <c r="N34" t="str">
        <f t="shared" ca="1" si="0"/>
        <v>N12 - N13|08 Prueba hidráulica - Interna N° 1</v>
      </c>
    </row>
    <row r="35" spans="1:14" hidden="1">
      <c r="A35" t="str">
        <f ca="1"/>
        <v>PP-31</v>
      </c>
      <c r="B35" t="str">
        <f ca="1"/>
        <v>N12 - N20</v>
      </c>
      <c r="C35" t="str">
        <f ca="1"/>
        <v>AG-07</v>
      </c>
      <c r="D35" t="str">
        <f ca="1"/>
        <v>03 Base de asiento - Compactación</v>
      </c>
      <c r="E35" t="str">
        <f ca="1"/>
        <v>m</v>
      </c>
      <c r="F35">
        <f ca="1"/>
        <v>98</v>
      </c>
      <c r="G35" t="str">
        <f ca="1"/>
        <v>Pasaje N°5</v>
      </c>
      <c r="H35">
        <f ca="1"/>
        <v>75</v>
      </c>
      <c r="I35">
        <f ca="1"/>
        <v>0</v>
      </c>
      <c r="J35">
        <f ca="1"/>
        <v>0</v>
      </c>
      <c r="K35" t="str">
        <f ca="1">IF(A35="","",IF(COUNTIFS('03_Planificacion'!$B$5:$B$84,B35,'03_Planificacion'!$C$5:$C$84,D35)&gt;0,"SÍ","NO"))</f>
        <v>NO</v>
      </c>
      <c r="L35">
        <v>0</v>
      </c>
      <c r="N35" t="str">
        <f t="shared" ca="1" si="0"/>
        <v>N12 - N20|03 Base de asiento - Compactación</v>
      </c>
    </row>
    <row r="36" spans="1:14" hidden="1">
      <c r="A36" t="str">
        <f ca="1"/>
        <v>PP-32</v>
      </c>
      <c r="B36" t="str">
        <f ca="1"/>
        <v>N12 - N20</v>
      </c>
      <c r="C36" t="str">
        <f ca="1"/>
        <v>HI-01</v>
      </c>
      <c r="D36" t="str">
        <f ca="1"/>
        <v>04 Inspecciones previas - Laboratorio base de asiento</v>
      </c>
      <c r="E36" t="str">
        <f ca="1"/>
        <v>tramo</v>
      </c>
      <c r="F36">
        <f ca="1"/>
        <v>1</v>
      </c>
      <c r="G36" t="str">
        <f ca="1"/>
        <v>Pasaje N°5</v>
      </c>
      <c r="H36">
        <f ca="1"/>
        <v>75</v>
      </c>
      <c r="I36">
        <f ca="1"/>
        <v>0</v>
      </c>
      <c r="J36">
        <f ca="1"/>
        <v>0</v>
      </c>
      <c r="K36" t="str">
        <f ca="1">IF(A36="","",IF(COUNTIFS('03_Planificacion'!$B$5:$B$84,B36,'03_Planificacion'!$C$5:$C$84,D36)&gt;0,"SÍ","NO"))</f>
        <v>NO</v>
      </c>
      <c r="L36">
        <v>0</v>
      </c>
      <c r="N36" t="str">
        <f t="shared" ca="1" si="0"/>
        <v>N12 - N20|04 Inspecciones previas - Laboratorio base de asiento</v>
      </c>
    </row>
    <row r="37" spans="1:14" hidden="1">
      <c r="A37" t="str">
        <f ca="1"/>
        <v>PP-33</v>
      </c>
      <c r="B37" t="str">
        <f ca="1"/>
        <v>N12 - N20</v>
      </c>
      <c r="C37" t="str">
        <f ca="1"/>
        <v>HI-02</v>
      </c>
      <c r="D37" t="str">
        <f ca="1"/>
        <v>04 Inspecciones previas - Zanja y materiales</v>
      </c>
      <c r="E37" t="str">
        <f ca="1"/>
        <v>tramo</v>
      </c>
      <c r="F37">
        <f ca="1"/>
        <v>1</v>
      </c>
      <c r="G37" t="str">
        <f ca="1"/>
        <v>Pasaje N°5</v>
      </c>
      <c r="H37">
        <f ca="1"/>
        <v>75</v>
      </c>
      <c r="I37">
        <f ca="1"/>
        <v>0</v>
      </c>
      <c r="J37">
        <f ca="1"/>
        <v>0</v>
      </c>
      <c r="K37" t="str">
        <f ca="1">IF(A37="","",IF(COUNTIFS('03_Planificacion'!$B$5:$B$84,B37,'03_Planificacion'!$C$5:$C$84,D37)&gt;0,"SÍ","NO"))</f>
        <v>NO</v>
      </c>
      <c r="L37">
        <v>0</v>
      </c>
      <c r="N37" t="str">
        <f t="shared" ca="1" si="0"/>
        <v>N12 - N20|04 Inspecciones previas - Zanja y materiales</v>
      </c>
    </row>
    <row r="38" spans="1:14" hidden="1">
      <c r="A38" t="str">
        <f ca="1"/>
        <v>PP-34</v>
      </c>
      <c r="B38" t="str">
        <f ca="1"/>
        <v>N12 - N20</v>
      </c>
      <c r="C38" t="str">
        <f ca="1"/>
        <v>AG-08</v>
      </c>
      <c r="D38" t="str">
        <f ca="1"/>
        <v>05 Tendido de cañería - Cañería principal</v>
      </c>
      <c r="E38" t="str">
        <f ca="1"/>
        <v>m</v>
      </c>
      <c r="F38">
        <f ca="1"/>
        <v>98</v>
      </c>
      <c r="G38" t="str">
        <f ca="1"/>
        <v>Pasaje N°5</v>
      </c>
      <c r="H38">
        <f ca="1"/>
        <v>75</v>
      </c>
      <c r="I38">
        <f ca="1"/>
        <v>0</v>
      </c>
      <c r="J38">
        <f ca="1"/>
        <v>0</v>
      </c>
      <c r="K38" t="str">
        <f ca="1">IF(A38="","",IF(COUNTIFS('03_Planificacion'!$B$5:$B$84,B38,'03_Planificacion'!$C$5:$C$84,D38)&gt;0,"SÍ","NO"))</f>
        <v>NO</v>
      </c>
      <c r="L38">
        <v>0</v>
      </c>
      <c r="N38" t="str">
        <f t="shared" ca="1" si="0"/>
        <v>N12 - N20|05 Tendido de cañería - Cañería principal</v>
      </c>
    </row>
    <row r="39" spans="1:14" hidden="1">
      <c r="A39" t="str">
        <f ca="1"/>
        <v>PP-35</v>
      </c>
      <c r="B39" t="str">
        <f ca="1"/>
        <v>N12 - N20</v>
      </c>
      <c r="C39" t="str">
        <f ca="1"/>
        <v>AG-09</v>
      </c>
      <c r="D39" t="str">
        <f ca="1"/>
        <v>05 Tendido de cañería - Relevamiento planialtimétrico</v>
      </c>
      <c r="E39" t="str">
        <f ca="1"/>
        <v>m</v>
      </c>
      <c r="F39">
        <f ca="1"/>
        <v>98</v>
      </c>
      <c r="G39" t="str">
        <f ca="1"/>
        <v>Pasaje N°5</v>
      </c>
      <c r="H39">
        <f ca="1"/>
        <v>75</v>
      </c>
      <c r="I39">
        <f ca="1"/>
        <v>0</v>
      </c>
      <c r="J39">
        <f ca="1"/>
        <v>0</v>
      </c>
      <c r="K39" t="str">
        <f ca="1">IF(A39="","",IF(COUNTIFS('03_Planificacion'!$B$5:$B$84,B39,'03_Planificacion'!$C$5:$C$84,D39)&gt;0,"SÍ","NO"))</f>
        <v>NO</v>
      </c>
      <c r="L39">
        <v>0</v>
      </c>
      <c r="N39" t="str">
        <f t="shared" ca="1" si="0"/>
        <v>N12 - N20|05 Tendido de cañería - Relevamiento planialtimétrico</v>
      </c>
    </row>
    <row r="40" spans="1:14" hidden="1">
      <c r="A40" t="str">
        <f ca="1"/>
        <v>PP-36</v>
      </c>
      <c r="B40" t="str">
        <f ca="1"/>
        <v>N12 - N20</v>
      </c>
      <c r="C40" t="str">
        <f ca="1"/>
        <v>AG-17</v>
      </c>
      <c r="D40" t="str">
        <f ca="1"/>
        <v>08 Prueba hidráulica - Preparación del sistema</v>
      </c>
      <c r="E40" t="str">
        <f ca="1"/>
        <v>tramo</v>
      </c>
      <c r="F40">
        <f ca="1"/>
        <v>1</v>
      </c>
      <c r="G40" t="str">
        <f ca="1"/>
        <v>Pasaje N°5</v>
      </c>
      <c r="H40">
        <f ca="1"/>
        <v>75</v>
      </c>
      <c r="I40">
        <f ca="1"/>
        <v>0</v>
      </c>
      <c r="J40">
        <f ca="1"/>
        <v>0</v>
      </c>
      <c r="K40" t="str">
        <f ca="1">IF(A40="","",IF(COUNTIFS('03_Planificacion'!$B$5:$B$84,B40,'03_Planificacion'!$C$5:$C$84,D40)&gt;0,"SÍ","NO"))</f>
        <v>NO</v>
      </c>
      <c r="L40">
        <v>0</v>
      </c>
      <c r="N40" t="str">
        <f t="shared" ca="1" si="0"/>
        <v>N12 - N20|08 Prueba hidráulica - Preparación del sistema</v>
      </c>
    </row>
    <row r="41" spans="1:14" hidden="1">
      <c r="A41" t="str">
        <f ca="1"/>
        <v>PP-37</v>
      </c>
      <c r="B41" t="str">
        <f ca="1"/>
        <v>N12 - N20</v>
      </c>
      <c r="C41" t="str">
        <f ca="1"/>
        <v>AG-18</v>
      </c>
      <c r="D41" t="str">
        <f ca="1"/>
        <v>08 Prueba hidráulica - Interna N° 1</v>
      </c>
      <c r="E41" t="str">
        <f ca="1"/>
        <v>tramo</v>
      </c>
      <c r="F41">
        <f ca="1"/>
        <v>1</v>
      </c>
      <c r="G41" t="str">
        <f ca="1"/>
        <v>Pasaje N°5</v>
      </c>
      <c r="H41">
        <f ca="1"/>
        <v>75</v>
      </c>
      <c r="I41">
        <f ca="1"/>
        <v>0</v>
      </c>
      <c r="J41">
        <f ca="1"/>
        <v>0</v>
      </c>
      <c r="K41" t="str">
        <f ca="1">IF(A41="","",IF(COUNTIFS('03_Planificacion'!$B$5:$B$84,B41,'03_Planificacion'!$C$5:$C$84,D41)&gt;0,"SÍ","NO"))</f>
        <v>NO</v>
      </c>
      <c r="L41">
        <v>0</v>
      </c>
      <c r="N41" t="str">
        <f t="shared" ca="1" si="0"/>
        <v>N12 - N20|08 Prueba hidráulica - Interna N° 1</v>
      </c>
    </row>
    <row r="42" spans="1:14" hidden="1">
      <c r="A42" t="str">
        <f ca="1"/>
        <v>PP-38</v>
      </c>
      <c r="B42" t="str">
        <f ca="1"/>
        <v>N13 - N23</v>
      </c>
      <c r="C42" t="str">
        <f ca="1"/>
        <v>AG-07</v>
      </c>
      <c r="D42" t="str">
        <f ca="1"/>
        <v>03 Base de asiento - Compactación</v>
      </c>
      <c r="E42" t="str">
        <f ca="1"/>
        <v>m</v>
      </c>
      <c r="F42">
        <f ca="1"/>
        <v>78</v>
      </c>
      <c r="G42" t="str">
        <f ca="1"/>
        <v>Pasaje N°3</v>
      </c>
      <c r="H42">
        <f ca="1"/>
        <v>75</v>
      </c>
      <c r="I42">
        <f ca="1"/>
        <v>0</v>
      </c>
      <c r="J42">
        <f ca="1"/>
        <v>0</v>
      </c>
      <c r="K42" t="str">
        <f ca="1">IF(A42="","",IF(COUNTIFS('03_Planificacion'!$B$5:$B$84,B42,'03_Planificacion'!$C$5:$C$84,D42)&gt;0,"SÍ","NO"))</f>
        <v>NO</v>
      </c>
      <c r="L42">
        <v>0</v>
      </c>
      <c r="N42" t="str">
        <f t="shared" ca="1" si="0"/>
        <v>N13 - N23|03 Base de asiento - Compactación</v>
      </c>
    </row>
    <row r="43" spans="1:14" hidden="1">
      <c r="A43" t="str">
        <f ca="1"/>
        <v>PP-39</v>
      </c>
      <c r="B43" t="str">
        <f ca="1"/>
        <v>N13 - N23</v>
      </c>
      <c r="C43" t="str">
        <f ca="1"/>
        <v>HI-01</v>
      </c>
      <c r="D43" t="str">
        <f ca="1"/>
        <v>04 Inspecciones previas - Laboratorio base de asiento</v>
      </c>
      <c r="E43" t="str">
        <f ca="1"/>
        <v>tramo</v>
      </c>
      <c r="F43">
        <f ca="1"/>
        <v>1</v>
      </c>
      <c r="G43" t="str">
        <f ca="1"/>
        <v>Pasaje N°3</v>
      </c>
      <c r="H43">
        <f ca="1"/>
        <v>75</v>
      </c>
      <c r="I43">
        <f ca="1"/>
        <v>0</v>
      </c>
      <c r="J43">
        <f ca="1"/>
        <v>0</v>
      </c>
      <c r="K43" t="str">
        <f ca="1">IF(A43="","",IF(COUNTIFS('03_Planificacion'!$B$5:$B$84,B43,'03_Planificacion'!$C$5:$C$84,D43)&gt;0,"SÍ","NO"))</f>
        <v>NO</v>
      </c>
      <c r="L43">
        <v>0</v>
      </c>
      <c r="N43" t="str">
        <f t="shared" ca="1" si="0"/>
        <v>N13 - N23|04 Inspecciones previas - Laboratorio base de asiento</v>
      </c>
    </row>
    <row r="44" spans="1:14" hidden="1">
      <c r="A44" t="str">
        <f ca="1"/>
        <v>PP-40</v>
      </c>
      <c r="B44" t="str">
        <f ca="1"/>
        <v>N13 - N23</v>
      </c>
      <c r="C44" t="str">
        <f ca="1"/>
        <v>HI-02</v>
      </c>
      <c r="D44" t="str">
        <f ca="1"/>
        <v>04 Inspecciones previas - Zanja y materiales</v>
      </c>
      <c r="E44" t="str">
        <f ca="1"/>
        <v>tramo</v>
      </c>
      <c r="F44">
        <f ca="1"/>
        <v>1</v>
      </c>
      <c r="G44" t="str">
        <f ca="1"/>
        <v>Pasaje N°3</v>
      </c>
      <c r="H44">
        <f ca="1"/>
        <v>75</v>
      </c>
      <c r="I44">
        <f ca="1"/>
        <v>0</v>
      </c>
      <c r="J44">
        <f ca="1"/>
        <v>0</v>
      </c>
      <c r="K44" t="str">
        <f ca="1">IF(A44="","",IF(COUNTIFS('03_Planificacion'!$B$5:$B$84,B44,'03_Planificacion'!$C$5:$C$84,D44)&gt;0,"SÍ","NO"))</f>
        <v>NO</v>
      </c>
      <c r="L44">
        <v>0</v>
      </c>
      <c r="N44" t="str">
        <f t="shared" ca="1" si="0"/>
        <v>N13 - N23|04 Inspecciones previas - Zanja y materiales</v>
      </c>
    </row>
    <row r="45" spans="1:14" hidden="1">
      <c r="A45" t="str">
        <f ca="1"/>
        <v>PP-41</v>
      </c>
      <c r="B45" t="str">
        <f ca="1"/>
        <v>N13 - N23</v>
      </c>
      <c r="C45" t="str">
        <f ca="1"/>
        <v>AG-08</v>
      </c>
      <c r="D45" t="str">
        <f ca="1"/>
        <v>05 Tendido de cañería - Cañería principal</v>
      </c>
      <c r="E45" t="str">
        <f ca="1"/>
        <v>m</v>
      </c>
      <c r="F45">
        <f ca="1"/>
        <v>78</v>
      </c>
      <c r="G45" t="str">
        <f ca="1"/>
        <v>Pasaje N°3</v>
      </c>
      <c r="H45">
        <f ca="1"/>
        <v>75</v>
      </c>
      <c r="I45">
        <f ca="1"/>
        <v>0</v>
      </c>
      <c r="J45">
        <f ca="1"/>
        <v>0</v>
      </c>
      <c r="K45" t="str">
        <f ca="1">IF(A45="","",IF(COUNTIFS('03_Planificacion'!$B$5:$B$84,B45,'03_Planificacion'!$C$5:$C$84,D45)&gt;0,"SÍ","NO"))</f>
        <v>NO</v>
      </c>
      <c r="L45">
        <v>0</v>
      </c>
      <c r="N45" t="str">
        <f t="shared" ca="1" si="0"/>
        <v>N13 - N23|05 Tendido de cañería - Cañería principal</v>
      </c>
    </row>
    <row r="46" spans="1:14" hidden="1">
      <c r="A46" t="str">
        <f ca="1"/>
        <v>PP-42</v>
      </c>
      <c r="B46" t="str">
        <f ca="1"/>
        <v>N13 - N23</v>
      </c>
      <c r="C46" t="str">
        <f ca="1"/>
        <v>AG-09</v>
      </c>
      <c r="D46" t="str">
        <f ca="1"/>
        <v>05 Tendido de cañería - Relevamiento planialtimétrico</v>
      </c>
      <c r="E46" t="str">
        <f ca="1"/>
        <v>m</v>
      </c>
      <c r="F46">
        <f ca="1"/>
        <v>78</v>
      </c>
      <c r="G46" t="str">
        <f ca="1"/>
        <v>Pasaje N°3</v>
      </c>
      <c r="H46">
        <f ca="1"/>
        <v>75</v>
      </c>
      <c r="I46">
        <f ca="1"/>
        <v>0</v>
      </c>
      <c r="J46">
        <f ca="1"/>
        <v>0</v>
      </c>
      <c r="K46" t="str">
        <f ca="1">IF(A46="","",IF(COUNTIFS('03_Planificacion'!$B$5:$B$84,B46,'03_Planificacion'!$C$5:$C$84,D46)&gt;0,"SÍ","NO"))</f>
        <v>NO</v>
      </c>
      <c r="L46">
        <v>0</v>
      </c>
      <c r="N46" t="str">
        <f t="shared" ca="1" si="0"/>
        <v>N13 - N23|05 Tendido de cañería - Relevamiento planialtimétrico</v>
      </c>
    </row>
    <row r="47" spans="1:14" hidden="1">
      <c r="A47" t="str">
        <f ca="1"/>
        <v>PP-43</v>
      </c>
      <c r="B47" t="str">
        <f ca="1"/>
        <v>N13 - N23</v>
      </c>
      <c r="C47" t="str">
        <f ca="1"/>
        <v>AG-17</v>
      </c>
      <c r="D47" t="str">
        <f ca="1"/>
        <v>08 Prueba hidráulica - Preparación del sistema</v>
      </c>
      <c r="E47" t="str">
        <f ca="1"/>
        <v>tramo</v>
      </c>
      <c r="F47">
        <f ca="1"/>
        <v>1</v>
      </c>
      <c r="G47" t="str">
        <f ca="1"/>
        <v>Pasaje N°3</v>
      </c>
      <c r="H47">
        <f ca="1"/>
        <v>75</v>
      </c>
      <c r="I47">
        <f ca="1"/>
        <v>0</v>
      </c>
      <c r="J47">
        <f ca="1"/>
        <v>0</v>
      </c>
      <c r="K47" t="str">
        <f ca="1">IF(A47="","",IF(COUNTIFS('03_Planificacion'!$B$5:$B$84,B47,'03_Planificacion'!$C$5:$C$84,D47)&gt;0,"SÍ","NO"))</f>
        <v>NO</v>
      </c>
      <c r="L47">
        <v>0</v>
      </c>
      <c r="N47" t="str">
        <f t="shared" ca="1" si="0"/>
        <v>N13 - N23|08 Prueba hidráulica - Preparación del sistema</v>
      </c>
    </row>
    <row r="48" spans="1:14" hidden="1">
      <c r="A48" t="str">
        <f ca="1"/>
        <v>PP-44</v>
      </c>
      <c r="B48" t="str">
        <f ca="1"/>
        <v>N13 - N23</v>
      </c>
      <c r="C48" t="str">
        <f ca="1"/>
        <v>AG-18</v>
      </c>
      <c r="D48" t="str">
        <f ca="1"/>
        <v>08 Prueba hidráulica - Interna N° 1</v>
      </c>
      <c r="E48" t="str">
        <f ca="1"/>
        <v>tramo</v>
      </c>
      <c r="F48">
        <f ca="1"/>
        <v>1</v>
      </c>
      <c r="G48" t="str">
        <f ca="1"/>
        <v>Pasaje N°3</v>
      </c>
      <c r="H48">
        <f ca="1"/>
        <v>75</v>
      </c>
      <c r="I48">
        <f ca="1"/>
        <v>0</v>
      </c>
      <c r="J48">
        <f ca="1"/>
        <v>0</v>
      </c>
      <c r="K48" t="str">
        <f ca="1">IF(A48="","",IF(COUNTIFS('03_Planificacion'!$B$5:$B$84,B48,'03_Planificacion'!$C$5:$C$84,D48)&gt;0,"SÍ","NO"))</f>
        <v>NO</v>
      </c>
      <c r="L48" t="str">
        <v>Preguntar si esta listo</v>
      </c>
      <c r="N48" t="str">
        <f t="shared" ca="1" si="0"/>
        <v>N13 - N23|08 Prueba hidráulica - Interna N° 1</v>
      </c>
    </row>
    <row r="49" spans="1:14" hidden="1">
      <c r="A49" t="str">
        <f ca="1"/>
        <v>PP-45</v>
      </c>
      <c r="B49" t="str">
        <f ca="1"/>
        <v>N13 - N23</v>
      </c>
      <c r="C49" t="str">
        <f ca="1"/>
        <v>AG-19</v>
      </c>
      <c r="D49" t="str">
        <f ca="1"/>
        <v>08 Prueba hidráulica - Interna N° 2</v>
      </c>
      <c r="E49" t="str">
        <f ca="1"/>
        <v>tramo</v>
      </c>
      <c r="F49">
        <f ca="1"/>
        <v>1</v>
      </c>
      <c r="G49" t="str">
        <f ca="1"/>
        <v>Pasaje N°3</v>
      </c>
      <c r="H49">
        <f ca="1"/>
        <v>75</v>
      </c>
      <c r="I49">
        <f ca="1"/>
        <v>0</v>
      </c>
      <c r="J49">
        <f ca="1"/>
        <v>0</v>
      </c>
      <c r="K49" t="str">
        <f ca="1">IF(A49="","",IF(COUNTIFS('03_Planificacion'!$B$5:$B$84,B49,'03_Planificacion'!$C$5:$C$84,D49)&gt;0,"SÍ","NO"))</f>
        <v>NO</v>
      </c>
      <c r="L49">
        <v>0</v>
      </c>
      <c r="N49" t="str">
        <f t="shared" ca="1" si="0"/>
        <v>N13 - N23|08 Prueba hidráulica - Interna N° 2</v>
      </c>
    </row>
    <row r="50" spans="1:14" hidden="1">
      <c r="A50" t="str">
        <f ca="1"/>
        <v>PP-46</v>
      </c>
      <c r="B50" t="str">
        <f ca="1"/>
        <v>N13 - N23</v>
      </c>
      <c r="C50" t="str">
        <f ca="1"/>
        <v>HI-03</v>
      </c>
      <c r="D50" t="str">
        <f ca="1"/>
        <v>08 Prueba hidráulica - Primera prueba oficial</v>
      </c>
      <c r="E50" t="str">
        <f ca="1"/>
        <v>tramo</v>
      </c>
      <c r="F50">
        <f ca="1"/>
        <v>1</v>
      </c>
      <c r="G50" t="str">
        <f ca="1"/>
        <v>Pasaje N°3</v>
      </c>
      <c r="H50">
        <f ca="1"/>
        <v>75</v>
      </c>
      <c r="I50">
        <f ca="1"/>
        <v>0</v>
      </c>
      <c r="J50">
        <f ca="1"/>
        <v>0</v>
      </c>
      <c r="K50" t="str">
        <f ca="1">IF(A50="","",IF(COUNTIFS('03_Planificacion'!$B$5:$B$84,B50,'03_Planificacion'!$C$5:$C$84,D50)&gt;0,"SÍ","NO"))</f>
        <v>NO</v>
      </c>
      <c r="L50">
        <v>0</v>
      </c>
      <c r="N50" t="str">
        <f t="shared" ca="1" si="0"/>
        <v>N13 - N23|08 Prueba hidráulica - Primera prueba oficial</v>
      </c>
    </row>
    <row r="51" spans="1:14" hidden="1">
      <c r="A51" t="str">
        <f ca="1"/>
        <v>PP-47</v>
      </c>
      <c r="B51" t="str">
        <f ca="1"/>
        <v>N13 - N23</v>
      </c>
      <c r="C51" t="str">
        <f ca="1"/>
        <v>AG-20</v>
      </c>
      <c r="D51" t="str">
        <f ca="1"/>
        <v>09 Paquete estructural - Aporte e=0,30 m</v>
      </c>
      <c r="E51" t="str">
        <f ca="1"/>
        <v>m</v>
      </c>
      <c r="F51">
        <f ca="1"/>
        <v>78</v>
      </c>
      <c r="G51" t="str">
        <f ca="1"/>
        <v>Pasaje N°3</v>
      </c>
      <c r="H51">
        <f ca="1"/>
        <v>75</v>
      </c>
      <c r="I51">
        <f ca="1"/>
        <v>0</v>
      </c>
      <c r="J51">
        <f ca="1"/>
        <v>0</v>
      </c>
      <c r="K51" t="str">
        <f ca="1">IF(A51="","",IF(COUNTIFS('03_Planificacion'!$B$5:$B$84,B51,'03_Planificacion'!$C$5:$C$84,D51)&gt;0,"SÍ","NO"))</f>
        <v>NO</v>
      </c>
      <c r="L51">
        <v>0</v>
      </c>
      <c r="N51" t="str">
        <f t="shared" ca="1" si="0"/>
        <v>N13 - N23|09 Paquete estructural - Aporte e=0,30 m</v>
      </c>
    </row>
    <row r="52" spans="1:14" hidden="1">
      <c r="A52" t="str">
        <f ca="1"/>
        <v>PP-48</v>
      </c>
      <c r="B52" t="str">
        <f ca="1"/>
        <v>N13 - N23</v>
      </c>
      <c r="C52" t="str">
        <f ca="1"/>
        <v>AG-21</v>
      </c>
      <c r="D52" t="str">
        <f ca="1"/>
        <v>09 Paquete estructural - Compactación</v>
      </c>
      <c r="E52" t="str">
        <f ca="1"/>
        <v>m</v>
      </c>
      <c r="F52">
        <f ca="1"/>
        <v>78</v>
      </c>
      <c r="G52" t="str">
        <f ca="1"/>
        <v>Pasaje N°3</v>
      </c>
      <c r="H52">
        <f ca="1"/>
        <v>75</v>
      </c>
      <c r="I52">
        <f ca="1"/>
        <v>0</v>
      </c>
      <c r="J52">
        <f ca="1"/>
        <v>0</v>
      </c>
      <c r="K52" t="str">
        <f ca="1">IF(A52="","",IF(COUNTIFS('03_Planificacion'!$B$5:$B$84,B52,'03_Planificacion'!$C$5:$C$84,D52)&gt;0,"SÍ","NO"))</f>
        <v>NO</v>
      </c>
      <c r="L52">
        <v>0</v>
      </c>
      <c r="N52" t="str">
        <f t="shared" ca="1" si="0"/>
        <v>N13 - N23|09 Paquete estructural - Compactación</v>
      </c>
    </row>
    <row r="53" spans="1:14" hidden="1">
      <c r="A53" t="str">
        <f ca="1"/>
        <v>PP-49</v>
      </c>
      <c r="B53" t="str">
        <f ca="1"/>
        <v>N13 - N23</v>
      </c>
      <c r="C53" t="str">
        <f ca="1"/>
        <v>HI-04</v>
      </c>
      <c r="D53" t="str">
        <f ca="1"/>
        <v>09 Paquete estructural - Inspección laboratorio</v>
      </c>
      <c r="E53" t="str">
        <f ca="1"/>
        <v>tramo</v>
      </c>
      <c r="F53">
        <f ca="1"/>
        <v>1</v>
      </c>
      <c r="G53" t="str">
        <f ca="1"/>
        <v>Pasaje N°3</v>
      </c>
      <c r="H53">
        <f ca="1"/>
        <v>75</v>
      </c>
      <c r="I53">
        <f ca="1"/>
        <v>0</v>
      </c>
      <c r="J53">
        <f ca="1"/>
        <v>0</v>
      </c>
      <c r="K53" t="str">
        <f ca="1">IF(A53="","",IF(COUNTIFS('03_Planificacion'!$B$5:$B$84,B53,'03_Planificacion'!$C$5:$C$84,D53)&gt;0,"SÍ","NO"))</f>
        <v>NO</v>
      </c>
      <c r="L53">
        <v>0</v>
      </c>
      <c r="N53" t="str">
        <f t="shared" ca="1" si="0"/>
        <v>N13 - N23|09 Paquete estructural - Inspección laboratorio</v>
      </c>
    </row>
    <row r="54" spans="1:14" hidden="1">
      <c r="A54" t="str">
        <f ca="1"/>
        <v>PP-50</v>
      </c>
      <c r="B54" t="str">
        <f ca="1"/>
        <v>N13 - N23</v>
      </c>
      <c r="C54" t="str">
        <f ca="1"/>
        <v>AG-22</v>
      </c>
      <c r="D54" t="str">
        <f ca="1"/>
        <v>10 Relleno -0,60 - Conformación de capa</v>
      </c>
      <c r="E54" t="str">
        <f ca="1"/>
        <v>m</v>
      </c>
      <c r="F54">
        <f ca="1"/>
        <v>78</v>
      </c>
      <c r="G54" t="str">
        <f ca="1"/>
        <v>Pasaje N°3</v>
      </c>
      <c r="H54">
        <f ca="1"/>
        <v>75</v>
      </c>
      <c r="I54">
        <f ca="1"/>
        <v>0</v>
      </c>
      <c r="J54">
        <f ca="1"/>
        <v>0</v>
      </c>
      <c r="K54" t="str">
        <f ca="1">IF(A54="","",IF(COUNTIFS('03_Planificacion'!$B$5:$B$84,B54,'03_Planificacion'!$C$5:$C$84,D54)&gt;0,"SÍ","NO"))</f>
        <v>NO</v>
      </c>
      <c r="L54">
        <v>0</v>
      </c>
      <c r="N54" t="str">
        <f t="shared" ca="1" si="0"/>
        <v>N13 - N23|10 Relleno -0,60 - Conformación de capa</v>
      </c>
    </row>
    <row r="55" spans="1:14" hidden="1">
      <c r="A55" t="str">
        <f ca="1"/>
        <v>PP-51</v>
      </c>
      <c r="B55" t="str">
        <f ca="1"/>
        <v>N13 - N23</v>
      </c>
      <c r="C55" t="str">
        <f ca="1"/>
        <v>AG-23</v>
      </c>
      <c r="D55" t="str">
        <f ca="1"/>
        <v>10 Relleno -0,60 - Humectación</v>
      </c>
      <c r="E55" t="str">
        <f ca="1"/>
        <v>m</v>
      </c>
      <c r="F55">
        <f ca="1"/>
        <v>78</v>
      </c>
      <c r="G55" t="str">
        <f ca="1"/>
        <v>Pasaje N°3</v>
      </c>
      <c r="H55">
        <f ca="1"/>
        <v>75</v>
      </c>
      <c r="I55">
        <f ca="1"/>
        <v>0</v>
      </c>
      <c r="J55">
        <f ca="1"/>
        <v>0</v>
      </c>
      <c r="K55" t="str">
        <f ca="1">IF(A55="","",IF(COUNTIFS('03_Planificacion'!$B$5:$B$84,B55,'03_Planificacion'!$C$5:$C$84,D55)&gt;0,"SÍ","NO"))</f>
        <v>NO</v>
      </c>
      <c r="L55" t="str">
        <v>Preguntar si esta listo</v>
      </c>
      <c r="N55" t="str">
        <f t="shared" ca="1" si="0"/>
        <v>N13 - N23|10 Relleno -0,60 - Humectación</v>
      </c>
    </row>
    <row r="56" spans="1:14" hidden="1">
      <c r="A56" t="str">
        <f ca="1"/>
        <v>PP-52</v>
      </c>
      <c r="B56" t="str">
        <f ca="1"/>
        <v>N13 - N23</v>
      </c>
      <c r="C56" t="str">
        <f ca="1"/>
        <v>AG-24</v>
      </c>
      <c r="D56" t="str">
        <f ca="1"/>
        <v>10 Relleno -0,60 - Compactación</v>
      </c>
      <c r="E56" t="str">
        <f ca="1"/>
        <v>m</v>
      </c>
      <c r="F56">
        <f ca="1"/>
        <v>78</v>
      </c>
      <c r="G56" t="str">
        <f ca="1"/>
        <v>Pasaje N°3</v>
      </c>
      <c r="H56">
        <f ca="1"/>
        <v>75</v>
      </c>
      <c r="I56">
        <f ca="1"/>
        <v>0</v>
      </c>
      <c r="J56">
        <f ca="1"/>
        <v>0</v>
      </c>
      <c r="K56" t="str">
        <f ca="1">IF(A56="","",IF(COUNTIFS('03_Planificacion'!$B$5:$B$84,B56,'03_Planificacion'!$C$5:$C$84,D56)&gt;0,"SÍ","NO"))</f>
        <v>NO</v>
      </c>
      <c r="L56">
        <v>0</v>
      </c>
      <c r="N56" t="str">
        <f t="shared" ca="1" si="0"/>
        <v>N13 - N23|10 Relleno -0,60 - Compactación</v>
      </c>
    </row>
    <row r="57" spans="1:14" hidden="1">
      <c r="A57" t="str">
        <f ca="1"/>
        <v>PP-53</v>
      </c>
      <c r="B57" t="str">
        <f ca="1"/>
        <v>N13 - N23</v>
      </c>
      <c r="C57" t="str">
        <f ca="1"/>
        <v>HI-05</v>
      </c>
      <c r="D57" t="str">
        <f ca="1"/>
        <v>10 Relleno -0,60 - Inspección laboratorio</v>
      </c>
      <c r="E57" t="str">
        <f ca="1"/>
        <v>tramo</v>
      </c>
      <c r="F57">
        <f ca="1"/>
        <v>1</v>
      </c>
      <c r="G57" t="str">
        <f ca="1"/>
        <v>Pasaje N°3</v>
      </c>
      <c r="H57">
        <f ca="1"/>
        <v>75</v>
      </c>
      <c r="I57">
        <f ca="1"/>
        <v>0</v>
      </c>
      <c r="J57">
        <f ca="1"/>
        <v>0</v>
      </c>
      <c r="K57" t="str">
        <f ca="1">IF(A57="","",IF(COUNTIFS('03_Planificacion'!$B$5:$B$84,B57,'03_Planificacion'!$C$5:$C$84,D57)&gt;0,"SÍ","NO"))</f>
        <v>NO</v>
      </c>
      <c r="L57">
        <v>0</v>
      </c>
      <c r="N57" t="str">
        <f t="shared" ca="1" si="0"/>
        <v>N13 - N23|10 Relleno -0,60 - Inspección laboratorio</v>
      </c>
    </row>
    <row r="58" spans="1:14" hidden="1">
      <c r="A58" t="str">
        <f ca="1"/>
        <v>PP-54</v>
      </c>
      <c r="B58" t="str">
        <f ca="1"/>
        <v>N13 - N23</v>
      </c>
      <c r="C58" t="str">
        <f ca="1"/>
        <v>AG-25</v>
      </c>
      <c r="D58" t="str">
        <f ca="1"/>
        <v>11 Relleno -0,30 - Conformación de capa</v>
      </c>
      <c r="E58" t="str">
        <f ca="1"/>
        <v>m</v>
      </c>
      <c r="F58">
        <f ca="1"/>
        <v>78</v>
      </c>
      <c r="G58" t="str">
        <f ca="1"/>
        <v>Pasaje N°3</v>
      </c>
      <c r="H58">
        <f ca="1"/>
        <v>75</v>
      </c>
      <c r="I58">
        <f ca="1"/>
        <v>0</v>
      </c>
      <c r="J58">
        <f ca="1"/>
        <v>0</v>
      </c>
      <c r="K58" t="str">
        <f ca="1">IF(A58="","",IF(COUNTIFS('03_Planificacion'!$B$5:$B$84,B58,'03_Planificacion'!$C$5:$C$84,D58)&gt;0,"SÍ","NO"))</f>
        <v>NO</v>
      </c>
      <c r="L58">
        <v>0</v>
      </c>
      <c r="N58" t="str">
        <f t="shared" ca="1" si="0"/>
        <v>N13 - N23|11 Relleno -0,30 - Conformación de capa</v>
      </c>
    </row>
    <row r="59" spans="1:14" hidden="1">
      <c r="A59" t="str">
        <f ca="1"/>
        <v>PP-55</v>
      </c>
      <c r="B59" t="str">
        <f ca="1"/>
        <v>N13 - N23</v>
      </c>
      <c r="C59" t="str">
        <f ca="1"/>
        <v>AG-26</v>
      </c>
      <c r="D59" t="str">
        <f ca="1"/>
        <v>11 Relleno -0,30 - Humectación</v>
      </c>
      <c r="E59" t="str">
        <f ca="1"/>
        <v>m</v>
      </c>
      <c r="F59">
        <f ca="1"/>
        <v>78</v>
      </c>
      <c r="G59" t="str">
        <f ca="1"/>
        <v>Pasaje N°3</v>
      </c>
      <c r="H59">
        <f ca="1"/>
        <v>75</v>
      </c>
      <c r="I59">
        <f ca="1"/>
        <v>0</v>
      </c>
      <c r="J59">
        <f ca="1"/>
        <v>0</v>
      </c>
      <c r="K59" t="str">
        <f ca="1">IF(A59="","",IF(COUNTIFS('03_Planificacion'!$B$5:$B$84,B59,'03_Planificacion'!$C$5:$C$84,D59)&gt;0,"SÍ","NO"))</f>
        <v>NO</v>
      </c>
      <c r="L59">
        <v>0</v>
      </c>
      <c r="N59" t="str">
        <f t="shared" ca="1" si="0"/>
        <v>N13 - N23|11 Relleno -0,30 - Humectación</v>
      </c>
    </row>
    <row r="60" spans="1:14" hidden="1">
      <c r="A60" t="str">
        <f ca="1"/>
        <v>PP-56</v>
      </c>
      <c r="B60" t="str">
        <f ca="1"/>
        <v>N13 - N23</v>
      </c>
      <c r="C60" t="str">
        <f ca="1"/>
        <v>AG-27</v>
      </c>
      <c r="D60" t="str">
        <f ca="1"/>
        <v>11 Relleno -0,30 - Compactación</v>
      </c>
      <c r="E60" t="str">
        <f ca="1"/>
        <v>m</v>
      </c>
      <c r="F60">
        <f ca="1"/>
        <v>78</v>
      </c>
      <c r="G60" t="str">
        <f ca="1"/>
        <v>Pasaje N°3</v>
      </c>
      <c r="H60">
        <f ca="1"/>
        <v>75</v>
      </c>
      <c r="I60">
        <f ca="1"/>
        <v>0</v>
      </c>
      <c r="J60">
        <f ca="1"/>
        <v>0</v>
      </c>
      <c r="K60" t="str">
        <f ca="1">IF(A60="","",IF(COUNTIFS('03_Planificacion'!$B$5:$B$84,B60,'03_Planificacion'!$C$5:$C$84,D60)&gt;0,"SÍ","NO"))</f>
        <v>NO</v>
      </c>
      <c r="L60">
        <v>0</v>
      </c>
      <c r="N60" t="str">
        <f t="shared" ca="1" si="0"/>
        <v>N13 - N23|11 Relleno -0,30 - Compactación</v>
      </c>
    </row>
    <row r="61" spans="1:14" hidden="1">
      <c r="A61" t="str">
        <f ca="1"/>
        <v>PP-57</v>
      </c>
      <c r="B61" t="str">
        <f ca="1"/>
        <v>N13 - N23</v>
      </c>
      <c r="C61" t="str">
        <f ca="1"/>
        <v>HI-06</v>
      </c>
      <c r="D61" t="str">
        <f ca="1"/>
        <v>11 Relleno -0,30 - Inspección laboratorio</v>
      </c>
      <c r="E61" t="str">
        <f ca="1"/>
        <v>tramo</v>
      </c>
      <c r="F61">
        <f ca="1"/>
        <v>1</v>
      </c>
      <c r="G61" t="str">
        <f ca="1"/>
        <v>Pasaje N°3</v>
      </c>
      <c r="H61">
        <f ca="1"/>
        <v>75</v>
      </c>
      <c r="I61">
        <f ca="1"/>
        <v>0</v>
      </c>
      <c r="J61">
        <f ca="1"/>
        <v>0</v>
      </c>
      <c r="K61" t="str">
        <f ca="1">IF(A61="","",IF(COUNTIFS('03_Planificacion'!$B$5:$B$84,B61,'03_Planificacion'!$C$5:$C$84,D61)&gt;0,"SÍ","NO"))</f>
        <v>NO</v>
      </c>
      <c r="L61">
        <v>0</v>
      </c>
      <c r="N61" t="str">
        <f t="shared" ca="1" si="0"/>
        <v>N13 - N23|11 Relleno -0,30 - Inspección laboratorio</v>
      </c>
    </row>
    <row r="62" spans="1:14" hidden="1">
      <c r="A62" t="str">
        <f ca="1"/>
        <v>PP-58</v>
      </c>
      <c r="B62" t="str">
        <f ca="1"/>
        <v>N15 - N16</v>
      </c>
      <c r="C62" t="str">
        <f ca="1"/>
        <v>AG-01</v>
      </c>
      <c r="D62" t="str">
        <f ca="1"/>
        <v>01 Replanteo - Marcación de tramo de cañería principal</v>
      </c>
      <c r="E62" t="str">
        <f ca="1"/>
        <v>m</v>
      </c>
      <c r="F62">
        <f ca="1"/>
        <v>7</v>
      </c>
      <c r="G62" t="str">
        <f ca="1"/>
        <v>Pasaje N°2</v>
      </c>
      <c r="H62">
        <f ca="1"/>
        <v>110</v>
      </c>
      <c r="I62">
        <f ca="1"/>
        <v>0</v>
      </c>
      <c r="J62">
        <f ca="1"/>
        <v>0</v>
      </c>
      <c r="K62" t="str">
        <f ca="1">IF(A62="","",IF(COUNTIFS('03_Planificacion'!$B$5:$B$84,B62,'03_Planificacion'!$C$5:$C$84,D62)&gt;0,"SÍ","NO"))</f>
        <v>NO</v>
      </c>
      <c r="L62">
        <v>0</v>
      </c>
      <c r="N62" t="str">
        <f t="shared" ca="1" si="0"/>
        <v>N15 - N16|01 Replanteo - Marcación de tramo de cañería principal</v>
      </c>
    </row>
    <row r="63" spans="1:14" hidden="1">
      <c r="A63" t="str">
        <f ca="1"/>
        <v>PP-59</v>
      </c>
      <c r="B63" t="str">
        <f ca="1"/>
        <v>N15 - N16</v>
      </c>
      <c r="C63" t="str">
        <f ca="1"/>
        <v>AG-03</v>
      </c>
      <c r="D63" t="str">
        <f ca="1"/>
        <v>02 Excavación - Zanja principal</v>
      </c>
      <c r="E63" t="str">
        <f ca="1"/>
        <v>m</v>
      </c>
      <c r="F63">
        <f ca="1"/>
        <v>7</v>
      </c>
      <c r="G63" t="str">
        <f ca="1"/>
        <v>Pasaje N°2</v>
      </c>
      <c r="H63">
        <f ca="1"/>
        <v>110</v>
      </c>
      <c r="I63">
        <f ca="1"/>
        <v>0</v>
      </c>
      <c r="J63">
        <f ca="1"/>
        <v>0</v>
      </c>
      <c r="K63" t="str">
        <f ca="1">IF(A63="","",IF(COUNTIFS('03_Planificacion'!$B$5:$B$84,B63,'03_Planificacion'!$C$5:$C$84,D63)&gt;0,"SÍ","NO"))</f>
        <v>NO</v>
      </c>
      <c r="L63">
        <v>0</v>
      </c>
      <c r="N63" t="str">
        <f t="shared" ca="1" si="0"/>
        <v>N15 - N16|02 Excavación - Zanja principal</v>
      </c>
    </row>
    <row r="64" spans="1:14" hidden="1">
      <c r="A64" t="str">
        <f ca="1"/>
        <v>PP-60</v>
      </c>
      <c r="B64" t="str">
        <f ca="1"/>
        <v>N15 - N16</v>
      </c>
      <c r="C64" t="str">
        <f ca="1"/>
        <v>AG-05</v>
      </c>
      <c r="D64" t="str">
        <f ca="1"/>
        <v>03 Base de asiento - Nivelación de fondo de zanja</v>
      </c>
      <c r="E64" t="str">
        <f ca="1"/>
        <v>m</v>
      </c>
      <c r="F64">
        <f ca="1"/>
        <v>7</v>
      </c>
      <c r="G64" t="str">
        <f ca="1"/>
        <v>Pasaje N°2</v>
      </c>
      <c r="H64">
        <f ca="1"/>
        <v>110</v>
      </c>
      <c r="I64">
        <f ca="1"/>
        <v>0</v>
      </c>
      <c r="J64">
        <f ca="1"/>
        <v>0</v>
      </c>
      <c r="K64" t="str">
        <f ca="1">IF(A64="","",IF(COUNTIFS('03_Planificacion'!$B$5:$B$84,B64,'03_Planificacion'!$C$5:$C$84,D64)&gt;0,"SÍ","NO"))</f>
        <v>NO</v>
      </c>
      <c r="L64">
        <v>0</v>
      </c>
      <c r="N64" t="str">
        <f t="shared" ca="1" si="0"/>
        <v>N15 - N16|03 Base de asiento - Nivelación de fondo de zanja</v>
      </c>
    </row>
    <row r="65" spans="1:14" hidden="1">
      <c r="A65" t="str">
        <f ca="1"/>
        <v>PP-61</v>
      </c>
      <c r="B65" t="str">
        <f ca="1"/>
        <v>N15 - N16</v>
      </c>
      <c r="C65" t="str">
        <f ca="1"/>
        <v>AG-06</v>
      </c>
      <c r="D65" t="str">
        <f ca="1"/>
        <v>03 Base de asiento - Aporte de material base e=0,10 m</v>
      </c>
      <c r="E65" t="str">
        <f ca="1"/>
        <v>m</v>
      </c>
      <c r="F65">
        <f ca="1"/>
        <v>7</v>
      </c>
      <c r="G65" t="str">
        <f ca="1"/>
        <v>Pasaje N°2</v>
      </c>
      <c r="H65">
        <f ca="1"/>
        <v>110</v>
      </c>
      <c r="I65">
        <f ca="1"/>
        <v>0</v>
      </c>
      <c r="J65">
        <f ca="1"/>
        <v>0</v>
      </c>
      <c r="K65" t="str">
        <f ca="1">IF(A65="","",IF(COUNTIFS('03_Planificacion'!$B$5:$B$84,B65,'03_Planificacion'!$C$5:$C$84,D65)&gt;0,"SÍ","NO"))</f>
        <v>NO</v>
      </c>
      <c r="L65">
        <v>0</v>
      </c>
      <c r="N65" t="str">
        <f t="shared" ca="1" si="0"/>
        <v>N15 - N16|03 Base de asiento - Aporte de material base e=0,10 m</v>
      </c>
    </row>
    <row r="66" spans="1:14" hidden="1">
      <c r="A66" t="str">
        <f ca="1"/>
        <v>PP-62</v>
      </c>
      <c r="B66" t="str">
        <f ca="1"/>
        <v>N15 - N16</v>
      </c>
      <c r="C66" t="str">
        <f ca="1"/>
        <v>AG-07</v>
      </c>
      <c r="D66" t="str">
        <f ca="1"/>
        <v>03 Base de asiento - Compactación</v>
      </c>
      <c r="E66" t="str">
        <f ca="1"/>
        <v>m</v>
      </c>
      <c r="F66">
        <f ca="1"/>
        <v>7</v>
      </c>
      <c r="G66" t="str">
        <f ca="1"/>
        <v>Pasaje N°2</v>
      </c>
      <c r="H66">
        <f ca="1"/>
        <v>110</v>
      </c>
      <c r="I66">
        <f ca="1"/>
        <v>0</v>
      </c>
      <c r="J66">
        <f ca="1"/>
        <v>0</v>
      </c>
      <c r="K66" t="str">
        <f ca="1">IF(A66="","",IF(COUNTIFS('03_Planificacion'!$B$5:$B$84,B66,'03_Planificacion'!$C$5:$C$84,D66)&gt;0,"SÍ","NO"))</f>
        <v>NO</v>
      </c>
      <c r="L66">
        <v>0</v>
      </c>
      <c r="N66" t="str">
        <f t="shared" ca="1" si="0"/>
        <v>N15 - N16|03 Base de asiento - Compactación</v>
      </c>
    </row>
    <row r="67" spans="1:14" hidden="1">
      <c r="A67" t="str">
        <f ca="1"/>
        <v>PP-63</v>
      </c>
      <c r="B67" t="str">
        <f ca="1"/>
        <v>N15 - N16</v>
      </c>
      <c r="C67" t="str">
        <f ca="1"/>
        <v>HI-02</v>
      </c>
      <c r="D67" t="str">
        <f ca="1"/>
        <v>04 Inspecciones previas - Zanja y materiales</v>
      </c>
      <c r="E67" t="str">
        <f ca="1"/>
        <v>tramo</v>
      </c>
      <c r="F67">
        <f ca="1"/>
        <v>1</v>
      </c>
      <c r="G67" t="str">
        <f ca="1"/>
        <v>Pasaje N°2</v>
      </c>
      <c r="H67">
        <f ca="1"/>
        <v>110</v>
      </c>
      <c r="I67">
        <f ca="1"/>
        <v>0</v>
      </c>
      <c r="J67">
        <f ca="1"/>
        <v>0</v>
      </c>
      <c r="K67" t="str">
        <f ca="1">IF(A67="","",IF(COUNTIFS('03_Planificacion'!$B$5:$B$84,B67,'03_Planificacion'!$C$5:$C$84,D67)&gt;0,"SÍ","NO"))</f>
        <v>NO</v>
      </c>
      <c r="L67">
        <v>0</v>
      </c>
      <c r="N67" t="str">
        <f t="shared" ca="1" si="0"/>
        <v>N15 - N16|04 Inspecciones previas - Zanja y materiales</v>
      </c>
    </row>
    <row r="68" spans="1:14" hidden="1">
      <c r="A68" t="str">
        <f ca="1"/>
        <v>PP-64</v>
      </c>
      <c r="B68" t="str">
        <f ca="1"/>
        <v>N15 - N16</v>
      </c>
      <c r="C68" t="str">
        <f ca="1"/>
        <v>AG-08</v>
      </c>
      <c r="D68" t="str">
        <f ca="1"/>
        <v>05 Tendido de cañería - Cañería principal</v>
      </c>
      <c r="E68" t="str">
        <f ca="1"/>
        <v>m</v>
      </c>
      <c r="F68">
        <f ca="1"/>
        <v>7</v>
      </c>
      <c r="G68" t="str">
        <f ca="1"/>
        <v>Pasaje N°2</v>
      </c>
      <c r="H68">
        <f ca="1"/>
        <v>110</v>
      </c>
      <c r="I68">
        <f ca="1"/>
        <v>0</v>
      </c>
      <c r="J68">
        <f ca="1"/>
        <v>0</v>
      </c>
      <c r="K68" t="str">
        <f ca="1">IF(A68="","",IF(COUNTIFS('03_Planificacion'!$B$5:$B$84,B68,'03_Planificacion'!$C$5:$C$84,D68)&gt;0,"SÍ","NO"))</f>
        <v>NO</v>
      </c>
      <c r="L68">
        <v>0</v>
      </c>
      <c r="N68" t="str">
        <f t="shared" ca="1" si="0"/>
        <v>N15 - N16|05 Tendido de cañería - Cañería principal</v>
      </c>
    </row>
    <row r="69" spans="1:14" hidden="1">
      <c r="A69" t="str">
        <f ca="1"/>
        <v>PP-65</v>
      </c>
      <c r="B69" t="str">
        <f ca="1"/>
        <v>N15 - N16</v>
      </c>
      <c r="C69" t="str">
        <f ca="1"/>
        <v>AG-09</v>
      </c>
      <c r="D69" t="str">
        <f ca="1"/>
        <v>05 Tendido de cañería - Relevamiento planialtimétrico</v>
      </c>
      <c r="E69" t="str">
        <f ca="1"/>
        <v>m</v>
      </c>
      <c r="F69">
        <f ca="1"/>
        <v>7</v>
      </c>
      <c r="G69" t="str">
        <f ca="1"/>
        <v>Pasaje N°2</v>
      </c>
      <c r="H69">
        <f ca="1"/>
        <v>110</v>
      </c>
      <c r="I69">
        <f ca="1"/>
        <v>0</v>
      </c>
      <c r="J69">
        <f ca="1"/>
        <v>0</v>
      </c>
      <c r="K69" t="str">
        <f ca="1">IF(A69="","",IF(COUNTIFS('03_Planificacion'!$B$5:$B$84,B69,'03_Planificacion'!$C$5:$C$84,D69)&gt;0,"SÍ","NO"))</f>
        <v>NO</v>
      </c>
      <c r="L69">
        <v>0</v>
      </c>
      <c r="N69" t="str">
        <f t="shared" ref="N69:N132" ca="1" si="1">IF(B69="","",B69&amp;"|"&amp;D69)</f>
        <v>N15 - N16|05 Tendido de cañería - Relevamiento planialtimétrico</v>
      </c>
    </row>
    <row r="70" spans="1:14" hidden="1">
      <c r="A70" t="str">
        <f ca="1"/>
        <v>PP-66</v>
      </c>
      <c r="B70" t="str">
        <f ca="1"/>
        <v>N15 - N16</v>
      </c>
      <c r="C70" t="str">
        <f ca="1"/>
        <v>AG-17</v>
      </c>
      <c r="D70" t="str">
        <f ca="1"/>
        <v>08 Prueba hidráulica - Preparación del sistema</v>
      </c>
      <c r="E70" t="str">
        <f ca="1"/>
        <v>tramo</v>
      </c>
      <c r="F70">
        <f ca="1"/>
        <v>1</v>
      </c>
      <c r="G70" t="str">
        <f ca="1"/>
        <v>Pasaje N°2</v>
      </c>
      <c r="H70">
        <f ca="1"/>
        <v>110</v>
      </c>
      <c r="I70">
        <f ca="1"/>
        <v>0</v>
      </c>
      <c r="J70">
        <f ca="1"/>
        <v>0</v>
      </c>
      <c r="K70" t="str">
        <f ca="1">IF(A70="","",IF(COUNTIFS('03_Planificacion'!$B$5:$B$84,B70,'03_Planificacion'!$C$5:$C$84,D70)&gt;0,"SÍ","NO"))</f>
        <v>NO</v>
      </c>
      <c r="L70">
        <v>0</v>
      </c>
      <c r="N70" t="str">
        <f t="shared" ca="1" si="1"/>
        <v>N15 - N16|08 Prueba hidráulica - Preparación del sistema</v>
      </c>
    </row>
    <row r="71" spans="1:14" hidden="1">
      <c r="A71" t="str">
        <f ca="1"/>
        <v>PP-67</v>
      </c>
      <c r="B71" t="str">
        <f ca="1"/>
        <v>N15 - N16</v>
      </c>
      <c r="C71" t="str">
        <f ca="1"/>
        <v>AG-18</v>
      </c>
      <c r="D71" t="str">
        <f ca="1"/>
        <v>08 Prueba hidráulica - Interna N° 1</v>
      </c>
      <c r="E71" t="str">
        <f ca="1"/>
        <v>tramo</v>
      </c>
      <c r="F71">
        <f ca="1"/>
        <v>1</v>
      </c>
      <c r="G71" t="str">
        <f ca="1"/>
        <v>Pasaje N°2</v>
      </c>
      <c r="H71">
        <f ca="1"/>
        <v>110</v>
      </c>
      <c r="I71">
        <f ca="1"/>
        <v>0</v>
      </c>
      <c r="J71">
        <f ca="1"/>
        <v>0</v>
      </c>
      <c r="K71" t="str">
        <f ca="1">IF(A71="","",IF(COUNTIFS('03_Planificacion'!$B$5:$B$84,B71,'03_Planificacion'!$C$5:$C$84,D71)&gt;0,"SÍ","NO"))</f>
        <v>NO</v>
      </c>
      <c r="L71">
        <v>0</v>
      </c>
      <c r="N71" t="str">
        <f t="shared" ca="1" si="1"/>
        <v>N15 - N16|08 Prueba hidráulica - Interna N° 1</v>
      </c>
    </row>
    <row r="72" spans="1:14" hidden="1">
      <c r="A72" t="str">
        <f ca="1"/>
        <v>PP-68</v>
      </c>
      <c r="B72" t="str">
        <f ca="1"/>
        <v>N15 - N16</v>
      </c>
      <c r="C72" t="str">
        <f ca="1"/>
        <v>AG-19</v>
      </c>
      <c r="D72" t="str">
        <f ca="1"/>
        <v>08 Prueba hidráulica - Interna N° 2</v>
      </c>
      <c r="E72" t="str">
        <f ca="1"/>
        <v>tramo</v>
      </c>
      <c r="F72">
        <f ca="1"/>
        <v>1</v>
      </c>
      <c r="G72" t="str">
        <f ca="1"/>
        <v>Pasaje N°2</v>
      </c>
      <c r="H72">
        <f ca="1"/>
        <v>110</v>
      </c>
      <c r="I72">
        <f ca="1"/>
        <v>0</v>
      </c>
      <c r="J72">
        <f ca="1"/>
        <v>0</v>
      </c>
      <c r="K72" t="str">
        <f ca="1">IF(A72="","",IF(COUNTIFS('03_Planificacion'!$B$5:$B$84,B72,'03_Planificacion'!$C$5:$C$84,D72)&gt;0,"SÍ","NO"))</f>
        <v>NO</v>
      </c>
      <c r="L72">
        <v>0</v>
      </c>
      <c r="N72" t="str">
        <f t="shared" ca="1" si="1"/>
        <v>N15 - N16|08 Prueba hidráulica - Interna N° 2</v>
      </c>
    </row>
    <row r="73" spans="1:14" hidden="1">
      <c r="A73" t="str">
        <f ca="1"/>
        <v>PP-69</v>
      </c>
      <c r="B73" t="str">
        <f ca="1"/>
        <v>N15 - N16</v>
      </c>
      <c r="C73" t="str">
        <f ca="1"/>
        <v>HI-03</v>
      </c>
      <c r="D73" t="str">
        <f ca="1"/>
        <v>08 Prueba hidráulica - Primera prueba oficial</v>
      </c>
      <c r="E73" t="str">
        <f ca="1"/>
        <v>tramo</v>
      </c>
      <c r="F73">
        <f ca="1"/>
        <v>1</v>
      </c>
      <c r="G73" t="str">
        <f ca="1"/>
        <v>Pasaje N°2</v>
      </c>
      <c r="H73">
        <f ca="1"/>
        <v>110</v>
      </c>
      <c r="I73">
        <f ca="1"/>
        <v>0</v>
      </c>
      <c r="J73">
        <f ca="1"/>
        <v>0</v>
      </c>
      <c r="K73" t="str">
        <f ca="1">IF(A73="","",IF(COUNTIFS('03_Planificacion'!$B$5:$B$84,B73,'03_Planificacion'!$C$5:$C$84,D73)&gt;0,"SÍ","NO"))</f>
        <v>NO</v>
      </c>
      <c r="L73">
        <v>0</v>
      </c>
      <c r="N73" t="str">
        <f t="shared" ca="1" si="1"/>
        <v>N15 - N16|08 Prueba hidráulica - Primera prueba oficial</v>
      </c>
    </row>
    <row r="74" spans="1:14" hidden="1">
      <c r="A74" t="str">
        <f ca="1"/>
        <v>PP-70</v>
      </c>
      <c r="B74" t="str">
        <f ca="1"/>
        <v>N15 - N17</v>
      </c>
      <c r="C74" t="str">
        <f ca="1"/>
        <v>AG-07</v>
      </c>
      <c r="D74" t="str">
        <f ca="1"/>
        <v>03 Base de asiento - Compactación</v>
      </c>
      <c r="E74" t="str">
        <f ca="1"/>
        <v>m</v>
      </c>
      <c r="F74">
        <f ca="1"/>
        <v>245</v>
      </c>
      <c r="G74" t="str">
        <f ca="1"/>
        <v>Pasaje N°2</v>
      </c>
      <c r="H74">
        <f ca="1"/>
        <v>110</v>
      </c>
      <c r="I74">
        <f ca="1"/>
        <v>0</v>
      </c>
      <c r="J74">
        <f ca="1"/>
        <v>0</v>
      </c>
      <c r="K74" t="str">
        <f ca="1">IF(A74="","",IF(COUNTIFS('03_Planificacion'!$B$5:$B$84,B74,'03_Planificacion'!$C$5:$C$84,D74)&gt;0,"SÍ","NO"))</f>
        <v>NO</v>
      </c>
      <c r="L74">
        <v>0</v>
      </c>
      <c r="N74" t="str">
        <f t="shared" ca="1" si="1"/>
        <v>N15 - N17|03 Base de asiento - Compactación</v>
      </c>
    </row>
    <row r="75" spans="1:14" hidden="1">
      <c r="A75" t="str">
        <f ca="1"/>
        <v>PP-71</v>
      </c>
      <c r="B75" t="str">
        <f ca="1"/>
        <v>N15 - N17</v>
      </c>
      <c r="C75" t="str">
        <f ca="1"/>
        <v>HI-01</v>
      </c>
      <c r="D75" t="str">
        <f ca="1"/>
        <v>04 Inspecciones previas - Laboratorio base de asiento</v>
      </c>
      <c r="E75" t="str">
        <f ca="1"/>
        <v>tramo</v>
      </c>
      <c r="F75">
        <f ca="1"/>
        <v>1</v>
      </c>
      <c r="G75" t="str">
        <f ca="1"/>
        <v>Pasaje N°2</v>
      </c>
      <c r="H75">
        <f ca="1"/>
        <v>110</v>
      </c>
      <c r="I75">
        <f ca="1"/>
        <v>0</v>
      </c>
      <c r="J75">
        <f ca="1"/>
        <v>0</v>
      </c>
      <c r="K75" t="str">
        <f ca="1">IF(A75="","",IF(COUNTIFS('03_Planificacion'!$B$5:$B$84,B75,'03_Planificacion'!$C$5:$C$84,D75)&gt;0,"SÍ","NO"))</f>
        <v>NO</v>
      </c>
      <c r="L75">
        <v>0</v>
      </c>
      <c r="N75" t="str">
        <f t="shared" ca="1" si="1"/>
        <v>N15 - N17|04 Inspecciones previas - Laboratorio base de asiento</v>
      </c>
    </row>
    <row r="76" spans="1:14" hidden="1">
      <c r="A76" t="str">
        <f ca="1"/>
        <v>PP-72</v>
      </c>
      <c r="B76" t="str">
        <f ca="1"/>
        <v>N15 - N17</v>
      </c>
      <c r="C76" t="str">
        <f ca="1"/>
        <v>HI-02</v>
      </c>
      <c r="D76" t="str">
        <f ca="1"/>
        <v>04 Inspecciones previas - Zanja y materiales</v>
      </c>
      <c r="E76" t="str">
        <f ca="1"/>
        <v>tramo</v>
      </c>
      <c r="F76">
        <f ca="1"/>
        <v>1</v>
      </c>
      <c r="G76" t="str">
        <f ca="1"/>
        <v>Pasaje N°2</v>
      </c>
      <c r="H76">
        <f ca="1"/>
        <v>110</v>
      </c>
      <c r="I76">
        <f ca="1"/>
        <v>0</v>
      </c>
      <c r="J76">
        <f ca="1"/>
        <v>0</v>
      </c>
      <c r="K76" t="str">
        <f ca="1">IF(A76="","",IF(COUNTIFS('03_Planificacion'!$B$5:$B$84,B76,'03_Planificacion'!$C$5:$C$84,D76)&gt;0,"SÍ","NO"))</f>
        <v>NO</v>
      </c>
      <c r="L76">
        <v>0</v>
      </c>
      <c r="N76" t="str">
        <f t="shared" ca="1" si="1"/>
        <v>N15 - N17|04 Inspecciones previas - Zanja y materiales</v>
      </c>
    </row>
    <row r="77" spans="1:14" hidden="1">
      <c r="A77" t="str">
        <f ca="1"/>
        <v>PP-73</v>
      </c>
      <c r="B77" t="str">
        <f ca="1"/>
        <v>N15 - N17</v>
      </c>
      <c r="C77" t="str">
        <f ca="1"/>
        <v>AG-08</v>
      </c>
      <c r="D77" t="str">
        <f ca="1"/>
        <v>05 Tendido de cañería - Cañería principal</v>
      </c>
      <c r="E77" t="str">
        <f ca="1"/>
        <v>m</v>
      </c>
      <c r="F77">
        <f ca="1"/>
        <v>245</v>
      </c>
      <c r="G77" t="str">
        <f ca="1"/>
        <v>Pasaje N°2</v>
      </c>
      <c r="H77">
        <f ca="1"/>
        <v>110</v>
      </c>
      <c r="I77">
        <f ca="1"/>
        <v>0</v>
      </c>
      <c r="J77">
        <f ca="1"/>
        <v>0</v>
      </c>
      <c r="K77" t="str">
        <f ca="1">IF(A77="","",IF(COUNTIFS('03_Planificacion'!$B$5:$B$84,B77,'03_Planificacion'!$C$5:$C$84,D77)&gt;0,"SÍ","NO"))</f>
        <v>NO</v>
      </c>
      <c r="L77">
        <v>0</v>
      </c>
      <c r="N77" t="str">
        <f t="shared" ca="1" si="1"/>
        <v>N15 - N17|05 Tendido de cañería - Cañería principal</v>
      </c>
    </row>
    <row r="78" spans="1:14" hidden="1">
      <c r="A78" t="str">
        <f ca="1"/>
        <v>PP-74</v>
      </c>
      <c r="B78" t="str">
        <f ca="1"/>
        <v>N15 - N17</v>
      </c>
      <c r="C78" t="str">
        <f ca="1"/>
        <v>AG-09</v>
      </c>
      <c r="D78" t="str">
        <f ca="1"/>
        <v>05 Tendido de cañería - Relevamiento planialtimétrico</v>
      </c>
      <c r="E78" t="str">
        <f ca="1"/>
        <v>m</v>
      </c>
      <c r="F78">
        <f ca="1"/>
        <v>245</v>
      </c>
      <c r="G78" t="str">
        <f ca="1"/>
        <v>Pasaje N°2</v>
      </c>
      <c r="H78">
        <f ca="1"/>
        <v>110</v>
      </c>
      <c r="I78">
        <f ca="1"/>
        <v>0</v>
      </c>
      <c r="J78">
        <f ca="1"/>
        <v>0</v>
      </c>
      <c r="K78" t="str">
        <f ca="1">IF(A78="","",IF(COUNTIFS('03_Planificacion'!$B$5:$B$84,B78,'03_Planificacion'!$C$5:$C$84,D78)&gt;0,"SÍ","NO"))</f>
        <v>NO</v>
      </c>
      <c r="L78">
        <v>0</v>
      </c>
      <c r="N78" t="str">
        <f t="shared" ca="1" si="1"/>
        <v>N15 - N17|05 Tendido de cañería - Relevamiento planialtimétrico</v>
      </c>
    </row>
    <row r="79" spans="1:14" hidden="1">
      <c r="A79" t="str">
        <f ca="1"/>
        <v>PP-75</v>
      </c>
      <c r="B79" t="str">
        <f ca="1"/>
        <v>N15 - N17</v>
      </c>
      <c r="C79" t="str">
        <f ca="1"/>
        <v>AG-17</v>
      </c>
      <c r="D79" t="str">
        <f ca="1"/>
        <v>08 Prueba hidráulica - Preparación del sistema</v>
      </c>
      <c r="E79" t="str">
        <f ca="1"/>
        <v>tramo</v>
      </c>
      <c r="F79">
        <f ca="1"/>
        <v>1</v>
      </c>
      <c r="G79" t="str">
        <f ca="1"/>
        <v>Pasaje N°2</v>
      </c>
      <c r="H79">
        <f ca="1"/>
        <v>110</v>
      </c>
      <c r="I79">
        <f ca="1"/>
        <v>0</v>
      </c>
      <c r="J79">
        <f ca="1"/>
        <v>0</v>
      </c>
      <c r="K79" t="str">
        <f ca="1">IF(A79="","",IF(COUNTIFS('03_Planificacion'!$B$5:$B$84,B79,'03_Planificacion'!$C$5:$C$84,D79)&gt;0,"SÍ","NO"))</f>
        <v>NO</v>
      </c>
      <c r="L79">
        <v>0</v>
      </c>
      <c r="N79" t="str">
        <f t="shared" ca="1" si="1"/>
        <v>N15 - N17|08 Prueba hidráulica - Preparación del sistema</v>
      </c>
    </row>
    <row r="80" spans="1:14" hidden="1">
      <c r="A80" t="str">
        <f ca="1"/>
        <v>PP-76</v>
      </c>
      <c r="B80" t="str">
        <f ca="1"/>
        <v>N15 - N17</v>
      </c>
      <c r="C80" t="str">
        <f ca="1"/>
        <v>AG-18</v>
      </c>
      <c r="D80" t="str">
        <f ca="1"/>
        <v>08 Prueba hidráulica - Interna N° 1</v>
      </c>
      <c r="E80" t="str">
        <f ca="1"/>
        <v>tramo</v>
      </c>
      <c r="F80">
        <f ca="1"/>
        <v>1</v>
      </c>
      <c r="G80" t="str">
        <f ca="1"/>
        <v>Pasaje N°2</v>
      </c>
      <c r="H80">
        <f ca="1"/>
        <v>110</v>
      </c>
      <c r="I80">
        <f ca="1"/>
        <v>0</v>
      </c>
      <c r="J80">
        <f ca="1"/>
        <v>0</v>
      </c>
      <c r="K80" t="str">
        <f ca="1">IF(A80="","",IF(COUNTIFS('03_Planificacion'!$B$5:$B$84,B80,'03_Planificacion'!$C$5:$C$84,D80)&gt;0,"SÍ","NO"))</f>
        <v>NO</v>
      </c>
      <c r="L80">
        <v>0</v>
      </c>
      <c r="N80" t="str">
        <f t="shared" ca="1" si="1"/>
        <v>N15 - N17|08 Prueba hidráulica - Interna N° 1</v>
      </c>
    </row>
    <row r="81" spans="1:14" hidden="1">
      <c r="A81" t="str">
        <f ca="1"/>
        <v>PP-77</v>
      </c>
      <c r="B81" t="str">
        <f ca="1"/>
        <v>N17 - N18</v>
      </c>
      <c r="C81" t="str">
        <f ca="1"/>
        <v>AG-07</v>
      </c>
      <c r="D81" t="str">
        <f ca="1"/>
        <v>03 Base de asiento - Compactación</v>
      </c>
      <c r="E81" t="str">
        <f ca="1"/>
        <v>m</v>
      </c>
      <c r="F81">
        <f ca="1"/>
        <v>24</v>
      </c>
      <c r="G81" t="str">
        <f ca="1"/>
        <v>Pasaje N°15</v>
      </c>
      <c r="H81">
        <f ca="1"/>
        <v>110</v>
      </c>
      <c r="I81">
        <f ca="1"/>
        <v>0</v>
      </c>
      <c r="J81">
        <f ca="1"/>
        <v>0</v>
      </c>
      <c r="K81" t="str">
        <f ca="1">IF(A81="","",IF(COUNTIFS('03_Planificacion'!$B$5:$B$84,B81,'03_Planificacion'!$C$5:$C$84,D81)&gt;0,"SÍ","NO"))</f>
        <v>NO</v>
      </c>
      <c r="L81">
        <v>0</v>
      </c>
      <c r="N81" t="str">
        <f t="shared" ca="1" si="1"/>
        <v>N17 - N18|03 Base de asiento - Compactación</v>
      </c>
    </row>
    <row r="82" spans="1:14" hidden="1">
      <c r="A82" t="str">
        <f ca="1"/>
        <v>PP-78</v>
      </c>
      <c r="B82" t="str">
        <f ca="1"/>
        <v>N17 - N18</v>
      </c>
      <c r="C82" t="str">
        <f ca="1"/>
        <v>HI-01</v>
      </c>
      <c r="D82" t="str">
        <f ca="1"/>
        <v>04 Inspecciones previas - Laboratorio base de asiento</v>
      </c>
      <c r="E82" t="str">
        <f ca="1"/>
        <v>tramo</v>
      </c>
      <c r="F82">
        <f ca="1"/>
        <v>1</v>
      </c>
      <c r="G82" t="str">
        <f ca="1"/>
        <v>Pasaje N°15</v>
      </c>
      <c r="H82">
        <f ca="1"/>
        <v>110</v>
      </c>
      <c r="I82">
        <f ca="1"/>
        <v>0</v>
      </c>
      <c r="J82">
        <f ca="1"/>
        <v>0</v>
      </c>
      <c r="K82" t="str">
        <f ca="1">IF(A82="","",IF(COUNTIFS('03_Planificacion'!$B$5:$B$84,B82,'03_Planificacion'!$C$5:$C$84,D82)&gt;0,"SÍ","NO"))</f>
        <v>NO</v>
      </c>
      <c r="L82">
        <v>0</v>
      </c>
      <c r="N82" t="str">
        <f t="shared" ca="1" si="1"/>
        <v>N17 - N18|04 Inspecciones previas - Laboratorio base de asiento</v>
      </c>
    </row>
    <row r="83" spans="1:14" hidden="1">
      <c r="A83" t="str">
        <f ca="1"/>
        <v>PP-79</v>
      </c>
      <c r="B83" t="str">
        <f ca="1"/>
        <v>N17 - N18</v>
      </c>
      <c r="C83" t="str">
        <f ca="1"/>
        <v>HI-02</v>
      </c>
      <c r="D83" t="str">
        <f ca="1"/>
        <v>04 Inspecciones previas - Zanja y materiales</v>
      </c>
      <c r="E83" t="str">
        <f ca="1"/>
        <v>tramo</v>
      </c>
      <c r="F83">
        <f ca="1"/>
        <v>1</v>
      </c>
      <c r="G83" t="str">
        <f ca="1"/>
        <v>Pasaje N°15</v>
      </c>
      <c r="H83">
        <f ca="1"/>
        <v>110</v>
      </c>
      <c r="I83">
        <f ca="1"/>
        <v>0</v>
      </c>
      <c r="J83">
        <f ca="1"/>
        <v>0</v>
      </c>
      <c r="K83" t="str">
        <f ca="1">IF(A83="","",IF(COUNTIFS('03_Planificacion'!$B$5:$B$84,B83,'03_Planificacion'!$C$5:$C$84,D83)&gt;0,"SÍ","NO"))</f>
        <v>NO</v>
      </c>
      <c r="L83">
        <v>0</v>
      </c>
      <c r="N83" t="str">
        <f t="shared" ca="1" si="1"/>
        <v>N17 - N18|04 Inspecciones previas - Zanja y materiales</v>
      </c>
    </row>
    <row r="84" spans="1:14" hidden="1">
      <c r="A84" t="str">
        <f ca="1"/>
        <v>PP-80</v>
      </c>
      <c r="B84" t="str">
        <f ca="1"/>
        <v>N17 - N18</v>
      </c>
      <c r="C84" t="str">
        <f ca="1"/>
        <v>AG-08</v>
      </c>
      <c r="D84" t="str">
        <f ca="1"/>
        <v>05 Tendido de cañería - Cañería principal</v>
      </c>
      <c r="E84" t="str">
        <f ca="1"/>
        <v>m</v>
      </c>
      <c r="F84">
        <f ca="1"/>
        <v>24</v>
      </c>
      <c r="G84" t="str">
        <f ca="1"/>
        <v>Pasaje N°15</v>
      </c>
      <c r="H84">
        <f ca="1"/>
        <v>110</v>
      </c>
      <c r="I84">
        <f ca="1"/>
        <v>0</v>
      </c>
      <c r="J84">
        <f ca="1"/>
        <v>0</v>
      </c>
      <c r="K84" t="str">
        <f ca="1">IF(A84="","",IF(COUNTIFS('03_Planificacion'!$B$5:$B$84,B84,'03_Planificacion'!$C$5:$C$84,D84)&gt;0,"SÍ","NO"))</f>
        <v>NO</v>
      </c>
      <c r="L84">
        <v>0</v>
      </c>
      <c r="N84" t="str">
        <f t="shared" ca="1" si="1"/>
        <v>N17 - N18|05 Tendido de cañería - Cañería principal</v>
      </c>
    </row>
    <row r="85" spans="1:14" hidden="1">
      <c r="A85" t="str">
        <f ca="1"/>
        <v>PP-81</v>
      </c>
      <c r="B85" t="str">
        <f ca="1"/>
        <v>N17 - N18</v>
      </c>
      <c r="C85" t="str">
        <f ca="1"/>
        <v>AG-09</v>
      </c>
      <c r="D85" t="str">
        <f ca="1"/>
        <v>05 Tendido de cañería - Relevamiento planialtimétrico</v>
      </c>
      <c r="E85" t="str">
        <f ca="1"/>
        <v>m</v>
      </c>
      <c r="F85">
        <f ca="1"/>
        <v>24</v>
      </c>
      <c r="G85" t="str">
        <f ca="1"/>
        <v>Pasaje N°15</v>
      </c>
      <c r="H85">
        <f ca="1"/>
        <v>110</v>
      </c>
      <c r="I85">
        <f ca="1"/>
        <v>0</v>
      </c>
      <c r="J85">
        <f ca="1"/>
        <v>0</v>
      </c>
      <c r="K85" t="str">
        <f ca="1">IF(A85="","",IF(COUNTIFS('03_Planificacion'!$B$5:$B$84,B85,'03_Planificacion'!$C$5:$C$84,D85)&gt;0,"SÍ","NO"))</f>
        <v>NO</v>
      </c>
      <c r="L85">
        <v>0</v>
      </c>
      <c r="N85" t="str">
        <f t="shared" ca="1" si="1"/>
        <v>N17 - N18|05 Tendido de cañería - Relevamiento planialtimétrico</v>
      </c>
    </row>
    <row r="86" spans="1:14" hidden="1">
      <c r="A86" t="str">
        <f ca="1"/>
        <v>PP-82</v>
      </c>
      <c r="B86" t="str">
        <f ca="1"/>
        <v>N17 - N18</v>
      </c>
      <c r="C86" t="str">
        <f ca="1"/>
        <v>AG-17</v>
      </c>
      <c r="D86" t="str">
        <f ca="1"/>
        <v>08 Prueba hidráulica - Preparación del sistema</v>
      </c>
      <c r="E86" t="str">
        <f ca="1"/>
        <v>tramo</v>
      </c>
      <c r="F86">
        <f ca="1"/>
        <v>1</v>
      </c>
      <c r="G86" t="str">
        <f ca="1"/>
        <v>Pasaje N°15</v>
      </c>
      <c r="H86">
        <f ca="1"/>
        <v>110</v>
      </c>
      <c r="I86">
        <f ca="1"/>
        <v>0</v>
      </c>
      <c r="J86">
        <f ca="1"/>
        <v>0</v>
      </c>
      <c r="K86" t="str">
        <f ca="1">IF(A86="","",IF(COUNTIFS('03_Planificacion'!$B$5:$B$84,B86,'03_Planificacion'!$C$5:$C$84,D86)&gt;0,"SÍ","NO"))</f>
        <v>NO</v>
      </c>
      <c r="L86">
        <v>0</v>
      </c>
      <c r="N86" t="str">
        <f t="shared" ca="1" si="1"/>
        <v>N17 - N18|08 Prueba hidráulica - Preparación del sistema</v>
      </c>
    </row>
    <row r="87" spans="1:14" hidden="1">
      <c r="A87" t="str">
        <f ca="1"/>
        <v>PP-83</v>
      </c>
      <c r="B87" t="str">
        <f ca="1"/>
        <v>N17 - N18</v>
      </c>
      <c r="C87" t="str">
        <f ca="1"/>
        <v>AG-18</v>
      </c>
      <c r="D87" t="str">
        <f ca="1"/>
        <v>08 Prueba hidráulica - Interna N° 1</v>
      </c>
      <c r="E87" t="str">
        <f ca="1"/>
        <v>tramo</v>
      </c>
      <c r="F87">
        <f ca="1"/>
        <v>1</v>
      </c>
      <c r="G87" t="str">
        <f ca="1"/>
        <v>Pasaje N°15</v>
      </c>
      <c r="H87">
        <f ca="1"/>
        <v>110</v>
      </c>
      <c r="I87">
        <f ca="1"/>
        <v>0</v>
      </c>
      <c r="J87">
        <f ca="1"/>
        <v>0</v>
      </c>
      <c r="K87" t="str">
        <f ca="1">IF(A87="","",IF(COUNTIFS('03_Planificacion'!$B$5:$B$84,B87,'03_Planificacion'!$C$5:$C$84,D87)&gt;0,"SÍ","NO"))</f>
        <v>NO</v>
      </c>
      <c r="L87">
        <v>0</v>
      </c>
      <c r="N87" t="str">
        <f t="shared" ca="1" si="1"/>
        <v>N17 - N18|08 Prueba hidráulica - Interna N° 1</v>
      </c>
    </row>
    <row r="88" spans="1:14" hidden="1">
      <c r="A88" t="str">
        <f ca="1"/>
        <v>PP-84</v>
      </c>
      <c r="B88" t="str">
        <f ca="1"/>
        <v>N18 - N19</v>
      </c>
      <c r="C88" t="str">
        <f ca="1"/>
        <v>AG-19</v>
      </c>
      <c r="D88" t="str">
        <f ca="1"/>
        <v>08 Prueba hidráulica - Interna N° 2</v>
      </c>
      <c r="E88" t="str">
        <f ca="1"/>
        <v>tramo</v>
      </c>
      <c r="F88">
        <f ca="1"/>
        <v>1</v>
      </c>
      <c r="G88" t="str">
        <f ca="1"/>
        <v>Pasaje N°2</v>
      </c>
      <c r="H88">
        <f ca="1"/>
        <v>110</v>
      </c>
      <c r="I88">
        <f ca="1"/>
        <v>0</v>
      </c>
      <c r="J88">
        <f ca="1"/>
        <v>0</v>
      </c>
      <c r="K88" t="str">
        <f ca="1">IF(A88="","",IF(COUNTIFS('03_Planificacion'!$B$5:$B$84,B88,'03_Planificacion'!$C$5:$C$84,D88)&gt;0,"SÍ","NO"))</f>
        <v>NO</v>
      </c>
      <c r="L88">
        <v>0</v>
      </c>
      <c r="N88" t="str">
        <f t="shared" ca="1" si="1"/>
        <v>N18 - N19|08 Prueba hidráulica - Interna N° 2</v>
      </c>
    </row>
    <row r="89" spans="1:14" hidden="1">
      <c r="A89" t="str">
        <f ca="1"/>
        <v>PP-85</v>
      </c>
      <c r="B89" t="str">
        <f ca="1"/>
        <v>N18 - N19</v>
      </c>
      <c r="C89" t="str">
        <f ca="1"/>
        <v>HI-03</v>
      </c>
      <c r="D89" t="str">
        <f ca="1"/>
        <v>08 Prueba hidráulica - Primera prueba oficial</v>
      </c>
      <c r="E89" t="str">
        <f ca="1"/>
        <v>tramo</v>
      </c>
      <c r="F89">
        <f ca="1"/>
        <v>1</v>
      </c>
      <c r="G89" t="str">
        <f ca="1"/>
        <v>Pasaje N°2</v>
      </c>
      <c r="H89">
        <f ca="1"/>
        <v>110</v>
      </c>
      <c r="I89">
        <f ca="1"/>
        <v>0</v>
      </c>
      <c r="J89">
        <f ca="1"/>
        <v>0</v>
      </c>
      <c r="K89" t="str">
        <f ca="1">IF(A89="","",IF(COUNTIFS('03_Planificacion'!$B$5:$B$84,B89,'03_Planificacion'!$C$5:$C$84,D89)&gt;0,"SÍ","NO"))</f>
        <v>NO</v>
      </c>
      <c r="L89">
        <v>0</v>
      </c>
      <c r="N89" t="str">
        <f t="shared" ca="1" si="1"/>
        <v>N18 - N19|08 Prueba hidráulica - Primera prueba oficial</v>
      </c>
    </row>
    <row r="90" spans="1:14" hidden="1">
      <c r="A90" t="str">
        <f ca="1"/>
        <v>PP-86</v>
      </c>
      <c r="B90" t="str">
        <f ca="1"/>
        <v>N18 - N19</v>
      </c>
      <c r="C90" t="str">
        <f ca="1"/>
        <v>AG-20</v>
      </c>
      <c r="D90" t="str">
        <f ca="1"/>
        <v>09 Paquete estructural - Aporte e=0,30 m</v>
      </c>
      <c r="E90" t="str">
        <f ca="1"/>
        <v>m</v>
      </c>
      <c r="F90">
        <f ca="1"/>
        <v>88</v>
      </c>
      <c r="G90" t="str">
        <f ca="1"/>
        <v>Pasaje N°2</v>
      </c>
      <c r="H90">
        <f ca="1"/>
        <v>110</v>
      </c>
      <c r="I90">
        <f ca="1"/>
        <v>0</v>
      </c>
      <c r="J90">
        <f ca="1"/>
        <v>0</v>
      </c>
      <c r="K90" t="str">
        <f ca="1">IF(A90="","",IF(COUNTIFS('03_Planificacion'!$B$5:$B$84,B90,'03_Planificacion'!$C$5:$C$84,D90)&gt;0,"SÍ","NO"))</f>
        <v>NO</v>
      </c>
      <c r="L90">
        <v>0</v>
      </c>
      <c r="N90" t="str">
        <f t="shared" ca="1" si="1"/>
        <v>N18 - N19|09 Paquete estructural - Aporte e=0,30 m</v>
      </c>
    </row>
    <row r="91" spans="1:14" hidden="1">
      <c r="A91" t="str">
        <f ca="1"/>
        <v>PP-87</v>
      </c>
      <c r="B91" t="str">
        <f ca="1"/>
        <v>N18 - N19</v>
      </c>
      <c r="C91" t="str">
        <f ca="1"/>
        <v>AG-21</v>
      </c>
      <c r="D91" t="str">
        <f ca="1"/>
        <v>09 Paquete estructural - Compactación</v>
      </c>
      <c r="E91" t="str">
        <f ca="1"/>
        <v>m</v>
      </c>
      <c r="F91">
        <f ca="1"/>
        <v>88</v>
      </c>
      <c r="G91" t="str">
        <f ca="1"/>
        <v>Pasaje N°2</v>
      </c>
      <c r="H91">
        <f ca="1"/>
        <v>110</v>
      </c>
      <c r="I91">
        <f ca="1"/>
        <v>0</v>
      </c>
      <c r="J91">
        <f ca="1"/>
        <v>0</v>
      </c>
      <c r="K91" t="str">
        <f ca="1">IF(A91="","",IF(COUNTIFS('03_Planificacion'!$B$5:$B$84,B91,'03_Planificacion'!$C$5:$C$84,D91)&gt;0,"SÍ","NO"))</f>
        <v>NO</v>
      </c>
      <c r="L91">
        <v>0</v>
      </c>
      <c r="N91" t="str">
        <f t="shared" ca="1" si="1"/>
        <v>N18 - N19|09 Paquete estructural - Compactación</v>
      </c>
    </row>
    <row r="92" spans="1:14" hidden="1">
      <c r="A92" t="str">
        <f ca="1"/>
        <v>PP-88</v>
      </c>
      <c r="B92" t="str">
        <f ca="1"/>
        <v>N18 - N19</v>
      </c>
      <c r="C92" t="str">
        <f ca="1"/>
        <v>HI-04</v>
      </c>
      <c r="D92" t="str">
        <f ca="1"/>
        <v>09 Paquete estructural - Inspección laboratorio</v>
      </c>
      <c r="E92" t="str">
        <f ca="1"/>
        <v>tramo</v>
      </c>
      <c r="F92">
        <f ca="1"/>
        <v>1</v>
      </c>
      <c r="G92" t="str">
        <f ca="1"/>
        <v>Pasaje N°2</v>
      </c>
      <c r="H92">
        <f ca="1"/>
        <v>110</v>
      </c>
      <c r="I92">
        <f ca="1"/>
        <v>0</v>
      </c>
      <c r="J92">
        <f ca="1"/>
        <v>0</v>
      </c>
      <c r="K92" t="str">
        <f ca="1">IF(A92="","",IF(COUNTIFS('03_Planificacion'!$B$5:$B$84,B92,'03_Planificacion'!$C$5:$C$84,D92)&gt;0,"SÍ","NO"))</f>
        <v>NO</v>
      </c>
      <c r="L92">
        <v>0</v>
      </c>
      <c r="N92" t="str">
        <f t="shared" ca="1" si="1"/>
        <v>N18 - N19|09 Paquete estructural - Inspección laboratorio</v>
      </c>
    </row>
    <row r="93" spans="1:14" hidden="1">
      <c r="A93" t="str">
        <f ca="1"/>
        <v>PP-89</v>
      </c>
      <c r="B93" t="str">
        <f ca="1"/>
        <v>N18 - N19</v>
      </c>
      <c r="C93" t="str">
        <f ca="1"/>
        <v>AG-22</v>
      </c>
      <c r="D93" t="str">
        <f ca="1"/>
        <v>10 Relleno -0,60 - Conformación de capa</v>
      </c>
      <c r="E93" t="str">
        <f ca="1"/>
        <v>m</v>
      </c>
      <c r="F93">
        <f ca="1"/>
        <v>88</v>
      </c>
      <c r="G93" t="str">
        <f ca="1"/>
        <v>Pasaje N°2</v>
      </c>
      <c r="H93">
        <f ca="1"/>
        <v>110</v>
      </c>
      <c r="I93">
        <f ca="1"/>
        <v>0</v>
      </c>
      <c r="J93">
        <f ca="1"/>
        <v>0</v>
      </c>
      <c r="K93" t="str">
        <f ca="1">IF(A93="","",IF(COUNTIFS('03_Planificacion'!$B$5:$B$84,B93,'03_Planificacion'!$C$5:$C$84,D93)&gt;0,"SÍ","NO"))</f>
        <v>NO</v>
      </c>
      <c r="L93">
        <v>0</v>
      </c>
      <c r="N93" t="str">
        <f t="shared" ca="1" si="1"/>
        <v>N18 - N19|10 Relleno -0,60 - Conformación de capa</v>
      </c>
    </row>
    <row r="94" spans="1:14" hidden="1">
      <c r="A94" t="str">
        <f ca="1"/>
        <v>PP-90</v>
      </c>
      <c r="B94" t="str">
        <f ca="1"/>
        <v>N18 - N19</v>
      </c>
      <c r="C94" t="str">
        <f ca="1"/>
        <v>AG-23</v>
      </c>
      <c r="D94" t="str">
        <f ca="1"/>
        <v>10 Relleno -0,60 - Humectación</v>
      </c>
      <c r="E94" t="str">
        <f ca="1"/>
        <v>m</v>
      </c>
      <c r="F94">
        <f ca="1"/>
        <v>88</v>
      </c>
      <c r="G94" t="str">
        <f ca="1"/>
        <v>Pasaje N°2</v>
      </c>
      <c r="H94">
        <f ca="1"/>
        <v>110</v>
      </c>
      <c r="I94">
        <f ca="1"/>
        <v>0</v>
      </c>
      <c r="J94">
        <f ca="1"/>
        <v>0</v>
      </c>
      <c r="K94" t="str">
        <f ca="1">IF(A94="","",IF(COUNTIFS('03_Planificacion'!$B$5:$B$84,B94,'03_Planificacion'!$C$5:$C$84,D94)&gt;0,"SÍ","NO"))</f>
        <v>NO</v>
      </c>
      <c r="L94">
        <v>0</v>
      </c>
      <c r="N94" t="str">
        <f t="shared" ca="1" si="1"/>
        <v>N18 - N19|10 Relleno -0,60 - Humectación</v>
      </c>
    </row>
    <row r="95" spans="1:14" hidden="1">
      <c r="A95" t="str">
        <f ca="1"/>
        <v>PP-91</v>
      </c>
      <c r="B95" t="str">
        <f ca="1"/>
        <v>N18 - N19</v>
      </c>
      <c r="C95" t="str">
        <f ca="1"/>
        <v>AG-24</v>
      </c>
      <c r="D95" t="str">
        <f ca="1"/>
        <v>10 Relleno -0,60 - Compactación</v>
      </c>
      <c r="E95" t="str">
        <f ca="1"/>
        <v>m</v>
      </c>
      <c r="F95">
        <f ca="1"/>
        <v>88</v>
      </c>
      <c r="G95" t="str">
        <f ca="1"/>
        <v>Pasaje N°2</v>
      </c>
      <c r="H95">
        <f ca="1"/>
        <v>110</v>
      </c>
      <c r="I95">
        <f ca="1"/>
        <v>0</v>
      </c>
      <c r="J95">
        <f ca="1"/>
        <v>0</v>
      </c>
      <c r="K95" t="str">
        <f ca="1">IF(A95="","",IF(COUNTIFS('03_Planificacion'!$B$5:$B$84,B95,'03_Planificacion'!$C$5:$C$84,D95)&gt;0,"SÍ","NO"))</f>
        <v>NO</v>
      </c>
      <c r="L95">
        <v>0</v>
      </c>
      <c r="N95" t="str">
        <f t="shared" ca="1" si="1"/>
        <v>N18 - N19|10 Relleno -0,60 - Compactación</v>
      </c>
    </row>
    <row r="96" spans="1:14" hidden="1">
      <c r="A96" t="str">
        <f ca="1"/>
        <v>PP-92</v>
      </c>
      <c r="B96" t="str">
        <f ca="1"/>
        <v>N18 - N19</v>
      </c>
      <c r="C96" t="str">
        <f ca="1"/>
        <v>HI-05</v>
      </c>
      <c r="D96" t="str">
        <f ca="1"/>
        <v>10 Relleno -0,60 - Inspección laboratorio</v>
      </c>
      <c r="E96" t="str">
        <f ca="1"/>
        <v>tramo</v>
      </c>
      <c r="F96">
        <f ca="1"/>
        <v>1</v>
      </c>
      <c r="G96" t="str">
        <f ca="1"/>
        <v>Pasaje N°2</v>
      </c>
      <c r="H96">
        <f ca="1"/>
        <v>110</v>
      </c>
      <c r="I96">
        <f ca="1"/>
        <v>0</v>
      </c>
      <c r="J96">
        <f ca="1"/>
        <v>0</v>
      </c>
      <c r="K96" t="str">
        <f ca="1">IF(A96="","",IF(COUNTIFS('03_Planificacion'!$B$5:$B$84,B96,'03_Planificacion'!$C$5:$C$84,D96)&gt;0,"SÍ","NO"))</f>
        <v>NO</v>
      </c>
      <c r="L96">
        <v>0</v>
      </c>
      <c r="N96" t="str">
        <f t="shared" ca="1" si="1"/>
        <v>N18 - N19|10 Relleno -0,60 - Inspección laboratorio</v>
      </c>
    </row>
    <row r="97" spans="1:14" hidden="1">
      <c r="A97" t="str">
        <f ca="1"/>
        <v>PP-93</v>
      </c>
      <c r="B97" t="str">
        <f ca="1"/>
        <v>N18 - N19</v>
      </c>
      <c r="C97" t="str">
        <f ca="1"/>
        <v>AG-25</v>
      </c>
      <c r="D97" t="str">
        <f ca="1"/>
        <v>11 Relleno -0,30 - Conformación de capa</v>
      </c>
      <c r="E97" t="str">
        <f ca="1"/>
        <v>m</v>
      </c>
      <c r="F97">
        <f ca="1"/>
        <v>88</v>
      </c>
      <c r="G97" t="str">
        <f ca="1"/>
        <v>Pasaje N°2</v>
      </c>
      <c r="H97">
        <f ca="1"/>
        <v>110</v>
      </c>
      <c r="I97">
        <f ca="1"/>
        <v>0</v>
      </c>
      <c r="J97">
        <f ca="1"/>
        <v>0</v>
      </c>
      <c r="K97" t="str">
        <f ca="1">IF(A97="","",IF(COUNTIFS('03_Planificacion'!$B$5:$B$84,B97,'03_Planificacion'!$C$5:$C$84,D97)&gt;0,"SÍ","NO"))</f>
        <v>NO</v>
      </c>
      <c r="L97">
        <v>0</v>
      </c>
      <c r="N97" t="str">
        <f t="shared" ca="1" si="1"/>
        <v>N18 - N19|11 Relleno -0,30 - Conformación de capa</v>
      </c>
    </row>
    <row r="98" spans="1:14" hidden="1">
      <c r="A98" t="str">
        <f ca="1"/>
        <v>PP-94</v>
      </c>
      <c r="B98" t="str">
        <f ca="1"/>
        <v>N18 - N19</v>
      </c>
      <c r="C98" t="str">
        <f ca="1"/>
        <v>AG-26</v>
      </c>
      <c r="D98" t="str">
        <f ca="1"/>
        <v>11 Relleno -0,30 - Humectación</v>
      </c>
      <c r="E98" t="str">
        <f ca="1"/>
        <v>m</v>
      </c>
      <c r="F98">
        <f ca="1"/>
        <v>88</v>
      </c>
      <c r="G98" t="str">
        <f ca="1"/>
        <v>Pasaje N°2</v>
      </c>
      <c r="H98">
        <f ca="1"/>
        <v>110</v>
      </c>
      <c r="I98">
        <f ca="1"/>
        <v>0</v>
      </c>
      <c r="J98">
        <f ca="1"/>
        <v>0</v>
      </c>
      <c r="K98" t="str">
        <f ca="1">IF(A98="","",IF(COUNTIFS('03_Planificacion'!$B$5:$B$84,B98,'03_Planificacion'!$C$5:$C$84,D98)&gt;0,"SÍ","NO"))</f>
        <v>NO</v>
      </c>
      <c r="L98">
        <v>0</v>
      </c>
      <c r="N98" t="str">
        <f t="shared" ca="1" si="1"/>
        <v>N18 - N19|11 Relleno -0,30 - Humectación</v>
      </c>
    </row>
    <row r="99" spans="1:14" hidden="1">
      <c r="A99" t="str">
        <f ca="1"/>
        <v>PP-95</v>
      </c>
      <c r="B99" t="str">
        <f ca="1"/>
        <v>N18 - N19</v>
      </c>
      <c r="C99" t="str">
        <f ca="1"/>
        <v>AG-27</v>
      </c>
      <c r="D99" t="str">
        <f ca="1"/>
        <v>11 Relleno -0,30 - Compactación</v>
      </c>
      <c r="E99" t="str">
        <f ca="1"/>
        <v>m</v>
      </c>
      <c r="F99">
        <f ca="1"/>
        <v>88</v>
      </c>
      <c r="G99" t="str">
        <f ca="1"/>
        <v>Pasaje N°2</v>
      </c>
      <c r="H99">
        <f ca="1"/>
        <v>110</v>
      </c>
      <c r="I99">
        <f ca="1"/>
        <v>0</v>
      </c>
      <c r="J99">
        <f ca="1"/>
        <v>0</v>
      </c>
      <c r="K99" t="str">
        <f ca="1">IF(A99="","",IF(COUNTIFS('03_Planificacion'!$B$5:$B$84,B99,'03_Planificacion'!$C$5:$C$84,D99)&gt;0,"SÍ","NO"))</f>
        <v>NO</v>
      </c>
      <c r="L99">
        <v>0</v>
      </c>
      <c r="N99" t="str">
        <f t="shared" ca="1" si="1"/>
        <v>N18 - N19|11 Relleno -0,30 - Compactación</v>
      </c>
    </row>
    <row r="100" spans="1:14" hidden="1">
      <c r="A100" t="str">
        <f ca="1"/>
        <v>PP-96</v>
      </c>
      <c r="B100" t="str">
        <f ca="1"/>
        <v>N18 - N19</v>
      </c>
      <c r="C100" t="str">
        <f ca="1"/>
        <v>HI-06</v>
      </c>
      <c r="D100" t="str">
        <f ca="1"/>
        <v>11 Relleno -0,30 - Inspección laboratorio</v>
      </c>
      <c r="E100" t="str">
        <f ca="1"/>
        <v>tramo</v>
      </c>
      <c r="F100">
        <f ca="1"/>
        <v>1</v>
      </c>
      <c r="G100" t="str">
        <f ca="1"/>
        <v>Pasaje N°2</v>
      </c>
      <c r="H100">
        <f ca="1"/>
        <v>110</v>
      </c>
      <c r="I100">
        <f ca="1"/>
        <v>0</v>
      </c>
      <c r="J100">
        <f ca="1"/>
        <v>0</v>
      </c>
      <c r="K100" t="str">
        <f ca="1">IF(A100="","",IF(COUNTIFS('03_Planificacion'!$B$5:$B$84,B100,'03_Planificacion'!$C$5:$C$84,D100)&gt;0,"SÍ","NO"))</f>
        <v>NO</v>
      </c>
      <c r="L100">
        <v>0</v>
      </c>
      <c r="N100" t="str">
        <f t="shared" ca="1" si="1"/>
        <v>N18 - N19|11 Relleno -0,30 - Inspección laboratorio</v>
      </c>
    </row>
    <row r="101" spans="1:14" hidden="1">
      <c r="A101" t="str">
        <f ca="1"/>
        <v>PP-97</v>
      </c>
      <c r="B101" t="str">
        <f ca="1"/>
        <v>N18 - N26</v>
      </c>
      <c r="C101" t="str">
        <f ca="1"/>
        <v>AG-19</v>
      </c>
      <c r="D101" t="str">
        <f ca="1"/>
        <v>08 Prueba hidráulica - Interna N° 2</v>
      </c>
      <c r="E101" t="str">
        <f ca="1"/>
        <v>tramo</v>
      </c>
      <c r="F101">
        <f ca="1"/>
        <v>1</v>
      </c>
      <c r="G101" t="str">
        <f ca="1"/>
        <v>Pasaje N°7</v>
      </c>
      <c r="H101">
        <f ca="1"/>
        <v>75</v>
      </c>
      <c r="I101">
        <f ca="1"/>
        <v>0</v>
      </c>
      <c r="J101">
        <f ca="1"/>
        <v>0</v>
      </c>
      <c r="K101" t="str">
        <f ca="1">IF(A101="","",IF(COUNTIFS('03_Planificacion'!$B$5:$B$84,B101,'03_Planificacion'!$C$5:$C$84,D101)&gt;0,"SÍ","NO"))</f>
        <v>SÍ</v>
      </c>
      <c r="L101">
        <v>0</v>
      </c>
      <c r="N101" t="str">
        <f t="shared" ca="1" si="1"/>
        <v>N18 - N26|08 Prueba hidráulica - Interna N° 2</v>
      </c>
    </row>
    <row r="102" spans="1:14" hidden="1">
      <c r="A102" t="str">
        <f ca="1"/>
        <v>PP-98</v>
      </c>
      <c r="B102" t="str">
        <f ca="1"/>
        <v>N18 - N26</v>
      </c>
      <c r="C102" t="str">
        <f ca="1"/>
        <v>HI-03</v>
      </c>
      <c r="D102" t="str">
        <f ca="1"/>
        <v>08 Prueba hidráulica - Primera prueba oficial</v>
      </c>
      <c r="E102" t="str">
        <f ca="1"/>
        <v>tramo</v>
      </c>
      <c r="F102">
        <f ca="1"/>
        <v>1</v>
      </c>
      <c r="G102" t="str">
        <f ca="1"/>
        <v>Pasaje N°7</v>
      </c>
      <c r="H102">
        <f ca="1"/>
        <v>75</v>
      </c>
      <c r="I102">
        <f ca="1"/>
        <v>0</v>
      </c>
      <c r="J102">
        <f ca="1"/>
        <v>0</v>
      </c>
      <c r="K102" t="str">
        <f ca="1">IF(A102="","",IF(COUNTIFS('03_Planificacion'!$B$5:$B$84,B102,'03_Planificacion'!$C$5:$C$84,D102)&gt;0,"SÍ","NO"))</f>
        <v>SÍ</v>
      </c>
      <c r="L102">
        <v>0</v>
      </c>
      <c r="N102" t="str">
        <f t="shared" ca="1" si="1"/>
        <v>N18 - N26|08 Prueba hidráulica - Primera prueba oficial</v>
      </c>
    </row>
    <row r="103" spans="1:14" hidden="1">
      <c r="A103" t="str">
        <f ca="1"/>
        <v>PP-99</v>
      </c>
      <c r="B103" t="str">
        <f ca="1"/>
        <v>N18 - N26</v>
      </c>
      <c r="C103" t="str">
        <f ca="1"/>
        <v>AG-20</v>
      </c>
      <c r="D103" t="str">
        <f ca="1"/>
        <v>09 Paquete estructural - Aporte e=0,30 m</v>
      </c>
      <c r="E103" t="str">
        <f ca="1"/>
        <v>m</v>
      </c>
      <c r="F103">
        <f ca="1"/>
        <v>113</v>
      </c>
      <c r="G103" t="str">
        <f ca="1"/>
        <v>Pasaje N°7</v>
      </c>
      <c r="H103">
        <f ca="1"/>
        <v>75</v>
      </c>
      <c r="I103">
        <f ca="1"/>
        <v>0</v>
      </c>
      <c r="J103">
        <f ca="1"/>
        <v>0</v>
      </c>
      <c r="K103" t="str">
        <f ca="1">IF(A103="","",IF(COUNTIFS('03_Planificacion'!$B$5:$B$84,B103,'03_Planificacion'!$C$5:$C$84,D103)&gt;0,"SÍ","NO"))</f>
        <v>NO</v>
      </c>
      <c r="L103">
        <v>0</v>
      </c>
      <c r="N103" t="str">
        <f t="shared" ca="1" si="1"/>
        <v>N18 - N26|09 Paquete estructural - Aporte e=0,30 m</v>
      </c>
    </row>
    <row r="104" spans="1:14" hidden="1">
      <c r="A104" t="str">
        <f ca="1"/>
        <v>PP-100</v>
      </c>
      <c r="B104" t="str">
        <f ca="1"/>
        <v>N18 - N26</v>
      </c>
      <c r="C104" t="str">
        <f ca="1"/>
        <v>AG-21</v>
      </c>
      <c r="D104" t="str">
        <f ca="1"/>
        <v>09 Paquete estructural - Compactación</v>
      </c>
      <c r="E104" t="str">
        <f ca="1"/>
        <v>m</v>
      </c>
      <c r="F104">
        <f ca="1"/>
        <v>113</v>
      </c>
      <c r="G104" t="str">
        <f ca="1"/>
        <v>Pasaje N°7</v>
      </c>
      <c r="H104">
        <f ca="1"/>
        <v>75</v>
      </c>
      <c r="I104">
        <f ca="1"/>
        <v>0</v>
      </c>
      <c r="J104">
        <f ca="1"/>
        <v>0</v>
      </c>
      <c r="K104" t="str">
        <f ca="1">IF(A104="","",IF(COUNTIFS('03_Planificacion'!$B$5:$B$84,B104,'03_Planificacion'!$C$5:$C$84,D104)&gt;0,"SÍ","NO"))</f>
        <v>NO</v>
      </c>
      <c r="L104">
        <v>0</v>
      </c>
      <c r="N104" t="str">
        <f t="shared" ca="1" si="1"/>
        <v>N18 - N26|09 Paquete estructural - Compactación</v>
      </c>
    </row>
    <row r="105" spans="1:14" hidden="1">
      <c r="A105" t="str">
        <f ca="1"/>
        <v>PP-101</v>
      </c>
      <c r="B105" t="str">
        <f ca="1"/>
        <v>N18 - N26</v>
      </c>
      <c r="C105" t="str">
        <f ca="1"/>
        <v>HI-04</v>
      </c>
      <c r="D105" t="str">
        <f ca="1"/>
        <v>09 Paquete estructural - Inspección laboratorio</v>
      </c>
      <c r="E105" t="str">
        <f ca="1"/>
        <v>tramo</v>
      </c>
      <c r="F105">
        <f ca="1"/>
        <v>1</v>
      </c>
      <c r="G105" t="str">
        <f ca="1"/>
        <v>Pasaje N°7</v>
      </c>
      <c r="H105">
        <f ca="1"/>
        <v>75</v>
      </c>
      <c r="I105">
        <f ca="1"/>
        <v>0</v>
      </c>
      <c r="J105">
        <f ca="1"/>
        <v>0</v>
      </c>
      <c r="K105" t="str">
        <f ca="1">IF(A105="","",IF(COUNTIFS('03_Planificacion'!$B$5:$B$84,B105,'03_Planificacion'!$C$5:$C$84,D105)&gt;0,"SÍ","NO"))</f>
        <v>NO</v>
      </c>
      <c r="L105">
        <v>0</v>
      </c>
      <c r="N105" t="str">
        <f t="shared" ca="1" si="1"/>
        <v>N18 - N26|09 Paquete estructural - Inspección laboratorio</v>
      </c>
    </row>
    <row r="106" spans="1:14" hidden="1">
      <c r="A106" t="str">
        <f ca="1"/>
        <v>PP-102</v>
      </c>
      <c r="B106" t="str">
        <f ca="1"/>
        <v>N18 - N26</v>
      </c>
      <c r="C106" t="str">
        <f ca="1"/>
        <v>AG-22</v>
      </c>
      <c r="D106" t="str">
        <f ca="1"/>
        <v>10 Relleno -0,60 - Conformación de capa</v>
      </c>
      <c r="E106" t="str">
        <f ca="1"/>
        <v>m</v>
      </c>
      <c r="F106">
        <f ca="1"/>
        <v>113</v>
      </c>
      <c r="G106" t="str">
        <f ca="1"/>
        <v>Pasaje N°7</v>
      </c>
      <c r="H106">
        <f ca="1"/>
        <v>75</v>
      </c>
      <c r="I106">
        <f ca="1"/>
        <v>0</v>
      </c>
      <c r="J106">
        <f ca="1"/>
        <v>0</v>
      </c>
      <c r="K106" t="str">
        <f ca="1">IF(A106="","",IF(COUNTIFS('03_Planificacion'!$B$5:$B$84,B106,'03_Planificacion'!$C$5:$C$84,D106)&gt;0,"SÍ","NO"))</f>
        <v>NO</v>
      </c>
      <c r="L106">
        <v>0</v>
      </c>
      <c r="N106" t="str">
        <f t="shared" ca="1" si="1"/>
        <v>N18 - N26|10 Relleno -0,60 - Conformación de capa</v>
      </c>
    </row>
    <row r="107" spans="1:14" hidden="1">
      <c r="A107" t="str">
        <f ca="1"/>
        <v>PP-103</v>
      </c>
      <c r="B107" t="str">
        <f ca="1"/>
        <v>N18 - N26</v>
      </c>
      <c r="C107" t="str">
        <f ca="1"/>
        <v>AG-23</v>
      </c>
      <c r="D107" t="str">
        <f ca="1"/>
        <v>10 Relleno -0,60 - Humectación</v>
      </c>
      <c r="E107" t="str">
        <f ca="1"/>
        <v>m</v>
      </c>
      <c r="F107">
        <f ca="1"/>
        <v>113</v>
      </c>
      <c r="G107" t="str">
        <f ca="1"/>
        <v>Pasaje N°7</v>
      </c>
      <c r="H107">
        <f ca="1"/>
        <v>75</v>
      </c>
      <c r="I107">
        <f ca="1"/>
        <v>0</v>
      </c>
      <c r="J107">
        <f ca="1"/>
        <v>0</v>
      </c>
      <c r="K107" t="str">
        <f ca="1">IF(A107="","",IF(COUNTIFS('03_Planificacion'!$B$5:$B$84,B107,'03_Planificacion'!$C$5:$C$84,D107)&gt;0,"SÍ","NO"))</f>
        <v>NO</v>
      </c>
      <c r="L107">
        <v>0</v>
      </c>
      <c r="N107" t="str">
        <f t="shared" ca="1" si="1"/>
        <v>N18 - N26|10 Relleno -0,60 - Humectación</v>
      </c>
    </row>
    <row r="108" spans="1:14" hidden="1">
      <c r="A108" t="str">
        <f ca="1"/>
        <v>PP-104</v>
      </c>
      <c r="B108" t="str">
        <f ca="1"/>
        <v>N18 - N26</v>
      </c>
      <c r="C108" t="str">
        <f ca="1"/>
        <v>AG-24</v>
      </c>
      <c r="D108" t="str">
        <f ca="1"/>
        <v>10 Relleno -0,60 - Compactación</v>
      </c>
      <c r="E108" t="str">
        <f ca="1"/>
        <v>m</v>
      </c>
      <c r="F108">
        <f ca="1"/>
        <v>113</v>
      </c>
      <c r="G108" t="str">
        <f ca="1"/>
        <v>Pasaje N°7</v>
      </c>
      <c r="H108">
        <f ca="1"/>
        <v>75</v>
      </c>
      <c r="I108">
        <f ca="1"/>
        <v>0</v>
      </c>
      <c r="J108">
        <f ca="1"/>
        <v>0</v>
      </c>
      <c r="K108" t="str">
        <f ca="1">IF(A108="","",IF(COUNTIFS('03_Planificacion'!$B$5:$B$84,B108,'03_Planificacion'!$C$5:$C$84,D108)&gt;0,"SÍ","NO"))</f>
        <v>NO</v>
      </c>
      <c r="L108">
        <v>0</v>
      </c>
      <c r="N108" t="str">
        <f t="shared" ca="1" si="1"/>
        <v>N18 - N26|10 Relleno -0,60 - Compactación</v>
      </c>
    </row>
    <row r="109" spans="1:14" hidden="1">
      <c r="A109" t="str">
        <f ca="1"/>
        <v>PP-105</v>
      </c>
      <c r="B109" t="str">
        <f ca="1"/>
        <v>N18 - N26</v>
      </c>
      <c r="C109" t="str">
        <f ca="1"/>
        <v>HI-05</v>
      </c>
      <c r="D109" t="str">
        <f ca="1"/>
        <v>10 Relleno -0,60 - Inspección laboratorio</v>
      </c>
      <c r="E109" t="str">
        <f ca="1"/>
        <v>tramo</v>
      </c>
      <c r="F109">
        <f ca="1"/>
        <v>1</v>
      </c>
      <c r="G109" t="str">
        <f ca="1"/>
        <v>Pasaje N°7</v>
      </c>
      <c r="H109">
        <f ca="1"/>
        <v>75</v>
      </c>
      <c r="I109">
        <f ca="1"/>
        <v>0</v>
      </c>
      <c r="J109">
        <f ca="1"/>
        <v>0</v>
      </c>
      <c r="K109" t="str">
        <f ca="1">IF(A109="","",IF(COUNTIFS('03_Planificacion'!$B$5:$B$84,B109,'03_Planificacion'!$C$5:$C$84,D109)&gt;0,"SÍ","NO"))</f>
        <v>NO</v>
      </c>
      <c r="L109">
        <v>0</v>
      </c>
      <c r="N109" t="str">
        <f t="shared" ca="1" si="1"/>
        <v>N18 - N26|10 Relleno -0,60 - Inspección laboratorio</v>
      </c>
    </row>
    <row r="110" spans="1:14" hidden="1">
      <c r="A110" t="str">
        <f ca="1"/>
        <v>PP-106</v>
      </c>
      <c r="B110" t="str">
        <f ca="1"/>
        <v>N18 - N26</v>
      </c>
      <c r="C110" t="str">
        <f ca="1"/>
        <v>AG-25</v>
      </c>
      <c r="D110" t="str">
        <f ca="1"/>
        <v>11 Relleno -0,30 - Conformación de capa</v>
      </c>
      <c r="E110" t="str">
        <f ca="1"/>
        <v>m</v>
      </c>
      <c r="F110">
        <f ca="1"/>
        <v>113</v>
      </c>
      <c r="G110" t="str">
        <f ca="1"/>
        <v>Pasaje N°7</v>
      </c>
      <c r="H110">
        <f ca="1"/>
        <v>75</v>
      </c>
      <c r="I110">
        <f ca="1"/>
        <v>0</v>
      </c>
      <c r="J110">
        <f ca="1"/>
        <v>0</v>
      </c>
      <c r="K110" t="str">
        <f ca="1">IF(A110="","",IF(COUNTIFS('03_Planificacion'!$B$5:$B$84,B110,'03_Planificacion'!$C$5:$C$84,D110)&gt;0,"SÍ","NO"))</f>
        <v>NO</v>
      </c>
      <c r="L110">
        <v>0</v>
      </c>
      <c r="N110" t="str">
        <f t="shared" ca="1" si="1"/>
        <v>N18 - N26|11 Relleno -0,30 - Conformación de capa</v>
      </c>
    </row>
    <row r="111" spans="1:14" hidden="1">
      <c r="A111" t="str">
        <f ca="1"/>
        <v>PP-107</v>
      </c>
      <c r="B111" t="str">
        <f ca="1"/>
        <v>N18 - N26</v>
      </c>
      <c r="C111" t="str">
        <f ca="1"/>
        <v>AG-26</v>
      </c>
      <c r="D111" t="str">
        <f ca="1"/>
        <v>11 Relleno -0,30 - Humectación</v>
      </c>
      <c r="E111" t="str">
        <f ca="1"/>
        <v>m</v>
      </c>
      <c r="F111">
        <f ca="1"/>
        <v>113</v>
      </c>
      <c r="G111" t="str">
        <f ca="1"/>
        <v>Pasaje N°7</v>
      </c>
      <c r="H111">
        <f ca="1"/>
        <v>75</v>
      </c>
      <c r="I111">
        <f ca="1"/>
        <v>0</v>
      </c>
      <c r="J111">
        <f ca="1"/>
        <v>0</v>
      </c>
      <c r="K111" t="str">
        <f ca="1">IF(A111="","",IF(COUNTIFS('03_Planificacion'!$B$5:$B$84,B111,'03_Planificacion'!$C$5:$C$84,D111)&gt;0,"SÍ","NO"))</f>
        <v>NO</v>
      </c>
      <c r="L111">
        <v>0</v>
      </c>
      <c r="N111" t="str">
        <f t="shared" ca="1" si="1"/>
        <v>N18 - N26|11 Relleno -0,30 - Humectación</v>
      </c>
    </row>
    <row r="112" spans="1:14" hidden="1">
      <c r="A112" t="str">
        <f ca="1"/>
        <v>PP-108</v>
      </c>
      <c r="B112" t="str">
        <f ca="1"/>
        <v>N18 - N26</v>
      </c>
      <c r="C112" t="str">
        <f ca="1"/>
        <v>AG-27</v>
      </c>
      <c r="D112" t="str">
        <f ca="1"/>
        <v>11 Relleno -0,30 - Compactación</v>
      </c>
      <c r="E112" t="str">
        <f ca="1"/>
        <v>m</v>
      </c>
      <c r="F112">
        <f ca="1"/>
        <v>113</v>
      </c>
      <c r="G112" t="str">
        <f ca="1"/>
        <v>Pasaje N°7</v>
      </c>
      <c r="H112">
        <f ca="1"/>
        <v>75</v>
      </c>
      <c r="I112">
        <f ca="1"/>
        <v>0</v>
      </c>
      <c r="J112">
        <f ca="1"/>
        <v>0</v>
      </c>
      <c r="K112" t="str">
        <f ca="1">IF(A112="","",IF(COUNTIFS('03_Planificacion'!$B$5:$B$84,B112,'03_Planificacion'!$C$5:$C$84,D112)&gt;0,"SÍ","NO"))</f>
        <v>NO</v>
      </c>
      <c r="L112">
        <v>0</v>
      </c>
      <c r="N112" t="str">
        <f t="shared" ca="1" si="1"/>
        <v>N18 - N26|11 Relleno -0,30 - Compactación</v>
      </c>
    </row>
    <row r="113" spans="1:14" hidden="1">
      <c r="A113" t="str">
        <f ca="1"/>
        <v>PP-109</v>
      </c>
      <c r="B113" t="str">
        <f ca="1"/>
        <v>N18 - N26</v>
      </c>
      <c r="C113" t="str">
        <f ca="1"/>
        <v>HI-06</v>
      </c>
      <c r="D113" t="str">
        <f ca="1"/>
        <v>11 Relleno -0,30 - Inspección laboratorio</v>
      </c>
      <c r="E113" t="str">
        <f ca="1"/>
        <v>tramo</v>
      </c>
      <c r="F113">
        <f ca="1"/>
        <v>1</v>
      </c>
      <c r="G113" t="str">
        <f ca="1"/>
        <v>Pasaje N°7</v>
      </c>
      <c r="H113">
        <f ca="1"/>
        <v>75</v>
      </c>
      <c r="I113">
        <f ca="1"/>
        <v>0</v>
      </c>
      <c r="J113">
        <f ca="1"/>
        <v>0</v>
      </c>
      <c r="K113" t="str">
        <f ca="1">IF(A113="","",IF(COUNTIFS('03_Planificacion'!$B$5:$B$84,B113,'03_Planificacion'!$C$5:$C$84,D113)&gt;0,"SÍ","NO"))</f>
        <v>NO</v>
      </c>
      <c r="L113">
        <v>0</v>
      </c>
      <c r="N113" t="str">
        <f t="shared" ca="1" si="1"/>
        <v>N18 - N26|11 Relleno -0,30 - Inspección laboratorio</v>
      </c>
    </row>
    <row r="114" spans="1:14" hidden="1">
      <c r="A114" t="str">
        <f ca="1"/>
        <v>PP-110</v>
      </c>
      <c r="B114" t="str">
        <f ca="1"/>
        <v>N19 - N20</v>
      </c>
      <c r="C114" t="str">
        <f ca="1"/>
        <v>HI-03</v>
      </c>
      <c r="D114" t="str">
        <f ca="1"/>
        <v>08 Prueba hidráulica - Primera prueba oficial</v>
      </c>
      <c r="E114" t="str">
        <f ca="1"/>
        <v>tramo</v>
      </c>
      <c r="F114">
        <f ca="1"/>
        <v>1</v>
      </c>
      <c r="G114" t="str">
        <f ca="1"/>
        <v>Pasaje N°2</v>
      </c>
      <c r="H114">
        <f ca="1"/>
        <v>110</v>
      </c>
      <c r="I114">
        <f ca="1"/>
        <v>0</v>
      </c>
      <c r="J114">
        <f ca="1"/>
        <v>0</v>
      </c>
      <c r="K114" t="str">
        <f ca="1">IF(A114="","",IF(COUNTIFS('03_Planificacion'!$B$5:$B$84,B114,'03_Planificacion'!$C$5:$C$84,D114)&gt;0,"SÍ","NO"))</f>
        <v>SÍ</v>
      </c>
      <c r="L114">
        <v>0</v>
      </c>
      <c r="N114" t="str">
        <f t="shared" ca="1" si="1"/>
        <v>N19 - N20|08 Prueba hidráulica - Primera prueba oficial</v>
      </c>
    </row>
    <row r="115" spans="1:14" hidden="1">
      <c r="A115" t="str">
        <f ca="1"/>
        <v>PP-111</v>
      </c>
      <c r="B115" t="str">
        <f ca="1"/>
        <v>N19 - N20</v>
      </c>
      <c r="C115" t="str">
        <f ca="1"/>
        <v>AG-20</v>
      </c>
      <c r="D115" t="str">
        <f ca="1"/>
        <v>09 Paquete estructural - Aporte e=0,30 m</v>
      </c>
      <c r="E115" t="str">
        <f ca="1"/>
        <v>m</v>
      </c>
      <c r="F115">
        <f ca="1"/>
        <v>77</v>
      </c>
      <c r="G115" t="str">
        <f ca="1"/>
        <v>Pasaje N°2</v>
      </c>
      <c r="H115">
        <f ca="1"/>
        <v>110</v>
      </c>
      <c r="I115">
        <f ca="1"/>
        <v>0</v>
      </c>
      <c r="J115">
        <f ca="1"/>
        <v>0</v>
      </c>
      <c r="K115" t="str">
        <f ca="1">IF(A115="","",IF(COUNTIFS('03_Planificacion'!$B$5:$B$84,B115,'03_Planificacion'!$C$5:$C$84,D115)&gt;0,"SÍ","NO"))</f>
        <v>NO</v>
      </c>
      <c r="L115">
        <v>0</v>
      </c>
      <c r="N115" t="str">
        <f t="shared" ca="1" si="1"/>
        <v>N19 - N20|09 Paquete estructural - Aporte e=0,30 m</v>
      </c>
    </row>
    <row r="116" spans="1:14" hidden="1">
      <c r="A116" t="str">
        <f ca="1"/>
        <v>PP-112</v>
      </c>
      <c r="B116" t="str">
        <f ca="1"/>
        <v>N19 - N20</v>
      </c>
      <c r="C116" t="str">
        <f ca="1"/>
        <v>AG-21</v>
      </c>
      <c r="D116" t="str">
        <f ca="1"/>
        <v>09 Paquete estructural - Compactación</v>
      </c>
      <c r="E116" t="str">
        <f ca="1"/>
        <v>m</v>
      </c>
      <c r="F116">
        <f ca="1"/>
        <v>77</v>
      </c>
      <c r="G116" t="str">
        <f ca="1"/>
        <v>Pasaje N°2</v>
      </c>
      <c r="H116">
        <f ca="1"/>
        <v>110</v>
      </c>
      <c r="I116">
        <f ca="1"/>
        <v>0</v>
      </c>
      <c r="J116">
        <f ca="1"/>
        <v>0</v>
      </c>
      <c r="K116" t="str">
        <f ca="1">IF(A116="","",IF(COUNTIFS('03_Planificacion'!$B$5:$B$84,B116,'03_Planificacion'!$C$5:$C$84,D116)&gt;0,"SÍ","NO"))</f>
        <v>NO</v>
      </c>
      <c r="L116">
        <v>0</v>
      </c>
      <c r="N116" t="str">
        <f t="shared" ca="1" si="1"/>
        <v>N19 - N20|09 Paquete estructural - Compactación</v>
      </c>
    </row>
    <row r="117" spans="1:14" hidden="1">
      <c r="A117" t="str">
        <f ca="1"/>
        <v>PP-113</v>
      </c>
      <c r="B117" t="str">
        <f ca="1"/>
        <v>N19 - N20</v>
      </c>
      <c r="C117" t="str">
        <f ca="1"/>
        <v>HI-04</v>
      </c>
      <c r="D117" t="str">
        <f ca="1"/>
        <v>09 Paquete estructural - Inspección laboratorio</v>
      </c>
      <c r="E117" t="str">
        <f ca="1"/>
        <v>tramo</v>
      </c>
      <c r="F117">
        <f ca="1"/>
        <v>1</v>
      </c>
      <c r="G117" t="str">
        <f ca="1"/>
        <v>Pasaje N°2</v>
      </c>
      <c r="H117">
        <f ca="1"/>
        <v>110</v>
      </c>
      <c r="I117">
        <f ca="1"/>
        <v>0</v>
      </c>
      <c r="J117">
        <f ca="1"/>
        <v>0</v>
      </c>
      <c r="K117" t="str">
        <f ca="1">IF(A117="","",IF(COUNTIFS('03_Planificacion'!$B$5:$B$84,B117,'03_Planificacion'!$C$5:$C$84,D117)&gt;0,"SÍ","NO"))</f>
        <v>NO</v>
      </c>
      <c r="L117">
        <v>0</v>
      </c>
      <c r="N117" t="str">
        <f t="shared" ca="1" si="1"/>
        <v>N19 - N20|09 Paquete estructural - Inspección laboratorio</v>
      </c>
    </row>
    <row r="118" spans="1:14" hidden="1">
      <c r="A118" t="str">
        <f ca="1"/>
        <v>PP-114</v>
      </c>
      <c r="B118" t="str">
        <f ca="1"/>
        <v>N19 - N20</v>
      </c>
      <c r="C118" t="str">
        <f ca="1"/>
        <v>AG-22</v>
      </c>
      <c r="D118" t="str">
        <f ca="1"/>
        <v>10 Relleno -0,60 - Conformación de capa</v>
      </c>
      <c r="E118" t="str">
        <f ca="1"/>
        <v>m</v>
      </c>
      <c r="F118">
        <f ca="1"/>
        <v>77</v>
      </c>
      <c r="G118" t="str">
        <f ca="1"/>
        <v>Pasaje N°2</v>
      </c>
      <c r="H118">
        <f ca="1"/>
        <v>110</v>
      </c>
      <c r="I118">
        <f ca="1"/>
        <v>0</v>
      </c>
      <c r="J118">
        <f ca="1"/>
        <v>0</v>
      </c>
      <c r="K118" t="str">
        <f ca="1">IF(A118="","",IF(COUNTIFS('03_Planificacion'!$B$5:$B$84,B118,'03_Planificacion'!$C$5:$C$84,D118)&gt;0,"SÍ","NO"))</f>
        <v>NO</v>
      </c>
      <c r="L118">
        <v>0</v>
      </c>
      <c r="N118" t="str">
        <f t="shared" ca="1" si="1"/>
        <v>N19 - N20|10 Relleno -0,60 - Conformación de capa</v>
      </c>
    </row>
    <row r="119" spans="1:14" hidden="1">
      <c r="A119" t="str">
        <f ca="1"/>
        <v>PP-115</v>
      </c>
      <c r="B119" t="str">
        <f ca="1"/>
        <v>N19 - N20</v>
      </c>
      <c r="C119" t="str">
        <f ca="1"/>
        <v>AG-23</v>
      </c>
      <c r="D119" t="str">
        <f ca="1"/>
        <v>10 Relleno -0,60 - Humectación</v>
      </c>
      <c r="E119" t="str">
        <f ca="1"/>
        <v>m</v>
      </c>
      <c r="F119">
        <f ca="1"/>
        <v>77</v>
      </c>
      <c r="G119" t="str">
        <f ca="1"/>
        <v>Pasaje N°2</v>
      </c>
      <c r="H119">
        <f ca="1"/>
        <v>110</v>
      </c>
      <c r="I119">
        <f ca="1"/>
        <v>0</v>
      </c>
      <c r="J119">
        <f ca="1"/>
        <v>0</v>
      </c>
      <c r="K119" t="str">
        <f ca="1">IF(A119="","",IF(COUNTIFS('03_Planificacion'!$B$5:$B$84,B119,'03_Planificacion'!$C$5:$C$84,D119)&gt;0,"SÍ","NO"))</f>
        <v>NO</v>
      </c>
      <c r="L119">
        <v>0</v>
      </c>
      <c r="N119" t="str">
        <f t="shared" ca="1" si="1"/>
        <v>N19 - N20|10 Relleno -0,60 - Humectación</v>
      </c>
    </row>
    <row r="120" spans="1:14" hidden="1">
      <c r="A120" t="str">
        <f ca="1"/>
        <v>PP-116</v>
      </c>
      <c r="B120" t="str">
        <f ca="1"/>
        <v>N19 - N20</v>
      </c>
      <c r="C120" t="str">
        <f ca="1"/>
        <v>AG-24</v>
      </c>
      <c r="D120" t="str">
        <f ca="1"/>
        <v>10 Relleno -0,60 - Compactación</v>
      </c>
      <c r="E120" t="str">
        <f ca="1"/>
        <v>m</v>
      </c>
      <c r="F120">
        <f ca="1"/>
        <v>77</v>
      </c>
      <c r="G120" t="str">
        <f ca="1"/>
        <v>Pasaje N°2</v>
      </c>
      <c r="H120">
        <f ca="1"/>
        <v>110</v>
      </c>
      <c r="I120">
        <f ca="1"/>
        <v>0</v>
      </c>
      <c r="J120">
        <f ca="1"/>
        <v>0</v>
      </c>
      <c r="K120" t="str">
        <f ca="1">IF(A120="","",IF(COUNTIFS('03_Planificacion'!$B$5:$B$84,B120,'03_Planificacion'!$C$5:$C$84,D120)&gt;0,"SÍ","NO"))</f>
        <v>NO</v>
      </c>
      <c r="L120">
        <v>0</v>
      </c>
      <c r="N120" t="str">
        <f t="shared" ca="1" si="1"/>
        <v>N19 - N20|10 Relleno -0,60 - Compactación</v>
      </c>
    </row>
    <row r="121" spans="1:14" hidden="1">
      <c r="A121" t="str">
        <f ca="1"/>
        <v>PP-117</v>
      </c>
      <c r="B121" t="str">
        <f ca="1"/>
        <v>N19 - N20</v>
      </c>
      <c r="C121" t="str">
        <f ca="1"/>
        <v>HI-05</v>
      </c>
      <c r="D121" t="str">
        <f ca="1"/>
        <v>10 Relleno -0,60 - Inspección laboratorio</v>
      </c>
      <c r="E121" t="str">
        <f ca="1"/>
        <v>tramo</v>
      </c>
      <c r="F121">
        <f ca="1"/>
        <v>1</v>
      </c>
      <c r="G121" t="str">
        <f ca="1"/>
        <v>Pasaje N°2</v>
      </c>
      <c r="H121">
        <f ca="1"/>
        <v>110</v>
      </c>
      <c r="I121">
        <f ca="1"/>
        <v>0</v>
      </c>
      <c r="J121">
        <f ca="1"/>
        <v>0</v>
      </c>
      <c r="K121" t="str">
        <f ca="1">IF(A121="","",IF(COUNTIFS('03_Planificacion'!$B$5:$B$84,B121,'03_Planificacion'!$C$5:$C$84,D121)&gt;0,"SÍ","NO"))</f>
        <v>NO</v>
      </c>
      <c r="L121">
        <v>0</v>
      </c>
      <c r="N121" t="str">
        <f t="shared" ca="1" si="1"/>
        <v>N19 - N20|10 Relleno -0,60 - Inspección laboratorio</v>
      </c>
    </row>
    <row r="122" spans="1:14" hidden="1">
      <c r="A122" t="str">
        <f ca="1"/>
        <v>PP-118</v>
      </c>
      <c r="B122" t="str">
        <f ca="1"/>
        <v>N19 - N20</v>
      </c>
      <c r="C122" t="str">
        <f ca="1"/>
        <v>AG-25</v>
      </c>
      <c r="D122" t="str">
        <f ca="1"/>
        <v>11 Relleno -0,30 - Conformación de capa</v>
      </c>
      <c r="E122" t="str">
        <f ca="1"/>
        <v>m</v>
      </c>
      <c r="F122">
        <f ca="1"/>
        <v>77</v>
      </c>
      <c r="G122" t="str">
        <f ca="1"/>
        <v>Pasaje N°2</v>
      </c>
      <c r="H122">
        <f ca="1"/>
        <v>110</v>
      </c>
      <c r="I122">
        <f ca="1"/>
        <v>0</v>
      </c>
      <c r="J122">
        <f ca="1"/>
        <v>0</v>
      </c>
      <c r="K122" t="str">
        <f ca="1">IF(A122="","",IF(COUNTIFS('03_Planificacion'!$B$5:$B$84,B122,'03_Planificacion'!$C$5:$C$84,D122)&gt;0,"SÍ","NO"))</f>
        <v>NO</v>
      </c>
      <c r="L122">
        <v>0</v>
      </c>
      <c r="N122" t="str">
        <f t="shared" ca="1" si="1"/>
        <v>N19 - N20|11 Relleno -0,30 - Conformación de capa</v>
      </c>
    </row>
    <row r="123" spans="1:14" hidden="1">
      <c r="A123" t="str">
        <f ca="1"/>
        <v>PP-119</v>
      </c>
      <c r="B123" t="str">
        <f ca="1"/>
        <v>N19 - N20</v>
      </c>
      <c r="C123" t="str">
        <f ca="1"/>
        <v>AG-26</v>
      </c>
      <c r="D123" t="str">
        <f ca="1"/>
        <v>11 Relleno -0,30 - Humectación</v>
      </c>
      <c r="E123" t="str">
        <f ca="1"/>
        <v>m</v>
      </c>
      <c r="F123">
        <f ca="1"/>
        <v>77</v>
      </c>
      <c r="G123" t="str">
        <f ca="1"/>
        <v>Pasaje N°2</v>
      </c>
      <c r="H123">
        <f ca="1"/>
        <v>110</v>
      </c>
      <c r="I123">
        <f ca="1"/>
        <v>0</v>
      </c>
      <c r="J123">
        <f ca="1"/>
        <v>0</v>
      </c>
      <c r="K123" t="str">
        <f ca="1">IF(A123="","",IF(COUNTIFS('03_Planificacion'!$B$5:$B$84,B123,'03_Planificacion'!$C$5:$C$84,D123)&gt;0,"SÍ","NO"))</f>
        <v>NO</v>
      </c>
      <c r="L123">
        <v>0</v>
      </c>
      <c r="N123" t="str">
        <f t="shared" ca="1" si="1"/>
        <v>N19 - N20|11 Relleno -0,30 - Humectación</v>
      </c>
    </row>
    <row r="124" spans="1:14" hidden="1">
      <c r="A124" t="str">
        <f ca="1"/>
        <v>PP-120</v>
      </c>
      <c r="B124" t="str">
        <f ca="1"/>
        <v>N19 - N20</v>
      </c>
      <c r="C124" t="str">
        <f ca="1"/>
        <v>AG-27</v>
      </c>
      <c r="D124" t="str">
        <f ca="1"/>
        <v>11 Relleno -0,30 - Compactación</v>
      </c>
      <c r="E124" t="str">
        <f ca="1"/>
        <v>m</v>
      </c>
      <c r="F124">
        <f ca="1"/>
        <v>77</v>
      </c>
      <c r="G124" t="str">
        <f ca="1"/>
        <v>Pasaje N°2</v>
      </c>
      <c r="H124">
        <f ca="1"/>
        <v>110</v>
      </c>
      <c r="I124">
        <f ca="1"/>
        <v>0</v>
      </c>
      <c r="J124">
        <f ca="1"/>
        <v>0</v>
      </c>
      <c r="K124" t="str">
        <f ca="1">IF(A124="","",IF(COUNTIFS('03_Planificacion'!$B$5:$B$84,B124,'03_Planificacion'!$C$5:$C$84,D124)&gt;0,"SÍ","NO"))</f>
        <v>NO</v>
      </c>
      <c r="L124">
        <v>0</v>
      </c>
      <c r="N124" t="str">
        <f t="shared" ca="1" si="1"/>
        <v>N19 - N20|11 Relleno -0,30 - Compactación</v>
      </c>
    </row>
    <row r="125" spans="1:14" hidden="1">
      <c r="A125" t="str">
        <f ca="1"/>
        <v>PP-121</v>
      </c>
      <c r="B125" t="str">
        <f ca="1"/>
        <v>N19 - N20</v>
      </c>
      <c r="C125" t="str">
        <f ca="1"/>
        <v>HI-06</v>
      </c>
      <c r="D125" t="str">
        <f ca="1"/>
        <v>11 Relleno -0,30 - Inspección laboratorio</v>
      </c>
      <c r="E125" t="str">
        <f ca="1"/>
        <v>tramo</v>
      </c>
      <c r="F125">
        <f ca="1"/>
        <v>1</v>
      </c>
      <c r="G125" t="str">
        <f ca="1"/>
        <v>Pasaje N°2</v>
      </c>
      <c r="H125">
        <f ca="1"/>
        <v>110</v>
      </c>
      <c r="I125">
        <f ca="1"/>
        <v>0</v>
      </c>
      <c r="J125">
        <f ca="1"/>
        <v>0</v>
      </c>
      <c r="K125" t="str">
        <f ca="1">IF(A125="","",IF(COUNTIFS('03_Planificacion'!$B$5:$B$84,B125,'03_Planificacion'!$C$5:$C$84,D125)&gt;0,"SÍ","NO"))</f>
        <v>NO</v>
      </c>
      <c r="L125">
        <v>0</v>
      </c>
      <c r="N125" t="str">
        <f t="shared" ca="1" si="1"/>
        <v>N19 - N20|11 Relleno -0,30 - Inspección laboratorio</v>
      </c>
    </row>
    <row r="126" spans="1:14" hidden="1">
      <c r="A126" t="str">
        <f ca="1"/>
        <v>PP-122</v>
      </c>
      <c r="B126" t="str">
        <f ca="1"/>
        <v>N19 - N27</v>
      </c>
      <c r="C126" t="str">
        <f ca="1"/>
        <v>AG-19</v>
      </c>
      <c r="D126" t="str">
        <f ca="1"/>
        <v>08 Prueba hidráulica - Interna N° 2</v>
      </c>
      <c r="E126" t="str">
        <f ca="1"/>
        <v>tramo</v>
      </c>
      <c r="F126">
        <f ca="1"/>
        <v>1</v>
      </c>
      <c r="G126" t="str">
        <f ca="1"/>
        <v>Pasaje N°6</v>
      </c>
      <c r="H126">
        <f ca="1"/>
        <v>75</v>
      </c>
      <c r="I126">
        <f ca="1"/>
        <v>0</v>
      </c>
      <c r="J126">
        <f ca="1"/>
        <v>0</v>
      </c>
      <c r="K126" t="str">
        <f ca="1">IF(A126="","",IF(COUNTIFS('03_Planificacion'!$B$5:$B$84,B126,'03_Planificacion'!$C$5:$C$84,D126)&gt;0,"SÍ","NO"))</f>
        <v>SÍ</v>
      </c>
      <c r="L126">
        <v>0</v>
      </c>
      <c r="N126" t="str">
        <f t="shared" ca="1" si="1"/>
        <v>N19 - N27|08 Prueba hidráulica - Interna N° 2</v>
      </c>
    </row>
    <row r="127" spans="1:14" hidden="1">
      <c r="A127" t="str">
        <f ca="1"/>
        <v>PP-123</v>
      </c>
      <c r="B127" t="str">
        <f ca="1"/>
        <v>N19 - N27</v>
      </c>
      <c r="C127" t="str">
        <f ca="1"/>
        <v>HI-03</v>
      </c>
      <c r="D127" t="str">
        <f ca="1"/>
        <v>08 Prueba hidráulica - Primera prueba oficial</v>
      </c>
      <c r="E127" t="str">
        <f ca="1"/>
        <v>tramo</v>
      </c>
      <c r="F127">
        <f ca="1"/>
        <v>1</v>
      </c>
      <c r="G127" t="str">
        <f ca="1"/>
        <v>Pasaje N°6</v>
      </c>
      <c r="H127">
        <f ca="1"/>
        <v>75</v>
      </c>
      <c r="I127">
        <f ca="1"/>
        <v>0</v>
      </c>
      <c r="J127">
        <f ca="1"/>
        <v>0</v>
      </c>
      <c r="K127" t="str">
        <f ca="1">IF(A127="","",IF(COUNTIFS('03_Planificacion'!$B$5:$B$84,B127,'03_Planificacion'!$C$5:$C$84,D127)&gt;0,"SÍ","NO"))</f>
        <v>SÍ</v>
      </c>
      <c r="L127">
        <v>0</v>
      </c>
      <c r="N127" t="str">
        <f t="shared" ca="1" si="1"/>
        <v>N19 - N27|08 Prueba hidráulica - Primera prueba oficial</v>
      </c>
    </row>
    <row r="128" spans="1:14" hidden="1">
      <c r="A128" t="str">
        <f ca="1"/>
        <v>PP-124</v>
      </c>
      <c r="B128" t="str">
        <f ca="1"/>
        <v>N19 - N27</v>
      </c>
      <c r="C128" t="str">
        <f ca="1"/>
        <v>AG-20</v>
      </c>
      <c r="D128" t="str">
        <f ca="1"/>
        <v>09 Paquete estructural - Aporte e=0,30 m</v>
      </c>
      <c r="E128" t="str">
        <f ca="1"/>
        <v>m</v>
      </c>
      <c r="F128">
        <f ca="1"/>
        <v>117</v>
      </c>
      <c r="G128" t="str">
        <f ca="1"/>
        <v>Pasaje N°6</v>
      </c>
      <c r="H128">
        <f ca="1"/>
        <v>75</v>
      </c>
      <c r="I128">
        <f ca="1"/>
        <v>0</v>
      </c>
      <c r="J128">
        <f ca="1"/>
        <v>0</v>
      </c>
      <c r="K128" t="str">
        <f ca="1">IF(A128="","",IF(COUNTIFS('03_Planificacion'!$B$5:$B$84,B128,'03_Planificacion'!$C$5:$C$84,D128)&gt;0,"SÍ","NO"))</f>
        <v>NO</v>
      </c>
      <c r="L128">
        <v>0</v>
      </c>
      <c r="N128" t="str">
        <f t="shared" ca="1" si="1"/>
        <v>N19 - N27|09 Paquete estructural - Aporte e=0,30 m</v>
      </c>
    </row>
    <row r="129" spans="1:14" hidden="1">
      <c r="A129" t="str">
        <f ca="1"/>
        <v>PP-125</v>
      </c>
      <c r="B129" t="str">
        <f ca="1"/>
        <v>N19 - N27</v>
      </c>
      <c r="C129" t="str">
        <f ca="1"/>
        <v>AG-21</v>
      </c>
      <c r="D129" t="str">
        <f ca="1"/>
        <v>09 Paquete estructural - Compactación</v>
      </c>
      <c r="E129" t="str">
        <f ca="1"/>
        <v>m</v>
      </c>
      <c r="F129">
        <f ca="1"/>
        <v>117</v>
      </c>
      <c r="G129" t="str">
        <f ca="1"/>
        <v>Pasaje N°6</v>
      </c>
      <c r="H129">
        <f ca="1"/>
        <v>75</v>
      </c>
      <c r="I129">
        <f ca="1"/>
        <v>0</v>
      </c>
      <c r="J129">
        <f ca="1"/>
        <v>0</v>
      </c>
      <c r="K129" t="str">
        <f ca="1">IF(A129="","",IF(COUNTIFS('03_Planificacion'!$B$5:$B$84,B129,'03_Planificacion'!$C$5:$C$84,D129)&gt;0,"SÍ","NO"))</f>
        <v>NO</v>
      </c>
      <c r="L129">
        <v>0</v>
      </c>
      <c r="N129" t="str">
        <f t="shared" ca="1" si="1"/>
        <v>N19 - N27|09 Paquete estructural - Compactación</v>
      </c>
    </row>
    <row r="130" spans="1:14" hidden="1">
      <c r="A130" t="str">
        <f ca="1"/>
        <v>PP-126</v>
      </c>
      <c r="B130" t="str">
        <f ca="1"/>
        <v>N19 - N27</v>
      </c>
      <c r="C130" t="str">
        <f ca="1"/>
        <v>HI-04</v>
      </c>
      <c r="D130" t="str">
        <f ca="1"/>
        <v>09 Paquete estructural - Inspección laboratorio</v>
      </c>
      <c r="E130" t="str">
        <f ca="1"/>
        <v>tramo</v>
      </c>
      <c r="F130">
        <f ca="1"/>
        <v>1</v>
      </c>
      <c r="G130" t="str">
        <f ca="1"/>
        <v>Pasaje N°6</v>
      </c>
      <c r="H130">
        <f ca="1"/>
        <v>75</v>
      </c>
      <c r="I130">
        <f ca="1"/>
        <v>0</v>
      </c>
      <c r="J130">
        <f ca="1"/>
        <v>0</v>
      </c>
      <c r="K130" t="str">
        <f ca="1">IF(A130="","",IF(COUNTIFS('03_Planificacion'!$B$5:$B$84,B130,'03_Planificacion'!$C$5:$C$84,D130)&gt;0,"SÍ","NO"))</f>
        <v>NO</v>
      </c>
      <c r="L130">
        <v>0</v>
      </c>
      <c r="N130" t="str">
        <f t="shared" ca="1" si="1"/>
        <v>N19 - N27|09 Paquete estructural - Inspección laboratorio</v>
      </c>
    </row>
    <row r="131" spans="1:14" hidden="1">
      <c r="A131" t="str">
        <f ca="1"/>
        <v>PP-127</v>
      </c>
      <c r="B131" t="str">
        <f ca="1"/>
        <v>N19 - N27</v>
      </c>
      <c r="C131" t="str">
        <f ca="1"/>
        <v>AG-22</v>
      </c>
      <c r="D131" t="str">
        <f ca="1"/>
        <v>10 Relleno -0,60 - Conformación de capa</v>
      </c>
      <c r="E131" t="str">
        <f ca="1"/>
        <v>m</v>
      </c>
      <c r="F131">
        <f ca="1"/>
        <v>117</v>
      </c>
      <c r="G131" t="str">
        <f ca="1"/>
        <v>Pasaje N°6</v>
      </c>
      <c r="H131">
        <f ca="1"/>
        <v>75</v>
      </c>
      <c r="I131">
        <f ca="1"/>
        <v>0</v>
      </c>
      <c r="J131">
        <f ca="1"/>
        <v>0</v>
      </c>
      <c r="K131" t="str">
        <f ca="1">IF(A131="","",IF(COUNTIFS('03_Planificacion'!$B$5:$B$84,B131,'03_Planificacion'!$C$5:$C$84,D131)&gt;0,"SÍ","NO"))</f>
        <v>NO</v>
      </c>
      <c r="L131">
        <v>0</v>
      </c>
      <c r="N131" t="str">
        <f t="shared" ca="1" si="1"/>
        <v>N19 - N27|10 Relleno -0,60 - Conformación de capa</v>
      </c>
    </row>
    <row r="132" spans="1:14" hidden="1">
      <c r="A132" t="str">
        <f ca="1"/>
        <v>PP-128</v>
      </c>
      <c r="B132" t="str">
        <f ca="1"/>
        <v>N19 - N27</v>
      </c>
      <c r="C132" t="str">
        <f ca="1"/>
        <v>AG-23</v>
      </c>
      <c r="D132" t="str">
        <f ca="1"/>
        <v>10 Relleno -0,60 - Humectación</v>
      </c>
      <c r="E132" t="str">
        <f ca="1"/>
        <v>m</v>
      </c>
      <c r="F132">
        <f ca="1"/>
        <v>117</v>
      </c>
      <c r="G132" t="str">
        <f ca="1"/>
        <v>Pasaje N°6</v>
      </c>
      <c r="H132">
        <f ca="1"/>
        <v>75</v>
      </c>
      <c r="I132">
        <f ca="1"/>
        <v>0</v>
      </c>
      <c r="J132">
        <f ca="1"/>
        <v>0</v>
      </c>
      <c r="K132" t="str">
        <f ca="1">IF(A132="","",IF(COUNTIFS('03_Planificacion'!$B$5:$B$84,B132,'03_Planificacion'!$C$5:$C$84,D132)&gt;0,"SÍ","NO"))</f>
        <v>NO</v>
      </c>
      <c r="L132">
        <v>0</v>
      </c>
      <c r="N132" t="str">
        <f t="shared" ca="1" si="1"/>
        <v>N19 - N27|10 Relleno -0,60 - Humectación</v>
      </c>
    </row>
    <row r="133" spans="1:14" hidden="1">
      <c r="A133" t="str">
        <f ca="1"/>
        <v>PP-129</v>
      </c>
      <c r="B133" t="str">
        <f ca="1"/>
        <v>N19 - N27</v>
      </c>
      <c r="C133" t="str">
        <f ca="1"/>
        <v>AG-24</v>
      </c>
      <c r="D133" t="str">
        <f ca="1"/>
        <v>10 Relleno -0,60 - Compactación</v>
      </c>
      <c r="E133" t="str">
        <f ca="1"/>
        <v>m</v>
      </c>
      <c r="F133">
        <f ca="1"/>
        <v>117</v>
      </c>
      <c r="G133" t="str">
        <f ca="1"/>
        <v>Pasaje N°6</v>
      </c>
      <c r="H133">
        <f ca="1"/>
        <v>75</v>
      </c>
      <c r="I133">
        <f ca="1"/>
        <v>0</v>
      </c>
      <c r="J133">
        <f ca="1"/>
        <v>0</v>
      </c>
      <c r="K133" t="str">
        <f ca="1">IF(A133="","",IF(COUNTIFS('03_Planificacion'!$B$5:$B$84,B133,'03_Planificacion'!$C$5:$C$84,D133)&gt;0,"SÍ","NO"))</f>
        <v>NO</v>
      </c>
      <c r="L133">
        <v>0</v>
      </c>
      <c r="N133" t="str">
        <f t="shared" ref="N133:N196" ca="1" si="2">IF(B133="","",B133&amp;"|"&amp;D133)</f>
        <v>N19 - N27|10 Relleno -0,60 - Compactación</v>
      </c>
    </row>
    <row r="134" spans="1:14" hidden="1">
      <c r="A134" t="str">
        <f ca="1"/>
        <v>PP-130</v>
      </c>
      <c r="B134" t="str">
        <f ca="1"/>
        <v>N19 - N27</v>
      </c>
      <c r="C134" t="str">
        <f ca="1"/>
        <v>HI-05</v>
      </c>
      <c r="D134" t="str">
        <f ca="1"/>
        <v>10 Relleno -0,60 - Inspección laboratorio</v>
      </c>
      <c r="E134" t="str">
        <f ca="1"/>
        <v>tramo</v>
      </c>
      <c r="F134">
        <f ca="1"/>
        <v>1</v>
      </c>
      <c r="G134" t="str">
        <f ca="1"/>
        <v>Pasaje N°6</v>
      </c>
      <c r="H134">
        <f ca="1"/>
        <v>75</v>
      </c>
      <c r="I134">
        <f ca="1"/>
        <v>0</v>
      </c>
      <c r="J134">
        <f ca="1"/>
        <v>0</v>
      </c>
      <c r="K134" t="str">
        <f ca="1">IF(A134="","",IF(COUNTIFS('03_Planificacion'!$B$5:$B$84,B134,'03_Planificacion'!$C$5:$C$84,D134)&gt;0,"SÍ","NO"))</f>
        <v>NO</v>
      </c>
      <c r="L134">
        <v>0</v>
      </c>
      <c r="N134" t="str">
        <f t="shared" ca="1" si="2"/>
        <v>N19 - N27|10 Relleno -0,60 - Inspección laboratorio</v>
      </c>
    </row>
    <row r="135" spans="1:14" hidden="1">
      <c r="A135" t="str">
        <f ca="1"/>
        <v>PP-131</v>
      </c>
      <c r="B135" t="str">
        <f ca="1"/>
        <v>N19 - N27</v>
      </c>
      <c r="C135" t="str">
        <f ca="1"/>
        <v>AG-25</v>
      </c>
      <c r="D135" t="str">
        <f ca="1"/>
        <v>11 Relleno -0,30 - Conformación de capa</v>
      </c>
      <c r="E135" t="str">
        <f ca="1"/>
        <v>m</v>
      </c>
      <c r="F135">
        <f ca="1"/>
        <v>117</v>
      </c>
      <c r="G135" t="str">
        <f ca="1"/>
        <v>Pasaje N°6</v>
      </c>
      <c r="H135">
        <f ca="1"/>
        <v>75</v>
      </c>
      <c r="I135">
        <f ca="1"/>
        <v>0</v>
      </c>
      <c r="J135">
        <f ca="1"/>
        <v>0</v>
      </c>
      <c r="K135" t="str">
        <f ca="1">IF(A135="","",IF(COUNTIFS('03_Planificacion'!$B$5:$B$84,B135,'03_Planificacion'!$C$5:$C$84,D135)&gt;0,"SÍ","NO"))</f>
        <v>NO</v>
      </c>
      <c r="L135">
        <v>0</v>
      </c>
      <c r="N135" t="str">
        <f t="shared" ca="1" si="2"/>
        <v>N19 - N27|11 Relleno -0,30 - Conformación de capa</v>
      </c>
    </row>
    <row r="136" spans="1:14" hidden="1">
      <c r="A136" t="str">
        <f ca="1"/>
        <v>PP-132</v>
      </c>
      <c r="B136" t="str">
        <f ca="1"/>
        <v>N19 - N27</v>
      </c>
      <c r="C136" t="str">
        <f ca="1"/>
        <v>AG-26</v>
      </c>
      <c r="D136" t="str">
        <f ca="1"/>
        <v>11 Relleno -0,30 - Humectación</v>
      </c>
      <c r="E136" t="str">
        <f ca="1"/>
        <v>m</v>
      </c>
      <c r="F136">
        <f ca="1"/>
        <v>117</v>
      </c>
      <c r="G136" t="str">
        <f ca="1"/>
        <v>Pasaje N°6</v>
      </c>
      <c r="H136">
        <f ca="1"/>
        <v>75</v>
      </c>
      <c r="I136">
        <f ca="1"/>
        <v>0</v>
      </c>
      <c r="J136">
        <f ca="1"/>
        <v>0</v>
      </c>
      <c r="K136" t="str">
        <f ca="1">IF(A136="","",IF(COUNTIFS('03_Planificacion'!$B$5:$B$84,B136,'03_Planificacion'!$C$5:$C$84,D136)&gt;0,"SÍ","NO"))</f>
        <v>NO</v>
      </c>
      <c r="L136">
        <v>0</v>
      </c>
      <c r="N136" t="str">
        <f t="shared" ca="1" si="2"/>
        <v>N19 - N27|11 Relleno -0,30 - Humectación</v>
      </c>
    </row>
    <row r="137" spans="1:14" hidden="1">
      <c r="A137" t="str">
        <f ca="1"/>
        <v>PP-133</v>
      </c>
      <c r="B137" t="str">
        <f ca="1"/>
        <v>N19 - N27</v>
      </c>
      <c r="C137" t="str">
        <f ca="1"/>
        <v>AG-27</v>
      </c>
      <c r="D137" t="str">
        <f ca="1"/>
        <v>11 Relleno -0,30 - Compactación</v>
      </c>
      <c r="E137" t="str">
        <f ca="1"/>
        <v>m</v>
      </c>
      <c r="F137">
        <f ca="1"/>
        <v>117</v>
      </c>
      <c r="G137" t="str">
        <f ca="1"/>
        <v>Pasaje N°6</v>
      </c>
      <c r="H137">
        <f ca="1"/>
        <v>75</v>
      </c>
      <c r="I137">
        <f ca="1"/>
        <v>0</v>
      </c>
      <c r="J137">
        <f ca="1"/>
        <v>0</v>
      </c>
      <c r="K137" t="str">
        <f ca="1">IF(A137="","",IF(COUNTIFS('03_Planificacion'!$B$5:$B$84,B137,'03_Planificacion'!$C$5:$C$84,D137)&gt;0,"SÍ","NO"))</f>
        <v>NO</v>
      </c>
      <c r="L137">
        <v>0</v>
      </c>
      <c r="N137" t="str">
        <f t="shared" ca="1" si="2"/>
        <v>N19 - N27|11 Relleno -0,30 - Compactación</v>
      </c>
    </row>
    <row r="138" spans="1:14" hidden="1">
      <c r="A138" t="str">
        <f ca="1"/>
        <v>PP-134</v>
      </c>
      <c r="B138" t="str">
        <f ca="1"/>
        <v>N19 - N27</v>
      </c>
      <c r="C138" t="str">
        <f ca="1"/>
        <v>HI-06</v>
      </c>
      <c r="D138" t="str">
        <f ca="1"/>
        <v>11 Relleno -0,30 - Inspección laboratorio</v>
      </c>
      <c r="E138" t="str">
        <f ca="1"/>
        <v>tramo</v>
      </c>
      <c r="F138">
        <f ca="1"/>
        <v>1</v>
      </c>
      <c r="G138" t="str">
        <f ca="1"/>
        <v>Pasaje N°6</v>
      </c>
      <c r="H138">
        <f ca="1"/>
        <v>75</v>
      </c>
      <c r="I138">
        <f ca="1"/>
        <v>0</v>
      </c>
      <c r="J138">
        <f ca="1"/>
        <v>0</v>
      </c>
      <c r="K138" t="str">
        <f ca="1">IF(A138="","",IF(COUNTIFS('03_Planificacion'!$B$5:$B$84,B138,'03_Planificacion'!$C$5:$C$84,D138)&gt;0,"SÍ","NO"))</f>
        <v>NO</v>
      </c>
      <c r="L138">
        <v>0</v>
      </c>
      <c r="N138" t="str">
        <f t="shared" ca="1" si="2"/>
        <v>N19 - N27|11 Relleno -0,30 - Inspección laboratorio</v>
      </c>
    </row>
    <row r="139" spans="1:14" hidden="1">
      <c r="A139" t="str">
        <f ca="1"/>
        <v>PP-135</v>
      </c>
      <c r="B139" t="str">
        <f ca="1"/>
        <v>N20 - N21</v>
      </c>
      <c r="C139" t="str">
        <f ca="1"/>
        <v>AG-27</v>
      </c>
      <c r="D139" t="str">
        <f ca="1"/>
        <v>11 Relleno -0,30 - Compactación</v>
      </c>
      <c r="E139" t="str">
        <f ca="1"/>
        <v>m</v>
      </c>
      <c r="F139">
        <f ca="1"/>
        <v>2</v>
      </c>
      <c r="G139" t="str">
        <f ca="1"/>
        <v>Pasaje N°2</v>
      </c>
      <c r="H139">
        <f ca="1"/>
        <v>110</v>
      </c>
      <c r="I139">
        <f ca="1"/>
        <v>0</v>
      </c>
      <c r="J139">
        <f ca="1"/>
        <v>0</v>
      </c>
      <c r="K139" t="str">
        <f ca="1">IF(A139="","",IF(COUNTIFS('03_Planificacion'!$B$5:$B$84,B139,'03_Planificacion'!$C$5:$C$84,D139)&gt;0,"SÍ","NO"))</f>
        <v>SÍ</v>
      </c>
      <c r="L139">
        <v>0</v>
      </c>
      <c r="N139" t="str">
        <f t="shared" ca="1" si="2"/>
        <v>N20 - N21|11 Relleno -0,30 - Compactación</v>
      </c>
    </row>
    <row r="140" spans="1:14" hidden="1">
      <c r="A140" t="str">
        <f ca="1"/>
        <v>PP-136</v>
      </c>
      <c r="B140" t="str">
        <f ca="1"/>
        <v>N20 - N21</v>
      </c>
      <c r="C140" t="str">
        <f ca="1"/>
        <v>HI-06</v>
      </c>
      <c r="D140" t="str">
        <f ca="1"/>
        <v>11 Relleno -0,30 - Inspección laboratorio</v>
      </c>
      <c r="E140" t="str">
        <f ca="1"/>
        <v>tramo</v>
      </c>
      <c r="F140">
        <f ca="1"/>
        <v>1</v>
      </c>
      <c r="G140" t="str">
        <f ca="1"/>
        <v>Pasaje N°2</v>
      </c>
      <c r="H140">
        <f ca="1"/>
        <v>110</v>
      </c>
      <c r="I140">
        <f ca="1"/>
        <v>0</v>
      </c>
      <c r="J140">
        <f ca="1"/>
        <v>0</v>
      </c>
      <c r="K140" t="str">
        <f ca="1">IF(A140="","",IF(COUNTIFS('03_Planificacion'!$B$5:$B$84,B140,'03_Planificacion'!$C$5:$C$84,D140)&gt;0,"SÍ","NO"))</f>
        <v>NO</v>
      </c>
      <c r="L140">
        <v>0</v>
      </c>
      <c r="N140" t="str">
        <f t="shared" ca="1" si="2"/>
        <v>N20 - N21|11 Relleno -0,30 - Inspección laboratorio</v>
      </c>
    </row>
    <row r="141" spans="1:14" hidden="1">
      <c r="A141" t="str">
        <f ca="1"/>
        <v>PP-137</v>
      </c>
      <c r="B141" t="str">
        <f ca="1"/>
        <v>N21 - N22</v>
      </c>
      <c r="C141" t="str">
        <f ca="1"/>
        <v>AG-27</v>
      </c>
      <c r="D141" t="str">
        <f ca="1"/>
        <v>11 Relleno -0,30 - Compactación</v>
      </c>
      <c r="E141" t="str">
        <f ca="1"/>
        <v>m</v>
      </c>
      <c r="F141">
        <f ca="1"/>
        <v>97</v>
      </c>
      <c r="G141" t="str">
        <f ca="1"/>
        <v>Pasaje N°2</v>
      </c>
      <c r="H141">
        <f ca="1"/>
        <v>110</v>
      </c>
      <c r="I141">
        <f ca="1"/>
        <v>0</v>
      </c>
      <c r="J141">
        <f ca="1"/>
        <v>0</v>
      </c>
      <c r="K141" t="str">
        <f ca="1">IF(A141="","",IF(COUNTIFS('03_Planificacion'!$B$5:$B$84,B141,'03_Planificacion'!$C$5:$C$84,D141)&gt;0,"SÍ","NO"))</f>
        <v>SÍ</v>
      </c>
      <c r="L141">
        <v>0</v>
      </c>
      <c r="N141" t="str">
        <f t="shared" ca="1" si="2"/>
        <v>N21 - N22|11 Relleno -0,30 - Compactación</v>
      </c>
    </row>
    <row r="142" spans="1:14" hidden="1">
      <c r="A142" t="str">
        <f ca="1"/>
        <v>PP-138</v>
      </c>
      <c r="B142" t="str">
        <f ca="1"/>
        <v>N21 - N22</v>
      </c>
      <c r="C142" t="str">
        <f ca="1"/>
        <v>HI-06</v>
      </c>
      <c r="D142" t="str">
        <f ca="1"/>
        <v>11 Relleno -0,30 - Inspección laboratorio</v>
      </c>
      <c r="E142" t="str">
        <f ca="1"/>
        <v>tramo</v>
      </c>
      <c r="F142">
        <f ca="1"/>
        <v>1</v>
      </c>
      <c r="G142" t="str">
        <f ca="1"/>
        <v>Pasaje N°2</v>
      </c>
      <c r="H142">
        <f ca="1"/>
        <v>110</v>
      </c>
      <c r="I142">
        <f ca="1"/>
        <v>0</v>
      </c>
      <c r="J142">
        <f ca="1"/>
        <v>0</v>
      </c>
      <c r="K142" t="str">
        <f ca="1">IF(A142="","",IF(COUNTIFS('03_Planificacion'!$B$5:$B$84,B142,'03_Planificacion'!$C$5:$C$84,D142)&gt;0,"SÍ","NO"))</f>
        <v>NO</v>
      </c>
      <c r="L142">
        <v>0</v>
      </c>
      <c r="N142" t="str">
        <f t="shared" ca="1" si="2"/>
        <v>N21 - N22|11 Relleno -0,30 - Inspección laboratorio</v>
      </c>
    </row>
    <row r="143" spans="1:14" hidden="1">
      <c r="A143" t="str">
        <f ca="1"/>
        <v>PP-139</v>
      </c>
      <c r="B143" t="str">
        <f ca="1"/>
        <v>N21 - N28</v>
      </c>
      <c r="C143" t="str">
        <f ca="1"/>
        <v>AG-27</v>
      </c>
      <c r="D143" t="str">
        <f ca="1"/>
        <v>11 Relleno -0,30 - Compactación</v>
      </c>
      <c r="E143" t="str">
        <f ca="1"/>
        <v>m</v>
      </c>
      <c r="F143">
        <f ca="1"/>
        <v>102</v>
      </c>
      <c r="G143" t="str">
        <f ca="1"/>
        <v>Pasaje N°5</v>
      </c>
      <c r="H143">
        <f ca="1"/>
        <v>75</v>
      </c>
      <c r="I143">
        <f ca="1"/>
        <v>0</v>
      </c>
      <c r="J143">
        <f ca="1"/>
        <v>0</v>
      </c>
      <c r="K143" t="str">
        <f ca="1">IF(A143="","",IF(COUNTIFS('03_Planificacion'!$B$5:$B$84,B143,'03_Planificacion'!$C$5:$C$84,D143)&gt;0,"SÍ","NO"))</f>
        <v>SÍ</v>
      </c>
      <c r="L143">
        <v>0</v>
      </c>
      <c r="N143" t="str">
        <f t="shared" ca="1" si="2"/>
        <v>N21 - N28|11 Relleno -0,30 - Compactación</v>
      </c>
    </row>
    <row r="144" spans="1:14" hidden="1">
      <c r="A144" t="str">
        <f ca="1"/>
        <v>PP-140</v>
      </c>
      <c r="B144" t="str">
        <f ca="1"/>
        <v>N21 - N28</v>
      </c>
      <c r="C144" t="str">
        <f ca="1"/>
        <v>HI-06</v>
      </c>
      <c r="D144" t="str">
        <f ca="1"/>
        <v>11 Relleno -0,30 - Inspección laboratorio</v>
      </c>
      <c r="E144" t="str">
        <f ca="1"/>
        <v>tramo</v>
      </c>
      <c r="F144">
        <f ca="1"/>
        <v>1</v>
      </c>
      <c r="G144" t="str">
        <f ca="1"/>
        <v>Pasaje N°5</v>
      </c>
      <c r="H144">
        <f ca="1"/>
        <v>75</v>
      </c>
      <c r="I144">
        <f ca="1"/>
        <v>0</v>
      </c>
      <c r="J144">
        <f ca="1"/>
        <v>0</v>
      </c>
      <c r="K144" t="str">
        <f ca="1">IF(A144="","",IF(COUNTIFS('03_Planificacion'!$B$5:$B$84,B144,'03_Planificacion'!$C$5:$C$84,D144)&gt;0,"SÍ","NO"))</f>
        <v>NO</v>
      </c>
      <c r="L144">
        <v>0</v>
      </c>
      <c r="N144" t="str">
        <f t="shared" ca="1" si="2"/>
        <v>N21 - N28|11 Relleno -0,30 - Inspección laboratorio</v>
      </c>
    </row>
    <row r="145" spans="1:14">
      <c r="A145" s="29" t="str">
        <f ca="1"/>
        <v>PP-141</v>
      </c>
      <c r="B145" s="29" t="str">
        <f ca="1"/>
        <v>N22 - N24</v>
      </c>
      <c r="C145" s="29" t="str">
        <f ca="1"/>
        <v>AG-27</v>
      </c>
      <c r="D145" s="29" t="str">
        <f ca="1"/>
        <v>11 Relleno -0,30 - Compactación</v>
      </c>
      <c r="E145" s="30" t="str">
        <f ca="1"/>
        <v>m</v>
      </c>
      <c r="F145" s="30">
        <f ca="1"/>
        <v>96</v>
      </c>
      <c r="G145" s="31" t="str">
        <f ca="1"/>
        <v>Pasaje N°2</v>
      </c>
      <c r="H145" s="29">
        <f ca="1"/>
        <v>110</v>
      </c>
      <c r="I145" s="29">
        <f ca="1"/>
        <v>0</v>
      </c>
      <c r="J145" s="29">
        <f ca="1"/>
        <v>0</v>
      </c>
      <c r="K145" s="29" t="str">
        <f ca="1">IF(A145="","",IF(COUNTIFS('03_Planificacion'!$B$5:$B$84,B145,'03_Planificacion'!$C$5:$C$84,D145)&gt;0,"SÍ","NO"))</f>
        <v>SÍ</v>
      </c>
      <c r="L145">
        <v>0</v>
      </c>
      <c r="N145" t="str">
        <f t="shared" ca="1" si="2"/>
        <v>N22 - N24|11 Relleno -0,30 - Compactación</v>
      </c>
    </row>
    <row r="146" spans="1:14">
      <c r="A146" s="29" t="str">
        <f ca="1"/>
        <v>PP-142</v>
      </c>
      <c r="B146" s="29" t="str">
        <f ca="1"/>
        <v>N22 - N24</v>
      </c>
      <c r="C146" s="29" t="str">
        <f ca="1"/>
        <v>HI-06</v>
      </c>
      <c r="D146" s="29" t="str">
        <f ca="1"/>
        <v>11 Relleno -0,30 - Inspección laboratorio</v>
      </c>
      <c r="E146" s="30" t="str">
        <f ca="1"/>
        <v>tramo</v>
      </c>
      <c r="F146" s="30">
        <f ca="1"/>
        <v>1</v>
      </c>
      <c r="G146" s="31" t="str">
        <f ca="1"/>
        <v>Pasaje N°2</v>
      </c>
      <c r="H146" s="29">
        <f ca="1"/>
        <v>110</v>
      </c>
      <c r="I146" s="29">
        <f ca="1"/>
        <v>0</v>
      </c>
      <c r="J146" s="29">
        <f ca="1"/>
        <v>0</v>
      </c>
      <c r="K146" s="29" t="str">
        <f ca="1">IF(A146="","",IF(COUNTIFS('03_Planificacion'!$B$5:$B$84,B146,'03_Planificacion'!$C$5:$C$84,D146)&gt;0,"SÍ","NO"))</f>
        <v>NO</v>
      </c>
      <c r="L146">
        <v>0</v>
      </c>
      <c r="N146" t="str">
        <f t="shared" ca="1" si="2"/>
        <v>N22 - N24|11 Relleno -0,30 - Inspección laboratorio</v>
      </c>
    </row>
    <row r="147" spans="1:14">
      <c r="A147" t="str">
        <f ca="1"/>
        <v>PP-143</v>
      </c>
      <c r="B147" t="str">
        <f ca="1"/>
        <v>N23 - N24</v>
      </c>
      <c r="C147" t="str">
        <f ca="1"/>
        <v>AG-07</v>
      </c>
      <c r="D147" t="str">
        <f ca="1"/>
        <v>03 Base de asiento - Compactación</v>
      </c>
      <c r="E147" s="14" t="str">
        <f ca="1"/>
        <v>m</v>
      </c>
      <c r="F147" s="14">
        <f ca="1"/>
        <v>8</v>
      </c>
      <c r="G147" s="13" t="str">
        <f ca="1"/>
        <v>Pasaje N°3</v>
      </c>
      <c r="H147">
        <f ca="1"/>
        <v>110</v>
      </c>
      <c r="I147">
        <f ca="1"/>
        <v>0</v>
      </c>
      <c r="J147">
        <f ca="1"/>
        <v>0</v>
      </c>
      <c r="K147" t="str">
        <f ca="1">IF(A147="","",IF(COUNTIFS('03_Planificacion'!$B$5:$B$84,B147,'03_Planificacion'!$C$5:$C$84,D147)&gt;0,"SÍ","NO"))</f>
        <v>NO</v>
      </c>
      <c r="L147">
        <v>0</v>
      </c>
      <c r="N147" t="str">
        <f t="shared" ca="1" si="2"/>
        <v>N23 - N24|03 Base de asiento - Compactación</v>
      </c>
    </row>
    <row r="148" spans="1:14">
      <c r="A148" t="str">
        <f ca="1"/>
        <v>PP-144</v>
      </c>
      <c r="B148" t="str">
        <f ca="1"/>
        <v>N23 - N24</v>
      </c>
      <c r="C148" t="str">
        <f ca="1"/>
        <v>HI-01</v>
      </c>
      <c r="D148" t="str">
        <f ca="1"/>
        <v>04 Inspecciones previas - Laboratorio base de asiento</v>
      </c>
      <c r="E148" s="14" t="str">
        <f ca="1"/>
        <v>tramo</v>
      </c>
      <c r="F148" s="14">
        <f ca="1"/>
        <v>1</v>
      </c>
      <c r="G148" s="13" t="str">
        <f ca="1"/>
        <v>Pasaje N°3</v>
      </c>
      <c r="H148">
        <f ca="1"/>
        <v>110</v>
      </c>
      <c r="I148">
        <f ca="1"/>
        <v>0</v>
      </c>
      <c r="J148">
        <f ca="1"/>
        <v>0</v>
      </c>
      <c r="K148" t="str">
        <f ca="1">IF(A148="","",IF(COUNTIFS('03_Planificacion'!$B$5:$B$84,B148,'03_Planificacion'!$C$5:$C$84,D148)&gt;0,"SÍ","NO"))</f>
        <v>NO</v>
      </c>
      <c r="L148">
        <v>0</v>
      </c>
      <c r="N148" t="str">
        <f t="shared" ca="1" si="2"/>
        <v>N23 - N24|04 Inspecciones previas - Laboratorio base de asiento</v>
      </c>
    </row>
    <row r="149" spans="1:14">
      <c r="A149" t="str">
        <f ca="1"/>
        <v>PP-145</v>
      </c>
      <c r="B149" t="str">
        <f ca="1"/>
        <v>N23 - N24</v>
      </c>
      <c r="C149" t="str">
        <f ca="1"/>
        <v>HI-02</v>
      </c>
      <c r="D149" t="str">
        <f ca="1"/>
        <v>04 Inspecciones previas - Zanja y materiales</v>
      </c>
      <c r="E149" s="14" t="str">
        <f ca="1"/>
        <v>tramo</v>
      </c>
      <c r="F149" s="14">
        <f ca="1"/>
        <v>1</v>
      </c>
      <c r="G149" s="13" t="str">
        <f ca="1"/>
        <v>Pasaje N°3</v>
      </c>
      <c r="H149">
        <f ca="1"/>
        <v>110</v>
      </c>
      <c r="I149">
        <f ca="1"/>
        <v>0</v>
      </c>
      <c r="J149">
        <f ca="1"/>
        <v>0</v>
      </c>
      <c r="K149" t="str">
        <f ca="1">IF(A149="","",IF(COUNTIFS('03_Planificacion'!$B$5:$B$84,B149,'03_Planificacion'!$C$5:$C$84,D149)&gt;0,"SÍ","NO"))</f>
        <v>NO</v>
      </c>
      <c r="N149" t="str">
        <f t="shared" ca="1" si="2"/>
        <v>N23 - N24|04 Inspecciones previas - Zanja y materiales</v>
      </c>
    </row>
    <row r="150" spans="1:14">
      <c r="A150" t="str">
        <f ca="1"/>
        <v>PP-146</v>
      </c>
      <c r="B150" t="str">
        <f ca="1"/>
        <v>N23 - N24</v>
      </c>
      <c r="C150" t="str">
        <f ca="1"/>
        <v>AG-08</v>
      </c>
      <c r="D150" t="str">
        <f ca="1"/>
        <v>05 Tendido de cañería - Cañería principal</v>
      </c>
      <c r="E150" s="14" t="str">
        <f ca="1"/>
        <v>m</v>
      </c>
      <c r="F150" s="14">
        <f ca="1"/>
        <v>8</v>
      </c>
      <c r="G150" s="13" t="str">
        <f ca="1"/>
        <v>Pasaje N°3</v>
      </c>
      <c r="H150">
        <f ca="1"/>
        <v>110</v>
      </c>
      <c r="I150">
        <f ca="1"/>
        <v>0</v>
      </c>
      <c r="J150">
        <f ca="1"/>
        <v>0</v>
      </c>
      <c r="K150" t="str">
        <f ca="1">IF(A150="","",IF(COUNTIFS('03_Planificacion'!$B$5:$B$84,B150,'03_Planificacion'!$C$5:$C$84,D150)&gt;0,"SÍ","NO"))</f>
        <v>NO</v>
      </c>
      <c r="N150" t="str">
        <f t="shared" ca="1" si="2"/>
        <v>N23 - N24|05 Tendido de cañería - Cañería principal</v>
      </c>
    </row>
    <row r="151" spans="1:14">
      <c r="A151" t="str">
        <f ca="1"/>
        <v>PP-147</v>
      </c>
      <c r="B151" t="str">
        <f ca="1"/>
        <v>N23 - N24</v>
      </c>
      <c r="C151" t="str">
        <f ca="1"/>
        <v>AG-09</v>
      </c>
      <c r="D151" t="str">
        <f ca="1"/>
        <v>05 Tendido de cañería - Relevamiento planialtimétrico</v>
      </c>
      <c r="E151" s="14" t="str">
        <f ca="1"/>
        <v>m</v>
      </c>
      <c r="F151" s="14">
        <f ca="1"/>
        <v>8</v>
      </c>
      <c r="G151" s="13" t="str">
        <f ca="1"/>
        <v>Pasaje N°3</v>
      </c>
      <c r="H151">
        <f ca="1"/>
        <v>110</v>
      </c>
      <c r="I151">
        <f ca="1"/>
        <v>0</v>
      </c>
      <c r="J151">
        <f ca="1"/>
        <v>0</v>
      </c>
      <c r="K151" t="str">
        <f ca="1">IF(A151="","",IF(COUNTIFS('03_Planificacion'!$B$5:$B$84,B151,'03_Planificacion'!$C$5:$C$84,D151)&gt;0,"SÍ","NO"))</f>
        <v>NO</v>
      </c>
      <c r="N151" t="str">
        <f t="shared" ca="1" si="2"/>
        <v>N23 - N24|05 Tendido de cañería - Relevamiento planialtimétrico</v>
      </c>
    </row>
    <row r="152" spans="1:14">
      <c r="A152" t="str">
        <f ca="1"/>
        <v>PP-148</v>
      </c>
      <c r="B152" t="str">
        <f ca="1"/>
        <v>N23 - N24</v>
      </c>
      <c r="C152" t="str">
        <f ca="1"/>
        <v>AG-17</v>
      </c>
      <c r="D152" t="str">
        <f ca="1"/>
        <v>08 Prueba hidráulica - Preparación del sistema</v>
      </c>
      <c r="E152" s="14" t="str">
        <f ca="1"/>
        <v>tramo</v>
      </c>
      <c r="F152" s="14">
        <f ca="1"/>
        <v>1</v>
      </c>
      <c r="G152" s="13" t="str">
        <f ca="1"/>
        <v>Pasaje N°3</v>
      </c>
      <c r="H152">
        <f ca="1"/>
        <v>110</v>
      </c>
      <c r="I152">
        <f ca="1"/>
        <v>0</v>
      </c>
      <c r="J152">
        <f ca="1"/>
        <v>0</v>
      </c>
      <c r="K152" t="str">
        <f ca="1">IF(A152="","",IF(COUNTIFS('03_Planificacion'!$B$5:$B$84,B152,'03_Planificacion'!$C$5:$C$84,D152)&gt;0,"SÍ","NO"))</f>
        <v>NO</v>
      </c>
      <c r="N152" t="str">
        <f t="shared" ca="1" si="2"/>
        <v>N23 - N24|08 Prueba hidráulica - Preparación del sistema</v>
      </c>
    </row>
    <row r="153" spans="1:14">
      <c r="A153" t="str">
        <f ca="1"/>
        <v>PP-149</v>
      </c>
      <c r="B153" t="str">
        <f ca="1"/>
        <v>N23 - N24</v>
      </c>
      <c r="C153" t="str">
        <f ca="1"/>
        <v>AG-18</v>
      </c>
      <c r="D153" t="str">
        <f ca="1"/>
        <v>08 Prueba hidráulica - Interna N° 1</v>
      </c>
      <c r="E153" s="14" t="str">
        <f ca="1"/>
        <v>tramo</v>
      </c>
      <c r="F153" s="14">
        <f ca="1"/>
        <v>1</v>
      </c>
      <c r="G153" s="13" t="str">
        <f ca="1"/>
        <v>Pasaje N°3</v>
      </c>
      <c r="H153">
        <f ca="1"/>
        <v>110</v>
      </c>
      <c r="I153">
        <f ca="1"/>
        <v>0</v>
      </c>
      <c r="J153">
        <f ca="1"/>
        <v>0</v>
      </c>
      <c r="K153" t="str">
        <f ca="1">IF(A153="","",IF(COUNTIFS('03_Planificacion'!$B$5:$B$84,B153,'03_Planificacion'!$C$5:$C$84,D153)&gt;0,"SÍ","NO"))</f>
        <v>NO</v>
      </c>
      <c r="N153" t="str">
        <f t="shared" ca="1" si="2"/>
        <v>N23 - N24|08 Prueba hidráulica - Interna N° 1</v>
      </c>
    </row>
    <row r="154" spans="1:14">
      <c r="A154" t="str">
        <f ca="1"/>
        <v>PP-150</v>
      </c>
      <c r="B154" t="str">
        <f ca="1"/>
        <v>N25 - N30</v>
      </c>
      <c r="C154" t="str">
        <f ca="1"/>
        <v>AG-27</v>
      </c>
      <c r="D154" t="str">
        <f ca="1"/>
        <v>11 Relleno -0,30 - Compactación</v>
      </c>
      <c r="E154" s="14" t="str">
        <f ca="1"/>
        <v>m</v>
      </c>
      <c r="F154" s="14">
        <f ca="1"/>
        <v>76</v>
      </c>
      <c r="G154" s="13" t="str">
        <f ca="1"/>
        <v>Pasaje N°3</v>
      </c>
      <c r="H154">
        <f ca="1"/>
        <v>75</v>
      </c>
      <c r="I154">
        <f ca="1"/>
        <v>0</v>
      </c>
      <c r="J154">
        <f ca="1"/>
        <v>0</v>
      </c>
      <c r="K154" t="str">
        <f ca="1">IF(A154="","",IF(COUNTIFS('03_Planificacion'!$B$5:$B$84,B154,'03_Planificacion'!$C$5:$C$84,D154)&gt;0,"SÍ","NO"))</f>
        <v>SÍ</v>
      </c>
      <c r="N154" t="str">
        <f t="shared" ca="1" si="2"/>
        <v>N25 - N30|11 Relleno -0,30 - Compactación</v>
      </c>
    </row>
    <row r="155" spans="1:14">
      <c r="A155" t="str">
        <f ca="1"/>
        <v>PP-151</v>
      </c>
      <c r="B155" t="str">
        <f ca="1"/>
        <v>N25 - N30</v>
      </c>
      <c r="C155" t="str">
        <f ca="1"/>
        <v>HI-06</v>
      </c>
      <c r="D155" t="str">
        <f ca="1"/>
        <v>11 Relleno -0,30 - Inspección laboratorio</v>
      </c>
      <c r="E155" s="14" t="str">
        <f ca="1"/>
        <v>tramo</v>
      </c>
      <c r="F155" s="14">
        <f ca="1"/>
        <v>1</v>
      </c>
      <c r="G155" s="13" t="str">
        <f ca="1"/>
        <v>Pasaje N°3</v>
      </c>
      <c r="H155">
        <f ca="1"/>
        <v>75</v>
      </c>
      <c r="I155">
        <f ca="1"/>
        <v>0</v>
      </c>
      <c r="J155">
        <f ca="1"/>
        <v>0</v>
      </c>
      <c r="K155" t="str">
        <f ca="1">IF(A155="","",IF(COUNTIFS('03_Planificacion'!$B$5:$B$84,B155,'03_Planificacion'!$C$5:$C$84,D155)&gt;0,"SÍ","NO"))</f>
        <v>NO</v>
      </c>
      <c r="N155" t="str">
        <f t="shared" ca="1" si="2"/>
        <v>N25 - N30|11 Relleno -0,30 - Inspección laboratorio</v>
      </c>
    </row>
    <row r="156" spans="1:14" hidden="1">
      <c r="A156" t="str">
        <f ca="1"/>
        <v>PP-152</v>
      </c>
      <c r="B156" t="str">
        <f ca="1"/>
        <v>N26 - N27</v>
      </c>
      <c r="C156" t="str">
        <f ca="1"/>
        <v>AG-19</v>
      </c>
      <c r="D156" t="str">
        <f ca="1"/>
        <v>08 Prueba hidráulica - Interna N° 2</v>
      </c>
      <c r="E156" t="str">
        <f ca="1"/>
        <v>tramo</v>
      </c>
      <c r="F156">
        <f ca="1"/>
        <v>1</v>
      </c>
      <c r="G156" t="str">
        <f ca="1"/>
        <v>Pasaje N°8</v>
      </c>
      <c r="H156">
        <f ca="1"/>
        <v>75</v>
      </c>
      <c r="I156">
        <f ca="1"/>
        <v>0</v>
      </c>
      <c r="J156">
        <f ca="1"/>
        <v>0</v>
      </c>
      <c r="K156" t="str">
        <f ca="1">IF(A156="","",IF(COUNTIFS('03_Planificacion'!$B$5:$B$84,B156,'03_Planificacion'!$C$5:$C$84,D156)&gt;0,"SÍ","NO"))</f>
        <v>SÍ</v>
      </c>
      <c r="N156" t="str">
        <f t="shared" ca="1" si="2"/>
        <v>N26 - N27|08 Prueba hidráulica - Interna N° 2</v>
      </c>
    </row>
    <row r="157" spans="1:14" hidden="1">
      <c r="A157" t="str">
        <f ca="1"/>
        <v>PP-153</v>
      </c>
      <c r="B157" t="str">
        <f ca="1"/>
        <v>N26 - N27</v>
      </c>
      <c r="C157" t="str">
        <f ca="1"/>
        <v>HI-03</v>
      </c>
      <c r="D157" t="str">
        <f ca="1"/>
        <v>08 Prueba hidráulica - Primera prueba oficial</v>
      </c>
      <c r="E157" t="str">
        <f ca="1"/>
        <v>tramo</v>
      </c>
      <c r="F157">
        <f ca="1"/>
        <v>1</v>
      </c>
      <c r="G157" t="str">
        <f ca="1"/>
        <v>Pasaje N°8</v>
      </c>
      <c r="H157">
        <f ca="1"/>
        <v>75</v>
      </c>
      <c r="I157">
        <f ca="1"/>
        <v>0</v>
      </c>
      <c r="J157">
        <f ca="1"/>
        <v>0</v>
      </c>
      <c r="K157" t="str">
        <f ca="1">IF(A157="","",IF(COUNTIFS('03_Planificacion'!$B$5:$B$84,B157,'03_Planificacion'!$C$5:$C$84,D157)&gt;0,"SÍ","NO"))</f>
        <v>SÍ</v>
      </c>
      <c r="N157" t="str">
        <f t="shared" ca="1" si="2"/>
        <v>N26 - N27|08 Prueba hidráulica - Primera prueba oficial</v>
      </c>
    </row>
    <row r="158" spans="1:14" hidden="1">
      <c r="A158" t="str">
        <f ca="1"/>
        <v>PP-154</v>
      </c>
      <c r="B158" t="str">
        <f ca="1"/>
        <v>N26 - N27</v>
      </c>
      <c r="C158" t="str">
        <f ca="1"/>
        <v>AG-20</v>
      </c>
      <c r="D158" t="str">
        <f ca="1"/>
        <v>09 Paquete estructural - Aporte e=0,30 m</v>
      </c>
      <c r="E158" t="str">
        <f ca="1"/>
        <v>m</v>
      </c>
      <c r="F158">
        <f ca="1"/>
        <v>81</v>
      </c>
      <c r="G158" t="str">
        <f ca="1"/>
        <v>Pasaje N°8</v>
      </c>
      <c r="H158">
        <f ca="1"/>
        <v>75</v>
      </c>
      <c r="I158">
        <f ca="1"/>
        <v>0</v>
      </c>
      <c r="J158">
        <f ca="1"/>
        <v>0</v>
      </c>
      <c r="K158" t="str">
        <f ca="1">IF(A158="","",IF(COUNTIFS('03_Planificacion'!$B$5:$B$84,B158,'03_Planificacion'!$C$5:$C$84,D158)&gt;0,"SÍ","NO"))</f>
        <v>NO</v>
      </c>
      <c r="N158" t="str">
        <f t="shared" ca="1" si="2"/>
        <v>N26 - N27|09 Paquete estructural - Aporte e=0,30 m</v>
      </c>
    </row>
    <row r="159" spans="1:14" hidden="1">
      <c r="A159" t="str">
        <f ca="1"/>
        <v>PP-155</v>
      </c>
      <c r="B159" t="str">
        <f ca="1"/>
        <v>N26 - N27</v>
      </c>
      <c r="C159" t="str">
        <f ca="1"/>
        <v>AG-21</v>
      </c>
      <c r="D159" t="str">
        <f ca="1"/>
        <v>09 Paquete estructural - Compactación</v>
      </c>
      <c r="E159" t="str">
        <f ca="1"/>
        <v>m</v>
      </c>
      <c r="F159">
        <f ca="1"/>
        <v>81</v>
      </c>
      <c r="G159" t="str">
        <f ca="1"/>
        <v>Pasaje N°8</v>
      </c>
      <c r="H159">
        <f ca="1"/>
        <v>75</v>
      </c>
      <c r="I159">
        <f ca="1"/>
        <v>0</v>
      </c>
      <c r="J159">
        <f ca="1"/>
        <v>0</v>
      </c>
      <c r="K159" t="str">
        <f ca="1">IF(A159="","",IF(COUNTIFS('03_Planificacion'!$B$5:$B$84,B159,'03_Planificacion'!$C$5:$C$84,D159)&gt;0,"SÍ","NO"))</f>
        <v>NO</v>
      </c>
      <c r="N159" t="str">
        <f t="shared" ca="1" si="2"/>
        <v>N26 - N27|09 Paquete estructural - Compactación</v>
      </c>
    </row>
    <row r="160" spans="1:14" hidden="1">
      <c r="A160" t="str">
        <f ca="1"/>
        <v>PP-156</v>
      </c>
      <c r="B160" t="str">
        <f ca="1"/>
        <v>N26 - N27</v>
      </c>
      <c r="C160" t="str">
        <f ca="1"/>
        <v>HI-04</v>
      </c>
      <c r="D160" t="str">
        <f ca="1"/>
        <v>09 Paquete estructural - Inspección laboratorio</v>
      </c>
      <c r="E160" t="str">
        <f ca="1"/>
        <v>tramo</v>
      </c>
      <c r="F160">
        <f ca="1"/>
        <v>1</v>
      </c>
      <c r="G160" t="str">
        <f ca="1"/>
        <v>Pasaje N°8</v>
      </c>
      <c r="H160">
        <f ca="1"/>
        <v>75</v>
      </c>
      <c r="I160">
        <f ca="1"/>
        <v>0</v>
      </c>
      <c r="J160">
        <f ca="1"/>
        <v>0</v>
      </c>
      <c r="K160" t="str">
        <f ca="1">IF(A160="","",IF(COUNTIFS('03_Planificacion'!$B$5:$B$84,B160,'03_Planificacion'!$C$5:$C$84,D160)&gt;0,"SÍ","NO"))</f>
        <v>NO</v>
      </c>
      <c r="N160" t="str">
        <f t="shared" ca="1" si="2"/>
        <v>N26 - N27|09 Paquete estructural - Inspección laboratorio</v>
      </c>
    </row>
    <row r="161" spans="1:14" hidden="1">
      <c r="A161" t="str">
        <f ca="1"/>
        <v>PP-157</v>
      </c>
      <c r="B161" t="str">
        <f ca="1"/>
        <v>N26 - N27</v>
      </c>
      <c r="C161" t="str">
        <f ca="1"/>
        <v>AG-22</v>
      </c>
      <c r="D161" t="str">
        <f ca="1"/>
        <v>10 Relleno -0,60 - Conformación de capa</v>
      </c>
      <c r="E161" t="str">
        <f ca="1"/>
        <v>m</v>
      </c>
      <c r="F161">
        <f ca="1"/>
        <v>81</v>
      </c>
      <c r="G161" t="str">
        <f ca="1"/>
        <v>Pasaje N°8</v>
      </c>
      <c r="H161">
        <f ca="1"/>
        <v>75</v>
      </c>
      <c r="I161">
        <f ca="1"/>
        <v>0</v>
      </c>
      <c r="J161">
        <f ca="1"/>
        <v>0</v>
      </c>
      <c r="K161" t="str">
        <f ca="1">IF(A161="","",IF(COUNTIFS('03_Planificacion'!$B$5:$B$84,B161,'03_Planificacion'!$C$5:$C$84,D161)&gt;0,"SÍ","NO"))</f>
        <v>NO</v>
      </c>
      <c r="N161" t="str">
        <f t="shared" ca="1" si="2"/>
        <v>N26 - N27|10 Relleno -0,60 - Conformación de capa</v>
      </c>
    </row>
    <row r="162" spans="1:14" hidden="1">
      <c r="A162" t="str">
        <f ca="1"/>
        <v>PP-158</v>
      </c>
      <c r="B162" t="str">
        <f ca="1"/>
        <v>N26 - N27</v>
      </c>
      <c r="C162" t="str">
        <f ca="1"/>
        <v>AG-23</v>
      </c>
      <c r="D162" t="str">
        <f ca="1"/>
        <v>10 Relleno -0,60 - Humectación</v>
      </c>
      <c r="E162" t="str">
        <f ca="1"/>
        <v>m</v>
      </c>
      <c r="F162">
        <f ca="1"/>
        <v>81</v>
      </c>
      <c r="G162" t="str">
        <f ca="1"/>
        <v>Pasaje N°8</v>
      </c>
      <c r="H162">
        <f ca="1"/>
        <v>75</v>
      </c>
      <c r="I162">
        <f ca="1"/>
        <v>0</v>
      </c>
      <c r="J162">
        <f ca="1"/>
        <v>0</v>
      </c>
      <c r="K162" t="str">
        <f ca="1">IF(A162="","",IF(COUNTIFS('03_Planificacion'!$B$5:$B$84,B162,'03_Planificacion'!$C$5:$C$84,D162)&gt;0,"SÍ","NO"))</f>
        <v>NO</v>
      </c>
      <c r="N162" t="str">
        <f t="shared" ca="1" si="2"/>
        <v>N26 - N27|10 Relleno -0,60 - Humectación</v>
      </c>
    </row>
    <row r="163" spans="1:14" hidden="1">
      <c r="A163" t="str">
        <f ca="1"/>
        <v>PP-159</v>
      </c>
      <c r="B163" t="str">
        <f ca="1"/>
        <v>N26 - N27</v>
      </c>
      <c r="C163" t="str">
        <f ca="1"/>
        <v>AG-24</v>
      </c>
      <c r="D163" t="str">
        <f ca="1"/>
        <v>10 Relleno -0,60 - Compactación</v>
      </c>
      <c r="E163" t="str">
        <f ca="1"/>
        <v>m</v>
      </c>
      <c r="F163">
        <f ca="1"/>
        <v>81</v>
      </c>
      <c r="G163" t="str">
        <f ca="1"/>
        <v>Pasaje N°8</v>
      </c>
      <c r="H163">
        <f ca="1"/>
        <v>75</v>
      </c>
      <c r="I163">
        <f ca="1"/>
        <v>0</v>
      </c>
      <c r="J163">
        <f ca="1"/>
        <v>0</v>
      </c>
      <c r="K163" t="str">
        <f ca="1">IF(A163="","",IF(COUNTIFS('03_Planificacion'!$B$5:$B$84,B163,'03_Planificacion'!$C$5:$C$84,D163)&gt;0,"SÍ","NO"))</f>
        <v>NO</v>
      </c>
      <c r="N163" t="str">
        <f t="shared" ca="1" si="2"/>
        <v>N26 - N27|10 Relleno -0,60 - Compactación</v>
      </c>
    </row>
    <row r="164" spans="1:14" hidden="1">
      <c r="A164" t="str">
        <f ca="1"/>
        <v>PP-160</v>
      </c>
      <c r="B164" t="str">
        <f ca="1"/>
        <v>N26 - N27</v>
      </c>
      <c r="C164" t="str">
        <f ca="1"/>
        <v>HI-05</v>
      </c>
      <c r="D164" t="str">
        <f ca="1"/>
        <v>10 Relleno -0,60 - Inspección laboratorio</v>
      </c>
      <c r="E164" t="str">
        <f ca="1"/>
        <v>tramo</v>
      </c>
      <c r="F164">
        <f ca="1"/>
        <v>1</v>
      </c>
      <c r="G164" t="str">
        <f ca="1"/>
        <v>Pasaje N°8</v>
      </c>
      <c r="H164">
        <f ca="1"/>
        <v>75</v>
      </c>
      <c r="I164">
        <f ca="1"/>
        <v>0</v>
      </c>
      <c r="J164">
        <f ca="1"/>
        <v>0</v>
      </c>
      <c r="K164" t="str">
        <f ca="1">IF(A164="","",IF(COUNTIFS('03_Planificacion'!$B$5:$B$84,B164,'03_Planificacion'!$C$5:$C$84,D164)&gt;0,"SÍ","NO"))</f>
        <v>NO</v>
      </c>
      <c r="N164" t="str">
        <f t="shared" ca="1" si="2"/>
        <v>N26 - N27|10 Relleno -0,60 - Inspección laboratorio</v>
      </c>
    </row>
    <row r="165" spans="1:14" hidden="1">
      <c r="A165" t="str">
        <f ca="1"/>
        <v>PP-161</v>
      </c>
      <c r="B165" t="str">
        <f ca="1"/>
        <v>N26 - N27</v>
      </c>
      <c r="C165" t="str">
        <f ca="1"/>
        <v>AG-25</v>
      </c>
      <c r="D165" t="str">
        <f ca="1"/>
        <v>11 Relleno -0,30 - Conformación de capa</v>
      </c>
      <c r="E165" t="str">
        <f ca="1"/>
        <v>m</v>
      </c>
      <c r="F165">
        <f ca="1"/>
        <v>81</v>
      </c>
      <c r="G165" t="str">
        <f ca="1"/>
        <v>Pasaje N°8</v>
      </c>
      <c r="H165">
        <f ca="1"/>
        <v>75</v>
      </c>
      <c r="I165">
        <f ca="1"/>
        <v>0</v>
      </c>
      <c r="J165">
        <f ca="1"/>
        <v>0</v>
      </c>
      <c r="K165" t="str">
        <f ca="1">IF(A165="","",IF(COUNTIFS('03_Planificacion'!$B$5:$B$84,B165,'03_Planificacion'!$C$5:$C$84,D165)&gt;0,"SÍ","NO"))</f>
        <v>NO</v>
      </c>
      <c r="N165" t="str">
        <f t="shared" ca="1" si="2"/>
        <v>N26 - N27|11 Relleno -0,30 - Conformación de capa</v>
      </c>
    </row>
    <row r="166" spans="1:14" hidden="1">
      <c r="A166" t="str">
        <f ca="1"/>
        <v>PP-162</v>
      </c>
      <c r="B166" t="str">
        <f ca="1"/>
        <v>N26 - N27</v>
      </c>
      <c r="C166" t="str">
        <f ca="1"/>
        <v>AG-26</v>
      </c>
      <c r="D166" t="str">
        <f ca="1"/>
        <v>11 Relleno -0,30 - Humectación</v>
      </c>
      <c r="E166" t="str">
        <f ca="1"/>
        <v>m</v>
      </c>
      <c r="F166">
        <f ca="1"/>
        <v>81</v>
      </c>
      <c r="G166" t="str">
        <f ca="1"/>
        <v>Pasaje N°8</v>
      </c>
      <c r="H166">
        <f ca="1"/>
        <v>75</v>
      </c>
      <c r="I166">
        <f ca="1"/>
        <v>0</v>
      </c>
      <c r="J166">
        <f ca="1"/>
        <v>0</v>
      </c>
      <c r="K166" t="str">
        <f ca="1">IF(A166="","",IF(COUNTIFS('03_Planificacion'!$B$5:$B$84,B166,'03_Planificacion'!$C$5:$C$84,D166)&gt;0,"SÍ","NO"))</f>
        <v>NO</v>
      </c>
      <c r="N166" t="str">
        <f t="shared" ca="1" si="2"/>
        <v>N26 - N27|11 Relleno -0,30 - Humectación</v>
      </c>
    </row>
    <row r="167" spans="1:14" hidden="1">
      <c r="A167" t="str">
        <f ca="1"/>
        <v>PP-163</v>
      </c>
      <c r="B167" t="str">
        <f ca="1"/>
        <v>N26 - N27</v>
      </c>
      <c r="C167" t="str">
        <f ca="1"/>
        <v>AG-27</v>
      </c>
      <c r="D167" t="str">
        <f ca="1"/>
        <v>11 Relleno -0,30 - Compactación</v>
      </c>
      <c r="E167" t="str">
        <f ca="1"/>
        <v>m</v>
      </c>
      <c r="F167">
        <f ca="1"/>
        <v>81</v>
      </c>
      <c r="G167" t="str">
        <f ca="1"/>
        <v>Pasaje N°8</v>
      </c>
      <c r="H167">
        <f ca="1"/>
        <v>75</v>
      </c>
      <c r="I167">
        <f ca="1"/>
        <v>0</v>
      </c>
      <c r="J167">
        <f ca="1"/>
        <v>0</v>
      </c>
      <c r="K167" t="str">
        <f ca="1">IF(A167="","",IF(COUNTIFS('03_Planificacion'!$B$5:$B$84,B167,'03_Planificacion'!$C$5:$C$84,D167)&gt;0,"SÍ","NO"))</f>
        <v>NO</v>
      </c>
      <c r="N167" t="str">
        <f t="shared" ca="1" si="2"/>
        <v>N26 - N27|11 Relleno -0,30 - Compactación</v>
      </c>
    </row>
    <row r="168" spans="1:14" hidden="1">
      <c r="A168" t="str">
        <f ca="1"/>
        <v>PP-164</v>
      </c>
      <c r="B168" t="str">
        <f ca="1"/>
        <v>N26 - N27</v>
      </c>
      <c r="C168" t="str">
        <f ca="1"/>
        <v>HI-06</v>
      </c>
      <c r="D168" t="str">
        <f ca="1"/>
        <v>11 Relleno -0,30 - Inspección laboratorio</v>
      </c>
      <c r="E168" t="str">
        <f ca="1"/>
        <v>tramo</v>
      </c>
      <c r="F168">
        <f ca="1"/>
        <v>1</v>
      </c>
      <c r="G168" t="str">
        <f ca="1"/>
        <v>Pasaje N°8</v>
      </c>
      <c r="H168">
        <f ca="1"/>
        <v>75</v>
      </c>
      <c r="I168">
        <f ca="1"/>
        <v>0</v>
      </c>
      <c r="J168">
        <f ca="1"/>
        <v>0</v>
      </c>
      <c r="K168" t="str">
        <f ca="1">IF(A168="","",IF(COUNTIFS('03_Planificacion'!$B$5:$B$84,B168,'03_Planificacion'!$C$5:$C$84,D168)&gt;0,"SÍ","NO"))</f>
        <v>NO</v>
      </c>
      <c r="N168" t="str">
        <f t="shared" ca="1" si="2"/>
        <v>N26 - N27|11 Relleno -0,30 - Inspección laboratorio</v>
      </c>
    </row>
    <row r="169" spans="1:14" hidden="1">
      <c r="A169" t="str">
        <f ca="1"/>
        <v>PP-165</v>
      </c>
      <c r="B169" t="str">
        <f ca="1"/>
        <v>N27 - N28</v>
      </c>
      <c r="C169" t="str">
        <f ca="1"/>
        <v>AG-19</v>
      </c>
      <c r="D169" t="str">
        <f ca="1"/>
        <v>08 Prueba hidráulica - Interna N° 2</v>
      </c>
      <c r="E169" t="str">
        <f ca="1"/>
        <v>tramo</v>
      </c>
      <c r="F169">
        <f ca="1"/>
        <v>1</v>
      </c>
      <c r="G169" t="str">
        <f ca="1"/>
        <v>Pasaje N°8</v>
      </c>
      <c r="H169">
        <f ca="1"/>
        <v>75</v>
      </c>
      <c r="I169">
        <f ca="1"/>
        <v>0</v>
      </c>
      <c r="J169">
        <f ca="1"/>
        <v>0</v>
      </c>
      <c r="K169" t="str">
        <f ca="1">IF(A169="","",IF(COUNTIFS('03_Planificacion'!$B$5:$B$84,B169,'03_Planificacion'!$C$5:$C$84,D169)&gt;0,"SÍ","NO"))</f>
        <v>SÍ</v>
      </c>
      <c r="N169" t="str">
        <f t="shared" ca="1" si="2"/>
        <v>N27 - N28|08 Prueba hidráulica - Interna N° 2</v>
      </c>
    </row>
    <row r="170" spans="1:14" hidden="1">
      <c r="A170" t="str">
        <f ca="1"/>
        <v>PP-166</v>
      </c>
      <c r="B170" t="str">
        <f ca="1"/>
        <v>N27 - N28</v>
      </c>
      <c r="C170" t="str">
        <f ca="1"/>
        <v>HI-03</v>
      </c>
      <c r="D170" t="str">
        <f ca="1"/>
        <v>08 Prueba hidráulica - Primera prueba oficial</v>
      </c>
      <c r="E170" t="str">
        <f ca="1"/>
        <v>tramo</v>
      </c>
      <c r="F170">
        <f ca="1"/>
        <v>1</v>
      </c>
      <c r="G170" t="str">
        <f ca="1"/>
        <v>Pasaje N°8</v>
      </c>
      <c r="H170">
        <f ca="1"/>
        <v>75</v>
      </c>
      <c r="I170">
        <f ca="1"/>
        <v>0</v>
      </c>
      <c r="J170">
        <f ca="1"/>
        <v>0</v>
      </c>
      <c r="K170" t="str">
        <f ca="1">IF(A170="","",IF(COUNTIFS('03_Planificacion'!$B$5:$B$84,B170,'03_Planificacion'!$C$5:$C$84,D170)&gt;0,"SÍ","NO"))</f>
        <v>SÍ</v>
      </c>
      <c r="N170" t="str">
        <f t="shared" ca="1" si="2"/>
        <v>N27 - N28|08 Prueba hidráulica - Primera prueba oficial</v>
      </c>
    </row>
    <row r="171" spans="1:14" hidden="1">
      <c r="A171" t="str">
        <f ca="1"/>
        <v>PP-167</v>
      </c>
      <c r="B171" t="str">
        <f ca="1"/>
        <v>N27 - N28</v>
      </c>
      <c r="C171" t="str">
        <f ca="1"/>
        <v>AG-20</v>
      </c>
      <c r="D171" t="str">
        <f ca="1"/>
        <v>09 Paquete estructural - Aporte e=0,30 m</v>
      </c>
      <c r="E171" t="str">
        <f ca="1"/>
        <v>m</v>
      </c>
      <c r="F171">
        <f ca="1"/>
        <v>82</v>
      </c>
      <c r="G171" t="str">
        <f ca="1"/>
        <v>Pasaje N°8</v>
      </c>
      <c r="H171">
        <f ca="1"/>
        <v>75</v>
      </c>
      <c r="I171">
        <f ca="1"/>
        <v>0</v>
      </c>
      <c r="J171">
        <f ca="1"/>
        <v>0</v>
      </c>
      <c r="K171" t="str">
        <f ca="1">IF(A171="","",IF(COUNTIFS('03_Planificacion'!$B$5:$B$84,B171,'03_Planificacion'!$C$5:$C$84,D171)&gt;0,"SÍ","NO"))</f>
        <v>NO</v>
      </c>
      <c r="N171" t="str">
        <f t="shared" ca="1" si="2"/>
        <v>N27 - N28|09 Paquete estructural - Aporte e=0,30 m</v>
      </c>
    </row>
    <row r="172" spans="1:14" hidden="1">
      <c r="A172" t="str">
        <f ca="1"/>
        <v>PP-168</v>
      </c>
      <c r="B172" t="str">
        <f ca="1"/>
        <v>N27 - N28</v>
      </c>
      <c r="C172" t="str">
        <f ca="1"/>
        <v>AG-21</v>
      </c>
      <c r="D172" t="str">
        <f ca="1"/>
        <v>09 Paquete estructural - Compactación</v>
      </c>
      <c r="E172" t="str">
        <f ca="1"/>
        <v>m</v>
      </c>
      <c r="F172">
        <f ca="1"/>
        <v>82</v>
      </c>
      <c r="G172" t="str">
        <f ca="1"/>
        <v>Pasaje N°8</v>
      </c>
      <c r="H172">
        <f ca="1"/>
        <v>75</v>
      </c>
      <c r="I172">
        <f ca="1"/>
        <v>0</v>
      </c>
      <c r="J172">
        <f ca="1"/>
        <v>0</v>
      </c>
      <c r="K172" t="str">
        <f ca="1">IF(A172="","",IF(COUNTIFS('03_Planificacion'!$B$5:$B$84,B172,'03_Planificacion'!$C$5:$C$84,D172)&gt;0,"SÍ","NO"))</f>
        <v>NO</v>
      </c>
      <c r="N172" t="str">
        <f t="shared" ca="1" si="2"/>
        <v>N27 - N28|09 Paquete estructural - Compactación</v>
      </c>
    </row>
    <row r="173" spans="1:14" hidden="1">
      <c r="A173" t="str">
        <f ca="1"/>
        <v>PP-169</v>
      </c>
      <c r="B173" t="str">
        <f ca="1"/>
        <v>N27 - N28</v>
      </c>
      <c r="C173" t="str">
        <f ca="1"/>
        <v>HI-04</v>
      </c>
      <c r="D173" t="str">
        <f ca="1"/>
        <v>09 Paquete estructural - Inspección laboratorio</v>
      </c>
      <c r="E173" t="str">
        <f ca="1"/>
        <v>tramo</v>
      </c>
      <c r="F173">
        <f ca="1"/>
        <v>1</v>
      </c>
      <c r="G173" t="str">
        <f ca="1"/>
        <v>Pasaje N°8</v>
      </c>
      <c r="H173">
        <f ca="1"/>
        <v>75</v>
      </c>
      <c r="I173">
        <f ca="1"/>
        <v>0</v>
      </c>
      <c r="J173">
        <f ca="1"/>
        <v>0</v>
      </c>
      <c r="K173" t="str">
        <f ca="1">IF(A173="","",IF(COUNTIFS('03_Planificacion'!$B$5:$B$84,B173,'03_Planificacion'!$C$5:$C$84,D173)&gt;0,"SÍ","NO"))</f>
        <v>NO</v>
      </c>
      <c r="N173" t="str">
        <f t="shared" ca="1" si="2"/>
        <v>N27 - N28|09 Paquete estructural - Inspección laboratorio</v>
      </c>
    </row>
    <row r="174" spans="1:14" hidden="1">
      <c r="A174" t="str">
        <f ca="1"/>
        <v>PP-170</v>
      </c>
      <c r="B174" t="str">
        <f ca="1"/>
        <v>N27 - N28</v>
      </c>
      <c r="C174" t="str">
        <f ca="1"/>
        <v>AG-22</v>
      </c>
      <c r="D174" t="str">
        <f ca="1"/>
        <v>10 Relleno -0,60 - Conformación de capa</v>
      </c>
      <c r="E174" t="str">
        <f ca="1"/>
        <v>m</v>
      </c>
      <c r="F174">
        <f ca="1"/>
        <v>82</v>
      </c>
      <c r="G174" t="str">
        <f ca="1"/>
        <v>Pasaje N°8</v>
      </c>
      <c r="H174">
        <f ca="1"/>
        <v>75</v>
      </c>
      <c r="I174">
        <f ca="1"/>
        <v>0</v>
      </c>
      <c r="J174">
        <f ca="1"/>
        <v>0</v>
      </c>
      <c r="K174" t="str">
        <f ca="1">IF(A174="","",IF(COUNTIFS('03_Planificacion'!$B$5:$B$84,B174,'03_Planificacion'!$C$5:$C$84,D174)&gt;0,"SÍ","NO"))</f>
        <v>NO</v>
      </c>
      <c r="N174" t="str">
        <f t="shared" ca="1" si="2"/>
        <v>N27 - N28|10 Relleno -0,60 - Conformación de capa</v>
      </c>
    </row>
    <row r="175" spans="1:14" hidden="1">
      <c r="A175" t="str">
        <f ca="1"/>
        <v>PP-171</v>
      </c>
      <c r="B175" t="str">
        <f ca="1"/>
        <v>N27 - N28</v>
      </c>
      <c r="C175" t="str">
        <f ca="1"/>
        <v>AG-23</v>
      </c>
      <c r="D175" t="str">
        <f ca="1"/>
        <v>10 Relleno -0,60 - Humectación</v>
      </c>
      <c r="E175" t="str">
        <f ca="1"/>
        <v>m</v>
      </c>
      <c r="F175">
        <f ca="1"/>
        <v>82</v>
      </c>
      <c r="G175" t="str">
        <f ca="1"/>
        <v>Pasaje N°8</v>
      </c>
      <c r="H175">
        <f ca="1"/>
        <v>75</v>
      </c>
      <c r="I175">
        <f ca="1"/>
        <v>0</v>
      </c>
      <c r="J175">
        <f ca="1"/>
        <v>0</v>
      </c>
      <c r="K175" t="str">
        <f ca="1">IF(A175="","",IF(COUNTIFS('03_Planificacion'!$B$5:$B$84,B175,'03_Planificacion'!$C$5:$C$84,D175)&gt;0,"SÍ","NO"))</f>
        <v>NO</v>
      </c>
      <c r="N175" t="str">
        <f t="shared" ca="1" si="2"/>
        <v>N27 - N28|10 Relleno -0,60 - Humectación</v>
      </c>
    </row>
    <row r="176" spans="1:14" hidden="1">
      <c r="A176" t="str">
        <f ca="1"/>
        <v>PP-172</v>
      </c>
      <c r="B176" t="str">
        <f ca="1"/>
        <v>N27 - N28</v>
      </c>
      <c r="C176" t="str">
        <f ca="1"/>
        <v>AG-24</v>
      </c>
      <c r="D176" t="str">
        <f ca="1"/>
        <v>10 Relleno -0,60 - Compactación</v>
      </c>
      <c r="E176" t="str">
        <f ca="1"/>
        <v>m</v>
      </c>
      <c r="F176">
        <f ca="1"/>
        <v>82</v>
      </c>
      <c r="G176" t="str">
        <f ca="1"/>
        <v>Pasaje N°8</v>
      </c>
      <c r="H176">
        <f ca="1"/>
        <v>75</v>
      </c>
      <c r="I176">
        <f ca="1"/>
        <v>0</v>
      </c>
      <c r="J176">
        <f ca="1"/>
        <v>0</v>
      </c>
      <c r="K176" t="str">
        <f ca="1">IF(A176="","",IF(COUNTIFS('03_Planificacion'!$B$5:$B$84,B176,'03_Planificacion'!$C$5:$C$84,D176)&gt;0,"SÍ","NO"))</f>
        <v>NO</v>
      </c>
      <c r="N176" t="str">
        <f t="shared" ca="1" si="2"/>
        <v>N27 - N28|10 Relleno -0,60 - Compactación</v>
      </c>
    </row>
    <row r="177" spans="1:14" hidden="1">
      <c r="A177" t="str">
        <f ca="1"/>
        <v>PP-173</v>
      </c>
      <c r="B177" t="str">
        <f ca="1"/>
        <v>N27 - N28</v>
      </c>
      <c r="C177" t="str">
        <f ca="1"/>
        <v>HI-05</v>
      </c>
      <c r="D177" t="str">
        <f ca="1"/>
        <v>10 Relleno -0,60 - Inspección laboratorio</v>
      </c>
      <c r="E177" t="str">
        <f ca="1"/>
        <v>tramo</v>
      </c>
      <c r="F177">
        <f ca="1"/>
        <v>1</v>
      </c>
      <c r="G177" t="str">
        <f ca="1"/>
        <v>Pasaje N°8</v>
      </c>
      <c r="H177">
        <f ca="1"/>
        <v>75</v>
      </c>
      <c r="I177">
        <f ca="1"/>
        <v>0</v>
      </c>
      <c r="J177">
        <f ca="1"/>
        <v>0</v>
      </c>
      <c r="K177" t="str">
        <f ca="1">IF(A177="","",IF(COUNTIFS('03_Planificacion'!$B$5:$B$84,B177,'03_Planificacion'!$C$5:$C$84,D177)&gt;0,"SÍ","NO"))</f>
        <v>NO</v>
      </c>
      <c r="N177" t="str">
        <f t="shared" ca="1" si="2"/>
        <v>N27 - N28|10 Relleno -0,60 - Inspección laboratorio</v>
      </c>
    </row>
    <row r="178" spans="1:14" hidden="1">
      <c r="A178" t="str">
        <f ca="1"/>
        <v>PP-174</v>
      </c>
      <c r="B178" t="str">
        <f ca="1"/>
        <v>N27 - N28</v>
      </c>
      <c r="C178" t="str">
        <f ca="1"/>
        <v>AG-25</v>
      </c>
      <c r="D178" t="str">
        <f ca="1"/>
        <v>11 Relleno -0,30 - Conformación de capa</v>
      </c>
      <c r="E178" t="str">
        <f ca="1"/>
        <v>m</v>
      </c>
      <c r="F178">
        <f ca="1"/>
        <v>82</v>
      </c>
      <c r="G178" t="str">
        <f ca="1"/>
        <v>Pasaje N°8</v>
      </c>
      <c r="H178">
        <f ca="1"/>
        <v>75</v>
      </c>
      <c r="I178">
        <f ca="1"/>
        <v>0</v>
      </c>
      <c r="J178">
        <f ca="1"/>
        <v>0</v>
      </c>
      <c r="K178" t="str">
        <f ca="1">IF(A178="","",IF(COUNTIFS('03_Planificacion'!$B$5:$B$84,B178,'03_Planificacion'!$C$5:$C$84,D178)&gt;0,"SÍ","NO"))</f>
        <v>NO</v>
      </c>
      <c r="N178" t="str">
        <f t="shared" ca="1" si="2"/>
        <v>N27 - N28|11 Relleno -0,30 - Conformación de capa</v>
      </c>
    </row>
    <row r="179" spans="1:14" hidden="1">
      <c r="A179" t="str">
        <f ca="1"/>
        <v>PP-175</v>
      </c>
      <c r="B179" t="str">
        <f ca="1"/>
        <v>N27 - N28</v>
      </c>
      <c r="C179" t="str">
        <f ca="1"/>
        <v>AG-26</v>
      </c>
      <c r="D179" t="str">
        <f ca="1"/>
        <v>11 Relleno -0,30 - Humectación</v>
      </c>
      <c r="E179" t="str">
        <f ca="1"/>
        <v>m</v>
      </c>
      <c r="F179">
        <f ca="1"/>
        <v>82</v>
      </c>
      <c r="G179" t="str">
        <f ca="1"/>
        <v>Pasaje N°8</v>
      </c>
      <c r="H179">
        <f ca="1"/>
        <v>75</v>
      </c>
      <c r="I179">
        <f ca="1"/>
        <v>0</v>
      </c>
      <c r="J179">
        <f ca="1"/>
        <v>0</v>
      </c>
      <c r="K179" t="str">
        <f ca="1">IF(A179="","",IF(COUNTIFS('03_Planificacion'!$B$5:$B$84,B179,'03_Planificacion'!$C$5:$C$84,D179)&gt;0,"SÍ","NO"))</f>
        <v>NO</v>
      </c>
      <c r="N179" t="str">
        <f t="shared" ca="1" si="2"/>
        <v>N27 - N28|11 Relleno -0,30 - Humectación</v>
      </c>
    </row>
    <row r="180" spans="1:14" hidden="1">
      <c r="A180" t="str">
        <f ca="1"/>
        <v>PP-176</v>
      </c>
      <c r="B180" t="str">
        <f ca="1"/>
        <v>N27 - N28</v>
      </c>
      <c r="C180" t="str">
        <f ca="1"/>
        <v>AG-27</v>
      </c>
      <c r="D180" t="str">
        <f ca="1"/>
        <v>11 Relleno -0,30 - Compactación</v>
      </c>
      <c r="E180" t="str">
        <f ca="1"/>
        <v>m</v>
      </c>
      <c r="F180">
        <f ca="1"/>
        <v>82</v>
      </c>
      <c r="G180" t="str">
        <f ca="1"/>
        <v>Pasaje N°8</v>
      </c>
      <c r="H180">
        <f ca="1"/>
        <v>75</v>
      </c>
      <c r="I180">
        <f ca="1"/>
        <v>0</v>
      </c>
      <c r="J180">
        <f ca="1"/>
        <v>0</v>
      </c>
      <c r="K180" t="str">
        <f ca="1">IF(A180="","",IF(COUNTIFS('03_Planificacion'!$B$5:$B$84,B180,'03_Planificacion'!$C$5:$C$84,D180)&gt;0,"SÍ","NO"))</f>
        <v>NO</v>
      </c>
      <c r="N180" t="str">
        <f t="shared" ca="1" si="2"/>
        <v>N27 - N28|11 Relleno -0,30 - Compactación</v>
      </c>
    </row>
    <row r="181" spans="1:14" hidden="1">
      <c r="A181" t="str">
        <f ca="1"/>
        <v>PP-177</v>
      </c>
      <c r="B181" t="str">
        <f ca="1"/>
        <v>N27 - N28</v>
      </c>
      <c r="C181" t="str">
        <f ca="1"/>
        <v>HI-06</v>
      </c>
      <c r="D181" t="str">
        <f ca="1"/>
        <v>11 Relleno -0,30 - Inspección laboratorio</v>
      </c>
      <c r="E181" t="str">
        <f ca="1"/>
        <v>tramo</v>
      </c>
      <c r="F181">
        <f ca="1"/>
        <v>1</v>
      </c>
      <c r="G181" t="str">
        <f ca="1"/>
        <v>Pasaje N°8</v>
      </c>
      <c r="H181">
        <f ca="1"/>
        <v>75</v>
      </c>
      <c r="I181">
        <f ca="1"/>
        <v>0</v>
      </c>
      <c r="J181">
        <f ca="1"/>
        <v>0</v>
      </c>
      <c r="K181" t="str">
        <f ca="1">IF(A181="","",IF(COUNTIFS('03_Planificacion'!$B$5:$B$84,B181,'03_Planificacion'!$C$5:$C$84,D181)&gt;0,"SÍ","NO"))</f>
        <v>NO</v>
      </c>
      <c r="N181" t="str">
        <f t="shared" ca="1" si="2"/>
        <v>N27 - N28|11 Relleno -0,30 - Inspección laboratorio</v>
      </c>
    </row>
    <row r="182" spans="1:14">
      <c r="A182" t="str">
        <f ca="1"/>
        <v>PP-178</v>
      </c>
      <c r="B182" t="str">
        <f ca="1"/>
        <v>N28 - N29</v>
      </c>
      <c r="C182" t="str">
        <f ca="1"/>
        <v>AG-27</v>
      </c>
      <c r="D182" t="str">
        <f ca="1"/>
        <v>11 Relleno -0,30 - Compactación</v>
      </c>
      <c r="E182" s="14" t="str">
        <f ca="1"/>
        <v>m</v>
      </c>
      <c r="F182" s="14">
        <f ca="1"/>
        <v>100</v>
      </c>
      <c r="G182" s="13" t="str">
        <f ca="1"/>
        <v>Pasaje N°8</v>
      </c>
      <c r="H182">
        <f ca="1"/>
        <v>75</v>
      </c>
      <c r="I182">
        <f ca="1"/>
        <v>0</v>
      </c>
      <c r="J182">
        <f ca="1"/>
        <v>0</v>
      </c>
      <c r="K182" t="str">
        <f ca="1">IF(A182="","",IF(COUNTIFS('03_Planificacion'!$B$5:$B$84,B182,'03_Planificacion'!$C$5:$C$84,D182)&gt;0,"SÍ","NO"))</f>
        <v>SÍ</v>
      </c>
      <c r="N182" t="str">
        <f t="shared" ca="1" si="2"/>
        <v>N28 - N29|11 Relleno -0,30 - Compactación</v>
      </c>
    </row>
    <row r="183" spans="1:14">
      <c r="A183" t="str">
        <f ca="1"/>
        <v>PP-179</v>
      </c>
      <c r="B183" t="str">
        <f ca="1"/>
        <v>N28 - N29</v>
      </c>
      <c r="C183" t="str">
        <f ca="1"/>
        <v>HI-06</v>
      </c>
      <c r="D183" t="str">
        <f ca="1"/>
        <v>11 Relleno -0,30 - Inspección laboratorio</v>
      </c>
      <c r="E183" s="14" t="str">
        <f ca="1"/>
        <v>tramo</v>
      </c>
      <c r="F183" s="14">
        <f ca="1"/>
        <v>1</v>
      </c>
      <c r="G183" s="13" t="str">
        <f ca="1"/>
        <v>Pasaje N°8</v>
      </c>
      <c r="H183">
        <f ca="1"/>
        <v>75</v>
      </c>
      <c r="I183">
        <f ca="1"/>
        <v>0</v>
      </c>
      <c r="J183">
        <f ca="1"/>
        <v>0</v>
      </c>
      <c r="K183" t="str">
        <f ca="1">IF(A183="","",IF(COUNTIFS('03_Planificacion'!$B$5:$B$84,B183,'03_Planificacion'!$C$5:$C$84,D183)&gt;0,"SÍ","NO"))</f>
        <v>NO</v>
      </c>
      <c r="N183" t="str">
        <f t="shared" ca="1" si="2"/>
        <v>N28 - N29|11 Relleno -0,30 - Inspección laboratorio</v>
      </c>
    </row>
    <row r="184" spans="1:14" hidden="1">
      <c r="A184" t="str">
        <f ca="1"/>
        <v>PP-180</v>
      </c>
      <c r="B184" t="str">
        <f ca="1"/>
        <v>N29 - N30</v>
      </c>
      <c r="C184" t="str">
        <f ca="1"/>
        <v>AG-27</v>
      </c>
      <c r="D184" t="str">
        <f ca="1"/>
        <v>11 Relleno -0,30 - Compactación</v>
      </c>
      <c r="E184" t="str">
        <f ca="1"/>
        <v>m</v>
      </c>
      <c r="F184">
        <f ca="1"/>
        <v>106</v>
      </c>
      <c r="G184" t="str">
        <f ca="1"/>
        <v>Pasaje N°8</v>
      </c>
      <c r="H184">
        <f ca="1"/>
        <v>75</v>
      </c>
      <c r="I184">
        <f ca="1"/>
        <v>0</v>
      </c>
      <c r="J184">
        <f ca="1"/>
        <v>0</v>
      </c>
      <c r="K184" t="str">
        <f ca="1">IF(A184="","",IF(COUNTIFS('03_Planificacion'!$B$5:$B$84,B184,'03_Planificacion'!$C$5:$C$84,D184)&gt;0,"SÍ","NO"))</f>
        <v>SÍ</v>
      </c>
      <c r="N184" t="str">
        <f t="shared" ca="1" si="2"/>
        <v>N29 - N30|11 Relleno -0,30 - Compactación</v>
      </c>
    </row>
    <row r="185" spans="1:14" hidden="1">
      <c r="A185" t="str">
        <f ca="1"/>
        <v>PP-181</v>
      </c>
      <c r="B185" t="str">
        <f ca="1"/>
        <v>N29 - N30</v>
      </c>
      <c r="C185" t="str">
        <f ca="1"/>
        <v>HI-06</v>
      </c>
      <c r="D185" t="str">
        <f ca="1"/>
        <v>11 Relleno -0,30 - Inspección laboratorio</v>
      </c>
      <c r="E185" t="str">
        <f ca="1"/>
        <v>tramo</v>
      </c>
      <c r="F185">
        <f ca="1"/>
        <v>1</v>
      </c>
      <c r="G185" t="str">
        <f ca="1"/>
        <v>Pasaje N°8</v>
      </c>
      <c r="H185">
        <f ca="1"/>
        <v>75</v>
      </c>
      <c r="I185">
        <f ca="1"/>
        <v>0</v>
      </c>
      <c r="J185">
        <f ca="1"/>
        <v>0</v>
      </c>
      <c r="K185" t="str">
        <f ca="1">IF(A185="","",IF(COUNTIFS('03_Planificacion'!$B$5:$B$84,B185,'03_Planificacion'!$C$5:$C$84,D185)&gt;0,"SÍ","NO"))</f>
        <v>NO</v>
      </c>
      <c r="N185" t="str">
        <f t="shared" ca="1" si="2"/>
        <v>N29 - N30|11 Relleno -0,30 - Inspección laboratorio</v>
      </c>
    </row>
    <row r="186" spans="1:14" hidden="1">
      <c r="A186" t="str">
        <f>IF(B186="","","PP-"&amp;182)</f>
        <v/>
      </c>
      <c r="E186"/>
      <c r="F186"/>
      <c r="K186" t="str">
        <f>IF(A186="","",IF(COUNTIFS('03_Planificacion'!$B$5:$B$84,B186,'03_Planificacion'!$C$5:$C$84,D186)&gt;0,"SÍ","NO"))</f>
        <v/>
      </c>
      <c r="N186" t="str">
        <f t="shared" si="2"/>
        <v/>
      </c>
    </row>
    <row r="187" spans="1:14" hidden="1">
      <c r="A187" t="str">
        <f>IF(B187="","","PP-"&amp;183)</f>
        <v/>
      </c>
      <c r="E187"/>
      <c r="F187"/>
      <c r="K187" t="str">
        <f>IF(A187="","",IF(COUNTIFS('03_Planificacion'!$B$5:$B$84,B187,'03_Planificacion'!$C$5:$C$84,D187)&gt;0,"SÍ","NO"))</f>
        <v/>
      </c>
      <c r="N187" t="str">
        <f t="shared" si="2"/>
        <v/>
      </c>
    </row>
    <row r="188" spans="1:14" hidden="1">
      <c r="A188" t="str">
        <f>IF(B188="","","PP-"&amp;184)</f>
        <v/>
      </c>
      <c r="E188"/>
      <c r="F188"/>
      <c r="K188" t="str">
        <f>IF(A188="","",IF(COUNTIFS('03_Planificacion'!$B$5:$B$84,B188,'03_Planificacion'!$C$5:$C$84,D188)&gt;0,"SÍ","NO"))</f>
        <v/>
      </c>
      <c r="N188" t="str">
        <f t="shared" si="2"/>
        <v/>
      </c>
    </row>
    <row r="189" spans="1:14" hidden="1">
      <c r="A189" t="str">
        <f>IF(B189="","","PP-"&amp;185)</f>
        <v/>
      </c>
      <c r="E189"/>
      <c r="F189"/>
      <c r="K189" t="str">
        <f>IF(A189="","",IF(COUNTIFS('03_Planificacion'!$B$5:$B$84,B189,'03_Planificacion'!$C$5:$C$84,D189)&gt;0,"SÍ","NO"))</f>
        <v/>
      </c>
      <c r="N189" t="str">
        <f t="shared" si="2"/>
        <v/>
      </c>
    </row>
    <row r="190" spans="1:14" hidden="1">
      <c r="A190" t="str">
        <f>IF(B190="","","PP-"&amp;186)</f>
        <v/>
      </c>
      <c r="E190"/>
      <c r="F190"/>
      <c r="K190" t="str">
        <f>IF(A190="","",IF(COUNTIFS('03_Planificacion'!$B$5:$B$84,B190,'03_Planificacion'!$C$5:$C$84,D190)&gt;0,"SÍ","NO"))</f>
        <v/>
      </c>
      <c r="N190" t="str">
        <f t="shared" si="2"/>
        <v/>
      </c>
    </row>
    <row r="191" spans="1:14" hidden="1">
      <c r="A191" t="str">
        <f>IF(B191="","","PP-"&amp;187)</f>
        <v/>
      </c>
      <c r="E191"/>
      <c r="F191"/>
      <c r="K191" t="str">
        <f>IF(A191="","",IF(COUNTIFS('03_Planificacion'!$B$5:$B$84,B191,'03_Planificacion'!$C$5:$C$84,D191)&gt;0,"SÍ","NO"))</f>
        <v/>
      </c>
      <c r="N191" t="str">
        <f t="shared" si="2"/>
        <v/>
      </c>
    </row>
    <row r="192" spans="1:14" hidden="1">
      <c r="A192" t="str">
        <f>IF(B192="","","PP-"&amp;188)</f>
        <v/>
      </c>
      <c r="E192"/>
      <c r="F192"/>
      <c r="K192" t="str">
        <f>IF(A192="","",IF(COUNTIFS('03_Planificacion'!$B$5:$B$84,B192,'03_Planificacion'!$C$5:$C$84,D192)&gt;0,"SÍ","NO"))</f>
        <v/>
      </c>
      <c r="N192" t="str">
        <f t="shared" si="2"/>
        <v/>
      </c>
    </row>
    <row r="193" spans="1:14" hidden="1">
      <c r="A193" t="str">
        <f>IF(B193="","","PP-"&amp;189)</f>
        <v/>
      </c>
      <c r="E193"/>
      <c r="F193"/>
      <c r="K193" t="str">
        <f>IF(A193="","",IF(COUNTIFS('03_Planificacion'!$B$5:$B$84,B193,'03_Planificacion'!$C$5:$C$84,D193)&gt;0,"SÍ","NO"))</f>
        <v/>
      </c>
      <c r="N193" t="str">
        <f t="shared" si="2"/>
        <v/>
      </c>
    </row>
    <row r="194" spans="1:14" hidden="1">
      <c r="A194" t="str">
        <f>IF(B194="","","PP-"&amp;190)</f>
        <v/>
      </c>
      <c r="E194"/>
      <c r="F194"/>
      <c r="K194" t="str">
        <f>IF(A194="","",IF(COUNTIFS('03_Planificacion'!$B$5:$B$84,B194,'03_Planificacion'!$C$5:$C$84,D194)&gt;0,"SÍ","NO"))</f>
        <v/>
      </c>
      <c r="N194" t="str">
        <f t="shared" si="2"/>
        <v/>
      </c>
    </row>
    <row r="195" spans="1:14" hidden="1">
      <c r="A195" t="str">
        <f>IF(B195="","","PP-"&amp;191)</f>
        <v/>
      </c>
      <c r="E195"/>
      <c r="F195"/>
      <c r="K195" t="str">
        <f>IF(A195="","",IF(COUNTIFS('03_Planificacion'!$B$5:$B$84,B195,'03_Planificacion'!$C$5:$C$84,D195)&gt;0,"SÍ","NO"))</f>
        <v/>
      </c>
      <c r="N195" t="str">
        <f t="shared" si="2"/>
        <v/>
      </c>
    </row>
    <row r="196" spans="1:14" hidden="1">
      <c r="A196" t="str">
        <f>IF(B196="","","PP-"&amp;192)</f>
        <v/>
      </c>
      <c r="E196"/>
      <c r="F196"/>
      <c r="K196" t="str">
        <f>IF(A196="","",IF(COUNTIFS('03_Planificacion'!$B$5:$B$84,B196,'03_Planificacion'!$C$5:$C$84,D196)&gt;0,"SÍ","NO"))</f>
        <v/>
      </c>
      <c r="N196" t="str">
        <f t="shared" si="2"/>
        <v/>
      </c>
    </row>
    <row r="197" spans="1:14" hidden="1">
      <c r="A197" t="str">
        <f>IF(B197="","","PP-"&amp;193)</f>
        <v/>
      </c>
      <c r="E197"/>
      <c r="F197"/>
      <c r="K197" t="str">
        <f>IF(A197="","",IF(COUNTIFS('03_Planificacion'!$B$5:$B$84,B197,'03_Planificacion'!$C$5:$C$84,D197)&gt;0,"SÍ","NO"))</f>
        <v/>
      </c>
      <c r="N197" t="str">
        <f t="shared" ref="N197:N260" si="3">IF(B197="","",B197&amp;"|"&amp;D197)</f>
        <v/>
      </c>
    </row>
    <row r="198" spans="1:14" hidden="1">
      <c r="A198" t="str">
        <f>IF(B198="","","PP-"&amp;194)</f>
        <v/>
      </c>
      <c r="E198"/>
      <c r="F198"/>
      <c r="K198" t="str">
        <f>IF(A198="","",IF(COUNTIFS('03_Planificacion'!$B$5:$B$84,B198,'03_Planificacion'!$C$5:$C$84,D198)&gt;0,"SÍ","NO"))</f>
        <v/>
      </c>
      <c r="N198" t="str">
        <f t="shared" si="3"/>
        <v/>
      </c>
    </row>
    <row r="199" spans="1:14" hidden="1">
      <c r="A199" t="str">
        <f>IF(B199="","","PP-"&amp;195)</f>
        <v/>
      </c>
      <c r="E199"/>
      <c r="F199"/>
      <c r="K199" t="str">
        <f>IF(A199="","",IF(COUNTIFS('03_Planificacion'!$B$5:$B$84,B199,'03_Planificacion'!$C$5:$C$84,D199)&gt;0,"SÍ","NO"))</f>
        <v/>
      </c>
      <c r="N199" t="str">
        <f t="shared" si="3"/>
        <v/>
      </c>
    </row>
    <row r="200" spans="1:14" hidden="1">
      <c r="A200" t="str">
        <f>IF(B200="","","PP-"&amp;196)</f>
        <v/>
      </c>
      <c r="E200"/>
      <c r="F200"/>
      <c r="K200" t="str">
        <f>IF(A200="","",IF(COUNTIFS('03_Planificacion'!$B$5:$B$84,B200,'03_Planificacion'!$C$5:$C$84,D200)&gt;0,"SÍ","NO"))</f>
        <v/>
      </c>
      <c r="N200" t="str">
        <f t="shared" si="3"/>
        <v/>
      </c>
    </row>
    <row r="201" spans="1:14" hidden="1">
      <c r="A201" t="str">
        <f>IF(B201="","","PP-"&amp;197)</f>
        <v/>
      </c>
      <c r="E201"/>
      <c r="F201"/>
      <c r="K201" t="str">
        <f>IF(A201="","",IF(COUNTIFS('03_Planificacion'!$B$5:$B$84,B201,'03_Planificacion'!$C$5:$C$84,D201)&gt;0,"SÍ","NO"))</f>
        <v/>
      </c>
      <c r="N201" t="str">
        <f t="shared" si="3"/>
        <v/>
      </c>
    </row>
    <row r="202" spans="1:14" hidden="1">
      <c r="A202" t="str">
        <f>IF(B202="","","PP-"&amp;198)</f>
        <v/>
      </c>
      <c r="E202"/>
      <c r="F202"/>
      <c r="K202" t="str">
        <f>IF(A202="","",IF(COUNTIFS('03_Planificacion'!$B$5:$B$84,B202,'03_Planificacion'!$C$5:$C$84,D202)&gt;0,"SÍ","NO"))</f>
        <v/>
      </c>
      <c r="N202" t="str">
        <f t="shared" si="3"/>
        <v/>
      </c>
    </row>
    <row r="203" spans="1:14" hidden="1">
      <c r="A203" t="str">
        <f>IF(B203="","","PP-"&amp;199)</f>
        <v/>
      </c>
      <c r="E203"/>
      <c r="F203"/>
      <c r="K203" t="str">
        <f>IF(A203="","",IF(COUNTIFS('03_Planificacion'!$B$5:$B$84,B203,'03_Planificacion'!$C$5:$C$84,D203)&gt;0,"SÍ","NO"))</f>
        <v/>
      </c>
      <c r="N203" t="str">
        <f t="shared" si="3"/>
        <v/>
      </c>
    </row>
    <row r="204" spans="1:14" hidden="1">
      <c r="A204" t="str">
        <f>IF(B204="","","PP-"&amp;200)</f>
        <v/>
      </c>
      <c r="E204"/>
      <c r="F204"/>
      <c r="K204" t="str">
        <f>IF(A204="","",IF(COUNTIFS('03_Planificacion'!$B$5:$B$84,B204,'03_Planificacion'!$C$5:$C$84,D204)&gt;0,"SÍ","NO"))</f>
        <v/>
      </c>
      <c r="N204" t="str">
        <f t="shared" si="3"/>
        <v/>
      </c>
    </row>
    <row r="205" spans="1:14" hidden="1">
      <c r="A205" t="str">
        <f>IF(B205="","","PP-"&amp;201)</f>
        <v/>
      </c>
      <c r="E205"/>
      <c r="F205"/>
      <c r="K205" t="str">
        <f>IF(A205="","",IF(COUNTIFS('03_Planificacion'!$B$5:$B$84,B205,'03_Planificacion'!$C$5:$C$84,D205)&gt;0,"SÍ","NO"))</f>
        <v/>
      </c>
      <c r="N205" t="str">
        <f t="shared" si="3"/>
        <v/>
      </c>
    </row>
    <row r="206" spans="1:14" hidden="1">
      <c r="A206" t="str">
        <f>IF(B206="","","PP-"&amp;202)</f>
        <v/>
      </c>
      <c r="E206"/>
      <c r="F206"/>
      <c r="K206" t="str">
        <f>IF(A206="","",IF(COUNTIFS('03_Planificacion'!$B$5:$B$84,B206,'03_Planificacion'!$C$5:$C$84,D206)&gt;0,"SÍ","NO"))</f>
        <v/>
      </c>
      <c r="N206" t="str">
        <f t="shared" si="3"/>
        <v/>
      </c>
    </row>
    <row r="207" spans="1:14" hidden="1">
      <c r="A207" t="str">
        <f>IF(B207="","","PP-"&amp;203)</f>
        <v/>
      </c>
      <c r="E207"/>
      <c r="F207"/>
      <c r="K207" t="str">
        <f>IF(A207="","",IF(COUNTIFS('03_Planificacion'!$B$5:$B$84,B207,'03_Planificacion'!$C$5:$C$84,D207)&gt;0,"SÍ","NO"))</f>
        <v/>
      </c>
      <c r="N207" t="str">
        <f t="shared" si="3"/>
        <v/>
      </c>
    </row>
    <row r="208" spans="1:14" hidden="1">
      <c r="A208" t="str">
        <f>IF(B208="","","PP-"&amp;204)</f>
        <v/>
      </c>
      <c r="E208"/>
      <c r="F208"/>
      <c r="K208" t="str">
        <f>IF(A208="","",IF(COUNTIFS('03_Planificacion'!$B$5:$B$84,B208,'03_Planificacion'!$C$5:$C$84,D208)&gt;0,"SÍ","NO"))</f>
        <v/>
      </c>
      <c r="N208" t="str">
        <f t="shared" si="3"/>
        <v/>
      </c>
    </row>
    <row r="209" spans="1:14" hidden="1">
      <c r="A209" t="str">
        <f>IF(B209="","","PP-"&amp;205)</f>
        <v/>
      </c>
      <c r="E209"/>
      <c r="F209"/>
      <c r="K209" t="str">
        <f>IF(A209="","",IF(COUNTIFS('03_Planificacion'!$B$5:$B$84,B209,'03_Planificacion'!$C$5:$C$84,D209)&gt;0,"SÍ","NO"))</f>
        <v/>
      </c>
      <c r="N209" t="str">
        <f t="shared" si="3"/>
        <v/>
      </c>
    </row>
    <row r="210" spans="1:14" hidden="1">
      <c r="A210" t="str">
        <f>IF(B210="","","PP-"&amp;206)</f>
        <v/>
      </c>
      <c r="E210"/>
      <c r="F210"/>
      <c r="K210" t="str">
        <f>IF(A210="","",IF(COUNTIFS('03_Planificacion'!$B$5:$B$84,B210,'03_Planificacion'!$C$5:$C$84,D210)&gt;0,"SÍ","NO"))</f>
        <v/>
      </c>
      <c r="N210" t="str">
        <f t="shared" si="3"/>
        <v/>
      </c>
    </row>
    <row r="211" spans="1:14" hidden="1">
      <c r="A211" t="str">
        <f>IF(B211="","","PP-"&amp;207)</f>
        <v/>
      </c>
      <c r="E211"/>
      <c r="F211"/>
      <c r="K211" t="str">
        <f>IF(A211="","",IF(COUNTIFS('03_Planificacion'!$B$5:$B$84,B211,'03_Planificacion'!$C$5:$C$84,D211)&gt;0,"SÍ","NO"))</f>
        <v/>
      </c>
      <c r="N211" t="str">
        <f t="shared" si="3"/>
        <v/>
      </c>
    </row>
    <row r="212" spans="1:14" hidden="1">
      <c r="A212" t="str">
        <f>IF(B212="","","PP-"&amp;208)</f>
        <v/>
      </c>
      <c r="E212"/>
      <c r="F212"/>
      <c r="K212" t="str">
        <f>IF(A212="","",IF(COUNTIFS('03_Planificacion'!$B$5:$B$84,B212,'03_Planificacion'!$C$5:$C$84,D212)&gt;0,"SÍ","NO"))</f>
        <v/>
      </c>
      <c r="N212" t="str">
        <f t="shared" si="3"/>
        <v/>
      </c>
    </row>
    <row r="213" spans="1:14" hidden="1">
      <c r="A213" t="str">
        <f>IF(B213="","","PP-"&amp;209)</f>
        <v/>
      </c>
      <c r="E213"/>
      <c r="F213"/>
      <c r="K213" t="str">
        <f>IF(A213="","",IF(COUNTIFS('03_Planificacion'!$B$5:$B$84,B213,'03_Planificacion'!$C$5:$C$84,D213)&gt;0,"SÍ","NO"))</f>
        <v/>
      </c>
      <c r="N213" t="str">
        <f t="shared" si="3"/>
        <v/>
      </c>
    </row>
    <row r="214" spans="1:14" hidden="1">
      <c r="A214" t="str">
        <f>IF(B214="","","PP-"&amp;210)</f>
        <v/>
      </c>
      <c r="E214"/>
      <c r="F214"/>
      <c r="K214" t="str">
        <f>IF(A214="","",IF(COUNTIFS('03_Planificacion'!$B$5:$B$84,B214,'03_Planificacion'!$C$5:$C$84,D214)&gt;0,"SÍ","NO"))</f>
        <v/>
      </c>
      <c r="N214" t="str">
        <f t="shared" si="3"/>
        <v/>
      </c>
    </row>
    <row r="215" spans="1:14" hidden="1">
      <c r="A215" t="str">
        <f>IF(B215="","","PP-"&amp;211)</f>
        <v/>
      </c>
      <c r="E215"/>
      <c r="F215"/>
      <c r="K215" t="str">
        <f>IF(A215="","",IF(COUNTIFS('03_Planificacion'!$B$5:$B$84,B215,'03_Planificacion'!$C$5:$C$84,D215)&gt;0,"SÍ","NO"))</f>
        <v/>
      </c>
      <c r="N215" t="str">
        <f t="shared" si="3"/>
        <v/>
      </c>
    </row>
    <row r="216" spans="1:14" hidden="1">
      <c r="A216" t="str">
        <f>IF(B216="","","PP-"&amp;212)</f>
        <v/>
      </c>
      <c r="E216"/>
      <c r="F216"/>
      <c r="K216" t="str">
        <f>IF(A216="","",IF(COUNTIFS('03_Planificacion'!$B$5:$B$84,B216,'03_Planificacion'!$C$5:$C$84,D216)&gt;0,"SÍ","NO"))</f>
        <v/>
      </c>
      <c r="N216" t="str">
        <f t="shared" si="3"/>
        <v/>
      </c>
    </row>
    <row r="217" spans="1:14" hidden="1">
      <c r="A217" t="str">
        <f>IF(B217="","","PP-"&amp;213)</f>
        <v/>
      </c>
      <c r="E217"/>
      <c r="F217"/>
      <c r="K217" t="str">
        <f>IF(A217="","",IF(COUNTIFS('03_Planificacion'!$B$5:$B$84,B217,'03_Planificacion'!$C$5:$C$84,D217)&gt;0,"SÍ","NO"))</f>
        <v/>
      </c>
      <c r="N217" t="str">
        <f t="shared" si="3"/>
        <v/>
      </c>
    </row>
    <row r="218" spans="1:14" hidden="1">
      <c r="A218" t="str">
        <f>IF(B218="","","PP-"&amp;214)</f>
        <v/>
      </c>
      <c r="E218"/>
      <c r="F218"/>
      <c r="K218" t="str">
        <f>IF(A218="","",IF(COUNTIFS('03_Planificacion'!$B$5:$B$84,B218,'03_Planificacion'!$C$5:$C$84,D218)&gt;0,"SÍ","NO"))</f>
        <v/>
      </c>
      <c r="N218" t="str">
        <f t="shared" si="3"/>
        <v/>
      </c>
    </row>
    <row r="219" spans="1:14" hidden="1">
      <c r="A219" t="str">
        <f>IF(B219="","","PP-"&amp;215)</f>
        <v/>
      </c>
      <c r="E219"/>
      <c r="F219"/>
      <c r="K219" t="str">
        <f>IF(A219="","",IF(COUNTIFS('03_Planificacion'!$B$5:$B$84,B219,'03_Planificacion'!$C$5:$C$84,D219)&gt;0,"SÍ","NO"))</f>
        <v/>
      </c>
      <c r="N219" t="str">
        <f t="shared" si="3"/>
        <v/>
      </c>
    </row>
    <row r="220" spans="1:14" hidden="1">
      <c r="A220" t="str">
        <f>IF(B220="","","PP-"&amp;216)</f>
        <v/>
      </c>
      <c r="E220"/>
      <c r="F220"/>
      <c r="K220" t="str">
        <f>IF(A220="","",IF(COUNTIFS('03_Planificacion'!$B$5:$B$84,B220,'03_Planificacion'!$C$5:$C$84,D220)&gt;0,"SÍ","NO"))</f>
        <v/>
      </c>
      <c r="N220" t="str">
        <f t="shared" si="3"/>
        <v/>
      </c>
    </row>
    <row r="221" spans="1:14" hidden="1">
      <c r="A221" t="str">
        <f>IF(B221="","","PP-"&amp;217)</f>
        <v/>
      </c>
      <c r="E221"/>
      <c r="F221"/>
      <c r="K221" t="str">
        <f>IF(A221="","",IF(COUNTIFS('03_Planificacion'!$B$5:$B$84,B221,'03_Planificacion'!$C$5:$C$84,D221)&gt;0,"SÍ","NO"))</f>
        <v/>
      </c>
      <c r="N221" t="str">
        <f t="shared" si="3"/>
        <v/>
      </c>
    </row>
    <row r="222" spans="1:14" hidden="1">
      <c r="A222" t="str">
        <f>IF(B222="","","PP-"&amp;218)</f>
        <v/>
      </c>
      <c r="E222"/>
      <c r="F222"/>
      <c r="K222" t="str">
        <f>IF(A222="","",IF(COUNTIFS('03_Planificacion'!$B$5:$B$84,B222,'03_Planificacion'!$C$5:$C$84,D222)&gt;0,"SÍ","NO"))</f>
        <v/>
      </c>
      <c r="N222" t="str">
        <f t="shared" si="3"/>
        <v/>
      </c>
    </row>
    <row r="223" spans="1:14" hidden="1">
      <c r="A223" t="str">
        <f>IF(B223="","","PP-"&amp;219)</f>
        <v/>
      </c>
      <c r="E223"/>
      <c r="F223"/>
      <c r="K223" t="str">
        <f>IF(A223="","",IF(COUNTIFS('03_Planificacion'!$B$5:$B$84,B223,'03_Planificacion'!$C$5:$C$84,D223)&gt;0,"SÍ","NO"))</f>
        <v/>
      </c>
      <c r="N223" t="str">
        <f t="shared" si="3"/>
        <v/>
      </c>
    </row>
    <row r="224" spans="1:14" hidden="1">
      <c r="A224" t="str">
        <f>IF(B224="","","PP-"&amp;220)</f>
        <v/>
      </c>
      <c r="E224"/>
      <c r="F224"/>
      <c r="K224" t="str">
        <f>IF(A224="","",IF(COUNTIFS('03_Planificacion'!$B$5:$B$84,B224,'03_Planificacion'!$C$5:$C$84,D224)&gt;0,"SÍ","NO"))</f>
        <v/>
      </c>
      <c r="N224" t="str">
        <f t="shared" si="3"/>
        <v/>
      </c>
    </row>
    <row r="225" spans="1:14" hidden="1">
      <c r="A225" t="str">
        <f>IF(B225="","","PP-"&amp;221)</f>
        <v/>
      </c>
      <c r="E225"/>
      <c r="F225"/>
      <c r="N225" t="str">
        <f t="shared" si="3"/>
        <v/>
      </c>
    </row>
    <row r="226" spans="1:14" hidden="1">
      <c r="A226" t="str">
        <f>IF(B226="","","PP-"&amp;222)</f>
        <v/>
      </c>
      <c r="E226"/>
      <c r="F226"/>
      <c r="N226" t="str">
        <f t="shared" si="3"/>
        <v/>
      </c>
    </row>
    <row r="227" spans="1:14" hidden="1">
      <c r="A227" t="str">
        <f>IF(B227="","","PP-"&amp;223)</f>
        <v/>
      </c>
      <c r="E227"/>
      <c r="F227"/>
      <c r="N227" t="str">
        <f t="shared" si="3"/>
        <v/>
      </c>
    </row>
    <row r="228" spans="1:14" hidden="1">
      <c r="A228" t="str">
        <f>IF(B228="","","PP-"&amp;224)</f>
        <v/>
      </c>
      <c r="E228"/>
      <c r="F228"/>
      <c r="N228" t="str">
        <f t="shared" si="3"/>
        <v/>
      </c>
    </row>
    <row r="229" spans="1:14" hidden="1">
      <c r="A229" t="str">
        <f>IF(B229="","","PP-"&amp;225)</f>
        <v/>
      </c>
      <c r="E229"/>
      <c r="F229"/>
      <c r="N229" t="str">
        <f t="shared" si="3"/>
        <v/>
      </c>
    </row>
    <row r="230" spans="1:14" hidden="1">
      <c r="A230" t="str">
        <f>IF(B230="","","PP-"&amp;226)</f>
        <v/>
      </c>
      <c r="E230"/>
      <c r="F230"/>
      <c r="N230" t="str">
        <f t="shared" si="3"/>
        <v/>
      </c>
    </row>
    <row r="231" spans="1:14" hidden="1">
      <c r="A231" t="str">
        <f>IF(B231="","","PP-"&amp;227)</f>
        <v/>
      </c>
      <c r="E231"/>
      <c r="F231"/>
      <c r="N231" t="str">
        <f t="shared" si="3"/>
        <v/>
      </c>
    </row>
    <row r="232" spans="1:14" hidden="1">
      <c r="A232" t="str">
        <f>IF(B232="","","PP-"&amp;228)</f>
        <v/>
      </c>
      <c r="E232"/>
      <c r="F232"/>
      <c r="N232" t="str">
        <f t="shared" si="3"/>
        <v/>
      </c>
    </row>
    <row r="233" spans="1:14" hidden="1">
      <c r="A233" t="str">
        <f>IF(B233="","","PP-"&amp;229)</f>
        <v/>
      </c>
      <c r="E233"/>
      <c r="F233"/>
      <c r="N233" t="str">
        <f t="shared" si="3"/>
        <v/>
      </c>
    </row>
    <row r="234" spans="1:14" hidden="1">
      <c r="A234" t="str">
        <f>IF(B234="","","PP-"&amp;230)</f>
        <v/>
      </c>
      <c r="E234"/>
      <c r="F234"/>
      <c r="N234" t="str">
        <f t="shared" si="3"/>
        <v/>
      </c>
    </row>
    <row r="235" spans="1:14" hidden="1">
      <c r="A235" t="str">
        <f>IF(B235="","","PP-"&amp;231)</f>
        <v/>
      </c>
      <c r="E235"/>
      <c r="F235"/>
      <c r="N235" t="str">
        <f t="shared" si="3"/>
        <v/>
      </c>
    </row>
    <row r="236" spans="1:14" hidden="1">
      <c r="A236" t="str">
        <f>IF(B236="","","PP-"&amp;232)</f>
        <v/>
      </c>
      <c r="E236"/>
      <c r="F236"/>
      <c r="N236" t="str">
        <f t="shared" si="3"/>
        <v/>
      </c>
    </row>
    <row r="237" spans="1:14" hidden="1">
      <c r="A237" t="str">
        <f>IF(B237="","","PP-"&amp;233)</f>
        <v/>
      </c>
      <c r="E237"/>
      <c r="F237"/>
      <c r="N237" t="str">
        <f t="shared" si="3"/>
        <v/>
      </c>
    </row>
    <row r="238" spans="1:14" hidden="1">
      <c r="A238" t="str">
        <f>IF(B238="","","PP-"&amp;234)</f>
        <v/>
      </c>
      <c r="E238"/>
      <c r="F238"/>
      <c r="N238" t="str">
        <f t="shared" si="3"/>
        <v/>
      </c>
    </row>
    <row r="239" spans="1:14" hidden="1">
      <c r="A239" t="str">
        <f>IF(B239="","","PP-"&amp;235)</f>
        <v/>
      </c>
      <c r="E239"/>
      <c r="F239"/>
      <c r="N239" t="str">
        <f t="shared" si="3"/>
        <v/>
      </c>
    </row>
    <row r="240" spans="1:14" hidden="1">
      <c r="A240" t="str">
        <f>IF(B240="","","PP-"&amp;236)</f>
        <v/>
      </c>
      <c r="E240"/>
      <c r="F240"/>
      <c r="N240" t="str">
        <f t="shared" si="3"/>
        <v/>
      </c>
    </row>
    <row r="241" spans="1:14" hidden="1">
      <c r="A241" t="str">
        <f>IF(B241="","","PP-"&amp;237)</f>
        <v/>
      </c>
      <c r="E241"/>
      <c r="F241"/>
      <c r="N241" t="str">
        <f t="shared" si="3"/>
        <v/>
      </c>
    </row>
    <row r="242" spans="1:14" hidden="1">
      <c r="A242" t="str">
        <f>IF(B242="","","PP-"&amp;238)</f>
        <v/>
      </c>
      <c r="E242"/>
      <c r="F242"/>
      <c r="N242" t="str">
        <f t="shared" si="3"/>
        <v/>
      </c>
    </row>
    <row r="243" spans="1:14" hidden="1">
      <c r="A243" t="str">
        <f>IF(B243="","","PP-"&amp;239)</f>
        <v/>
      </c>
      <c r="E243"/>
      <c r="F243"/>
      <c r="N243" t="str">
        <f t="shared" si="3"/>
        <v/>
      </c>
    </row>
    <row r="244" spans="1:14" hidden="1">
      <c r="A244" t="str">
        <f>IF(B244="","","PP-"&amp;240)</f>
        <v/>
      </c>
      <c r="E244"/>
      <c r="F244"/>
      <c r="N244" t="str">
        <f t="shared" si="3"/>
        <v/>
      </c>
    </row>
    <row r="245" spans="1:14" hidden="1">
      <c r="A245" t="str">
        <f>IF(B245="","","PP-"&amp;241)</f>
        <v/>
      </c>
      <c r="E245"/>
      <c r="F245"/>
      <c r="N245" t="str">
        <f t="shared" si="3"/>
        <v/>
      </c>
    </row>
    <row r="246" spans="1:14" hidden="1">
      <c r="A246" t="str">
        <f>IF(B246="","","PP-"&amp;242)</f>
        <v/>
      </c>
      <c r="E246"/>
      <c r="F246"/>
      <c r="N246" t="str">
        <f t="shared" si="3"/>
        <v/>
      </c>
    </row>
    <row r="247" spans="1:14" hidden="1">
      <c r="A247" t="str">
        <f>IF(B247="","","PP-"&amp;243)</f>
        <v/>
      </c>
      <c r="E247"/>
      <c r="F247"/>
      <c r="N247" t="str">
        <f t="shared" si="3"/>
        <v/>
      </c>
    </row>
    <row r="248" spans="1:14" hidden="1">
      <c r="A248" t="str">
        <f>IF(B248="","","PP-"&amp;244)</f>
        <v/>
      </c>
      <c r="E248"/>
      <c r="F248"/>
      <c r="N248" t="str">
        <f t="shared" si="3"/>
        <v/>
      </c>
    </row>
    <row r="249" spans="1:14" hidden="1">
      <c r="A249" t="str">
        <f>IF(B249="","","PP-"&amp;245)</f>
        <v/>
      </c>
      <c r="E249"/>
      <c r="F249"/>
      <c r="N249" t="str">
        <f t="shared" si="3"/>
        <v/>
      </c>
    </row>
    <row r="250" spans="1:14" hidden="1">
      <c r="A250" t="str">
        <f>IF(B250="","","PP-"&amp;246)</f>
        <v/>
      </c>
      <c r="E250"/>
      <c r="F250"/>
      <c r="N250" t="str">
        <f t="shared" si="3"/>
        <v/>
      </c>
    </row>
    <row r="251" spans="1:14" hidden="1">
      <c r="A251" t="str">
        <f>IF(B251="","","PP-"&amp;247)</f>
        <v/>
      </c>
      <c r="E251"/>
      <c r="F251"/>
      <c r="N251" t="str">
        <f t="shared" si="3"/>
        <v/>
      </c>
    </row>
    <row r="252" spans="1:14" hidden="1">
      <c r="A252" t="str">
        <f>IF(B252="","","PP-"&amp;248)</f>
        <v/>
      </c>
      <c r="E252"/>
      <c r="F252"/>
      <c r="N252" t="str">
        <f t="shared" si="3"/>
        <v/>
      </c>
    </row>
    <row r="253" spans="1:14" hidden="1">
      <c r="A253" t="str">
        <f>IF(B253="","","PP-"&amp;249)</f>
        <v/>
      </c>
      <c r="E253"/>
      <c r="F253"/>
      <c r="N253" t="str">
        <f t="shared" si="3"/>
        <v/>
      </c>
    </row>
    <row r="254" spans="1:14" hidden="1">
      <c r="A254" t="str">
        <f>IF(B254="","","PP-"&amp;250)</f>
        <v/>
      </c>
      <c r="E254"/>
      <c r="F254"/>
      <c r="N254" t="str">
        <f t="shared" si="3"/>
        <v/>
      </c>
    </row>
    <row r="255" spans="1:14" hidden="1">
      <c r="A255" t="str">
        <f>IF(B255="","","PP-"&amp;251)</f>
        <v/>
      </c>
      <c r="E255"/>
      <c r="F255"/>
      <c r="N255" t="str">
        <f t="shared" si="3"/>
        <v/>
      </c>
    </row>
    <row r="256" spans="1:14" hidden="1">
      <c r="A256" t="str">
        <f>IF(B256="","","PP-"&amp;252)</f>
        <v/>
      </c>
      <c r="E256"/>
      <c r="F256"/>
      <c r="N256" t="str">
        <f t="shared" si="3"/>
        <v/>
      </c>
    </row>
    <row r="257" spans="1:14" hidden="1">
      <c r="A257" t="str">
        <f>IF(B257="","","PP-"&amp;253)</f>
        <v/>
      </c>
      <c r="E257"/>
      <c r="F257"/>
      <c r="N257" t="str">
        <f t="shared" si="3"/>
        <v/>
      </c>
    </row>
    <row r="258" spans="1:14" hidden="1">
      <c r="A258" t="str">
        <f>IF(B258="","","PP-"&amp;254)</f>
        <v/>
      </c>
      <c r="E258"/>
      <c r="F258"/>
      <c r="N258" t="str">
        <f t="shared" si="3"/>
        <v/>
      </c>
    </row>
    <row r="259" spans="1:14" hidden="1">
      <c r="A259" t="str">
        <f>IF(B259="","","PP-"&amp;255)</f>
        <v/>
      </c>
      <c r="E259"/>
      <c r="F259"/>
      <c r="N259" t="str">
        <f t="shared" si="3"/>
        <v/>
      </c>
    </row>
    <row r="260" spans="1:14" hidden="1">
      <c r="A260" t="str">
        <f>IF(B260="","","PP-"&amp;256)</f>
        <v/>
      </c>
      <c r="E260"/>
      <c r="F260"/>
      <c r="N260" t="str">
        <f t="shared" si="3"/>
        <v/>
      </c>
    </row>
    <row r="261" spans="1:14" hidden="1">
      <c r="A261" t="str">
        <f>IF(B261="","","PP-"&amp;257)</f>
        <v/>
      </c>
      <c r="E261"/>
      <c r="F261"/>
      <c r="N261" t="str">
        <f t="shared" ref="N261:N304" si="4">IF(B261="","",B261&amp;"|"&amp;D261)</f>
        <v/>
      </c>
    </row>
    <row r="262" spans="1:14" hidden="1">
      <c r="A262" t="str">
        <f>IF(B262="","","PP-"&amp;258)</f>
        <v/>
      </c>
      <c r="E262"/>
      <c r="F262"/>
      <c r="N262" t="str">
        <f t="shared" si="4"/>
        <v/>
      </c>
    </row>
    <row r="263" spans="1:14" hidden="1">
      <c r="A263" t="str">
        <f>IF(B263="","","PP-"&amp;259)</f>
        <v/>
      </c>
      <c r="E263"/>
      <c r="F263"/>
      <c r="N263" t="str">
        <f t="shared" si="4"/>
        <v/>
      </c>
    </row>
    <row r="264" spans="1:14" hidden="1">
      <c r="A264" t="str">
        <f>IF(B264="","","PP-"&amp;260)</f>
        <v/>
      </c>
      <c r="E264"/>
      <c r="F264"/>
      <c r="N264" t="str">
        <f t="shared" si="4"/>
        <v/>
      </c>
    </row>
    <row r="265" spans="1:14" hidden="1">
      <c r="A265" t="str">
        <f>IF(B265="","","PP-"&amp;261)</f>
        <v/>
      </c>
      <c r="E265"/>
      <c r="F265"/>
      <c r="N265" t="str">
        <f t="shared" si="4"/>
        <v/>
      </c>
    </row>
    <row r="266" spans="1:14" hidden="1">
      <c r="A266" t="str">
        <f>IF(B266="","","PP-"&amp;262)</f>
        <v/>
      </c>
      <c r="E266"/>
      <c r="F266"/>
      <c r="N266" t="str">
        <f t="shared" si="4"/>
        <v/>
      </c>
    </row>
    <row r="267" spans="1:14" hidden="1">
      <c r="A267" t="str">
        <f>IF(B267="","","PP-"&amp;263)</f>
        <v/>
      </c>
      <c r="E267"/>
      <c r="F267"/>
      <c r="N267" t="str">
        <f t="shared" si="4"/>
        <v/>
      </c>
    </row>
    <row r="268" spans="1:14" hidden="1">
      <c r="A268" t="str">
        <f>IF(B268="","","PP-"&amp;264)</f>
        <v/>
      </c>
      <c r="E268"/>
      <c r="F268"/>
      <c r="N268" t="str">
        <f t="shared" si="4"/>
        <v/>
      </c>
    </row>
    <row r="269" spans="1:14" hidden="1">
      <c r="A269" t="str">
        <f>IF(B269="","","PP-"&amp;265)</f>
        <v/>
      </c>
      <c r="E269"/>
      <c r="F269"/>
      <c r="N269" t="str">
        <f t="shared" si="4"/>
        <v/>
      </c>
    </row>
    <row r="270" spans="1:14" hidden="1">
      <c r="A270" t="str">
        <f>IF(B270="","","PP-"&amp;266)</f>
        <v/>
      </c>
      <c r="E270"/>
      <c r="F270"/>
      <c r="N270" t="str">
        <f t="shared" si="4"/>
        <v/>
      </c>
    </row>
    <row r="271" spans="1:14" hidden="1">
      <c r="A271" t="str">
        <f>IF(B271="","","PP-"&amp;267)</f>
        <v/>
      </c>
      <c r="E271"/>
      <c r="F271"/>
      <c r="N271" t="str">
        <f t="shared" si="4"/>
        <v/>
      </c>
    </row>
    <row r="272" spans="1:14" hidden="1">
      <c r="A272" t="str">
        <f>IF(B272="","","PP-"&amp;268)</f>
        <v/>
      </c>
      <c r="E272"/>
      <c r="F272"/>
      <c r="N272" t="str">
        <f t="shared" si="4"/>
        <v/>
      </c>
    </row>
    <row r="273" spans="1:14" hidden="1">
      <c r="A273" t="str">
        <f>IF(B273="","","PP-"&amp;269)</f>
        <v/>
      </c>
      <c r="E273"/>
      <c r="F273"/>
      <c r="N273" t="str">
        <f t="shared" si="4"/>
        <v/>
      </c>
    </row>
    <row r="274" spans="1:14" hidden="1">
      <c r="A274" t="str">
        <f>IF(B274="","","PP-"&amp;270)</f>
        <v/>
      </c>
      <c r="E274"/>
      <c r="F274"/>
      <c r="N274" t="str">
        <f t="shared" si="4"/>
        <v/>
      </c>
    </row>
    <row r="275" spans="1:14" hidden="1">
      <c r="A275" t="str">
        <f>IF(B275="","","PP-"&amp;271)</f>
        <v/>
      </c>
      <c r="E275"/>
      <c r="F275"/>
      <c r="N275" t="str">
        <f t="shared" si="4"/>
        <v/>
      </c>
    </row>
    <row r="276" spans="1:14" hidden="1">
      <c r="A276" t="str">
        <f>IF(B276="","","PP-"&amp;272)</f>
        <v/>
      </c>
      <c r="E276"/>
      <c r="F276"/>
      <c r="N276" t="str">
        <f t="shared" si="4"/>
        <v/>
      </c>
    </row>
    <row r="277" spans="1:14" hidden="1">
      <c r="A277" t="str">
        <f>IF(B277="","","PP-"&amp;273)</f>
        <v/>
      </c>
      <c r="E277"/>
      <c r="F277"/>
      <c r="N277" t="str">
        <f t="shared" si="4"/>
        <v/>
      </c>
    </row>
    <row r="278" spans="1:14" hidden="1">
      <c r="A278" t="str">
        <f>IF(B278="","","PP-"&amp;274)</f>
        <v/>
      </c>
      <c r="E278"/>
      <c r="F278"/>
      <c r="N278" t="str">
        <f t="shared" si="4"/>
        <v/>
      </c>
    </row>
    <row r="279" spans="1:14" hidden="1">
      <c r="A279" t="str">
        <f>IF(B279="","","PP-"&amp;275)</f>
        <v/>
      </c>
      <c r="E279"/>
      <c r="F279"/>
      <c r="N279" t="str">
        <f t="shared" si="4"/>
        <v/>
      </c>
    </row>
    <row r="280" spans="1:14" hidden="1">
      <c r="A280" t="str">
        <f>IF(B280="","","PP-"&amp;276)</f>
        <v/>
      </c>
      <c r="E280"/>
      <c r="F280"/>
      <c r="N280" t="str">
        <f t="shared" si="4"/>
        <v/>
      </c>
    </row>
    <row r="281" spans="1:14" hidden="1">
      <c r="A281" t="str">
        <f>IF(B281="","","PP-"&amp;277)</f>
        <v/>
      </c>
      <c r="E281"/>
      <c r="F281"/>
      <c r="N281" t="str">
        <f t="shared" si="4"/>
        <v/>
      </c>
    </row>
    <row r="282" spans="1:14" hidden="1">
      <c r="A282" t="str">
        <f>IF(B282="","","PP-"&amp;278)</f>
        <v/>
      </c>
      <c r="E282"/>
      <c r="F282"/>
      <c r="N282" t="str">
        <f t="shared" si="4"/>
        <v/>
      </c>
    </row>
    <row r="283" spans="1:14" hidden="1">
      <c r="A283" t="str">
        <f>IF(B283="","","PP-"&amp;279)</f>
        <v/>
      </c>
      <c r="E283"/>
      <c r="F283"/>
      <c r="N283" t="str">
        <f t="shared" si="4"/>
        <v/>
      </c>
    </row>
    <row r="284" spans="1:14" hidden="1">
      <c r="A284" t="str">
        <f>IF(B284="","","PP-"&amp;280)</f>
        <v/>
      </c>
      <c r="E284"/>
      <c r="F284"/>
      <c r="N284" t="str">
        <f t="shared" si="4"/>
        <v/>
      </c>
    </row>
    <row r="285" spans="1:14" hidden="1">
      <c r="A285" t="str">
        <f>IF(B285="","","PP-"&amp;281)</f>
        <v/>
      </c>
      <c r="E285"/>
      <c r="F285"/>
      <c r="N285" t="str">
        <f t="shared" si="4"/>
        <v/>
      </c>
    </row>
    <row r="286" spans="1:14" hidden="1">
      <c r="A286" t="str">
        <f>IF(B286="","","PP-"&amp;282)</f>
        <v/>
      </c>
      <c r="E286"/>
      <c r="F286"/>
      <c r="N286" t="str">
        <f t="shared" si="4"/>
        <v/>
      </c>
    </row>
    <row r="287" spans="1:14" hidden="1">
      <c r="A287" t="str">
        <f>IF(B287="","","PP-"&amp;283)</f>
        <v/>
      </c>
      <c r="E287"/>
      <c r="F287"/>
      <c r="N287" t="str">
        <f t="shared" si="4"/>
        <v/>
      </c>
    </row>
    <row r="288" spans="1:14" hidden="1">
      <c r="A288" t="str">
        <f>IF(B288="","","PP-"&amp;284)</f>
        <v/>
      </c>
      <c r="E288"/>
      <c r="F288"/>
      <c r="N288" t="str">
        <f t="shared" si="4"/>
        <v/>
      </c>
    </row>
    <row r="289" spans="1:14" hidden="1">
      <c r="A289" t="str">
        <f>IF(B289="","","PP-"&amp;285)</f>
        <v/>
      </c>
      <c r="E289"/>
      <c r="F289"/>
      <c r="N289" t="str">
        <f t="shared" si="4"/>
        <v/>
      </c>
    </row>
    <row r="290" spans="1:14" hidden="1">
      <c r="A290" t="str">
        <f>IF(B290="","","PP-"&amp;286)</f>
        <v/>
      </c>
      <c r="E290"/>
      <c r="F290"/>
      <c r="N290" t="str">
        <f t="shared" si="4"/>
        <v/>
      </c>
    </row>
    <row r="291" spans="1:14" hidden="1">
      <c r="A291" t="str">
        <f>IF(B291="","","PP-"&amp;287)</f>
        <v/>
      </c>
      <c r="E291"/>
      <c r="F291"/>
      <c r="N291" t="str">
        <f t="shared" si="4"/>
        <v/>
      </c>
    </row>
    <row r="292" spans="1:14" hidden="1">
      <c r="A292" t="str">
        <f>IF(B292="","","PP-"&amp;288)</f>
        <v/>
      </c>
      <c r="E292"/>
      <c r="F292"/>
      <c r="N292" t="str">
        <f t="shared" si="4"/>
        <v/>
      </c>
    </row>
    <row r="293" spans="1:14" hidden="1">
      <c r="A293" t="str">
        <f>IF(B293="","","PP-"&amp;289)</f>
        <v/>
      </c>
      <c r="E293"/>
      <c r="F293"/>
      <c r="N293" t="str">
        <f t="shared" si="4"/>
        <v/>
      </c>
    </row>
    <row r="294" spans="1:14" hidden="1">
      <c r="A294" t="str">
        <f>IF(B294="","","PP-"&amp;290)</f>
        <v/>
      </c>
      <c r="E294"/>
      <c r="F294"/>
      <c r="N294" t="str">
        <f t="shared" si="4"/>
        <v/>
      </c>
    </row>
    <row r="295" spans="1:14" hidden="1">
      <c r="A295" t="str">
        <f>IF(B295="","","PP-"&amp;291)</f>
        <v/>
      </c>
      <c r="E295"/>
      <c r="F295"/>
      <c r="N295" t="str">
        <f t="shared" si="4"/>
        <v/>
      </c>
    </row>
    <row r="296" spans="1:14" hidden="1">
      <c r="A296" t="str">
        <f>IF(B296="","","PP-"&amp;292)</f>
        <v/>
      </c>
      <c r="E296"/>
      <c r="F296"/>
      <c r="N296" t="str">
        <f t="shared" si="4"/>
        <v/>
      </c>
    </row>
    <row r="297" spans="1:14" hidden="1">
      <c r="A297" t="str">
        <f>IF(B297="","","PP-"&amp;293)</f>
        <v/>
      </c>
      <c r="E297"/>
      <c r="F297"/>
      <c r="N297" t="str">
        <f t="shared" si="4"/>
        <v/>
      </c>
    </row>
    <row r="298" spans="1:14" hidden="1">
      <c r="A298" t="str">
        <f>IF(B298="","","PP-"&amp;294)</f>
        <v/>
      </c>
      <c r="E298"/>
      <c r="F298"/>
      <c r="N298" t="str">
        <f t="shared" si="4"/>
        <v/>
      </c>
    </row>
    <row r="299" spans="1:14" hidden="1">
      <c r="A299" t="str">
        <f>IF(B299="","","PP-"&amp;295)</f>
        <v/>
      </c>
      <c r="E299"/>
      <c r="F299"/>
      <c r="N299" t="str">
        <f t="shared" si="4"/>
        <v/>
      </c>
    </row>
    <row r="300" spans="1:14" hidden="1">
      <c r="A300" t="str">
        <f>IF(B300="","","PP-"&amp;296)</f>
        <v/>
      </c>
      <c r="E300"/>
      <c r="F300"/>
      <c r="N300" t="str">
        <f t="shared" si="4"/>
        <v/>
      </c>
    </row>
    <row r="301" spans="1:14" hidden="1">
      <c r="A301" t="str">
        <f>IF(B301="","","PP-"&amp;297)</f>
        <v/>
      </c>
      <c r="E301"/>
      <c r="F301"/>
      <c r="N301" t="str">
        <f t="shared" si="4"/>
        <v/>
      </c>
    </row>
    <row r="302" spans="1:14" hidden="1">
      <c r="A302" t="str">
        <f>IF(B302="","","PP-"&amp;298)</f>
        <v/>
      </c>
      <c r="E302"/>
      <c r="F302"/>
      <c r="N302" t="str">
        <f t="shared" si="4"/>
        <v/>
      </c>
    </row>
    <row r="303" spans="1:14" hidden="1">
      <c r="A303" t="str">
        <f>IF(B303="","","PP-"&amp;299)</f>
        <v/>
      </c>
      <c r="E303"/>
      <c r="F303"/>
      <c r="N303" t="str">
        <f t="shared" si="4"/>
        <v/>
      </c>
    </row>
    <row r="304" spans="1:14" hidden="1">
      <c r="A304" t="str">
        <f>IF(B304="","","PP-"&amp;300)</f>
        <v/>
      </c>
      <c r="E304"/>
      <c r="F304"/>
      <c r="N304" t="str">
        <f t="shared" si="4"/>
        <v/>
      </c>
    </row>
  </sheetData>
  <autoFilter ref="A4:N304" xr:uid="{00000000-0001-0000-0200-000000000000}">
    <filterColumn colId="1">
      <filters>
        <filter val="N22 - N24"/>
        <filter val="N23 - N24"/>
        <filter val="N25 - N30"/>
        <filter val="N28 - N29"/>
      </filters>
    </filterColumn>
  </autoFilter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78"/>
  <sheetViews>
    <sheetView workbookViewId="0">
      <selection activeCell="E9" sqref="E9"/>
    </sheetView>
  </sheetViews>
  <sheetFormatPr baseColWidth="10" defaultColWidth="8.796875" defaultRowHeight="13.8"/>
  <cols>
    <col min="1" max="2" width="13" customWidth="1"/>
    <col min="3" max="3" width="40.69921875" customWidth="1"/>
    <col min="4" max="4" width="13" customWidth="1"/>
    <col min="5" max="5" width="18" customWidth="1"/>
    <col min="6" max="6" width="48" customWidth="1"/>
    <col min="7" max="8" width="13" customWidth="1"/>
    <col min="9" max="10" width="12" customWidth="1"/>
    <col min="11" max="11" width="14" customWidth="1"/>
    <col min="12" max="12" width="18" customWidth="1"/>
    <col min="13" max="13" width="28" customWidth="1"/>
    <col min="14" max="14" width="18" customWidth="1"/>
    <col min="15" max="15" width="16" customWidth="1"/>
    <col min="16" max="18" width="13" customWidth="1"/>
    <col min="19" max="19" width="18" customWidth="1"/>
    <col min="27" max="27" width="2" customWidth="1"/>
    <col min="29" max="78" width="2" customWidth="1"/>
  </cols>
  <sheetData>
    <row r="1" spans="1:78" ht="22.35" customHeight="1">
      <c r="A1" s="15" t="s">
        <v>196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AA1" t="s">
        <v>197</v>
      </c>
      <c r="AC1" t="s">
        <v>65</v>
      </c>
      <c r="AD1" t="s">
        <v>118</v>
      </c>
      <c r="AE1" t="s">
        <v>120</v>
      </c>
      <c r="AF1" t="s">
        <v>122</v>
      </c>
      <c r="AG1" t="s">
        <v>127</v>
      </c>
      <c r="AH1" t="s">
        <v>128</v>
      </c>
      <c r="AI1" t="s">
        <v>130</v>
      </c>
      <c r="AJ1" t="s">
        <v>131</v>
      </c>
      <c r="AK1" t="s">
        <v>134</v>
      </c>
      <c r="AL1" t="s">
        <v>136</v>
      </c>
      <c r="AM1" t="s">
        <v>138</v>
      </c>
      <c r="AN1" t="s">
        <v>139</v>
      </c>
      <c r="AO1" t="s">
        <v>142</v>
      </c>
      <c r="AP1" t="s">
        <v>143</v>
      </c>
      <c r="AQ1" t="s">
        <v>144</v>
      </c>
      <c r="AR1" t="s">
        <v>146</v>
      </c>
      <c r="AS1" t="s">
        <v>147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158</v>
      </c>
      <c r="BC1" t="s">
        <v>159</v>
      </c>
      <c r="BD1" t="s">
        <v>160</v>
      </c>
      <c r="BE1" t="s">
        <v>161</v>
      </c>
      <c r="BF1" t="s">
        <v>163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172</v>
      </c>
      <c r="BM1" t="s">
        <v>173</v>
      </c>
      <c r="BN1" t="s">
        <v>175</v>
      </c>
      <c r="BO1" t="s">
        <v>176</v>
      </c>
      <c r="BP1" t="s">
        <v>177</v>
      </c>
      <c r="BQ1" t="s">
        <v>178</v>
      </c>
      <c r="BR1" t="s">
        <v>179</v>
      </c>
      <c r="BS1" t="s">
        <v>181</v>
      </c>
      <c r="BT1" t="s">
        <v>182</v>
      </c>
      <c r="BU1" t="s">
        <v>183</v>
      </c>
      <c r="BV1" t="s">
        <v>184</v>
      </c>
      <c r="BW1" t="s">
        <v>185</v>
      </c>
      <c r="BX1" t="s">
        <v>186</v>
      </c>
      <c r="BY1" t="s">
        <v>187</v>
      </c>
      <c r="BZ1" t="s">
        <v>189</v>
      </c>
    </row>
    <row r="2" spans="1:78" ht="27.15" customHeight="1">
      <c r="A2" s="16" t="s">
        <v>198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AA2" t="s">
        <v>65</v>
      </c>
      <c r="AC2" t="str">
        <f>IF(AND('01_Estado_Actual'!$L$5="Para Programar",'01_Estado_Actual'!$G$5&gt;0),"01 Replanteo - Marcación de tramo de cañería principal","")</f>
        <v/>
      </c>
      <c r="AD2" t="str">
        <f>IF(AND('01_Estado_Actual'!$L$29="Para Programar",'01_Estado_Actual'!$G$29&gt;0),"01 Replanteo - Marcación de tramo de cañería principal","")</f>
        <v/>
      </c>
      <c r="AE2" t="str">
        <f>IF(AND('01_Estado_Actual'!$L$53="Para Programar",'01_Estado_Actual'!$G$53&gt;0),"01 Replanteo - Marcación de tramo de cañería principal","")</f>
        <v/>
      </c>
      <c r="AF2" t="str">
        <f>IF(AND('01_Estado_Actual'!$L$77="Para Programar",'01_Estado_Actual'!$G$77&gt;0),"01 Replanteo - Marcación de tramo de cañería principal","")</f>
        <v/>
      </c>
      <c r="AG2" t="str">
        <f>IF(AND('01_Estado_Actual'!$L$101="Para Programar",'01_Estado_Actual'!$G$101&gt;0),"01 Replanteo - Marcación de tramo de cañería principal","")</f>
        <v/>
      </c>
      <c r="AH2" t="str">
        <f>IF(AND('01_Estado_Actual'!$L$125="Para Programar",'01_Estado_Actual'!$G$125&gt;0),"01 Replanteo - Marcación de tramo de cañería principal","")</f>
        <v/>
      </c>
      <c r="AI2" t="str">
        <f>IF(AND('01_Estado_Actual'!$L$149="Para Programar",'01_Estado_Actual'!$G$149&gt;0),"01 Replanteo - Marcación de tramo de cañería principal","")</f>
        <v/>
      </c>
      <c r="AJ2" t="str">
        <f>IF(AND('01_Estado_Actual'!$L$173="Para Programar",'01_Estado_Actual'!$G$173&gt;0),"01 Replanteo - Marcación de tramo de cañería principal","")</f>
        <v/>
      </c>
      <c r="AK2" t="str">
        <f>IF(AND('01_Estado_Actual'!$L$197="Para Programar",'01_Estado_Actual'!$G$197&gt;0),"01 Replanteo - Marcación de tramo de cañería principal","")</f>
        <v/>
      </c>
      <c r="AL2" t="str">
        <f>IF(AND('01_Estado_Actual'!$L$221="Para Programar",'01_Estado_Actual'!$G$221&gt;0),"01 Replanteo - Marcación de tramo de cañería principal","")</f>
        <v/>
      </c>
      <c r="AM2" t="str">
        <f>IF(AND('01_Estado_Actual'!$L$245="Para Programar",'01_Estado_Actual'!$G$245&gt;0),"01 Replanteo - Marcación de tramo de cañería principal","")</f>
        <v>01 Replanteo - Marcación de tramo de cañería principal</v>
      </c>
      <c r="AN2" t="str">
        <f>IF(AND('01_Estado_Actual'!$L$269="Para Programar",'01_Estado_Actual'!$G$269&gt;0),"01 Replanteo - Marcación de tramo de cañería principal","")</f>
        <v/>
      </c>
      <c r="AO2" t="str">
        <f>IF(AND('01_Estado_Actual'!$L$293="Para Programar",'01_Estado_Actual'!$G$293&gt;0),"01 Replanteo - Marcación de tramo de cañería principal","")</f>
        <v/>
      </c>
      <c r="AP2" t="str">
        <f>IF(AND('01_Estado_Actual'!$L$317="Para Programar",'01_Estado_Actual'!$G$317&gt;0),"01 Replanteo - Marcación de tramo de cañería principal","")</f>
        <v/>
      </c>
      <c r="AQ2" t="str">
        <f>IF(AND('01_Estado_Actual'!$L$341="Para Programar",'01_Estado_Actual'!$G$341&gt;0),"01 Replanteo - Marcación de tramo de cañería principal","")</f>
        <v/>
      </c>
      <c r="AR2" t="str">
        <f>IF(AND('01_Estado_Actual'!$L$365="Para Programar",'01_Estado_Actual'!$G$365&gt;0),"01 Replanteo - Marcación de tramo de cañería principal","")</f>
        <v/>
      </c>
      <c r="AS2" t="str">
        <f>IF(AND('01_Estado_Actual'!$L$389="Para Programar",'01_Estado_Actual'!$G$389&gt;0),"01 Replanteo - Marcación de tramo de cañería principal","")</f>
        <v/>
      </c>
      <c r="AT2" t="str">
        <f>IF(AND('01_Estado_Actual'!$L$413="Para Programar",'01_Estado_Actual'!$G$413&gt;0),"01 Replanteo - Marcación de tramo de cañería principal","")</f>
        <v/>
      </c>
      <c r="AU2" t="str">
        <f>IF(AND('01_Estado_Actual'!$L$437="Para Programar",'01_Estado_Actual'!$G$437&gt;0),"01 Replanteo - Marcación de tramo de cañería principal","")</f>
        <v/>
      </c>
      <c r="AV2" t="str">
        <f>IF(AND('01_Estado_Actual'!$L$461="Para Programar",'01_Estado_Actual'!$G$461&gt;0),"01 Replanteo - Marcación de tramo de cañería principal","")</f>
        <v/>
      </c>
      <c r="AW2" t="str">
        <f>IF(AND('01_Estado_Actual'!$L$485="Para Programar",'01_Estado_Actual'!$G$485&gt;0),"01 Replanteo - Marcación de tramo de cañería principal","")</f>
        <v/>
      </c>
      <c r="AX2" t="str">
        <f>IF(AND('01_Estado_Actual'!$L$509="Para Programar",'01_Estado_Actual'!$G$509&gt;0),"01 Replanteo - Marcación de tramo de cañería principal","")</f>
        <v/>
      </c>
      <c r="AY2" t="str">
        <f>IF(AND('01_Estado_Actual'!$L$533="Para Programar",'01_Estado_Actual'!$G$533&gt;0),"01 Replanteo - Marcación de tramo de cañería principal","")</f>
        <v/>
      </c>
      <c r="AZ2" t="str">
        <f>IF(AND('01_Estado_Actual'!$L$557="Para Programar",'01_Estado_Actual'!$G$557&gt;0),"01 Replanteo - Marcación de tramo de cañería principal","")</f>
        <v/>
      </c>
      <c r="BA2" t="str">
        <f>IF(AND('01_Estado_Actual'!$L$581="Para Programar",'01_Estado_Actual'!$G$581&gt;0),"01 Replanteo - Marcación de tramo de cañería principal","")</f>
        <v/>
      </c>
      <c r="BB2" t="str">
        <f>IF(AND('01_Estado_Actual'!$L$605="Para Programar",'01_Estado_Actual'!$G$605&gt;0),"01 Replanteo - Marcación de tramo de cañería principal","")</f>
        <v/>
      </c>
      <c r="BC2" t="str">
        <f>IF(AND('01_Estado_Actual'!$L$629="Para Programar",'01_Estado_Actual'!$G$629&gt;0),"01 Replanteo - Marcación de tramo de cañería principal","")</f>
        <v/>
      </c>
      <c r="BD2" t="str">
        <f>IF(AND('01_Estado_Actual'!$L$653="Para Programar",'01_Estado_Actual'!$G$653&gt;0),"01 Replanteo - Marcación de tramo de cañería principal","")</f>
        <v/>
      </c>
      <c r="BE2" t="str">
        <f>IF(AND('01_Estado_Actual'!$L$677="Para Programar",'01_Estado_Actual'!$G$677&gt;0),"01 Replanteo - Marcación de tramo de cañería principal","")</f>
        <v/>
      </c>
      <c r="BF2" t="str">
        <f>IF(AND('01_Estado_Actual'!$L$701="Para Programar",'01_Estado_Actual'!$G$701&gt;0),"01 Replanteo - Marcación de tramo de cañería principal","")</f>
        <v/>
      </c>
      <c r="BG2" t="str">
        <f>IF(AND('01_Estado_Actual'!$L$725="Para Programar",'01_Estado_Actual'!$G$725&gt;0),"01 Replanteo - Marcación de tramo de cañería principal","")</f>
        <v/>
      </c>
      <c r="BH2" t="str">
        <f>IF(AND('01_Estado_Actual'!$L$749="Para Programar",'01_Estado_Actual'!$G$749&gt;0),"01 Replanteo - Marcación de tramo de cañería principal","")</f>
        <v/>
      </c>
      <c r="BI2" t="str">
        <f>IF(AND('01_Estado_Actual'!$L$773="Para Programar",'01_Estado_Actual'!$G$773&gt;0),"01 Replanteo - Marcación de tramo de cañería principal","")</f>
        <v/>
      </c>
      <c r="BJ2" t="str">
        <f>IF(AND('01_Estado_Actual'!$L$797="Para Programar",'01_Estado_Actual'!$G$797&gt;0),"01 Replanteo - Marcación de tramo de cañería principal","")</f>
        <v/>
      </c>
      <c r="BK2" t="str">
        <f>IF(AND('01_Estado_Actual'!$L$821="Para Programar",'01_Estado_Actual'!$G$821&gt;0),"01 Replanteo - Marcación de tramo de cañería principal","")</f>
        <v/>
      </c>
      <c r="BL2" t="str">
        <f>IF(AND('01_Estado_Actual'!$L$845="Para Programar",'01_Estado_Actual'!$G$845&gt;0),"01 Replanteo - Marcación de tramo de cañería principal","")</f>
        <v/>
      </c>
      <c r="BM2" t="str">
        <f>IF(AND('01_Estado_Actual'!$L$869="Para Programar",'01_Estado_Actual'!$G$869&gt;0),"01 Replanteo - Marcación de tramo de cañería principal","")</f>
        <v/>
      </c>
      <c r="BN2" t="str">
        <f>IF(AND('01_Estado_Actual'!$L$893="Para Programar",'01_Estado_Actual'!$G$893&gt;0),"01 Replanteo - Marcación de tramo de cañería principal","")</f>
        <v/>
      </c>
      <c r="BO2" t="str">
        <f>IF(AND('01_Estado_Actual'!$L$917="Para Programar",'01_Estado_Actual'!$G$917&gt;0),"01 Replanteo - Marcación de tramo de cañería principal","")</f>
        <v/>
      </c>
      <c r="BP2" t="str">
        <f>IF(AND('01_Estado_Actual'!$L$941="Para Programar",'01_Estado_Actual'!$G$941&gt;0),"01 Replanteo - Marcación de tramo de cañería principal","")</f>
        <v/>
      </c>
      <c r="BQ2" t="str">
        <f>IF(AND('01_Estado_Actual'!$L$965="Para Programar",'01_Estado_Actual'!$G$965&gt;0),"01 Replanteo - Marcación de tramo de cañería principal","")</f>
        <v/>
      </c>
      <c r="BR2" t="str">
        <f>IF(AND('01_Estado_Actual'!$L$989="Para Programar",'01_Estado_Actual'!$G$989&gt;0),"01 Replanteo - Marcación de tramo de cañería principal","")</f>
        <v/>
      </c>
      <c r="BS2" t="str">
        <f>IF(AND('01_Estado_Actual'!$L$1013="Para Programar",'01_Estado_Actual'!$G$1013&gt;0),"01 Replanteo - Marcación de tramo de cañería principal","")</f>
        <v/>
      </c>
      <c r="BT2" t="str">
        <f>IF(AND('01_Estado_Actual'!$L$1037="Para Programar",'01_Estado_Actual'!$G$1037&gt;0),"01 Replanteo - Marcación de tramo de cañería principal","")</f>
        <v/>
      </c>
      <c r="BU2" t="str">
        <f>IF(AND('01_Estado_Actual'!$L$1061="Para Programar",'01_Estado_Actual'!$G$1061&gt;0),"01 Replanteo - Marcación de tramo de cañería principal","")</f>
        <v/>
      </c>
      <c r="BV2" t="str">
        <f>IF(AND('01_Estado_Actual'!$L$1085="Para Programar",'01_Estado_Actual'!$G$1085&gt;0),"01 Replanteo - Marcación de tramo de cañería principal","")</f>
        <v/>
      </c>
      <c r="BW2" t="str">
        <f>IF(AND('01_Estado_Actual'!$L$1109="Para Programar",'01_Estado_Actual'!$G$1109&gt;0),"01 Replanteo - Marcación de tramo de cañería principal","")</f>
        <v/>
      </c>
      <c r="BX2" t="str">
        <f>IF(AND('01_Estado_Actual'!$L$1133="Para Programar",'01_Estado_Actual'!$G$1133&gt;0),"01 Replanteo - Marcación de tramo de cañería principal","")</f>
        <v/>
      </c>
      <c r="BY2" t="str">
        <f>IF(AND('01_Estado_Actual'!$L$1157="Para Programar",'01_Estado_Actual'!$G$1157&gt;0),"01 Replanteo - Marcación de tramo de cañería principal","")</f>
        <v/>
      </c>
      <c r="BZ2" t="str">
        <f>IF(AND('01_Estado_Actual'!$L$1181="Para Programar",'01_Estado_Actual'!$G$1181&gt;0),"01 Replanteo - Marcación de tramo de cañería principal","")</f>
        <v/>
      </c>
    </row>
    <row r="3" spans="1:78">
      <c r="AA3" t="s">
        <v>118</v>
      </c>
      <c r="AC3" t="str">
        <f>IF(AND('01_Estado_Actual'!$L$6="Para Programar",'01_Estado_Actual'!$G$6&gt;0),"02 Excavación - Zanja principal","")</f>
        <v/>
      </c>
      <c r="AD3" t="str">
        <f>IF(AND('01_Estado_Actual'!$L$30="Para Programar",'01_Estado_Actual'!$G$30&gt;0),"02 Excavación - Zanja principal","")</f>
        <v/>
      </c>
      <c r="AE3" t="str">
        <f>IF(AND('01_Estado_Actual'!$L$54="Para Programar",'01_Estado_Actual'!$G$54&gt;0),"02 Excavación - Zanja principal","")</f>
        <v/>
      </c>
      <c r="AF3" t="str">
        <f>IF(AND('01_Estado_Actual'!$L$78="Para Programar",'01_Estado_Actual'!$G$78&gt;0),"02 Excavación - Zanja principal","")</f>
        <v/>
      </c>
      <c r="AG3" t="str">
        <f>IF(AND('01_Estado_Actual'!$L$102="Para Programar",'01_Estado_Actual'!$G$102&gt;0),"02 Excavación - Zanja principal","")</f>
        <v/>
      </c>
      <c r="AH3" t="str">
        <f>IF(AND('01_Estado_Actual'!$L$126="Para Programar",'01_Estado_Actual'!$G$126&gt;0),"02 Excavación - Zanja principal","")</f>
        <v/>
      </c>
      <c r="AI3" t="str">
        <f>IF(AND('01_Estado_Actual'!$L$150="Para Programar",'01_Estado_Actual'!$G$150&gt;0),"02 Excavación - Zanja principal","")</f>
        <v/>
      </c>
      <c r="AJ3" t="str">
        <f>IF(AND('01_Estado_Actual'!$L$174="Para Programar",'01_Estado_Actual'!$G$174&gt;0),"02 Excavación - Zanja principal","")</f>
        <v/>
      </c>
      <c r="AK3" t="str">
        <f>IF(AND('01_Estado_Actual'!$L$198="Para Programar",'01_Estado_Actual'!$G$198&gt;0),"02 Excavación - Zanja principal","")</f>
        <v/>
      </c>
      <c r="AL3" t="str">
        <f>IF(AND('01_Estado_Actual'!$L$222="Para Programar",'01_Estado_Actual'!$G$222&gt;0),"02 Excavación - Zanja principal","")</f>
        <v/>
      </c>
      <c r="AM3" t="str">
        <f>IF(AND('01_Estado_Actual'!$L$246="Para Programar",'01_Estado_Actual'!$G$246&gt;0),"02 Excavación - Zanja principal","")</f>
        <v>02 Excavación - Zanja principal</v>
      </c>
      <c r="AN3" t="str">
        <f>IF(AND('01_Estado_Actual'!$L$270="Para Programar",'01_Estado_Actual'!$G$270&gt;0),"02 Excavación - Zanja principal","")</f>
        <v/>
      </c>
      <c r="AO3" t="str">
        <f>IF(AND('01_Estado_Actual'!$L$294="Para Programar",'01_Estado_Actual'!$G$294&gt;0),"02 Excavación - Zanja principal","")</f>
        <v/>
      </c>
      <c r="AP3" t="str">
        <f>IF(AND('01_Estado_Actual'!$L$318="Para Programar",'01_Estado_Actual'!$G$318&gt;0),"02 Excavación - Zanja principal","")</f>
        <v/>
      </c>
      <c r="AQ3" t="str">
        <f>IF(AND('01_Estado_Actual'!$L$342="Para Programar",'01_Estado_Actual'!$G$342&gt;0),"02 Excavación - Zanja principal","")</f>
        <v/>
      </c>
      <c r="AR3" t="str">
        <f>IF(AND('01_Estado_Actual'!$L$366="Para Programar",'01_Estado_Actual'!$G$366&gt;0),"02 Excavación - Zanja principal","")</f>
        <v/>
      </c>
      <c r="AS3" t="str">
        <f>IF(AND('01_Estado_Actual'!$L$390="Para Programar",'01_Estado_Actual'!$G$390&gt;0),"02 Excavación - Zanja principal","")</f>
        <v/>
      </c>
      <c r="AT3" t="str">
        <f>IF(AND('01_Estado_Actual'!$L$414="Para Programar",'01_Estado_Actual'!$G$414&gt;0),"02 Excavación - Zanja principal","")</f>
        <v/>
      </c>
      <c r="AU3" t="str">
        <f>IF(AND('01_Estado_Actual'!$L$438="Para Programar",'01_Estado_Actual'!$G$438&gt;0),"02 Excavación - Zanja principal","")</f>
        <v/>
      </c>
      <c r="AV3" t="str">
        <f>IF(AND('01_Estado_Actual'!$L$462="Para Programar",'01_Estado_Actual'!$G$462&gt;0),"02 Excavación - Zanja principal","")</f>
        <v/>
      </c>
      <c r="AW3" t="str">
        <f>IF(AND('01_Estado_Actual'!$L$486="Para Programar",'01_Estado_Actual'!$G$486&gt;0),"02 Excavación - Zanja principal","")</f>
        <v/>
      </c>
      <c r="AX3" t="str">
        <f>IF(AND('01_Estado_Actual'!$L$510="Para Programar",'01_Estado_Actual'!$G$510&gt;0),"02 Excavación - Zanja principal","")</f>
        <v/>
      </c>
      <c r="AY3" t="str">
        <f>IF(AND('01_Estado_Actual'!$L$534="Para Programar",'01_Estado_Actual'!$G$534&gt;0),"02 Excavación - Zanja principal","")</f>
        <v/>
      </c>
      <c r="AZ3" t="str">
        <f>IF(AND('01_Estado_Actual'!$L$558="Para Programar",'01_Estado_Actual'!$G$558&gt;0),"02 Excavación - Zanja principal","")</f>
        <v/>
      </c>
      <c r="BA3" t="str">
        <f>IF(AND('01_Estado_Actual'!$L$582="Para Programar",'01_Estado_Actual'!$G$582&gt;0),"02 Excavación - Zanja principal","")</f>
        <v/>
      </c>
      <c r="BB3" t="str">
        <f>IF(AND('01_Estado_Actual'!$L$606="Para Programar",'01_Estado_Actual'!$G$606&gt;0),"02 Excavación - Zanja principal","")</f>
        <v/>
      </c>
      <c r="BC3" t="str">
        <f>IF(AND('01_Estado_Actual'!$L$630="Para Programar",'01_Estado_Actual'!$G$630&gt;0),"02 Excavación - Zanja principal","")</f>
        <v/>
      </c>
      <c r="BD3" t="str">
        <f>IF(AND('01_Estado_Actual'!$L$654="Para Programar",'01_Estado_Actual'!$G$654&gt;0),"02 Excavación - Zanja principal","")</f>
        <v/>
      </c>
      <c r="BE3" t="str">
        <f>IF(AND('01_Estado_Actual'!$L$678="Para Programar",'01_Estado_Actual'!$G$678&gt;0),"02 Excavación - Zanja principal","")</f>
        <v/>
      </c>
      <c r="BF3" t="str">
        <f>IF(AND('01_Estado_Actual'!$L$702="Para Programar",'01_Estado_Actual'!$G$702&gt;0),"02 Excavación - Zanja principal","")</f>
        <v/>
      </c>
      <c r="BG3" t="str">
        <f>IF(AND('01_Estado_Actual'!$L$726="Para Programar",'01_Estado_Actual'!$G$726&gt;0),"02 Excavación - Zanja principal","")</f>
        <v/>
      </c>
      <c r="BH3" t="str">
        <f>IF(AND('01_Estado_Actual'!$L$750="Para Programar",'01_Estado_Actual'!$G$750&gt;0),"02 Excavación - Zanja principal","")</f>
        <v/>
      </c>
      <c r="BI3" t="str">
        <f>IF(AND('01_Estado_Actual'!$L$774="Para Programar",'01_Estado_Actual'!$G$774&gt;0),"02 Excavación - Zanja principal","")</f>
        <v/>
      </c>
      <c r="BJ3" t="str">
        <f>IF(AND('01_Estado_Actual'!$L$798="Para Programar",'01_Estado_Actual'!$G$798&gt;0),"02 Excavación - Zanja principal","")</f>
        <v/>
      </c>
      <c r="BK3" t="str">
        <f>IF(AND('01_Estado_Actual'!$L$822="Para Programar",'01_Estado_Actual'!$G$822&gt;0),"02 Excavación - Zanja principal","")</f>
        <v/>
      </c>
      <c r="BL3" t="str">
        <f>IF(AND('01_Estado_Actual'!$L$846="Para Programar",'01_Estado_Actual'!$G$846&gt;0),"02 Excavación - Zanja principal","")</f>
        <v/>
      </c>
      <c r="BM3" t="str">
        <f>IF(AND('01_Estado_Actual'!$L$870="Para Programar",'01_Estado_Actual'!$G$870&gt;0),"02 Excavación - Zanja principal","")</f>
        <v/>
      </c>
      <c r="BN3" t="str">
        <f>IF(AND('01_Estado_Actual'!$L$894="Para Programar",'01_Estado_Actual'!$G$894&gt;0),"02 Excavación - Zanja principal","")</f>
        <v/>
      </c>
      <c r="BO3" t="str">
        <f>IF(AND('01_Estado_Actual'!$L$918="Para Programar",'01_Estado_Actual'!$G$918&gt;0),"02 Excavación - Zanja principal","")</f>
        <v/>
      </c>
      <c r="BP3" t="str">
        <f>IF(AND('01_Estado_Actual'!$L$942="Para Programar",'01_Estado_Actual'!$G$942&gt;0),"02 Excavación - Zanja principal","")</f>
        <v/>
      </c>
      <c r="BQ3" t="str">
        <f>IF(AND('01_Estado_Actual'!$L$966="Para Programar",'01_Estado_Actual'!$G$966&gt;0),"02 Excavación - Zanja principal","")</f>
        <v/>
      </c>
      <c r="BR3" t="str">
        <f>IF(AND('01_Estado_Actual'!$L$990="Para Programar",'01_Estado_Actual'!$G$990&gt;0),"02 Excavación - Zanja principal","")</f>
        <v/>
      </c>
      <c r="BS3" t="str">
        <f>IF(AND('01_Estado_Actual'!$L$1014="Para Programar",'01_Estado_Actual'!$G$1014&gt;0),"02 Excavación - Zanja principal","")</f>
        <v/>
      </c>
      <c r="BT3" t="str">
        <f>IF(AND('01_Estado_Actual'!$L$1038="Para Programar",'01_Estado_Actual'!$G$1038&gt;0),"02 Excavación - Zanja principal","")</f>
        <v/>
      </c>
      <c r="BU3" t="str">
        <f>IF(AND('01_Estado_Actual'!$L$1062="Para Programar",'01_Estado_Actual'!$G$1062&gt;0),"02 Excavación - Zanja principal","")</f>
        <v/>
      </c>
      <c r="BV3" t="str">
        <f>IF(AND('01_Estado_Actual'!$L$1086="Para Programar",'01_Estado_Actual'!$G$1086&gt;0),"02 Excavación - Zanja principal","")</f>
        <v/>
      </c>
      <c r="BW3" t="str">
        <f>IF(AND('01_Estado_Actual'!$L$1110="Para Programar",'01_Estado_Actual'!$G$1110&gt;0),"02 Excavación - Zanja principal","")</f>
        <v/>
      </c>
      <c r="BX3" t="str">
        <f>IF(AND('01_Estado_Actual'!$L$1134="Para Programar",'01_Estado_Actual'!$G$1134&gt;0),"02 Excavación - Zanja principal","")</f>
        <v/>
      </c>
      <c r="BY3" t="str">
        <f>IF(AND('01_Estado_Actual'!$L$1158="Para Programar",'01_Estado_Actual'!$G$1158&gt;0),"02 Excavación - Zanja principal","")</f>
        <v/>
      </c>
      <c r="BZ3" t="str">
        <f>IF(AND('01_Estado_Actual'!$L$1182="Para Programar",'01_Estado_Actual'!$G$1182&gt;0),"02 Excavación - Zanja principal","")</f>
        <v/>
      </c>
    </row>
    <row r="4" spans="1:78" ht="30.45" customHeight="1">
      <c r="A4" s="1" t="s">
        <v>199</v>
      </c>
      <c r="B4" s="1" t="s">
        <v>42</v>
      </c>
      <c r="C4" s="1" t="s">
        <v>43</v>
      </c>
      <c r="D4" s="1" t="s">
        <v>44</v>
      </c>
      <c r="E4" s="1" t="s">
        <v>200</v>
      </c>
      <c r="F4" s="1" t="s">
        <v>201</v>
      </c>
      <c r="G4" s="1" t="s">
        <v>202</v>
      </c>
      <c r="H4" s="1" t="s">
        <v>203</v>
      </c>
      <c r="I4" s="1" t="s">
        <v>204</v>
      </c>
      <c r="J4" s="1" t="s">
        <v>205</v>
      </c>
      <c r="K4" s="1" t="s">
        <v>206</v>
      </c>
      <c r="L4" s="1" t="s">
        <v>207</v>
      </c>
      <c r="M4" s="1" t="s">
        <v>55</v>
      </c>
      <c r="N4" s="1" t="s">
        <v>52</v>
      </c>
      <c r="O4" s="1" t="s">
        <v>208</v>
      </c>
      <c r="P4" s="1" t="s">
        <v>209</v>
      </c>
      <c r="Q4" s="1" t="s">
        <v>57</v>
      </c>
      <c r="R4" s="1" t="s">
        <v>58</v>
      </c>
      <c r="AA4" t="s">
        <v>120</v>
      </c>
      <c r="AC4" t="str">
        <f>IF(AND('01_Estado_Actual'!$L$7="Para Programar",'01_Estado_Actual'!$G$7&gt;0),"03 Base de asiento - Nivelación de fondo de zanja","")</f>
        <v/>
      </c>
      <c r="AD4" t="str">
        <f>IF(AND('01_Estado_Actual'!$L$31="Para Programar",'01_Estado_Actual'!$G$31&gt;0),"03 Base de asiento - Nivelación de fondo de zanja","")</f>
        <v/>
      </c>
      <c r="AE4" t="str">
        <f>IF(AND('01_Estado_Actual'!$L$55="Para Programar",'01_Estado_Actual'!$G$55&gt;0),"03 Base de asiento - Nivelación de fondo de zanja","")</f>
        <v/>
      </c>
      <c r="AF4" t="str">
        <f>IF(AND('01_Estado_Actual'!$L$79="Para Programar",'01_Estado_Actual'!$G$79&gt;0),"03 Base de asiento - Nivelación de fondo de zanja","")</f>
        <v>03 Base de asiento - Nivelación de fondo de zanja</v>
      </c>
      <c r="AG4" t="str">
        <f>IF(AND('01_Estado_Actual'!$L$103="Para Programar",'01_Estado_Actual'!$G$103&gt;0),"03 Base de asiento - Nivelación de fondo de zanja","")</f>
        <v/>
      </c>
      <c r="AH4" t="str">
        <f>IF(AND('01_Estado_Actual'!$L$127="Para Programar",'01_Estado_Actual'!$G$127&gt;0),"03 Base de asiento - Nivelación de fondo de zanja","")</f>
        <v/>
      </c>
      <c r="AI4" t="str">
        <f>IF(AND('01_Estado_Actual'!$L$151="Para Programar",'01_Estado_Actual'!$G$151&gt;0),"03 Base de asiento - Nivelación de fondo de zanja","")</f>
        <v/>
      </c>
      <c r="AJ4" t="str">
        <f>IF(AND('01_Estado_Actual'!$L$175="Para Programar",'01_Estado_Actual'!$G$175&gt;0),"03 Base de asiento - Nivelación de fondo de zanja","")</f>
        <v/>
      </c>
      <c r="AK4" t="str">
        <f>IF(AND('01_Estado_Actual'!$L$199="Para Programar",'01_Estado_Actual'!$G$199&gt;0),"03 Base de asiento - Nivelación de fondo de zanja","")</f>
        <v/>
      </c>
      <c r="AL4" t="str">
        <f>IF(AND('01_Estado_Actual'!$L$223="Para Programar",'01_Estado_Actual'!$G$223&gt;0),"03 Base de asiento - Nivelación de fondo de zanja","")</f>
        <v/>
      </c>
      <c r="AM4" t="str">
        <f>IF(AND('01_Estado_Actual'!$L$247="Para Programar",'01_Estado_Actual'!$G$247&gt;0),"03 Base de asiento - Nivelación de fondo de zanja","")</f>
        <v>03 Base de asiento - Nivelación de fondo de zanja</v>
      </c>
      <c r="AN4" t="str">
        <f>IF(AND('01_Estado_Actual'!$L$271="Para Programar",'01_Estado_Actual'!$G$271&gt;0),"03 Base de asiento - Nivelación de fondo de zanja","")</f>
        <v/>
      </c>
      <c r="AO4" t="str">
        <f>IF(AND('01_Estado_Actual'!$L$295="Para Programar",'01_Estado_Actual'!$G$295&gt;0),"03 Base de asiento - Nivelación de fondo de zanja","")</f>
        <v/>
      </c>
      <c r="AP4" t="str">
        <f>IF(AND('01_Estado_Actual'!$L$319="Para Programar",'01_Estado_Actual'!$G$319&gt;0),"03 Base de asiento - Nivelación de fondo de zanja","")</f>
        <v/>
      </c>
      <c r="AQ4" t="str">
        <f>IF(AND('01_Estado_Actual'!$L$343="Para Programar",'01_Estado_Actual'!$G$343&gt;0),"03 Base de asiento - Nivelación de fondo de zanja","")</f>
        <v/>
      </c>
      <c r="AR4" t="str">
        <f>IF(AND('01_Estado_Actual'!$L$367="Para Programar",'01_Estado_Actual'!$G$367&gt;0),"03 Base de asiento - Nivelación de fondo de zanja","")</f>
        <v/>
      </c>
      <c r="AS4" t="str">
        <f>IF(AND('01_Estado_Actual'!$L$391="Para Programar",'01_Estado_Actual'!$G$391&gt;0),"03 Base de asiento - Nivelación de fondo de zanja","")</f>
        <v/>
      </c>
      <c r="AT4" t="str">
        <f>IF(AND('01_Estado_Actual'!$L$415="Para Programar",'01_Estado_Actual'!$G$415&gt;0),"03 Base de asiento - Nivelación de fondo de zanja","")</f>
        <v/>
      </c>
      <c r="AU4" t="str">
        <f>IF(AND('01_Estado_Actual'!$L$439="Para Programar",'01_Estado_Actual'!$G$439&gt;0),"03 Base de asiento - Nivelación de fondo de zanja","")</f>
        <v/>
      </c>
      <c r="AV4" t="str">
        <f>IF(AND('01_Estado_Actual'!$L$463="Para Programar",'01_Estado_Actual'!$G$463&gt;0),"03 Base de asiento - Nivelación de fondo de zanja","")</f>
        <v/>
      </c>
      <c r="AW4" t="str">
        <f>IF(AND('01_Estado_Actual'!$L$487="Para Programar",'01_Estado_Actual'!$G$487&gt;0),"03 Base de asiento - Nivelación de fondo de zanja","")</f>
        <v/>
      </c>
      <c r="AX4" t="str">
        <f>IF(AND('01_Estado_Actual'!$L$511="Para Programar",'01_Estado_Actual'!$G$511&gt;0),"03 Base de asiento - Nivelación de fondo de zanja","")</f>
        <v/>
      </c>
      <c r="AY4" t="str">
        <f>IF(AND('01_Estado_Actual'!$L$535="Para Programar",'01_Estado_Actual'!$G$535&gt;0),"03 Base de asiento - Nivelación de fondo de zanja","")</f>
        <v/>
      </c>
      <c r="AZ4" t="str">
        <f>IF(AND('01_Estado_Actual'!$L$559="Para Programar",'01_Estado_Actual'!$G$559&gt;0),"03 Base de asiento - Nivelación de fondo de zanja","")</f>
        <v/>
      </c>
      <c r="BA4" t="str">
        <f>IF(AND('01_Estado_Actual'!$L$583="Para Programar",'01_Estado_Actual'!$G$583&gt;0),"03 Base de asiento - Nivelación de fondo de zanja","")</f>
        <v/>
      </c>
      <c r="BB4" t="str">
        <f>IF(AND('01_Estado_Actual'!$L$607="Para Programar",'01_Estado_Actual'!$G$607&gt;0),"03 Base de asiento - Nivelación de fondo de zanja","")</f>
        <v/>
      </c>
      <c r="BC4" t="str">
        <f>IF(AND('01_Estado_Actual'!$L$631="Para Programar",'01_Estado_Actual'!$G$631&gt;0),"03 Base de asiento - Nivelación de fondo de zanja","")</f>
        <v/>
      </c>
      <c r="BD4" t="str">
        <f>IF(AND('01_Estado_Actual'!$L$655="Para Programar",'01_Estado_Actual'!$G$655&gt;0),"03 Base de asiento - Nivelación de fondo de zanja","")</f>
        <v/>
      </c>
      <c r="BE4" t="str">
        <f>IF(AND('01_Estado_Actual'!$L$679="Para Programar",'01_Estado_Actual'!$G$679&gt;0),"03 Base de asiento - Nivelación de fondo de zanja","")</f>
        <v/>
      </c>
      <c r="BF4" t="str">
        <f>IF(AND('01_Estado_Actual'!$L$703="Para Programar",'01_Estado_Actual'!$G$703&gt;0),"03 Base de asiento - Nivelación de fondo de zanja","")</f>
        <v/>
      </c>
      <c r="BG4" t="str">
        <f>IF(AND('01_Estado_Actual'!$L$727="Para Programar",'01_Estado_Actual'!$G$727&gt;0),"03 Base de asiento - Nivelación de fondo de zanja","")</f>
        <v/>
      </c>
      <c r="BH4" t="str">
        <f>IF(AND('01_Estado_Actual'!$L$751="Para Programar",'01_Estado_Actual'!$G$751&gt;0),"03 Base de asiento - Nivelación de fondo de zanja","")</f>
        <v/>
      </c>
      <c r="BI4" t="str">
        <f>IF(AND('01_Estado_Actual'!$L$775="Para Programar",'01_Estado_Actual'!$G$775&gt;0),"03 Base de asiento - Nivelación de fondo de zanja","")</f>
        <v/>
      </c>
      <c r="BJ4" t="str">
        <f>IF(AND('01_Estado_Actual'!$L$799="Para Programar",'01_Estado_Actual'!$G$799&gt;0),"03 Base de asiento - Nivelación de fondo de zanja","")</f>
        <v/>
      </c>
      <c r="BK4" t="str">
        <f>IF(AND('01_Estado_Actual'!$L$823="Para Programar",'01_Estado_Actual'!$G$823&gt;0),"03 Base de asiento - Nivelación de fondo de zanja","")</f>
        <v/>
      </c>
      <c r="BL4" t="str">
        <f>IF(AND('01_Estado_Actual'!$L$847="Para Programar",'01_Estado_Actual'!$G$847&gt;0),"03 Base de asiento - Nivelación de fondo de zanja","")</f>
        <v/>
      </c>
      <c r="BM4" t="str">
        <f>IF(AND('01_Estado_Actual'!$L$871="Para Programar",'01_Estado_Actual'!$G$871&gt;0),"03 Base de asiento - Nivelación de fondo de zanja","")</f>
        <v/>
      </c>
      <c r="BN4" t="str">
        <f>IF(AND('01_Estado_Actual'!$L$895="Para Programar",'01_Estado_Actual'!$G$895&gt;0),"03 Base de asiento - Nivelación de fondo de zanja","")</f>
        <v/>
      </c>
      <c r="BO4" t="str">
        <f>IF(AND('01_Estado_Actual'!$L$919="Para Programar",'01_Estado_Actual'!$G$919&gt;0),"03 Base de asiento - Nivelación de fondo de zanja","")</f>
        <v/>
      </c>
      <c r="BP4" t="str">
        <f>IF(AND('01_Estado_Actual'!$L$943="Para Programar",'01_Estado_Actual'!$G$943&gt;0),"03 Base de asiento - Nivelación de fondo de zanja","")</f>
        <v/>
      </c>
      <c r="BQ4" t="str">
        <f>IF(AND('01_Estado_Actual'!$L$967="Para Programar",'01_Estado_Actual'!$G$967&gt;0),"03 Base de asiento - Nivelación de fondo de zanja","")</f>
        <v/>
      </c>
      <c r="BR4" t="str">
        <f>IF(AND('01_Estado_Actual'!$L$991="Para Programar",'01_Estado_Actual'!$G$991&gt;0),"03 Base de asiento - Nivelación de fondo de zanja","")</f>
        <v/>
      </c>
      <c r="BS4" t="str">
        <f>IF(AND('01_Estado_Actual'!$L$1015="Para Programar",'01_Estado_Actual'!$G$1015&gt;0),"03 Base de asiento - Nivelación de fondo de zanja","")</f>
        <v/>
      </c>
      <c r="BT4" t="str">
        <f>IF(AND('01_Estado_Actual'!$L$1039="Para Programar",'01_Estado_Actual'!$G$1039&gt;0),"03 Base de asiento - Nivelación de fondo de zanja","")</f>
        <v/>
      </c>
      <c r="BU4" t="str">
        <f>IF(AND('01_Estado_Actual'!$L$1063="Para Programar",'01_Estado_Actual'!$G$1063&gt;0),"03 Base de asiento - Nivelación de fondo de zanja","")</f>
        <v/>
      </c>
      <c r="BV4" t="str">
        <f>IF(AND('01_Estado_Actual'!$L$1087="Para Programar",'01_Estado_Actual'!$G$1087&gt;0),"03 Base de asiento - Nivelación de fondo de zanja","")</f>
        <v/>
      </c>
      <c r="BW4" t="str">
        <f>IF(AND('01_Estado_Actual'!$L$1111="Para Programar",'01_Estado_Actual'!$G$1111&gt;0),"03 Base de asiento - Nivelación de fondo de zanja","")</f>
        <v/>
      </c>
      <c r="BX4" t="str">
        <f>IF(AND('01_Estado_Actual'!$L$1135="Para Programar",'01_Estado_Actual'!$G$1135&gt;0),"03 Base de asiento - Nivelación de fondo de zanja","")</f>
        <v/>
      </c>
      <c r="BY4" t="str">
        <f>IF(AND('01_Estado_Actual'!$L$1159="Para Programar",'01_Estado_Actual'!$G$1159&gt;0),"03 Base de asiento - Nivelación de fondo de zanja","")</f>
        <v/>
      </c>
      <c r="BZ4" t="str">
        <f>IF(AND('01_Estado_Actual'!$L$1183="Para Programar",'01_Estado_Actual'!$G$1183&gt;0),"03 Base de asiento - Nivelación de fondo de zanja","")</f>
        <v/>
      </c>
    </row>
    <row r="5" spans="1:78">
      <c r="A5" t="str">
        <f>IF(OR(B5="",C5=""),"","PLAN-"&amp;1)</f>
        <v/>
      </c>
      <c r="D5" t="str">
        <f>IF(OR(B5="",C5=""),"",IF(C5="06 Servicios - Colocación de vaina / caño camisa","u",IF(C5="07 Hidrante - Ejecución completa","%",IFERROR(_xludf.XLOOKUP(B5&amp;"|"&amp;C5,'07_Base_Tecnica'!$AK$2:$AK$1201,'07_Base_Tecnica'!$AL$2:$AL$1201,""),""))))</f>
        <v/>
      </c>
      <c r="E5" t="str">
        <f>IF(OR(B5="",C5=""),"",IF(C5="06 Servicios - Colocación de vaina / caño camisa",MAX(0,IFERROR(_xludf.XLOOKUP(B5,'07_Base_Tecnica'!$K$5:$K$54,'07_Base_Tecnica'!$Q$5:$Q$54,0),0)-MAX(SUMIFS('05_Parte_Diario'!$H$5:$H$204,'05_Parte_Diario'!$D$5:$D$204,B5,'05_Parte_Diario'!$E$5:$E$204,"06 Servicios - Colocación de vaina / caño camisa"),COUNTIFS('06_Control_Semanal'!$B$283:$B$533,B5,'06_Control_Semanal'!$D$283:$D$533,"Colocada"))),IF(C5="07 Hidrante - Ejecución completa",MAX(0,100-SUMIFS('06_Control_Semanal'!$D$203:$D$222,'06_Control_Semanal'!$C$203:$C$222,B5)),IFERROR(_xludf.XLOOKUP(B5&amp;"|"&amp;C5,'02_Para_Programar'!$N$5:$N$304,'02_Para_Programar'!$F$5:$F$304,0),0))))</f>
        <v/>
      </c>
      <c r="G5" t="str">
        <f t="shared" ref="G5:G36" si="0">IFERROR(ROUNDUP(E5/F5,0),"")</f>
        <v/>
      </c>
      <c r="H5" s="5"/>
      <c r="I5" s="5"/>
      <c r="O5" t="str">
        <f>IF(OR(B5="",C5=""),"",IF(C5="07 Hidrante - Ejecución completa",IF(COUNTIF('06_Control_Semanal'!$C$203:$C$222,B5)&gt;1,"ALERTA: &gt;1 HIDRANTE",IF(E5&gt;0,"OK","SIN SALDO / NO PROGRAMAR")),IF(E5&gt;0,"OK","SIN SALDO / NO PROGRAMAR")))</f>
        <v/>
      </c>
      <c r="P5" t="str">
        <f t="shared" ref="P5:P36" si="1">IF(OR(B5="",C5=""),"",IF(C5="07 Hidrante - Ejecución completa","HID|"&amp;B5,IF(C5="06 Servicios - Colocación de vaina / caño camisa","SV|"&amp;B5,B5&amp;"|"&amp;C5)))</f>
        <v/>
      </c>
      <c r="Q5" t="str">
        <f>IF(B5="","",IFERROR(_xludf.XLOOKUP(B5,'07_Base_Tecnica'!$K$5:$K$54,'07_Base_Tecnica'!$W$5:$W$54,""),""))</f>
        <v/>
      </c>
      <c r="R5" t="str">
        <f>IF(B5="","",IFERROR(_xludf.XLOOKUP(B5,'07_Base_Tecnica'!$K$5:$K$54,'07_Base_Tecnica'!$X$5:$X$54,""),""))</f>
        <v/>
      </c>
      <c r="AA5" t="s">
        <v>122</v>
      </c>
      <c r="AC5" t="str">
        <f>IF(AND('01_Estado_Actual'!$L$8="Para Programar",'01_Estado_Actual'!$G$8&gt;0),"03 Base de asiento - Aporte de material base e=0,10 m","")</f>
        <v/>
      </c>
      <c r="AD5" t="str">
        <f>IF(AND('01_Estado_Actual'!$L$32="Para Programar",'01_Estado_Actual'!$G$32&gt;0),"03 Base de asiento - Aporte de material base e=0,10 m","")</f>
        <v/>
      </c>
      <c r="AE5" t="str">
        <f>IF(AND('01_Estado_Actual'!$L$56="Para Programar",'01_Estado_Actual'!$G$56&gt;0),"03 Base de asiento - Aporte de material base e=0,10 m","")</f>
        <v/>
      </c>
      <c r="AF5" t="str">
        <f>IF(AND('01_Estado_Actual'!$L$80="Para Programar",'01_Estado_Actual'!$G$80&gt;0),"03 Base de asiento - Aporte de material base e=0,10 m","")</f>
        <v>03 Base de asiento - Aporte de material base e=0,10 m</v>
      </c>
      <c r="AG5" t="str">
        <f>IF(AND('01_Estado_Actual'!$L$104="Para Programar",'01_Estado_Actual'!$G$104&gt;0),"03 Base de asiento - Aporte de material base e=0,10 m","")</f>
        <v/>
      </c>
      <c r="AH5" t="str">
        <f>IF(AND('01_Estado_Actual'!$L$128="Para Programar",'01_Estado_Actual'!$G$128&gt;0),"03 Base de asiento - Aporte de material base e=0,10 m","")</f>
        <v/>
      </c>
      <c r="AI5" t="str">
        <f>IF(AND('01_Estado_Actual'!$L$152="Para Programar",'01_Estado_Actual'!$G$152&gt;0),"03 Base de asiento - Aporte de material base e=0,10 m","")</f>
        <v/>
      </c>
      <c r="AJ5" t="str">
        <f>IF(AND('01_Estado_Actual'!$L$176="Para Programar",'01_Estado_Actual'!$G$176&gt;0),"03 Base de asiento - Aporte de material base e=0,10 m","")</f>
        <v/>
      </c>
      <c r="AK5" t="str">
        <f>IF(AND('01_Estado_Actual'!$L$200="Para Programar",'01_Estado_Actual'!$G$200&gt;0),"03 Base de asiento - Aporte de material base e=0,10 m","")</f>
        <v/>
      </c>
      <c r="AL5" t="str">
        <f>IF(AND('01_Estado_Actual'!$L$224="Para Programar",'01_Estado_Actual'!$G$224&gt;0),"03 Base de asiento - Aporte de material base e=0,10 m","")</f>
        <v/>
      </c>
      <c r="AM5" t="str">
        <f>IF(AND('01_Estado_Actual'!$L$248="Para Programar",'01_Estado_Actual'!$G$248&gt;0),"03 Base de asiento - Aporte de material base e=0,10 m","")</f>
        <v>03 Base de asiento - Aporte de material base e=0,10 m</v>
      </c>
      <c r="AN5" t="str">
        <f>IF(AND('01_Estado_Actual'!$L$272="Para Programar",'01_Estado_Actual'!$G$272&gt;0),"03 Base de asiento - Aporte de material base e=0,10 m","")</f>
        <v/>
      </c>
      <c r="AO5" t="str">
        <f>IF(AND('01_Estado_Actual'!$L$296="Para Programar",'01_Estado_Actual'!$G$296&gt;0),"03 Base de asiento - Aporte de material base e=0,10 m","")</f>
        <v/>
      </c>
      <c r="AP5" t="str">
        <f>IF(AND('01_Estado_Actual'!$L$320="Para Programar",'01_Estado_Actual'!$G$320&gt;0),"03 Base de asiento - Aporte de material base e=0,10 m","")</f>
        <v/>
      </c>
      <c r="AQ5" t="str">
        <f>IF(AND('01_Estado_Actual'!$L$344="Para Programar",'01_Estado_Actual'!$G$344&gt;0),"03 Base de asiento - Aporte de material base e=0,10 m","")</f>
        <v/>
      </c>
      <c r="AR5" t="str">
        <f>IF(AND('01_Estado_Actual'!$L$368="Para Programar",'01_Estado_Actual'!$G$368&gt;0),"03 Base de asiento - Aporte de material base e=0,10 m","")</f>
        <v/>
      </c>
      <c r="AS5" t="str">
        <f>IF(AND('01_Estado_Actual'!$L$392="Para Programar",'01_Estado_Actual'!$G$392&gt;0),"03 Base de asiento - Aporte de material base e=0,10 m","")</f>
        <v/>
      </c>
      <c r="AT5" t="str">
        <f>IF(AND('01_Estado_Actual'!$L$416="Para Programar",'01_Estado_Actual'!$G$416&gt;0),"03 Base de asiento - Aporte de material base e=0,10 m","")</f>
        <v/>
      </c>
      <c r="AU5" t="str">
        <f>IF(AND('01_Estado_Actual'!$L$440="Para Programar",'01_Estado_Actual'!$G$440&gt;0),"03 Base de asiento - Aporte de material base e=0,10 m","")</f>
        <v/>
      </c>
      <c r="AV5" t="str">
        <f>IF(AND('01_Estado_Actual'!$L$464="Para Programar",'01_Estado_Actual'!$G$464&gt;0),"03 Base de asiento - Aporte de material base e=0,10 m","")</f>
        <v/>
      </c>
      <c r="AW5" t="str">
        <f>IF(AND('01_Estado_Actual'!$L$488="Para Programar",'01_Estado_Actual'!$G$488&gt;0),"03 Base de asiento - Aporte de material base e=0,10 m","")</f>
        <v/>
      </c>
      <c r="AX5" t="str">
        <f>IF(AND('01_Estado_Actual'!$L$512="Para Programar",'01_Estado_Actual'!$G$512&gt;0),"03 Base de asiento - Aporte de material base e=0,10 m","")</f>
        <v/>
      </c>
      <c r="AY5" t="str">
        <f>IF(AND('01_Estado_Actual'!$L$536="Para Programar",'01_Estado_Actual'!$G$536&gt;0),"03 Base de asiento - Aporte de material base e=0,10 m","")</f>
        <v/>
      </c>
      <c r="AZ5" t="str">
        <f>IF(AND('01_Estado_Actual'!$L$560="Para Programar",'01_Estado_Actual'!$G$560&gt;0),"03 Base de asiento - Aporte de material base e=0,10 m","")</f>
        <v/>
      </c>
      <c r="BA5" t="str">
        <f>IF(AND('01_Estado_Actual'!$L$584="Para Programar",'01_Estado_Actual'!$G$584&gt;0),"03 Base de asiento - Aporte de material base e=0,10 m","")</f>
        <v/>
      </c>
      <c r="BB5" t="str">
        <f>IF(AND('01_Estado_Actual'!$L$608="Para Programar",'01_Estado_Actual'!$G$608&gt;0),"03 Base de asiento - Aporte de material base e=0,10 m","")</f>
        <v/>
      </c>
      <c r="BC5" t="str">
        <f>IF(AND('01_Estado_Actual'!$L$632="Para Programar",'01_Estado_Actual'!$G$632&gt;0),"03 Base de asiento - Aporte de material base e=0,10 m","")</f>
        <v/>
      </c>
      <c r="BD5" t="str">
        <f>IF(AND('01_Estado_Actual'!$L$656="Para Programar",'01_Estado_Actual'!$G$656&gt;0),"03 Base de asiento - Aporte de material base e=0,10 m","")</f>
        <v/>
      </c>
      <c r="BE5" t="str">
        <f>IF(AND('01_Estado_Actual'!$L$680="Para Programar",'01_Estado_Actual'!$G$680&gt;0),"03 Base de asiento - Aporte de material base e=0,10 m","")</f>
        <v/>
      </c>
      <c r="BF5" t="str">
        <f>IF(AND('01_Estado_Actual'!$L$704="Para Programar",'01_Estado_Actual'!$G$704&gt;0),"03 Base de asiento - Aporte de material base e=0,10 m","")</f>
        <v/>
      </c>
      <c r="BG5" t="str">
        <f>IF(AND('01_Estado_Actual'!$L$728="Para Programar",'01_Estado_Actual'!$G$728&gt;0),"03 Base de asiento - Aporte de material base e=0,10 m","")</f>
        <v/>
      </c>
      <c r="BH5" t="str">
        <f>IF(AND('01_Estado_Actual'!$L$752="Para Programar",'01_Estado_Actual'!$G$752&gt;0),"03 Base de asiento - Aporte de material base e=0,10 m","")</f>
        <v/>
      </c>
      <c r="BI5" t="str">
        <f>IF(AND('01_Estado_Actual'!$L$776="Para Programar",'01_Estado_Actual'!$G$776&gt;0),"03 Base de asiento - Aporte de material base e=0,10 m","")</f>
        <v/>
      </c>
      <c r="BJ5" t="str">
        <f>IF(AND('01_Estado_Actual'!$L$800="Para Programar",'01_Estado_Actual'!$G$800&gt;0),"03 Base de asiento - Aporte de material base e=0,10 m","")</f>
        <v/>
      </c>
      <c r="BK5" t="str">
        <f>IF(AND('01_Estado_Actual'!$L$824="Para Programar",'01_Estado_Actual'!$G$824&gt;0),"03 Base de asiento - Aporte de material base e=0,10 m","")</f>
        <v/>
      </c>
      <c r="BL5" t="str">
        <f>IF(AND('01_Estado_Actual'!$L$848="Para Programar",'01_Estado_Actual'!$G$848&gt;0),"03 Base de asiento - Aporte de material base e=0,10 m","")</f>
        <v/>
      </c>
      <c r="BM5" t="str">
        <f>IF(AND('01_Estado_Actual'!$L$872="Para Programar",'01_Estado_Actual'!$G$872&gt;0),"03 Base de asiento - Aporte de material base e=0,10 m","")</f>
        <v/>
      </c>
      <c r="BN5" t="str">
        <f>IF(AND('01_Estado_Actual'!$L$896="Para Programar",'01_Estado_Actual'!$G$896&gt;0),"03 Base de asiento - Aporte de material base e=0,10 m","")</f>
        <v/>
      </c>
      <c r="BO5" t="str">
        <f>IF(AND('01_Estado_Actual'!$L$920="Para Programar",'01_Estado_Actual'!$G$920&gt;0),"03 Base de asiento - Aporte de material base e=0,10 m","")</f>
        <v/>
      </c>
      <c r="BP5" t="str">
        <f>IF(AND('01_Estado_Actual'!$L$944="Para Programar",'01_Estado_Actual'!$G$944&gt;0),"03 Base de asiento - Aporte de material base e=0,10 m","")</f>
        <v/>
      </c>
      <c r="BQ5" t="str">
        <f>IF(AND('01_Estado_Actual'!$L$968="Para Programar",'01_Estado_Actual'!$G$968&gt;0),"03 Base de asiento - Aporte de material base e=0,10 m","")</f>
        <v/>
      </c>
      <c r="BR5" t="str">
        <f>IF(AND('01_Estado_Actual'!$L$992="Para Programar",'01_Estado_Actual'!$G$992&gt;0),"03 Base de asiento - Aporte de material base e=0,10 m","")</f>
        <v/>
      </c>
      <c r="BS5" t="str">
        <f>IF(AND('01_Estado_Actual'!$L$1016="Para Programar",'01_Estado_Actual'!$G$1016&gt;0),"03 Base de asiento - Aporte de material base e=0,10 m","")</f>
        <v/>
      </c>
      <c r="BT5" t="str">
        <f>IF(AND('01_Estado_Actual'!$L$1040="Para Programar",'01_Estado_Actual'!$G$1040&gt;0),"03 Base de asiento - Aporte de material base e=0,10 m","")</f>
        <v/>
      </c>
      <c r="BU5" t="str">
        <f>IF(AND('01_Estado_Actual'!$L$1064="Para Programar",'01_Estado_Actual'!$G$1064&gt;0),"03 Base de asiento - Aporte de material base e=0,10 m","")</f>
        <v/>
      </c>
      <c r="BV5" t="str">
        <f>IF(AND('01_Estado_Actual'!$L$1088="Para Programar",'01_Estado_Actual'!$G$1088&gt;0),"03 Base de asiento - Aporte de material base e=0,10 m","")</f>
        <v/>
      </c>
      <c r="BW5" t="str">
        <f>IF(AND('01_Estado_Actual'!$L$1112="Para Programar",'01_Estado_Actual'!$G$1112&gt;0),"03 Base de asiento - Aporte de material base e=0,10 m","")</f>
        <v/>
      </c>
      <c r="BX5" t="str">
        <f>IF(AND('01_Estado_Actual'!$L$1136="Para Programar",'01_Estado_Actual'!$G$1136&gt;0),"03 Base de asiento - Aporte de material base e=0,10 m","")</f>
        <v/>
      </c>
      <c r="BY5" t="str">
        <f>IF(AND('01_Estado_Actual'!$L$1160="Para Programar",'01_Estado_Actual'!$G$1160&gt;0),"03 Base de asiento - Aporte de material base e=0,10 m","")</f>
        <v/>
      </c>
      <c r="BZ5" t="str">
        <f>IF(AND('01_Estado_Actual'!$L$1184="Para Programar",'01_Estado_Actual'!$G$1184&gt;0),"03 Base de asiento - Aporte de material base e=0,10 m","")</f>
        <v/>
      </c>
    </row>
    <row r="6" spans="1:78">
      <c r="A6" t="str">
        <f>IF(OR(B6="",C6=""),"","PLAN-"&amp;2)</f>
        <v/>
      </c>
      <c r="D6" t="str">
        <f>IF(OR(B6="",C6=""),"",IF(C6="06 Servicios - Colocación de vaina / caño camisa","u",IF(C6="07 Hidrante - Ejecución completa","%",IFERROR(_xludf.XLOOKUP(B6&amp;"|"&amp;C6,'07_Base_Tecnica'!$AK$2:$AK$1201,'07_Base_Tecnica'!$AL$2:$AL$1201,""),""))))</f>
        <v/>
      </c>
      <c r="E6" t="str">
        <f>IF(OR(B6="",C6=""),"",IF(C6="06 Servicios - Colocación de vaina / caño camisa",MAX(0,IFERROR(_xludf.XLOOKUP(B6,'07_Base_Tecnica'!$K$5:$K$54,'07_Base_Tecnica'!$Q$5:$Q$54,0),0)-MAX(SUMIFS('05_Parte_Diario'!$H$5:$H$204,'05_Parte_Diario'!$D$5:$D$204,B6,'05_Parte_Diario'!$E$5:$E$204,"06 Servicios - Colocación de vaina / caño camisa"),COUNTIFS('06_Control_Semanal'!$B$283:$B$533,B6,'06_Control_Semanal'!$D$283:$D$533,"Colocada"))),IF(C6="07 Hidrante - Ejecución completa",MAX(0,100-SUMIFS('06_Control_Semanal'!$D$203:$D$222,'06_Control_Semanal'!$C$203:$C$222,B6)),IFERROR(_xludf.XLOOKUP(B6&amp;"|"&amp;C6,'02_Para_Programar'!$N$5:$N$304,'02_Para_Programar'!$F$5:$F$304,0),0))))</f>
        <v/>
      </c>
      <c r="G6" t="str">
        <f t="shared" si="0"/>
        <v/>
      </c>
      <c r="H6" s="5"/>
      <c r="I6" s="5"/>
      <c r="O6" t="str">
        <f>IF(OR(B6="",C6=""),"",IF(C6="07 Hidrante - Ejecución completa",IF(COUNTIF('06_Control_Semanal'!$C$203:$C$222,B6)&gt;1,"ALERTA: &gt;1 HIDRANTE",IF(E6&gt;0,"OK","SIN SALDO / NO PROGRAMAR")),IF(E6&gt;0,"OK","SIN SALDO / NO PROGRAMAR")))</f>
        <v/>
      </c>
      <c r="P6" t="str">
        <f t="shared" si="1"/>
        <v/>
      </c>
      <c r="Q6" t="str">
        <f>IF(B6="","",IFERROR(_xludf.XLOOKUP(B6,'07_Base_Tecnica'!$K$5:$K$54,'07_Base_Tecnica'!$W$5:$W$54,""),""))</f>
        <v/>
      </c>
      <c r="R6" t="str">
        <f>IF(B6="","",IFERROR(_xludf.XLOOKUP(B6,'07_Base_Tecnica'!$K$5:$K$54,'07_Base_Tecnica'!$X$5:$X$54,""),""))</f>
        <v/>
      </c>
      <c r="AA6" t="s">
        <v>127</v>
      </c>
      <c r="AC6" t="str">
        <f>IF(AND('01_Estado_Actual'!$L$9="Para Programar",'01_Estado_Actual'!$G$9&gt;0),"03 Base de asiento - Compactación","")</f>
        <v/>
      </c>
      <c r="AD6" t="str">
        <f>IF(AND('01_Estado_Actual'!$L$33="Para Programar",'01_Estado_Actual'!$G$33&gt;0),"03 Base de asiento - Compactación","")</f>
        <v/>
      </c>
      <c r="AE6" t="str">
        <f>IF(AND('01_Estado_Actual'!$L$57="Para Programar",'01_Estado_Actual'!$G$57&gt;0),"03 Base de asiento - Compactación","")</f>
        <v/>
      </c>
      <c r="AF6" t="str">
        <f>IF(AND('01_Estado_Actual'!$L$81="Para Programar",'01_Estado_Actual'!$G$81&gt;0),"03 Base de asiento - Compactación","")</f>
        <v>03 Base de asiento - Compactación</v>
      </c>
      <c r="AG6" t="str">
        <f>IF(AND('01_Estado_Actual'!$L$105="Para Programar",'01_Estado_Actual'!$G$105&gt;0),"03 Base de asiento - Compactación","")</f>
        <v/>
      </c>
      <c r="AH6" t="str">
        <f>IF(AND('01_Estado_Actual'!$L$129="Para Programar",'01_Estado_Actual'!$G$129&gt;0),"03 Base de asiento - Compactación","")</f>
        <v/>
      </c>
      <c r="AI6" t="str">
        <f>IF(AND('01_Estado_Actual'!$L$153="Para Programar",'01_Estado_Actual'!$G$153&gt;0),"03 Base de asiento - Compactación","")</f>
        <v/>
      </c>
      <c r="AJ6" t="str">
        <f>IF(AND('01_Estado_Actual'!$L$177="Para Programar",'01_Estado_Actual'!$G$177&gt;0),"03 Base de asiento - Compactación","")</f>
        <v>03 Base de asiento - Compactación</v>
      </c>
      <c r="AK6" t="str">
        <f>IF(AND('01_Estado_Actual'!$L$201="Para Programar",'01_Estado_Actual'!$G$201&gt;0),"03 Base de asiento - Compactación","")</f>
        <v>03 Base de asiento - Compactación</v>
      </c>
      <c r="AL6" t="str">
        <f>IF(AND('01_Estado_Actual'!$L$225="Para Programar",'01_Estado_Actual'!$G$225&gt;0),"03 Base de asiento - Compactación","")</f>
        <v/>
      </c>
      <c r="AM6" t="str">
        <f>IF(AND('01_Estado_Actual'!$L$249="Para Programar",'01_Estado_Actual'!$G$249&gt;0),"03 Base de asiento - Compactación","")</f>
        <v>03 Base de asiento - Compactación</v>
      </c>
      <c r="AN6" t="str">
        <f>IF(AND('01_Estado_Actual'!$L$273="Para Programar",'01_Estado_Actual'!$G$273&gt;0),"03 Base de asiento - Compactación","")</f>
        <v>03 Base de asiento - Compactación</v>
      </c>
      <c r="AO6" t="str">
        <f>IF(AND('01_Estado_Actual'!$L$297="Para Programar",'01_Estado_Actual'!$G$297&gt;0),"03 Base de asiento - Compactación","")</f>
        <v>03 Base de asiento - Compactación</v>
      </c>
      <c r="AP6" t="str">
        <f>IF(AND('01_Estado_Actual'!$L$321="Para Programar",'01_Estado_Actual'!$G$321&gt;0),"03 Base de asiento - Compactación","")</f>
        <v/>
      </c>
      <c r="AQ6" t="str">
        <f>IF(AND('01_Estado_Actual'!$L$345="Para Programar",'01_Estado_Actual'!$G$345&gt;0),"03 Base de asiento - Compactación","")</f>
        <v/>
      </c>
      <c r="AR6" t="str">
        <f>IF(AND('01_Estado_Actual'!$L$369="Para Programar",'01_Estado_Actual'!$G$369&gt;0),"03 Base de asiento - Compactación","")</f>
        <v/>
      </c>
      <c r="AS6" t="str">
        <f>IF(AND('01_Estado_Actual'!$L$393="Para Programar",'01_Estado_Actual'!$G$393&gt;0),"03 Base de asiento - Compactación","")</f>
        <v/>
      </c>
      <c r="AT6" t="str">
        <f>IF(AND('01_Estado_Actual'!$L$417="Para Programar",'01_Estado_Actual'!$G$417&gt;0),"03 Base de asiento - Compactación","")</f>
        <v/>
      </c>
      <c r="AU6" t="str">
        <f>IF(AND('01_Estado_Actual'!$L$441="Para Programar",'01_Estado_Actual'!$G$441&gt;0),"03 Base de asiento - Compactación","")</f>
        <v/>
      </c>
      <c r="AV6" t="str">
        <f>IF(AND('01_Estado_Actual'!$L$465="Para Programar",'01_Estado_Actual'!$G$465&gt;0),"03 Base de asiento - Compactación","")</f>
        <v/>
      </c>
      <c r="AW6" t="str">
        <f>IF(AND('01_Estado_Actual'!$L$489="Para Programar",'01_Estado_Actual'!$G$489&gt;0),"03 Base de asiento - Compactación","")</f>
        <v/>
      </c>
      <c r="AX6" t="str">
        <f>IF(AND('01_Estado_Actual'!$L$513="Para Programar",'01_Estado_Actual'!$G$513&gt;0),"03 Base de asiento - Compactación","")</f>
        <v/>
      </c>
      <c r="AY6" t="str">
        <f>IF(AND('01_Estado_Actual'!$L$537="Para Programar",'01_Estado_Actual'!$G$537&gt;0),"03 Base de asiento - Compactación","")</f>
        <v/>
      </c>
      <c r="AZ6" t="str">
        <f>IF(AND('01_Estado_Actual'!$L$561="Para Programar",'01_Estado_Actual'!$G$561&gt;0),"03 Base de asiento - Compactación","")</f>
        <v/>
      </c>
      <c r="BA6" t="str">
        <f>IF(AND('01_Estado_Actual'!$L$585="Para Programar",'01_Estado_Actual'!$G$585&gt;0),"03 Base de asiento - Compactación","")</f>
        <v/>
      </c>
      <c r="BB6" t="str">
        <f>IF(AND('01_Estado_Actual'!$L$609="Para Programar",'01_Estado_Actual'!$G$609&gt;0),"03 Base de asiento - Compactación","")</f>
        <v>03 Base de asiento - Compactación</v>
      </c>
      <c r="BC6" t="str">
        <f>IF(AND('01_Estado_Actual'!$L$633="Para Programar",'01_Estado_Actual'!$G$633&gt;0),"03 Base de asiento - Compactación","")</f>
        <v/>
      </c>
      <c r="BD6" t="str">
        <f>IF(AND('01_Estado_Actual'!$L$657="Para Programar",'01_Estado_Actual'!$G$657&gt;0),"03 Base de asiento - Compactación","")</f>
        <v/>
      </c>
      <c r="BE6" t="str">
        <f>IF(AND('01_Estado_Actual'!$L$681="Para Programar",'01_Estado_Actual'!$G$681&gt;0),"03 Base de asiento - Compactación","")</f>
        <v/>
      </c>
      <c r="BF6" t="str">
        <f>IF(AND('01_Estado_Actual'!$L$705="Para Programar",'01_Estado_Actual'!$G$705&gt;0),"03 Base de asiento - Compactación","")</f>
        <v/>
      </c>
      <c r="BG6" t="str">
        <f>IF(AND('01_Estado_Actual'!$L$729="Para Programar",'01_Estado_Actual'!$G$729&gt;0),"03 Base de asiento - Compactación","")</f>
        <v/>
      </c>
      <c r="BH6" t="str">
        <f>IF(AND('01_Estado_Actual'!$L$753="Para Programar",'01_Estado_Actual'!$G$753&gt;0),"03 Base de asiento - Compactación","")</f>
        <v/>
      </c>
      <c r="BI6" t="str">
        <f>IF(AND('01_Estado_Actual'!$L$777="Para Programar",'01_Estado_Actual'!$G$777&gt;0),"03 Base de asiento - Compactación","")</f>
        <v/>
      </c>
      <c r="BJ6" t="str">
        <f>IF(AND('01_Estado_Actual'!$L$801="Para Programar",'01_Estado_Actual'!$G$801&gt;0),"03 Base de asiento - Compactación","")</f>
        <v/>
      </c>
      <c r="BK6" t="str">
        <f>IF(AND('01_Estado_Actual'!$L$825="Para Programar",'01_Estado_Actual'!$G$825&gt;0),"03 Base de asiento - Compactación","")</f>
        <v/>
      </c>
      <c r="BL6" t="str">
        <f>IF(AND('01_Estado_Actual'!$L$849="Para Programar",'01_Estado_Actual'!$G$849&gt;0),"03 Base de asiento - Compactación","")</f>
        <v/>
      </c>
      <c r="BM6" t="str">
        <f>IF(AND('01_Estado_Actual'!$L$873="Para Programar",'01_Estado_Actual'!$G$873&gt;0),"03 Base de asiento - Compactación","")</f>
        <v/>
      </c>
      <c r="BN6" t="str">
        <f>IF(AND('01_Estado_Actual'!$L$897="Para Programar",'01_Estado_Actual'!$G$897&gt;0),"03 Base de asiento - Compactación","")</f>
        <v/>
      </c>
      <c r="BO6" t="str">
        <f>IF(AND('01_Estado_Actual'!$L$921="Para Programar",'01_Estado_Actual'!$G$921&gt;0),"03 Base de asiento - Compactación","")</f>
        <v/>
      </c>
      <c r="BP6" t="str">
        <f>IF(AND('01_Estado_Actual'!$L$945="Para Programar",'01_Estado_Actual'!$G$945&gt;0),"03 Base de asiento - Compactación","")</f>
        <v/>
      </c>
      <c r="BQ6" t="str">
        <f>IF(AND('01_Estado_Actual'!$L$969="Para Programar",'01_Estado_Actual'!$G$969&gt;0),"03 Base de asiento - Compactación","")</f>
        <v/>
      </c>
      <c r="BR6" t="str">
        <f>IF(AND('01_Estado_Actual'!$L$993="Para Programar",'01_Estado_Actual'!$G$993&gt;0),"03 Base de asiento - Compactación","")</f>
        <v/>
      </c>
      <c r="BS6" t="str">
        <f>IF(AND('01_Estado_Actual'!$L$1017="Para Programar",'01_Estado_Actual'!$G$1017&gt;0),"03 Base de asiento - Compactación","")</f>
        <v/>
      </c>
      <c r="BT6" t="str">
        <f>IF(AND('01_Estado_Actual'!$L$1041="Para Programar",'01_Estado_Actual'!$G$1041&gt;0),"03 Base de asiento - Compactación","")</f>
        <v/>
      </c>
      <c r="BU6" t="str">
        <f>IF(AND('01_Estado_Actual'!$L$1065="Para Programar",'01_Estado_Actual'!$G$1065&gt;0),"03 Base de asiento - Compactación","")</f>
        <v/>
      </c>
      <c r="BV6" t="str">
        <f>IF(AND('01_Estado_Actual'!$L$1089="Para Programar",'01_Estado_Actual'!$G$1089&gt;0),"03 Base de asiento - Compactación","")</f>
        <v/>
      </c>
      <c r="BW6" t="str">
        <f>IF(AND('01_Estado_Actual'!$L$1113="Para Programar",'01_Estado_Actual'!$G$1113&gt;0),"03 Base de asiento - Compactación","")</f>
        <v/>
      </c>
      <c r="BX6" t="str">
        <f>IF(AND('01_Estado_Actual'!$L$1137="Para Programar",'01_Estado_Actual'!$G$1137&gt;0),"03 Base de asiento - Compactación","")</f>
        <v/>
      </c>
      <c r="BY6" t="str">
        <f>IF(AND('01_Estado_Actual'!$L$1161="Para Programar",'01_Estado_Actual'!$G$1161&gt;0),"03 Base de asiento - Compactación","")</f>
        <v/>
      </c>
      <c r="BZ6" t="str">
        <f>IF(AND('01_Estado_Actual'!$L$1185="Para Programar",'01_Estado_Actual'!$G$1185&gt;0),"03 Base de asiento - Compactación","")</f>
        <v/>
      </c>
    </row>
    <row r="7" spans="1:78">
      <c r="A7" s="10" t="str">
        <f>IF(OR(B7="",C7=""),"","PLAN-"&amp;3)</f>
        <v/>
      </c>
      <c r="B7" s="10"/>
      <c r="C7" s="10"/>
      <c r="D7" s="10" t="str">
        <f>IF(OR(B7="",C7=""),"",IF(C7="06 Servicios - Colocación de vaina / caño camisa","u",IF(C7="07 Hidrante - Ejecución completa","%",IFERROR(_xludf.XLOOKUP(B7&amp;"|"&amp;C7,'07_Base_Tecnica'!$AK$2:$AK$1201,'07_Base_Tecnica'!$AL$2:$AL$1201,""),""))))</f>
        <v/>
      </c>
      <c r="E7" s="10" t="str">
        <f>IF(OR(B7="",C7=""),"",IF(C7="06 Servicios - Colocación de vaina / caño camisa",MAX(0,IFERROR(_xludf.XLOOKUP(B7,'07_Base_Tecnica'!$K$5:$K$54,'07_Base_Tecnica'!$Q$5:$Q$54,0),0)-MAX(SUMIFS('05_Parte_Diario'!$H$5:$H$204,'05_Parte_Diario'!$D$5:$D$204,B7,'05_Parte_Diario'!$E$5:$E$204,"06 Servicios - Colocación de vaina / caño camisa"),COUNTIFS('06_Control_Semanal'!$B$283:$B$533,B7,'06_Control_Semanal'!$D$283:$D$533,"Colocada"))),IF(C7="07 Hidrante - Ejecución completa",MAX(0,100-SUMIFS('06_Control_Semanal'!$D$203:$D$222,'06_Control_Semanal'!$C$203:$C$222,B7)),IFERROR(_xludf.XLOOKUP(B7&amp;"|"&amp;C7,'02_Para_Programar'!$N$5:$N$304,'02_Para_Programar'!$F$5:$F$304,0),0))))</f>
        <v/>
      </c>
      <c r="F7" s="10"/>
      <c r="G7" s="10" t="str">
        <f t="shared" si="0"/>
        <v/>
      </c>
      <c r="H7" s="11"/>
      <c r="I7" s="11"/>
      <c r="J7" s="10"/>
      <c r="K7" s="10"/>
      <c r="L7" s="10"/>
      <c r="M7" s="10"/>
      <c r="N7" s="10" t="s">
        <v>123</v>
      </c>
      <c r="O7" s="12" t="str">
        <f>IF(OR(B7="",C7=""),"",IF(C7="07 Hidrante - Ejecución completa",IF(COUNTIF('06_Control_Semanal'!$C$203:$C$222,B7)&gt;1,"ALERTA: &gt;1 HIDRANTE",IF(E7&gt;0,"OK","SIN SALDO / NO PROGRAMAR")),IF(E7&gt;0,"OK","SIN SALDO / NO PROGRAMAR")))</f>
        <v/>
      </c>
      <c r="P7" s="10" t="str">
        <f t="shared" si="1"/>
        <v/>
      </c>
      <c r="Q7" s="10" t="str">
        <f>IF(B7="","",IFERROR(_xludf.XLOOKUP(B7,'07_Base_Tecnica'!$K$5:$K$54,'07_Base_Tecnica'!$W$5:$W$54,""),""))</f>
        <v/>
      </c>
      <c r="R7" s="10" t="str">
        <f>IF(B7="","",IFERROR(_xludf.XLOOKUP(B7,'07_Base_Tecnica'!$K$5:$K$54,'07_Base_Tecnica'!$X$5:$X$54,""),""))</f>
        <v/>
      </c>
      <c r="AA7" t="s">
        <v>128</v>
      </c>
      <c r="AC7" t="str">
        <f>IF(AND('01_Estado_Actual'!$L$10="Para Programar",'01_Estado_Actual'!$G$10&gt;0),"04 Inspecciones previas - Laboratorio base de asiento","")</f>
        <v/>
      </c>
      <c r="AD7" t="str">
        <f>IF(AND('01_Estado_Actual'!$L$34="Para Programar",'01_Estado_Actual'!$G$34&gt;0),"04 Inspecciones previas - Laboratorio base de asiento","")</f>
        <v/>
      </c>
      <c r="AE7" t="str">
        <f>IF(AND('01_Estado_Actual'!$L$58="Para Programar",'01_Estado_Actual'!$G$58&gt;0),"04 Inspecciones previas - Laboratorio base de asiento","")</f>
        <v/>
      </c>
      <c r="AF7" t="str">
        <f>IF(AND('01_Estado_Actual'!$L$82="Para Programar",'01_Estado_Actual'!$G$82&gt;0),"04 Inspecciones previas - Laboratorio base de asiento","")</f>
        <v/>
      </c>
      <c r="AG7" t="str">
        <f>IF(AND('01_Estado_Actual'!$L$106="Para Programar",'01_Estado_Actual'!$G$106&gt;0),"04 Inspecciones previas - Laboratorio base de asiento","")</f>
        <v/>
      </c>
      <c r="AH7" t="str">
        <f>IF(AND('01_Estado_Actual'!$L$130="Para Programar",'01_Estado_Actual'!$G$130&gt;0),"04 Inspecciones previas - Laboratorio base de asiento","")</f>
        <v/>
      </c>
      <c r="AI7" t="str">
        <f>IF(AND('01_Estado_Actual'!$L$154="Para Programar",'01_Estado_Actual'!$G$154&gt;0),"04 Inspecciones previas - Laboratorio base de asiento","")</f>
        <v/>
      </c>
      <c r="AJ7" t="str">
        <f>IF(AND('01_Estado_Actual'!$L$178="Para Programar",'01_Estado_Actual'!$G$178&gt;0),"04 Inspecciones previas - Laboratorio base de asiento","")</f>
        <v>04 Inspecciones previas - Laboratorio base de asiento</v>
      </c>
      <c r="AK7" t="str">
        <f>IF(AND('01_Estado_Actual'!$L$202="Para Programar",'01_Estado_Actual'!$G$202&gt;0),"04 Inspecciones previas - Laboratorio base de asiento","")</f>
        <v>04 Inspecciones previas - Laboratorio base de asiento</v>
      </c>
      <c r="AL7" t="str">
        <f>IF(AND('01_Estado_Actual'!$L$226="Para Programar",'01_Estado_Actual'!$G$226&gt;0),"04 Inspecciones previas - Laboratorio base de asiento","")</f>
        <v/>
      </c>
      <c r="AM7" t="str">
        <f>IF(AND('01_Estado_Actual'!$L$250="Para Programar",'01_Estado_Actual'!$G$250&gt;0),"04 Inspecciones previas - Laboratorio base de asiento","")</f>
        <v/>
      </c>
      <c r="AN7" t="str">
        <f>IF(AND('01_Estado_Actual'!$L$274="Para Programar",'01_Estado_Actual'!$G$274&gt;0),"04 Inspecciones previas - Laboratorio base de asiento","")</f>
        <v>04 Inspecciones previas - Laboratorio base de asiento</v>
      </c>
      <c r="AO7" t="str">
        <f>IF(AND('01_Estado_Actual'!$L$298="Para Programar",'01_Estado_Actual'!$G$298&gt;0),"04 Inspecciones previas - Laboratorio base de asiento","")</f>
        <v>04 Inspecciones previas - Laboratorio base de asiento</v>
      </c>
      <c r="AP7" t="str">
        <f>IF(AND('01_Estado_Actual'!$L$322="Para Programar",'01_Estado_Actual'!$G$322&gt;0),"04 Inspecciones previas - Laboratorio base de asiento","")</f>
        <v/>
      </c>
      <c r="AQ7" t="str">
        <f>IF(AND('01_Estado_Actual'!$L$346="Para Programar",'01_Estado_Actual'!$G$346&gt;0),"04 Inspecciones previas - Laboratorio base de asiento","")</f>
        <v/>
      </c>
      <c r="AR7" t="str">
        <f>IF(AND('01_Estado_Actual'!$L$370="Para Programar",'01_Estado_Actual'!$G$370&gt;0),"04 Inspecciones previas - Laboratorio base de asiento","")</f>
        <v/>
      </c>
      <c r="AS7" t="str">
        <f>IF(AND('01_Estado_Actual'!$L$394="Para Programar",'01_Estado_Actual'!$G$394&gt;0),"04 Inspecciones previas - Laboratorio base de asiento","")</f>
        <v/>
      </c>
      <c r="AT7" t="str">
        <f>IF(AND('01_Estado_Actual'!$L$418="Para Programar",'01_Estado_Actual'!$G$418&gt;0),"04 Inspecciones previas - Laboratorio base de asiento","")</f>
        <v/>
      </c>
      <c r="AU7" t="str">
        <f>IF(AND('01_Estado_Actual'!$L$442="Para Programar",'01_Estado_Actual'!$G$442&gt;0),"04 Inspecciones previas - Laboratorio base de asiento","")</f>
        <v/>
      </c>
      <c r="AV7" t="str">
        <f>IF(AND('01_Estado_Actual'!$L$466="Para Programar",'01_Estado_Actual'!$G$466&gt;0),"04 Inspecciones previas - Laboratorio base de asiento","")</f>
        <v/>
      </c>
      <c r="AW7" t="str">
        <f>IF(AND('01_Estado_Actual'!$L$490="Para Programar",'01_Estado_Actual'!$G$490&gt;0),"04 Inspecciones previas - Laboratorio base de asiento","")</f>
        <v/>
      </c>
      <c r="AX7" t="str">
        <f>IF(AND('01_Estado_Actual'!$L$514="Para Programar",'01_Estado_Actual'!$G$514&gt;0),"04 Inspecciones previas - Laboratorio base de asiento","")</f>
        <v/>
      </c>
      <c r="AY7" t="str">
        <f>IF(AND('01_Estado_Actual'!$L$538="Para Programar",'01_Estado_Actual'!$G$538&gt;0),"04 Inspecciones previas - Laboratorio base de asiento","")</f>
        <v/>
      </c>
      <c r="AZ7" t="str">
        <f>IF(AND('01_Estado_Actual'!$L$562="Para Programar",'01_Estado_Actual'!$G$562&gt;0),"04 Inspecciones previas - Laboratorio base de asiento","")</f>
        <v/>
      </c>
      <c r="BA7" t="str">
        <f>IF(AND('01_Estado_Actual'!$L$586="Para Programar",'01_Estado_Actual'!$G$586&gt;0),"04 Inspecciones previas - Laboratorio base de asiento","")</f>
        <v/>
      </c>
      <c r="BB7" t="str">
        <f>IF(AND('01_Estado_Actual'!$L$610="Para Programar",'01_Estado_Actual'!$G$610&gt;0),"04 Inspecciones previas - Laboratorio base de asiento","")</f>
        <v>04 Inspecciones previas - Laboratorio base de asiento</v>
      </c>
      <c r="BC7" t="str">
        <f>IF(AND('01_Estado_Actual'!$L$634="Para Programar",'01_Estado_Actual'!$G$634&gt;0),"04 Inspecciones previas - Laboratorio base de asiento","")</f>
        <v/>
      </c>
      <c r="BD7" t="str">
        <f>IF(AND('01_Estado_Actual'!$L$658="Para Programar",'01_Estado_Actual'!$G$658&gt;0),"04 Inspecciones previas - Laboratorio base de asiento","")</f>
        <v/>
      </c>
      <c r="BE7" t="str">
        <f>IF(AND('01_Estado_Actual'!$L$682="Para Programar",'01_Estado_Actual'!$G$682&gt;0),"04 Inspecciones previas - Laboratorio base de asiento","")</f>
        <v/>
      </c>
      <c r="BF7" t="str">
        <f>IF(AND('01_Estado_Actual'!$L$706="Para Programar",'01_Estado_Actual'!$G$706&gt;0),"04 Inspecciones previas - Laboratorio base de asiento","")</f>
        <v/>
      </c>
      <c r="BG7" t="str">
        <f>IF(AND('01_Estado_Actual'!$L$730="Para Programar",'01_Estado_Actual'!$G$730&gt;0),"04 Inspecciones previas - Laboratorio base de asiento","")</f>
        <v/>
      </c>
      <c r="BH7" t="str">
        <f>IF(AND('01_Estado_Actual'!$L$754="Para Programar",'01_Estado_Actual'!$G$754&gt;0),"04 Inspecciones previas - Laboratorio base de asiento","")</f>
        <v/>
      </c>
      <c r="BI7" t="str">
        <f>IF(AND('01_Estado_Actual'!$L$778="Para Programar",'01_Estado_Actual'!$G$778&gt;0),"04 Inspecciones previas - Laboratorio base de asiento","")</f>
        <v/>
      </c>
      <c r="BJ7" t="str">
        <f>IF(AND('01_Estado_Actual'!$L$802="Para Programar",'01_Estado_Actual'!$G$802&gt;0),"04 Inspecciones previas - Laboratorio base de asiento","")</f>
        <v/>
      </c>
      <c r="BK7" t="str">
        <f>IF(AND('01_Estado_Actual'!$L$826="Para Programar",'01_Estado_Actual'!$G$826&gt;0),"04 Inspecciones previas - Laboratorio base de asiento","")</f>
        <v/>
      </c>
      <c r="BL7" t="str">
        <f>IF(AND('01_Estado_Actual'!$L$850="Para Programar",'01_Estado_Actual'!$G$850&gt;0),"04 Inspecciones previas - Laboratorio base de asiento","")</f>
        <v/>
      </c>
      <c r="BM7" t="str">
        <f>IF(AND('01_Estado_Actual'!$L$874="Para Programar",'01_Estado_Actual'!$G$874&gt;0),"04 Inspecciones previas - Laboratorio base de asiento","")</f>
        <v/>
      </c>
      <c r="BN7" t="str">
        <f>IF(AND('01_Estado_Actual'!$L$898="Para Programar",'01_Estado_Actual'!$G$898&gt;0),"04 Inspecciones previas - Laboratorio base de asiento","")</f>
        <v/>
      </c>
      <c r="BO7" t="str">
        <f>IF(AND('01_Estado_Actual'!$L$922="Para Programar",'01_Estado_Actual'!$G$922&gt;0),"04 Inspecciones previas - Laboratorio base de asiento","")</f>
        <v/>
      </c>
      <c r="BP7" t="str">
        <f>IF(AND('01_Estado_Actual'!$L$946="Para Programar",'01_Estado_Actual'!$G$946&gt;0),"04 Inspecciones previas - Laboratorio base de asiento","")</f>
        <v/>
      </c>
      <c r="BQ7" t="str">
        <f>IF(AND('01_Estado_Actual'!$L$970="Para Programar",'01_Estado_Actual'!$G$970&gt;0),"04 Inspecciones previas - Laboratorio base de asiento","")</f>
        <v/>
      </c>
      <c r="BR7" t="str">
        <f>IF(AND('01_Estado_Actual'!$L$994="Para Programar",'01_Estado_Actual'!$G$994&gt;0),"04 Inspecciones previas - Laboratorio base de asiento","")</f>
        <v/>
      </c>
      <c r="BS7" t="str">
        <f>IF(AND('01_Estado_Actual'!$L$1018="Para Programar",'01_Estado_Actual'!$G$1018&gt;0),"04 Inspecciones previas - Laboratorio base de asiento","")</f>
        <v/>
      </c>
      <c r="BT7" t="str">
        <f>IF(AND('01_Estado_Actual'!$L$1042="Para Programar",'01_Estado_Actual'!$G$1042&gt;0),"04 Inspecciones previas - Laboratorio base de asiento","")</f>
        <v/>
      </c>
      <c r="BU7" t="str">
        <f>IF(AND('01_Estado_Actual'!$L$1066="Para Programar",'01_Estado_Actual'!$G$1066&gt;0),"04 Inspecciones previas - Laboratorio base de asiento","")</f>
        <v/>
      </c>
      <c r="BV7" t="str">
        <f>IF(AND('01_Estado_Actual'!$L$1090="Para Programar",'01_Estado_Actual'!$G$1090&gt;0),"04 Inspecciones previas - Laboratorio base de asiento","")</f>
        <v/>
      </c>
      <c r="BW7" t="str">
        <f>IF(AND('01_Estado_Actual'!$L$1114="Para Programar",'01_Estado_Actual'!$G$1114&gt;0),"04 Inspecciones previas - Laboratorio base de asiento","")</f>
        <v/>
      </c>
      <c r="BX7" t="str">
        <f>IF(AND('01_Estado_Actual'!$L$1138="Para Programar",'01_Estado_Actual'!$G$1138&gt;0),"04 Inspecciones previas - Laboratorio base de asiento","")</f>
        <v/>
      </c>
      <c r="BY7" t="str">
        <f>IF(AND('01_Estado_Actual'!$L$1162="Para Programar",'01_Estado_Actual'!$G$1162&gt;0),"04 Inspecciones previas - Laboratorio base de asiento","")</f>
        <v/>
      </c>
      <c r="BZ7" t="str">
        <f>IF(AND('01_Estado_Actual'!$L$1186="Para Programar",'01_Estado_Actual'!$G$1186&gt;0),"04 Inspecciones previas - Laboratorio base de asiento","")</f>
        <v/>
      </c>
    </row>
    <row r="8" spans="1:78">
      <c r="A8" t="str">
        <f>IF(OR(B8="",C8=""),"","PLAN-"&amp;4)</f>
        <v/>
      </c>
      <c r="D8" t="str">
        <f>IF(OR(B8="",C8=""),"",IF(C8="06 Servicios - Colocación de vaina / caño camisa","u",IF(C8="07 Hidrante - Ejecución completa","%",IFERROR(_xludf.XLOOKUP(B8&amp;"|"&amp;C8,'07_Base_Tecnica'!$AK$2:$AK$1201,'07_Base_Tecnica'!$AL$2:$AL$1201,""),""))))</f>
        <v/>
      </c>
      <c r="E8" t="str">
        <f>IF(OR(B8="",C8=""),"",IF(C8="06 Servicios - Colocación de vaina / caño camisa",MAX(0,IFERROR(_xludf.XLOOKUP(B8,'07_Base_Tecnica'!$K$5:$K$54,'07_Base_Tecnica'!$Q$5:$Q$54,0),0)-MAX(SUMIFS('05_Parte_Diario'!$H$5:$H$204,'05_Parte_Diario'!$D$5:$D$204,B8,'05_Parte_Diario'!$E$5:$E$204,"06 Servicios - Colocación de vaina / caño camisa"),COUNTIFS('06_Control_Semanal'!$B$283:$B$533,B8,'06_Control_Semanal'!$D$283:$D$533,"Colocada"))),IF(C8="07 Hidrante - Ejecución completa",MAX(0,100-SUMIFS('06_Control_Semanal'!$D$203:$D$222,'06_Control_Semanal'!$C$203:$C$222,B8)),IFERROR(_xludf.XLOOKUP(B8&amp;"|"&amp;C8,'02_Para_Programar'!$N$5:$N$304,'02_Para_Programar'!$F$5:$F$304,0),0))))</f>
        <v/>
      </c>
      <c r="G8" t="str">
        <f t="shared" si="0"/>
        <v/>
      </c>
      <c r="H8" s="5"/>
      <c r="I8" s="5"/>
      <c r="O8" t="str">
        <f>IF(OR(B8="",C8=""),"",IF(C8="07 Hidrante - Ejecución completa",IF(COUNTIF('06_Control_Semanal'!$C$203:$C$222,B8)&gt;1,"ALERTA: &gt;1 HIDRANTE",IF(E8&gt;0,"OK","SIN SALDO / NO PROGRAMAR")),IF(E8&gt;0,"OK","SIN SALDO / NO PROGRAMAR")))</f>
        <v/>
      </c>
      <c r="P8" t="str">
        <f t="shared" si="1"/>
        <v/>
      </c>
      <c r="Q8" t="str">
        <f>IF(B8="","",IFERROR(_xludf.XLOOKUP(B8,'07_Base_Tecnica'!$K$5:$K$54,'07_Base_Tecnica'!$W$5:$W$54,""),""))</f>
        <v/>
      </c>
      <c r="R8" t="str">
        <f>IF(B8="","",IFERROR(_xludf.XLOOKUP(B8,'07_Base_Tecnica'!$K$5:$K$54,'07_Base_Tecnica'!$X$5:$X$54,""),""))</f>
        <v/>
      </c>
      <c r="AA8" t="s">
        <v>130</v>
      </c>
      <c r="AC8" t="str">
        <f>IF(AND('01_Estado_Actual'!$L$11="Para Programar",'01_Estado_Actual'!$G$11&gt;0),"04 Inspecciones previas - Zanja y materiales","")</f>
        <v/>
      </c>
      <c r="AD8" t="str">
        <f>IF(AND('01_Estado_Actual'!$L$35="Para Programar",'01_Estado_Actual'!$G$35&gt;0),"04 Inspecciones previas - Zanja y materiales","")</f>
        <v/>
      </c>
      <c r="AE8" t="str">
        <f>IF(AND('01_Estado_Actual'!$L$59="Para Programar",'01_Estado_Actual'!$G$59&gt;0),"04 Inspecciones previas - Zanja y materiales","")</f>
        <v/>
      </c>
      <c r="AF8" t="str">
        <f>IF(AND('01_Estado_Actual'!$L$83="Para Programar",'01_Estado_Actual'!$G$83&gt;0),"04 Inspecciones previas - Zanja y materiales","")</f>
        <v/>
      </c>
      <c r="AG8" t="str">
        <f>IF(AND('01_Estado_Actual'!$L$107="Para Programar",'01_Estado_Actual'!$G$107&gt;0),"04 Inspecciones previas - Zanja y materiales","")</f>
        <v/>
      </c>
      <c r="AH8" t="str">
        <f>IF(AND('01_Estado_Actual'!$L$131="Para Programar",'01_Estado_Actual'!$G$131&gt;0),"04 Inspecciones previas - Zanja y materiales","")</f>
        <v/>
      </c>
      <c r="AI8" t="str">
        <f>IF(AND('01_Estado_Actual'!$L$155="Para Programar",'01_Estado_Actual'!$G$155&gt;0),"04 Inspecciones previas - Zanja y materiales","")</f>
        <v/>
      </c>
      <c r="AJ8" t="str">
        <f>IF(AND('01_Estado_Actual'!$L$179="Para Programar",'01_Estado_Actual'!$G$179&gt;0),"04 Inspecciones previas - Zanja y materiales","")</f>
        <v>04 Inspecciones previas - Zanja y materiales</v>
      </c>
      <c r="AK8" t="str">
        <f>IF(AND('01_Estado_Actual'!$L$203="Para Programar",'01_Estado_Actual'!$G$203&gt;0),"04 Inspecciones previas - Zanja y materiales","")</f>
        <v>04 Inspecciones previas - Zanja y materiales</v>
      </c>
      <c r="AL8" t="str">
        <f>IF(AND('01_Estado_Actual'!$L$227="Para Programar",'01_Estado_Actual'!$G$227&gt;0),"04 Inspecciones previas - Zanja y materiales","")</f>
        <v/>
      </c>
      <c r="AM8" t="str">
        <f>IF(AND('01_Estado_Actual'!$L$251="Para Programar",'01_Estado_Actual'!$G$251&gt;0),"04 Inspecciones previas - Zanja y materiales","")</f>
        <v>04 Inspecciones previas - Zanja y materiales</v>
      </c>
      <c r="AN8" t="str">
        <f>IF(AND('01_Estado_Actual'!$L$275="Para Programar",'01_Estado_Actual'!$G$275&gt;0),"04 Inspecciones previas - Zanja y materiales","")</f>
        <v>04 Inspecciones previas - Zanja y materiales</v>
      </c>
      <c r="AO8" t="str">
        <f>IF(AND('01_Estado_Actual'!$L$299="Para Programar",'01_Estado_Actual'!$G$299&gt;0),"04 Inspecciones previas - Zanja y materiales","")</f>
        <v>04 Inspecciones previas - Zanja y materiales</v>
      </c>
      <c r="AP8" t="str">
        <f>IF(AND('01_Estado_Actual'!$L$323="Para Programar",'01_Estado_Actual'!$G$323&gt;0),"04 Inspecciones previas - Zanja y materiales","")</f>
        <v/>
      </c>
      <c r="AQ8" t="str">
        <f>IF(AND('01_Estado_Actual'!$L$347="Para Programar",'01_Estado_Actual'!$G$347&gt;0),"04 Inspecciones previas - Zanja y materiales","")</f>
        <v/>
      </c>
      <c r="AR8" t="str">
        <f>IF(AND('01_Estado_Actual'!$L$371="Para Programar",'01_Estado_Actual'!$G$371&gt;0),"04 Inspecciones previas - Zanja y materiales","")</f>
        <v/>
      </c>
      <c r="AS8" t="str">
        <f>IF(AND('01_Estado_Actual'!$L$395="Para Programar",'01_Estado_Actual'!$G$395&gt;0),"04 Inspecciones previas - Zanja y materiales","")</f>
        <v/>
      </c>
      <c r="AT8" t="str">
        <f>IF(AND('01_Estado_Actual'!$L$419="Para Programar",'01_Estado_Actual'!$G$419&gt;0),"04 Inspecciones previas - Zanja y materiales","")</f>
        <v/>
      </c>
      <c r="AU8" t="str">
        <f>IF(AND('01_Estado_Actual'!$L$443="Para Programar",'01_Estado_Actual'!$G$443&gt;0),"04 Inspecciones previas - Zanja y materiales","")</f>
        <v/>
      </c>
      <c r="AV8" t="str">
        <f>IF(AND('01_Estado_Actual'!$L$467="Para Programar",'01_Estado_Actual'!$G$467&gt;0),"04 Inspecciones previas - Zanja y materiales","")</f>
        <v/>
      </c>
      <c r="AW8" t="str">
        <f>IF(AND('01_Estado_Actual'!$L$491="Para Programar",'01_Estado_Actual'!$G$491&gt;0),"04 Inspecciones previas - Zanja y materiales","")</f>
        <v/>
      </c>
      <c r="AX8" t="str">
        <f>IF(AND('01_Estado_Actual'!$L$515="Para Programar",'01_Estado_Actual'!$G$515&gt;0),"04 Inspecciones previas - Zanja y materiales","")</f>
        <v/>
      </c>
      <c r="AY8" t="str">
        <f>IF(AND('01_Estado_Actual'!$L$539="Para Programar",'01_Estado_Actual'!$G$539&gt;0),"04 Inspecciones previas - Zanja y materiales","")</f>
        <v/>
      </c>
      <c r="AZ8" t="str">
        <f>IF(AND('01_Estado_Actual'!$L$563="Para Programar",'01_Estado_Actual'!$G$563&gt;0),"04 Inspecciones previas - Zanja y materiales","")</f>
        <v/>
      </c>
      <c r="BA8" t="str">
        <f>IF(AND('01_Estado_Actual'!$L$587="Para Programar",'01_Estado_Actual'!$G$587&gt;0),"04 Inspecciones previas - Zanja y materiales","")</f>
        <v/>
      </c>
      <c r="BB8" t="str">
        <f>IF(AND('01_Estado_Actual'!$L$611="Para Programar",'01_Estado_Actual'!$G$611&gt;0),"04 Inspecciones previas - Zanja y materiales","")</f>
        <v>04 Inspecciones previas - Zanja y materiales</v>
      </c>
      <c r="BC8" t="str">
        <f>IF(AND('01_Estado_Actual'!$L$635="Para Programar",'01_Estado_Actual'!$G$635&gt;0),"04 Inspecciones previas - Zanja y materiales","")</f>
        <v/>
      </c>
      <c r="BD8" t="str">
        <f>IF(AND('01_Estado_Actual'!$L$659="Para Programar",'01_Estado_Actual'!$G$659&gt;0),"04 Inspecciones previas - Zanja y materiales","")</f>
        <v/>
      </c>
      <c r="BE8" t="str">
        <f>IF(AND('01_Estado_Actual'!$L$683="Para Programar",'01_Estado_Actual'!$G$683&gt;0),"04 Inspecciones previas - Zanja y materiales","")</f>
        <v/>
      </c>
      <c r="BF8" t="str">
        <f>IF(AND('01_Estado_Actual'!$L$707="Para Programar",'01_Estado_Actual'!$G$707&gt;0),"04 Inspecciones previas - Zanja y materiales","")</f>
        <v/>
      </c>
      <c r="BG8" t="str">
        <f>IF(AND('01_Estado_Actual'!$L$731="Para Programar",'01_Estado_Actual'!$G$731&gt;0),"04 Inspecciones previas - Zanja y materiales","")</f>
        <v/>
      </c>
      <c r="BH8" t="str">
        <f>IF(AND('01_Estado_Actual'!$L$755="Para Programar",'01_Estado_Actual'!$G$755&gt;0),"04 Inspecciones previas - Zanja y materiales","")</f>
        <v/>
      </c>
      <c r="BI8" t="str">
        <f>IF(AND('01_Estado_Actual'!$L$779="Para Programar",'01_Estado_Actual'!$G$779&gt;0),"04 Inspecciones previas - Zanja y materiales","")</f>
        <v/>
      </c>
      <c r="BJ8" t="str">
        <f>IF(AND('01_Estado_Actual'!$L$803="Para Programar",'01_Estado_Actual'!$G$803&gt;0),"04 Inspecciones previas - Zanja y materiales","")</f>
        <v/>
      </c>
      <c r="BK8" t="str">
        <f>IF(AND('01_Estado_Actual'!$L$827="Para Programar",'01_Estado_Actual'!$G$827&gt;0),"04 Inspecciones previas - Zanja y materiales","")</f>
        <v/>
      </c>
      <c r="BL8" t="str">
        <f>IF(AND('01_Estado_Actual'!$L$851="Para Programar",'01_Estado_Actual'!$G$851&gt;0),"04 Inspecciones previas - Zanja y materiales","")</f>
        <v/>
      </c>
      <c r="BM8" t="str">
        <f>IF(AND('01_Estado_Actual'!$L$875="Para Programar",'01_Estado_Actual'!$G$875&gt;0),"04 Inspecciones previas - Zanja y materiales","")</f>
        <v/>
      </c>
      <c r="BN8" t="str">
        <f>IF(AND('01_Estado_Actual'!$L$899="Para Programar",'01_Estado_Actual'!$G$899&gt;0),"04 Inspecciones previas - Zanja y materiales","")</f>
        <v/>
      </c>
      <c r="BO8" t="str">
        <f>IF(AND('01_Estado_Actual'!$L$923="Para Programar",'01_Estado_Actual'!$G$923&gt;0),"04 Inspecciones previas - Zanja y materiales","")</f>
        <v/>
      </c>
      <c r="BP8" t="str">
        <f>IF(AND('01_Estado_Actual'!$L$947="Para Programar",'01_Estado_Actual'!$G$947&gt;0),"04 Inspecciones previas - Zanja y materiales","")</f>
        <v/>
      </c>
      <c r="BQ8" t="str">
        <f>IF(AND('01_Estado_Actual'!$L$971="Para Programar",'01_Estado_Actual'!$G$971&gt;0),"04 Inspecciones previas - Zanja y materiales","")</f>
        <v/>
      </c>
      <c r="BR8" t="str">
        <f>IF(AND('01_Estado_Actual'!$L$995="Para Programar",'01_Estado_Actual'!$G$995&gt;0),"04 Inspecciones previas - Zanja y materiales","")</f>
        <v/>
      </c>
      <c r="BS8" t="str">
        <f>IF(AND('01_Estado_Actual'!$L$1019="Para Programar",'01_Estado_Actual'!$G$1019&gt;0),"04 Inspecciones previas - Zanja y materiales","")</f>
        <v/>
      </c>
      <c r="BT8" t="str">
        <f>IF(AND('01_Estado_Actual'!$L$1043="Para Programar",'01_Estado_Actual'!$G$1043&gt;0),"04 Inspecciones previas - Zanja y materiales","")</f>
        <v/>
      </c>
      <c r="BU8" t="str">
        <f>IF(AND('01_Estado_Actual'!$L$1067="Para Programar",'01_Estado_Actual'!$G$1067&gt;0),"04 Inspecciones previas - Zanja y materiales","")</f>
        <v/>
      </c>
      <c r="BV8" t="str">
        <f>IF(AND('01_Estado_Actual'!$L$1091="Para Programar",'01_Estado_Actual'!$G$1091&gt;0),"04 Inspecciones previas - Zanja y materiales","")</f>
        <v/>
      </c>
      <c r="BW8" t="str">
        <f>IF(AND('01_Estado_Actual'!$L$1115="Para Programar",'01_Estado_Actual'!$G$1115&gt;0),"04 Inspecciones previas - Zanja y materiales","")</f>
        <v/>
      </c>
      <c r="BX8" t="str">
        <f>IF(AND('01_Estado_Actual'!$L$1139="Para Programar",'01_Estado_Actual'!$G$1139&gt;0),"04 Inspecciones previas - Zanja y materiales","")</f>
        <v/>
      </c>
      <c r="BY8" t="str">
        <f>IF(AND('01_Estado_Actual'!$L$1163="Para Programar",'01_Estado_Actual'!$G$1163&gt;0),"04 Inspecciones previas - Zanja y materiales","")</f>
        <v/>
      </c>
      <c r="BZ8" t="str">
        <f>IF(AND('01_Estado_Actual'!$L$1187="Para Programar",'01_Estado_Actual'!$G$1187&gt;0),"04 Inspecciones previas - Zanja y materiales","")</f>
        <v/>
      </c>
    </row>
    <row r="9" spans="1:78">
      <c r="A9" s="10" t="str">
        <f>IF(OR(B9="",C9=""),"","PLAN-"&amp;5)</f>
        <v/>
      </c>
      <c r="B9" s="10"/>
      <c r="C9" s="10"/>
      <c r="D9" s="10" t="str">
        <f>IF(OR(B9="",C9=""),"",IF(C9="06 Servicios - Colocación de vaina / caño camisa","u",IF(C9="07 Hidrante - Ejecución completa","%",IFERROR(_xludf.XLOOKUP(B9&amp;"|"&amp;C9,'07_Base_Tecnica'!$AK$2:$AK$1201,'07_Base_Tecnica'!$AL$2:$AL$1201,""),""))))</f>
        <v/>
      </c>
      <c r="E9" s="10" t="str">
        <f>IF(OR(B9="",C9=""),"",IF(C9="06 Servicios - Colocación de vaina / caño camisa",MAX(0,IFERROR(_xludf.XLOOKUP(B9,'07_Base_Tecnica'!$K$5:$K$54,'07_Base_Tecnica'!$Q$5:$Q$54,0),0)-MAX(SUMIFS('05_Parte_Diario'!$H$5:$H$204,'05_Parte_Diario'!$D$5:$D$204,B9,'05_Parte_Diario'!$E$5:$E$204,"06 Servicios - Colocación de vaina / caño camisa"),COUNTIFS('06_Control_Semanal'!$B$283:$B$533,B9,'06_Control_Semanal'!$D$283:$D$533,"Colocada"))),IF(C9="07 Hidrante - Ejecución completa",MAX(0,100-SUMIFS('06_Control_Semanal'!$D$203:$D$222,'06_Control_Semanal'!$C$203:$C$222,B9)),IFERROR(_xludf.XLOOKUP(B9&amp;"|"&amp;C9,'02_Para_Programar'!$N$5:$N$304,'02_Para_Programar'!$F$5:$F$304,0),0))))</f>
        <v/>
      </c>
      <c r="F9" s="10"/>
      <c r="G9" s="10" t="str">
        <f t="shared" si="0"/>
        <v/>
      </c>
      <c r="H9" s="11"/>
      <c r="I9" s="11"/>
      <c r="J9" s="10"/>
      <c r="K9" s="10"/>
      <c r="L9" s="10"/>
      <c r="M9" s="10"/>
      <c r="N9" s="10" t="s">
        <v>123</v>
      </c>
      <c r="O9" s="12" t="str">
        <f>IF(OR(B9="",C9=""),"",IF(C9="07 Hidrante - Ejecución completa",IF(COUNTIF('06_Control_Semanal'!$C$203:$C$222,B9)&gt;1,"ALERTA: &gt;1 HIDRANTE",IF(E9&gt;0,"OK","SIN SALDO / NO PROGRAMAR")),IF(E9&gt;0,"OK","SIN SALDO / NO PROGRAMAR")))</f>
        <v/>
      </c>
      <c r="P9" s="10" t="str">
        <f t="shared" si="1"/>
        <v/>
      </c>
      <c r="Q9" s="10" t="str">
        <f>IF(B9="","",IFERROR(_xludf.XLOOKUP(B9,'07_Base_Tecnica'!$K$5:$K$54,'07_Base_Tecnica'!$W$5:$W$54,""),""))</f>
        <v/>
      </c>
      <c r="R9" s="10" t="str">
        <f>IF(B9="","",IFERROR(_xludf.XLOOKUP(B9,'07_Base_Tecnica'!$K$5:$K$54,'07_Base_Tecnica'!$X$5:$X$54,""),""))</f>
        <v/>
      </c>
      <c r="AA9" t="s">
        <v>131</v>
      </c>
      <c r="AC9" t="str">
        <f>IF(AND('01_Estado_Actual'!$L$12="Para Programar",'01_Estado_Actual'!$G$12&gt;0),"05 Tendido de cañería - Cañería principal","")</f>
        <v/>
      </c>
      <c r="AD9" t="str">
        <f>IF(AND('01_Estado_Actual'!$L$36="Para Programar",'01_Estado_Actual'!$G$36&gt;0),"05 Tendido de cañería - Cañería principal","")</f>
        <v/>
      </c>
      <c r="AE9" t="str">
        <f>IF(AND('01_Estado_Actual'!$L$60="Para Programar",'01_Estado_Actual'!$G$60&gt;0),"05 Tendido de cañería - Cañería principal","")</f>
        <v/>
      </c>
      <c r="AF9" t="str">
        <f>IF(AND('01_Estado_Actual'!$L$84="Para Programar",'01_Estado_Actual'!$G$84&gt;0),"05 Tendido de cañería - Cañería principal","")</f>
        <v/>
      </c>
      <c r="AG9" t="str">
        <f>IF(AND('01_Estado_Actual'!$L$108="Para Programar",'01_Estado_Actual'!$G$108&gt;0),"05 Tendido de cañería - Cañería principal","")</f>
        <v/>
      </c>
      <c r="AH9" t="str">
        <f>IF(AND('01_Estado_Actual'!$L$132="Para Programar",'01_Estado_Actual'!$G$132&gt;0),"05 Tendido de cañería - Cañería principal","")</f>
        <v/>
      </c>
      <c r="AI9" t="str">
        <f>IF(AND('01_Estado_Actual'!$L$156="Para Programar",'01_Estado_Actual'!$G$156&gt;0),"05 Tendido de cañería - Cañería principal","")</f>
        <v>05 Tendido de cañería - Cañería principal</v>
      </c>
      <c r="AJ9" t="str">
        <f>IF(AND('01_Estado_Actual'!$L$180="Para Programar",'01_Estado_Actual'!$G$180&gt;0),"05 Tendido de cañería - Cañería principal","")</f>
        <v>05 Tendido de cañería - Cañería principal</v>
      </c>
      <c r="AK9" t="str">
        <f>IF(AND('01_Estado_Actual'!$L$204="Para Programar",'01_Estado_Actual'!$G$204&gt;0),"05 Tendido de cañería - Cañería principal","")</f>
        <v>05 Tendido de cañería - Cañería principal</v>
      </c>
      <c r="AL9" t="str">
        <f>IF(AND('01_Estado_Actual'!$L$228="Para Programar",'01_Estado_Actual'!$G$228&gt;0),"05 Tendido de cañería - Cañería principal","")</f>
        <v/>
      </c>
      <c r="AM9" t="str">
        <f>IF(AND('01_Estado_Actual'!$L$252="Para Programar",'01_Estado_Actual'!$G$252&gt;0),"05 Tendido de cañería - Cañería principal","")</f>
        <v>05 Tendido de cañería - Cañería principal</v>
      </c>
      <c r="AN9" t="str">
        <f>IF(AND('01_Estado_Actual'!$L$276="Para Programar",'01_Estado_Actual'!$G$276&gt;0),"05 Tendido de cañería - Cañería principal","")</f>
        <v>05 Tendido de cañería - Cañería principal</v>
      </c>
      <c r="AO9" t="str">
        <f>IF(AND('01_Estado_Actual'!$L$300="Para Programar",'01_Estado_Actual'!$G$300&gt;0),"05 Tendido de cañería - Cañería principal","")</f>
        <v>05 Tendido de cañería - Cañería principal</v>
      </c>
      <c r="AP9" t="str">
        <f>IF(AND('01_Estado_Actual'!$L$324="Para Programar",'01_Estado_Actual'!$G$324&gt;0),"05 Tendido de cañería - Cañería principal","")</f>
        <v/>
      </c>
      <c r="AQ9" t="str">
        <f>IF(AND('01_Estado_Actual'!$L$348="Para Programar",'01_Estado_Actual'!$G$348&gt;0),"05 Tendido de cañería - Cañería principal","")</f>
        <v/>
      </c>
      <c r="AR9" t="str">
        <f>IF(AND('01_Estado_Actual'!$L$372="Para Programar",'01_Estado_Actual'!$G$372&gt;0),"05 Tendido de cañería - Cañería principal","")</f>
        <v/>
      </c>
      <c r="AS9" t="str">
        <f>IF(AND('01_Estado_Actual'!$L$396="Para Programar",'01_Estado_Actual'!$G$396&gt;0),"05 Tendido de cañería - Cañería principal","")</f>
        <v/>
      </c>
      <c r="AT9" t="str">
        <f>IF(AND('01_Estado_Actual'!$L$420="Para Programar",'01_Estado_Actual'!$G$420&gt;0),"05 Tendido de cañería - Cañería principal","")</f>
        <v/>
      </c>
      <c r="AU9" t="str">
        <f>IF(AND('01_Estado_Actual'!$L$444="Para Programar",'01_Estado_Actual'!$G$444&gt;0),"05 Tendido de cañería - Cañería principal","")</f>
        <v/>
      </c>
      <c r="AV9" t="str">
        <f>IF(AND('01_Estado_Actual'!$L$468="Para Programar",'01_Estado_Actual'!$G$468&gt;0),"05 Tendido de cañería - Cañería principal","")</f>
        <v/>
      </c>
      <c r="AW9" t="str">
        <f>IF(AND('01_Estado_Actual'!$L$492="Para Programar",'01_Estado_Actual'!$G$492&gt;0),"05 Tendido de cañería - Cañería principal","")</f>
        <v/>
      </c>
      <c r="AX9" t="str">
        <f>IF(AND('01_Estado_Actual'!$L$516="Para Programar",'01_Estado_Actual'!$G$516&gt;0),"05 Tendido de cañería - Cañería principal","")</f>
        <v/>
      </c>
      <c r="AY9" t="str">
        <f>IF(AND('01_Estado_Actual'!$L$540="Para Programar",'01_Estado_Actual'!$G$540&gt;0),"05 Tendido de cañería - Cañería principal","")</f>
        <v/>
      </c>
      <c r="AZ9" t="str">
        <f>IF(AND('01_Estado_Actual'!$L$564="Para Programar",'01_Estado_Actual'!$G$564&gt;0),"05 Tendido de cañería - Cañería principal","")</f>
        <v/>
      </c>
      <c r="BA9" t="str">
        <f>IF(AND('01_Estado_Actual'!$L$588="Para Programar",'01_Estado_Actual'!$G$588&gt;0),"05 Tendido de cañería - Cañería principal","")</f>
        <v/>
      </c>
      <c r="BB9" t="str">
        <f>IF(AND('01_Estado_Actual'!$L$612="Para Programar",'01_Estado_Actual'!$G$612&gt;0),"05 Tendido de cañería - Cañería principal","")</f>
        <v>05 Tendido de cañería - Cañería principal</v>
      </c>
      <c r="BC9" t="str">
        <f>IF(AND('01_Estado_Actual'!$L$636="Para Programar",'01_Estado_Actual'!$G$636&gt;0),"05 Tendido de cañería - Cañería principal","")</f>
        <v/>
      </c>
      <c r="BD9" t="str">
        <f>IF(AND('01_Estado_Actual'!$L$660="Para Programar",'01_Estado_Actual'!$G$660&gt;0),"05 Tendido de cañería - Cañería principal","")</f>
        <v/>
      </c>
      <c r="BE9" t="str">
        <f>IF(AND('01_Estado_Actual'!$L$684="Para Programar",'01_Estado_Actual'!$G$684&gt;0),"05 Tendido de cañería - Cañería principal","")</f>
        <v/>
      </c>
      <c r="BF9" t="str">
        <f>IF(AND('01_Estado_Actual'!$L$708="Para Programar",'01_Estado_Actual'!$G$708&gt;0),"05 Tendido de cañería - Cañería principal","")</f>
        <v/>
      </c>
      <c r="BG9" t="str">
        <f>IF(AND('01_Estado_Actual'!$L$732="Para Programar",'01_Estado_Actual'!$G$732&gt;0),"05 Tendido de cañería - Cañería principal","")</f>
        <v/>
      </c>
      <c r="BH9" t="str">
        <f>IF(AND('01_Estado_Actual'!$L$756="Para Programar",'01_Estado_Actual'!$G$756&gt;0),"05 Tendido de cañería - Cañería principal","")</f>
        <v/>
      </c>
      <c r="BI9" t="str">
        <f>IF(AND('01_Estado_Actual'!$L$780="Para Programar",'01_Estado_Actual'!$G$780&gt;0),"05 Tendido de cañería - Cañería principal","")</f>
        <v/>
      </c>
      <c r="BJ9" t="str">
        <f>IF(AND('01_Estado_Actual'!$L$804="Para Programar",'01_Estado_Actual'!$G$804&gt;0),"05 Tendido de cañería - Cañería principal","")</f>
        <v/>
      </c>
      <c r="BK9" t="str">
        <f>IF(AND('01_Estado_Actual'!$L$828="Para Programar",'01_Estado_Actual'!$G$828&gt;0),"05 Tendido de cañería - Cañería principal","")</f>
        <v/>
      </c>
      <c r="BL9" t="str">
        <f>IF(AND('01_Estado_Actual'!$L$852="Para Programar",'01_Estado_Actual'!$G$852&gt;0),"05 Tendido de cañería - Cañería principal","")</f>
        <v/>
      </c>
      <c r="BM9" t="str">
        <f>IF(AND('01_Estado_Actual'!$L$876="Para Programar",'01_Estado_Actual'!$G$876&gt;0),"05 Tendido de cañería - Cañería principal","")</f>
        <v/>
      </c>
      <c r="BN9" t="str">
        <f>IF(AND('01_Estado_Actual'!$L$900="Para Programar",'01_Estado_Actual'!$G$900&gt;0),"05 Tendido de cañería - Cañería principal","")</f>
        <v/>
      </c>
      <c r="BO9" t="str">
        <f>IF(AND('01_Estado_Actual'!$L$924="Para Programar",'01_Estado_Actual'!$G$924&gt;0),"05 Tendido de cañería - Cañería principal","")</f>
        <v/>
      </c>
      <c r="BP9" t="str">
        <f>IF(AND('01_Estado_Actual'!$L$948="Para Programar",'01_Estado_Actual'!$G$948&gt;0),"05 Tendido de cañería - Cañería principal","")</f>
        <v/>
      </c>
      <c r="BQ9" t="str">
        <f>IF(AND('01_Estado_Actual'!$L$972="Para Programar",'01_Estado_Actual'!$G$972&gt;0),"05 Tendido de cañería - Cañería principal","")</f>
        <v/>
      </c>
      <c r="BR9" t="str">
        <f>IF(AND('01_Estado_Actual'!$L$996="Para Programar",'01_Estado_Actual'!$G$996&gt;0),"05 Tendido de cañería - Cañería principal","")</f>
        <v/>
      </c>
      <c r="BS9" t="str">
        <f>IF(AND('01_Estado_Actual'!$L$1020="Para Programar",'01_Estado_Actual'!$G$1020&gt;0),"05 Tendido de cañería - Cañería principal","")</f>
        <v/>
      </c>
      <c r="BT9" t="str">
        <f>IF(AND('01_Estado_Actual'!$L$1044="Para Programar",'01_Estado_Actual'!$G$1044&gt;0),"05 Tendido de cañería - Cañería principal","")</f>
        <v/>
      </c>
      <c r="BU9" t="str">
        <f>IF(AND('01_Estado_Actual'!$L$1068="Para Programar",'01_Estado_Actual'!$G$1068&gt;0),"05 Tendido de cañería - Cañería principal","")</f>
        <v/>
      </c>
      <c r="BV9" t="str">
        <f>IF(AND('01_Estado_Actual'!$L$1092="Para Programar",'01_Estado_Actual'!$G$1092&gt;0),"05 Tendido de cañería - Cañería principal","")</f>
        <v/>
      </c>
      <c r="BW9" t="str">
        <f>IF(AND('01_Estado_Actual'!$L$1116="Para Programar",'01_Estado_Actual'!$G$1116&gt;0),"05 Tendido de cañería - Cañería principal","")</f>
        <v/>
      </c>
      <c r="BX9" t="str">
        <f>IF(AND('01_Estado_Actual'!$L$1140="Para Programar",'01_Estado_Actual'!$G$1140&gt;0),"05 Tendido de cañería - Cañería principal","")</f>
        <v/>
      </c>
      <c r="BY9" t="str">
        <f>IF(AND('01_Estado_Actual'!$L$1164="Para Programar",'01_Estado_Actual'!$G$1164&gt;0),"05 Tendido de cañería - Cañería principal","")</f>
        <v/>
      </c>
      <c r="BZ9" t="str">
        <f>IF(AND('01_Estado_Actual'!$L$1188="Para Programar",'01_Estado_Actual'!$G$1188&gt;0),"05 Tendido de cañería - Cañería principal","")</f>
        <v/>
      </c>
    </row>
    <row r="10" spans="1:78">
      <c r="A10" t="str">
        <f>IF(OR(B10="",C10=""),"","PLAN-"&amp;6)</f>
        <v/>
      </c>
      <c r="D10" t="str">
        <f>IF(OR(B10="",C10=""),"",IF(C10="06 Servicios - Colocación de vaina / caño camisa","u",IF(C10="07 Hidrante - Ejecución completa","%",IFERROR(_xludf.XLOOKUP(B10&amp;"|"&amp;C10,'07_Base_Tecnica'!$AK$2:$AK$1201,'07_Base_Tecnica'!$AL$2:$AL$1201,""),""))))</f>
        <v/>
      </c>
      <c r="E10" t="str">
        <f>IF(OR(B10="",C10=""),"",IF(C10="06 Servicios - Colocación de vaina / caño camisa",MAX(0,IFERROR(_xludf.XLOOKUP(B10,'07_Base_Tecnica'!$K$5:$K$54,'07_Base_Tecnica'!$Q$5:$Q$54,0),0)-MAX(SUMIFS('05_Parte_Diario'!$H$5:$H$204,'05_Parte_Diario'!$D$5:$D$204,B10,'05_Parte_Diario'!$E$5:$E$204,"06 Servicios - Colocación de vaina / caño camisa"),COUNTIFS('06_Control_Semanal'!$B$283:$B$533,B10,'06_Control_Semanal'!$D$283:$D$533,"Colocada"))),IF(C10="07 Hidrante - Ejecución completa",MAX(0,100-SUMIFS('06_Control_Semanal'!$D$203:$D$222,'06_Control_Semanal'!$C$203:$C$222,B10)),IFERROR(_xludf.XLOOKUP(B10&amp;"|"&amp;C10,'02_Para_Programar'!$N$5:$N$304,'02_Para_Programar'!$F$5:$F$304,0),0))))</f>
        <v/>
      </c>
      <c r="G10" t="str">
        <f t="shared" si="0"/>
        <v/>
      </c>
      <c r="H10" s="5"/>
      <c r="I10" s="5"/>
      <c r="O10" t="str">
        <f>IF(OR(B10="",C10=""),"",IF(C10="07 Hidrante - Ejecución completa",IF(COUNTIF('06_Control_Semanal'!$C$203:$C$222,B10)&gt;1,"ALERTA: &gt;1 HIDRANTE",IF(E10&gt;0,"OK","SIN SALDO / NO PROGRAMAR")),IF(E10&gt;0,"OK","SIN SALDO / NO PROGRAMAR")))</f>
        <v/>
      </c>
      <c r="P10" t="str">
        <f t="shared" si="1"/>
        <v/>
      </c>
      <c r="Q10" t="str">
        <f>IF(B10="","",IFERROR(_xludf.XLOOKUP(B10,'07_Base_Tecnica'!$K$5:$K$54,'07_Base_Tecnica'!$W$5:$W$54,""),""))</f>
        <v/>
      </c>
      <c r="R10" t="str">
        <f>IF(B10="","",IFERROR(_xludf.XLOOKUP(B10,'07_Base_Tecnica'!$K$5:$K$54,'07_Base_Tecnica'!$X$5:$X$54,""),""))</f>
        <v/>
      </c>
      <c r="AA10" t="s">
        <v>134</v>
      </c>
      <c r="AC10" t="str">
        <f>IF(AND('01_Estado_Actual'!$L$13="Para Programar",'01_Estado_Actual'!$G$13&gt;0),"05 Tendido de cañería - Relevamiento planialtimétrico","")</f>
        <v/>
      </c>
      <c r="AD10" t="str">
        <f>IF(AND('01_Estado_Actual'!$L$37="Para Programar",'01_Estado_Actual'!$G$37&gt;0),"05 Tendido de cañería - Relevamiento planialtimétrico","")</f>
        <v/>
      </c>
      <c r="AE10" t="str">
        <f>IF(AND('01_Estado_Actual'!$L$61="Para Programar",'01_Estado_Actual'!$G$61&gt;0),"05 Tendido de cañería - Relevamiento planialtimétrico","")</f>
        <v/>
      </c>
      <c r="AF10" t="str">
        <f>IF(AND('01_Estado_Actual'!$L$85="Para Programar",'01_Estado_Actual'!$G$85&gt;0),"05 Tendido de cañería - Relevamiento planialtimétrico","")</f>
        <v/>
      </c>
      <c r="AG10" t="str">
        <f>IF(AND('01_Estado_Actual'!$L$109="Para Programar",'01_Estado_Actual'!$G$109&gt;0),"05 Tendido de cañería - Relevamiento planialtimétrico","")</f>
        <v/>
      </c>
      <c r="AH10" t="str">
        <f>IF(AND('01_Estado_Actual'!$L$133="Para Programar",'01_Estado_Actual'!$G$133&gt;0),"05 Tendido de cañería - Relevamiento planialtimétrico","")</f>
        <v/>
      </c>
      <c r="AI10" t="str">
        <f>IF(AND('01_Estado_Actual'!$L$157="Para Programar",'01_Estado_Actual'!$G$157&gt;0),"05 Tendido de cañería - Relevamiento planialtimétrico","")</f>
        <v/>
      </c>
      <c r="AJ10" t="str">
        <f>IF(AND('01_Estado_Actual'!$L$181="Para Programar",'01_Estado_Actual'!$G$181&gt;0),"05 Tendido de cañería - Relevamiento planialtimétrico","")</f>
        <v>05 Tendido de cañería - Relevamiento planialtimétrico</v>
      </c>
      <c r="AK10" t="str">
        <f>IF(AND('01_Estado_Actual'!$L$205="Para Programar",'01_Estado_Actual'!$G$205&gt;0),"05 Tendido de cañería - Relevamiento planialtimétrico","")</f>
        <v>05 Tendido de cañería - Relevamiento planialtimétrico</v>
      </c>
      <c r="AL10" t="str">
        <f>IF(AND('01_Estado_Actual'!$L$229="Para Programar",'01_Estado_Actual'!$G$229&gt;0),"05 Tendido de cañería - Relevamiento planialtimétrico","")</f>
        <v/>
      </c>
      <c r="AM10" t="str">
        <f>IF(AND('01_Estado_Actual'!$L$253="Para Programar",'01_Estado_Actual'!$G$253&gt;0),"05 Tendido de cañería - Relevamiento planialtimétrico","")</f>
        <v>05 Tendido de cañería - Relevamiento planialtimétrico</v>
      </c>
      <c r="AN10" t="str">
        <f>IF(AND('01_Estado_Actual'!$L$277="Para Programar",'01_Estado_Actual'!$G$277&gt;0),"05 Tendido de cañería - Relevamiento planialtimétrico","")</f>
        <v>05 Tendido de cañería - Relevamiento planialtimétrico</v>
      </c>
      <c r="AO10" t="str">
        <f>IF(AND('01_Estado_Actual'!$L$301="Para Programar",'01_Estado_Actual'!$G$301&gt;0),"05 Tendido de cañería - Relevamiento planialtimétrico","")</f>
        <v>05 Tendido de cañería - Relevamiento planialtimétrico</v>
      </c>
      <c r="AP10" t="str">
        <f>IF(AND('01_Estado_Actual'!$L$325="Para Programar",'01_Estado_Actual'!$G$325&gt;0),"05 Tendido de cañería - Relevamiento planialtimétrico","")</f>
        <v/>
      </c>
      <c r="AQ10" t="str">
        <f>IF(AND('01_Estado_Actual'!$L$349="Para Programar",'01_Estado_Actual'!$G$349&gt;0),"05 Tendido de cañería - Relevamiento planialtimétrico","")</f>
        <v/>
      </c>
      <c r="AR10" t="str">
        <f>IF(AND('01_Estado_Actual'!$L$373="Para Programar",'01_Estado_Actual'!$G$373&gt;0),"05 Tendido de cañería - Relevamiento planialtimétrico","")</f>
        <v/>
      </c>
      <c r="AS10" t="str">
        <f>IF(AND('01_Estado_Actual'!$L$397="Para Programar",'01_Estado_Actual'!$G$397&gt;0),"05 Tendido de cañería - Relevamiento planialtimétrico","")</f>
        <v/>
      </c>
      <c r="AT10" t="str">
        <f>IF(AND('01_Estado_Actual'!$L$421="Para Programar",'01_Estado_Actual'!$G$421&gt;0),"05 Tendido de cañería - Relevamiento planialtimétrico","")</f>
        <v/>
      </c>
      <c r="AU10" t="str">
        <f>IF(AND('01_Estado_Actual'!$L$445="Para Programar",'01_Estado_Actual'!$G$445&gt;0),"05 Tendido de cañería - Relevamiento planialtimétrico","")</f>
        <v/>
      </c>
      <c r="AV10" t="str">
        <f>IF(AND('01_Estado_Actual'!$L$469="Para Programar",'01_Estado_Actual'!$G$469&gt;0),"05 Tendido de cañería - Relevamiento planialtimétrico","")</f>
        <v/>
      </c>
      <c r="AW10" t="str">
        <f>IF(AND('01_Estado_Actual'!$L$493="Para Programar",'01_Estado_Actual'!$G$493&gt;0),"05 Tendido de cañería - Relevamiento planialtimétrico","")</f>
        <v/>
      </c>
      <c r="AX10" t="str">
        <f>IF(AND('01_Estado_Actual'!$L$517="Para Programar",'01_Estado_Actual'!$G$517&gt;0),"05 Tendido de cañería - Relevamiento planialtimétrico","")</f>
        <v/>
      </c>
      <c r="AY10" t="str">
        <f>IF(AND('01_Estado_Actual'!$L$541="Para Programar",'01_Estado_Actual'!$G$541&gt;0),"05 Tendido de cañería - Relevamiento planialtimétrico","")</f>
        <v/>
      </c>
      <c r="AZ10" t="str">
        <f>IF(AND('01_Estado_Actual'!$L$565="Para Programar",'01_Estado_Actual'!$G$565&gt;0),"05 Tendido de cañería - Relevamiento planialtimétrico","")</f>
        <v/>
      </c>
      <c r="BA10" t="str">
        <f>IF(AND('01_Estado_Actual'!$L$589="Para Programar",'01_Estado_Actual'!$G$589&gt;0),"05 Tendido de cañería - Relevamiento planialtimétrico","")</f>
        <v/>
      </c>
      <c r="BB10" t="str">
        <f>IF(AND('01_Estado_Actual'!$L$613="Para Programar",'01_Estado_Actual'!$G$613&gt;0),"05 Tendido de cañería - Relevamiento planialtimétrico","")</f>
        <v/>
      </c>
      <c r="BC10" t="str">
        <f>IF(AND('01_Estado_Actual'!$L$637="Para Programar",'01_Estado_Actual'!$G$637&gt;0),"05 Tendido de cañería - Relevamiento planialtimétrico","")</f>
        <v/>
      </c>
      <c r="BD10" t="str">
        <f>IF(AND('01_Estado_Actual'!$L$661="Para Programar",'01_Estado_Actual'!$G$661&gt;0),"05 Tendido de cañería - Relevamiento planialtimétrico","")</f>
        <v/>
      </c>
      <c r="BE10" t="str">
        <f>IF(AND('01_Estado_Actual'!$L$685="Para Programar",'01_Estado_Actual'!$G$685&gt;0),"05 Tendido de cañería - Relevamiento planialtimétrico","")</f>
        <v/>
      </c>
      <c r="BF10" t="str">
        <f>IF(AND('01_Estado_Actual'!$L$709="Para Programar",'01_Estado_Actual'!$G$709&gt;0),"05 Tendido de cañería - Relevamiento planialtimétrico","")</f>
        <v/>
      </c>
      <c r="BG10" t="str">
        <f>IF(AND('01_Estado_Actual'!$L$733="Para Programar",'01_Estado_Actual'!$G$733&gt;0),"05 Tendido de cañería - Relevamiento planialtimétrico","")</f>
        <v/>
      </c>
      <c r="BH10" t="str">
        <f>IF(AND('01_Estado_Actual'!$L$757="Para Programar",'01_Estado_Actual'!$G$757&gt;0),"05 Tendido de cañería - Relevamiento planialtimétrico","")</f>
        <v/>
      </c>
      <c r="BI10" t="str">
        <f>IF(AND('01_Estado_Actual'!$L$781="Para Programar",'01_Estado_Actual'!$G$781&gt;0),"05 Tendido de cañería - Relevamiento planialtimétrico","")</f>
        <v/>
      </c>
      <c r="BJ10" t="str">
        <f>IF(AND('01_Estado_Actual'!$L$805="Para Programar",'01_Estado_Actual'!$G$805&gt;0),"05 Tendido de cañería - Relevamiento planialtimétrico","")</f>
        <v/>
      </c>
      <c r="BK10" t="str">
        <f>IF(AND('01_Estado_Actual'!$L$829="Para Programar",'01_Estado_Actual'!$G$829&gt;0),"05 Tendido de cañería - Relevamiento planialtimétrico","")</f>
        <v/>
      </c>
      <c r="BL10" t="str">
        <f>IF(AND('01_Estado_Actual'!$L$853="Para Programar",'01_Estado_Actual'!$G$853&gt;0),"05 Tendido de cañería - Relevamiento planialtimétrico","")</f>
        <v/>
      </c>
      <c r="BM10" t="str">
        <f>IF(AND('01_Estado_Actual'!$L$877="Para Programar",'01_Estado_Actual'!$G$877&gt;0),"05 Tendido de cañería - Relevamiento planialtimétrico","")</f>
        <v/>
      </c>
      <c r="BN10" t="str">
        <f>IF(AND('01_Estado_Actual'!$L$901="Para Programar",'01_Estado_Actual'!$G$901&gt;0),"05 Tendido de cañería - Relevamiento planialtimétrico","")</f>
        <v/>
      </c>
      <c r="BO10" t="str">
        <f>IF(AND('01_Estado_Actual'!$L$925="Para Programar",'01_Estado_Actual'!$G$925&gt;0),"05 Tendido de cañería - Relevamiento planialtimétrico","")</f>
        <v/>
      </c>
      <c r="BP10" t="str">
        <f>IF(AND('01_Estado_Actual'!$L$949="Para Programar",'01_Estado_Actual'!$G$949&gt;0),"05 Tendido de cañería - Relevamiento planialtimétrico","")</f>
        <v/>
      </c>
      <c r="BQ10" t="str">
        <f>IF(AND('01_Estado_Actual'!$L$973="Para Programar",'01_Estado_Actual'!$G$973&gt;0),"05 Tendido de cañería - Relevamiento planialtimétrico","")</f>
        <v/>
      </c>
      <c r="BR10" t="str">
        <f>IF(AND('01_Estado_Actual'!$L$997="Para Programar",'01_Estado_Actual'!$G$997&gt;0),"05 Tendido de cañería - Relevamiento planialtimétrico","")</f>
        <v/>
      </c>
      <c r="BS10" t="str">
        <f>IF(AND('01_Estado_Actual'!$L$1021="Para Programar",'01_Estado_Actual'!$G$1021&gt;0),"05 Tendido de cañería - Relevamiento planialtimétrico","")</f>
        <v/>
      </c>
      <c r="BT10" t="str">
        <f>IF(AND('01_Estado_Actual'!$L$1045="Para Programar",'01_Estado_Actual'!$G$1045&gt;0),"05 Tendido de cañería - Relevamiento planialtimétrico","")</f>
        <v/>
      </c>
      <c r="BU10" t="str">
        <f>IF(AND('01_Estado_Actual'!$L$1069="Para Programar",'01_Estado_Actual'!$G$1069&gt;0),"05 Tendido de cañería - Relevamiento planialtimétrico","")</f>
        <v/>
      </c>
      <c r="BV10" t="str">
        <f>IF(AND('01_Estado_Actual'!$L$1093="Para Programar",'01_Estado_Actual'!$G$1093&gt;0),"05 Tendido de cañería - Relevamiento planialtimétrico","")</f>
        <v/>
      </c>
      <c r="BW10" t="str">
        <f>IF(AND('01_Estado_Actual'!$L$1117="Para Programar",'01_Estado_Actual'!$G$1117&gt;0),"05 Tendido de cañería - Relevamiento planialtimétrico","")</f>
        <v/>
      </c>
      <c r="BX10" t="str">
        <f>IF(AND('01_Estado_Actual'!$L$1141="Para Programar",'01_Estado_Actual'!$G$1141&gt;0),"05 Tendido de cañería - Relevamiento planialtimétrico","")</f>
        <v/>
      </c>
      <c r="BY10" t="str">
        <f>IF(AND('01_Estado_Actual'!$L$1165="Para Programar",'01_Estado_Actual'!$G$1165&gt;0),"05 Tendido de cañería - Relevamiento planialtimétrico","")</f>
        <v/>
      </c>
      <c r="BZ10" t="str">
        <f>IF(AND('01_Estado_Actual'!$L$1189="Para Programar",'01_Estado_Actual'!$G$1189&gt;0),"05 Tendido de cañería - Relevamiento planialtimétrico","")</f>
        <v/>
      </c>
    </row>
    <row r="11" spans="1:78">
      <c r="A11" t="str">
        <f>IF(OR(B11="",C11=""),"","PLAN-"&amp;7)</f>
        <v/>
      </c>
      <c r="D11" t="str">
        <f>IF(OR(B11="",C11=""),"",IF(C11="06 Servicios - Colocación de vaina / caño camisa","u",IF(C11="07 Hidrante - Ejecución completa","%",IFERROR(_xludf.XLOOKUP(B11&amp;"|"&amp;C11,'07_Base_Tecnica'!$AK$2:$AK$1201,'07_Base_Tecnica'!$AL$2:$AL$1201,""),""))))</f>
        <v/>
      </c>
      <c r="E11" t="str">
        <f>IF(OR(B11="",C11=""),"",IF(C11="06 Servicios - Colocación de vaina / caño camisa",MAX(0,IFERROR(_xludf.XLOOKUP(B11,'07_Base_Tecnica'!$K$5:$K$54,'07_Base_Tecnica'!$Q$5:$Q$54,0),0)-MAX(SUMIFS('05_Parte_Diario'!$H$5:$H$204,'05_Parte_Diario'!$D$5:$D$204,B11,'05_Parte_Diario'!$E$5:$E$204,"06 Servicios - Colocación de vaina / caño camisa"),COUNTIFS('06_Control_Semanal'!$B$283:$B$533,B11,'06_Control_Semanal'!$D$283:$D$533,"Colocada"))),IF(C11="07 Hidrante - Ejecución completa",MAX(0,100-SUMIFS('06_Control_Semanal'!$D$203:$D$222,'06_Control_Semanal'!$C$203:$C$222,B11)),IFERROR(_xludf.XLOOKUP(B11&amp;"|"&amp;C11,'02_Para_Programar'!$N$5:$N$304,'02_Para_Programar'!$F$5:$F$304,0),0))))</f>
        <v/>
      </c>
      <c r="G11" t="str">
        <f t="shared" si="0"/>
        <v/>
      </c>
      <c r="H11" s="5"/>
      <c r="I11" s="5"/>
      <c r="O11" t="str">
        <f>IF(OR(B11="",C11=""),"",IF(C11="07 Hidrante - Ejecución completa",IF(COUNTIF('06_Control_Semanal'!$C$203:$C$222,B11)&gt;1,"ALERTA: &gt;1 HIDRANTE",IF(E11&gt;0,"OK","SIN SALDO / NO PROGRAMAR")),IF(E11&gt;0,"OK","SIN SALDO / NO PROGRAMAR")))</f>
        <v/>
      </c>
      <c r="P11" t="str">
        <f t="shared" si="1"/>
        <v/>
      </c>
      <c r="Q11" t="str">
        <f>IF(B11="","",IFERROR(_xludf.XLOOKUP(B11,'07_Base_Tecnica'!$K$5:$K$54,'07_Base_Tecnica'!$W$5:$W$54,""),""))</f>
        <v/>
      </c>
      <c r="R11" t="str">
        <f>IF(B11="","",IFERROR(_xludf.XLOOKUP(B11,'07_Base_Tecnica'!$K$5:$K$54,'07_Base_Tecnica'!$X$5:$X$54,""),""))</f>
        <v/>
      </c>
      <c r="AA11" t="s">
        <v>136</v>
      </c>
      <c r="AC11" t="str">
        <f>IF(AND('01_Estado_Actual'!$L$14="Para Programar",'01_Estado_Actual'!$G$14&gt;0),"08 Prueba hidráulica - Preparación del sistema","")</f>
        <v/>
      </c>
      <c r="AD11" t="str">
        <f>IF(AND('01_Estado_Actual'!$L$38="Para Programar",'01_Estado_Actual'!$G$38&gt;0),"08 Prueba hidráulica - Preparación del sistema","")</f>
        <v/>
      </c>
      <c r="AE11" t="str">
        <f>IF(AND('01_Estado_Actual'!$L$62="Para Programar",'01_Estado_Actual'!$G$62&gt;0),"08 Prueba hidráulica - Preparación del sistema","")</f>
        <v/>
      </c>
      <c r="AF11" t="str">
        <f>IF(AND('01_Estado_Actual'!$L$86="Para Programar",'01_Estado_Actual'!$G$86&gt;0),"08 Prueba hidráulica - Preparación del sistema","")</f>
        <v/>
      </c>
      <c r="AG11" t="str">
        <f>IF(AND('01_Estado_Actual'!$L$110="Para Programar",'01_Estado_Actual'!$G$110&gt;0),"08 Prueba hidráulica - Preparación del sistema","")</f>
        <v/>
      </c>
      <c r="AH11" t="str">
        <f>IF(AND('01_Estado_Actual'!$L$134="Para Programar",'01_Estado_Actual'!$G$134&gt;0),"08 Prueba hidráulica - Preparación del sistema","")</f>
        <v/>
      </c>
      <c r="AI11" t="str">
        <f>IF(AND('01_Estado_Actual'!$L$158="Para Programar",'01_Estado_Actual'!$G$158&gt;0),"08 Prueba hidráulica - Preparación del sistema","")</f>
        <v/>
      </c>
      <c r="AJ11" t="str">
        <f>IF(AND('01_Estado_Actual'!$L$182="Para Programar",'01_Estado_Actual'!$G$182&gt;0),"08 Prueba hidráulica - Preparación del sistema","")</f>
        <v>08 Prueba hidráulica - Preparación del sistema</v>
      </c>
      <c r="AK11" t="str">
        <f>IF(AND('01_Estado_Actual'!$L$206="Para Programar",'01_Estado_Actual'!$G$206&gt;0),"08 Prueba hidráulica - Preparación del sistema","")</f>
        <v>08 Prueba hidráulica - Preparación del sistema</v>
      </c>
      <c r="AL11" t="str">
        <f>IF(AND('01_Estado_Actual'!$L$230="Para Programar",'01_Estado_Actual'!$G$230&gt;0),"08 Prueba hidráulica - Preparación del sistema","")</f>
        <v/>
      </c>
      <c r="AM11" t="str">
        <f>IF(AND('01_Estado_Actual'!$L$254="Para Programar",'01_Estado_Actual'!$G$254&gt;0),"08 Prueba hidráulica - Preparación del sistema","")</f>
        <v>08 Prueba hidráulica - Preparación del sistema</v>
      </c>
      <c r="AN11" t="str">
        <f>IF(AND('01_Estado_Actual'!$L$278="Para Programar",'01_Estado_Actual'!$G$278&gt;0),"08 Prueba hidráulica - Preparación del sistema","")</f>
        <v>08 Prueba hidráulica - Preparación del sistema</v>
      </c>
      <c r="AO11" t="str">
        <f>IF(AND('01_Estado_Actual'!$L$302="Para Programar",'01_Estado_Actual'!$G$302&gt;0),"08 Prueba hidráulica - Preparación del sistema","")</f>
        <v>08 Prueba hidráulica - Preparación del sistema</v>
      </c>
      <c r="AP11" t="str">
        <f>IF(AND('01_Estado_Actual'!$L$326="Para Programar",'01_Estado_Actual'!$G$326&gt;0),"08 Prueba hidráulica - Preparación del sistema","")</f>
        <v/>
      </c>
      <c r="AQ11" t="str">
        <f>IF(AND('01_Estado_Actual'!$L$350="Para Programar",'01_Estado_Actual'!$G$350&gt;0),"08 Prueba hidráulica - Preparación del sistema","")</f>
        <v/>
      </c>
      <c r="AR11" t="str">
        <f>IF(AND('01_Estado_Actual'!$L$374="Para Programar",'01_Estado_Actual'!$G$374&gt;0),"08 Prueba hidráulica - Preparación del sistema","")</f>
        <v/>
      </c>
      <c r="AS11" t="str">
        <f>IF(AND('01_Estado_Actual'!$L$398="Para Programar",'01_Estado_Actual'!$G$398&gt;0),"08 Prueba hidráulica - Preparación del sistema","")</f>
        <v/>
      </c>
      <c r="AT11" t="str">
        <f>IF(AND('01_Estado_Actual'!$L$422="Para Programar",'01_Estado_Actual'!$G$422&gt;0),"08 Prueba hidráulica - Preparación del sistema","")</f>
        <v/>
      </c>
      <c r="AU11" t="str">
        <f>IF(AND('01_Estado_Actual'!$L$446="Para Programar",'01_Estado_Actual'!$G$446&gt;0),"08 Prueba hidráulica - Preparación del sistema","")</f>
        <v/>
      </c>
      <c r="AV11" t="str">
        <f>IF(AND('01_Estado_Actual'!$L$470="Para Programar",'01_Estado_Actual'!$G$470&gt;0),"08 Prueba hidráulica - Preparación del sistema","")</f>
        <v/>
      </c>
      <c r="AW11" t="str">
        <f>IF(AND('01_Estado_Actual'!$L$494="Para Programar",'01_Estado_Actual'!$G$494&gt;0),"08 Prueba hidráulica - Preparación del sistema","")</f>
        <v/>
      </c>
      <c r="AX11" t="str">
        <f>IF(AND('01_Estado_Actual'!$L$518="Para Programar",'01_Estado_Actual'!$G$518&gt;0),"08 Prueba hidráulica - Preparación del sistema","")</f>
        <v/>
      </c>
      <c r="AY11" t="str">
        <f>IF(AND('01_Estado_Actual'!$L$542="Para Programar",'01_Estado_Actual'!$G$542&gt;0),"08 Prueba hidráulica - Preparación del sistema","")</f>
        <v/>
      </c>
      <c r="AZ11" t="str">
        <f>IF(AND('01_Estado_Actual'!$L$566="Para Programar",'01_Estado_Actual'!$G$566&gt;0),"08 Prueba hidráulica - Preparación del sistema","")</f>
        <v/>
      </c>
      <c r="BA11" t="str">
        <f>IF(AND('01_Estado_Actual'!$L$590="Para Programar",'01_Estado_Actual'!$G$590&gt;0),"08 Prueba hidráulica - Preparación del sistema","")</f>
        <v/>
      </c>
      <c r="BB11" t="str">
        <f>IF(AND('01_Estado_Actual'!$L$614="Para Programar",'01_Estado_Actual'!$G$614&gt;0),"08 Prueba hidráulica - Preparación del sistema","")</f>
        <v/>
      </c>
      <c r="BC11" t="str">
        <f>IF(AND('01_Estado_Actual'!$L$638="Para Programar",'01_Estado_Actual'!$G$638&gt;0),"08 Prueba hidráulica - Preparación del sistema","")</f>
        <v/>
      </c>
      <c r="BD11" t="str">
        <f>IF(AND('01_Estado_Actual'!$L$662="Para Programar",'01_Estado_Actual'!$G$662&gt;0),"08 Prueba hidráulica - Preparación del sistema","")</f>
        <v/>
      </c>
      <c r="BE11" t="str">
        <f>IF(AND('01_Estado_Actual'!$L$686="Para Programar",'01_Estado_Actual'!$G$686&gt;0),"08 Prueba hidráulica - Preparación del sistema","")</f>
        <v/>
      </c>
      <c r="BF11" t="str">
        <f>IF(AND('01_Estado_Actual'!$L$710="Para Programar",'01_Estado_Actual'!$G$710&gt;0),"08 Prueba hidráulica - Preparación del sistema","")</f>
        <v/>
      </c>
      <c r="BG11" t="str">
        <f>IF(AND('01_Estado_Actual'!$L$734="Para Programar",'01_Estado_Actual'!$G$734&gt;0),"08 Prueba hidráulica - Preparación del sistema","")</f>
        <v/>
      </c>
      <c r="BH11" t="str">
        <f>IF(AND('01_Estado_Actual'!$L$758="Para Programar",'01_Estado_Actual'!$G$758&gt;0),"08 Prueba hidráulica - Preparación del sistema","")</f>
        <v/>
      </c>
      <c r="BI11" t="str">
        <f>IF(AND('01_Estado_Actual'!$L$782="Para Programar",'01_Estado_Actual'!$G$782&gt;0),"08 Prueba hidráulica - Preparación del sistema","")</f>
        <v/>
      </c>
      <c r="BJ11" t="str">
        <f>IF(AND('01_Estado_Actual'!$L$806="Para Programar",'01_Estado_Actual'!$G$806&gt;0),"08 Prueba hidráulica - Preparación del sistema","")</f>
        <v/>
      </c>
      <c r="BK11" t="str">
        <f>IF(AND('01_Estado_Actual'!$L$830="Para Programar",'01_Estado_Actual'!$G$830&gt;0),"08 Prueba hidráulica - Preparación del sistema","")</f>
        <v/>
      </c>
      <c r="BL11" t="str">
        <f>IF(AND('01_Estado_Actual'!$L$854="Para Programar",'01_Estado_Actual'!$G$854&gt;0),"08 Prueba hidráulica - Preparación del sistema","")</f>
        <v/>
      </c>
      <c r="BM11" t="str">
        <f>IF(AND('01_Estado_Actual'!$L$878="Para Programar",'01_Estado_Actual'!$G$878&gt;0),"08 Prueba hidráulica - Preparación del sistema","")</f>
        <v/>
      </c>
      <c r="BN11" t="str">
        <f>IF(AND('01_Estado_Actual'!$L$902="Para Programar",'01_Estado_Actual'!$G$902&gt;0),"08 Prueba hidráulica - Preparación del sistema","")</f>
        <v/>
      </c>
      <c r="BO11" t="str">
        <f>IF(AND('01_Estado_Actual'!$L$926="Para Programar",'01_Estado_Actual'!$G$926&gt;0),"08 Prueba hidráulica - Preparación del sistema","")</f>
        <v/>
      </c>
      <c r="BP11" t="str">
        <f>IF(AND('01_Estado_Actual'!$L$950="Para Programar",'01_Estado_Actual'!$G$950&gt;0),"08 Prueba hidráulica - Preparación del sistema","")</f>
        <v/>
      </c>
      <c r="BQ11" t="str">
        <f>IF(AND('01_Estado_Actual'!$L$974="Para Programar",'01_Estado_Actual'!$G$974&gt;0),"08 Prueba hidráulica - Preparación del sistema","")</f>
        <v/>
      </c>
      <c r="BR11" t="str">
        <f>IF(AND('01_Estado_Actual'!$L$998="Para Programar",'01_Estado_Actual'!$G$998&gt;0),"08 Prueba hidráulica - Preparación del sistema","")</f>
        <v/>
      </c>
      <c r="BS11" t="str">
        <f>IF(AND('01_Estado_Actual'!$L$1022="Para Programar",'01_Estado_Actual'!$G$1022&gt;0),"08 Prueba hidráulica - Preparación del sistema","")</f>
        <v/>
      </c>
      <c r="BT11" t="str">
        <f>IF(AND('01_Estado_Actual'!$L$1046="Para Programar",'01_Estado_Actual'!$G$1046&gt;0),"08 Prueba hidráulica - Preparación del sistema","")</f>
        <v/>
      </c>
      <c r="BU11" t="str">
        <f>IF(AND('01_Estado_Actual'!$L$1070="Para Programar",'01_Estado_Actual'!$G$1070&gt;0),"08 Prueba hidráulica - Preparación del sistema","")</f>
        <v/>
      </c>
      <c r="BV11" t="str">
        <f>IF(AND('01_Estado_Actual'!$L$1094="Para Programar",'01_Estado_Actual'!$G$1094&gt;0),"08 Prueba hidráulica - Preparación del sistema","")</f>
        <v/>
      </c>
      <c r="BW11" t="str">
        <f>IF(AND('01_Estado_Actual'!$L$1118="Para Programar",'01_Estado_Actual'!$G$1118&gt;0),"08 Prueba hidráulica - Preparación del sistema","")</f>
        <v/>
      </c>
      <c r="BX11" t="str">
        <f>IF(AND('01_Estado_Actual'!$L$1142="Para Programar",'01_Estado_Actual'!$G$1142&gt;0),"08 Prueba hidráulica - Preparación del sistema","")</f>
        <v/>
      </c>
      <c r="BY11" t="str">
        <f>IF(AND('01_Estado_Actual'!$L$1166="Para Programar",'01_Estado_Actual'!$G$1166&gt;0),"08 Prueba hidráulica - Preparación del sistema","")</f>
        <v/>
      </c>
      <c r="BZ11" t="str">
        <f>IF(AND('01_Estado_Actual'!$L$1190="Para Programar",'01_Estado_Actual'!$G$1190&gt;0),"08 Prueba hidráulica - Preparación del sistema","")</f>
        <v/>
      </c>
    </row>
    <row r="12" spans="1:78">
      <c r="A12" t="str">
        <f>IF(OR(B12="",C12=""),"","PLAN-"&amp;8)</f>
        <v/>
      </c>
      <c r="D12" t="str">
        <f>IF(OR(B12="",C12=""),"",IF(C12="06 Servicios - Colocación de vaina / caño camisa","u",IF(C12="07 Hidrante - Ejecución completa","%",IFERROR(_xludf.XLOOKUP(B12&amp;"|"&amp;C12,'07_Base_Tecnica'!$AK$2:$AK$1201,'07_Base_Tecnica'!$AL$2:$AL$1201,""),""))))</f>
        <v/>
      </c>
      <c r="E12" t="str">
        <f>IF(OR(B12="",C12=""),"",IF(C12="06 Servicios - Colocación de vaina / caño camisa",MAX(0,IFERROR(_xludf.XLOOKUP(B12,'07_Base_Tecnica'!$K$5:$K$54,'07_Base_Tecnica'!$Q$5:$Q$54,0),0)-MAX(SUMIFS('05_Parte_Diario'!$H$5:$H$204,'05_Parte_Diario'!$D$5:$D$204,B12,'05_Parte_Diario'!$E$5:$E$204,"06 Servicios - Colocación de vaina / caño camisa"),COUNTIFS('06_Control_Semanal'!$B$283:$B$533,B12,'06_Control_Semanal'!$D$283:$D$533,"Colocada"))),IF(C12="07 Hidrante - Ejecución completa",MAX(0,100-SUMIFS('06_Control_Semanal'!$D$203:$D$222,'06_Control_Semanal'!$C$203:$C$222,B12)),IFERROR(_xludf.XLOOKUP(B12&amp;"|"&amp;C12,'02_Para_Programar'!$N$5:$N$304,'02_Para_Programar'!$F$5:$F$304,0),0))))</f>
        <v/>
      </c>
      <c r="G12" t="str">
        <f t="shared" si="0"/>
        <v/>
      </c>
      <c r="H12" s="5"/>
      <c r="I12" s="5"/>
      <c r="O12" t="str">
        <f>IF(OR(B12="",C12=""),"",IF(C12="07 Hidrante - Ejecución completa",IF(COUNTIF('06_Control_Semanal'!$C$203:$C$222,B12)&gt;1,"ALERTA: &gt;1 HIDRANTE",IF(E12&gt;0,"OK","SIN SALDO / NO PROGRAMAR")),IF(E12&gt;0,"OK","SIN SALDO / NO PROGRAMAR")))</f>
        <v/>
      </c>
      <c r="P12" t="str">
        <f t="shared" si="1"/>
        <v/>
      </c>
      <c r="Q12" t="str">
        <f>IF(B12="","",IFERROR(_xludf.XLOOKUP(B12,'07_Base_Tecnica'!$K$5:$K$54,'07_Base_Tecnica'!$W$5:$W$54,""),""))</f>
        <v/>
      </c>
      <c r="R12" t="str">
        <f>IF(B12="","",IFERROR(_xludf.XLOOKUP(B12,'07_Base_Tecnica'!$K$5:$K$54,'07_Base_Tecnica'!$X$5:$X$54,""),""))</f>
        <v/>
      </c>
      <c r="AA12" t="s">
        <v>138</v>
      </c>
      <c r="AC12" t="str">
        <f>IF(AND('01_Estado_Actual'!$L$15="Para Programar",'01_Estado_Actual'!$G$15&gt;0),"08 Prueba hidráulica - Interna N° 1","")</f>
        <v/>
      </c>
      <c r="AD12" t="str">
        <f>IF(AND('01_Estado_Actual'!$L$39="Para Programar",'01_Estado_Actual'!$G$39&gt;0),"08 Prueba hidráulica - Interna N° 1","")</f>
        <v/>
      </c>
      <c r="AE12" t="str">
        <f>IF(AND('01_Estado_Actual'!$L$63="Para Programar",'01_Estado_Actual'!$G$63&gt;0),"08 Prueba hidráulica - Interna N° 1","")</f>
        <v/>
      </c>
      <c r="AF12" t="str">
        <f>IF(AND('01_Estado_Actual'!$L$87="Para Programar",'01_Estado_Actual'!$G$87&gt;0),"08 Prueba hidráulica - Interna N° 1","")</f>
        <v/>
      </c>
      <c r="AG12" t="str">
        <f>IF(AND('01_Estado_Actual'!$L$111="Para Programar",'01_Estado_Actual'!$G$111&gt;0),"08 Prueba hidráulica - Interna N° 1","")</f>
        <v/>
      </c>
      <c r="AH12" t="str">
        <f>IF(AND('01_Estado_Actual'!$L$135="Para Programar",'01_Estado_Actual'!$G$135&gt;0),"08 Prueba hidráulica - Interna N° 1","")</f>
        <v/>
      </c>
      <c r="AI12" t="str">
        <f>IF(AND('01_Estado_Actual'!$L$159="Para Programar",'01_Estado_Actual'!$G$159&gt;0),"08 Prueba hidráulica - Interna N° 1","")</f>
        <v/>
      </c>
      <c r="AJ12" t="str">
        <f>IF(AND('01_Estado_Actual'!$L$183="Para Programar",'01_Estado_Actual'!$G$183&gt;0),"08 Prueba hidráulica - Interna N° 1","")</f>
        <v>08 Prueba hidráulica - Interna N° 1</v>
      </c>
      <c r="AK12" t="str">
        <f>IF(AND('01_Estado_Actual'!$L$207="Para Programar",'01_Estado_Actual'!$G$207&gt;0),"08 Prueba hidráulica - Interna N° 1","")</f>
        <v>08 Prueba hidráulica - Interna N° 1</v>
      </c>
      <c r="AL12" t="str">
        <f>IF(AND('01_Estado_Actual'!$L$231="Para Programar",'01_Estado_Actual'!$G$231&gt;0),"08 Prueba hidráulica - Interna N° 1","")</f>
        <v/>
      </c>
      <c r="AM12" t="str">
        <f>IF(AND('01_Estado_Actual'!$L$255="Para Programar",'01_Estado_Actual'!$G$255&gt;0),"08 Prueba hidráulica - Interna N° 1","")</f>
        <v>08 Prueba hidráulica - Interna N° 1</v>
      </c>
      <c r="AN12" t="str">
        <f>IF(AND('01_Estado_Actual'!$L$279="Para Programar",'01_Estado_Actual'!$G$279&gt;0),"08 Prueba hidráulica - Interna N° 1","")</f>
        <v>08 Prueba hidráulica - Interna N° 1</v>
      </c>
      <c r="AO12" t="str">
        <f>IF(AND('01_Estado_Actual'!$L$303="Para Programar",'01_Estado_Actual'!$G$303&gt;0),"08 Prueba hidráulica - Interna N° 1","")</f>
        <v>08 Prueba hidráulica - Interna N° 1</v>
      </c>
      <c r="AP12" t="str">
        <f>IF(AND('01_Estado_Actual'!$L$327="Para Programar",'01_Estado_Actual'!$G$327&gt;0),"08 Prueba hidráulica - Interna N° 1","")</f>
        <v/>
      </c>
      <c r="AQ12" t="str">
        <f>IF(AND('01_Estado_Actual'!$L$351="Para Programar",'01_Estado_Actual'!$G$351&gt;0),"08 Prueba hidráulica - Interna N° 1","")</f>
        <v/>
      </c>
      <c r="AR12" t="str">
        <f>IF(AND('01_Estado_Actual'!$L$375="Para Programar",'01_Estado_Actual'!$G$375&gt;0),"08 Prueba hidráulica - Interna N° 1","")</f>
        <v/>
      </c>
      <c r="AS12" t="str">
        <f>IF(AND('01_Estado_Actual'!$L$399="Para Programar",'01_Estado_Actual'!$G$399&gt;0),"08 Prueba hidráulica - Interna N° 1","")</f>
        <v/>
      </c>
      <c r="AT12" t="str">
        <f>IF(AND('01_Estado_Actual'!$L$423="Para Programar",'01_Estado_Actual'!$G$423&gt;0),"08 Prueba hidráulica - Interna N° 1","")</f>
        <v/>
      </c>
      <c r="AU12" t="str">
        <f>IF(AND('01_Estado_Actual'!$L$447="Para Programar",'01_Estado_Actual'!$G$447&gt;0),"08 Prueba hidráulica - Interna N° 1","")</f>
        <v/>
      </c>
      <c r="AV12" t="str">
        <f>IF(AND('01_Estado_Actual'!$L$471="Para Programar",'01_Estado_Actual'!$G$471&gt;0),"08 Prueba hidráulica - Interna N° 1","")</f>
        <v/>
      </c>
      <c r="AW12" t="str">
        <f>IF(AND('01_Estado_Actual'!$L$495="Para Programar",'01_Estado_Actual'!$G$495&gt;0),"08 Prueba hidráulica - Interna N° 1","")</f>
        <v/>
      </c>
      <c r="AX12" t="str">
        <f>IF(AND('01_Estado_Actual'!$L$519="Para Programar",'01_Estado_Actual'!$G$519&gt;0),"08 Prueba hidráulica - Interna N° 1","")</f>
        <v/>
      </c>
      <c r="AY12" t="str">
        <f>IF(AND('01_Estado_Actual'!$L$543="Para Programar",'01_Estado_Actual'!$G$543&gt;0),"08 Prueba hidráulica - Interna N° 1","")</f>
        <v/>
      </c>
      <c r="AZ12" t="str">
        <f>IF(AND('01_Estado_Actual'!$L$567="Para Programar",'01_Estado_Actual'!$G$567&gt;0),"08 Prueba hidráulica - Interna N° 1","")</f>
        <v/>
      </c>
      <c r="BA12" t="str">
        <f>IF(AND('01_Estado_Actual'!$L$591="Para Programar",'01_Estado_Actual'!$G$591&gt;0),"08 Prueba hidráulica - Interna N° 1","")</f>
        <v/>
      </c>
      <c r="BB12" t="str">
        <f>IF(AND('01_Estado_Actual'!$L$615="Para Programar",'01_Estado_Actual'!$G$615&gt;0),"08 Prueba hidráulica - Interna N° 1","")</f>
        <v/>
      </c>
      <c r="BC12" t="str">
        <f>IF(AND('01_Estado_Actual'!$L$639="Para Programar",'01_Estado_Actual'!$G$639&gt;0),"08 Prueba hidráulica - Interna N° 1","")</f>
        <v/>
      </c>
      <c r="BD12" t="str">
        <f>IF(AND('01_Estado_Actual'!$L$663="Para Programar",'01_Estado_Actual'!$G$663&gt;0),"08 Prueba hidráulica - Interna N° 1","")</f>
        <v/>
      </c>
      <c r="BE12" t="str">
        <f>IF(AND('01_Estado_Actual'!$L$687="Para Programar",'01_Estado_Actual'!$G$687&gt;0),"08 Prueba hidráulica - Interna N° 1","")</f>
        <v/>
      </c>
      <c r="BF12" t="str">
        <f>IF(AND('01_Estado_Actual'!$L$711="Para Programar",'01_Estado_Actual'!$G$711&gt;0),"08 Prueba hidráulica - Interna N° 1","")</f>
        <v/>
      </c>
      <c r="BG12" t="str">
        <f>IF(AND('01_Estado_Actual'!$L$735="Para Programar",'01_Estado_Actual'!$G$735&gt;0),"08 Prueba hidráulica - Interna N° 1","")</f>
        <v/>
      </c>
      <c r="BH12" t="str">
        <f>IF(AND('01_Estado_Actual'!$L$759="Para Programar",'01_Estado_Actual'!$G$759&gt;0),"08 Prueba hidráulica - Interna N° 1","")</f>
        <v/>
      </c>
      <c r="BI12" t="str">
        <f>IF(AND('01_Estado_Actual'!$L$783="Para Programar",'01_Estado_Actual'!$G$783&gt;0),"08 Prueba hidráulica - Interna N° 1","")</f>
        <v/>
      </c>
      <c r="BJ12" t="str">
        <f>IF(AND('01_Estado_Actual'!$L$807="Para Programar",'01_Estado_Actual'!$G$807&gt;0),"08 Prueba hidráulica - Interna N° 1","")</f>
        <v/>
      </c>
      <c r="BK12" t="str">
        <f>IF(AND('01_Estado_Actual'!$L$831="Para Programar",'01_Estado_Actual'!$G$831&gt;0),"08 Prueba hidráulica - Interna N° 1","")</f>
        <v/>
      </c>
      <c r="BL12" t="str">
        <f>IF(AND('01_Estado_Actual'!$L$855="Para Programar",'01_Estado_Actual'!$G$855&gt;0),"08 Prueba hidráulica - Interna N° 1","")</f>
        <v/>
      </c>
      <c r="BM12" t="str">
        <f>IF(AND('01_Estado_Actual'!$L$879="Para Programar",'01_Estado_Actual'!$G$879&gt;0),"08 Prueba hidráulica - Interna N° 1","")</f>
        <v/>
      </c>
      <c r="BN12" t="str">
        <f>IF(AND('01_Estado_Actual'!$L$903="Para Programar",'01_Estado_Actual'!$G$903&gt;0),"08 Prueba hidráulica - Interna N° 1","")</f>
        <v/>
      </c>
      <c r="BO12" t="str">
        <f>IF(AND('01_Estado_Actual'!$L$927="Para Programar",'01_Estado_Actual'!$G$927&gt;0),"08 Prueba hidráulica - Interna N° 1","")</f>
        <v/>
      </c>
      <c r="BP12" t="str">
        <f>IF(AND('01_Estado_Actual'!$L$951="Para Programar",'01_Estado_Actual'!$G$951&gt;0),"08 Prueba hidráulica - Interna N° 1","")</f>
        <v/>
      </c>
      <c r="BQ12" t="str">
        <f>IF(AND('01_Estado_Actual'!$L$975="Para Programar",'01_Estado_Actual'!$G$975&gt;0),"08 Prueba hidráulica - Interna N° 1","")</f>
        <v/>
      </c>
      <c r="BR12" t="str">
        <f>IF(AND('01_Estado_Actual'!$L$999="Para Programar",'01_Estado_Actual'!$G$999&gt;0),"08 Prueba hidráulica - Interna N° 1","")</f>
        <v/>
      </c>
      <c r="BS12" t="str">
        <f>IF(AND('01_Estado_Actual'!$L$1023="Para Programar",'01_Estado_Actual'!$G$1023&gt;0),"08 Prueba hidráulica - Interna N° 1","")</f>
        <v/>
      </c>
      <c r="BT12" t="str">
        <f>IF(AND('01_Estado_Actual'!$L$1047="Para Programar",'01_Estado_Actual'!$G$1047&gt;0),"08 Prueba hidráulica - Interna N° 1","")</f>
        <v/>
      </c>
      <c r="BU12" t="str">
        <f>IF(AND('01_Estado_Actual'!$L$1071="Para Programar",'01_Estado_Actual'!$G$1071&gt;0),"08 Prueba hidráulica - Interna N° 1","")</f>
        <v/>
      </c>
      <c r="BV12" t="str">
        <f>IF(AND('01_Estado_Actual'!$L$1095="Para Programar",'01_Estado_Actual'!$G$1095&gt;0),"08 Prueba hidráulica - Interna N° 1","")</f>
        <v/>
      </c>
      <c r="BW12" t="str">
        <f>IF(AND('01_Estado_Actual'!$L$1119="Para Programar",'01_Estado_Actual'!$G$1119&gt;0),"08 Prueba hidráulica - Interna N° 1","")</f>
        <v/>
      </c>
      <c r="BX12" t="str">
        <f>IF(AND('01_Estado_Actual'!$L$1143="Para Programar",'01_Estado_Actual'!$G$1143&gt;0),"08 Prueba hidráulica - Interna N° 1","")</f>
        <v/>
      </c>
      <c r="BY12" t="str">
        <f>IF(AND('01_Estado_Actual'!$L$1167="Para Programar",'01_Estado_Actual'!$G$1167&gt;0),"08 Prueba hidráulica - Interna N° 1","")</f>
        <v/>
      </c>
      <c r="BZ12" t="str">
        <f>IF(AND('01_Estado_Actual'!$L$1191="Para Programar",'01_Estado_Actual'!$G$1191&gt;0),"08 Prueba hidráulica - Interna N° 1","")</f>
        <v/>
      </c>
    </row>
    <row r="13" spans="1:78">
      <c r="A13" t="str">
        <f>IF(OR(B13="",C13=""),"","PLAN-"&amp;9)</f>
        <v/>
      </c>
      <c r="D13" t="str">
        <f>IF(OR(B13="",C13=""),"",IF(C13="06 Servicios - Colocación de vaina / caño camisa","u",IF(C13="07 Hidrante - Ejecución completa","%",IFERROR(_xludf.XLOOKUP(B13&amp;"|"&amp;C13,'07_Base_Tecnica'!$AK$2:$AK$1201,'07_Base_Tecnica'!$AL$2:$AL$1201,""),""))))</f>
        <v/>
      </c>
      <c r="E13" t="str">
        <f>IF(OR(B13="",C13=""),"",IF(C13="06 Servicios - Colocación de vaina / caño camisa",MAX(0,IFERROR(_xludf.XLOOKUP(B13,'07_Base_Tecnica'!$K$5:$K$54,'07_Base_Tecnica'!$Q$5:$Q$54,0),0)-MAX(SUMIFS('05_Parte_Diario'!$H$5:$H$204,'05_Parte_Diario'!$D$5:$D$204,B13,'05_Parte_Diario'!$E$5:$E$204,"06 Servicios - Colocación de vaina / caño camisa"),COUNTIFS('06_Control_Semanal'!$B$283:$B$533,B13,'06_Control_Semanal'!$D$283:$D$533,"Colocada"))),IF(C13="07 Hidrante - Ejecución completa",MAX(0,100-SUMIFS('06_Control_Semanal'!$D$203:$D$222,'06_Control_Semanal'!$C$203:$C$222,B13)),IFERROR(_xludf.XLOOKUP(B13&amp;"|"&amp;C13,'02_Para_Programar'!$N$5:$N$304,'02_Para_Programar'!$F$5:$F$304,0),0))))</f>
        <v/>
      </c>
      <c r="G13" t="str">
        <f t="shared" si="0"/>
        <v/>
      </c>
      <c r="H13" s="5"/>
      <c r="I13" s="5"/>
      <c r="O13" t="str">
        <f>IF(OR(B13="",C13=""),"",IF(C13="07 Hidrante - Ejecución completa",IF(COUNTIF('06_Control_Semanal'!$C$203:$C$222,B13)&gt;1,"ALERTA: &gt;1 HIDRANTE",IF(E13&gt;0,"OK","SIN SALDO / NO PROGRAMAR")),IF(E13&gt;0,"OK","SIN SALDO / NO PROGRAMAR")))</f>
        <v/>
      </c>
      <c r="P13" t="str">
        <f t="shared" si="1"/>
        <v/>
      </c>
      <c r="Q13" t="str">
        <f>IF(B13="","",IFERROR(_xludf.XLOOKUP(B13,'07_Base_Tecnica'!$K$5:$K$54,'07_Base_Tecnica'!$W$5:$W$54,""),""))</f>
        <v/>
      </c>
      <c r="R13" t="str">
        <f>IF(B13="","",IFERROR(_xludf.XLOOKUP(B13,'07_Base_Tecnica'!$K$5:$K$54,'07_Base_Tecnica'!$X$5:$X$54,""),""))</f>
        <v/>
      </c>
      <c r="AA13" t="s">
        <v>139</v>
      </c>
      <c r="AC13" t="str">
        <f>IF(AND('01_Estado_Actual'!$L$16="Para Programar",'01_Estado_Actual'!$G$16&gt;0),"08 Prueba hidráulica - Interna N° 2","")</f>
        <v/>
      </c>
      <c r="AD13" t="str">
        <f>IF(AND('01_Estado_Actual'!$L$40="Para Programar",'01_Estado_Actual'!$G$40&gt;0),"08 Prueba hidráulica - Interna N° 2","")</f>
        <v/>
      </c>
      <c r="AE13" t="str">
        <f>IF(AND('01_Estado_Actual'!$L$64="Para Programar",'01_Estado_Actual'!$G$64&gt;0),"08 Prueba hidráulica - Interna N° 2","")</f>
        <v/>
      </c>
      <c r="AF13" t="str">
        <f>IF(AND('01_Estado_Actual'!$L$88="Para Programar",'01_Estado_Actual'!$G$88&gt;0),"08 Prueba hidráulica - Interna N° 2","")</f>
        <v/>
      </c>
      <c r="AG13" t="str">
        <f>IF(AND('01_Estado_Actual'!$L$112="Para Programar",'01_Estado_Actual'!$G$112&gt;0),"08 Prueba hidráulica - Interna N° 2","")</f>
        <v/>
      </c>
      <c r="AH13" t="str">
        <f>IF(AND('01_Estado_Actual'!$L$136="Para Programar",'01_Estado_Actual'!$G$136&gt;0),"08 Prueba hidráulica - Interna N° 2","")</f>
        <v/>
      </c>
      <c r="AI13" t="str">
        <f>IF(AND('01_Estado_Actual'!$L$160="Para Programar",'01_Estado_Actual'!$G$160&gt;0),"08 Prueba hidráulica - Interna N° 2","")</f>
        <v/>
      </c>
      <c r="AJ13" t="str">
        <f>IF(AND('01_Estado_Actual'!$L$184="Para Programar",'01_Estado_Actual'!$G$184&gt;0),"08 Prueba hidráulica - Interna N° 2","")</f>
        <v/>
      </c>
      <c r="AK13" t="str">
        <f>IF(AND('01_Estado_Actual'!$L$208="Para Programar",'01_Estado_Actual'!$G$208&gt;0),"08 Prueba hidráulica - Interna N° 2","")</f>
        <v>08 Prueba hidráulica - Interna N° 2</v>
      </c>
      <c r="AL13" t="str">
        <f>IF(AND('01_Estado_Actual'!$L$232="Para Programar",'01_Estado_Actual'!$G$232&gt;0),"08 Prueba hidráulica - Interna N° 2","")</f>
        <v/>
      </c>
      <c r="AM13" t="str">
        <f>IF(AND('01_Estado_Actual'!$L$256="Para Programar",'01_Estado_Actual'!$G$256&gt;0),"08 Prueba hidráulica - Interna N° 2","")</f>
        <v>08 Prueba hidráulica - Interna N° 2</v>
      </c>
      <c r="AN13" t="str">
        <f>IF(AND('01_Estado_Actual'!$L$280="Para Programar",'01_Estado_Actual'!$G$280&gt;0),"08 Prueba hidráulica - Interna N° 2","")</f>
        <v/>
      </c>
      <c r="AO13" t="str">
        <f>IF(AND('01_Estado_Actual'!$L$304="Para Programar",'01_Estado_Actual'!$G$304&gt;0),"08 Prueba hidráulica - Interna N° 2","")</f>
        <v/>
      </c>
      <c r="AP13" t="str">
        <f>IF(AND('01_Estado_Actual'!$L$328="Para Programar",'01_Estado_Actual'!$G$328&gt;0),"08 Prueba hidráulica - Interna N° 2","")</f>
        <v>08 Prueba hidráulica - Interna N° 2</v>
      </c>
      <c r="AQ13" t="str">
        <f>IF(AND('01_Estado_Actual'!$L$352="Para Programar",'01_Estado_Actual'!$G$352&gt;0),"08 Prueba hidráulica - Interna N° 2","")</f>
        <v>08 Prueba hidráulica - Interna N° 2</v>
      </c>
      <c r="AR13" t="str">
        <f>IF(AND('01_Estado_Actual'!$L$376="Para Programar",'01_Estado_Actual'!$G$376&gt;0),"08 Prueba hidráulica - Interna N° 2","")</f>
        <v/>
      </c>
      <c r="AS13" t="str">
        <f>IF(AND('01_Estado_Actual'!$L$400="Para Programar",'01_Estado_Actual'!$G$400&gt;0),"08 Prueba hidráulica - Interna N° 2","")</f>
        <v>08 Prueba hidráulica - Interna N° 2</v>
      </c>
      <c r="AT13" t="str">
        <f>IF(AND('01_Estado_Actual'!$L$424="Para Programar",'01_Estado_Actual'!$G$424&gt;0),"08 Prueba hidráulica - Interna N° 2","")</f>
        <v/>
      </c>
      <c r="AU13" t="str">
        <f>IF(AND('01_Estado_Actual'!$L$448="Para Programar",'01_Estado_Actual'!$G$448&gt;0),"08 Prueba hidráulica - Interna N° 2","")</f>
        <v/>
      </c>
      <c r="AV13" t="str">
        <f>IF(AND('01_Estado_Actual'!$L$472="Para Programar",'01_Estado_Actual'!$G$472&gt;0),"08 Prueba hidráulica - Interna N° 2","")</f>
        <v/>
      </c>
      <c r="AW13" t="str">
        <f>IF(AND('01_Estado_Actual'!$L$496="Para Programar",'01_Estado_Actual'!$G$496&gt;0),"08 Prueba hidráulica - Interna N° 2","")</f>
        <v/>
      </c>
      <c r="AX13" t="str">
        <f>IF(AND('01_Estado_Actual'!$L$520="Para Programar",'01_Estado_Actual'!$G$520&gt;0),"08 Prueba hidráulica - Interna N° 2","")</f>
        <v/>
      </c>
      <c r="AY13" t="str">
        <f>IF(AND('01_Estado_Actual'!$L$544="Para Programar",'01_Estado_Actual'!$G$544&gt;0),"08 Prueba hidráulica - Interna N° 2","")</f>
        <v/>
      </c>
      <c r="AZ13" t="str">
        <f>IF(AND('01_Estado_Actual'!$L$568="Para Programar",'01_Estado_Actual'!$G$568&gt;0),"08 Prueba hidráulica - Interna N° 2","")</f>
        <v/>
      </c>
      <c r="BA13" t="str">
        <f>IF(AND('01_Estado_Actual'!$L$592="Para Programar",'01_Estado_Actual'!$G$592&gt;0),"08 Prueba hidráulica - Interna N° 2","")</f>
        <v/>
      </c>
      <c r="BB13" t="str">
        <f>IF(AND('01_Estado_Actual'!$L$616="Para Programar",'01_Estado_Actual'!$G$616&gt;0),"08 Prueba hidráulica - Interna N° 2","")</f>
        <v/>
      </c>
      <c r="BC13" t="str">
        <f>IF(AND('01_Estado_Actual'!$L$640="Para Programar",'01_Estado_Actual'!$G$640&gt;0),"08 Prueba hidráulica - Interna N° 2","")</f>
        <v/>
      </c>
      <c r="BD13" t="str">
        <f>IF(AND('01_Estado_Actual'!$L$664="Para Programar",'01_Estado_Actual'!$G$664&gt;0),"08 Prueba hidráulica - Interna N° 2","")</f>
        <v/>
      </c>
      <c r="BE13" t="str">
        <f>IF(AND('01_Estado_Actual'!$L$688="Para Programar",'01_Estado_Actual'!$G$688&gt;0),"08 Prueba hidráulica - Interna N° 2","")</f>
        <v/>
      </c>
      <c r="BF13" t="str">
        <f>IF(AND('01_Estado_Actual'!$L$712="Para Programar",'01_Estado_Actual'!$G$712&gt;0),"08 Prueba hidráulica - Interna N° 2","")</f>
        <v>08 Prueba hidráulica - Interna N° 2</v>
      </c>
      <c r="BG13" t="str">
        <f>IF(AND('01_Estado_Actual'!$L$736="Para Programar",'01_Estado_Actual'!$G$736&gt;0),"08 Prueba hidráulica - Interna N° 2","")</f>
        <v>08 Prueba hidráulica - Interna N° 2</v>
      </c>
      <c r="BH13" t="str">
        <f>IF(AND('01_Estado_Actual'!$L$760="Para Programar",'01_Estado_Actual'!$G$760&gt;0),"08 Prueba hidráulica - Interna N° 2","")</f>
        <v/>
      </c>
      <c r="BI13" t="str">
        <f>IF(AND('01_Estado_Actual'!$L$784="Para Programar",'01_Estado_Actual'!$G$784&gt;0),"08 Prueba hidráulica - Interna N° 2","")</f>
        <v/>
      </c>
      <c r="BJ13" t="str">
        <f>IF(AND('01_Estado_Actual'!$L$808="Para Programar",'01_Estado_Actual'!$G$808&gt;0),"08 Prueba hidráulica - Interna N° 2","")</f>
        <v/>
      </c>
      <c r="BK13" t="str">
        <f>IF(AND('01_Estado_Actual'!$L$832="Para Programar",'01_Estado_Actual'!$G$832&gt;0),"08 Prueba hidráulica - Interna N° 2","")</f>
        <v/>
      </c>
      <c r="BL13" t="str">
        <f>IF(AND('01_Estado_Actual'!$L$856="Para Programar",'01_Estado_Actual'!$G$856&gt;0),"08 Prueba hidráulica - Interna N° 2","")</f>
        <v/>
      </c>
      <c r="BM13" t="str">
        <f>IF(AND('01_Estado_Actual'!$L$880="Para Programar",'01_Estado_Actual'!$G$880&gt;0),"08 Prueba hidráulica - Interna N° 2","")</f>
        <v/>
      </c>
      <c r="BN13" t="str">
        <f>IF(AND('01_Estado_Actual'!$L$904="Para Programar",'01_Estado_Actual'!$G$904&gt;0),"08 Prueba hidráulica - Interna N° 2","")</f>
        <v/>
      </c>
      <c r="BO13" t="str">
        <f>IF(AND('01_Estado_Actual'!$L$928="Para Programar",'01_Estado_Actual'!$G$928&gt;0),"08 Prueba hidráulica - Interna N° 2","")</f>
        <v/>
      </c>
      <c r="BP13" t="str">
        <f>IF(AND('01_Estado_Actual'!$L$952="Para Programar",'01_Estado_Actual'!$G$952&gt;0),"08 Prueba hidráulica - Interna N° 2","")</f>
        <v/>
      </c>
      <c r="BQ13" t="str">
        <f>IF(AND('01_Estado_Actual'!$L$976="Para Programar",'01_Estado_Actual'!$G$976&gt;0),"08 Prueba hidráulica - Interna N° 2","")</f>
        <v/>
      </c>
      <c r="BR13" t="str">
        <f>IF(AND('01_Estado_Actual'!$L$1000="Para Programar",'01_Estado_Actual'!$G$1000&gt;0),"08 Prueba hidráulica - Interna N° 2","")</f>
        <v/>
      </c>
      <c r="BS13" t="str">
        <f>IF(AND('01_Estado_Actual'!$L$1024="Para Programar",'01_Estado_Actual'!$G$1024&gt;0),"08 Prueba hidráulica - Interna N° 2","")</f>
        <v/>
      </c>
      <c r="BT13" t="str">
        <f>IF(AND('01_Estado_Actual'!$L$1048="Para Programar",'01_Estado_Actual'!$G$1048&gt;0),"08 Prueba hidráulica - Interna N° 2","")</f>
        <v/>
      </c>
      <c r="BU13" t="str">
        <f>IF(AND('01_Estado_Actual'!$L$1072="Para Programar",'01_Estado_Actual'!$G$1072&gt;0),"08 Prueba hidráulica - Interna N° 2","")</f>
        <v/>
      </c>
      <c r="BV13" t="str">
        <f>IF(AND('01_Estado_Actual'!$L$1096="Para Programar",'01_Estado_Actual'!$G$1096&gt;0),"08 Prueba hidráulica - Interna N° 2","")</f>
        <v/>
      </c>
      <c r="BW13" t="str">
        <f>IF(AND('01_Estado_Actual'!$L$1120="Para Programar",'01_Estado_Actual'!$G$1120&gt;0),"08 Prueba hidráulica - Interna N° 2","")</f>
        <v/>
      </c>
      <c r="BX13" t="str">
        <f>IF(AND('01_Estado_Actual'!$L$1144="Para Programar",'01_Estado_Actual'!$G$1144&gt;0),"08 Prueba hidráulica - Interna N° 2","")</f>
        <v/>
      </c>
      <c r="BY13" t="str">
        <f>IF(AND('01_Estado_Actual'!$L$1168="Para Programar",'01_Estado_Actual'!$G$1168&gt;0),"08 Prueba hidráulica - Interna N° 2","")</f>
        <v/>
      </c>
      <c r="BZ13" t="str">
        <f>IF(AND('01_Estado_Actual'!$L$1192="Para Programar",'01_Estado_Actual'!$G$1192&gt;0),"08 Prueba hidráulica - Interna N° 2","")</f>
        <v/>
      </c>
    </row>
    <row r="14" spans="1:78">
      <c r="A14" t="str">
        <f>IF(OR(B14="",C14=""),"","PLAN-"&amp;10)</f>
        <v/>
      </c>
      <c r="D14" t="str">
        <f>IF(OR(B14="",C14=""),"",IF(C14="06 Servicios - Colocación de vaina / caño camisa","u",IF(C14="07 Hidrante - Ejecución completa","%",IFERROR(_xludf.XLOOKUP(B14&amp;"|"&amp;C14,'07_Base_Tecnica'!$AK$2:$AK$1201,'07_Base_Tecnica'!$AL$2:$AL$1201,""),""))))</f>
        <v/>
      </c>
      <c r="E14" t="str">
        <f>IF(OR(B14="",C14=""),"",IF(C14="06 Servicios - Colocación de vaina / caño camisa",MAX(0,IFERROR(_xludf.XLOOKUP(B14,'07_Base_Tecnica'!$K$5:$K$54,'07_Base_Tecnica'!$Q$5:$Q$54,0),0)-MAX(SUMIFS('05_Parte_Diario'!$H$5:$H$204,'05_Parte_Diario'!$D$5:$D$204,B14,'05_Parte_Diario'!$E$5:$E$204,"06 Servicios - Colocación de vaina / caño camisa"),COUNTIFS('06_Control_Semanal'!$B$283:$B$533,B14,'06_Control_Semanal'!$D$283:$D$533,"Colocada"))),IF(C14="07 Hidrante - Ejecución completa",MAX(0,100-SUMIFS('06_Control_Semanal'!$D$203:$D$222,'06_Control_Semanal'!$C$203:$C$222,B14)),IFERROR(_xludf.XLOOKUP(B14&amp;"|"&amp;C14,'02_Para_Programar'!$N$5:$N$304,'02_Para_Programar'!$F$5:$F$304,0),0))))</f>
        <v/>
      </c>
      <c r="G14" t="str">
        <f t="shared" si="0"/>
        <v/>
      </c>
      <c r="H14" s="5"/>
      <c r="I14" s="5"/>
      <c r="O14" t="str">
        <f>IF(OR(B14="",C14=""),"",IF(C14="07 Hidrante - Ejecución completa",IF(COUNTIF('06_Control_Semanal'!$C$203:$C$222,B14)&gt;1,"ALERTA: &gt;1 HIDRANTE",IF(E14&gt;0,"OK","SIN SALDO / NO PROGRAMAR")),IF(E14&gt;0,"OK","SIN SALDO / NO PROGRAMAR")))</f>
        <v/>
      </c>
      <c r="P14" t="str">
        <f t="shared" si="1"/>
        <v/>
      </c>
      <c r="Q14" t="str">
        <f>IF(B14="","",IFERROR(_xludf.XLOOKUP(B14,'07_Base_Tecnica'!$K$5:$K$54,'07_Base_Tecnica'!$W$5:$W$54,""),""))</f>
        <v/>
      </c>
      <c r="R14" t="str">
        <f>IF(B14="","",IFERROR(_xludf.XLOOKUP(B14,'07_Base_Tecnica'!$K$5:$K$54,'07_Base_Tecnica'!$X$5:$X$54,""),""))</f>
        <v/>
      </c>
      <c r="AA14" t="s">
        <v>142</v>
      </c>
      <c r="AC14" t="str">
        <f>IF(AND('01_Estado_Actual'!$L$17="Para Programar",'01_Estado_Actual'!$G$17&gt;0),"08 Prueba hidráulica - Primera prueba oficial","")</f>
        <v/>
      </c>
      <c r="AD14" t="str">
        <f>IF(AND('01_Estado_Actual'!$L$41="Para Programar",'01_Estado_Actual'!$G$41&gt;0),"08 Prueba hidráulica - Primera prueba oficial","")</f>
        <v/>
      </c>
      <c r="AE14" t="str">
        <f>IF(AND('01_Estado_Actual'!$L$65="Para Programar",'01_Estado_Actual'!$G$65&gt;0),"08 Prueba hidráulica - Primera prueba oficial","")</f>
        <v/>
      </c>
      <c r="AF14" t="str">
        <f>IF(AND('01_Estado_Actual'!$L$89="Para Programar",'01_Estado_Actual'!$G$89&gt;0),"08 Prueba hidráulica - Primera prueba oficial","")</f>
        <v/>
      </c>
      <c r="AG14" t="str">
        <f>IF(AND('01_Estado_Actual'!$L$113="Para Programar",'01_Estado_Actual'!$G$113&gt;0),"08 Prueba hidráulica - Primera prueba oficial","")</f>
        <v/>
      </c>
      <c r="AH14" t="str">
        <f>IF(AND('01_Estado_Actual'!$L$137="Para Programar",'01_Estado_Actual'!$G$137&gt;0),"08 Prueba hidráulica - Primera prueba oficial","")</f>
        <v/>
      </c>
      <c r="AI14" t="str">
        <f>IF(AND('01_Estado_Actual'!$L$161="Para Programar",'01_Estado_Actual'!$G$161&gt;0),"08 Prueba hidráulica - Primera prueba oficial","")</f>
        <v/>
      </c>
      <c r="AJ14" t="str">
        <f>IF(AND('01_Estado_Actual'!$L$185="Para Programar",'01_Estado_Actual'!$G$185&gt;0),"08 Prueba hidráulica - Primera prueba oficial","")</f>
        <v/>
      </c>
      <c r="AK14" t="str">
        <f>IF(AND('01_Estado_Actual'!$L$209="Para Programar",'01_Estado_Actual'!$G$209&gt;0),"08 Prueba hidráulica - Primera prueba oficial","")</f>
        <v>08 Prueba hidráulica - Primera prueba oficial</v>
      </c>
      <c r="AL14" t="str">
        <f>IF(AND('01_Estado_Actual'!$L$233="Para Programar",'01_Estado_Actual'!$G$233&gt;0),"08 Prueba hidráulica - Primera prueba oficial","")</f>
        <v/>
      </c>
      <c r="AM14" t="str">
        <f>IF(AND('01_Estado_Actual'!$L$257="Para Programar",'01_Estado_Actual'!$G$257&gt;0),"08 Prueba hidráulica - Primera prueba oficial","")</f>
        <v>08 Prueba hidráulica - Primera prueba oficial</v>
      </c>
      <c r="AN14" t="str">
        <f>IF(AND('01_Estado_Actual'!$L$281="Para Programar",'01_Estado_Actual'!$G$281&gt;0),"08 Prueba hidráulica - Primera prueba oficial","")</f>
        <v/>
      </c>
      <c r="AO14" t="str">
        <f>IF(AND('01_Estado_Actual'!$L$305="Para Programar",'01_Estado_Actual'!$G$305&gt;0),"08 Prueba hidráulica - Primera prueba oficial","")</f>
        <v/>
      </c>
      <c r="AP14" t="str">
        <f>IF(AND('01_Estado_Actual'!$L$329="Para Programar",'01_Estado_Actual'!$G$329&gt;0),"08 Prueba hidráulica - Primera prueba oficial","")</f>
        <v>08 Prueba hidráulica - Primera prueba oficial</v>
      </c>
      <c r="AQ14" t="str">
        <f>IF(AND('01_Estado_Actual'!$L$353="Para Programar",'01_Estado_Actual'!$G$353&gt;0),"08 Prueba hidráulica - Primera prueba oficial","")</f>
        <v>08 Prueba hidráulica - Primera prueba oficial</v>
      </c>
      <c r="AR14" t="str">
        <f>IF(AND('01_Estado_Actual'!$L$377="Para Programar",'01_Estado_Actual'!$G$377&gt;0),"08 Prueba hidráulica - Primera prueba oficial","")</f>
        <v>08 Prueba hidráulica - Primera prueba oficial</v>
      </c>
      <c r="AS14" t="str">
        <f>IF(AND('01_Estado_Actual'!$L$401="Para Programar",'01_Estado_Actual'!$G$401&gt;0),"08 Prueba hidráulica - Primera prueba oficial","")</f>
        <v>08 Prueba hidráulica - Primera prueba oficial</v>
      </c>
      <c r="AT14" t="str">
        <f>IF(AND('01_Estado_Actual'!$L$425="Para Programar",'01_Estado_Actual'!$G$425&gt;0),"08 Prueba hidráulica - Primera prueba oficial","")</f>
        <v/>
      </c>
      <c r="AU14" t="str">
        <f>IF(AND('01_Estado_Actual'!$L$449="Para Programar",'01_Estado_Actual'!$G$449&gt;0),"08 Prueba hidráulica - Primera prueba oficial","")</f>
        <v/>
      </c>
      <c r="AV14" t="str">
        <f>IF(AND('01_Estado_Actual'!$L$473="Para Programar",'01_Estado_Actual'!$G$473&gt;0),"08 Prueba hidráulica - Primera prueba oficial","")</f>
        <v/>
      </c>
      <c r="AW14" t="str">
        <f>IF(AND('01_Estado_Actual'!$L$497="Para Programar",'01_Estado_Actual'!$G$497&gt;0),"08 Prueba hidráulica - Primera prueba oficial","")</f>
        <v/>
      </c>
      <c r="AX14" t="str">
        <f>IF(AND('01_Estado_Actual'!$L$521="Para Programar",'01_Estado_Actual'!$G$521&gt;0),"08 Prueba hidráulica - Primera prueba oficial","")</f>
        <v/>
      </c>
      <c r="AY14" t="str">
        <f>IF(AND('01_Estado_Actual'!$L$545="Para Programar",'01_Estado_Actual'!$G$545&gt;0),"08 Prueba hidráulica - Primera prueba oficial","")</f>
        <v/>
      </c>
      <c r="AZ14" t="str">
        <f>IF(AND('01_Estado_Actual'!$L$569="Para Programar",'01_Estado_Actual'!$G$569&gt;0),"08 Prueba hidráulica - Primera prueba oficial","")</f>
        <v/>
      </c>
      <c r="BA14" t="str">
        <f>IF(AND('01_Estado_Actual'!$L$593="Para Programar",'01_Estado_Actual'!$G$593&gt;0),"08 Prueba hidráulica - Primera prueba oficial","")</f>
        <v/>
      </c>
      <c r="BB14" t="str">
        <f>IF(AND('01_Estado_Actual'!$L$617="Para Programar",'01_Estado_Actual'!$G$617&gt;0),"08 Prueba hidráulica - Primera prueba oficial","")</f>
        <v/>
      </c>
      <c r="BC14" t="str">
        <f>IF(AND('01_Estado_Actual'!$L$641="Para Programar",'01_Estado_Actual'!$G$641&gt;0),"08 Prueba hidráulica - Primera prueba oficial","")</f>
        <v/>
      </c>
      <c r="BD14" t="str">
        <f>IF(AND('01_Estado_Actual'!$L$665="Para Programar",'01_Estado_Actual'!$G$665&gt;0),"08 Prueba hidráulica - Primera prueba oficial","")</f>
        <v/>
      </c>
      <c r="BE14" t="str">
        <f>IF(AND('01_Estado_Actual'!$L$689="Para Programar",'01_Estado_Actual'!$G$689&gt;0),"08 Prueba hidráulica - Primera prueba oficial","")</f>
        <v/>
      </c>
      <c r="BF14" t="str">
        <f>IF(AND('01_Estado_Actual'!$L$713="Para Programar",'01_Estado_Actual'!$G$713&gt;0),"08 Prueba hidráulica - Primera prueba oficial","")</f>
        <v>08 Prueba hidráulica - Primera prueba oficial</v>
      </c>
      <c r="BG14" t="str">
        <f>IF(AND('01_Estado_Actual'!$L$737="Para Programar",'01_Estado_Actual'!$G$737&gt;0),"08 Prueba hidráulica - Primera prueba oficial","")</f>
        <v>08 Prueba hidráulica - Primera prueba oficial</v>
      </c>
      <c r="BH14" t="str">
        <f>IF(AND('01_Estado_Actual'!$L$761="Para Programar",'01_Estado_Actual'!$G$761&gt;0),"08 Prueba hidráulica - Primera prueba oficial","")</f>
        <v/>
      </c>
      <c r="BI14" t="str">
        <f>IF(AND('01_Estado_Actual'!$L$785="Para Programar",'01_Estado_Actual'!$G$785&gt;0),"08 Prueba hidráulica - Primera prueba oficial","")</f>
        <v/>
      </c>
      <c r="BJ14" t="str">
        <f>IF(AND('01_Estado_Actual'!$L$809="Para Programar",'01_Estado_Actual'!$G$809&gt;0),"08 Prueba hidráulica - Primera prueba oficial","")</f>
        <v/>
      </c>
      <c r="BK14" t="str">
        <f>IF(AND('01_Estado_Actual'!$L$833="Para Programar",'01_Estado_Actual'!$G$833&gt;0),"08 Prueba hidráulica - Primera prueba oficial","")</f>
        <v/>
      </c>
      <c r="BL14" t="str">
        <f>IF(AND('01_Estado_Actual'!$L$857="Para Programar",'01_Estado_Actual'!$G$857&gt;0),"08 Prueba hidráulica - Primera prueba oficial","")</f>
        <v/>
      </c>
      <c r="BM14" t="str">
        <f>IF(AND('01_Estado_Actual'!$L$881="Para Programar",'01_Estado_Actual'!$G$881&gt;0),"08 Prueba hidráulica - Primera prueba oficial","")</f>
        <v/>
      </c>
      <c r="BN14" t="str">
        <f>IF(AND('01_Estado_Actual'!$L$905="Para Programar",'01_Estado_Actual'!$G$905&gt;0),"08 Prueba hidráulica - Primera prueba oficial","")</f>
        <v/>
      </c>
      <c r="BO14" t="str">
        <f>IF(AND('01_Estado_Actual'!$L$929="Para Programar",'01_Estado_Actual'!$G$929&gt;0),"08 Prueba hidráulica - Primera prueba oficial","")</f>
        <v/>
      </c>
      <c r="BP14" t="str">
        <f>IF(AND('01_Estado_Actual'!$L$953="Para Programar",'01_Estado_Actual'!$G$953&gt;0),"08 Prueba hidráulica - Primera prueba oficial","")</f>
        <v/>
      </c>
      <c r="BQ14" t="str">
        <f>IF(AND('01_Estado_Actual'!$L$977="Para Programar",'01_Estado_Actual'!$G$977&gt;0),"08 Prueba hidráulica - Primera prueba oficial","")</f>
        <v/>
      </c>
      <c r="BR14" t="str">
        <f>IF(AND('01_Estado_Actual'!$L$1001="Para Programar",'01_Estado_Actual'!$G$1001&gt;0),"08 Prueba hidráulica - Primera prueba oficial","")</f>
        <v/>
      </c>
      <c r="BS14" t="str">
        <f>IF(AND('01_Estado_Actual'!$L$1025="Para Programar",'01_Estado_Actual'!$G$1025&gt;0),"08 Prueba hidráulica - Primera prueba oficial","")</f>
        <v/>
      </c>
      <c r="BT14" t="str">
        <f>IF(AND('01_Estado_Actual'!$L$1049="Para Programar",'01_Estado_Actual'!$G$1049&gt;0),"08 Prueba hidráulica - Primera prueba oficial","")</f>
        <v/>
      </c>
      <c r="BU14" t="str">
        <f>IF(AND('01_Estado_Actual'!$L$1073="Para Programar",'01_Estado_Actual'!$G$1073&gt;0),"08 Prueba hidráulica - Primera prueba oficial","")</f>
        <v/>
      </c>
      <c r="BV14" t="str">
        <f>IF(AND('01_Estado_Actual'!$L$1097="Para Programar",'01_Estado_Actual'!$G$1097&gt;0),"08 Prueba hidráulica - Primera prueba oficial","")</f>
        <v/>
      </c>
      <c r="BW14" t="str">
        <f>IF(AND('01_Estado_Actual'!$L$1121="Para Programar",'01_Estado_Actual'!$G$1121&gt;0),"08 Prueba hidráulica - Primera prueba oficial","")</f>
        <v/>
      </c>
      <c r="BX14" t="str">
        <f>IF(AND('01_Estado_Actual'!$L$1145="Para Programar",'01_Estado_Actual'!$G$1145&gt;0),"08 Prueba hidráulica - Primera prueba oficial","")</f>
        <v/>
      </c>
      <c r="BY14" t="str">
        <f>IF(AND('01_Estado_Actual'!$L$1169="Para Programar",'01_Estado_Actual'!$G$1169&gt;0),"08 Prueba hidráulica - Primera prueba oficial","")</f>
        <v/>
      </c>
      <c r="BZ14" t="str">
        <f>IF(AND('01_Estado_Actual'!$L$1193="Para Programar",'01_Estado_Actual'!$G$1193&gt;0),"08 Prueba hidráulica - Primera prueba oficial","")</f>
        <v/>
      </c>
    </row>
    <row r="15" spans="1:78">
      <c r="A15" t="str">
        <f>IF(OR(B15="",C15=""),"","PLAN-"&amp;11)</f>
        <v/>
      </c>
      <c r="D15" t="str">
        <f>IF(OR(B15="",C15=""),"",IF(C15="06 Servicios - Colocación de vaina / caño camisa","u",IF(C15="07 Hidrante - Ejecución completa","%",IFERROR(_xludf.XLOOKUP(B15&amp;"|"&amp;C15,'07_Base_Tecnica'!$AK$2:$AK$1201,'07_Base_Tecnica'!$AL$2:$AL$1201,""),""))))</f>
        <v/>
      </c>
      <c r="E15" t="str">
        <f>IF(OR(B15="",C15=""),"",IF(C15="06 Servicios - Colocación de vaina / caño camisa",MAX(0,IFERROR(_xludf.XLOOKUP(B15,'07_Base_Tecnica'!$K$5:$K$54,'07_Base_Tecnica'!$Q$5:$Q$54,0),0)-MAX(SUMIFS('05_Parte_Diario'!$H$5:$H$204,'05_Parte_Diario'!$D$5:$D$204,B15,'05_Parte_Diario'!$E$5:$E$204,"06 Servicios - Colocación de vaina / caño camisa"),COUNTIFS('06_Control_Semanal'!$B$283:$B$533,B15,'06_Control_Semanal'!$D$283:$D$533,"Colocada"))),IF(C15="07 Hidrante - Ejecución completa",MAX(0,100-SUMIFS('06_Control_Semanal'!$D$203:$D$222,'06_Control_Semanal'!$C$203:$C$222,B15)),IFERROR(_xludf.XLOOKUP(B15&amp;"|"&amp;C15,'02_Para_Programar'!$N$5:$N$304,'02_Para_Programar'!$F$5:$F$304,0),0))))</f>
        <v/>
      </c>
      <c r="G15" t="str">
        <f t="shared" si="0"/>
        <v/>
      </c>
      <c r="H15" s="5"/>
      <c r="I15" s="5"/>
      <c r="O15" t="str">
        <f>IF(OR(B15="",C15=""),"",IF(C15="07 Hidrante - Ejecución completa",IF(COUNTIF('06_Control_Semanal'!$C$203:$C$222,B15)&gt;1,"ALERTA: &gt;1 HIDRANTE",IF(E15&gt;0,"OK","SIN SALDO / NO PROGRAMAR")),IF(E15&gt;0,"OK","SIN SALDO / NO PROGRAMAR")))</f>
        <v/>
      </c>
      <c r="P15" t="str">
        <f t="shared" si="1"/>
        <v/>
      </c>
      <c r="Q15" t="str">
        <f>IF(B15="","",IFERROR(_xludf.XLOOKUP(B15,'07_Base_Tecnica'!$K$5:$K$54,'07_Base_Tecnica'!$W$5:$W$54,""),""))</f>
        <v/>
      </c>
      <c r="R15" t="str">
        <f>IF(B15="","",IFERROR(_xludf.XLOOKUP(B15,'07_Base_Tecnica'!$K$5:$K$54,'07_Base_Tecnica'!$X$5:$X$54,""),""))</f>
        <v/>
      </c>
      <c r="AA15" t="s">
        <v>143</v>
      </c>
      <c r="AC15" t="str">
        <f>IF(AND('01_Estado_Actual'!$L$18="Para Programar",'01_Estado_Actual'!$G$18&gt;0),"09 Paquete estructural - Aporte e=0,30 m","")</f>
        <v/>
      </c>
      <c r="AD15" t="str">
        <f>IF(AND('01_Estado_Actual'!$L$42="Para Programar",'01_Estado_Actual'!$G$42&gt;0),"09 Paquete estructural - Aporte e=0,30 m","")</f>
        <v/>
      </c>
      <c r="AE15" t="str">
        <f>IF(AND('01_Estado_Actual'!$L$66="Para Programar",'01_Estado_Actual'!$G$66&gt;0),"09 Paquete estructural - Aporte e=0,30 m","")</f>
        <v/>
      </c>
      <c r="AF15" t="str">
        <f>IF(AND('01_Estado_Actual'!$L$90="Para Programar",'01_Estado_Actual'!$G$90&gt;0),"09 Paquete estructural - Aporte e=0,30 m","")</f>
        <v/>
      </c>
      <c r="AG15" t="str">
        <f>IF(AND('01_Estado_Actual'!$L$114="Para Programar",'01_Estado_Actual'!$G$114&gt;0),"09 Paquete estructural - Aporte e=0,30 m","")</f>
        <v/>
      </c>
      <c r="AH15" t="str">
        <f>IF(AND('01_Estado_Actual'!$L$138="Para Programar",'01_Estado_Actual'!$G$138&gt;0),"09 Paquete estructural - Aporte e=0,30 m","")</f>
        <v/>
      </c>
      <c r="AI15" t="str">
        <f>IF(AND('01_Estado_Actual'!$L$162="Para Programar",'01_Estado_Actual'!$G$162&gt;0),"09 Paquete estructural - Aporte e=0,30 m","")</f>
        <v/>
      </c>
      <c r="AJ15" t="str">
        <f>IF(AND('01_Estado_Actual'!$L$186="Para Programar",'01_Estado_Actual'!$G$186&gt;0),"09 Paquete estructural - Aporte e=0,30 m","")</f>
        <v/>
      </c>
      <c r="AK15" t="str">
        <f>IF(AND('01_Estado_Actual'!$L$210="Para Programar",'01_Estado_Actual'!$G$210&gt;0),"09 Paquete estructural - Aporte e=0,30 m","")</f>
        <v>09 Paquete estructural - Aporte e=0,30 m</v>
      </c>
      <c r="AL15" t="str">
        <f>IF(AND('01_Estado_Actual'!$L$234="Para Programar",'01_Estado_Actual'!$G$234&gt;0),"09 Paquete estructural - Aporte e=0,30 m","")</f>
        <v/>
      </c>
      <c r="AM15" t="str">
        <f>IF(AND('01_Estado_Actual'!$L$258="Para Programar",'01_Estado_Actual'!$G$258&gt;0),"09 Paquete estructural - Aporte e=0,30 m","")</f>
        <v/>
      </c>
      <c r="AN15" t="str">
        <f>IF(AND('01_Estado_Actual'!$L$282="Para Programar",'01_Estado_Actual'!$G$282&gt;0),"09 Paquete estructural - Aporte e=0,30 m","")</f>
        <v/>
      </c>
      <c r="AO15" t="str">
        <f>IF(AND('01_Estado_Actual'!$L$306="Para Programar",'01_Estado_Actual'!$G$306&gt;0),"09 Paquete estructural - Aporte e=0,30 m","")</f>
        <v/>
      </c>
      <c r="AP15" t="str">
        <f>IF(AND('01_Estado_Actual'!$L$330="Para Programar",'01_Estado_Actual'!$G$330&gt;0),"09 Paquete estructural - Aporte e=0,30 m","")</f>
        <v>09 Paquete estructural - Aporte e=0,30 m</v>
      </c>
      <c r="AQ15" t="str">
        <f>IF(AND('01_Estado_Actual'!$L$354="Para Programar",'01_Estado_Actual'!$G$354&gt;0),"09 Paquete estructural - Aporte e=0,30 m","")</f>
        <v>09 Paquete estructural - Aporte e=0,30 m</v>
      </c>
      <c r="AR15" t="str">
        <f>IF(AND('01_Estado_Actual'!$L$378="Para Programar",'01_Estado_Actual'!$G$378&gt;0),"09 Paquete estructural - Aporte e=0,30 m","")</f>
        <v>09 Paquete estructural - Aporte e=0,30 m</v>
      </c>
      <c r="AS15" t="str">
        <f>IF(AND('01_Estado_Actual'!$L$402="Para Programar",'01_Estado_Actual'!$G$402&gt;0),"09 Paquete estructural - Aporte e=0,30 m","")</f>
        <v>09 Paquete estructural - Aporte e=0,30 m</v>
      </c>
      <c r="AT15" t="str">
        <f>IF(AND('01_Estado_Actual'!$L$426="Para Programar",'01_Estado_Actual'!$G$426&gt;0),"09 Paquete estructural - Aporte e=0,30 m","")</f>
        <v/>
      </c>
      <c r="AU15" t="str">
        <f>IF(AND('01_Estado_Actual'!$L$450="Para Programar",'01_Estado_Actual'!$G$450&gt;0),"09 Paquete estructural - Aporte e=0,30 m","")</f>
        <v/>
      </c>
      <c r="AV15" t="str">
        <f>IF(AND('01_Estado_Actual'!$L$474="Para Programar",'01_Estado_Actual'!$G$474&gt;0),"09 Paquete estructural - Aporte e=0,30 m","")</f>
        <v/>
      </c>
      <c r="AW15" t="str">
        <f>IF(AND('01_Estado_Actual'!$L$498="Para Programar",'01_Estado_Actual'!$G$498&gt;0),"09 Paquete estructural - Aporte e=0,30 m","")</f>
        <v/>
      </c>
      <c r="AX15" t="str">
        <f>IF(AND('01_Estado_Actual'!$L$522="Para Programar",'01_Estado_Actual'!$G$522&gt;0),"09 Paquete estructural - Aporte e=0,30 m","")</f>
        <v/>
      </c>
      <c r="AY15" t="str">
        <f>IF(AND('01_Estado_Actual'!$L$546="Para Programar",'01_Estado_Actual'!$G$546&gt;0),"09 Paquete estructural - Aporte e=0,30 m","")</f>
        <v/>
      </c>
      <c r="AZ15" t="str">
        <f>IF(AND('01_Estado_Actual'!$L$570="Para Programar",'01_Estado_Actual'!$G$570&gt;0),"09 Paquete estructural - Aporte e=0,30 m","")</f>
        <v/>
      </c>
      <c r="BA15" t="str">
        <f>IF(AND('01_Estado_Actual'!$L$594="Para Programar",'01_Estado_Actual'!$G$594&gt;0),"09 Paquete estructural - Aporte e=0,30 m","")</f>
        <v/>
      </c>
      <c r="BB15" t="str">
        <f>IF(AND('01_Estado_Actual'!$L$618="Para Programar",'01_Estado_Actual'!$G$618&gt;0),"09 Paquete estructural - Aporte e=0,30 m","")</f>
        <v/>
      </c>
      <c r="BC15" t="str">
        <f>IF(AND('01_Estado_Actual'!$L$642="Para Programar",'01_Estado_Actual'!$G$642&gt;0),"09 Paquete estructural - Aporte e=0,30 m","")</f>
        <v/>
      </c>
      <c r="BD15" t="str">
        <f>IF(AND('01_Estado_Actual'!$L$666="Para Programar",'01_Estado_Actual'!$G$666&gt;0),"09 Paquete estructural - Aporte e=0,30 m","")</f>
        <v/>
      </c>
      <c r="BE15" t="str">
        <f>IF(AND('01_Estado_Actual'!$L$690="Para Programar",'01_Estado_Actual'!$G$690&gt;0),"09 Paquete estructural - Aporte e=0,30 m","")</f>
        <v/>
      </c>
      <c r="BF15" t="str">
        <f>IF(AND('01_Estado_Actual'!$L$714="Para Programar",'01_Estado_Actual'!$G$714&gt;0),"09 Paquete estructural - Aporte e=0,30 m","")</f>
        <v>09 Paquete estructural - Aporte e=0,30 m</v>
      </c>
      <c r="BG15" t="str">
        <f>IF(AND('01_Estado_Actual'!$L$738="Para Programar",'01_Estado_Actual'!$G$738&gt;0),"09 Paquete estructural - Aporte e=0,30 m","")</f>
        <v>09 Paquete estructural - Aporte e=0,30 m</v>
      </c>
      <c r="BH15" t="str">
        <f>IF(AND('01_Estado_Actual'!$L$762="Para Programar",'01_Estado_Actual'!$G$762&gt;0),"09 Paquete estructural - Aporte e=0,30 m","")</f>
        <v/>
      </c>
      <c r="BI15" t="str">
        <f>IF(AND('01_Estado_Actual'!$L$786="Para Programar",'01_Estado_Actual'!$G$786&gt;0),"09 Paquete estructural - Aporte e=0,30 m","")</f>
        <v/>
      </c>
      <c r="BJ15" t="str">
        <f>IF(AND('01_Estado_Actual'!$L$810="Para Programar",'01_Estado_Actual'!$G$810&gt;0),"09 Paquete estructural - Aporte e=0,30 m","")</f>
        <v/>
      </c>
      <c r="BK15" t="str">
        <f>IF(AND('01_Estado_Actual'!$L$834="Para Programar",'01_Estado_Actual'!$G$834&gt;0),"09 Paquete estructural - Aporte e=0,30 m","")</f>
        <v/>
      </c>
      <c r="BL15" t="str">
        <f>IF(AND('01_Estado_Actual'!$L$858="Para Programar",'01_Estado_Actual'!$G$858&gt;0),"09 Paquete estructural - Aporte e=0,30 m","")</f>
        <v/>
      </c>
      <c r="BM15" t="str">
        <f>IF(AND('01_Estado_Actual'!$L$882="Para Programar",'01_Estado_Actual'!$G$882&gt;0),"09 Paquete estructural - Aporte e=0,30 m","")</f>
        <v/>
      </c>
      <c r="BN15" t="str">
        <f>IF(AND('01_Estado_Actual'!$L$906="Para Programar",'01_Estado_Actual'!$G$906&gt;0),"09 Paquete estructural - Aporte e=0,30 m","")</f>
        <v/>
      </c>
      <c r="BO15" t="str">
        <f>IF(AND('01_Estado_Actual'!$L$930="Para Programar",'01_Estado_Actual'!$G$930&gt;0),"09 Paquete estructural - Aporte e=0,30 m","")</f>
        <v/>
      </c>
      <c r="BP15" t="str">
        <f>IF(AND('01_Estado_Actual'!$L$954="Para Programar",'01_Estado_Actual'!$G$954&gt;0),"09 Paquete estructural - Aporte e=0,30 m","")</f>
        <v/>
      </c>
      <c r="BQ15" t="str">
        <f>IF(AND('01_Estado_Actual'!$L$978="Para Programar",'01_Estado_Actual'!$G$978&gt;0),"09 Paquete estructural - Aporte e=0,30 m","")</f>
        <v/>
      </c>
      <c r="BR15" t="str">
        <f>IF(AND('01_Estado_Actual'!$L$1002="Para Programar",'01_Estado_Actual'!$G$1002&gt;0),"09 Paquete estructural - Aporte e=0,30 m","")</f>
        <v/>
      </c>
      <c r="BS15" t="str">
        <f>IF(AND('01_Estado_Actual'!$L$1026="Para Programar",'01_Estado_Actual'!$G$1026&gt;0),"09 Paquete estructural - Aporte e=0,30 m","")</f>
        <v/>
      </c>
      <c r="BT15" t="str">
        <f>IF(AND('01_Estado_Actual'!$L$1050="Para Programar",'01_Estado_Actual'!$G$1050&gt;0),"09 Paquete estructural - Aporte e=0,30 m","")</f>
        <v/>
      </c>
      <c r="BU15" t="str">
        <f>IF(AND('01_Estado_Actual'!$L$1074="Para Programar",'01_Estado_Actual'!$G$1074&gt;0),"09 Paquete estructural - Aporte e=0,30 m","")</f>
        <v/>
      </c>
      <c r="BV15" t="str">
        <f>IF(AND('01_Estado_Actual'!$L$1098="Para Programar",'01_Estado_Actual'!$G$1098&gt;0),"09 Paquete estructural - Aporte e=0,30 m","")</f>
        <v/>
      </c>
      <c r="BW15" t="str">
        <f>IF(AND('01_Estado_Actual'!$L$1122="Para Programar",'01_Estado_Actual'!$G$1122&gt;0),"09 Paquete estructural - Aporte e=0,30 m","")</f>
        <v/>
      </c>
      <c r="BX15" t="str">
        <f>IF(AND('01_Estado_Actual'!$L$1146="Para Programar",'01_Estado_Actual'!$G$1146&gt;0),"09 Paquete estructural - Aporte e=0,30 m","")</f>
        <v/>
      </c>
      <c r="BY15" t="str">
        <f>IF(AND('01_Estado_Actual'!$L$1170="Para Programar",'01_Estado_Actual'!$G$1170&gt;0),"09 Paquete estructural - Aporte e=0,30 m","")</f>
        <v/>
      </c>
      <c r="BZ15" t="str">
        <f>IF(AND('01_Estado_Actual'!$L$1194="Para Programar",'01_Estado_Actual'!$G$1194&gt;0),"09 Paquete estructural - Aporte e=0,30 m","")</f>
        <v/>
      </c>
    </row>
    <row r="16" spans="1:78">
      <c r="A16" t="str">
        <f>IF(OR(B16="",C16=""),"","PLAN-"&amp;12)</f>
        <v/>
      </c>
      <c r="D16" t="str">
        <f>IF(OR(B16="",C16=""),"",IF(C16="06 Servicios - Colocación de vaina / caño camisa","u",IF(C16="07 Hidrante - Ejecución completa","%",IFERROR(_xludf.XLOOKUP(B16&amp;"|"&amp;C16,'07_Base_Tecnica'!$AK$2:$AK$1201,'07_Base_Tecnica'!$AL$2:$AL$1201,""),""))))</f>
        <v/>
      </c>
      <c r="E16" t="str">
        <f>IF(OR(B16="",C16=""),"",IF(C16="06 Servicios - Colocación de vaina / caño camisa",MAX(0,IFERROR(_xludf.XLOOKUP(B16,'07_Base_Tecnica'!$K$5:$K$54,'07_Base_Tecnica'!$Q$5:$Q$54,0),0)-MAX(SUMIFS('05_Parte_Diario'!$H$5:$H$204,'05_Parte_Diario'!$D$5:$D$204,B16,'05_Parte_Diario'!$E$5:$E$204,"06 Servicios - Colocación de vaina / caño camisa"),COUNTIFS('06_Control_Semanal'!$B$283:$B$533,B16,'06_Control_Semanal'!$D$283:$D$533,"Colocada"))),IF(C16="07 Hidrante - Ejecución completa",MAX(0,100-SUMIFS('06_Control_Semanal'!$D$203:$D$222,'06_Control_Semanal'!$C$203:$C$222,B16)),IFERROR(_xludf.XLOOKUP(B16&amp;"|"&amp;C16,'02_Para_Programar'!$N$5:$N$304,'02_Para_Programar'!$F$5:$F$304,0),0))))</f>
        <v/>
      </c>
      <c r="G16" t="str">
        <f t="shared" si="0"/>
        <v/>
      </c>
      <c r="H16" s="5"/>
      <c r="I16" s="5"/>
      <c r="O16" t="str">
        <f>IF(OR(B16="",C16=""),"",IF(C16="07 Hidrante - Ejecución completa",IF(COUNTIF('06_Control_Semanal'!$C$203:$C$222,B16)&gt;1,"ALERTA: &gt;1 HIDRANTE",IF(E16&gt;0,"OK","SIN SALDO / NO PROGRAMAR")),IF(E16&gt;0,"OK","SIN SALDO / NO PROGRAMAR")))</f>
        <v/>
      </c>
      <c r="P16" t="str">
        <f t="shared" si="1"/>
        <v/>
      </c>
      <c r="Q16" t="str">
        <f>IF(B16="","",IFERROR(_xludf.XLOOKUP(B16,'07_Base_Tecnica'!$K$5:$K$54,'07_Base_Tecnica'!$W$5:$W$54,""),""))</f>
        <v/>
      </c>
      <c r="R16" t="str">
        <f>IF(B16="","",IFERROR(_xludf.XLOOKUP(B16,'07_Base_Tecnica'!$K$5:$K$54,'07_Base_Tecnica'!$X$5:$X$54,""),""))</f>
        <v/>
      </c>
      <c r="AA16" t="s">
        <v>144</v>
      </c>
      <c r="AC16" t="str">
        <f>IF(AND('01_Estado_Actual'!$L$19="Para Programar",'01_Estado_Actual'!$G$19&gt;0),"09 Paquete estructural - Compactación","")</f>
        <v/>
      </c>
      <c r="AD16" t="str">
        <f>IF(AND('01_Estado_Actual'!$L$43="Para Programar",'01_Estado_Actual'!$G$43&gt;0),"09 Paquete estructural - Compactación","")</f>
        <v/>
      </c>
      <c r="AE16" t="str">
        <f>IF(AND('01_Estado_Actual'!$L$67="Para Programar",'01_Estado_Actual'!$G$67&gt;0),"09 Paquete estructural - Compactación","")</f>
        <v/>
      </c>
      <c r="AF16" t="str">
        <f>IF(AND('01_Estado_Actual'!$L$91="Para Programar",'01_Estado_Actual'!$G$91&gt;0),"09 Paquete estructural - Compactación","")</f>
        <v/>
      </c>
      <c r="AG16" t="str">
        <f>IF(AND('01_Estado_Actual'!$L$115="Para Programar",'01_Estado_Actual'!$G$115&gt;0),"09 Paquete estructural - Compactación","")</f>
        <v/>
      </c>
      <c r="AH16" t="str">
        <f>IF(AND('01_Estado_Actual'!$L$139="Para Programar",'01_Estado_Actual'!$G$139&gt;0),"09 Paquete estructural - Compactación","")</f>
        <v/>
      </c>
      <c r="AI16" t="str">
        <f>IF(AND('01_Estado_Actual'!$L$163="Para Programar",'01_Estado_Actual'!$G$163&gt;0),"09 Paquete estructural - Compactación","")</f>
        <v/>
      </c>
      <c r="AJ16" t="str">
        <f>IF(AND('01_Estado_Actual'!$L$187="Para Programar",'01_Estado_Actual'!$G$187&gt;0),"09 Paquete estructural - Compactación","")</f>
        <v/>
      </c>
      <c r="AK16" t="str">
        <f>IF(AND('01_Estado_Actual'!$L$211="Para Programar",'01_Estado_Actual'!$G$211&gt;0),"09 Paquete estructural - Compactación","")</f>
        <v>09 Paquete estructural - Compactación</v>
      </c>
      <c r="AL16" t="str">
        <f>IF(AND('01_Estado_Actual'!$L$235="Para Programar",'01_Estado_Actual'!$G$235&gt;0),"09 Paquete estructural - Compactación","")</f>
        <v/>
      </c>
      <c r="AM16" t="str">
        <f>IF(AND('01_Estado_Actual'!$L$259="Para Programar",'01_Estado_Actual'!$G$259&gt;0),"09 Paquete estructural - Compactación","")</f>
        <v/>
      </c>
      <c r="AN16" t="str">
        <f>IF(AND('01_Estado_Actual'!$L$283="Para Programar",'01_Estado_Actual'!$G$283&gt;0),"09 Paquete estructural - Compactación","")</f>
        <v/>
      </c>
      <c r="AO16" t="str">
        <f>IF(AND('01_Estado_Actual'!$L$307="Para Programar",'01_Estado_Actual'!$G$307&gt;0),"09 Paquete estructural - Compactación","")</f>
        <v/>
      </c>
      <c r="AP16" t="str">
        <f>IF(AND('01_Estado_Actual'!$L$331="Para Programar",'01_Estado_Actual'!$G$331&gt;0),"09 Paquete estructural - Compactación","")</f>
        <v>09 Paquete estructural - Compactación</v>
      </c>
      <c r="AQ16" t="str">
        <f>IF(AND('01_Estado_Actual'!$L$355="Para Programar",'01_Estado_Actual'!$G$355&gt;0),"09 Paquete estructural - Compactación","")</f>
        <v>09 Paquete estructural - Compactación</v>
      </c>
      <c r="AR16" t="str">
        <f>IF(AND('01_Estado_Actual'!$L$379="Para Programar",'01_Estado_Actual'!$G$379&gt;0),"09 Paquete estructural - Compactación","")</f>
        <v>09 Paquete estructural - Compactación</v>
      </c>
      <c r="AS16" t="str">
        <f>IF(AND('01_Estado_Actual'!$L$403="Para Programar",'01_Estado_Actual'!$G$403&gt;0),"09 Paquete estructural - Compactación","")</f>
        <v>09 Paquete estructural - Compactación</v>
      </c>
      <c r="AT16" t="str">
        <f>IF(AND('01_Estado_Actual'!$L$427="Para Programar",'01_Estado_Actual'!$G$427&gt;0),"09 Paquete estructural - Compactación","")</f>
        <v/>
      </c>
      <c r="AU16" t="str">
        <f>IF(AND('01_Estado_Actual'!$L$451="Para Programar",'01_Estado_Actual'!$G$451&gt;0),"09 Paquete estructural - Compactación","")</f>
        <v/>
      </c>
      <c r="AV16" t="str">
        <f>IF(AND('01_Estado_Actual'!$L$475="Para Programar",'01_Estado_Actual'!$G$475&gt;0),"09 Paquete estructural - Compactación","")</f>
        <v/>
      </c>
      <c r="AW16" t="str">
        <f>IF(AND('01_Estado_Actual'!$L$499="Para Programar",'01_Estado_Actual'!$G$499&gt;0),"09 Paquete estructural - Compactación","")</f>
        <v/>
      </c>
      <c r="AX16" t="str">
        <f>IF(AND('01_Estado_Actual'!$L$523="Para Programar",'01_Estado_Actual'!$G$523&gt;0),"09 Paquete estructural - Compactación","")</f>
        <v/>
      </c>
      <c r="AY16" t="str">
        <f>IF(AND('01_Estado_Actual'!$L$547="Para Programar",'01_Estado_Actual'!$G$547&gt;0),"09 Paquete estructural - Compactación","")</f>
        <v/>
      </c>
      <c r="AZ16" t="str">
        <f>IF(AND('01_Estado_Actual'!$L$571="Para Programar",'01_Estado_Actual'!$G$571&gt;0),"09 Paquete estructural - Compactación","")</f>
        <v/>
      </c>
      <c r="BA16" t="str">
        <f>IF(AND('01_Estado_Actual'!$L$595="Para Programar",'01_Estado_Actual'!$G$595&gt;0),"09 Paquete estructural - Compactación","")</f>
        <v/>
      </c>
      <c r="BB16" t="str">
        <f>IF(AND('01_Estado_Actual'!$L$619="Para Programar",'01_Estado_Actual'!$G$619&gt;0),"09 Paquete estructural - Compactación","")</f>
        <v/>
      </c>
      <c r="BC16" t="str">
        <f>IF(AND('01_Estado_Actual'!$L$643="Para Programar",'01_Estado_Actual'!$G$643&gt;0),"09 Paquete estructural - Compactación","")</f>
        <v/>
      </c>
      <c r="BD16" t="str">
        <f>IF(AND('01_Estado_Actual'!$L$667="Para Programar",'01_Estado_Actual'!$G$667&gt;0),"09 Paquete estructural - Compactación","")</f>
        <v/>
      </c>
      <c r="BE16" t="str">
        <f>IF(AND('01_Estado_Actual'!$L$691="Para Programar",'01_Estado_Actual'!$G$691&gt;0),"09 Paquete estructural - Compactación","")</f>
        <v/>
      </c>
      <c r="BF16" t="str">
        <f>IF(AND('01_Estado_Actual'!$L$715="Para Programar",'01_Estado_Actual'!$G$715&gt;0),"09 Paquete estructural - Compactación","")</f>
        <v>09 Paquete estructural - Compactación</v>
      </c>
      <c r="BG16" t="str">
        <f>IF(AND('01_Estado_Actual'!$L$739="Para Programar",'01_Estado_Actual'!$G$739&gt;0),"09 Paquete estructural - Compactación","")</f>
        <v>09 Paquete estructural - Compactación</v>
      </c>
      <c r="BH16" t="str">
        <f>IF(AND('01_Estado_Actual'!$L$763="Para Programar",'01_Estado_Actual'!$G$763&gt;0),"09 Paquete estructural - Compactación","")</f>
        <v/>
      </c>
      <c r="BI16" t="str">
        <f>IF(AND('01_Estado_Actual'!$L$787="Para Programar",'01_Estado_Actual'!$G$787&gt;0),"09 Paquete estructural - Compactación","")</f>
        <v/>
      </c>
      <c r="BJ16" t="str">
        <f>IF(AND('01_Estado_Actual'!$L$811="Para Programar",'01_Estado_Actual'!$G$811&gt;0),"09 Paquete estructural - Compactación","")</f>
        <v/>
      </c>
      <c r="BK16" t="str">
        <f>IF(AND('01_Estado_Actual'!$L$835="Para Programar",'01_Estado_Actual'!$G$835&gt;0),"09 Paquete estructural - Compactación","")</f>
        <v/>
      </c>
      <c r="BL16" t="str">
        <f>IF(AND('01_Estado_Actual'!$L$859="Para Programar",'01_Estado_Actual'!$G$859&gt;0),"09 Paquete estructural - Compactación","")</f>
        <v/>
      </c>
      <c r="BM16" t="str">
        <f>IF(AND('01_Estado_Actual'!$L$883="Para Programar",'01_Estado_Actual'!$G$883&gt;0),"09 Paquete estructural - Compactación","")</f>
        <v/>
      </c>
      <c r="BN16" t="str">
        <f>IF(AND('01_Estado_Actual'!$L$907="Para Programar",'01_Estado_Actual'!$G$907&gt;0),"09 Paquete estructural - Compactación","")</f>
        <v/>
      </c>
      <c r="BO16" t="str">
        <f>IF(AND('01_Estado_Actual'!$L$931="Para Programar",'01_Estado_Actual'!$G$931&gt;0),"09 Paquete estructural - Compactación","")</f>
        <v/>
      </c>
      <c r="BP16" t="str">
        <f>IF(AND('01_Estado_Actual'!$L$955="Para Programar",'01_Estado_Actual'!$G$955&gt;0),"09 Paquete estructural - Compactación","")</f>
        <v/>
      </c>
      <c r="BQ16" t="str">
        <f>IF(AND('01_Estado_Actual'!$L$979="Para Programar",'01_Estado_Actual'!$G$979&gt;0),"09 Paquete estructural - Compactación","")</f>
        <v/>
      </c>
      <c r="BR16" t="str">
        <f>IF(AND('01_Estado_Actual'!$L$1003="Para Programar",'01_Estado_Actual'!$G$1003&gt;0),"09 Paquete estructural - Compactación","")</f>
        <v/>
      </c>
      <c r="BS16" t="str">
        <f>IF(AND('01_Estado_Actual'!$L$1027="Para Programar",'01_Estado_Actual'!$G$1027&gt;0),"09 Paquete estructural - Compactación","")</f>
        <v/>
      </c>
      <c r="BT16" t="str">
        <f>IF(AND('01_Estado_Actual'!$L$1051="Para Programar",'01_Estado_Actual'!$G$1051&gt;0),"09 Paquete estructural - Compactación","")</f>
        <v/>
      </c>
      <c r="BU16" t="str">
        <f>IF(AND('01_Estado_Actual'!$L$1075="Para Programar",'01_Estado_Actual'!$G$1075&gt;0),"09 Paquete estructural - Compactación","")</f>
        <v/>
      </c>
      <c r="BV16" t="str">
        <f>IF(AND('01_Estado_Actual'!$L$1099="Para Programar",'01_Estado_Actual'!$G$1099&gt;0),"09 Paquete estructural - Compactación","")</f>
        <v/>
      </c>
      <c r="BW16" t="str">
        <f>IF(AND('01_Estado_Actual'!$L$1123="Para Programar",'01_Estado_Actual'!$G$1123&gt;0),"09 Paquete estructural - Compactación","")</f>
        <v/>
      </c>
      <c r="BX16" t="str">
        <f>IF(AND('01_Estado_Actual'!$L$1147="Para Programar",'01_Estado_Actual'!$G$1147&gt;0),"09 Paquete estructural - Compactación","")</f>
        <v/>
      </c>
      <c r="BY16" t="str">
        <f>IF(AND('01_Estado_Actual'!$L$1171="Para Programar",'01_Estado_Actual'!$G$1171&gt;0),"09 Paquete estructural - Compactación","")</f>
        <v/>
      </c>
      <c r="BZ16" t="str">
        <f>IF(AND('01_Estado_Actual'!$L$1195="Para Programar",'01_Estado_Actual'!$G$1195&gt;0),"09 Paquete estructural - Compactación","")</f>
        <v/>
      </c>
    </row>
    <row r="17" spans="1:78">
      <c r="A17" t="str">
        <f>IF(OR(B17="",C17=""),"","PLAN-"&amp;13)</f>
        <v/>
      </c>
      <c r="D17" t="str">
        <f>IF(OR(B17="",C17=""),"",IF(C17="06 Servicios - Colocación de vaina / caño camisa","u",IF(C17="07 Hidrante - Ejecución completa","%",IFERROR(_xludf.XLOOKUP(B17&amp;"|"&amp;C17,'07_Base_Tecnica'!$AK$2:$AK$1201,'07_Base_Tecnica'!$AL$2:$AL$1201,""),""))))</f>
        <v/>
      </c>
      <c r="E17" t="str">
        <f>IF(OR(B17="",C17=""),"",IF(C17="06 Servicios - Colocación de vaina / caño camisa",MAX(0,IFERROR(_xludf.XLOOKUP(B17,'07_Base_Tecnica'!$K$5:$K$54,'07_Base_Tecnica'!$Q$5:$Q$54,0),0)-MAX(SUMIFS('05_Parte_Diario'!$H$5:$H$204,'05_Parte_Diario'!$D$5:$D$204,B17,'05_Parte_Diario'!$E$5:$E$204,"06 Servicios - Colocación de vaina / caño camisa"),COUNTIFS('06_Control_Semanal'!$B$283:$B$533,B17,'06_Control_Semanal'!$D$283:$D$533,"Colocada"))),IF(C17="07 Hidrante - Ejecución completa",MAX(0,100-SUMIFS('06_Control_Semanal'!$D$203:$D$222,'06_Control_Semanal'!$C$203:$C$222,B17)),IFERROR(_xludf.XLOOKUP(B17&amp;"|"&amp;C17,'02_Para_Programar'!$N$5:$N$304,'02_Para_Programar'!$F$5:$F$304,0),0))))</f>
        <v/>
      </c>
      <c r="G17" t="str">
        <f t="shared" si="0"/>
        <v/>
      </c>
      <c r="H17" s="5"/>
      <c r="I17" s="5"/>
      <c r="O17" t="str">
        <f>IF(OR(B17="",C17=""),"",IF(C17="07 Hidrante - Ejecución completa",IF(COUNTIF('06_Control_Semanal'!$C$203:$C$222,B17)&gt;1,"ALERTA: &gt;1 HIDRANTE",IF(E17&gt;0,"OK","SIN SALDO / NO PROGRAMAR")),IF(E17&gt;0,"OK","SIN SALDO / NO PROGRAMAR")))</f>
        <v/>
      </c>
      <c r="P17" t="str">
        <f t="shared" si="1"/>
        <v/>
      </c>
      <c r="Q17" t="str">
        <f>IF(B17="","",IFERROR(_xludf.XLOOKUP(B17,'07_Base_Tecnica'!$K$5:$K$54,'07_Base_Tecnica'!$W$5:$W$54,""),""))</f>
        <v/>
      </c>
      <c r="R17" t="str">
        <f>IF(B17="","",IFERROR(_xludf.XLOOKUP(B17,'07_Base_Tecnica'!$K$5:$K$54,'07_Base_Tecnica'!$X$5:$X$54,""),""))</f>
        <v/>
      </c>
      <c r="AA17" t="s">
        <v>146</v>
      </c>
      <c r="AC17" t="str">
        <f>IF(AND('01_Estado_Actual'!$L$20="Para Programar",'01_Estado_Actual'!$G$20&gt;0),"09 Paquete estructural - Inspección laboratorio","")</f>
        <v/>
      </c>
      <c r="AD17" t="str">
        <f>IF(AND('01_Estado_Actual'!$L$44="Para Programar",'01_Estado_Actual'!$G$44&gt;0),"09 Paquete estructural - Inspección laboratorio","")</f>
        <v/>
      </c>
      <c r="AE17" t="str">
        <f>IF(AND('01_Estado_Actual'!$L$68="Para Programar",'01_Estado_Actual'!$G$68&gt;0),"09 Paquete estructural - Inspección laboratorio","")</f>
        <v/>
      </c>
      <c r="AF17" t="str">
        <f>IF(AND('01_Estado_Actual'!$L$92="Para Programar",'01_Estado_Actual'!$G$92&gt;0),"09 Paquete estructural - Inspección laboratorio","")</f>
        <v/>
      </c>
      <c r="AG17" t="str">
        <f>IF(AND('01_Estado_Actual'!$L$116="Para Programar",'01_Estado_Actual'!$G$116&gt;0),"09 Paquete estructural - Inspección laboratorio","")</f>
        <v/>
      </c>
      <c r="AH17" t="str">
        <f>IF(AND('01_Estado_Actual'!$L$140="Para Programar",'01_Estado_Actual'!$G$140&gt;0),"09 Paquete estructural - Inspección laboratorio","")</f>
        <v/>
      </c>
      <c r="AI17" t="str">
        <f>IF(AND('01_Estado_Actual'!$L$164="Para Programar",'01_Estado_Actual'!$G$164&gt;0),"09 Paquete estructural - Inspección laboratorio","")</f>
        <v/>
      </c>
      <c r="AJ17" t="str">
        <f>IF(AND('01_Estado_Actual'!$L$188="Para Programar",'01_Estado_Actual'!$G$188&gt;0),"09 Paquete estructural - Inspección laboratorio","")</f>
        <v/>
      </c>
      <c r="AK17" t="str">
        <f>IF(AND('01_Estado_Actual'!$L$212="Para Programar",'01_Estado_Actual'!$G$212&gt;0),"09 Paquete estructural - Inspección laboratorio","")</f>
        <v>09 Paquete estructural - Inspección laboratorio</v>
      </c>
      <c r="AL17" t="str">
        <f>IF(AND('01_Estado_Actual'!$L$236="Para Programar",'01_Estado_Actual'!$G$236&gt;0),"09 Paquete estructural - Inspección laboratorio","")</f>
        <v/>
      </c>
      <c r="AM17" t="str">
        <f>IF(AND('01_Estado_Actual'!$L$260="Para Programar",'01_Estado_Actual'!$G$260&gt;0),"09 Paquete estructural - Inspección laboratorio","")</f>
        <v/>
      </c>
      <c r="AN17" t="str">
        <f>IF(AND('01_Estado_Actual'!$L$284="Para Programar",'01_Estado_Actual'!$G$284&gt;0),"09 Paquete estructural - Inspección laboratorio","")</f>
        <v/>
      </c>
      <c r="AO17" t="str">
        <f>IF(AND('01_Estado_Actual'!$L$308="Para Programar",'01_Estado_Actual'!$G$308&gt;0),"09 Paquete estructural - Inspección laboratorio","")</f>
        <v/>
      </c>
      <c r="AP17" t="str">
        <f>IF(AND('01_Estado_Actual'!$L$332="Para Programar",'01_Estado_Actual'!$G$332&gt;0),"09 Paquete estructural - Inspección laboratorio","")</f>
        <v>09 Paquete estructural - Inspección laboratorio</v>
      </c>
      <c r="AQ17" t="str">
        <f>IF(AND('01_Estado_Actual'!$L$356="Para Programar",'01_Estado_Actual'!$G$356&gt;0),"09 Paquete estructural - Inspección laboratorio","")</f>
        <v>09 Paquete estructural - Inspección laboratorio</v>
      </c>
      <c r="AR17" t="str">
        <f>IF(AND('01_Estado_Actual'!$L$380="Para Programar",'01_Estado_Actual'!$G$380&gt;0),"09 Paquete estructural - Inspección laboratorio","")</f>
        <v>09 Paquete estructural - Inspección laboratorio</v>
      </c>
      <c r="AS17" t="str">
        <f>IF(AND('01_Estado_Actual'!$L$404="Para Programar",'01_Estado_Actual'!$G$404&gt;0),"09 Paquete estructural - Inspección laboratorio","")</f>
        <v>09 Paquete estructural - Inspección laboratorio</v>
      </c>
      <c r="AT17" t="str">
        <f>IF(AND('01_Estado_Actual'!$L$428="Para Programar",'01_Estado_Actual'!$G$428&gt;0),"09 Paquete estructural - Inspección laboratorio","")</f>
        <v/>
      </c>
      <c r="AU17" t="str">
        <f>IF(AND('01_Estado_Actual'!$L$452="Para Programar",'01_Estado_Actual'!$G$452&gt;0),"09 Paquete estructural - Inspección laboratorio","")</f>
        <v/>
      </c>
      <c r="AV17" t="str">
        <f>IF(AND('01_Estado_Actual'!$L$476="Para Programar",'01_Estado_Actual'!$G$476&gt;0),"09 Paquete estructural - Inspección laboratorio","")</f>
        <v/>
      </c>
      <c r="AW17" t="str">
        <f>IF(AND('01_Estado_Actual'!$L$500="Para Programar",'01_Estado_Actual'!$G$500&gt;0),"09 Paquete estructural - Inspección laboratorio","")</f>
        <v/>
      </c>
      <c r="AX17" t="str">
        <f>IF(AND('01_Estado_Actual'!$L$524="Para Programar",'01_Estado_Actual'!$G$524&gt;0),"09 Paquete estructural - Inspección laboratorio","")</f>
        <v/>
      </c>
      <c r="AY17" t="str">
        <f>IF(AND('01_Estado_Actual'!$L$548="Para Programar",'01_Estado_Actual'!$G$548&gt;0),"09 Paquete estructural - Inspección laboratorio","")</f>
        <v/>
      </c>
      <c r="AZ17" t="str">
        <f>IF(AND('01_Estado_Actual'!$L$572="Para Programar",'01_Estado_Actual'!$G$572&gt;0),"09 Paquete estructural - Inspección laboratorio","")</f>
        <v/>
      </c>
      <c r="BA17" t="str">
        <f>IF(AND('01_Estado_Actual'!$L$596="Para Programar",'01_Estado_Actual'!$G$596&gt;0),"09 Paquete estructural - Inspección laboratorio","")</f>
        <v/>
      </c>
      <c r="BB17" t="str">
        <f>IF(AND('01_Estado_Actual'!$L$620="Para Programar",'01_Estado_Actual'!$G$620&gt;0),"09 Paquete estructural - Inspección laboratorio","")</f>
        <v/>
      </c>
      <c r="BC17" t="str">
        <f>IF(AND('01_Estado_Actual'!$L$644="Para Programar",'01_Estado_Actual'!$G$644&gt;0),"09 Paquete estructural - Inspección laboratorio","")</f>
        <v/>
      </c>
      <c r="BD17" t="str">
        <f>IF(AND('01_Estado_Actual'!$L$668="Para Programar",'01_Estado_Actual'!$G$668&gt;0),"09 Paquete estructural - Inspección laboratorio","")</f>
        <v/>
      </c>
      <c r="BE17" t="str">
        <f>IF(AND('01_Estado_Actual'!$L$692="Para Programar",'01_Estado_Actual'!$G$692&gt;0),"09 Paquete estructural - Inspección laboratorio","")</f>
        <v/>
      </c>
      <c r="BF17" t="str">
        <f>IF(AND('01_Estado_Actual'!$L$716="Para Programar",'01_Estado_Actual'!$G$716&gt;0),"09 Paquete estructural - Inspección laboratorio","")</f>
        <v>09 Paquete estructural - Inspección laboratorio</v>
      </c>
      <c r="BG17" t="str">
        <f>IF(AND('01_Estado_Actual'!$L$740="Para Programar",'01_Estado_Actual'!$G$740&gt;0),"09 Paquete estructural - Inspección laboratorio","")</f>
        <v>09 Paquete estructural - Inspección laboratorio</v>
      </c>
      <c r="BH17" t="str">
        <f>IF(AND('01_Estado_Actual'!$L$764="Para Programar",'01_Estado_Actual'!$G$764&gt;0),"09 Paquete estructural - Inspección laboratorio","")</f>
        <v/>
      </c>
      <c r="BI17" t="str">
        <f>IF(AND('01_Estado_Actual'!$L$788="Para Programar",'01_Estado_Actual'!$G$788&gt;0),"09 Paquete estructural - Inspección laboratorio","")</f>
        <v/>
      </c>
      <c r="BJ17" t="str">
        <f>IF(AND('01_Estado_Actual'!$L$812="Para Programar",'01_Estado_Actual'!$G$812&gt;0),"09 Paquete estructural - Inspección laboratorio","")</f>
        <v/>
      </c>
      <c r="BK17" t="str">
        <f>IF(AND('01_Estado_Actual'!$L$836="Para Programar",'01_Estado_Actual'!$G$836&gt;0),"09 Paquete estructural - Inspección laboratorio","")</f>
        <v/>
      </c>
      <c r="BL17" t="str">
        <f>IF(AND('01_Estado_Actual'!$L$860="Para Programar",'01_Estado_Actual'!$G$860&gt;0),"09 Paquete estructural - Inspección laboratorio","")</f>
        <v/>
      </c>
      <c r="BM17" t="str">
        <f>IF(AND('01_Estado_Actual'!$L$884="Para Programar",'01_Estado_Actual'!$G$884&gt;0),"09 Paquete estructural - Inspección laboratorio","")</f>
        <v/>
      </c>
      <c r="BN17" t="str">
        <f>IF(AND('01_Estado_Actual'!$L$908="Para Programar",'01_Estado_Actual'!$G$908&gt;0),"09 Paquete estructural - Inspección laboratorio","")</f>
        <v/>
      </c>
      <c r="BO17" t="str">
        <f>IF(AND('01_Estado_Actual'!$L$932="Para Programar",'01_Estado_Actual'!$G$932&gt;0),"09 Paquete estructural - Inspección laboratorio","")</f>
        <v/>
      </c>
      <c r="BP17" t="str">
        <f>IF(AND('01_Estado_Actual'!$L$956="Para Programar",'01_Estado_Actual'!$G$956&gt;0),"09 Paquete estructural - Inspección laboratorio","")</f>
        <v/>
      </c>
      <c r="BQ17" t="str">
        <f>IF(AND('01_Estado_Actual'!$L$980="Para Programar",'01_Estado_Actual'!$G$980&gt;0),"09 Paquete estructural - Inspección laboratorio","")</f>
        <v/>
      </c>
      <c r="BR17" t="str">
        <f>IF(AND('01_Estado_Actual'!$L$1004="Para Programar",'01_Estado_Actual'!$G$1004&gt;0),"09 Paquete estructural - Inspección laboratorio","")</f>
        <v/>
      </c>
      <c r="BS17" t="str">
        <f>IF(AND('01_Estado_Actual'!$L$1028="Para Programar",'01_Estado_Actual'!$G$1028&gt;0),"09 Paquete estructural - Inspección laboratorio","")</f>
        <v/>
      </c>
      <c r="BT17" t="str">
        <f>IF(AND('01_Estado_Actual'!$L$1052="Para Programar",'01_Estado_Actual'!$G$1052&gt;0),"09 Paquete estructural - Inspección laboratorio","")</f>
        <v/>
      </c>
      <c r="BU17" t="str">
        <f>IF(AND('01_Estado_Actual'!$L$1076="Para Programar",'01_Estado_Actual'!$G$1076&gt;0),"09 Paquete estructural - Inspección laboratorio","")</f>
        <v/>
      </c>
      <c r="BV17" t="str">
        <f>IF(AND('01_Estado_Actual'!$L$1100="Para Programar",'01_Estado_Actual'!$G$1100&gt;0),"09 Paquete estructural - Inspección laboratorio","")</f>
        <v/>
      </c>
      <c r="BW17" t="str">
        <f>IF(AND('01_Estado_Actual'!$L$1124="Para Programar",'01_Estado_Actual'!$G$1124&gt;0),"09 Paquete estructural - Inspección laboratorio","")</f>
        <v/>
      </c>
      <c r="BX17" t="str">
        <f>IF(AND('01_Estado_Actual'!$L$1148="Para Programar",'01_Estado_Actual'!$G$1148&gt;0),"09 Paquete estructural - Inspección laboratorio","")</f>
        <v/>
      </c>
      <c r="BY17" t="str">
        <f>IF(AND('01_Estado_Actual'!$L$1172="Para Programar",'01_Estado_Actual'!$G$1172&gt;0),"09 Paquete estructural - Inspección laboratorio","")</f>
        <v/>
      </c>
      <c r="BZ17" t="str">
        <f>IF(AND('01_Estado_Actual'!$L$1196="Para Programar",'01_Estado_Actual'!$G$1196&gt;0),"09 Paquete estructural - Inspección laboratorio","")</f>
        <v/>
      </c>
    </row>
    <row r="18" spans="1:78">
      <c r="A18" t="str">
        <f>IF(OR(B18="",C18=""),"","PLAN-"&amp;14)</f>
        <v/>
      </c>
      <c r="D18" t="str">
        <f>IF(OR(B18="",C18=""),"",IF(C18="06 Servicios - Colocación de vaina / caño camisa","u",IF(C18="07 Hidrante - Ejecución completa","%",IFERROR(_xludf.XLOOKUP(B18&amp;"|"&amp;C18,'07_Base_Tecnica'!$AK$2:$AK$1201,'07_Base_Tecnica'!$AL$2:$AL$1201,""),""))))</f>
        <v/>
      </c>
      <c r="E18" t="str">
        <f>IF(OR(B18="",C18=""),"",IF(C18="06 Servicios - Colocación de vaina / caño camisa",MAX(0,IFERROR(_xludf.XLOOKUP(B18,'07_Base_Tecnica'!$K$5:$K$54,'07_Base_Tecnica'!$Q$5:$Q$54,0),0)-MAX(SUMIFS('05_Parte_Diario'!$H$5:$H$204,'05_Parte_Diario'!$D$5:$D$204,B18,'05_Parte_Diario'!$E$5:$E$204,"06 Servicios - Colocación de vaina / caño camisa"),COUNTIFS('06_Control_Semanal'!$B$283:$B$533,B18,'06_Control_Semanal'!$D$283:$D$533,"Colocada"))),IF(C18="07 Hidrante - Ejecución completa",MAX(0,100-SUMIFS('06_Control_Semanal'!$D$203:$D$222,'06_Control_Semanal'!$C$203:$C$222,B18)),IFERROR(_xludf.XLOOKUP(B18&amp;"|"&amp;C18,'02_Para_Programar'!$N$5:$N$304,'02_Para_Programar'!$F$5:$F$304,0),0))))</f>
        <v/>
      </c>
      <c r="G18" t="str">
        <f t="shared" si="0"/>
        <v/>
      </c>
      <c r="H18" s="5"/>
      <c r="I18" s="5"/>
      <c r="O18" t="str">
        <f>IF(OR(B18="",C18=""),"",IF(C18="07 Hidrante - Ejecución completa",IF(COUNTIF('06_Control_Semanal'!$C$203:$C$222,B18)&gt;1,"ALERTA: &gt;1 HIDRANTE",IF(E18&gt;0,"OK","SIN SALDO / NO PROGRAMAR")),IF(E18&gt;0,"OK","SIN SALDO / NO PROGRAMAR")))</f>
        <v/>
      </c>
      <c r="P18" t="str">
        <f t="shared" si="1"/>
        <v/>
      </c>
      <c r="Q18" t="str">
        <f>IF(B18="","",IFERROR(_xludf.XLOOKUP(B18,'07_Base_Tecnica'!$K$5:$K$54,'07_Base_Tecnica'!$W$5:$W$54,""),""))</f>
        <v/>
      </c>
      <c r="R18" t="str">
        <f>IF(B18="","",IFERROR(_xludf.XLOOKUP(B18,'07_Base_Tecnica'!$K$5:$K$54,'07_Base_Tecnica'!$X$5:$X$54,""),""))</f>
        <v/>
      </c>
      <c r="AA18" t="s">
        <v>147</v>
      </c>
      <c r="AC18" t="str">
        <f>IF(AND('01_Estado_Actual'!$L$21="Para Programar",'01_Estado_Actual'!$G$21&gt;0),"10 Relleno -0,60 - Conformación de capa","")</f>
        <v/>
      </c>
      <c r="AD18" t="str">
        <f>IF(AND('01_Estado_Actual'!$L$45="Para Programar",'01_Estado_Actual'!$G$45&gt;0),"10 Relleno -0,60 - Conformación de capa","")</f>
        <v/>
      </c>
      <c r="AE18" t="str">
        <f>IF(AND('01_Estado_Actual'!$L$69="Para Programar",'01_Estado_Actual'!$G$69&gt;0),"10 Relleno -0,60 - Conformación de capa","")</f>
        <v/>
      </c>
      <c r="AF18" t="str">
        <f>IF(AND('01_Estado_Actual'!$L$93="Para Programar",'01_Estado_Actual'!$G$93&gt;0),"10 Relleno -0,60 - Conformación de capa","")</f>
        <v/>
      </c>
      <c r="AG18" t="str">
        <f>IF(AND('01_Estado_Actual'!$L$117="Para Programar",'01_Estado_Actual'!$G$117&gt;0),"10 Relleno -0,60 - Conformación de capa","")</f>
        <v/>
      </c>
      <c r="AH18" t="str">
        <f>IF(AND('01_Estado_Actual'!$L$141="Para Programar",'01_Estado_Actual'!$G$141&gt;0),"10 Relleno -0,60 - Conformación de capa","")</f>
        <v/>
      </c>
      <c r="AI18" t="str">
        <f>IF(AND('01_Estado_Actual'!$L$165="Para Programar",'01_Estado_Actual'!$G$165&gt;0),"10 Relleno -0,60 - Conformación de capa","")</f>
        <v/>
      </c>
      <c r="AJ18" t="str">
        <f>IF(AND('01_Estado_Actual'!$L$189="Para Programar",'01_Estado_Actual'!$G$189&gt;0),"10 Relleno -0,60 - Conformación de capa","")</f>
        <v/>
      </c>
      <c r="AK18" t="str">
        <f>IF(AND('01_Estado_Actual'!$L$213="Para Programar",'01_Estado_Actual'!$G$213&gt;0),"10 Relleno -0,60 - Conformación de capa","")</f>
        <v>10 Relleno -0,60 - Conformación de capa</v>
      </c>
      <c r="AL18" t="str">
        <f>IF(AND('01_Estado_Actual'!$L$237="Para Programar",'01_Estado_Actual'!$G$237&gt;0),"10 Relleno -0,60 - Conformación de capa","")</f>
        <v/>
      </c>
      <c r="AM18" t="str">
        <f>IF(AND('01_Estado_Actual'!$L$261="Para Programar",'01_Estado_Actual'!$G$261&gt;0),"10 Relleno -0,60 - Conformación de capa","")</f>
        <v/>
      </c>
      <c r="AN18" t="str">
        <f>IF(AND('01_Estado_Actual'!$L$285="Para Programar",'01_Estado_Actual'!$G$285&gt;0),"10 Relleno -0,60 - Conformación de capa","")</f>
        <v/>
      </c>
      <c r="AO18" t="str">
        <f>IF(AND('01_Estado_Actual'!$L$309="Para Programar",'01_Estado_Actual'!$G$309&gt;0),"10 Relleno -0,60 - Conformación de capa","")</f>
        <v/>
      </c>
      <c r="AP18" t="str">
        <f>IF(AND('01_Estado_Actual'!$L$333="Para Programar",'01_Estado_Actual'!$G$333&gt;0),"10 Relleno -0,60 - Conformación de capa","")</f>
        <v>10 Relleno -0,60 - Conformación de capa</v>
      </c>
      <c r="AQ18" t="str">
        <f>IF(AND('01_Estado_Actual'!$L$357="Para Programar",'01_Estado_Actual'!$G$357&gt;0),"10 Relleno -0,60 - Conformación de capa","")</f>
        <v>10 Relleno -0,60 - Conformación de capa</v>
      </c>
      <c r="AR18" t="str">
        <f>IF(AND('01_Estado_Actual'!$L$381="Para Programar",'01_Estado_Actual'!$G$381&gt;0),"10 Relleno -0,60 - Conformación de capa","")</f>
        <v>10 Relleno -0,60 - Conformación de capa</v>
      </c>
      <c r="AS18" t="str">
        <f>IF(AND('01_Estado_Actual'!$L$405="Para Programar",'01_Estado_Actual'!$G$405&gt;0),"10 Relleno -0,60 - Conformación de capa","")</f>
        <v>10 Relleno -0,60 - Conformación de capa</v>
      </c>
      <c r="AT18" t="str">
        <f>IF(AND('01_Estado_Actual'!$L$429="Para Programar",'01_Estado_Actual'!$G$429&gt;0),"10 Relleno -0,60 - Conformación de capa","")</f>
        <v/>
      </c>
      <c r="AU18" t="str">
        <f>IF(AND('01_Estado_Actual'!$L$453="Para Programar",'01_Estado_Actual'!$G$453&gt;0),"10 Relleno -0,60 - Conformación de capa","")</f>
        <v/>
      </c>
      <c r="AV18" t="str">
        <f>IF(AND('01_Estado_Actual'!$L$477="Para Programar",'01_Estado_Actual'!$G$477&gt;0),"10 Relleno -0,60 - Conformación de capa","")</f>
        <v/>
      </c>
      <c r="AW18" t="str">
        <f>IF(AND('01_Estado_Actual'!$L$501="Para Programar",'01_Estado_Actual'!$G$501&gt;0),"10 Relleno -0,60 - Conformación de capa","")</f>
        <v/>
      </c>
      <c r="AX18" t="str">
        <f>IF(AND('01_Estado_Actual'!$L$525="Para Programar",'01_Estado_Actual'!$G$525&gt;0),"10 Relleno -0,60 - Conformación de capa","")</f>
        <v/>
      </c>
      <c r="AY18" t="str">
        <f>IF(AND('01_Estado_Actual'!$L$549="Para Programar",'01_Estado_Actual'!$G$549&gt;0),"10 Relleno -0,60 - Conformación de capa","")</f>
        <v/>
      </c>
      <c r="AZ18" t="str">
        <f>IF(AND('01_Estado_Actual'!$L$573="Para Programar",'01_Estado_Actual'!$G$573&gt;0),"10 Relleno -0,60 - Conformación de capa","")</f>
        <v/>
      </c>
      <c r="BA18" t="str">
        <f>IF(AND('01_Estado_Actual'!$L$597="Para Programar",'01_Estado_Actual'!$G$597&gt;0),"10 Relleno -0,60 - Conformación de capa","")</f>
        <v/>
      </c>
      <c r="BB18" t="str">
        <f>IF(AND('01_Estado_Actual'!$L$621="Para Programar",'01_Estado_Actual'!$G$621&gt;0),"10 Relleno -0,60 - Conformación de capa","")</f>
        <v/>
      </c>
      <c r="BC18" t="str">
        <f>IF(AND('01_Estado_Actual'!$L$645="Para Programar",'01_Estado_Actual'!$G$645&gt;0),"10 Relleno -0,60 - Conformación de capa","")</f>
        <v/>
      </c>
      <c r="BD18" t="str">
        <f>IF(AND('01_Estado_Actual'!$L$669="Para Programar",'01_Estado_Actual'!$G$669&gt;0),"10 Relleno -0,60 - Conformación de capa","")</f>
        <v/>
      </c>
      <c r="BE18" t="str">
        <f>IF(AND('01_Estado_Actual'!$L$693="Para Programar",'01_Estado_Actual'!$G$693&gt;0),"10 Relleno -0,60 - Conformación de capa","")</f>
        <v/>
      </c>
      <c r="BF18" t="str">
        <f>IF(AND('01_Estado_Actual'!$L$717="Para Programar",'01_Estado_Actual'!$G$717&gt;0),"10 Relleno -0,60 - Conformación de capa","")</f>
        <v>10 Relleno -0,60 - Conformación de capa</v>
      </c>
      <c r="BG18" t="str">
        <f>IF(AND('01_Estado_Actual'!$L$741="Para Programar",'01_Estado_Actual'!$G$741&gt;0),"10 Relleno -0,60 - Conformación de capa","")</f>
        <v>10 Relleno -0,60 - Conformación de capa</v>
      </c>
      <c r="BH18" t="str">
        <f>IF(AND('01_Estado_Actual'!$L$765="Para Programar",'01_Estado_Actual'!$G$765&gt;0),"10 Relleno -0,60 - Conformación de capa","")</f>
        <v/>
      </c>
      <c r="BI18" t="str">
        <f>IF(AND('01_Estado_Actual'!$L$789="Para Programar",'01_Estado_Actual'!$G$789&gt;0),"10 Relleno -0,60 - Conformación de capa","")</f>
        <v/>
      </c>
      <c r="BJ18" t="str">
        <f>IF(AND('01_Estado_Actual'!$L$813="Para Programar",'01_Estado_Actual'!$G$813&gt;0),"10 Relleno -0,60 - Conformación de capa","")</f>
        <v/>
      </c>
      <c r="BK18" t="str">
        <f>IF(AND('01_Estado_Actual'!$L$837="Para Programar",'01_Estado_Actual'!$G$837&gt;0),"10 Relleno -0,60 - Conformación de capa","")</f>
        <v/>
      </c>
      <c r="BL18" t="str">
        <f>IF(AND('01_Estado_Actual'!$L$861="Para Programar",'01_Estado_Actual'!$G$861&gt;0),"10 Relleno -0,60 - Conformación de capa","")</f>
        <v/>
      </c>
      <c r="BM18" t="str">
        <f>IF(AND('01_Estado_Actual'!$L$885="Para Programar",'01_Estado_Actual'!$G$885&gt;0),"10 Relleno -0,60 - Conformación de capa","")</f>
        <v/>
      </c>
      <c r="BN18" t="str">
        <f>IF(AND('01_Estado_Actual'!$L$909="Para Programar",'01_Estado_Actual'!$G$909&gt;0),"10 Relleno -0,60 - Conformación de capa","")</f>
        <v/>
      </c>
      <c r="BO18" t="str">
        <f>IF(AND('01_Estado_Actual'!$L$933="Para Programar",'01_Estado_Actual'!$G$933&gt;0),"10 Relleno -0,60 - Conformación de capa","")</f>
        <v/>
      </c>
      <c r="BP18" t="str">
        <f>IF(AND('01_Estado_Actual'!$L$957="Para Programar",'01_Estado_Actual'!$G$957&gt;0),"10 Relleno -0,60 - Conformación de capa","")</f>
        <v/>
      </c>
      <c r="BQ18" t="str">
        <f>IF(AND('01_Estado_Actual'!$L$981="Para Programar",'01_Estado_Actual'!$G$981&gt;0),"10 Relleno -0,60 - Conformación de capa","")</f>
        <v/>
      </c>
      <c r="BR18" t="str">
        <f>IF(AND('01_Estado_Actual'!$L$1005="Para Programar",'01_Estado_Actual'!$G$1005&gt;0),"10 Relleno -0,60 - Conformación de capa","")</f>
        <v/>
      </c>
      <c r="BS18" t="str">
        <f>IF(AND('01_Estado_Actual'!$L$1029="Para Programar",'01_Estado_Actual'!$G$1029&gt;0),"10 Relleno -0,60 - Conformación de capa","")</f>
        <v/>
      </c>
      <c r="BT18" t="str">
        <f>IF(AND('01_Estado_Actual'!$L$1053="Para Programar",'01_Estado_Actual'!$G$1053&gt;0),"10 Relleno -0,60 - Conformación de capa","")</f>
        <v/>
      </c>
      <c r="BU18" t="str">
        <f>IF(AND('01_Estado_Actual'!$L$1077="Para Programar",'01_Estado_Actual'!$G$1077&gt;0),"10 Relleno -0,60 - Conformación de capa","")</f>
        <v/>
      </c>
      <c r="BV18" t="str">
        <f>IF(AND('01_Estado_Actual'!$L$1101="Para Programar",'01_Estado_Actual'!$G$1101&gt;0),"10 Relleno -0,60 - Conformación de capa","")</f>
        <v/>
      </c>
      <c r="BW18" t="str">
        <f>IF(AND('01_Estado_Actual'!$L$1125="Para Programar",'01_Estado_Actual'!$G$1125&gt;0),"10 Relleno -0,60 - Conformación de capa","")</f>
        <v/>
      </c>
      <c r="BX18" t="str">
        <f>IF(AND('01_Estado_Actual'!$L$1149="Para Programar",'01_Estado_Actual'!$G$1149&gt;0),"10 Relleno -0,60 - Conformación de capa","")</f>
        <v/>
      </c>
      <c r="BY18" t="str">
        <f>IF(AND('01_Estado_Actual'!$L$1173="Para Programar",'01_Estado_Actual'!$G$1173&gt;0),"10 Relleno -0,60 - Conformación de capa","")</f>
        <v/>
      </c>
      <c r="BZ18" t="str">
        <f>IF(AND('01_Estado_Actual'!$L$1197="Para Programar",'01_Estado_Actual'!$G$1197&gt;0),"10 Relleno -0,60 - Conformación de capa","")</f>
        <v/>
      </c>
    </row>
    <row r="19" spans="1:78">
      <c r="A19" t="str">
        <f>IF(OR(B19="",C19=""),"","PLAN-"&amp;15)</f>
        <v/>
      </c>
      <c r="D19" t="str">
        <f>IF(OR(B19="",C19=""),"",IF(C19="06 Servicios - Colocación de vaina / caño camisa","u",IF(C19="07 Hidrante - Ejecución completa","%",IFERROR(_xludf.XLOOKUP(B19&amp;"|"&amp;C19,'07_Base_Tecnica'!$AK$2:$AK$1201,'07_Base_Tecnica'!$AL$2:$AL$1201,""),""))))</f>
        <v/>
      </c>
      <c r="E19" t="str">
        <f>IF(OR(B19="",C19=""),"",IF(C19="06 Servicios - Colocación de vaina / caño camisa",MAX(0,IFERROR(_xludf.XLOOKUP(B19,'07_Base_Tecnica'!$K$5:$K$54,'07_Base_Tecnica'!$Q$5:$Q$54,0),0)-MAX(SUMIFS('05_Parte_Diario'!$H$5:$H$204,'05_Parte_Diario'!$D$5:$D$204,B19,'05_Parte_Diario'!$E$5:$E$204,"06 Servicios - Colocación de vaina / caño camisa"),COUNTIFS('06_Control_Semanal'!$B$283:$B$533,B19,'06_Control_Semanal'!$D$283:$D$533,"Colocada"))),IF(C19="07 Hidrante - Ejecución completa",MAX(0,100-SUMIFS('06_Control_Semanal'!$D$203:$D$222,'06_Control_Semanal'!$C$203:$C$222,B19)),IFERROR(_xludf.XLOOKUP(B19&amp;"|"&amp;C19,'02_Para_Programar'!$N$5:$N$304,'02_Para_Programar'!$F$5:$F$304,0),0))))</f>
        <v/>
      </c>
      <c r="G19" t="str">
        <f t="shared" si="0"/>
        <v/>
      </c>
      <c r="H19" s="5"/>
      <c r="I19" s="5"/>
      <c r="O19" t="str">
        <f>IF(OR(B19="",C19=""),"",IF(C19="07 Hidrante - Ejecución completa",IF(COUNTIF('06_Control_Semanal'!$C$203:$C$222,B19)&gt;1,"ALERTA: &gt;1 HIDRANTE",IF(E19&gt;0,"OK","SIN SALDO / NO PROGRAMAR")),IF(E19&gt;0,"OK","SIN SALDO / NO PROGRAMAR")))</f>
        <v/>
      </c>
      <c r="P19" t="str">
        <f t="shared" si="1"/>
        <v/>
      </c>
      <c r="Q19" t="str">
        <f>IF(B19="","",IFERROR(_xludf.XLOOKUP(B19,'07_Base_Tecnica'!$K$5:$K$54,'07_Base_Tecnica'!$W$5:$W$54,""),""))</f>
        <v/>
      </c>
      <c r="R19" t="str">
        <f>IF(B19="","",IFERROR(_xludf.XLOOKUP(B19,'07_Base_Tecnica'!$K$5:$K$54,'07_Base_Tecnica'!$X$5:$X$54,""),""))</f>
        <v/>
      </c>
      <c r="AA19" t="s">
        <v>149</v>
      </c>
      <c r="AC19" t="str">
        <f>IF(AND('01_Estado_Actual'!$L$22="Para Programar",'01_Estado_Actual'!$G$22&gt;0),"10 Relleno -0,60 - Humectación","")</f>
        <v/>
      </c>
      <c r="AD19" t="str">
        <f>IF(AND('01_Estado_Actual'!$L$46="Para Programar",'01_Estado_Actual'!$G$46&gt;0),"10 Relleno -0,60 - Humectación","")</f>
        <v/>
      </c>
      <c r="AE19" t="str">
        <f>IF(AND('01_Estado_Actual'!$L$70="Para Programar",'01_Estado_Actual'!$G$70&gt;0),"10 Relleno -0,60 - Humectación","")</f>
        <v/>
      </c>
      <c r="AF19" t="str">
        <f>IF(AND('01_Estado_Actual'!$L$94="Para Programar",'01_Estado_Actual'!$G$94&gt;0),"10 Relleno -0,60 - Humectación","")</f>
        <v/>
      </c>
      <c r="AG19" t="str">
        <f>IF(AND('01_Estado_Actual'!$L$118="Para Programar",'01_Estado_Actual'!$G$118&gt;0),"10 Relleno -0,60 - Humectación","")</f>
        <v/>
      </c>
      <c r="AH19" t="str">
        <f>IF(AND('01_Estado_Actual'!$L$142="Para Programar",'01_Estado_Actual'!$G$142&gt;0),"10 Relleno -0,60 - Humectación","")</f>
        <v/>
      </c>
      <c r="AI19" t="str">
        <f>IF(AND('01_Estado_Actual'!$L$166="Para Programar",'01_Estado_Actual'!$G$166&gt;0),"10 Relleno -0,60 - Humectación","")</f>
        <v/>
      </c>
      <c r="AJ19" t="str">
        <f>IF(AND('01_Estado_Actual'!$L$190="Para Programar",'01_Estado_Actual'!$G$190&gt;0),"10 Relleno -0,60 - Humectación","")</f>
        <v/>
      </c>
      <c r="AK19" t="str">
        <f>IF(AND('01_Estado_Actual'!$L$214="Para Programar",'01_Estado_Actual'!$G$214&gt;0),"10 Relleno -0,60 - Humectación","")</f>
        <v>10 Relleno -0,60 - Humectación</v>
      </c>
      <c r="AL19" t="str">
        <f>IF(AND('01_Estado_Actual'!$L$238="Para Programar",'01_Estado_Actual'!$G$238&gt;0),"10 Relleno -0,60 - Humectación","")</f>
        <v/>
      </c>
      <c r="AM19" t="str">
        <f>IF(AND('01_Estado_Actual'!$L$262="Para Programar",'01_Estado_Actual'!$G$262&gt;0),"10 Relleno -0,60 - Humectación","")</f>
        <v/>
      </c>
      <c r="AN19" t="str">
        <f>IF(AND('01_Estado_Actual'!$L$286="Para Programar",'01_Estado_Actual'!$G$286&gt;0),"10 Relleno -0,60 - Humectación","")</f>
        <v/>
      </c>
      <c r="AO19" t="str">
        <f>IF(AND('01_Estado_Actual'!$L$310="Para Programar",'01_Estado_Actual'!$G$310&gt;0),"10 Relleno -0,60 - Humectación","")</f>
        <v/>
      </c>
      <c r="AP19" t="str">
        <f>IF(AND('01_Estado_Actual'!$L$334="Para Programar",'01_Estado_Actual'!$G$334&gt;0),"10 Relleno -0,60 - Humectación","")</f>
        <v>10 Relleno -0,60 - Humectación</v>
      </c>
      <c r="AQ19" t="str">
        <f>IF(AND('01_Estado_Actual'!$L$358="Para Programar",'01_Estado_Actual'!$G$358&gt;0),"10 Relleno -0,60 - Humectación","")</f>
        <v>10 Relleno -0,60 - Humectación</v>
      </c>
      <c r="AR19" t="str">
        <f>IF(AND('01_Estado_Actual'!$L$382="Para Programar",'01_Estado_Actual'!$G$382&gt;0),"10 Relleno -0,60 - Humectación","")</f>
        <v>10 Relleno -0,60 - Humectación</v>
      </c>
      <c r="AS19" t="str">
        <f>IF(AND('01_Estado_Actual'!$L$406="Para Programar",'01_Estado_Actual'!$G$406&gt;0),"10 Relleno -0,60 - Humectación","")</f>
        <v>10 Relleno -0,60 - Humectación</v>
      </c>
      <c r="AT19" t="str">
        <f>IF(AND('01_Estado_Actual'!$L$430="Para Programar",'01_Estado_Actual'!$G$430&gt;0),"10 Relleno -0,60 - Humectación","")</f>
        <v/>
      </c>
      <c r="AU19" t="str">
        <f>IF(AND('01_Estado_Actual'!$L$454="Para Programar",'01_Estado_Actual'!$G$454&gt;0),"10 Relleno -0,60 - Humectación","")</f>
        <v/>
      </c>
      <c r="AV19" t="str">
        <f>IF(AND('01_Estado_Actual'!$L$478="Para Programar",'01_Estado_Actual'!$G$478&gt;0),"10 Relleno -0,60 - Humectación","")</f>
        <v/>
      </c>
      <c r="AW19" t="str">
        <f>IF(AND('01_Estado_Actual'!$L$502="Para Programar",'01_Estado_Actual'!$G$502&gt;0),"10 Relleno -0,60 - Humectación","")</f>
        <v/>
      </c>
      <c r="AX19" t="str">
        <f>IF(AND('01_Estado_Actual'!$L$526="Para Programar",'01_Estado_Actual'!$G$526&gt;0),"10 Relleno -0,60 - Humectación","")</f>
        <v/>
      </c>
      <c r="AY19" t="str">
        <f>IF(AND('01_Estado_Actual'!$L$550="Para Programar",'01_Estado_Actual'!$G$550&gt;0),"10 Relleno -0,60 - Humectación","")</f>
        <v/>
      </c>
      <c r="AZ19" t="str">
        <f>IF(AND('01_Estado_Actual'!$L$574="Para Programar",'01_Estado_Actual'!$G$574&gt;0),"10 Relleno -0,60 - Humectación","")</f>
        <v/>
      </c>
      <c r="BA19" t="str">
        <f>IF(AND('01_Estado_Actual'!$L$598="Para Programar",'01_Estado_Actual'!$G$598&gt;0),"10 Relleno -0,60 - Humectación","")</f>
        <v/>
      </c>
      <c r="BB19" t="str">
        <f>IF(AND('01_Estado_Actual'!$L$622="Para Programar",'01_Estado_Actual'!$G$622&gt;0),"10 Relleno -0,60 - Humectación","")</f>
        <v/>
      </c>
      <c r="BC19" t="str">
        <f>IF(AND('01_Estado_Actual'!$L$646="Para Programar",'01_Estado_Actual'!$G$646&gt;0),"10 Relleno -0,60 - Humectación","")</f>
        <v/>
      </c>
      <c r="BD19" t="str">
        <f>IF(AND('01_Estado_Actual'!$L$670="Para Programar",'01_Estado_Actual'!$G$670&gt;0),"10 Relleno -0,60 - Humectación","")</f>
        <v/>
      </c>
      <c r="BE19" t="str">
        <f>IF(AND('01_Estado_Actual'!$L$694="Para Programar",'01_Estado_Actual'!$G$694&gt;0),"10 Relleno -0,60 - Humectación","")</f>
        <v/>
      </c>
      <c r="BF19" t="str">
        <f>IF(AND('01_Estado_Actual'!$L$718="Para Programar",'01_Estado_Actual'!$G$718&gt;0),"10 Relleno -0,60 - Humectación","")</f>
        <v>10 Relleno -0,60 - Humectación</v>
      </c>
      <c r="BG19" t="str">
        <f>IF(AND('01_Estado_Actual'!$L$742="Para Programar",'01_Estado_Actual'!$G$742&gt;0),"10 Relleno -0,60 - Humectación","")</f>
        <v>10 Relleno -0,60 - Humectación</v>
      </c>
      <c r="BH19" t="str">
        <f>IF(AND('01_Estado_Actual'!$L$766="Para Programar",'01_Estado_Actual'!$G$766&gt;0),"10 Relleno -0,60 - Humectación","")</f>
        <v/>
      </c>
      <c r="BI19" t="str">
        <f>IF(AND('01_Estado_Actual'!$L$790="Para Programar",'01_Estado_Actual'!$G$790&gt;0),"10 Relleno -0,60 - Humectación","")</f>
        <v/>
      </c>
      <c r="BJ19" t="str">
        <f>IF(AND('01_Estado_Actual'!$L$814="Para Programar",'01_Estado_Actual'!$G$814&gt;0),"10 Relleno -0,60 - Humectación","")</f>
        <v/>
      </c>
      <c r="BK19" t="str">
        <f>IF(AND('01_Estado_Actual'!$L$838="Para Programar",'01_Estado_Actual'!$G$838&gt;0),"10 Relleno -0,60 - Humectación","")</f>
        <v/>
      </c>
      <c r="BL19" t="str">
        <f>IF(AND('01_Estado_Actual'!$L$862="Para Programar",'01_Estado_Actual'!$G$862&gt;0),"10 Relleno -0,60 - Humectación","")</f>
        <v/>
      </c>
      <c r="BM19" t="str">
        <f>IF(AND('01_Estado_Actual'!$L$886="Para Programar",'01_Estado_Actual'!$G$886&gt;0),"10 Relleno -0,60 - Humectación","")</f>
        <v/>
      </c>
      <c r="BN19" t="str">
        <f>IF(AND('01_Estado_Actual'!$L$910="Para Programar",'01_Estado_Actual'!$G$910&gt;0),"10 Relleno -0,60 - Humectación","")</f>
        <v/>
      </c>
      <c r="BO19" t="str">
        <f>IF(AND('01_Estado_Actual'!$L$934="Para Programar",'01_Estado_Actual'!$G$934&gt;0),"10 Relleno -0,60 - Humectación","")</f>
        <v/>
      </c>
      <c r="BP19" t="str">
        <f>IF(AND('01_Estado_Actual'!$L$958="Para Programar",'01_Estado_Actual'!$G$958&gt;0),"10 Relleno -0,60 - Humectación","")</f>
        <v/>
      </c>
      <c r="BQ19" t="str">
        <f>IF(AND('01_Estado_Actual'!$L$982="Para Programar",'01_Estado_Actual'!$G$982&gt;0),"10 Relleno -0,60 - Humectación","")</f>
        <v/>
      </c>
      <c r="BR19" t="str">
        <f>IF(AND('01_Estado_Actual'!$L$1006="Para Programar",'01_Estado_Actual'!$G$1006&gt;0),"10 Relleno -0,60 - Humectación","")</f>
        <v/>
      </c>
      <c r="BS19" t="str">
        <f>IF(AND('01_Estado_Actual'!$L$1030="Para Programar",'01_Estado_Actual'!$G$1030&gt;0),"10 Relleno -0,60 - Humectación","")</f>
        <v/>
      </c>
      <c r="BT19" t="str">
        <f>IF(AND('01_Estado_Actual'!$L$1054="Para Programar",'01_Estado_Actual'!$G$1054&gt;0),"10 Relleno -0,60 - Humectación","")</f>
        <v/>
      </c>
      <c r="BU19" t="str">
        <f>IF(AND('01_Estado_Actual'!$L$1078="Para Programar",'01_Estado_Actual'!$G$1078&gt;0),"10 Relleno -0,60 - Humectación","")</f>
        <v/>
      </c>
      <c r="BV19" t="str">
        <f>IF(AND('01_Estado_Actual'!$L$1102="Para Programar",'01_Estado_Actual'!$G$1102&gt;0),"10 Relleno -0,60 - Humectación","")</f>
        <v/>
      </c>
      <c r="BW19" t="str">
        <f>IF(AND('01_Estado_Actual'!$L$1126="Para Programar",'01_Estado_Actual'!$G$1126&gt;0),"10 Relleno -0,60 - Humectación","")</f>
        <v/>
      </c>
      <c r="BX19" t="str">
        <f>IF(AND('01_Estado_Actual'!$L$1150="Para Programar",'01_Estado_Actual'!$G$1150&gt;0),"10 Relleno -0,60 - Humectación","")</f>
        <v/>
      </c>
      <c r="BY19" t="str">
        <f>IF(AND('01_Estado_Actual'!$L$1174="Para Programar",'01_Estado_Actual'!$G$1174&gt;0),"10 Relleno -0,60 - Humectación","")</f>
        <v/>
      </c>
      <c r="BZ19" t="str">
        <f>IF(AND('01_Estado_Actual'!$L$1198="Para Programar",'01_Estado_Actual'!$G$1198&gt;0),"10 Relleno -0,60 - Humectación","")</f>
        <v/>
      </c>
    </row>
    <row r="20" spans="1:78">
      <c r="A20" t="str">
        <f>IF(OR(B20="",C20=""),"","PLAN-"&amp;16)</f>
        <v/>
      </c>
      <c r="D20" t="str">
        <f>IF(OR(B20="",C20=""),"",IF(C20="06 Servicios - Colocación de vaina / caño camisa","u",IF(C20="07 Hidrante - Ejecución completa","%",IFERROR(_xludf.XLOOKUP(B20&amp;"|"&amp;C20,'07_Base_Tecnica'!$AK$2:$AK$1201,'07_Base_Tecnica'!$AL$2:$AL$1201,""),""))))</f>
        <v/>
      </c>
      <c r="E20" t="str">
        <f>IF(OR(B20="",C20=""),"",IF(C20="06 Servicios - Colocación de vaina / caño camisa",MAX(0,IFERROR(_xludf.XLOOKUP(B20,'07_Base_Tecnica'!$K$5:$K$54,'07_Base_Tecnica'!$Q$5:$Q$54,0),0)-MAX(SUMIFS('05_Parte_Diario'!$H$5:$H$204,'05_Parte_Diario'!$D$5:$D$204,B20,'05_Parte_Diario'!$E$5:$E$204,"06 Servicios - Colocación de vaina / caño camisa"),COUNTIFS('06_Control_Semanal'!$B$283:$B$533,B20,'06_Control_Semanal'!$D$283:$D$533,"Colocada"))),IF(C20="07 Hidrante - Ejecución completa",MAX(0,100-SUMIFS('06_Control_Semanal'!$D$203:$D$222,'06_Control_Semanal'!$C$203:$C$222,B20)),IFERROR(_xludf.XLOOKUP(B20&amp;"|"&amp;C20,'02_Para_Programar'!$N$5:$N$304,'02_Para_Programar'!$F$5:$F$304,0),0))))</f>
        <v/>
      </c>
      <c r="G20" t="str">
        <f t="shared" si="0"/>
        <v/>
      </c>
      <c r="H20" s="5"/>
      <c r="I20" s="5"/>
      <c r="O20" t="str">
        <f>IF(OR(B20="",C20=""),"",IF(C20="07 Hidrante - Ejecución completa",IF(COUNTIF('06_Control_Semanal'!$C$203:$C$222,B20)&gt;1,"ALERTA: &gt;1 HIDRANTE",IF(E20&gt;0,"OK","SIN SALDO / NO PROGRAMAR")),IF(E20&gt;0,"OK","SIN SALDO / NO PROGRAMAR")))</f>
        <v/>
      </c>
      <c r="P20" t="str">
        <f t="shared" si="1"/>
        <v/>
      </c>
      <c r="Q20" t="str">
        <f>IF(B20="","",IFERROR(_xludf.XLOOKUP(B20,'07_Base_Tecnica'!$K$5:$K$54,'07_Base_Tecnica'!$W$5:$W$54,""),""))</f>
        <v/>
      </c>
      <c r="R20" t="str">
        <f>IF(B20="","",IFERROR(_xludf.XLOOKUP(B20,'07_Base_Tecnica'!$K$5:$K$54,'07_Base_Tecnica'!$X$5:$X$54,""),""))</f>
        <v/>
      </c>
      <c r="AA20" t="s">
        <v>150</v>
      </c>
      <c r="AC20" t="str">
        <f>IF(AND('01_Estado_Actual'!$L$23="Para Programar",'01_Estado_Actual'!$G$23&gt;0),"10 Relleno -0,60 - Compactación","")</f>
        <v/>
      </c>
      <c r="AD20" t="str">
        <f>IF(AND('01_Estado_Actual'!$L$47="Para Programar",'01_Estado_Actual'!$G$47&gt;0),"10 Relleno -0,60 - Compactación","")</f>
        <v/>
      </c>
      <c r="AE20" t="str">
        <f>IF(AND('01_Estado_Actual'!$L$71="Para Programar",'01_Estado_Actual'!$G$71&gt;0),"10 Relleno -0,60 - Compactación","")</f>
        <v/>
      </c>
      <c r="AF20" t="str">
        <f>IF(AND('01_Estado_Actual'!$L$95="Para Programar",'01_Estado_Actual'!$G$95&gt;0),"10 Relleno -0,60 - Compactación","")</f>
        <v/>
      </c>
      <c r="AG20" t="str">
        <f>IF(AND('01_Estado_Actual'!$L$119="Para Programar",'01_Estado_Actual'!$G$119&gt;0),"10 Relleno -0,60 - Compactación","")</f>
        <v/>
      </c>
      <c r="AH20" t="str">
        <f>IF(AND('01_Estado_Actual'!$L$143="Para Programar",'01_Estado_Actual'!$G$143&gt;0),"10 Relleno -0,60 - Compactación","")</f>
        <v/>
      </c>
      <c r="AI20" t="str">
        <f>IF(AND('01_Estado_Actual'!$L$167="Para Programar",'01_Estado_Actual'!$G$167&gt;0),"10 Relleno -0,60 - Compactación","")</f>
        <v/>
      </c>
      <c r="AJ20" t="str">
        <f>IF(AND('01_Estado_Actual'!$L$191="Para Programar",'01_Estado_Actual'!$G$191&gt;0),"10 Relleno -0,60 - Compactación","")</f>
        <v/>
      </c>
      <c r="AK20" t="str">
        <f>IF(AND('01_Estado_Actual'!$L$215="Para Programar",'01_Estado_Actual'!$G$215&gt;0),"10 Relleno -0,60 - Compactación","")</f>
        <v>10 Relleno -0,60 - Compactación</v>
      </c>
      <c r="AL20" t="str">
        <f>IF(AND('01_Estado_Actual'!$L$239="Para Programar",'01_Estado_Actual'!$G$239&gt;0),"10 Relleno -0,60 - Compactación","")</f>
        <v/>
      </c>
      <c r="AM20" t="str">
        <f>IF(AND('01_Estado_Actual'!$L$263="Para Programar",'01_Estado_Actual'!$G$263&gt;0),"10 Relleno -0,60 - Compactación","")</f>
        <v/>
      </c>
      <c r="AN20" t="str">
        <f>IF(AND('01_Estado_Actual'!$L$287="Para Programar",'01_Estado_Actual'!$G$287&gt;0),"10 Relleno -0,60 - Compactación","")</f>
        <v/>
      </c>
      <c r="AO20" t="str">
        <f>IF(AND('01_Estado_Actual'!$L$311="Para Programar",'01_Estado_Actual'!$G$311&gt;0),"10 Relleno -0,60 - Compactación","")</f>
        <v/>
      </c>
      <c r="AP20" t="str">
        <f>IF(AND('01_Estado_Actual'!$L$335="Para Programar",'01_Estado_Actual'!$G$335&gt;0),"10 Relleno -0,60 - Compactación","")</f>
        <v>10 Relleno -0,60 - Compactación</v>
      </c>
      <c r="AQ20" t="str">
        <f>IF(AND('01_Estado_Actual'!$L$359="Para Programar",'01_Estado_Actual'!$G$359&gt;0),"10 Relleno -0,60 - Compactación","")</f>
        <v>10 Relleno -0,60 - Compactación</v>
      </c>
      <c r="AR20" t="str">
        <f>IF(AND('01_Estado_Actual'!$L$383="Para Programar",'01_Estado_Actual'!$G$383&gt;0),"10 Relleno -0,60 - Compactación","")</f>
        <v>10 Relleno -0,60 - Compactación</v>
      </c>
      <c r="AS20" t="str">
        <f>IF(AND('01_Estado_Actual'!$L$407="Para Programar",'01_Estado_Actual'!$G$407&gt;0),"10 Relleno -0,60 - Compactación","")</f>
        <v>10 Relleno -0,60 - Compactación</v>
      </c>
      <c r="AT20" t="str">
        <f>IF(AND('01_Estado_Actual'!$L$431="Para Programar",'01_Estado_Actual'!$G$431&gt;0),"10 Relleno -0,60 - Compactación","")</f>
        <v/>
      </c>
      <c r="AU20" t="str">
        <f>IF(AND('01_Estado_Actual'!$L$455="Para Programar",'01_Estado_Actual'!$G$455&gt;0),"10 Relleno -0,60 - Compactación","")</f>
        <v/>
      </c>
      <c r="AV20" t="str">
        <f>IF(AND('01_Estado_Actual'!$L$479="Para Programar",'01_Estado_Actual'!$G$479&gt;0),"10 Relleno -0,60 - Compactación","")</f>
        <v/>
      </c>
      <c r="AW20" t="str">
        <f>IF(AND('01_Estado_Actual'!$L$503="Para Programar",'01_Estado_Actual'!$G$503&gt;0),"10 Relleno -0,60 - Compactación","")</f>
        <v/>
      </c>
      <c r="AX20" t="str">
        <f>IF(AND('01_Estado_Actual'!$L$527="Para Programar",'01_Estado_Actual'!$G$527&gt;0),"10 Relleno -0,60 - Compactación","")</f>
        <v/>
      </c>
      <c r="AY20" t="str">
        <f>IF(AND('01_Estado_Actual'!$L$551="Para Programar",'01_Estado_Actual'!$G$551&gt;0),"10 Relleno -0,60 - Compactación","")</f>
        <v/>
      </c>
      <c r="AZ20" t="str">
        <f>IF(AND('01_Estado_Actual'!$L$575="Para Programar",'01_Estado_Actual'!$G$575&gt;0),"10 Relleno -0,60 - Compactación","")</f>
        <v/>
      </c>
      <c r="BA20" t="str">
        <f>IF(AND('01_Estado_Actual'!$L$599="Para Programar",'01_Estado_Actual'!$G$599&gt;0),"10 Relleno -0,60 - Compactación","")</f>
        <v/>
      </c>
      <c r="BB20" t="str">
        <f>IF(AND('01_Estado_Actual'!$L$623="Para Programar",'01_Estado_Actual'!$G$623&gt;0),"10 Relleno -0,60 - Compactación","")</f>
        <v/>
      </c>
      <c r="BC20" t="str">
        <f>IF(AND('01_Estado_Actual'!$L$647="Para Programar",'01_Estado_Actual'!$G$647&gt;0),"10 Relleno -0,60 - Compactación","")</f>
        <v/>
      </c>
      <c r="BD20" t="str">
        <f>IF(AND('01_Estado_Actual'!$L$671="Para Programar",'01_Estado_Actual'!$G$671&gt;0),"10 Relleno -0,60 - Compactación","")</f>
        <v/>
      </c>
      <c r="BE20" t="str">
        <f>IF(AND('01_Estado_Actual'!$L$695="Para Programar",'01_Estado_Actual'!$G$695&gt;0),"10 Relleno -0,60 - Compactación","")</f>
        <v/>
      </c>
      <c r="BF20" t="str">
        <f>IF(AND('01_Estado_Actual'!$L$719="Para Programar",'01_Estado_Actual'!$G$719&gt;0),"10 Relleno -0,60 - Compactación","")</f>
        <v>10 Relleno -0,60 - Compactación</v>
      </c>
      <c r="BG20" t="str">
        <f>IF(AND('01_Estado_Actual'!$L$743="Para Programar",'01_Estado_Actual'!$G$743&gt;0),"10 Relleno -0,60 - Compactación","")</f>
        <v>10 Relleno -0,60 - Compactación</v>
      </c>
      <c r="BH20" t="str">
        <f>IF(AND('01_Estado_Actual'!$L$767="Para Programar",'01_Estado_Actual'!$G$767&gt;0),"10 Relleno -0,60 - Compactación","")</f>
        <v/>
      </c>
      <c r="BI20" t="str">
        <f>IF(AND('01_Estado_Actual'!$L$791="Para Programar",'01_Estado_Actual'!$G$791&gt;0),"10 Relleno -0,60 - Compactación","")</f>
        <v/>
      </c>
      <c r="BJ20" t="str">
        <f>IF(AND('01_Estado_Actual'!$L$815="Para Programar",'01_Estado_Actual'!$G$815&gt;0),"10 Relleno -0,60 - Compactación","")</f>
        <v/>
      </c>
      <c r="BK20" t="str">
        <f>IF(AND('01_Estado_Actual'!$L$839="Para Programar",'01_Estado_Actual'!$G$839&gt;0),"10 Relleno -0,60 - Compactación","")</f>
        <v/>
      </c>
      <c r="BL20" t="str">
        <f>IF(AND('01_Estado_Actual'!$L$863="Para Programar",'01_Estado_Actual'!$G$863&gt;0),"10 Relleno -0,60 - Compactación","")</f>
        <v/>
      </c>
      <c r="BM20" t="str">
        <f>IF(AND('01_Estado_Actual'!$L$887="Para Programar",'01_Estado_Actual'!$G$887&gt;0),"10 Relleno -0,60 - Compactación","")</f>
        <v/>
      </c>
      <c r="BN20" t="str">
        <f>IF(AND('01_Estado_Actual'!$L$911="Para Programar",'01_Estado_Actual'!$G$911&gt;0),"10 Relleno -0,60 - Compactación","")</f>
        <v/>
      </c>
      <c r="BO20" t="str">
        <f>IF(AND('01_Estado_Actual'!$L$935="Para Programar",'01_Estado_Actual'!$G$935&gt;0),"10 Relleno -0,60 - Compactación","")</f>
        <v/>
      </c>
      <c r="BP20" t="str">
        <f>IF(AND('01_Estado_Actual'!$L$959="Para Programar",'01_Estado_Actual'!$G$959&gt;0),"10 Relleno -0,60 - Compactación","")</f>
        <v/>
      </c>
      <c r="BQ20" t="str">
        <f>IF(AND('01_Estado_Actual'!$L$983="Para Programar",'01_Estado_Actual'!$G$983&gt;0),"10 Relleno -0,60 - Compactación","")</f>
        <v/>
      </c>
      <c r="BR20" t="str">
        <f>IF(AND('01_Estado_Actual'!$L$1007="Para Programar",'01_Estado_Actual'!$G$1007&gt;0),"10 Relleno -0,60 - Compactación","")</f>
        <v/>
      </c>
      <c r="BS20" t="str">
        <f>IF(AND('01_Estado_Actual'!$L$1031="Para Programar",'01_Estado_Actual'!$G$1031&gt;0),"10 Relleno -0,60 - Compactación","")</f>
        <v/>
      </c>
      <c r="BT20" t="str">
        <f>IF(AND('01_Estado_Actual'!$L$1055="Para Programar",'01_Estado_Actual'!$G$1055&gt;0),"10 Relleno -0,60 - Compactación","")</f>
        <v/>
      </c>
      <c r="BU20" t="str">
        <f>IF(AND('01_Estado_Actual'!$L$1079="Para Programar",'01_Estado_Actual'!$G$1079&gt;0),"10 Relleno -0,60 - Compactación","")</f>
        <v/>
      </c>
      <c r="BV20" t="str">
        <f>IF(AND('01_Estado_Actual'!$L$1103="Para Programar",'01_Estado_Actual'!$G$1103&gt;0),"10 Relleno -0,60 - Compactación","")</f>
        <v/>
      </c>
      <c r="BW20" t="str">
        <f>IF(AND('01_Estado_Actual'!$L$1127="Para Programar",'01_Estado_Actual'!$G$1127&gt;0),"10 Relleno -0,60 - Compactación","")</f>
        <v/>
      </c>
      <c r="BX20" t="str">
        <f>IF(AND('01_Estado_Actual'!$L$1151="Para Programar",'01_Estado_Actual'!$G$1151&gt;0),"10 Relleno -0,60 - Compactación","")</f>
        <v/>
      </c>
      <c r="BY20" t="str">
        <f>IF(AND('01_Estado_Actual'!$L$1175="Para Programar",'01_Estado_Actual'!$G$1175&gt;0),"10 Relleno -0,60 - Compactación","")</f>
        <v/>
      </c>
      <c r="BZ20" t="str">
        <f>IF(AND('01_Estado_Actual'!$L$1199="Para Programar",'01_Estado_Actual'!$G$1199&gt;0),"10 Relleno -0,60 - Compactación","")</f>
        <v/>
      </c>
    </row>
    <row r="21" spans="1:78">
      <c r="A21" t="str">
        <f>IF(OR(B21="",C21=""),"","PLAN-"&amp;17)</f>
        <v/>
      </c>
      <c r="D21" t="str">
        <f>IF(OR(B21="",C21=""),"",IF(C21="06 Servicios - Colocación de vaina / caño camisa","u",IF(C21="07 Hidrante - Ejecución completa","%",IFERROR(_xludf.XLOOKUP(B21&amp;"|"&amp;C21,'07_Base_Tecnica'!$AK$2:$AK$1201,'07_Base_Tecnica'!$AL$2:$AL$1201,""),""))))</f>
        <v/>
      </c>
      <c r="E21" t="str">
        <f>IF(OR(B21="",C21=""),"",IF(C21="06 Servicios - Colocación de vaina / caño camisa",MAX(0,IFERROR(_xludf.XLOOKUP(B21,'07_Base_Tecnica'!$K$5:$K$54,'07_Base_Tecnica'!$Q$5:$Q$54,0),0)-MAX(SUMIFS('05_Parte_Diario'!$H$5:$H$204,'05_Parte_Diario'!$D$5:$D$204,B21,'05_Parte_Diario'!$E$5:$E$204,"06 Servicios - Colocación de vaina / caño camisa"),COUNTIFS('06_Control_Semanal'!$B$283:$B$533,B21,'06_Control_Semanal'!$D$283:$D$533,"Colocada"))),IF(C21="07 Hidrante - Ejecución completa",MAX(0,100-SUMIFS('06_Control_Semanal'!$D$203:$D$222,'06_Control_Semanal'!$C$203:$C$222,B21)),IFERROR(_xludf.XLOOKUP(B21&amp;"|"&amp;C21,'02_Para_Programar'!$N$5:$N$304,'02_Para_Programar'!$F$5:$F$304,0),0))))</f>
        <v/>
      </c>
      <c r="G21" t="str">
        <f t="shared" si="0"/>
        <v/>
      </c>
      <c r="H21" s="5"/>
      <c r="I21" s="5"/>
      <c r="O21" t="str">
        <f>IF(OR(B21="",C21=""),"",IF(C21="07 Hidrante - Ejecución completa",IF(COUNTIF('06_Control_Semanal'!$C$203:$C$222,B21)&gt;1,"ALERTA: &gt;1 HIDRANTE",IF(E21&gt;0,"OK","SIN SALDO / NO PROGRAMAR")),IF(E21&gt;0,"OK","SIN SALDO / NO PROGRAMAR")))</f>
        <v/>
      </c>
      <c r="P21" t="str">
        <f t="shared" si="1"/>
        <v/>
      </c>
      <c r="Q21" t="str">
        <f>IF(B21="","",IFERROR(_xludf.XLOOKUP(B21,'07_Base_Tecnica'!$K$5:$K$54,'07_Base_Tecnica'!$W$5:$W$54,""),""))</f>
        <v/>
      </c>
      <c r="R21" t="str">
        <f>IF(B21="","",IFERROR(_xludf.XLOOKUP(B21,'07_Base_Tecnica'!$K$5:$K$54,'07_Base_Tecnica'!$X$5:$X$54,""),""))</f>
        <v/>
      </c>
      <c r="AA21" t="s">
        <v>151</v>
      </c>
      <c r="AC21" t="str">
        <f>IF(AND('01_Estado_Actual'!$L$24="Para Programar",'01_Estado_Actual'!$G$24&gt;0),"10 Relleno -0,60 - Inspección laboratorio","")</f>
        <v/>
      </c>
      <c r="AD21" t="str">
        <f>IF(AND('01_Estado_Actual'!$L$48="Para Programar",'01_Estado_Actual'!$G$48&gt;0),"10 Relleno -0,60 - Inspección laboratorio","")</f>
        <v/>
      </c>
      <c r="AE21" t="str">
        <f>IF(AND('01_Estado_Actual'!$L$72="Para Programar",'01_Estado_Actual'!$G$72&gt;0),"10 Relleno -0,60 - Inspección laboratorio","")</f>
        <v/>
      </c>
      <c r="AF21" t="str">
        <f>IF(AND('01_Estado_Actual'!$L$96="Para Programar",'01_Estado_Actual'!$G$96&gt;0),"10 Relleno -0,60 - Inspección laboratorio","")</f>
        <v/>
      </c>
      <c r="AG21" t="str">
        <f>IF(AND('01_Estado_Actual'!$L$120="Para Programar",'01_Estado_Actual'!$G$120&gt;0),"10 Relleno -0,60 - Inspección laboratorio","")</f>
        <v/>
      </c>
      <c r="AH21" t="str">
        <f>IF(AND('01_Estado_Actual'!$L$144="Para Programar",'01_Estado_Actual'!$G$144&gt;0),"10 Relleno -0,60 - Inspección laboratorio","")</f>
        <v/>
      </c>
      <c r="AI21" t="str">
        <f>IF(AND('01_Estado_Actual'!$L$168="Para Programar",'01_Estado_Actual'!$G$168&gt;0),"10 Relleno -0,60 - Inspección laboratorio","")</f>
        <v/>
      </c>
      <c r="AJ21" t="str">
        <f>IF(AND('01_Estado_Actual'!$L$192="Para Programar",'01_Estado_Actual'!$G$192&gt;0),"10 Relleno -0,60 - Inspección laboratorio","")</f>
        <v/>
      </c>
      <c r="AK21" t="str">
        <f>IF(AND('01_Estado_Actual'!$L$216="Para Programar",'01_Estado_Actual'!$G$216&gt;0),"10 Relleno -0,60 - Inspección laboratorio","")</f>
        <v>10 Relleno -0,60 - Inspección laboratorio</v>
      </c>
      <c r="AL21" t="str">
        <f>IF(AND('01_Estado_Actual'!$L$240="Para Programar",'01_Estado_Actual'!$G$240&gt;0),"10 Relleno -0,60 - Inspección laboratorio","")</f>
        <v/>
      </c>
      <c r="AM21" t="str">
        <f>IF(AND('01_Estado_Actual'!$L$264="Para Programar",'01_Estado_Actual'!$G$264&gt;0),"10 Relleno -0,60 - Inspección laboratorio","")</f>
        <v/>
      </c>
      <c r="AN21" t="str">
        <f>IF(AND('01_Estado_Actual'!$L$288="Para Programar",'01_Estado_Actual'!$G$288&gt;0),"10 Relleno -0,60 - Inspección laboratorio","")</f>
        <v/>
      </c>
      <c r="AO21" t="str">
        <f>IF(AND('01_Estado_Actual'!$L$312="Para Programar",'01_Estado_Actual'!$G$312&gt;0),"10 Relleno -0,60 - Inspección laboratorio","")</f>
        <v/>
      </c>
      <c r="AP21" t="str">
        <f>IF(AND('01_Estado_Actual'!$L$336="Para Programar",'01_Estado_Actual'!$G$336&gt;0),"10 Relleno -0,60 - Inspección laboratorio","")</f>
        <v>10 Relleno -0,60 - Inspección laboratorio</v>
      </c>
      <c r="AQ21" t="str">
        <f>IF(AND('01_Estado_Actual'!$L$360="Para Programar",'01_Estado_Actual'!$G$360&gt;0),"10 Relleno -0,60 - Inspección laboratorio","")</f>
        <v>10 Relleno -0,60 - Inspección laboratorio</v>
      </c>
      <c r="AR21" t="str">
        <f>IF(AND('01_Estado_Actual'!$L$384="Para Programar",'01_Estado_Actual'!$G$384&gt;0),"10 Relleno -0,60 - Inspección laboratorio","")</f>
        <v>10 Relleno -0,60 - Inspección laboratorio</v>
      </c>
      <c r="AS21" t="str">
        <f>IF(AND('01_Estado_Actual'!$L$408="Para Programar",'01_Estado_Actual'!$G$408&gt;0),"10 Relleno -0,60 - Inspección laboratorio","")</f>
        <v>10 Relleno -0,60 - Inspección laboratorio</v>
      </c>
      <c r="AT21" t="str">
        <f>IF(AND('01_Estado_Actual'!$L$432="Para Programar",'01_Estado_Actual'!$G$432&gt;0),"10 Relleno -0,60 - Inspección laboratorio","")</f>
        <v/>
      </c>
      <c r="AU21" t="str">
        <f>IF(AND('01_Estado_Actual'!$L$456="Para Programar",'01_Estado_Actual'!$G$456&gt;0),"10 Relleno -0,60 - Inspección laboratorio","")</f>
        <v/>
      </c>
      <c r="AV21" t="str">
        <f>IF(AND('01_Estado_Actual'!$L$480="Para Programar",'01_Estado_Actual'!$G$480&gt;0),"10 Relleno -0,60 - Inspección laboratorio","")</f>
        <v/>
      </c>
      <c r="AW21" t="str">
        <f>IF(AND('01_Estado_Actual'!$L$504="Para Programar",'01_Estado_Actual'!$G$504&gt;0),"10 Relleno -0,60 - Inspección laboratorio","")</f>
        <v/>
      </c>
      <c r="AX21" t="str">
        <f>IF(AND('01_Estado_Actual'!$L$528="Para Programar",'01_Estado_Actual'!$G$528&gt;0),"10 Relleno -0,60 - Inspección laboratorio","")</f>
        <v/>
      </c>
      <c r="AY21" t="str">
        <f>IF(AND('01_Estado_Actual'!$L$552="Para Programar",'01_Estado_Actual'!$G$552&gt;0),"10 Relleno -0,60 - Inspección laboratorio","")</f>
        <v/>
      </c>
      <c r="AZ21" t="str">
        <f>IF(AND('01_Estado_Actual'!$L$576="Para Programar",'01_Estado_Actual'!$G$576&gt;0),"10 Relleno -0,60 - Inspección laboratorio","")</f>
        <v/>
      </c>
      <c r="BA21" t="str">
        <f>IF(AND('01_Estado_Actual'!$L$600="Para Programar",'01_Estado_Actual'!$G$600&gt;0),"10 Relleno -0,60 - Inspección laboratorio","")</f>
        <v/>
      </c>
      <c r="BB21" t="str">
        <f>IF(AND('01_Estado_Actual'!$L$624="Para Programar",'01_Estado_Actual'!$G$624&gt;0),"10 Relleno -0,60 - Inspección laboratorio","")</f>
        <v/>
      </c>
      <c r="BC21" t="str">
        <f>IF(AND('01_Estado_Actual'!$L$648="Para Programar",'01_Estado_Actual'!$G$648&gt;0),"10 Relleno -0,60 - Inspección laboratorio","")</f>
        <v/>
      </c>
      <c r="BD21" t="str">
        <f>IF(AND('01_Estado_Actual'!$L$672="Para Programar",'01_Estado_Actual'!$G$672&gt;0),"10 Relleno -0,60 - Inspección laboratorio","")</f>
        <v/>
      </c>
      <c r="BE21" t="str">
        <f>IF(AND('01_Estado_Actual'!$L$696="Para Programar",'01_Estado_Actual'!$G$696&gt;0),"10 Relleno -0,60 - Inspección laboratorio","")</f>
        <v/>
      </c>
      <c r="BF21" t="str">
        <f>IF(AND('01_Estado_Actual'!$L$720="Para Programar",'01_Estado_Actual'!$G$720&gt;0),"10 Relleno -0,60 - Inspección laboratorio","")</f>
        <v>10 Relleno -0,60 - Inspección laboratorio</v>
      </c>
      <c r="BG21" t="str">
        <f>IF(AND('01_Estado_Actual'!$L$744="Para Programar",'01_Estado_Actual'!$G$744&gt;0),"10 Relleno -0,60 - Inspección laboratorio","")</f>
        <v>10 Relleno -0,60 - Inspección laboratorio</v>
      </c>
      <c r="BH21" t="str">
        <f>IF(AND('01_Estado_Actual'!$L$768="Para Programar",'01_Estado_Actual'!$G$768&gt;0),"10 Relleno -0,60 - Inspección laboratorio","")</f>
        <v/>
      </c>
      <c r="BI21" t="str">
        <f>IF(AND('01_Estado_Actual'!$L$792="Para Programar",'01_Estado_Actual'!$G$792&gt;0),"10 Relleno -0,60 - Inspección laboratorio","")</f>
        <v/>
      </c>
      <c r="BJ21" t="str">
        <f>IF(AND('01_Estado_Actual'!$L$816="Para Programar",'01_Estado_Actual'!$G$816&gt;0),"10 Relleno -0,60 - Inspección laboratorio","")</f>
        <v/>
      </c>
      <c r="BK21" t="str">
        <f>IF(AND('01_Estado_Actual'!$L$840="Para Programar",'01_Estado_Actual'!$G$840&gt;0),"10 Relleno -0,60 - Inspección laboratorio","")</f>
        <v/>
      </c>
      <c r="BL21" t="str">
        <f>IF(AND('01_Estado_Actual'!$L$864="Para Programar",'01_Estado_Actual'!$G$864&gt;0),"10 Relleno -0,60 - Inspección laboratorio","")</f>
        <v/>
      </c>
      <c r="BM21" t="str">
        <f>IF(AND('01_Estado_Actual'!$L$888="Para Programar",'01_Estado_Actual'!$G$888&gt;0),"10 Relleno -0,60 - Inspección laboratorio","")</f>
        <v/>
      </c>
      <c r="BN21" t="str">
        <f>IF(AND('01_Estado_Actual'!$L$912="Para Programar",'01_Estado_Actual'!$G$912&gt;0),"10 Relleno -0,60 - Inspección laboratorio","")</f>
        <v/>
      </c>
      <c r="BO21" t="str">
        <f>IF(AND('01_Estado_Actual'!$L$936="Para Programar",'01_Estado_Actual'!$G$936&gt;0),"10 Relleno -0,60 - Inspección laboratorio","")</f>
        <v/>
      </c>
      <c r="BP21" t="str">
        <f>IF(AND('01_Estado_Actual'!$L$960="Para Programar",'01_Estado_Actual'!$G$960&gt;0),"10 Relleno -0,60 - Inspección laboratorio","")</f>
        <v/>
      </c>
      <c r="BQ21" t="str">
        <f>IF(AND('01_Estado_Actual'!$L$984="Para Programar",'01_Estado_Actual'!$G$984&gt;0),"10 Relleno -0,60 - Inspección laboratorio","")</f>
        <v/>
      </c>
      <c r="BR21" t="str">
        <f>IF(AND('01_Estado_Actual'!$L$1008="Para Programar",'01_Estado_Actual'!$G$1008&gt;0),"10 Relleno -0,60 - Inspección laboratorio","")</f>
        <v/>
      </c>
      <c r="BS21" t="str">
        <f>IF(AND('01_Estado_Actual'!$L$1032="Para Programar",'01_Estado_Actual'!$G$1032&gt;0),"10 Relleno -0,60 - Inspección laboratorio","")</f>
        <v/>
      </c>
      <c r="BT21" t="str">
        <f>IF(AND('01_Estado_Actual'!$L$1056="Para Programar",'01_Estado_Actual'!$G$1056&gt;0),"10 Relleno -0,60 - Inspección laboratorio","")</f>
        <v/>
      </c>
      <c r="BU21" t="str">
        <f>IF(AND('01_Estado_Actual'!$L$1080="Para Programar",'01_Estado_Actual'!$G$1080&gt;0),"10 Relleno -0,60 - Inspección laboratorio","")</f>
        <v/>
      </c>
      <c r="BV21" t="str">
        <f>IF(AND('01_Estado_Actual'!$L$1104="Para Programar",'01_Estado_Actual'!$G$1104&gt;0),"10 Relleno -0,60 - Inspección laboratorio","")</f>
        <v/>
      </c>
      <c r="BW21" t="str">
        <f>IF(AND('01_Estado_Actual'!$L$1128="Para Programar",'01_Estado_Actual'!$G$1128&gt;0),"10 Relleno -0,60 - Inspección laboratorio","")</f>
        <v/>
      </c>
      <c r="BX21" t="str">
        <f>IF(AND('01_Estado_Actual'!$L$1152="Para Programar",'01_Estado_Actual'!$G$1152&gt;0),"10 Relleno -0,60 - Inspección laboratorio","")</f>
        <v/>
      </c>
      <c r="BY21" t="str">
        <f>IF(AND('01_Estado_Actual'!$L$1176="Para Programar",'01_Estado_Actual'!$G$1176&gt;0),"10 Relleno -0,60 - Inspección laboratorio","")</f>
        <v/>
      </c>
      <c r="BZ21" t="str">
        <f>IF(AND('01_Estado_Actual'!$L$1200="Para Programar",'01_Estado_Actual'!$G$1200&gt;0),"10 Relleno -0,60 - Inspección laboratorio","")</f>
        <v/>
      </c>
    </row>
    <row r="22" spans="1:78">
      <c r="A22" t="str">
        <f>IF(OR(B22="",C22=""),"","PLAN-"&amp;18)</f>
        <v/>
      </c>
      <c r="D22" t="str">
        <f>IF(OR(B22="",C22=""),"",IF(C22="06 Servicios - Colocación de vaina / caño camisa","u",IF(C22="07 Hidrante - Ejecución completa","%",IFERROR(_xludf.XLOOKUP(B22&amp;"|"&amp;C22,'07_Base_Tecnica'!$AK$2:$AK$1201,'07_Base_Tecnica'!$AL$2:$AL$1201,""),""))))</f>
        <v/>
      </c>
      <c r="E22" t="str">
        <f>IF(OR(B22="",C22=""),"",IF(C22="06 Servicios - Colocación de vaina / caño camisa",MAX(0,IFERROR(_xludf.XLOOKUP(B22,'07_Base_Tecnica'!$K$5:$K$54,'07_Base_Tecnica'!$Q$5:$Q$54,0),0)-MAX(SUMIFS('05_Parte_Diario'!$H$5:$H$204,'05_Parte_Diario'!$D$5:$D$204,B22,'05_Parte_Diario'!$E$5:$E$204,"06 Servicios - Colocación de vaina / caño camisa"),COUNTIFS('06_Control_Semanal'!$B$283:$B$533,B22,'06_Control_Semanal'!$D$283:$D$533,"Colocada"))),IF(C22="07 Hidrante - Ejecución completa",MAX(0,100-SUMIFS('06_Control_Semanal'!$D$203:$D$222,'06_Control_Semanal'!$C$203:$C$222,B22)),IFERROR(_xludf.XLOOKUP(B22&amp;"|"&amp;C22,'02_Para_Programar'!$N$5:$N$304,'02_Para_Programar'!$F$5:$F$304,0),0))))</f>
        <v/>
      </c>
      <c r="G22" t="str">
        <f t="shared" si="0"/>
        <v/>
      </c>
      <c r="H22" s="5"/>
      <c r="I22" s="5"/>
      <c r="O22" t="str">
        <f>IF(OR(B22="",C22=""),"",IF(C22="07 Hidrante - Ejecución completa",IF(COUNTIF('06_Control_Semanal'!$C$203:$C$222,B22)&gt;1,"ALERTA: &gt;1 HIDRANTE",IF(E22&gt;0,"OK","SIN SALDO / NO PROGRAMAR")),IF(E22&gt;0,"OK","SIN SALDO / NO PROGRAMAR")))</f>
        <v/>
      </c>
      <c r="P22" t="str">
        <f t="shared" si="1"/>
        <v/>
      </c>
      <c r="Q22" t="str">
        <f>IF(B22="","",IFERROR(_xludf.XLOOKUP(B22,'07_Base_Tecnica'!$K$5:$K$54,'07_Base_Tecnica'!$W$5:$W$54,""),""))</f>
        <v/>
      </c>
      <c r="R22" t="str">
        <f>IF(B22="","",IFERROR(_xludf.XLOOKUP(B22,'07_Base_Tecnica'!$K$5:$K$54,'07_Base_Tecnica'!$X$5:$X$54,""),""))</f>
        <v/>
      </c>
      <c r="AA22" t="s">
        <v>152</v>
      </c>
      <c r="AC22" t="str">
        <f>IF(AND('01_Estado_Actual'!$L$25="Para Programar",'01_Estado_Actual'!$G$25&gt;0),"11 Relleno -0,30 - Conformación de capa","")</f>
        <v/>
      </c>
      <c r="AD22" t="str">
        <f>IF(AND('01_Estado_Actual'!$L$49="Para Programar",'01_Estado_Actual'!$G$49&gt;0),"11 Relleno -0,30 - Conformación de capa","")</f>
        <v/>
      </c>
      <c r="AE22" t="str">
        <f>IF(AND('01_Estado_Actual'!$L$73="Para Programar",'01_Estado_Actual'!$G$73&gt;0),"11 Relleno -0,30 - Conformación de capa","")</f>
        <v/>
      </c>
      <c r="AF22" t="str">
        <f>IF(AND('01_Estado_Actual'!$L$97="Para Programar",'01_Estado_Actual'!$G$97&gt;0),"11 Relleno -0,30 - Conformación de capa","")</f>
        <v/>
      </c>
      <c r="AG22" t="str">
        <f>IF(AND('01_Estado_Actual'!$L$121="Para Programar",'01_Estado_Actual'!$G$121&gt;0),"11 Relleno -0,30 - Conformación de capa","")</f>
        <v/>
      </c>
      <c r="AH22" t="str">
        <f>IF(AND('01_Estado_Actual'!$L$145="Para Programar",'01_Estado_Actual'!$G$145&gt;0),"11 Relleno -0,30 - Conformación de capa","")</f>
        <v/>
      </c>
      <c r="AI22" t="str">
        <f>IF(AND('01_Estado_Actual'!$L$169="Para Programar",'01_Estado_Actual'!$G$169&gt;0),"11 Relleno -0,30 - Conformación de capa","")</f>
        <v/>
      </c>
      <c r="AJ22" t="str">
        <f>IF(AND('01_Estado_Actual'!$L$193="Para Programar",'01_Estado_Actual'!$G$193&gt;0),"11 Relleno -0,30 - Conformación de capa","")</f>
        <v/>
      </c>
      <c r="AK22" t="str">
        <f>IF(AND('01_Estado_Actual'!$L$217="Para Programar",'01_Estado_Actual'!$G$217&gt;0),"11 Relleno -0,30 - Conformación de capa","")</f>
        <v>11 Relleno -0,30 - Conformación de capa</v>
      </c>
      <c r="AL22" t="str">
        <f>IF(AND('01_Estado_Actual'!$L$241="Para Programar",'01_Estado_Actual'!$G$241&gt;0),"11 Relleno -0,30 - Conformación de capa","")</f>
        <v/>
      </c>
      <c r="AM22" t="str">
        <f>IF(AND('01_Estado_Actual'!$L$265="Para Programar",'01_Estado_Actual'!$G$265&gt;0),"11 Relleno -0,30 - Conformación de capa","")</f>
        <v/>
      </c>
      <c r="AN22" t="str">
        <f>IF(AND('01_Estado_Actual'!$L$289="Para Programar",'01_Estado_Actual'!$G$289&gt;0),"11 Relleno -0,30 - Conformación de capa","")</f>
        <v/>
      </c>
      <c r="AO22" t="str">
        <f>IF(AND('01_Estado_Actual'!$L$313="Para Programar",'01_Estado_Actual'!$G$313&gt;0),"11 Relleno -0,30 - Conformación de capa","")</f>
        <v/>
      </c>
      <c r="AP22" t="str">
        <f>IF(AND('01_Estado_Actual'!$L$337="Para Programar",'01_Estado_Actual'!$G$337&gt;0),"11 Relleno -0,30 - Conformación de capa","")</f>
        <v>11 Relleno -0,30 - Conformación de capa</v>
      </c>
      <c r="AQ22" t="str">
        <f>IF(AND('01_Estado_Actual'!$L$361="Para Programar",'01_Estado_Actual'!$G$361&gt;0),"11 Relleno -0,30 - Conformación de capa","")</f>
        <v>11 Relleno -0,30 - Conformación de capa</v>
      </c>
      <c r="AR22" t="str">
        <f>IF(AND('01_Estado_Actual'!$L$385="Para Programar",'01_Estado_Actual'!$G$385&gt;0),"11 Relleno -0,30 - Conformación de capa","")</f>
        <v>11 Relleno -0,30 - Conformación de capa</v>
      </c>
      <c r="AS22" t="str">
        <f>IF(AND('01_Estado_Actual'!$L$409="Para Programar",'01_Estado_Actual'!$G$409&gt;0),"11 Relleno -0,30 - Conformación de capa","")</f>
        <v>11 Relleno -0,30 - Conformación de capa</v>
      </c>
      <c r="AT22" t="str">
        <f>IF(AND('01_Estado_Actual'!$L$433="Para Programar",'01_Estado_Actual'!$G$433&gt;0),"11 Relleno -0,30 - Conformación de capa","")</f>
        <v/>
      </c>
      <c r="AU22" t="str">
        <f>IF(AND('01_Estado_Actual'!$L$457="Para Programar",'01_Estado_Actual'!$G$457&gt;0),"11 Relleno -0,30 - Conformación de capa","")</f>
        <v/>
      </c>
      <c r="AV22" t="str">
        <f>IF(AND('01_Estado_Actual'!$L$481="Para Programar",'01_Estado_Actual'!$G$481&gt;0),"11 Relleno -0,30 - Conformación de capa","")</f>
        <v/>
      </c>
      <c r="AW22" t="str">
        <f>IF(AND('01_Estado_Actual'!$L$505="Para Programar",'01_Estado_Actual'!$G$505&gt;0),"11 Relleno -0,30 - Conformación de capa","")</f>
        <v/>
      </c>
      <c r="AX22" t="str">
        <f>IF(AND('01_Estado_Actual'!$L$529="Para Programar",'01_Estado_Actual'!$G$529&gt;0),"11 Relleno -0,30 - Conformación de capa","")</f>
        <v/>
      </c>
      <c r="AY22" t="str">
        <f>IF(AND('01_Estado_Actual'!$L$553="Para Programar",'01_Estado_Actual'!$G$553&gt;0),"11 Relleno -0,30 - Conformación de capa","")</f>
        <v/>
      </c>
      <c r="AZ22" t="str">
        <f>IF(AND('01_Estado_Actual'!$L$577="Para Programar",'01_Estado_Actual'!$G$577&gt;0),"11 Relleno -0,30 - Conformación de capa","")</f>
        <v/>
      </c>
      <c r="BA22" t="str">
        <f>IF(AND('01_Estado_Actual'!$L$601="Para Programar",'01_Estado_Actual'!$G$601&gt;0),"11 Relleno -0,30 - Conformación de capa","")</f>
        <v/>
      </c>
      <c r="BB22" t="str">
        <f>IF(AND('01_Estado_Actual'!$L$625="Para Programar",'01_Estado_Actual'!$G$625&gt;0),"11 Relleno -0,30 - Conformación de capa","")</f>
        <v/>
      </c>
      <c r="BC22" t="str">
        <f>IF(AND('01_Estado_Actual'!$L$649="Para Programar",'01_Estado_Actual'!$G$649&gt;0),"11 Relleno -0,30 - Conformación de capa","")</f>
        <v/>
      </c>
      <c r="BD22" t="str">
        <f>IF(AND('01_Estado_Actual'!$L$673="Para Programar",'01_Estado_Actual'!$G$673&gt;0),"11 Relleno -0,30 - Conformación de capa","")</f>
        <v/>
      </c>
      <c r="BE22" t="str">
        <f>IF(AND('01_Estado_Actual'!$L$697="Para Programar",'01_Estado_Actual'!$G$697&gt;0),"11 Relleno -0,30 - Conformación de capa","")</f>
        <v/>
      </c>
      <c r="BF22" t="str">
        <f>IF(AND('01_Estado_Actual'!$L$721="Para Programar",'01_Estado_Actual'!$G$721&gt;0),"11 Relleno -0,30 - Conformación de capa","")</f>
        <v>11 Relleno -0,30 - Conformación de capa</v>
      </c>
      <c r="BG22" t="str">
        <f>IF(AND('01_Estado_Actual'!$L$745="Para Programar",'01_Estado_Actual'!$G$745&gt;0),"11 Relleno -0,30 - Conformación de capa","")</f>
        <v>11 Relleno -0,30 - Conformación de capa</v>
      </c>
      <c r="BH22" t="str">
        <f>IF(AND('01_Estado_Actual'!$L$769="Para Programar",'01_Estado_Actual'!$G$769&gt;0),"11 Relleno -0,30 - Conformación de capa","")</f>
        <v/>
      </c>
      <c r="BI22" t="str">
        <f>IF(AND('01_Estado_Actual'!$L$793="Para Programar",'01_Estado_Actual'!$G$793&gt;0),"11 Relleno -0,30 - Conformación de capa","")</f>
        <v/>
      </c>
      <c r="BJ22" t="str">
        <f>IF(AND('01_Estado_Actual'!$L$817="Para Programar",'01_Estado_Actual'!$G$817&gt;0),"11 Relleno -0,30 - Conformación de capa","")</f>
        <v/>
      </c>
      <c r="BK22" t="str">
        <f>IF(AND('01_Estado_Actual'!$L$841="Para Programar",'01_Estado_Actual'!$G$841&gt;0),"11 Relleno -0,30 - Conformación de capa","")</f>
        <v/>
      </c>
      <c r="BL22" t="str">
        <f>IF(AND('01_Estado_Actual'!$L$865="Para Programar",'01_Estado_Actual'!$G$865&gt;0),"11 Relleno -0,30 - Conformación de capa","")</f>
        <v/>
      </c>
      <c r="BM22" t="str">
        <f>IF(AND('01_Estado_Actual'!$L$889="Para Programar",'01_Estado_Actual'!$G$889&gt;0),"11 Relleno -0,30 - Conformación de capa","")</f>
        <v/>
      </c>
      <c r="BN22" t="str">
        <f>IF(AND('01_Estado_Actual'!$L$913="Para Programar",'01_Estado_Actual'!$G$913&gt;0),"11 Relleno -0,30 - Conformación de capa","")</f>
        <v/>
      </c>
      <c r="BO22" t="str">
        <f>IF(AND('01_Estado_Actual'!$L$937="Para Programar",'01_Estado_Actual'!$G$937&gt;0),"11 Relleno -0,30 - Conformación de capa","")</f>
        <v/>
      </c>
      <c r="BP22" t="str">
        <f>IF(AND('01_Estado_Actual'!$L$961="Para Programar",'01_Estado_Actual'!$G$961&gt;0),"11 Relleno -0,30 - Conformación de capa","")</f>
        <v/>
      </c>
      <c r="BQ22" t="str">
        <f>IF(AND('01_Estado_Actual'!$L$985="Para Programar",'01_Estado_Actual'!$G$985&gt;0),"11 Relleno -0,30 - Conformación de capa","")</f>
        <v/>
      </c>
      <c r="BR22" t="str">
        <f>IF(AND('01_Estado_Actual'!$L$1009="Para Programar",'01_Estado_Actual'!$G$1009&gt;0),"11 Relleno -0,30 - Conformación de capa","")</f>
        <v/>
      </c>
      <c r="BS22" t="str">
        <f>IF(AND('01_Estado_Actual'!$L$1033="Para Programar",'01_Estado_Actual'!$G$1033&gt;0),"11 Relleno -0,30 - Conformación de capa","")</f>
        <v/>
      </c>
      <c r="BT22" t="str">
        <f>IF(AND('01_Estado_Actual'!$L$1057="Para Programar",'01_Estado_Actual'!$G$1057&gt;0),"11 Relleno -0,30 - Conformación de capa","")</f>
        <v/>
      </c>
      <c r="BU22" t="str">
        <f>IF(AND('01_Estado_Actual'!$L$1081="Para Programar",'01_Estado_Actual'!$G$1081&gt;0),"11 Relleno -0,30 - Conformación de capa","")</f>
        <v/>
      </c>
      <c r="BV22" t="str">
        <f>IF(AND('01_Estado_Actual'!$L$1105="Para Programar",'01_Estado_Actual'!$G$1105&gt;0),"11 Relleno -0,30 - Conformación de capa","")</f>
        <v/>
      </c>
      <c r="BW22" t="str">
        <f>IF(AND('01_Estado_Actual'!$L$1129="Para Programar",'01_Estado_Actual'!$G$1129&gt;0),"11 Relleno -0,30 - Conformación de capa","")</f>
        <v/>
      </c>
      <c r="BX22" t="str">
        <f>IF(AND('01_Estado_Actual'!$L$1153="Para Programar",'01_Estado_Actual'!$G$1153&gt;0),"11 Relleno -0,30 - Conformación de capa","")</f>
        <v/>
      </c>
      <c r="BY22" t="str">
        <f>IF(AND('01_Estado_Actual'!$L$1177="Para Programar",'01_Estado_Actual'!$G$1177&gt;0),"11 Relleno -0,30 - Conformación de capa","")</f>
        <v/>
      </c>
      <c r="BZ22" t="str">
        <f>IF(AND('01_Estado_Actual'!$L$1201="Para Programar",'01_Estado_Actual'!$G$1201&gt;0),"11 Relleno -0,30 - Conformación de capa","")</f>
        <v/>
      </c>
    </row>
    <row r="23" spans="1:78">
      <c r="A23" t="str">
        <f>IF(OR(B23="",C23=""),"","PLAN-"&amp;19)</f>
        <v/>
      </c>
      <c r="D23" t="str">
        <f>IF(OR(B23="",C23=""),"",IF(C23="06 Servicios - Colocación de vaina / caño camisa","u",IF(C23="07 Hidrante - Ejecución completa","%",IFERROR(_xludf.XLOOKUP(B23&amp;"|"&amp;C23,'07_Base_Tecnica'!$AK$2:$AK$1201,'07_Base_Tecnica'!$AL$2:$AL$1201,""),""))))</f>
        <v/>
      </c>
      <c r="E23" t="str">
        <f>IF(OR(B23="",C23=""),"",IF(C23="06 Servicios - Colocación de vaina / caño camisa",MAX(0,IFERROR(_xludf.XLOOKUP(B23,'07_Base_Tecnica'!$K$5:$K$54,'07_Base_Tecnica'!$Q$5:$Q$54,0),0)-MAX(SUMIFS('05_Parte_Diario'!$H$5:$H$204,'05_Parte_Diario'!$D$5:$D$204,B23,'05_Parte_Diario'!$E$5:$E$204,"06 Servicios - Colocación de vaina / caño camisa"),COUNTIFS('06_Control_Semanal'!$B$283:$B$533,B23,'06_Control_Semanal'!$D$283:$D$533,"Colocada"))),IF(C23="07 Hidrante - Ejecución completa",MAX(0,100-SUMIFS('06_Control_Semanal'!$D$203:$D$222,'06_Control_Semanal'!$C$203:$C$222,B23)),IFERROR(_xludf.XLOOKUP(B23&amp;"|"&amp;C23,'02_Para_Programar'!$N$5:$N$304,'02_Para_Programar'!$F$5:$F$304,0),0))))</f>
        <v/>
      </c>
      <c r="G23" t="str">
        <f t="shared" si="0"/>
        <v/>
      </c>
      <c r="H23" s="5"/>
      <c r="I23" s="5"/>
      <c r="O23" t="str">
        <f>IF(OR(B23="",C23=""),"",IF(C23="07 Hidrante - Ejecución completa",IF(COUNTIF('06_Control_Semanal'!$C$203:$C$222,B23)&gt;1,"ALERTA: &gt;1 HIDRANTE",IF(E23&gt;0,"OK","SIN SALDO / NO PROGRAMAR")),IF(E23&gt;0,"OK","SIN SALDO / NO PROGRAMAR")))</f>
        <v/>
      </c>
      <c r="P23" t="str">
        <f t="shared" si="1"/>
        <v/>
      </c>
      <c r="Q23" t="str">
        <f>IF(B23="","",IFERROR(_xludf.XLOOKUP(B23,'07_Base_Tecnica'!$K$5:$K$54,'07_Base_Tecnica'!$W$5:$W$54,""),""))</f>
        <v/>
      </c>
      <c r="R23" t="str">
        <f>IF(B23="","",IFERROR(_xludf.XLOOKUP(B23,'07_Base_Tecnica'!$K$5:$K$54,'07_Base_Tecnica'!$X$5:$X$54,""),""))</f>
        <v/>
      </c>
      <c r="AA23" t="s">
        <v>153</v>
      </c>
      <c r="AC23" t="str">
        <f>IF(AND('01_Estado_Actual'!$L$26="Para Programar",'01_Estado_Actual'!$G$26&gt;0),"11 Relleno -0,30 - Humectación","")</f>
        <v/>
      </c>
      <c r="AD23" t="str">
        <f>IF(AND('01_Estado_Actual'!$L$50="Para Programar",'01_Estado_Actual'!$G$50&gt;0),"11 Relleno -0,30 - Humectación","")</f>
        <v/>
      </c>
      <c r="AE23" t="str">
        <f>IF(AND('01_Estado_Actual'!$L$74="Para Programar",'01_Estado_Actual'!$G$74&gt;0),"11 Relleno -0,30 - Humectación","")</f>
        <v/>
      </c>
      <c r="AF23" t="str">
        <f>IF(AND('01_Estado_Actual'!$L$98="Para Programar",'01_Estado_Actual'!$G$98&gt;0),"11 Relleno -0,30 - Humectación","")</f>
        <v/>
      </c>
      <c r="AG23" t="str">
        <f>IF(AND('01_Estado_Actual'!$L$122="Para Programar",'01_Estado_Actual'!$G$122&gt;0),"11 Relleno -0,30 - Humectación","")</f>
        <v/>
      </c>
      <c r="AH23" t="str">
        <f>IF(AND('01_Estado_Actual'!$L$146="Para Programar",'01_Estado_Actual'!$G$146&gt;0),"11 Relleno -0,30 - Humectación","")</f>
        <v/>
      </c>
      <c r="AI23" t="str">
        <f>IF(AND('01_Estado_Actual'!$L$170="Para Programar",'01_Estado_Actual'!$G$170&gt;0),"11 Relleno -0,30 - Humectación","")</f>
        <v/>
      </c>
      <c r="AJ23" t="str">
        <f>IF(AND('01_Estado_Actual'!$L$194="Para Programar",'01_Estado_Actual'!$G$194&gt;0),"11 Relleno -0,30 - Humectación","")</f>
        <v/>
      </c>
      <c r="AK23" t="str">
        <f>IF(AND('01_Estado_Actual'!$L$218="Para Programar",'01_Estado_Actual'!$G$218&gt;0),"11 Relleno -0,30 - Humectación","")</f>
        <v>11 Relleno -0,30 - Humectación</v>
      </c>
      <c r="AL23" t="str">
        <f>IF(AND('01_Estado_Actual'!$L$242="Para Programar",'01_Estado_Actual'!$G$242&gt;0),"11 Relleno -0,30 - Humectación","")</f>
        <v/>
      </c>
      <c r="AM23" t="str">
        <f>IF(AND('01_Estado_Actual'!$L$266="Para Programar",'01_Estado_Actual'!$G$266&gt;0),"11 Relleno -0,30 - Humectación","")</f>
        <v/>
      </c>
      <c r="AN23" t="str">
        <f>IF(AND('01_Estado_Actual'!$L$290="Para Programar",'01_Estado_Actual'!$G$290&gt;0),"11 Relleno -0,30 - Humectación","")</f>
        <v/>
      </c>
      <c r="AO23" t="str">
        <f>IF(AND('01_Estado_Actual'!$L$314="Para Programar",'01_Estado_Actual'!$G$314&gt;0),"11 Relleno -0,30 - Humectación","")</f>
        <v/>
      </c>
      <c r="AP23" t="str">
        <f>IF(AND('01_Estado_Actual'!$L$338="Para Programar",'01_Estado_Actual'!$G$338&gt;0),"11 Relleno -0,30 - Humectación","")</f>
        <v>11 Relleno -0,30 - Humectación</v>
      </c>
      <c r="AQ23" t="str">
        <f>IF(AND('01_Estado_Actual'!$L$362="Para Programar",'01_Estado_Actual'!$G$362&gt;0),"11 Relleno -0,30 - Humectación","")</f>
        <v>11 Relleno -0,30 - Humectación</v>
      </c>
      <c r="AR23" t="str">
        <f>IF(AND('01_Estado_Actual'!$L$386="Para Programar",'01_Estado_Actual'!$G$386&gt;0),"11 Relleno -0,30 - Humectación","")</f>
        <v>11 Relleno -0,30 - Humectación</v>
      </c>
      <c r="AS23" t="str">
        <f>IF(AND('01_Estado_Actual'!$L$410="Para Programar",'01_Estado_Actual'!$G$410&gt;0),"11 Relleno -0,30 - Humectación","")</f>
        <v>11 Relleno -0,30 - Humectación</v>
      </c>
      <c r="AT23" t="str">
        <f>IF(AND('01_Estado_Actual'!$L$434="Para Programar",'01_Estado_Actual'!$G$434&gt;0),"11 Relleno -0,30 - Humectación","")</f>
        <v/>
      </c>
      <c r="AU23" t="str">
        <f>IF(AND('01_Estado_Actual'!$L$458="Para Programar",'01_Estado_Actual'!$G$458&gt;0),"11 Relleno -0,30 - Humectación","")</f>
        <v/>
      </c>
      <c r="AV23" t="str">
        <f>IF(AND('01_Estado_Actual'!$L$482="Para Programar",'01_Estado_Actual'!$G$482&gt;0),"11 Relleno -0,30 - Humectación","")</f>
        <v/>
      </c>
      <c r="AW23" t="str">
        <f>IF(AND('01_Estado_Actual'!$L$506="Para Programar",'01_Estado_Actual'!$G$506&gt;0),"11 Relleno -0,30 - Humectación","")</f>
        <v/>
      </c>
      <c r="AX23" t="str">
        <f>IF(AND('01_Estado_Actual'!$L$530="Para Programar",'01_Estado_Actual'!$G$530&gt;0),"11 Relleno -0,30 - Humectación","")</f>
        <v/>
      </c>
      <c r="AY23" t="str">
        <f>IF(AND('01_Estado_Actual'!$L$554="Para Programar",'01_Estado_Actual'!$G$554&gt;0),"11 Relleno -0,30 - Humectación","")</f>
        <v/>
      </c>
      <c r="AZ23" t="str">
        <f>IF(AND('01_Estado_Actual'!$L$578="Para Programar",'01_Estado_Actual'!$G$578&gt;0),"11 Relleno -0,30 - Humectación","")</f>
        <v/>
      </c>
      <c r="BA23" t="str">
        <f>IF(AND('01_Estado_Actual'!$L$602="Para Programar",'01_Estado_Actual'!$G$602&gt;0),"11 Relleno -0,30 - Humectación","")</f>
        <v/>
      </c>
      <c r="BB23" t="str">
        <f>IF(AND('01_Estado_Actual'!$L$626="Para Programar",'01_Estado_Actual'!$G$626&gt;0),"11 Relleno -0,30 - Humectación","")</f>
        <v/>
      </c>
      <c r="BC23" t="str">
        <f>IF(AND('01_Estado_Actual'!$L$650="Para Programar",'01_Estado_Actual'!$G$650&gt;0),"11 Relleno -0,30 - Humectación","")</f>
        <v/>
      </c>
      <c r="BD23" t="str">
        <f>IF(AND('01_Estado_Actual'!$L$674="Para Programar",'01_Estado_Actual'!$G$674&gt;0),"11 Relleno -0,30 - Humectación","")</f>
        <v/>
      </c>
      <c r="BE23" t="str">
        <f>IF(AND('01_Estado_Actual'!$L$698="Para Programar",'01_Estado_Actual'!$G$698&gt;0),"11 Relleno -0,30 - Humectación","")</f>
        <v/>
      </c>
      <c r="BF23" t="str">
        <f>IF(AND('01_Estado_Actual'!$L$722="Para Programar",'01_Estado_Actual'!$G$722&gt;0),"11 Relleno -0,30 - Humectación","")</f>
        <v>11 Relleno -0,30 - Humectación</v>
      </c>
      <c r="BG23" t="str">
        <f>IF(AND('01_Estado_Actual'!$L$746="Para Programar",'01_Estado_Actual'!$G$746&gt;0),"11 Relleno -0,30 - Humectación","")</f>
        <v>11 Relleno -0,30 - Humectación</v>
      </c>
      <c r="BH23" t="str">
        <f>IF(AND('01_Estado_Actual'!$L$770="Para Programar",'01_Estado_Actual'!$G$770&gt;0),"11 Relleno -0,30 - Humectación","")</f>
        <v/>
      </c>
      <c r="BI23" t="str">
        <f>IF(AND('01_Estado_Actual'!$L$794="Para Programar",'01_Estado_Actual'!$G$794&gt;0),"11 Relleno -0,30 - Humectación","")</f>
        <v/>
      </c>
      <c r="BJ23" t="str">
        <f>IF(AND('01_Estado_Actual'!$L$818="Para Programar",'01_Estado_Actual'!$G$818&gt;0),"11 Relleno -0,30 - Humectación","")</f>
        <v/>
      </c>
      <c r="BK23" t="str">
        <f>IF(AND('01_Estado_Actual'!$L$842="Para Programar",'01_Estado_Actual'!$G$842&gt;0),"11 Relleno -0,30 - Humectación","")</f>
        <v/>
      </c>
      <c r="BL23" t="str">
        <f>IF(AND('01_Estado_Actual'!$L$866="Para Programar",'01_Estado_Actual'!$G$866&gt;0),"11 Relleno -0,30 - Humectación","")</f>
        <v/>
      </c>
      <c r="BM23" t="str">
        <f>IF(AND('01_Estado_Actual'!$L$890="Para Programar",'01_Estado_Actual'!$G$890&gt;0),"11 Relleno -0,30 - Humectación","")</f>
        <v/>
      </c>
      <c r="BN23" t="str">
        <f>IF(AND('01_Estado_Actual'!$L$914="Para Programar",'01_Estado_Actual'!$G$914&gt;0),"11 Relleno -0,30 - Humectación","")</f>
        <v/>
      </c>
      <c r="BO23" t="str">
        <f>IF(AND('01_Estado_Actual'!$L$938="Para Programar",'01_Estado_Actual'!$G$938&gt;0),"11 Relleno -0,30 - Humectación","")</f>
        <v/>
      </c>
      <c r="BP23" t="str">
        <f>IF(AND('01_Estado_Actual'!$L$962="Para Programar",'01_Estado_Actual'!$G$962&gt;0),"11 Relleno -0,30 - Humectación","")</f>
        <v/>
      </c>
      <c r="BQ23" t="str">
        <f>IF(AND('01_Estado_Actual'!$L$986="Para Programar",'01_Estado_Actual'!$G$986&gt;0),"11 Relleno -0,30 - Humectación","")</f>
        <v/>
      </c>
      <c r="BR23" t="str">
        <f>IF(AND('01_Estado_Actual'!$L$1010="Para Programar",'01_Estado_Actual'!$G$1010&gt;0),"11 Relleno -0,30 - Humectación","")</f>
        <v/>
      </c>
      <c r="BS23" t="str">
        <f>IF(AND('01_Estado_Actual'!$L$1034="Para Programar",'01_Estado_Actual'!$G$1034&gt;0),"11 Relleno -0,30 - Humectación","")</f>
        <v/>
      </c>
      <c r="BT23" t="str">
        <f>IF(AND('01_Estado_Actual'!$L$1058="Para Programar",'01_Estado_Actual'!$G$1058&gt;0),"11 Relleno -0,30 - Humectación","")</f>
        <v/>
      </c>
      <c r="BU23" t="str">
        <f>IF(AND('01_Estado_Actual'!$L$1082="Para Programar",'01_Estado_Actual'!$G$1082&gt;0),"11 Relleno -0,30 - Humectación","")</f>
        <v/>
      </c>
      <c r="BV23" t="str">
        <f>IF(AND('01_Estado_Actual'!$L$1106="Para Programar",'01_Estado_Actual'!$G$1106&gt;0),"11 Relleno -0,30 - Humectación","")</f>
        <v/>
      </c>
      <c r="BW23" t="str">
        <f>IF(AND('01_Estado_Actual'!$L$1130="Para Programar",'01_Estado_Actual'!$G$1130&gt;0),"11 Relleno -0,30 - Humectación","")</f>
        <v/>
      </c>
      <c r="BX23" t="str">
        <f>IF(AND('01_Estado_Actual'!$L$1154="Para Programar",'01_Estado_Actual'!$G$1154&gt;0),"11 Relleno -0,30 - Humectación","")</f>
        <v/>
      </c>
      <c r="BY23" t="str">
        <f>IF(AND('01_Estado_Actual'!$L$1178="Para Programar",'01_Estado_Actual'!$G$1178&gt;0),"11 Relleno -0,30 - Humectación","")</f>
        <v/>
      </c>
      <c r="BZ23" t="str">
        <f>IF(AND('01_Estado_Actual'!$L$1202="Para Programar",'01_Estado_Actual'!$G$1202&gt;0),"11 Relleno -0,30 - Humectación","")</f>
        <v/>
      </c>
    </row>
    <row r="24" spans="1:78">
      <c r="A24" t="str">
        <f>IF(OR(B24="",C24=""),"","PLAN-"&amp;20)</f>
        <v/>
      </c>
      <c r="D24" t="str">
        <f>IF(OR(B24="",C24=""),"",IF(C24="06 Servicios - Colocación de vaina / caño camisa","u",IF(C24="07 Hidrante - Ejecución completa","%",IFERROR(_xludf.XLOOKUP(B24&amp;"|"&amp;C24,'07_Base_Tecnica'!$AK$2:$AK$1201,'07_Base_Tecnica'!$AL$2:$AL$1201,""),""))))</f>
        <v/>
      </c>
      <c r="E24" t="str">
        <f>IF(OR(B24="",C24=""),"",IF(C24="06 Servicios - Colocación de vaina / caño camisa",MAX(0,IFERROR(_xludf.XLOOKUP(B24,'07_Base_Tecnica'!$K$5:$K$54,'07_Base_Tecnica'!$Q$5:$Q$54,0),0)-MAX(SUMIFS('05_Parte_Diario'!$H$5:$H$204,'05_Parte_Diario'!$D$5:$D$204,B24,'05_Parte_Diario'!$E$5:$E$204,"06 Servicios - Colocación de vaina / caño camisa"),COUNTIFS('06_Control_Semanal'!$B$283:$B$533,B24,'06_Control_Semanal'!$D$283:$D$533,"Colocada"))),IF(C24="07 Hidrante - Ejecución completa",MAX(0,100-SUMIFS('06_Control_Semanal'!$D$203:$D$222,'06_Control_Semanal'!$C$203:$C$222,B24)),IFERROR(_xludf.XLOOKUP(B24&amp;"|"&amp;C24,'02_Para_Programar'!$N$5:$N$304,'02_Para_Programar'!$F$5:$F$304,0),0))))</f>
        <v/>
      </c>
      <c r="G24" t="str">
        <f t="shared" si="0"/>
        <v/>
      </c>
      <c r="H24" s="5"/>
      <c r="I24" s="5"/>
      <c r="O24" t="str">
        <f>IF(OR(B24="",C24=""),"",IF(C24="07 Hidrante - Ejecución completa",IF(COUNTIF('06_Control_Semanal'!$C$203:$C$222,B24)&gt;1,"ALERTA: &gt;1 HIDRANTE",IF(E24&gt;0,"OK","SIN SALDO / NO PROGRAMAR")),IF(E24&gt;0,"OK","SIN SALDO / NO PROGRAMAR")))</f>
        <v/>
      </c>
      <c r="P24" t="str">
        <f t="shared" si="1"/>
        <v/>
      </c>
      <c r="Q24" t="str">
        <f>IF(B24="","",IFERROR(_xludf.XLOOKUP(B24,'07_Base_Tecnica'!$K$5:$K$54,'07_Base_Tecnica'!$W$5:$W$54,""),""))</f>
        <v/>
      </c>
      <c r="R24" t="str">
        <f>IF(B24="","",IFERROR(_xludf.XLOOKUP(B24,'07_Base_Tecnica'!$K$5:$K$54,'07_Base_Tecnica'!$X$5:$X$54,""),""))</f>
        <v/>
      </c>
      <c r="AA24" t="s">
        <v>154</v>
      </c>
      <c r="AC24" t="str">
        <f>IF(AND('01_Estado_Actual'!$L$27="Para Programar",'01_Estado_Actual'!$G$27&gt;0),"11 Relleno -0,30 - Compactación","")</f>
        <v/>
      </c>
      <c r="AD24" t="str">
        <f>IF(AND('01_Estado_Actual'!$L$51="Para Programar",'01_Estado_Actual'!$G$51&gt;0),"11 Relleno -0,30 - Compactación","")</f>
        <v/>
      </c>
      <c r="AE24" t="str">
        <f>IF(AND('01_Estado_Actual'!$L$75="Para Programar",'01_Estado_Actual'!$G$75&gt;0),"11 Relleno -0,30 - Compactación","")</f>
        <v/>
      </c>
      <c r="AF24" t="str">
        <f>IF(AND('01_Estado_Actual'!$L$99="Para Programar",'01_Estado_Actual'!$G$99&gt;0),"11 Relleno -0,30 - Compactación","")</f>
        <v/>
      </c>
      <c r="AG24" t="str">
        <f>IF(AND('01_Estado_Actual'!$L$123="Para Programar",'01_Estado_Actual'!$G$123&gt;0),"11 Relleno -0,30 - Compactación","")</f>
        <v/>
      </c>
      <c r="AH24" t="str">
        <f>IF(AND('01_Estado_Actual'!$L$147="Para Programar",'01_Estado_Actual'!$G$147&gt;0),"11 Relleno -0,30 - Compactación","")</f>
        <v/>
      </c>
      <c r="AI24" t="str">
        <f>IF(AND('01_Estado_Actual'!$L$171="Para Programar",'01_Estado_Actual'!$G$171&gt;0),"11 Relleno -0,30 - Compactación","")</f>
        <v/>
      </c>
      <c r="AJ24" t="str">
        <f>IF(AND('01_Estado_Actual'!$L$195="Para Programar",'01_Estado_Actual'!$G$195&gt;0),"11 Relleno -0,30 - Compactación","")</f>
        <v/>
      </c>
      <c r="AK24" t="str">
        <f>IF(AND('01_Estado_Actual'!$L$219="Para Programar",'01_Estado_Actual'!$G$219&gt;0),"11 Relleno -0,30 - Compactación","")</f>
        <v>11 Relleno -0,30 - Compactación</v>
      </c>
      <c r="AL24" t="str">
        <f>IF(AND('01_Estado_Actual'!$L$243="Para Programar",'01_Estado_Actual'!$G$243&gt;0),"11 Relleno -0,30 - Compactación","")</f>
        <v/>
      </c>
      <c r="AM24" t="str">
        <f>IF(AND('01_Estado_Actual'!$L$267="Para Programar",'01_Estado_Actual'!$G$267&gt;0),"11 Relleno -0,30 - Compactación","")</f>
        <v/>
      </c>
      <c r="AN24" t="str">
        <f>IF(AND('01_Estado_Actual'!$L$291="Para Programar",'01_Estado_Actual'!$G$291&gt;0),"11 Relleno -0,30 - Compactación","")</f>
        <v/>
      </c>
      <c r="AO24" t="str">
        <f>IF(AND('01_Estado_Actual'!$L$315="Para Programar",'01_Estado_Actual'!$G$315&gt;0),"11 Relleno -0,30 - Compactación","")</f>
        <v/>
      </c>
      <c r="AP24" t="str">
        <f>IF(AND('01_Estado_Actual'!$L$339="Para Programar",'01_Estado_Actual'!$G$339&gt;0),"11 Relleno -0,30 - Compactación","")</f>
        <v>11 Relleno -0,30 - Compactación</v>
      </c>
      <c r="AQ24" t="str">
        <f>IF(AND('01_Estado_Actual'!$L$363="Para Programar",'01_Estado_Actual'!$G$363&gt;0),"11 Relleno -0,30 - Compactación","")</f>
        <v>11 Relleno -0,30 - Compactación</v>
      </c>
      <c r="AR24" t="str">
        <f>IF(AND('01_Estado_Actual'!$L$387="Para Programar",'01_Estado_Actual'!$G$387&gt;0),"11 Relleno -0,30 - Compactación","")</f>
        <v>11 Relleno -0,30 - Compactación</v>
      </c>
      <c r="AS24" t="str">
        <f>IF(AND('01_Estado_Actual'!$L$411="Para Programar",'01_Estado_Actual'!$G$411&gt;0),"11 Relleno -0,30 - Compactación","")</f>
        <v>11 Relleno -0,30 - Compactación</v>
      </c>
      <c r="AT24" t="str">
        <f>IF(AND('01_Estado_Actual'!$L$435="Para Programar",'01_Estado_Actual'!$G$435&gt;0),"11 Relleno -0,30 - Compactación","")</f>
        <v/>
      </c>
      <c r="AU24" t="str">
        <f>IF(AND('01_Estado_Actual'!$L$459="Para Programar",'01_Estado_Actual'!$G$459&gt;0),"11 Relleno -0,30 - Compactación","")</f>
        <v/>
      </c>
      <c r="AV24" t="str">
        <f>IF(AND('01_Estado_Actual'!$L$483="Para Programar",'01_Estado_Actual'!$G$483&gt;0),"11 Relleno -0,30 - Compactación","")</f>
        <v/>
      </c>
      <c r="AW24" t="str">
        <f>IF(AND('01_Estado_Actual'!$L$507="Para Programar",'01_Estado_Actual'!$G$507&gt;0),"11 Relleno -0,30 - Compactación","")</f>
        <v>11 Relleno -0,30 - Compactación</v>
      </c>
      <c r="AX24" t="str">
        <f>IF(AND('01_Estado_Actual'!$L$531="Para Programar",'01_Estado_Actual'!$G$531&gt;0),"11 Relleno -0,30 - Compactación","")</f>
        <v>11 Relleno -0,30 - Compactación</v>
      </c>
      <c r="AY24" t="str">
        <f>IF(AND('01_Estado_Actual'!$L$555="Para Programar",'01_Estado_Actual'!$G$555&gt;0),"11 Relleno -0,30 - Compactación","")</f>
        <v>11 Relleno -0,30 - Compactación</v>
      </c>
      <c r="AZ24" t="str">
        <f>IF(AND('01_Estado_Actual'!$L$579="Para Programar",'01_Estado_Actual'!$G$579&gt;0),"11 Relleno -0,30 - Compactación","")</f>
        <v/>
      </c>
      <c r="BA24" t="str">
        <f>IF(AND('01_Estado_Actual'!$L$603="Para Programar",'01_Estado_Actual'!$G$603&gt;0),"11 Relleno -0,30 - Compactación","")</f>
        <v/>
      </c>
      <c r="BB24" t="str">
        <f>IF(AND('01_Estado_Actual'!$L$627="Para Programar",'01_Estado_Actual'!$G$627&gt;0),"11 Relleno -0,30 - Compactación","")</f>
        <v/>
      </c>
      <c r="BC24" t="str">
        <f>IF(AND('01_Estado_Actual'!$L$651="Para Programar",'01_Estado_Actual'!$G$651&gt;0),"11 Relleno -0,30 - Compactación","")</f>
        <v/>
      </c>
      <c r="BD24" t="str">
        <f>IF(AND('01_Estado_Actual'!$L$675="Para Programar",'01_Estado_Actual'!$G$675&gt;0),"11 Relleno -0,30 - Compactación","")</f>
        <v/>
      </c>
      <c r="BE24" t="str">
        <f>IF(AND('01_Estado_Actual'!$L$699="Para Programar",'01_Estado_Actual'!$G$699&gt;0),"11 Relleno -0,30 - Compactación","")</f>
        <v/>
      </c>
      <c r="BF24" t="str">
        <f>IF(AND('01_Estado_Actual'!$L$723="Para Programar",'01_Estado_Actual'!$G$723&gt;0),"11 Relleno -0,30 - Compactación","")</f>
        <v>11 Relleno -0,30 - Compactación</v>
      </c>
      <c r="BG24" t="str">
        <f>IF(AND('01_Estado_Actual'!$L$747="Para Programar",'01_Estado_Actual'!$G$747&gt;0),"11 Relleno -0,30 - Compactación","")</f>
        <v>11 Relleno -0,30 - Compactación</v>
      </c>
      <c r="BH24" t="str">
        <f>IF(AND('01_Estado_Actual'!$L$771="Para Programar",'01_Estado_Actual'!$G$771&gt;0),"11 Relleno -0,30 - Compactación","")</f>
        <v/>
      </c>
      <c r="BI24" t="str">
        <f>IF(AND('01_Estado_Actual'!$L$795="Para Programar",'01_Estado_Actual'!$G$795&gt;0),"11 Relleno -0,30 - Compactación","")</f>
        <v/>
      </c>
      <c r="BJ24" t="str">
        <f>IF(AND('01_Estado_Actual'!$L$819="Para Programar",'01_Estado_Actual'!$G$819&gt;0),"11 Relleno -0,30 - Compactación","")</f>
        <v/>
      </c>
      <c r="BK24" t="str">
        <f>IF(AND('01_Estado_Actual'!$L$843="Para Programar",'01_Estado_Actual'!$G$843&gt;0),"11 Relleno -0,30 - Compactación","")</f>
        <v/>
      </c>
      <c r="BL24" t="str">
        <f>IF(AND('01_Estado_Actual'!$L$867="Para Programar",'01_Estado_Actual'!$G$867&gt;0),"11 Relleno -0,30 - Compactación","")</f>
        <v/>
      </c>
      <c r="BM24" t="str">
        <f>IF(AND('01_Estado_Actual'!$L$891="Para Programar",'01_Estado_Actual'!$G$891&gt;0),"11 Relleno -0,30 - Compactación","")</f>
        <v/>
      </c>
      <c r="BN24" t="str">
        <f>IF(AND('01_Estado_Actual'!$L$915="Para Programar",'01_Estado_Actual'!$G$915&gt;0),"11 Relleno -0,30 - Compactación","")</f>
        <v/>
      </c>
      <c r="BO24" t="str">
        <f>IF(AND('01_Estado_Actual'!$L$939="Para Programar",'01_Estado_Actual'!$G$939&gt;0),"11 Relleno -0,30 - Compactación","")</f>
        <v/>
      </c>
      <c r="BP24" t="str">
        <f>IF(AND('01_Estado_Actual'!$L$963="Para Programar",'01_Estado_Actual'!$G$963&gt;0),"11 Relleno -0,30 - Compactación","")</f>
        <v/>
      </c>
      <c r="BQ24" t="str">
        <f>IF(AND('01_Estado_Actual'!$L$987="Para Programar",'01_Estado_Actual'!$G$987&gt;0),"11 Relleno -0,30 - Compactación","")</f>
        <v/>
      </c>
      <c r="BR24" t="str">
        <f>IF(AND('01_Estado_Actual'!$L$1011="Para Programar",'01_Estado_Actual'!$G$1011&gt;0),"11 Relleno -0,30 - Compactación","")</f>
        <v/>
      </c>
      <c r="BS24" t="str">
        <f>IF(AND('01_Estado_Actual'!$L$1035="Para Programar",'01_Estado_Actual'!$G$1035&gt;0),"11 Relleno -0,30 - Compactación","")</f>
        <v/>
      </c>
      <c r="BT24" t="str">
        <f>IF(AND('01_Estado_Actual'!$L$1059="Para Programar",'01_Estado_Actual'!$G$1059&gt;0),"11 Relleno -0,30 - Compactación","")</f>
        <v/>
      </c>
      <c r="BU24" t="str">
        <f>IF(AND('01_Estado_Actual'!$L$1083="Para Programar",'01_Estado_Actual'!$G$1083&gt;0),"11 Relleno -0,30 - Compactación","")</f>
        <v/>
      </c>
      <c r="BV24" t="str">
        <f>IF(AND('01_Estado_Actual'!$L$1107="Para Programar",'01_Estado_Actual'!$G$1107&gt;0),"11 Relleno -0,30 - Compactación","")</f>
        <v/>
      </c>
      <c r="BW24" t="str">
        <f>IF(AND('01_Estado_Actual'!$L$1131="Para Programar",'01_Estado_Actual'!$G$1131&gt;0),"11 Relleno -0,30 - Compactación","")</f>
        <v/>
      </c>
      <c r="BX24" t="str">
        <f>IF(AND('01_Estado_Actual'!$L$1155="Para Programar",'01_Estado_Actual'!$G$1155&gt;0),"11 Relleno -0,30 - Compactación","")</f>
        <v/>
      </c>
      <c r="BY24" t="str">
        <f>IF(AND('01_Estado_Actual'!$L$1179="Para Programar",'01_Estado_Actual'!$G$1179&gt;0),"11 Relleno -0,30 - Compactación","")</f>
        <v/>
      </c>
      <c r="BZ24" t="str">
        <f>IF(AND('01_Estado_Actual'!$L$1203="Para Programar",'01_Estado_Actual'!$G$1203&gt;0),"11 Relleno -0,30 - Compactación","")</f>
        <v/>
      </c>
    </row>
    <row r="25" spans="1:78">
      <c r="A25" t="str">
        <f>IF(OR(B25="",C25=""),"","PLAN-"&amp;21)</f>
        <v/>
      </c>
      <c r="D25" t="str">
        <f>IF(OR(B25="",C25=""),"",IF(C25="06 Servicios - Colocación de vaina / caño camisa","u",IF(C25="07 Hidrante - Ejecución completa","%",IFERROR(_xludf.XLOOKUP(B25&amp;"|"&amp;C25,'07_Base_Tecnica'!$AK$2:$AK$1201,'07_Base_Tecnica'!$AL$2:$AL$1201,""),""))))</f>
        <v/>
      </c>
      <c r="E25" t="str">
        <f>IF(OR(B25="",C25=""),"",IF(C25="06 Servicios - Colocación de vaina / caño camisa",MAX(0,IFERROR(_xludf.XLOOKUP(B25,'07_Base_Tecnica'!$K$5:$K$54,'07_Base_Tecnica'!$Q$5:$Q$54,0),0)-MAX(SUMIFS('05_Parte_Diario'!$H$5:$H$204,'05_Parte_Diario'!$D$5:$D$204,B25,'05_Parte_Diario'!$E$5:$E$204,"06 Servicios - Colocación de vaina / caño camisa"),COUNTIFS('06_Control_Semanal'!$B$283:$B$533,B25,'06_Control_Semanal'!$D$283:$D$533,"Colocada"))),IF(C25="07 Hidrante - Ejecución completa",MAX(0,100-SUMIFS('06_Control_Semanal'!$D$203:$D$222,'06_Control_Semanal'!$C$203:$C$222,B25)),IFERROR(_xludf.XLOOKUP(B25&amp;"|"&amp;C25,'02_Para_Programar'!$N$5:$N$304,'02_Para_Programar'!$F$5:$F$304,0),0))))</f>
        <v/>
      </c>
      <c r="G25" t="str">
        <f t="shared" si="0"/>
        <v/>
      </c>
      <c r="H25" s="5"/>
      <c r="I25" s="5"/>
      <c r="O25" t="str">
        <f>IF(OR(B25="",C25=""),"",IF(C25="07 Hidrante - Ejecución completa",IF(COUNTIF('06_Control_Semanal'!$C$203:$C$222,B25)&gt;1,"ALERTA: &gt;1 HIDRANTE",IF(E25&gt;0,"OK","SIN SALDO / NO PROGRAMAR")),IF(E25&gt;0,"OK","SIN SALDO / NO PROGRAMAR")))</f>
        <v/>
      </c>
      <c r="P25" t="str">
        <f t="shared" si="1"/>
        <v/>
      </c>
      <c r="Q25" t="str">
        <f>IF(B25="","",IFERROR(_xludf.XLOOKUP(B25,'07_Base_Tecnica'!$K$5:$K$54,'07_Base_Tecnica'!$W$5:$W$54,""),""))</f>
        <v/>
      </c>
      <c r="R25" t="str">
        <f>IF(B25="","",IFERROR(_xludf.XLOOKUP(B25,'07_Base_Tecnica'!$K$5:$K$54,'07_Base_Tecnica'!$X$5:$X$54,""),""))</f>
        <v/>
      </c>
      <c r="AA25" t="s">
        <v>155</v>
      </c>
      <c r="AC25" t="str">
        <f>IF(AND('01_Estado_Actual'!$L$28="Para Programar",'01_Estado_Actual'!$G$28&gt;0),"11 Relleno -0,30 - Inspección laboratorio","")</f>
        <v/>
      </c>
      <c r="AD25" t="str">
        <f>IF(AND('01_Estado_Actual'!$L$52="Para Programar",'01_Estado_Actual'!$G$52&gt;0),"11 Relleno -0,30 - Inspección laboratorio","")</f>
        <v/>
      </c>
      <c r="AE25" t="str">
        <f>IF(AND('01_Estado_Actual'!$L$76="Para Programar",'01_Estado_Actual'!$G$76&gt;0),"11 Relleno -0,30 - Inspección laboratorio","")</f>
        <v/>
      </c>
      <c r="AF25" t="str">
        <f>IF(AND('01_Estado_Actual'!$L$100="Para Programar",'01_Estado_Actual'!$G$100&gt;0),"11 Relleno -0,30 - Inspección laboratorio","")</f>
        <v/>
      </c>
      <c r="AG25" t="str">
        <f>IF(AND('01_Estado_Actual'!$L$124="Para Programar",'01_Estado_Actual'!$G$124&gt;0),"11 Relleno -0,30 - Inspección laboratorio","")</f>
        <v/>
      </c>
      <c r="AH25" t="str">
        <f>IF(AND('01_Estado_Actual'!$L$148="Para Programar",'01_Estado_Actual'!$G$148&gt;0),"11 Relleno -0,30 - Inspección laboratorio","")</f>
        <v/>
      </c>
      <c r="AI25" t="str">
        <f>IF(AND('01_Estado_Actual'!$L$172="Para Programar",'01_Estado_Actual'!$G$172&gt;0),"11 Relleno -0,30 - Inspección laboratorio","")</f>
        <v/>
      </c>
      <c r="AJ25" t="str">
        <f>IF(AND('01_Estado_Actual'!$L$196="Para Programar",'01_Estado_Actual'!$G$196&gt;0),"11 Relleno -0,30 - Inspección laboratorio","")</f>
        <v/>
      </c>
      <c r="AK25" t="str">
        <f>IF(AND('01_Estado_Actual'!$L$220="Para Programar",'01_Estado_Actual'!$G$220&gt;0),"11 Relleno -0,30 - Inspección laboratorio","")</f>
        <v>11 Relleno -0,30 - Inspección laboratorio</v>
      </c>
      <c r="AL25" t="str">
        <f>IF(AND('01_Estado_Actual'!$L$244="Para Programar",'01_Estado_Actual'!$G$244&gt;0),"11 Relleno -0,30 - Inspección laboratorio","")</f>
        <v/>
      </c>
      <c r="AM25" t="str">
        <f>IF(AND('01_Estado_Actual'!$L$268="Para Programar",'01_Estado_Actual'!$G$268&gt;0),"11 Relleno -0,30 - Inspección laboratorio","")</f>
        <v/>
      </c>
      <c r="AN25" t="str">
        <f>IF(AND('01_Estado_Actual'!$L$292="Para Programar",'01_Estado_Actual'!$G$292&gt;0),"11 Relleno -0,30 - Inspección laboratorio","")</f>
        <v/>
      </c>
      <c r="AO25" t="str">
        <f>IF(AND('01_Estado_Actual'!$L$316="Para Programar",'01_Estado_Actual'!$G$316&gt;0),"11 Relleno -0,30 - Inspección laboratorio","")</f>
        <v/>
      </c>
      <c r="AP25" t="str">
        <f>IF(AND('01_Estado_Actual'!$L$340="Para Programar",'01_Estado_Actual'!$G$340&gt;0),"11 Relleno -0,30 - Inspección laboratorio","")</f>
        <v>11 Relleno -0,30 - Inspección laboratorio</v>
      </c>
      <c r="AQ25" t="str">
        <f>IF(AND('01_Estado_Actual'!$L$364="Para Programar",'01_Estado_Actual'!$G$364&gt;0),"11 Relleno -0,30 - Inspección laboratorio","")</f>
        <v>11 Relleno -0,30 - Inspección laboratorio</v>
      </c>
      <c r="AR25" t="str">
        <f>IF(AND('01_Estado_Actual'!$L$388="Para Programar",'01_Estado_Actual'!$G$388&gt;0),"11 Relleno -0,30 - Inspección laboratorio","")</f>
        <v>11 Relleno -0,30 - Inspección laboratorio</v>
      </c>
      <c r="AS25" t="str">
        <f>IF(AND('01_Estado_Actual'!$L$412="Para Programar",'01_Estado_Actual'!$G$412&gt;0),"11 Relleno -0,30 - Inspección laboratorio","")</f>
        <v>11 Relleno -0,30 - Inspección laboratorio</v>
      </c>
      <c r="AT25" t="str">
        <f>IF(AND('01_Estado_Actual'!$L$436="Para Programar",'01_Estado_Actual'!$G$436&gt;0),"11 Relleno -0,30 - Inspección laboratorio","")</f>
        <v/>
      </c>
      <c r="AU25" t="str">
        <f>IF(AND('01_Estado_Actual'!$L$460="Para Programar",'01_Estado_Actual'!$G$460&gt;0),"11 Relleno -0,30 - Inspección laboratorio","")</f>
        <v/>
      </c>
      <c r="AV25" t="str">
        <f>IF(AND('01_Estado_Actual'!$L$484="Para Programar",'01_Estado_Actual'!$G$484&gt;0),"11 Relleno -0,30 - Inspección laboratorio","")</f>
        <v/>
      </c>
      <c r="AW25" t="str">
        <f>IF(AND('01_Estado_Actual'!$L$508="Para Programar",'01_Estado_Actual'!$G$508&gt;0),"11 Relleno -0,30 - Inspección laboratorio","")</f>
        <v>11 Relleno -0,30 - Inspección laboratorio</v>
      </c>
      <c r="AX25" t="str">
        <f>IF(AND('01_Estado_Actual'!$L$532="Para Programar",'01_Estado_Actual'!$G$532&gt;0),"11 Relleno -0,30 - Inspección laboratorio","")</f>
        <v>11 Relleno -0,30 - Inspección laboratorio</v>
      </c>
      <c r="AY25" t="str">
        <f>IF(AND('01_Estado_Actual'!$L$556="Para Programar",'01_Estado_Actual'!$G$556&gt;0),"11 Relleno -0,30 - Inspección laboratorio","")</f>
        <v>11 Relleno -0,30 - Inspección laboratorio</v>
      </c>
      <c r="AZ25" t="str">
        <f>IF(AND('01_Estado_Actual'!$L$580="Para Programar",'01_Estado_Actual'!$G$580&gt;0),"11 Relleno -0,30 - Inspección laboratorio","")</f>
        <v/>
      </c>
      <c r="BA25" t="str">
        <f>IF(AND('01_Estado_Actual'!$L$604="Para Programar",'01_Estado_Actual'!$G$604&gt;0),"11 Relleno -0,30 - Inspección laboratorio","")</f>
        <v/>
      </c>
      <c r="BB25" t="str">
        <f>IF(AND('01_Estado_Actual'!$L$628="Para Programar",'01_Estado_Actual'!$G$628&gt;0),"11 Relleno -0,30 - Inspección laboratorio","")</f>
        <v/>
      </c>
      <c r="BC25" t="str">
        <f>IF(AND('01_Estado_Actual'!$L$652="Para Programar",'01_Estado_Actual'!$G$652&gt;0),"11 Relleno -0,30 - Inspección laboratorio","")</f>
        <v/>
      </c>
      <c r="BD25" t="str">
        <f>IF(AND('01_Estado_Actual'!$L$676="Para Programar",'01_Estado_Actual'!$G$676&gt;0),"11 Relleno -0,30 - Inspección laboratorio","")</f>
        <v/>
      </c>
      <c r="BE25" t="str">
        <f>IF(AND('01_Estado_Actual'!$L$700="Para Programar",'01_Estado_Actual'!$G$700&gt;0),"11 Relleno -0,30 - Inspección laboratorio","")</f>
        <v/>
      </c>
      <c r="BF25" t="str">
        <f>IF(AND('01_Estado_Actual'!$L$724="Para Programar",'01_Estado_Actual'!$G$724&gt;0),"11 Relleno -0,30 - Inspección laboratorio","")</f>
        <v>11 Relleno -0,30 - Inspección laboratorio</v>
      </c>
      <c r="BG25" t="str">
        <f>IF(AND('01_Estado_Actual'!$L$748="Para Programar",'01_Estado_Actual'!$G$748&gt;0),"11 Relleno -0,30 - Inspección laboratorio","")</f>
        <v>11 Relleno -0,30 - Inspección laboratorio</v>
      </c>
      <c r="BH25" t="str">
        <f>IF(AND('01_Estado_Actual'!$L$772="Para Programar",'01_Estado_Actual'!$G$772&gt;0),"11 Relleno -0,30 - Inspección laboratorio","")</f>
        <v/>
      </c>
      <c r="BI25" t="str">
        <f>IF(AND('01_Estado_Actual'!$L$796="Para Programar",'01_Estado_Actual'!$G$796&gt;0),"11 Relleno -0,30 - Inspección laboratorio","")</f>
        <v/>
      </c>
      <c r="BJ25" t="str">
        <f>IF(AND('01_Estado_Actual'!$L$820="Para Programar",'01_Estado_Actual'!$G$820&gt;0),"11 Relleno -0,30 - Inspección laboratorio","")</f>
        <v/>
      </c>
      <c r="BK25" t="str">
        <f>IF(AND('01_Estado_Actual'!$L$844="Para Programar",'01_Estado_Actual'!$G$844&gt;0),"11 Relleno -0,30 - Inspección laboratorio","")</f>
        <v/>
      </c>
      <c r="BL25" t="str">
        <f>IF(AND('01_Estado_Actual'!$L$868="Para Programar",'01_Estado_Actual'!$G$868&gt;0),"11 Relleno -0,30 - Inspección laboratorio","")</f>
        <v/>
      </c>
      <c r="BM25" t="str">
        <f>IF(AND('01_Estado_Actual'!$L$892="Para Programar",'01_Estado_Actual'!$G$892&gt;0),"11 Relleno -0,30 - Inspección laboratorio","")</f>
        <v/>
      </c>
      <c r="BN25" t="str">
        <f>IF(AND('01_Estado_Actual'!$L$916="Para Programar",'01_Estado_Actual'!$G$916&gt;0),"11 Relleno -0,30 - Inspección laboratorio","")</f>
        <v/>
      </c>
      <c r="BO25" t="str">
        <f>IF(AND('01_Estado_Actual'!$L$940="Para Programar",'01_Estado_Actual'!$G$940&gt;0),"11 Relleno -0,30 - Inspección laboratorio","")</f>
        <v/>
      </c>
      <c r="BP25" t="str">
        <f>IF(AND('01_Estado_Actual'!$L$964="Para Programar",'01_Estado_Actual'!$G$964&gt;0),"11 Relleno -0,30 - Inspección laboratorio","")</f>
        <v/>
      </c>
      <c r="BQ25" t="str">
        <f>IF(AND('01_Estado_Actual'!$L$988="Para Programar",'01_Estado_Actual'!$G$988&gt;0),"11 Relleno -0,30 - Inspección laboratorio","")</f>
        <v/>
      </c>
      <c r="BR25" t="str">
        <f>IF(AND('01_Estado_Actual'!$L$1012="Para Programar",'01_Estado_Actual'!$G$1012&gt;0),"11 Relleno -0,30 - Inspección laboratorio","")</f>
        <v/>
      </c>
      <c r="BS25" t="str">
        <f>IF(AND('01_Estado_Actual'!$L$1036="Para Programar",'01_Estado_Actual'!$G$1036&gt;0),"11 Relleno -0,30 - Inspección laboratorio","")</f>
        <v/>
      </c>
      <c r="BT25" t="str">
        <f>IF(AND('01_Estado_Actual'!$L$1060="Para Programar",'01_Estado_Actual'!$G$1060&gt;0),"11 Relleno -0,30 - Inspección laboratorio","")</f>
        <v/>
      </c>
      <c r="BU25" t="str">
        <f>IF(AND('01_Estado_Actual'!$L$1084="Para Programar",'01_Estado_Actual'!$G$1084&gt;0),"11 Relleno -0,30 - Inspección laboratorio","")</f>
        <v/>
      </c>
      <c r="BV25" t="str">
        <f>IF(AND('01_Estado_Actual'!$L$1108="Para Programar",'01_Estado_Actual'!$G$1108&gt;0),"11 Relleno -0,30 - Inspección laboratorio","")</f>
        <v/>
      </c>
      <c r="BW25" t="str">
        <f>IF(AND('01_Estado_Actual'!$L$1132="Para Programar",'01_Estado_Actual'!$G$1132&gt;0),"11 Relleno -0,30 - Inspección laboratorio","")</f>
        <v/>
      </c>
      <c r="BX25" t="str">
        <f>IF(AND('01_Estado_Actual'!$L$1156="Para Programar",'01_Estado_Actual'!$G$1156&gt;0),"11 Relleno -0,30 - Inspección laboratorio","")</f>
        <v/>
      </c>
      <c r="BY25" t="str">
        <f>IF(AND('01_Estado_Actual'!$L$1180="Para Programar",'01_Estado_Actual'!$G$1180&gt;0),"11 Relleno -0,30 - Inspección laboratorio","")</f>
        <v/>
      </c>
      <c r="BZ25" t="str">
        <f>IF(AND('01_Estado_Actual'!$L$1204="Para Programar",'01_Estado_Actual'!$G$1204&gt;0),"11 Relleno -0,30 - Inspección laboratorio","")</f>
        <v/>
      </c>
    </row>
    <row r="26" spans="1:78">
      <c r="A26" t="str">
        <f>IF(OR(B26="",C26=""),"","PLAN-"&amp;22)</f>
        <v/>
      </c>
      <c r="D26" t="str">
        <f>IF(OR(B26="",C26=""),"",IF(C26="06 Servicios - Colocación de vaina / caño camisa","u",IF(C26="07 Hidrante - Ejecución completa","%",IFERROR(_xludf.XLOOKUP(B26&amp;"|"&amp;C26,'07_Base_Tecnica'!$AK$2:$AK$1201,'07_Base_Tecnica'!$AL$2:$AL$1201,""),""))))</f>
        <v/>
      </c>
      <c r="E26" t="str">
        <f>IF(OR(B26="",C26=""),"",IF(C26="06 Servicios - Colocación de vaina / caño camisa",MAX(0,IFERROR(_xludf.XLOOKUP(B26,'07_Base_Tecnica'!$K$5:$K$54,'07_Base_Tecnica'!$Q$5:$Q$54,0),0)-MAX(SUMIFS('05_Parte_Diario'!$H$5:$H$204,'05_Parte_Diario'!$D$5:$D$204,B26,'05_Parte_Diario'!$E$5:$E$204,"06 Servicios - Colocación de vaina / caño camisa"),COUNTIFS('06_Control_Semanal'!$B$283:$B$533,B26,'06_Control_Semanal'!$D$283:$D$533,"Colocada"))),IF(C26="07 Hidrante - Ejecución completa",MAX(0,100-SUMIFS('06_Control_Semanal'!$D$203:$D$222,'06_Control_Semanal'!$C$203:$C$222,B26)),IFERROR(_xludf.XLOOKUP(B26&amp;"|"&amp;C26,'02_Para_Programar'!$N$5:$N$304,'02_Para_Programar'!$F$5:$F$304,0),0))))</f>
        <v/>
      </c>
      <c r="G26" t="str">
        <f t="shared" si="0"/>
        <v/>
      </c>
      <c r="H26" s="5"/>
      <c r="I26" s="5"/>
      <c r="O26" t="str">
        <f>IF(OR(B26="",C26=""),"",IF(C26="07 Hidrante - Ejecución completa",IF(COUNTIF('06_Control_Semanal'!$C$203:$C$222,B26)&gt;1,"ALERTA: &gt;1 HIDRANTE",IF(E26&gt;0,"OK","SIN SALDO / NO PROGRAMAR")),IF(E26&gt;0,"OK","SIN SALDO / NO PROGRAMAR")))</f>
        <v/>
      </c>
      <c r="P26" t="str">
        <f t="shared" si="1"/>
        <v/>
      </c>
      <c r="Q26" t="str">
        <f>IF(B26="","",IFERROR(_xludf.XLOOKUP(B26,'07_Base_Tecnica'!$K$5:$K$54,'07_Base_Tecnica'!$W$5:$W$54,""),""))</f>
        <v/>
      </c>
      <c r="R26" t="str">
        <f>IF(B26="","",IFERROR(_xludf.XLOOKUP(B26,'07_Base_Tecnica'!$K$5:$K$54,'07_Base_Tecnica'!$X$5:$X$54,""),""))</f>
        <v/>
      </c>
      <c r="AA26" t="s">
        <v>156</v>
      </c>
      <c r="AC26" t="str">
        <f ca="1">IF(MAX(0,IFERROR(_xludf.XLOOKUP(AC$1,'07_Base_Tecnica'!$K$5:$K$54,'07_Base_Tecnica'!$Q$5:$Q$54,0),0)-MAX(SUMIFS('05_Parte_Diario'!$H$5:$H$204,'05_Parte_Diario'!$D$5:$D$204,AC$1,'05_Parte_Diario'!$E$5:$E$204,"06 Servicios - Colocación de vaina / caño camisa"),COUNTIFS('06_Control_Semanal'!$B$283:$B$533,AC$1,'06_Control_Semanal'!$D$283:$D$533,"Colocada")))&gt;0,"06 Servicios - Colocación de vaina / caño camisa","")</f>
        <v/>
      </c>
      <c r="AD26" t="str">
        <f ca="1">IF(MAX(0,IFERROR(_xludf.XLOOKUP(AD$1,'07_Base_Tecnica'!$K$5:$K$54,'07_Base_Tecnica'!$Q$5:$Q$54,0),0)-MAX(SUMIFS('05_Parte_Diario'!$H$5:$H$204,'05_Parte_Diario'!$D$5:$D$204,AD$1,'05_Parte_Diario'!$E$5:$E$204,"06 Servicios - Colocación de vaina / caño camisa"),COUNTIFS('06_Control_Semanal'!$B$283:$B$533,AD$1,'06_Control_Semanal'!$D$283:$D$533,"Colocada")))&gt;0,"06 Servicios - Colocación de vaina / caño camisa","")</f>
        <v/>
      </c>
      <c r="AE26" t="str">
        <f ca="1">IF(MAX(0,IFERROR(_xludf.XLOOKUP(AE$1,'07_Base_Tecnica'!$K$5:$K$54,'07_Base_Tecnica'!$Q$5:$Q$54,0),0)-MAX(SUMIFS('05_Parte_Diario'!$H$5:$H$204,'05_Parte_Diario'!$D$5:$D$204,AE$1,'05_Parte_Diario'!$E$5:$E$204,"06 Servicios - Colocación de vaina / caño camisa"),COUNTIFS('06_Control_Semanal'!$B$283:$B$533,AE$1,'06_Control_Semanal'!$D$283:$D$533,"Colocada")))&gt;0,"06 Servicios - Colocación de vaina / caño camisa","")</f>
        <v/>
      </c>
      <c r="AF26" t="str">
        <f ca="1">IF(MAX(0,IFERROR(_xludf.XLOOKUP(AF$1,'07_Base_Tecnica'!$K$5:$K$54,'07_Base_Tecnica'!$Q$5:$Q$54,0),0)-MAX(SUMIFS('05_Parte_Diario'!$H$5:$H$204,'05_Parte_Diario'!$D$5:$D$204,AF$1,'05_Parte_Diario'!$E$5:$E$204,"06 Servicios - Colocación de vaina / caño camisa"),COUNTIFS('06_Control_Semanal'!$B$283:$B$533,AF$1,'06_Control_Semanal'!$D$283:$D$533,"Colocada")))&gt;0,"06 Servicios - Colocación de vaina / caño camisa","")</f>
        <v/>
      </c>
      <c r="AG26" t="str">
        <f ca="1">IF(MAX(0,IFERROR(_xludf.XLOOKUP(AG$1,'07_Base_Tecnica'!$K$5:$K$54,'07_Base_Tecnica'!$Q$5:$Q$54,0),0)-MAX(SUMIFS('05_Parte_Diario'!$H$5:$H$204,'05_Parte_Diario'!$D$5:$D$204,AG$1,'05_Parte_Diario'!$E$5:$E$204,"06 Servicios - Colocación de vaina / caño camisa"),COUNTIFS('06_Control_Semanal'!$B$283:$B$533,AG$1,'06_Control_Semanal'!$D$283:$D$533,"Colocada")))&gt;0,"06 Servicios - Colocación de vaina / caño camisa","")</f>
        <v/>
      </c>
      <c r="AH26" t="str">
        <f ca="1">IF(MAX(0,IFERROR(_xludf.XLOOKUP(AH$1,'07_Base_Tecnica'!$K$5:$K$54,'07_Base_Tecnica'!$Q$5:$Q$54,0),0)-MAX(SUMIFS('05_Parte_Diario'!$H$5:$H$204,'05_Parte_Diario'!$D$5:$D$204,AH$1,'05_Parte_Diario'!$E$5:$E$204,"06 Servicios - Colocación de vaina / caño camisa"),COUNTIFS('06_Control_Semanal'!$B$283:$B$533,AH$1,'06_Control_Semanal'!$D$283:$D$533,"Colocada")))&gt;0,"06 Servicios - Colocación de vaina / caño camisa","")</f>
        <v/>
      </c>
      <c r="AI26" t="str">
        <f ca="1">IF(MAX(0,IFERROR(_xludf.XLOOKUP(AI$1,'07_Base_Tecnica'!$K$5:$K$54,'07_Base_Tecnica'!$Q$5:$Q$54,0),0)-MAX(SUMIFS('05_Parte_Diario'!$H$5:$H$204,'05_Parte_Diario'!$D$5:$D$204,AI$1,'05_Parte_Diario'!$E$5:$E$204,"06 Servicios - Colocación de vaina / caño camisa"),COUNTIFS('06_Control_Semanal'!$B$283:$B$533,AI$1,'06_Control_Semanal'!$D$283:$D$533,"Colocada")))&gt;0,"06 Servicios - Colocación de vaina / caño camisa","")</f>
        <v/>
      </c>
      <c r="AJ26" t="str">
        <f ca="1">IF(MAX(0,IFERROR(_xludf.XLOOKUP(AJ$1,'07_Base_Tecnica'!$K$5:$K$54,'07_Base_Tecnica'!$Q$5:$Q$54,0),0)-MAX(SUMIFS('05_Parte_Diario'!$H$5:$H$204,'05_Parte_Diario'!$D$5:$D$204,AJ$1,'05_Parte_Diario'!$E$5:$E$204,"06 Servicios - Colocación de vaina / caño camisa"),COUNTIFS('06_Control_Semanal'!$B$283:$B$533,AJ$1,'06_Control_Semanal'!$D$283:$D$533,"Colocada")))&gt;0,"06 Servicios - Colocación de vaina / caño camisa","")</f>
        <v/>
      </c>
      <c r="AK26" t="str">
        <f ca="1">IF(MAX(0,IFERROR(_xludf.XLOOKUP(AK$1,'07_Base_Tecnica'!$K$5:$K$54,'07_Base_Tecnica'!$Q$5:$Q$54,0),0)-MAX(SUMIFS('05_Parte_Diario'!$H$5:$H$204,'05_Parte_Diario'!$D$5:$D$204,AK$1,'05_Parte_Diario'!$E$5:$E$204,"06 Servicios - Colocación de vaina / caño camisa"),COUNTIFS('06_Control_Semanal'!$B$283:$B$533,AK$1,'06_Control_Semanal'!$D$283:$D$533,"Colocada")))&gt;0,"06 Servicios - Colocación de vaina / caño camisa","")</f>
        <v/>
      </c>
      <c r="AL26" t="str">
        <f ca="1">IF(MAX(0,IFERROR(_xludf.XLOOKUP(AL$1,'07_Base_Tecnica'!$K$5:$K$54,'07_Base_Tecnica'!$Q$5:$Q$54,0),0)-MAX(SUMIFS('05_Parte_Diario'!$H$5:$H$204,'05_Parte_Diario'!$D$5:$D$204,AL$1,'05_Parte_Diario'!$E$5:$E$204,"06 Servicios - Colocación de vaina / caño camisa"),COUNTIFS('06_Control_Semanal'!$B$283:$B$533,AL$1,'06_Control_Semanal'!$D$283:$D$533,"Colocada")))&gt;0,"06 Servicios - Colocación de vaina / caño camisa","")</f>
        <v/>
      </c>
      <c r="AM26" t="str">
        <f ca="1">IF(MAX(0,IFERROR(_xludf.XLOOKUP(AM$1,'07_Base_Tecnica'!$K$5:$K$54,'07_Base_Tecnica'!$Q$5:$Q$54,0),0)-MAX(SUMIFS('05_Parte_Diario'!$H$5:$H$204,'05_Parte_Diario'!$D$5:$D$204,AM$1,'05_Parte_Diario'!$E$5:$E$204,"06 Servicios - Colocación de vaina / caño camisa"),COUNTIFS('06_Control_Semanal'!$B$283:$B$533,AM$1,'06_Control_Semanal'!$D$283:$D$533,"Colocada")))&gt;0,"06 Servicios - Colocación de vaina / caño camisa","")</f>
        <v/>
      </c>
      <c r="AN26" t="str">
        <f ca="1">IF(MAX(0,IFERROR(_xludf.XLOOKUP(AN$1,'07_Base_Tecnica'!$K$5:$K$54,'07_Base_Tecnica'!$Q$5:$Q$54,0),0)-MAX(SUMIFS('05_Parte_Diario'!$H$5:$H$204,'05_Parte_Diario'!$D$5:$D$204,AN$1,'05_Parte_Diario'!$E$5:$E$204,"06 Servicios - Colocación de vaina / caño camisa"),COUNTIFS('06_Control_Semanal'!$B$283:$B$533,AN$1,'06_Control_Semanal'!$D$283:$D$533,"Colocada")))&gt;0,"06 Servicios - Colocación de vaina / caño camisa","")</f>
        <v/>
      </c>
      <c r="AO26" t="str">
        <f ca="1">IF(MAX(0,IFERROR(_xludf.XLOOKUP(AO$1,'07_Base_Tecnica'!$K$5:$K$54,'07_Base_Tecnica'!$Q$5:$Q$54,0),0)-MAX(SUMIFS('05_Parte_Diario'!$H$5:$H$204,'05_Parte_Diario'!$D$5:$D$204,AO$1,'05_Parte_Diario'!$E$5:$E$204,"06 Servicios - Colocación de vaina / caño camisa"),COUNTIFS('06_Control_Semanal'!$B$283:$B$533,AO$1,'06_Control_Semanal'!$D$283:$D$533,"Colocada")))&gt;0,"06 Servicios - Colocación de vaina / caño camisa","")</f>
        <v/>
      </c>
      <c r="AP26" t="str">
        <f ca="1">IF(MAX(0,IFERROR(_xludf.XLOOKUP(AP$1,'07_Base_Tecnica'!$K$5:$K$54,'07_Base_Tecnica'!$Q$5:$Q$54,0),0)-MAX(SUMIFS('05_Parte_Diario'!$H$5:$H$204,'05_Parte_Diario'!$D$5:$D$204,AP$1,'05_Parte_Diario'!$E$5:$E$204,"06 Servicios - Colocación de vaina / caño camisa"),COUNTIFS('06_Control_Semanal'!$B$283:$B$533,AP$1,'06_Control_Semanal'!$D$283:$D$533,"Colocada")))&gt;0,"06 Servicios - Colocación de vaina / caño camisa","")</f>
        <v/>
      </c>
      <c r="AQ26" t="str">
        <f ca="1">IF(MAX(0,IFERROR(_xludf.XLOOKUP(AQ$1,'07_Base_Tecnica'!$K$5:$K$54,'07_Base_Tecnica'!$Q$5:$Q$54,0),0)-MAX(SUMIFS('05_Parte_Diario'!$H$5:$H$204,'05_Parte_Diario'!$D$5:$D$204,AQ$1,'05_Parte_Diario'!$E$5:$E$204,"06 Servicios - Colocación de vaina / caño camisa"),COUNTIFS('06_Control_Semanal'!$B$283:$B$533,AQ$1,'06_Control_Semanal'!$D$283:$D$533,"Colocada")))&gt;0,"06 Servicios - Colocación de vaina / caño camisa","")</f>
        <v/>
      </c>
      <c r="AR26" t="str">
        <f ca="1">IF(MAX(0,IFERROR(_xludf.XLOOKUP(AR$1,'07_Base_Tecnica'!$K$5:$K$54,'07_Base_Tecnica'!$Q$5:$Q$54,0),0)-MAX(SUMIFS('05_Parte_Diario'!$H$5:$H$204,'05_Parte_Diario'!$D$5:$D$204,AR$1,'05_Parte_Diario'!$E$5:$E$204,"06 Servicios - Colocación de vaina / caño camisa"),COUNTIFS('06_Control_Semanal'!$B$283:$B$533,AR$1,'06_Control_Semanal'!$D$283:$D$533,"Colocada")))&gt;0,"06 Servicios - Colocación de vaina / caño camisa","")</f>
        <v/>
      </c>
      <c r="AS26" t="str">
        <f ca="1">IF(MAX(0,IFERROR(_xludf.XLOOKUP(AS$1,'07_Base_Tecnica'!$K$5:$K$54,'07_Base_Tecnica'!$Q$5:$Q$54,0),0)-MAX(SUMIFS('05_Parte_Diario'!$H$5:$H$204,'05_Parte_Diario'!$D$5:$D$204,AS$1,'05_Parte_Diario'!$E$5:$E$204,"06 Servicios - Colocación de vaina / caño camisa"),COUNTIFS('06_Control_Semanal'!$B$283:$B$533,AS$1,'06_Control_Semanal'!$D$283:$D$533,"Colocada")))&gt;0,"06 Servicios - Colocación de vaina / caño camisa","")</f>
        <v/>
      </c>
      <c r="AT26" t="str">
        <f ca="1">IF(MAX(0,IFERROR(_xludf.XLOOKUP(AT$1,'07_Base_Tecnica'!$K$5:$K$54,'07_Base_Tecnica'!$Q$5:$Q$54,0),0)-MAX(SUMIFS('05_Parte_Diario'!$H$5:$H$204,'05_Parte_Diario'!$D$5:$D$204,AT$1,'05_Parte_Diario'!$E$5:$E$204,"06 Servicios - Colocación de vaina / caño camisa"),COUNTIFS('06_Control_Semanal'!$B$283:$B$533,AT$1,'06_Control_Semanal'!$D$283:$D$533,"Colocada")))&gt;0,"06 Servicios - Colocación de vaina / caño camisa","")</f>
        <v/>
      </c>
      <c r="AU26" t="str">
        <f ca="1">IF(MAX(0,IFERROR(_xludf.XLOOKUP(AU$1,'07_Base_Tecnica'!$K$5:$K$54,'07_Base_Tecnica'!$Q$5:$Q$54,0),0)-MAX(SUMIFS('05_Parte_Diario'!$H$5:$H$204,'05_Parte_Diario'!$D$5:$D$204,AU$1,'05_Parte_Diario'!$E$5:$E$204,"06 Servicios - Colocación de vaina / caño camisa"),COUNTIFS('06_Control_Semanal'!$B$283:$B$533,AU$1,'06_Control_Semanal'!$D$283:$D$533,"Colocada")))&gt;0,"06 Servicios - Colocación de vaina / caño camisa","")</f>
        <v/>
      </c>
      <c r="AV26" t="str">
        <f ca="1">IF(MAX(0,IFERROR(_xludf.XLOOKUP(AV$1,'07_Base_Tecnica'!$K$5:$K$54,'07_Base_Tecnica'!$Q$5:$Q$54,0),0)-MAX(SUMIFS('05_Parte_Diario'!$H$5:$H$204,'05_Parte_Diario'!$D$5:$D$204,AV$1,'05_Parte_Diario'!$E$5:$E$204,"06 Servicios - Colocación de vaina / caño camisa"),COUNTIFS('06_Control_Semanal'!$B$283:$B$533,AV$1,'06_Control_Semanal'!$D$283:$D$533,"Colocada")))&gt;0,"06 Servicios - Colocación de vaina / caño camisa","")</f>
        <v/>
      </c>
      <c r="AW26" t="str">
        <f ca="1">IF(MAX(0,IFERROR(_xludf.XLOOKUP(AW$1,'07_Base_Tecnica'!$K$5:$K$54,'07_Base_Tecnica'!$Q$5:$Q$54,0),0)-MAX(SUMIFS('05_Parte_Diario'!$H$5:$H$204,'05_Parte_Diario'!$D$5:$D$204,AW$1,'05_Parte_Diario'!$E$5:$E$204,"06 Servicios - Colocación de vaina / caño camisa"),COUNTIFS('06_Control_Semanal'!$B$283:$B$533,AW$1,'06_Control_Semanal'!$D$283:$D$533,"Colocada")))&gt;0,"06 Servicios - Colocación de vaina / caño camisa","")</f>
        <v/>
      </c>
      <c r="AX26" t="str">
        <f ca="1">IF(MAX(0,IFERROR(_xludf.XLOOKUP(AX$1,'07_Base_Tecnica'!$K$5:$K$54,'07_Base_Tecnica'!$Q$5:$Q$54,0),0)-MAX(SUMIFS('05_Parte_Diario'!$H$5:$H$204,'05_Parte_Diario'!$D$5:$D$204,AX$1,'05_Parte_Diario'!$E$5:$E$204,"06 Servicios - Colocación de vaina / caño camisa"),COUNTIFS('06_Control_Semanal'!$B$283:$B$533,AX$1,'06_Control_Semanal'!$D$283:$D$533,"Colocada")))&gt;0,"06 Servicios - Colocación de vaina / caño camisa","")</f>
        <v/>
      </c>
      <c r="AY26" t="str">
        <f ca="1">IF(MAX(0,IFERROR(_xludf.XLOOKUP(AY$1,'07_Base_Tecnica'!$K$5:$K$54,'07_Base_Tecnica'!$Q$5:$Q$54,0),0)-MAX(SUMIFS('05_Parte_Diario'!$H$5:$H$204,'05_Parte_Diario'!$D$5:$D$204,AY$1,'05_Parte_Diario'!$E$5:$E$204,"06 Servicios - Colocación de vaina / caño camisa"),COUNTIFS('06_Control_Semanal'!$B$283:$B$533,AY$1,'06_Control_Semanal'!$D$283:$D$533,"Colocada")))&gt;0,"06 Servicios - Colocación de vaina / caño camisa","")</f>
        <v/>
      </c>
      <c r="AZ26" t="str">
        <f ca="1">IF(MAX(0,IFERROR(_xludf.XLOOKUP(AZ$1,'07_Base_Tecnica'!$K$5:$K$54,'07_Base_Tecnica'!$Q$5:$Q$54,0),0)-MAX(SUMIFS('05_Parte_Diario'!$H$5:$H$204,'05_Parte_Diario'!$D$5:$D$204,AZ$1,'05_Parte_Diario'!$E$5:$E$204,"06 Servicios - Colocación de vaina / caño camisa"),COUNTIFS('06_Control_Semanal'!$B$283:$B$533,AZ$1,'06_Control_Semanal'!$D$283:$D$533,"Colocada")))&gt;0,"06 Servicios - Colocación de vaina / caño camisa","")</f>
        <v/>
      </c>
      <c r="BA26" t="str">
        <f ca="1">IF(MAX(0,IFERROR(_xludf.XLOOKUP(BA$1,'07_Base_Tecnica'!$K$5:$K$54,'07_Base_Tecnica'!$Q$5:$Q$54,0),0)-MAX(SUMIFS('05_Parte_Diario'!$H$5:$H$204,'05_Parte_Diario'!$D$5:$D$204,BA$1,'05_Parte_Diario'!$E$5:$E$204,"06 Servicios - Colocación de vaina / caño camisa"),COUNTIFS('06_Control_Semanal'!$B$283:$B$533,BA$1,'06_Control_Semanal'!$D$283:$D$533,"Colocada")))&gt;0,"06 Servicios - Colocación de vaina / caño camisa","")</f>
        <v/>
      </c>
      <c r="BB26" t="str">
        <f ca="1">IF(MAX(0,IFERROR(_xludf.XLOOKUP(BB$1,'07_Base_Tecnica'!$K$5:$K$54,'07_Base_Tecnica'!$Q$5:$Q$54,0),0)-MAX(SUMIFS('05_Parte_Diario'!$H$5:$H$204,'05_Parte_Diario'!$D$5:$D$204,BB$1,'05_Parte_Diario'!$E$5:$E$204,"06 Servicios - Colocación de vaina / caño camisa"),COUNTIFS('06_Control_Semanal'!$B$283:$B$533,BB$1,'06_Control_Semanal'!$D$283:$D$533,"Colocada")))&gt;0,"06 Servicios - Colocación de vaina / caño camisa","")</f>
        <v/>
      </c>
      <c r="BC26" t="str">
        <f ca="1">IF(MAX(0,IFERROR(_xludf.XLOOKUP(BC$1,'07_Base_Tecnica'!$K$5:$K$54,'07_Base_Tecnica'!$Q$5:$Q$54,0),0)-MAX(SUMIFS('05_Parte_Diario'!$H$5:$H$204,'05_Parte_Diario'!$D$5:$D$204,BC$1,'05_Parte_Diario'!$E$5:$E$204,"06 Servicios - Colocación de vaina / caño camisa"),COUNTIFS('06_Control_Semanal'!$B$283:$B$533,BC$1,'06_Control_Semanal'!$D$283:$D$533,"Colocada")))&gt;0,"06 Servicios - Colocación de vaina / caño camisa","")</f>
        <v/>
      </c>
      <c r="BD26" t="str">
        <f ca="1">IF(MAX(0,IFERROR(_xludf.XLOOKUP(BD$1,'07_Base_Tecnica'!$K$5:$K$54,'07_Base_Tecnica'!$Q$5:$Q$54,0),0)-MAX(SUMIFS('05_Parte_Diario'!$H$5:$H$204,'05_Parte_Diario'!$D$5:$D$204,BD$1,'05_Parte_Diario'!$E$5:$E$204,"06 Servicios - Colocación de vaina / caño camisa"),COUNTIFS('06_Control_Semanal'!$B$283:$B$533,BD$1,'06_Control_Semanal'!$D$283:$D$533,"Colocada")))&gt;0,"06 Servicios - Colocación de vaina / caño camisa","")</f>
        <v/>
      </c>
      <c r="BE26" t="str">
        <f ca="1">IF(MAX(0,IFERROR(_xludf.XLOOKUP(BE$1,'07_Base_Tecnica'!$K$5:$K$54,'07_Base_Tecnica'!$Q$5:$Q$54,0),0)-MAX(SUMIFS('05_Parte_Diario'!$H$5:$H$204,'05_Parte_Diario'!$D$5:$D$204,BE$1,'05_Parte_Diario'!$E$5:$E$204,"06 Servicios - Colocación de vaina / caño camisa"),COUNTIFS('06_Control_Semanal'!$B$283:$B$533,BE$1,'06_Control_Semanal'!$D$283:$D$533,"Colocada")))&gt;0,"06 Servicios - Colocación de vaina / caño camisa","")</f>
        <v/>
      </c>
      <c r="BF26" t="str">
        <f ca="1">IF(MAX(0,IFERROR(_xludf.XLOOKUP(BF$1,'07_Base_Tecnica'!$K$5:$K$54,'07_Base_Tecnica'!$Q$5:$Q$54,0),0)-MAX(SUMIFS('05_Parte_Diario'!$H$5:$H$204,'05_Parte_Diario'!$D$5:$D$204,BF$1,'05_Parte_Diario'!$E$5:$E$204,"06 Servicios - Colocación de vaina / caño camisa"),COUNTIFS('06_Control_Semanal'!$B$283:$B$533,BF$1,'06_Control_Semanal'!$D$283:$D$533,"Colocada")))&gt;0,"06 Servicios - Colocación de vaina / caño camisa","")</f>
        <v/>
      </c>
      <c r="BG26" t="str">
        <f ca="1">IF(MAX(0,IFERROR(_xludf.XLOOKUP(BG$1,'07_Base_Tecnica'!$K$5:$K$54,'07_Base_Tecnica'!$Q$5:$Q$54,0),0)-MAX(SUMIFS('05_Parte_Diario'!$H$5:$H$204,'05_Parte_Diario'!$D$5:$D$204,BG$1,'05_Parte_Diario'!$E$5:$E$204,"06 Servicios - Colocación de vaina / caño camisa"),COUNTIFS('06_Control_Semanal'!$B$283:$B$533,BG$1,'06_Control_Semanal'!$D$283:$D$533,"Colocada")))&gt;0,"06 Servicios - Colocación de vaina / caño camisa","")</f>
        <v/>
      </c>
      <c r="BH26" t="str">
        <f ca="1">IF(MAX(0,IFERROR(_xludf.XLOOKUP(BH$1,'07_Base_Tecnica'!$K$5:$K$54,'07_Base_Tecnica'!$Q$5:$Q$54,0),0)-MAX(SUMIFS('05_Parte_Diario'!$H$5:$H$204,'05_Parte_Diario'!$D$5:$D$204,BH$1,'05_Parte_Diario'!$E$5:$E$204,"06 Servicios - Colocación de vaina / caño camisa"),COUNTIFS('06_Control_Semanal'!$B$283:$B$533,BH$1,'06_Control_Semanal'!$D$283:$D$533,"Colocada")))&gt;0,"06 Servicios - Colocación de vaina / caño camisa","")</f>
        <v/>
      </c>
      <c r="BI26" t="str">
        <f ca="1">IF(MAX(0,IFERROR(_xludf.XLOOKUP(BI$1,'07_Base_Tecnica'!$K$5:$K$54,'07_Base_Tecnica'!$Q$5:$Q$54,0),0)-MAX(SUMIFS('05_Parte_Diario'!$H$5:$H$204,'05_Parte_Diario'!$D$5:$D$204,BI$1,'05_Parte_Diario'!$E$5:$E$204,"06 Servicios - Colocación de vaina / caño camisa"),COUNTIFS('06_Control_Semanal'!$B$283:$B$533,BI$1,'06_Control_Semanal'!$D$283:$D$533,"Colocada")))&gt;0,"06 Servicios - Colocación de vaina / caño camisa","")</f>
        <v/>
      </c>
      <c r="BJ26" t="str">
        <f ca="1">IF(MAX(0,IFERROR(_xludf.XLOOKUP(BJ$1,'07_Base_Tecnica'!$K$5:$K$54,'07_Base_Tecnica'!$Q$5:$Q$54,0),0)-MAX(SUMIFS('05_Parte_Diario'!$H$5:$H$204,'05_Parte_Diario'!$D$5:$D$204,BJ$1,'05_Parte_Diario'!$E$5:$E$204,"06 Servicios - Colocación de vaina / caño camisa"),COUNTIFS('06_Control_Semanal'!$B$283:$B$533,BJ$1,'06_Control_Semanal'!$D$283:$D$533,"Colocada")))&gt;0,"06 Servicios - Colocación de vaina / caño camisa","")</f>
        <v/>
      </c>
      <c r="BK26" t="str">
        <f ca="1">IF(MAX(0,IFERROR(_xludf.XLOOKUP(BK$1,'07_Base_Tecnica'!$K$5:$K$54,'07_Base_Tecnica'!$Q$5:$Q$54,0),0)-MAX(SUMIFS('05_Parte_Diario'!$H$5:$H$204,'05_Parte_Diario'!$D$5:$D$204,BK$1,'05_Parte_Diario'!$E$5:$E$204,"06 Servicios - Colocación de vaina / caño camisa"),COUNTIFS('06_Control_Semanal'!$B$283:$B$533,BK$1,'06_Control_Semanal'!$D$283:$D$533,"Colocada")))&gt;0,"06 Servicios - Colocación de vaina / caño camisa","")</f>
        <v/>
      </c>
      <c r="BL26" t="str">
        <f ca="1">IF(MAX(0,IFERROR(_xludf.XLOOKUP(BL$1,'07_Base_Tecnica'!$K$5:$K$54,'07_Base_Tecnica'!$Q$5:$Q$54,0),0)-MAX(SUMIFS('05_Parte_Diario'!$H$5:$H$204,'05_Parte_Diario'!$D$5:$D$204,BL$1,'05_Parte_Diario'!$E$5:$E$204,"06 Servicios - Colocación de vaina / caño camisa"),COUNTIFS('06_Control_Semanal'!$B$283:$B$533,BL$1,'06_Control_Semanal'!$D$283:$D$533,"Colocada")))&gt;0,"06 Servicios - Colocación de vaina / caño camisa","")</f>
        <v/>
      </c>
      <c r="BM26" t="str">
        <f ca="1">IF(MAX(0,IFERROR(_xludf.XLOOKUP(BM$1,'07_Base_Tecnica'!$K$5:$K$54,'07_Base_Tecnica'!$Q$5:$Q$54,0),0)-MAX(SUMIFS('05_Parte_Diario'!$H$5:$H$204,'05_Parte_Diario'!$D$5:$D$204,BM$1,'05_Parte_Diario'!$E$5:$E$204,"06 Servicios - Colocación de vaina / caño camisa"),COUNTIFS('06_Control_Semanal'!$B$283:$B$533,BM$1,'06_Control_Semanal'!$D$283:$D$533,"Colocada")))&gt;0,"06 Servicios - Colocación de vaina / caño camisa","")</f>
        <v/>
      </c>
      <c r="BN26" t="str">
        <f ca="1">IF(MAX(0,IFERROR(_xludf.XLOOKUP(BN$1,'07_Base_Tecnica'!$K$5:$K$54,'07_Base_Tecnica'!$Q$5:$Q$54,0),0)-MAX(SUMIFS('05_Parte_Diario'!$H$5:$H$204,'05_Parte_Diario'!$D$5:$D$204,BN$1,'05_Parte_Diario'!$E$5:$E$204,"06 Servicios - Colocación de vaina / caño camisa"),COUNTIFS('06_Control_Semanal'!$B$283:$B$533,BN$1,'06_Control_Semanal'!$D$283:$D$533,"Colocada")))&gt;0,"06 Servicios - Colocación de vaina / caño camisa","")</f>
        <v/>
      </c>
      <c r="BO26" t="str">
        <f ca="1">IF(MAX(0,IFERROR(_xludf.XLOOKUP(BO$1,'07_Base_Tecnica'!$K$5:$K$54,'07_Base_Tecnica'!$Q$5:$Q$54,0),0)-MAX(SUMIFS('05_Parte_Diario'!$H$5:$H$204,'05_Parte_Diario'!$D$5:$D$204,BO$1,'05_Parte_Diario'!$E$5:$E$204,"06 Servicios - Colocación de vaina / caño camisa"),COUNTIFS('06_Control_Semanal'!$B$283:$B$533,BO$1,'06_Control_Semanal'!$D$283:$D$533,"Colocada")))&gt;0,"06 Servicios - Colocación de vaina / caño camisa","")</f>
        <v/>
      </c>
      <c r="BP26" t="str">
        <f ca="1">IF(MAX(0,IFERROR(_xludf.XLOOKUP(BP$1,'07_Base_Tecnica'!$K$5:$K$54,'07_Base_Tecnica'!$Q$5:$Q$54,0),0)-MAX(SUMIFS('05_Parte_Diario'!$H$5:$H$204,'05_Parte_Diario'!$D$5:$D$204,BP$1,'05_Parte_Diario'!$E$5:$E$204,"06 Servicios - Colocación de vaina / caño camisa"),COUNTIFS('06_Control_Semanal'!$B$283:$B$533,BP$1,'06_Control_Semanal'!$D$283:$D$533,"Colocada")))&gt;0,"06 Servicios - Colocación de vaina / caño camisa","")</f>
        <v/>
      </c>
      <c r="BQ26" t="str">
        <f ca="1">IF(MAX(0,IFERROR(_xludf.XLOOKUP(BQ$1,'07_Base_Tecnica'!$K$5:$K$54,'07_Base_Tecnica'!$Q$5:$Q$54,0),0)-MAX(SUMIFS('05_Parte_Diario'!$H$5:$H$204,'05_Parte_Diario'!$D$5:$D$204,BQ$1,'05_Parte_Diario'!$E$5:$E$204,"06 Servicios - Colocación de vaina / caño camisa"),COUNTIFS('06_Control_Semanal'!$B$283:$B$533,BQ$1,'06_Control_Semanal'!$D$283:$D$533,"Colocada")))&gt;0,"06 Servicios - Colocación de vaina / caño camisa","")</f>
        <v/>
      </c>
      <c r="BR26" t="str">
        <f ca="1">IF(MAX(0,IFERROR(_xludf.XLOOKUP(BR$1,'07_Base_Tecnica'!$K$5:$K$54,'07_Base_Tecnica'!$Q$5:$Q$54,0),0)-MAX(SUMIFS('05_Parte_Diario'!$H$5:$H$204,'05_Parte_Diario'!$D$5:$D$204,BR$1,'05_Parte_Diario'!$E$5:$E$204,"06 Servicios - Colocación de vaina / caño camisa"),COUNTIFS('06_Control_Semanal'!$B$283:$B$533,BR$1,'06_Control_Semanal'!$D$283:$D$533,"Colocada")))&gt;0,"06 Servicios - Colocación de vaina / caño camisa","")</f>
        <v/>
      </c>
      <c r="BS26" t="str">
        <f ca="1">IF(MAX(0,IFERROR(_xludf.XLOOKUP(BS$1,'07_Base_Tecnica'!$K$5:$K$54,'07_Base_Tecnica'!$Q$5:$Q$54,0),0)-MAX(SUMIFS('05_Parte_Diario'!$H$5:$H$204,'05_Parte_Diario'!$D$5:$D$204,BS$1,'05_Parte_Diario'!$E$5:$E$204,"06 Servicios - Colocación de vaina / caño camisa"),COUNTIFS('06_Control_Semanal'!$B$283:$B$533,BS$1,'06_Control_Semanal'!$D$283:$D$533,"Colocada")))&gt;0,"06 Servicios - Colocación de vaina / caño camisa","")</f>
        <v/>
      </c>
      <c r="BT26" t="str">
        <f ca="1">IF(MAX(0,IFERROR(_xludf.XLOOKUP(BT$1,'07_Base_Tecnica'!$K$5:$K$54,'07_Base_Tecnica'!$Q$5:$Q$54,0),0)-MAX(SUMIFS('05_Parte_Diario'!$H$5:$H$204,'05_Parte_Diario'!$D$5:$D$204,BT$1,'05_Parte_Diario'!$E$5:$E$204,"06 Servicios - Colocación de vaina / caño camisa"),COUNTIFS('06_Control_Semanal'!$B$283:$B$533,BT$1,'06_Control_Semanal'!$D$283:$D$533,"Colocada")))&gt;0,"06 Servicios - Colocación de vaina / caño camisa","")</f>
        <v/>
      </c>
      <c r="BU26" t="str">
        <f ca="1">IF(MAX(0,IFERROR(_xludf.XLOOKUP(BU$1,'07_Base_Tecnica'!$K$5:$K$54,'07_Base_Tecnica'!$Q$5:$Q$54,0),0)-MAX(SUMIFS('05_Parte_Diario'!$H$5:$H$204,'05_Parte_Diario'!$D$5:$D$204,BU$1,'05_Parte_Diario'!$E$5:$E$204,"06 Servicios - Colocación de vaina / caño camisa"),COUNTIFS('06_Control_Semanal'!$B$283:$B$533,BU$1,'06_Control_Semanal'!$D$283:$D$533,"Colocada")))&gt;0,"06 Servicios - Colocación de vaina / caño camisa","")</f>
        <v/>
      </c>
      <c r="BV26" t="str">
        <f ca="1">IF(MAX(0,IFERROR(_xludf.XLOOKUP(BV$1,'07_Base_Tecnica'!$K$5:$K$54,'07_Base_Tecnica'!$Q$5:$Q$54,0),0)-MAX(SUMIFS('05_Parte_Diario'!$H$5:$H$204,'05_Parte_Diario'!$D$5:$D$204,BV$1,'05_Parte_Diario'!$E$5:$E$204,"06 Servicios - Colocación de vaina / caño camisa"),COUNTIFS('06_Control_Semanal'!$B$283:$B$533,BV$1,'06_Control_Semanal'!$D$283:$D$533,"Colocada")))&gt;0,"06 Servicios - Colocación de vaina / caño camisa","")</f>
        <v/>
      </c>
      <c r="BW26" t="str">
        <f ca="1">IF(MAX(0,IFERROR(_xludf.XLOOKUP(BW$1,'07_Base_Tecnica'!$K$5:$K$54,'07_Base_Tecnica'!$Q$5:$Q$54,0),0)-MAX(SUMIFS('05_Parte_Diario'!$H$5:$H$204,'05_Parte_Diario'!$D$5:$D$204,BW$1,'05_Parte_Diario'!$E$5:$E$204,"06 Servicios - Colocación de vaina / caño camisa"),COUNTIFS('06_Control_Semanal'!$B$283:$B$533,BW$1,'06_Control_Semanal'!$D$283:$D$533,"Colocada")))&gt;0,"06 Servicios - Colocación de vaina / caño camisa","")</f>
        <v/>
      </c>
      <c r="BX26" t="str">
        <f ca="1">IF(MAX(0,IFERROR(_xludf.XLOOKUP(BX$1,'07_Base_Tecnica'!$K$5:$K$54,'07_Base_Tecnica'!$Q$5:$Q$54,0),0)-MAX(SUMIFS('05_Parte_Diario'!$H$5:$H$204,'05_Parte_Diario'!$D$5:$D$204,BX$1,'05_Parte_Diario'!$E$5:$E$204,"06 Servicios - Colocación de vaina / caño camisa"),COUNTIFS('06_Control_Semanal'!$B$283:$B$533,BX$1,'06_Control_Semanal'!$D$283:$D$533,"Colocada")))&gt;0,"06 Servicios - Colocación de vaina / caño camisa","")</f>
        <v/>
      </c>
      <c r="BY26" t="str">
        <f ca="1">IF(MAX(0,IFERROR(_xludf.XLOOKUP(BY$1,'07_Base_Tecnica'!$K$5:$K$54,'07_Base_Tecnica'!$Q$5:$Q$54,0),0)-MAX(SUMIFS('05_Parte_Diario'!$H$5:$H$204,'05_Parte_Diario'!$D$5:$D$204,BY$1,'05_Parte_Diario'!$E$5:$E$204,"06 Servicios - Colocación de vaina / caño camisa"),COUNTIFS('06_Control_Semanal'!$B$283:$B$533,BY$1,'06_Control_Semanal'!$D$283:$D$533,"Colocada")))&gt;0,"06 Servicios - Colocación de vaina / caño camisa","")</f>
        <v/>
      </c>
      <c r="BZ26" t="str">
        <f ca="1">IF(MAX(0,IFERROR(_xludf.XLOOKUP(BZ$1,'07_Base_Tecnica'!$K$5:$K$54,'07_Base_Tecnica'!$Q$5:$Q$54,0),0)-MAX(SUMIFS('05_Parte_Diario'!$H$5:$H$204,'05_Parte_Diario'!$D$5:$D$204,BZ$1,'05_Parte_Diario'!$E$5:$E$204,"06 Servicios - Colocación de vaina / caño camisa"),COUNTIFS('06_Control_Semanal'!$B$283:$B$533,BZ$1,'06_Control_Semanal'!$D$283:$D$533,"Colocada")))&gt;0,"06 Servicios - Colocación de vaina / caño camisa","")</f>
        <v/>
      </c>
    </row>
    <row r="27" spans="1:78">
      <c r="A27" t="str">
        <f>IF(OR(B27="",C27=""),"","PLAN-"&amp;23)</f>
        <v/>
      </c>
      <c r="D27" t="str">
        <f>IF(OR(B27="",C27=""),"",IF(C27="06 Servicios - Colocación de vaina / caño camisa","u",IF(C27="07 Hidrante - Ejecución completa","%",IFERROR(_xludf.XLOOKUP(B27&amp;"|"&amp;C27,'07_Base_Tecnica'!$AK$2:$AK$1201,'07_Base_Tecnica'!$AL$2:$AL$1201,""),""))))</f>
        <v/>
      </c>
      <c r="E27" t="str">
        <f>IF(OR(B27="",C27=""),"",IF(C27="06 Servicios - Colocación de vaina / caño camisa",MAX(0,IFERROR(_xludf.XLOOKUP(B27,'07_Base_Tecnica'!$K$5:$K$54,'07_Base_Tecnica'!$Q$5:$Q$54,0),0)-MAX(SUMIFS('05_Parte_Diario'!$H$5:$H$204,'05_Parte_Diario'!$D$5:$D$204,B27,'05_Parte_Diario'!$E$5:$E$204,"06 Servicios - Colocación de vaina / caño camisa"),COUNTIFS('06_Control_Semanal'!$B$283:$B$533,B27,'06_Control_Semanal'!$D$283:$D$533,"Colocada"))),IF(C27="07 Hidrante - Ejecución completa",MAX(0,100-SUMIFS('06_Control_Semanal'!$D$203:$D$222,'06_Control_Semanal'!$C$203:$C$222,B27)),IFERROR(_xludf.XLOOKUP(B27&amp;"|"&amp;C27,'02_Para_Programar'!$N$5:$N$304,'02_Para_Programar'!$F$5:$F$304,0),0))))</f>
        <v/>
      </c>
      <c r="G27" t="str">
        <f t="shared" si="0"/>
        <v/>
      </c>
      <c r="H27" s="5"/>
      <c r="I27" s="5"/>
      <c r="O27" t="str">
        <f>IF(OR(B27="",C27=""),"",IF(C27="07 Hidrante - Ejecución completa",IF(COUNTIF('06_Control_Semanal'!$C$203:$C$222,B27)&gt;1,"ALERTA: &gt;1 HIDRANTE",IF(E27&gt;0,"OK","SIN SALDO / NO PROGRAMAR")),IF(E27&gt;0,"OK","SIN SALDO / NO PROGRAMAR")))</f>
        <v/>
      </c>
      <c r="P27" t="str">
        <f t="shared" si="1"/>
        <v/>
      </c>
      <c r="Q27" t="str">
        <f>IF(B27="","",IFERROR(_xludf.XLOOKUP(B27,'07_Base_Tecnica'!$K$5:$K$54,'07_Base_Tecnica'!$W$5:$W$54,""),""))</f>
        <v/>
      </c>
      <c r="R27" t="str">
        <f>IF(B27="","",IFERROR(_xludf.XLOOKUP(B27,'07_Base_Tecnica'!$K$5:$K$54,'07_Base_Tecnica'!$X$5:$X$54,""),""))</f>
        <v/>
      </c>
      <c r="AA27" t="s">
        <v>158</v>
      </c>
      <c r="AC27" t="str">
        <f>IF(COUNTIFS('06_Control_Semanal'!$C$203:$C$222,AC$1,'06_Control_Semanal'!$D$203:$D$222,"&lt;100")&gt;0,"07 Hidrante - Ejecución completa","")</f>
        <v/>
      </c>
      <c r="AD27" t="str">
        <f>IF(COUNTIFS('06_Control_Semanal'!$C$203:$C$222,AD$1,'06_Control_Semanal'!$D$203:$D$222,"&lt;100")&gt;0,"07 Hidrante - Ejecución completa","")</f>
        <v/>
      </c>
      <c r="AE27" t="str">
        <f>IF(COUNTIFS('06_Control_Semanal'!$C$203:$C$222,AE$1,'06_Control_Semanal'!$D$203:$D$222,"&lt;100")&gt;0,"07 Hidrante - Ejecución completa","")</f>
        <v/>
      </c>
      <c r="AF27" t="str">
        <f>IF(COUNTIFS('06_Control_Semanal'!$C$203:$C$222,AF$1,'06_Control_Semanal'!$D$203:$D$222,"&lt;100")&gt;0,"07 Hidrante - Ejecución completa","")</f>
        <v/>
      </c>
      <c r="AG27" t="str">
        <f>IF(COUNTIFS('06_Control_Semanal'!$C$203:$C$222,AG$1,'06_Control_Semanal'!$D$203:$D$222,"&lt;100")&gt;0,"07 Hidrante - Ejecución completa","")</f>
        <v/>
      </c>
      <c r="AH27" t="str">
        <f>IF(COUNTIFS('06_Control_Semanal'!$C$203:$C$222,AH$1,'06_Control_Semanal'!$D$203:$D$222,"&lt;100")&gt;0,"07 Hidrante - Ejecución completa","")</f>
        <v/>
      </c>
      <c r="AI27" t="str">
        <f>IF(COUNTIFS('06_Control_Semanal'!$C$203:$C$222,AI$1,'06_Control_Semanal'!$D$203:$D$222,"&lt;100")&gt;0,"07 Hidrante - Ejecución completa","")</f>
        <v/>
      </c>
      <c r="AJ27" t="str">
        <f>IF(COUNTIFS('06_Control_Semanal'!$C$203:$C$222,AJ$1,'06_Control_Semanal'!$D$203:$D$222,"&lt;100")&gt;0,"07 Hidrante - Ejecución completa","")</f>
        <v/>
      </c>
      <c r="AK27" t="str">
        <f>IF(COUNTIFS('06_Control_Semanal'!$C$203:$C$222,AK$1,'06_Control_Semanal'!$D$203:$D$222,"&lt;100")&gt;0,"07 Hidrante - Ejecución completa","")</f>
        <v/>
      </c>
      <c r="AL27" t="str">
        <f>IF(COUNTIFS('06_Control_Semanal'!$C$203:$C$222,AL$1,'06_Control_Semanal'!$D$203:$D$222,"&lt;100")&gt;0,"07 Hidrante - Ejecución completa","")</f>
        <v/>
      </c>
      <c r="AM27" t="str">
        <f>IF(COUNTIFS('06_Control_Semanal'!$C$203:$C$222,AM$1,'06_Control_Semanal'!$D$203:$D$222,"&lt;100")&gt;0,"07 Hidrante - Ejecución completa","")</f>
        <v/>
      </c>
      <c r="AN27" t="str">
        <f>IF(COUNTIFS('06_Control_Semanal'!$C$203:$C$222,AN$1,'06_Control_Semanal'!$D$203:$D$222,"&lt;100")&gt;0,"07 Hidrante - Ejecución completa","")</f>
        <v/>
      </c>
      <c r="AO27" t="str">
        <f>IF(COUNTIFS('06_Control_Semanal'!$C$203:$C$222,AO$1,'06_Control_Semanal'!$D$203:$D$222,"&lt;100")&gt;0,"07 Hidrante - Ejecución completa","")</f>
        <v/>
      </c>
      <c r="AP27" t="str">
        <f>IF(COUNTIFS('06_Control_Semanal'!$C$203:$C$222,AP$1,'06_Control_Semanal'!$D$203:$D$222,"&lt;100")&gt;0,"07 Hidrante - Ejecución completa","")</f>
        <v/>
      </c>
      <c r="AQ27" t="str">
        <f>IF(COUNTIFS('06_Control_Semanal'!$C$203:$C$222,AQ$1,'06_Control_Semanal'!$D$203:$D$222,"&lt;100")&gt;0,"07 Hidrante - Ejecución completa","")</f>
        <v/>
      </c>
      <c r="AR27" t="str">
        <f>IF(COUNTIFS('06_Control_Semanal'!$C$203:$C$222,AR$1,'06_Control_Semanal'!$D$203:$D$222,"&lt;100")&gt;0,"07 Hidrante - Ejecución completa","")</f>
        <v/>
      </c>
      <c r="AS27" t="str">
        <f>IF(COUNTIFS('06_Control_Semanal'!$C$203:$C$222,AS$1,'06_Control_Semanal'!$D$203:$D$222,"&lt;100")&gt;0,"07 Hidrante - Ejecución completa","")</f>
        <v/>
      </c>
      <c r="AT27" t="str">
        <f>IF(COUNTIFS('06_Control_Semanal'!$C$203:$C$222,AT$1,'06_Control_Semanal'!$D$203:$D$222,"&lt;100")&gt;0,"07 Hidrante - Ejecución completa","")</f>
        <v/>
      </c>
      <c r="AU27" t="str">
        <f>IF(COUNTIFS('06_Control_Semanal'!$C$203:$C$222,AU$1,'06_Control_Semanal'!$D$203:$D$222,"&lt;100")&gt;0,"07 Hidrante - Ejecución completa","")</f>
        <v/>
      </c>
      <c r="AV27" t="str">
        <f>IF(COUNTIFS('06_Control_Semanal'!$C$203:$C$222,AV$1,'06_Control_Semanal'!$D$203:$D$222,"&lt;100")&gt;0,"07 Hidrante - Ejecución completa","")</f>
        <v/>
      </c>
      <c r="AW27" t="str">
        <f>IF(COUNTIFS('06_Control_Semanal'!$C$203:$C$222,AW$1,'06_Control_Semanal'!$D$203:$D$222,"&lt;100")&gt;0,"07 Hidrante - Ejecución completa","")</f>
        <v/>
      </c>
      <c r="AX27" t="str">
        <f>IF(COUNTIFS('06_Control_Semanal'!$C$203:$C$222,AX$1,'06_Control_Semanal'!$D$203:$D$222,"&lt;100")&gt;0,"07 Hidrante - Ejecución completa","")</f>
        <v/>
      </c>
      <c r="AY27" t="str">
        <f>IF(COUNTIFS('06_Control_Semanal'!$C$203:$C$222,AY$1,'06_Control_Semanal'!$D$203:$D$222,"&lt;100")&gt;0,"07 Hidrante - Ejecución completa","")</f>
        <v/>
      </c>
      <c r="AZ27" t="str">
        <f>IF(COUNTIFS('06_Control_Semanal'!$C$203:$C$222,AZ$1,'06_Control_Semanal'!$D$203:$D$222,"&lt;100")&gt;0,"07 Hidrante - Ejecución completa","")</f>
        <v/>
      </c>
      <c r="BA27" t="str">
        <f>IF(COUNTIFS('06_Control_Semanal'!$C$203:$C$222,BA$1,'06_Control_Semanal'!$D$203:$D$222,"&lt;100")&gt;0,"07 Hidrante - Ejecución completa","")</f>
        <v/>
      </c>
      <c r="BB27" t="str">
        <f>IF(COUNTIFS('06_Control_Semanal'!$C$203:$C$222,BB$1,'06_Control_Semanal'!$D$203:$D$222,"&lt;100")&gt;0,"07 Hidrante - Ejecución completa","")</f>
        <v/>
      </c>
      <c r="BC27" t="str">
        <f>IF(COUNTIFS('06_Control_Semanal'!$C$203:$C$222,BC$1,'06_Control_Semanal'!$D$203:$D$222,"&lt;100")&gt;0,"07 Hidrante - Ejecución completa","")</f>
        <v/>
      </c>
      <c r="BD27" t="str">
        <f>IF(COUNTIFS('06_Control_Semanal'!$C$203:$C$222,BD$1,'06_Control_Semanal'!$D$203:$D$222,"&lt;100")&gt;0,"07 Hidrante - Ejecución completa","")</f>
        <v/>
      </c>
      <c r="BE27" t="str">
        <f>IF(COUNTIFS('06_Control_Semanal'!$C$203:$C$222,BE$1,'06_Control_Semanal'!$D$203:$D$222,"&lt;100")&gt;0,"07 Hidrante - Ejecución completa","")</f>
        <v/>
      </c>
      <c r="BF27" t="str">
        <f>IF(COUNTIFS('06_Control_Semanal'!$C$203:$C$222,BF$1,'06_Control_Semanal'!$D$203:$D$222,"&lt;100")&gt;0,"07 Hidrante - Ejecución completa","")</f>
        <v/>
      </c>
      <c r="BG27" t="str">
        <f>IF(COUNTIFS('06_Control_Semanal'!$C$203:$C$222,BG$1,'06_Control_Semanal'!$D$203:$D$222,"&lt;100")&gt;0,"07 Hidrante - Ejecución completa","")</f>
        <v/>
      </c>
      <c r="BH27" t="str">
        <f>IF(COUNTIFS('06_Control_Semanal'!$C$203:$C$222,BH$1,'06_Control_Semanal'!$D$203:$D$222,"&lt;100")&gt;0,"07 Hidrante - Ejecución completa","")</f>
        <v/>
      </c>
      <c r="BI27" t="str">
        <f>IF(COUNTIFS('06_Control_Semanal'!$C$203:$C$222,BI$1,'06_Control_Semanal'!$D$203:$D$222,"&lt;100")&gt;0,"07 Hidrante - Ejecución completa","")</f>
        <v/>
      </c>
      <c r="BJ27" t="str">
        <f>IF(COUNTIFS('06_Control_Semanal'!$C$203:$C$222,BJ$1,'06_Control_Semanal'!$D$203:$D$222,"&lt;100")&gt;0,"07 Hidrante - Ejecución completa","")</f>
        <v/>
      </c>
      <c r="BK27" t="str">
        <f>IF(COUNTIFS('06_Control_Semanal'!$C$203:$C$222,BK$1,'06_Control_Semanal'!$D$203:$D$222,"&lt;100")&gt;0,"07 Hidrante - Ejecución completa","")</f>
        <v/>
      </c>
      <c r="BL27" t="str">
        <f>IF(COUNTIFS('06_Control_Semanal'!$C$203:$C$222,BL$1,'06_Control_Semanal'!$D$203:$D$222,"&lt;100")&gt;0,"07 Hidrante - Ejecución completa","")</f>
        <v/>
      </c>
      <c r="BM27" t="str">
        <f>IF(COUNTIFS('06_Control_Semanal'!$C$203:$C$222,BM$1,'06_Control_Semanal'!$D$203:$D$222,"&lt;100")&gt;0,"07 Hidrante - Ejecución completa","")</f>
        <v/>
      </c>
      <c r="BN27" t="str">
        <f>IF(COUNTIFS('06_Control_Semanal'!$C$203:$C$222,BN$1,'06_Control_Semanal'!$D$203:$D$222,"&lt;100")&gt;0,"07 Hidrante - Ejecución completa","")</f>
        <v/>
      </c>
      <c r="BO27" t="str">
        <f>IF(COUNTIFS('06_Control_Semanal'!$C$203:$C$222,BO$1,'06_Control_Semanal'!$D$203:$D$222,"&lt;100")&gt;0,"07 Hidrante - Ejecución completa","")</f>
        <v/>
      </c>
      <c r="BP27" t="str">
        <f>IF(COUNTIFS('06_Control_Semanal'!$C$203:$C$222,BP$1,'06_Control_Semanal'!$D$203:$D$222,"&lt;100")&gt;0,"07 Hidrante - Ejecución completa","")</f>
        <v/>
      </c>
      <c r="BQ27" t="str">
        <f>IF(COUNTIFS('06_Control_Semanal'!$C$203:$C$222,BQ$1,'06_Control_Semanal'!$D$203:$D$222,"&lt;100")&gt;0,"07 Hidrante - Ejecución completa","")</f>
        <v/>
      </c>
      <c r="BR27" t="str">
        <f>IF(COUNTIFS('06_Control_Semanal'!$C$203:$C$222,BR$1,'06_Control_Semanal'!$D$203:$D$222,"&lt;100")&gt;0,"07 Hidrante - Ejecución completa","")</f>
        <v/>
      </c>
      <c r="BS27" t="str">
        <f>IF(COUNTIFS('06_Control_Semanal'!$C$203:$C$222,BS$1,'06_Control_Semanal'!$D$203:$D$222,"&lt;100")&gt;0,"07 Hidrante - Ejecución completa","")</f>
        <v/>
      </c>
      <c r="BT27" t="str">
        <f>IF(COUNTIFS('06_Control_Semanal'!$C$203:$C$222,BT$1,'06_Control_Semanal'!$D$203:$D$222,"&lt;100")&gt;0,"07 Hidrante - Ejecución completa","")</f>
        <v/>
      </c>
      <c r="BU27" t="str">
        <f>IF(COUNTIFS('06_Control_Semanal'!$C$203:$C$222,BU$1,'06_Control_Semanal'!$D$203:$D$222,"&lt;100")&gt;0,"07 Hidrante - Ejecución completa","")</f>
        <v/>
      </c>
      <c r="BV27" t="str">
        <f>IF(COUNTIFS('06_Control_Semanal'!$C$203:$C$222,BV$1,'06_Control_Semanal'!$D$203:$D$222,"&lt;100")&gt;0,"07 Hidrante - Ejecución completa","")</f>
        <v/>
      </c>
      <c r="BW27" t="str">
        <f>IF(COUNTIFS('06_Control_Semanal'!$C$203:$C$222,BW$1,'06_Control_Semanal'!$D$203:$D$222,"&lt;100")&gt;0,"07 Hidrante - Ejecución completa","")</f>
        <v/>
      </c>
      <c r="BX27" t="str">
        <f>IF(COUNTIFS('06_Control_Semanal'!$C$203:$C$222,BX$1,'06_Control_Semanal'!$D$203:$D$222,"&lt;100")&gt;0,"07 Hidrante - Ejecución completa","")</f>
        <v/>
      </c>
      <c r="BY27" t="str">
        <f>IF(COUNTIFS('06_Control_Semanal'!$C$203:$C$222,BY$1,'06_Control_Semanal'!$D$203:$D$222,"&lt;100")&gt;0,"07 Hidrante - Ejecución completa","")</f>
        <v/>
      </c>
      <c r="BZ27" t="str">
        <f>IF(COUNTIFS('06_Control_Semanal'!$C$203:$C$222,BZ$1,'06_Control_Semanal'!$D$203:$D$222,"&lt;100")&gt;0,"07 Hidrante - Ejecución completa","")</f>
        <v/>
      </c>
    </row>
    <row r="28" spans="1:78">
      <c r="A28" t="str">
        <f>IF(OR(B28="",C28=""),"","PLAN-"&amp;24)</f>
        <v/>
      </c>
      <c r="D28" t="str">
        <f>IF(OR(B28="",C28=""),"",IF(C28="06 Servicios - Colocación de vaina / caño camisa","u",IF(C28="07 Hidrante - Ejecución completa","%",IFERROR(_xludf.XLOOKUP(B28&amp;"|"&amp;C28,'07_Base_Tecnica'!$AK$2:$AK$1201,'07_Base_Tecnica'!$AL$2:$AL$1201,""),""))))</f>
        <v/>
      </c>
      <c r="E28" t="str">
        <f>IF(OR(B28="",C28=""),"",IF(C28="06 Servicios - Colocación de vaina / caño camisa",MAX(0,IFERROR(_xludf.XLOOKUP(B28,'07_Base_Tecnica'!$K$5:$K$54,'07_Base_Tecnica'!$Q$5:$Q$54,0),0)-MAX(SUMIFS('05_Parte_Diario'!$H$5:$H$204,'05_Parte_Diario'!$D$5:$D$204,B28,'05_Parte_Diario'!$E$5:$E$204,"06 Servicios - Colocación de vaina / caño camisa"),COUNTIFS('06_Control_Semanal'!$B$283:$B$533,B28,'06_Control_Semanal'!$D$283:$D$533,"Colocada"))),IF(C28="07 Hidrante - Ejecución completa",MAX(0,100-SUMIFS('06_Control_Semanal'!$D$203:$D$222,'06_Control_Semanal'!$C$203:$C$222,B28)),IFERROR(_xludf.XLOOKUP(B28&amp;"|"&amp;C28,'02_Para_Programar'!$N$5:$N$304,'02_Para_Programar'!$F$5:$F$304,0),0))))</f>
        <v/>
      </c>
      <c r="G28" t="str">
        <f t="shared" si="0"/>
        <v/>
      </c>
      <c r="H28" s="5"/>
      <c r="I28" s="5"/>
      <c r="O28" t="str">
        <f>IF(OR(B28="",C28=""),"",IF(C28="07 Hidrante - Ejecución completa",IF(COUNTIF('06_Control_Semanal'!$C$203:$C$222,B28)&gt;1,"ALERTA: &gt;1 HIDRANTE",IF(E28&gt;0,"OK","SIN SALDO / NO PROGRAMAR")),IF(E28&gt;0,"OK","SIN SALDO / NO PROGRAMAR")))</f>
        <v/>
      </c>
      <c r="P28" t="str">
        <f t="shared" si="1"/>
        <v/>
      </c>
      <c r="Q28" t="str">
        <f>IF(B28="","",IFERROR(_xludf.XLOOKUP(B28,'07_Base_Tecnica'!$K$5:$K$54,'07_Base_Tecnica'!$W$5:$W$54,""),""))</f>
        <v/>
      </c>
      <c r="R28" t="str">
        <f>IF(B28="","",IFERROR(_xludf.XLOOKUP(B28,'07_Base_Tecnica'!$K$5:$K$54,'07_Base_Tecnica'!$X$5:$X$54,""),""))</f>
        <v/>
      </c>
      <c r="AA28" t="s">
        <v>159</v>
      </c>
    </row>
    <row r="29" spans="1:78">
      <c r="A29" t="str">
        <f>IF(OR(B29="",C29=""),"","PLAN-"&amp;25)</f>
        <v/>
      </c>
      <c r="D29" t="str">
        <f>IF(OR(B29="",C29=""),"",IF(C29="06 Servicios - Colocación de vaina / caño camisa","u",IF(C29="07 Hidrante - Ejecución completa","%",IFERROR(_xludf.XLOOKUP(B29&amp;"|"&amp;C29,'07_Base_Tecnica'!$AK$2:$AK$1201,'07_Base_Tecnica'!$AL$2:$AL$1201,""),""))))</f>
        <v/>
      </c>
      <c r="E29" t="str">
        <f>IF(OR(B29="",C29=""),"",IF(C29="06 Servicios - Colocación de vaina / caño camisa",MAX(0,IFERROR(_xludf.XLOOKUP(B29,'07_Base_Tecnica'!$K$5:$K$54,'07_Base_Tecnica'!$Q$5:$Q$54,0),0)-MAX(SUMIFS('05_Parte_Diario'!$H$5:$H$204,'05_Parte_Diario'!$D$5:$D$204,B29,'05_Parte_Diario'!$E$5:$E$204,"06 Servicios - Colocación de vaina / caño camisa"),COUNTIFS('06_Control_Semanal'!$B$283:$B$533,B29,'06_Control_Semanal'!$D$283:$D$533,"Colocada"))),IF(C29="07 Hidrante - Ejecución completa",MAX(0,100-SUMIFS('06_Control_Semanal'!$D$203:$D$222,'06_Control_Semanal'!$C$203:$C$222,B29)),IFERROR(_xludf.XLOOKUP(B29&amp;"|"&amp;C29,'02_Para_Programar'!$N$5:$N$304,'02_Para_Programar'!$F$5:$F$304,0),0))))</f>
        <v/>
      </c>
      <c r="G29" t="str">
        <f t="shared" si="0"/>
        <v/>
      </c>
      <c r="H29" s="5"/>
      <c r="I29" s="5"/>
      <c r="O29" t="str">
        <f>IF(OR(B29="",C29=""),"",IF(C29="07 Hidrante - Ejecución completa",IF(COUNTIF('06_Control_Semanal'!$C$203:$C$222,B29)&gt;1,"ALERTA: &gt;1 HIDRANTE",IF(E29&gt;0,"OK","SIN SALDO / NO PROGRAMAR")),IF(E29&gt;0,"OK","SIN SALDO / NO PROGRAMAR")))</f>
        <v/>
      </c>
      <c r="P29" t="str">
        <f t="shared" si="1"/>
        <v/>
      </c>
      <c r="Q29" t="str">
        <f>IF(B29="","",IFERROR(_xludf.XLOOKUP(B29,'07_Base_Tecnica'!$K$5:$K$54,'07_Base_Tecnica'!$W$5:$W$54,""),""))</f>
        <v/>
      </c>
      <c r="R29" t="str">
        <f>IF(B29="","",IFERROR(_xludf.XLOOKUP(B29,'07_Base_Tecnica'!$K$5:$K$54,'07_Base_Tecnica'!$X$5:$X$54,""),""))</f>
        <v/>
      </c>
      <c r="AA29" t="s">
        <v>160</v>
      </c>
    </row>
    <row r="30" spans="1:78">
      <c r="A30" t="str">
        <f>IF(OR(B30="",C30=""),"","PLAN-"&amp;26)</f>
        <v/>
      </c>
      <c r="D30" t="str">
        <f>IF(OR(B30="",C30=""),"",IF(C30="06 Servicios - Colocación de vaina / caño camisa","u",IF(C30="07 Hidrante - Ejecución completa","%",IFERROR(_xludf.XLOOKUP(B30&amp;"|"&amp;C30,'07_Base_Tecnica'!$AK$2:$AK$1201,'07_Base_Tecnica'!$AL$2:$AL$1201,""),""))))</f>
        <v/>
      </c>
      <c r="E30" t="str">
        <f>IF(OR(B30="",C30=""),"",IF(C30="06 Servicios - Colocación de vaina / caño camisa",MAX(0,IFERROR(_xludf.XLOOKUP(B30,'07_Base_Tecnica'!$K$5:$K$54,'07_Base_Tecnica'!$Q$5:$Q$54,0),0)-MAX(SUMIFS('05_Parte_Diario'!$H$5:$H$204,'05_Parte_Diario'!$D$5:$D$204,B30,'05_Parte_Diario'!$E$5:$E$204,"06 Servicios - Colocación de vaina / caño camisa"),COUNTIFS('06_Control_Semanal'!$B$283:$B$533,B30,'06_Control_Semanal'!$D$283:$D$533,"Colocada"))),IF(C30="07 Hidrante - Ejecución completa",MAX(0,100-SUMIFS('06_Control_Semanal'!$D$203:$D$222,'06_Control_Semanal'!$C$203:$C$222,B30)),IFERROR(_xludf.XLOOKUP(B30&amp;"|"&amp;C30,'02_Para_Programar'!$N$5:$N$304,'02_Para_Programar'!$F$5:$F$304,0),0))))</f>
        <v/>
      </c>
      <c r="G30" t="str">
        <f t="shared" si="0"/>
        <v/>
      </c>
      <c r="H30" s="5"/>
      <c r="I30" s="5"/>
      <c r="O30" t="str">
        <f>IF(OR(B30="",C30=""),"",IF(C30="07 Hidrante - Ejecución completa",IF(COUNTIF('06_Control_Semanal'!$C$203:$C$222,B30)&gt;1,"ALERTA: &gt;1 HIDRANTE",IF(E30&gt;0,"OK","SIN SALDO / NO PROGRAMAR")),IF(E30&gt;0,"OK","SIN SALDO / NO PROGRAMAR")))</f>
        <v/>
      </c>
      <c r="P30" t="str">
        <f t="shared" si="1"/>
        <v/>
      </c>
      <c r="Q30" t="str">
        <f>IF(B30="","",IFERROR(_xludf.XLOOKUP(B30,'07_Base_Tecnica'!$K$5:$K$54,'07_Base_Tecnica'!$W$5:$W$54,""),""))</f>
        <v/>
      </c>
      <c r="R30" t="str">
        <f>IF(B30="","",IFERROR(_xludf.XLOOKUP(B30,'07_Base_Tecnica'!$K$5:$K$54,'07_Base_Tecnica'!$X$5:$X$54,""),""))</f>
        <v/>
      </c>
      <c r="AA30" t="s">
        <v>161</v>
      </c>
    </row>
    <row r="31" spans="1:78">
      <c r="A31" t="str">
        <f>IF(OR(B31="",C31=""),"","PLAN-"&amp;27)</f>
        <v/>
      </c>
      <c r="D31" t="str">
        <f>IF(OR(B31="",C31=""),"",IF(C31="06 Servicios - Colocación de vaina / caño camisa","u",IF(C31="07 Hidrante - Ejecución completa","%",IFERROR(_xludf.XLOOKUP(B31&amp;"|"&amp;C31,'07_Base_Tecnica'!$AK$2:$AK$1201,'07_Base_Tecnica'!$AL$2:$AL$1201,""),""))))</f>
        <v/>
      </c>
      <c r="E31" t="str">
        <f>IF(OR(B31="",C31=""),"",IF(C31="06 Servicios - Colocación de vaina / caño camisa",MAX(0,IFERROR(_xludf.XLOOKUP(B31,'07_Base_Tecnica'!$K$5:$K$54,'07_Base_Tecnica'!$Q$5:$Q$54,0),0)-MAX(SUMIFS('05_Parte_Diario'!$H$5:$H$204,'05_Parte_Diario'!$D$5:$D$204,B31,'05_Parte_Diario'!$E$5:$E$204,"06 Servicios - Colocación de vaina / caño camisa"),COUNTIFS('06_Control_Semanal'!$B$283:$B$533,B31,'06_Control_Semanal'!$D$283:$D$533,"Colocada"))),IF(C31="07 Hidrante - Ejecución completa",MAX(0,100-SUMIFS('06_Control_Semanal'!$D$203:$D$222,'06_Control_Semanal'!$C$203:$C$222,B31)),IFERROR(_xludf.XLOOKUP(B31&amp;"|"&amp;C31,'02_Para_Programar'!$N$5:$N$304,'02_Para_Programar'!$F$5:$F$304,0),0))))</f>
        <v/>
      </c>
      <c r="G31" t="str">
        <f t="shared" si="0"/>
        <v/>
      </c>
      <c r="H31" s="5"/>
      <c r="I31" s="5"/>
      <c r="O31" t="str">
        <f>IF(OR(B31="",C31=""),"",IF(C31="07 Hidrante - Ejecución completa",IF(COUNTIF('06_Control_Semanal'!$C$203:$C$222,B31)&gt;1,"ALERTA: &gt;1 HIDRANTE",IF(E31&gt;0,"OK","SIN SALDO / NO PROGRAMAR")),IF(E31&gt;0,"OK","SIN SALDO / NO PROGRAMAR")))</f>
        <v/>
      </c>
      <c r="P31" t="str">
        <f t="shared" si="1"/>
        <v/>
      </c>
      <c r="Q31" t="str">
        <f>IF(B31="","",IFERROR(_xludf.XLOOKUP(B31,'07_Base_Tecnica'!$K$5:$K$54,'07_Base_Tecnica'!$W$5:$W$54,""),""))</f>
        <v/>
      </c>
      <c r="R31" t="str">
        <f>IF(B31="","",IFERROR(_xludf.XLOOKUP(B31,'07_Base_Tecnica'!$K$5:$K$54,'07_Base_Tecnica'!$X$5:$X$54,""),""))</f>
        <v/>
      </c>
      <c r="AA31" t="s">
        <v>163</v>
      </c>
    </row>
    <row r="32" spans="1:78">
      <c r="A32" t="str">
        <f>IF(OR(B32="",C32=""),"","PLAN-"&amp;28)</f>
        <v/>
      </c>
      <c r="D32" t="str">
        <f>IF(OR(B32="",C32=""),"",IF(C32="06 Servicios - Colocación de vaina / caño camisa","u",IF(C32="07 Hidrante - Ejecución completa","%",IFERROR(_xludf.XLOOKUP(B32&amp;"|"&amp;C32,'07_Base_Tecnica'!$AK$2:$AK$1201,'07_Base_Tecnica'!$AL$2:$AL$1201,""),""))))</f>
        <v/>
      </c>
      <c r="E32" t="str">
        <f>IF(OR(B32="",C32=""),"",IF(C32="06 Servicios - Colocación de vaina / caño camisa",MAX(0,IFERROR(_xludf.XLOOKUP(B32,'07_Base_Tecnica'!$K$5:$K$54,'07_Base_Tecnica'!$Q$5:$Q$54,0),0)-MAX(SUMIFS('05_Parte_Diario'!$H$5:$H$204,'05_Parte_Diario'!$D$5:$D$204,B32,'05_Parte_Diario'!$E$5:$E$204,"06 Servicios - Colocación de vaina / caño camisa"),COUNTIFS('06_Control_Semanal'!$B$283:$B$533,B32,'06_Control_Semanal'!$D$283:$D$533,"Colocada"))),IF(C32="07 Hidrante - Ejecución completa",MAX(0,100-SUMIFS('06_Control_Semanal'!$D$203:$D$222,'06_Control_Semanal'!$C$203:$C$222,B32)),IFERROR(_xludf.XLOOKUP(B32&amp;"|"&amp;C32,'02_Para_Programar'!$N$5:$N$304,'02_Para_Programar'!$F$5:$F$304,0),0))))</f>
        <v/>
      </c>
      <c r="G32" t="str">
        <f t="shared" si="0"/>
        <v/>
      </c>
      <c r="H32" s="5"/>
      <c r="I32" s="5"/>
      <c r="O32" t="str">
        <f>IF(OR(B32="",C32=""),"",IF(C32="07 Hidrante - Ejecución completa",IF(COUNTIF('06_Control_Semanal'!$C$203:$C$222,B32)&gt;1,"ALERTA: &gt;1 HIDRANTE",IF(E32&gt;0,"OK","SIN SALDO / NO PROGRAMAR")),IF(E32&gt;0,"OK","SIN SALDO / NO PROGRAMAR")))</f>
        <v/>
      </c>
      <c r="P32" t="str">
        <f t="shared" si="1"/>
        <v/>
      </c>
      <c r="Q32" t="str">
        <f>IF(B32="","",IFERROR(_xludf.XLOOKUP(B32,'07_Base_Tecnica'!$K$5:$K$54,'07_Base_Tecnica'!$W$5:$W$54,""),""))</f>
        <v/>
      </c>
      <c r="R32" t="str">
        <f>IF(B32="","",IFERROR(_xludf.XLOOKUP(B32,'07_Base_Tecnica'!$K$5:$K$54,'07_Base_Tecnica'!$X$5:$X$54,""),""))</f>
        <v/>
      </c>
      <c r="AA32" t="s">
        <v>165</v>
      </c>
    </row>
    <row r="33" spans="1:27">
      <c r="A33" t="str">
        <f>IF(OR(B33="",C33=""),"","PLAN-"&amp;29)</f>
        <v/>
      </c>
      <c r="D33" t="str">
        <f>IF(OR(B33="",C33=""),"",IF(C33="06 Servicios - Colocación de vaina / caño camisa","u",IF(C33="07 Hidrante - Ejecución completa","%",IFERROR(_xludf.XLOOKUP(B33&amp;"|"&amp;C33,'07_Base_Tecnica'!$AK$2:$AK$1201,'07_Base_Tecnica'!$AL$2:$AL$1201,""),""))))</f>
        <v/>
      </c>
      <c r="E33" t="str">
        <f>IF(OR(B33="",C33=""),"",IF(C33="06 Servicios - Colocación de vaina / caño camisa",MAX(0,IFERROR(_xludf.XLOOKUP(B33,'07_Base_Tecnica'!$K$5:$K$54,'07_Base_Tecnica'!$Q$5:$Q$54,0),0)-MAX(SUMIFS('05_Parte_Diario'!$H$5:$H$204,'05_Parte_Diario'!$D$5:$D$204,B33,'05_Parte_Diario'!$E$5:$E$204,"06 Servicios - Colocación de vaina / caño camisa"),COUNTIFS('06_Control_Semanal'!$B$283:$B$533,B33,'06_Control_Semanal'!$D$283:$D$533,"Colocada"))),IF(C33="07 Hidrante - Ejecución completa",MAX(0,100-SUMIFS('06_Control_Semanal'!$D$203:$D$222,'06_Control_Semanal'!$C$203:$C$222,B33)),IFERROR(_xludf.XLOOKUP(B33&amp;"|"&amp;C33,'02_Para_Programar'!$N$5:$N$304,'02_Para_Programar'!$F$5:$F$304,0),0))))</f>
        <v/>
      </c>
      <c r="G33" t="str">
        <f t="shared" si="0"/>
        <v/>
      </c>
      <c r="H33" s="5"/>
      <c r="I33" s="5"/>
      <c r="O33" t="str">
        <f>IF(OR(B33="",C33=""),"",IF(C33="07 Hidrante - Ejecución completa",IF(COUNTIF('06_Control_Semanal'!$C$203:$C$222,B33)&gt;1,"ALERTA: &gt;1 HIDRANTE",IF(E33&gt;0,"OK","SIN SALDO / NO PROGRAMAR")),IF(E33&gt;0,"OK","SIN SALDO / NO PROGRAMAR")))</f>
        <v/>
      </c>
      <c r="P33" t="str">
        <f t="shared" si="1"/>
        <v/>
      </c>
      <c r="Q33" t="str">
        <f>IF(B33="","",IFERROR(_xludf.XLOOKUP(B33,'07_Base_Tecnica'!$K$5:$K$54,'07_Base_Tecnica'!$W$5:$W$54,""),""))</f>
        <v/>
      </c>
      <c r="R33" t="str">
        <f>IF(B33="","",IFERROR(_xludf.XLOOKUP(B33,'07_Base_Tecnica'!$K$5:$K$54,'07_Base_Tecnica'!$X$5:$X$54,""),""))</f>
        <v/>
      </c>
      <c r="AA33" t="s">
        <v>166</v>
      </c>
    </row>
    <row r="34" spans="1:27">
      <c r="A34" t="str">
        <f>IF(OR(B34="",C34=""),"","PLAN-"&amp;30)</f>
        <v/>
      </c>
      <c r="D34" t="str">
        <f>IF(OR(B34="",C34=""),"",IF(C34="06 Servicios - Colocación de vaina / caño camisa","u",IF(C34="07 Hidrante - Ejecución completa","%",IFERROR(_xludf.XLOOKUP(B34&amp;"|"&amp;C34,'07_Base_Tecnica'!$AK$2:$AK$1201,'07_Base_Tecnica'!$AL$2:$AL$1201,""),""))))</f>
        <v/>
      </c>
      <c r="E34" t="str">
        <f>IF(OR(B34="",C34=""),"",IF(C34="06 Servicios - Colocación de vaina / caño camisa",MAX(0,IFERROR(_xludf.XLOOKUP(B34,'07_Base_Tecnica'!$K$5:$K$54,'07_Base_Tecnica'!$Q$5:$Q$54,0),0)-MAX(SUMIFS('05_Parte_Diario'!$H$5:$H$204,'05_Parte_Diario'!$D$5:$D$204,B34,'05_Parte_Diario'!$E$5:$E$204,"06 Servicios - Colocación de vaina / caño camisa"),COUNTIFS('06_Control_Semanal'!$B$283:$B$533,B34,'06_Control_Semanal'!$D$283:$D$533,"Colocada"))),IF(C34="07 Hidrante - Ejecución completa",MAX(0,100-SUMIFS('06_Control_Semanal'!$D$203:$D$222,'06_Control_Semanal'!$C$203:$C$222,B34)),IFERROR(_xludf.XLOOKUP(B34&amp;"|"&amp;C34,'02_Para_Programar'!$N$5:$N$304,'02_Para_Programar'!$F$5:$F$304,0),0))))</f>
        <v/>
      </c>
      <c r="G34" t="str">
        <f t="shared" si="0"/>
        <v/>
      </c>
      <c r="H34" s="5"/>
      <c r="I34" s="5"/>
      <c r="O34" t="str">
        <f>IF(OR(B34="",C34=""),"",IF(C34="07 Hidrante - Ejecución completa",IF(COUNTIF('06_Control_Semanal'!$C$203:$C$222,B34)&gt;1,"ALERTA: &gt;1 HIDRANTE",IF(E34&gt;0,"OK","SIN SALDO / NO PROGRAMAR")),IF(E34&gt;0,"OK","SIN SALDO / NO PROGRAMAR")))</f>
        <v/>
      </c>
      <c r="P34" t="str">
        <f t="shared" si="1"/>
        <v/>
      </c>
      <c r="Q34" t="str">
        <f>IF(B34="","",IFERROR(_xludf.XLOOKUP(B34,'07_Base_Tecnica'!$K$5:$K$54,'07_Base_Tecnica'!$W$5:$W$54,""),""))</f>
        <v/>
      </c>
      <c r="R34" t="str">
        <f>IF(B34="","",IFERROR(_xludf.XLOOKUP(B34,'07_Base_Tecnica'!$K$5:$K$54,'07_Base_Tecnica'!$X$5:$X$54,""),""))</f>
        <v/>
      </c>
      <c r="AA34" t="s">
        <v>167</v>
      </c>
    </row>
    <row r="35" spans="1:27">
      <c r="A35" t="str">
        <f>IF(OR(B35="",C35=""),"","PLAN-"&amp;31)</f>
        <v/>
      </c>
      <c r="D35" t="str">
        <f>IF(OR(B35="",C35=""),"",IF(C35="06 Servicios - Colocación de vaina / caño camisa","u",IF(C35="07 Hidrante - Ejecución completa","%",IFERROR(_xludf.XLOOKUP(B35&amp;"|"&amp;C35,'07_Base_Tecnica'!$AK$2:$AK$1201,'07_Base_Tecnica'!$AL$2:$AL$1201,""),""))))</f>
        <v/>
      </c>
      <c r="E35" t="str">
        <f>IF(OR(B35="",C35=""),"",IF(C35="06 Servicios - Colocación de vaina / caño camisa",MAX(0,IFERROR(_xludf.XLOOKUP(B35,'07_Base_Tecnica'!$K$5:$K$54,'07_Base_Tecnica'!$Q$5:$Q$54,0),0)-MAX(SUMIFS('05_Parte_Diario'!$H$5:$H$204,'05_Parte_Diario'!$D$5:$D$204,B35,'05_Parte_Diario'!$E$5:$E$204,"06 Servicios - Colocación de vaina / caño camisa"),COUNTIFS('06_Control_Semanal'!$B$283:$B$533,B35,'06_Control_Semanal'!$D$283:$D$533,"Colocada"))),IF(C35="07 Hidrante - Ejecución completa",MAX(0,100-SUMIFS('06_Control_Semanal'!$D$203:$D$222,'06_Control_Semanal'!$C$203:$C$222,B35)),IFERROR(_xludf.XLOOKUP(B35&amp;"|"&amp;C35,'02_Para_Programar'!$N$5:$N$304,'02_Para_Programar'!$F$5:$F$304,0),0))))</f>
        <v/>
      </c>
      <c r="G35" t="str">
        <f t="shared" si="0"/>
        <v/>
      </c>
      <c r="H35" s="5"/>
      <c r="I35" s="5"/>
      <c r="O35" t="str">
        <f>IF(OR(B35="",C35=""),"",IF(C35="07 Hidrante - Ejecución completa",IF(COUNTIF('06_Control_Semanal'!$C$203:$C$222,B35)&gt;1,"ALERTA: &gt;1 HIDRANTE",IF(E35&gt;0,"OK","SIN SALDO / NO PROGRAMAR")),IF(E35&gt;0,"OK","SIN SALDO / NO PROGRAMAR")))</f>
        <v/>
      </c>
      <c r="P35" t="str">
        <f t="shared" si="1"/>
        <v/>
      </c>
      <c r="Q35" t="str">
        <f>IF(B35="","",IFERROR(_xludf.XLOOKUP(B35,'07_Base_Tecnica'!$K$5:$K$54,'07_Base_Tecnica'!$W$5:$W$54,""),""))</f>
        <v/>
      </c>
      <c r="R35" t="str">
        <f>IF(B35="","",IFERROR(_xludf.XLOOKUP(B35,'07_Base_Tecnica'!$K$5:$K$54,'07_Base_Tecnica'!$X$5:$X$54,""),""))</f>
        <v/>
      </c>
      <c r="AA35" t="s">
        <v>168</v>
      </c>
    </row>
    <row r="36" spans="1:27">
      <c r="A36" t="str">
        <f>IF(OR(B36="",C36=""),"","PLAN-"&amp;32)</f>
        <v/>
      </c>
      <c r="D36" t="str">
        <f>IF(OR(B36="",C36=""),"",IF(C36="06 Servicios - Colocación de vaina / caño camisa","u",IF(C36="07 Hidrante - Ejecución completa","%",IFERROR(_xludf.XLOOKUP(B36&amp;"|"&amp;C36,'07_Base_Tecnica'!$AK$2:$AK$1201,'07_Base_Tecnica'!$AL$2:$AL$1201,""),""))))</f>
        <v/>
      </c>
      <c r="E36" t="str">
        <f>IF(OR(B36="",C36=""),"",IF(C36="06 Servicios - Colocación de vaina / caño camisa",MAX(0,IFERROR(_xludf.XLOOKUP(B36,'07_Base_Tecnica'!$K$5:$K$54,'07_Base_Tecnica'!$Q$5:$Q$54,0),0)-MAX(SUMIFS('05_Parte_Diario'!$H$5:$H$204,'05_Parte_Diario'!$D$5:$D$204,B36,'05_Parte_Diario'!$E$5:$E$204,"06 Servicios - Colocación de vaina / caño camisa"),COUNTIFS('06_Control_Semanal'!$B$283:$B$533,B36,'06_Control_Semanal'!$D$283:$D$533,"Colocada"))),IF(C36="07 Hidrante - Ejecución completa",MAX(0,100-SUMIFS('06_Control_Semanal'!$D$203:$D$222,'06_Control_Semanal'!$C$203:$C$222,B36)),IFERROR(_xludf.XLOOKUP(B36&amp;"|"&amp;C36,'02_Para_Programar'!$N$5:$N$304,'02_Para_Programar'!$F$5:$F$304,0),0))))</f>
        <v/>
      </c>
      <c r="G36" t="str">
        <f t="shared" si="0"/>
        <v/>
      </c>
      <c r="H36" s="5"/>
      <c r="I36" s="5"/>
      <c r="O36" t="str">
        <f>IF(OR(B36="",C36=""),"",IF(C36="07 Hidrante - Ejecución completa",IF(COUNTIF('06_Control_Semanal'!$C$203:$C$222,B36)&gt;1,"ALERTA: &gt;1 HIDRANTE",IF(E36&gt;0,"OK","SIN SALDO / NO PROGRAMAR")),IF(E36&gt;0,"OK","SIN SALDO / NO PROGRAMAR")))</f>
        <v/>
      </c>
      <c r="P36" t="str">
        <f t="shared" si="1"/>
        <v/>
      </c>
      <c r="Q36" t="str">
        <f>IF(B36="","",IFERROR(_xludf.XLOOKUP(B36,'07_Base_Tecnica'!$K$5:$K$54,'07_Base_Tecnica'!$W$5:$W$54,""),""))</f>
        <v/>
      </c>
      <c r="R36" t="str">
        <f>IF(B36="","",IFERROR(_xludf.XLOOKUP(B36,'07_Base_Tecnica'!$K$5:$K$54,'07_Base_Tecnica'!$X$5:$X$54,""),""))</f>
        <v/>
      </c>
      <c r="AA36" t="s">
        <v>169</v>
      </c>
    </row>
    <row r="37" spans="1:27">
      <c r="A37" t="str">
        <f>IF(OR(B37="",C37=""),"","PLAN-"&amp;33)</f>
        <v/>
      </c>
      <c r="D37" t="str">
        <f>IF(OR(B37="",C37=""),"",IF(C37="06 Servicios - Colocación de vaina / caño camisa","u",IF(C37="07 Hidrante - Ejecución completa","%",IFERROR(_xludf.XLOOKUP(B37&amp;"|"&amp;C37,'07_Base_Tecnica'!$AK$2:$AK$1201,'07_Base_Tecnica'!$AL$2:$AL$1201,""),""))))</f>
        <v/>
      </c>
      <c r="E37" t="str">
        <f>IF(OR(B37="",C37=""),"",IF(C37="06 Servicios - Colocación de vaina / caño camisa",MAX(0,IFERROR(_xludf.XLOOKUP(B37,'07_Base_Tecnica'!$K$5:$K$54,'07_Base_Tecnica'!$Q$5:$Q$54,0),0)-MAX(SUMIFS('05_Parte_Diario'!$H$5:$H$204,'05_Parte_Diario'!$D$5:$D$204,B37,'05_Parte_Diario'!$E$5:$E$204,"06 Servicios - Colocación de vaina / caño camisa"),COUNTIFS('06_Control_Semanal'!$B$283:$B$533,B37,'06_Control_Semanal'!$D$283:$D$533,"Colocada"))),IF(C37="07 Hidrante - Ejecución completa",MAX(0,100-SUMIFS('06_Control_Semanal'!$D$203:$D$222,'06_Control_Semanal'!$C$203:$C$222,B37)),IFERROR(_xludf.XLOOKUP(B37&amp;"|"&amp;C37,'02_Para_Programar'!$N$5:$N$304,'02_Para_Programar'!$F$5:$F$304,0),0))))</f>
        <v/>
      </c>
      <c r="G37" t="str">
        <f t="shared" ref="G37:G68" si="2">IFERROR(ROUNDUP(E37/F37,0),"")</f>
        <v/>
      </c>
      <c r="H37" s="5"/>
      <c r="I37" s="5"/>
      <c r="O37" t="str">
        <f>IF(OR(B37="",C37=""),"",IF(C37="07 Hidrante - Ejecución completa",IF(COUNTIF('06_Control_Semanal'!$C$203:$C$222,B37)&gt;1,"ALERTA: &gt;1 HIDRANTE",IF(E37&gt;0,"OK","SIN SALDO / NO PROGRAMAR")),IF(E37&gt;0,"OK","SIN SALDO / NO PROGRAMAR")))</f>
        <v/>
      </c>
      <c r="P37" t="str">
        <f t="shared" ref="P37:P68" si="3">IF(OR(B37="",C37=""),"",IF(C37="07 Hidrante - Ejecución completa","HID|"&amp;B37,IF(C37="06 Servicios - Colocación de vaina / caño camisa","SV|"&amp;B37,B37&amp;"|"&amp;C37)))</f>
        <v/>
      </c>
      <c r="Q37" t="str">
        <f>IF(B37="","",IFERROR(_xludf.XLOOKUP(B37,'07_Base_Tecnica'!$K$5:$K$54,'07_Base_Tecnica'!$W$5:$W$54,""),""))</f>
        <v/>
      </c>
      <c r="R37" t="str">
        <f>IF(B37="","",IFERROR(_xludf.XLOOKUP(B37,'07_Base_Tecnica'!$K$5:$K$54,'07_Base_Tecnica'!$X$5:$X$54,""),""))</f>
        <v/>
      </c>
      <c r="AA37" t="s">
        <v>172</v>
      </c>
    </row>
    <row r="38" spans="1:27">
      <c r="A38" t="str">
        <f>IF(OR(B38="",C38=""),"","PLAN-"&amp;34)</f>
        <v/>
      </c>
      <c r="D38" t="str">
        <f>IF(OR(B38="",C38=""),"",IF(C38="06 Servicios - Colocación de vaina / caño camisa","u",IF(C38="07 Hidrante - Ejecución completa","%",IFERROR(_xludf.XLOOKUP(B38&amp;"|"&amp;C38,'07_Base_Tecnica'!$AK$2:$AK$1201,'07_Base_Tecnica'!$AL$2:$AL$1201,""),""))))</f>
        <v/>
      </c>
      <c r="E38" t="str">
        <f>IF(OR(B38="",C38=""),"",IF(C38="06 Servicios - Colocación de vaina / caño camisa",MAX(0,IFERROR(_xludf.XLOOKUP(B38,'07_Base_Tecnica'!$K$5:$K$54,'07_Base_Tecnica'!$Q$5:$Q$54,0),0)-MAX(SUMIFS('05_Parte_Diario'!$H$5:$H$204,'05_Parte_Diario'!$D$5:$D$204,B38,'05_Parte_Diario'!$E$5:$E$204,"06 Servicios - Colocación de vaina / caño camisa"),COUNTIFS('06_Control_Semanal'!$B$283:$B$533,B38,'06_Control_Semanal'!$D$283:$D$533,"Colocada"))),IF(C38="07 Hidrante - Ejecución completa",MAX(0,100-SUMIFS('06_Control_Semanal'!$D$203:$D$222,'06_Control_Semanal'!$C$203:$C$222,B38)),IFERROR(_xludf.XLOOKUP(B38&amp;"|"&amp;C38,'02_Para_Programar'!$N$5:$N$304,'02_Para_Programar'!$F$5:$F$304,0),0))))</f>
        <v/>
      </c>
      <c r="G38" t="str">
        <f t="shared" si="2"/>
        <v/>
      </c>
      <c r="H38" s="5"/>
      <c r="I38" s="5"/>
      <c r="O38" t="str">
        <f>IF(OR(B38="",C38=""),"",IF(C38="07 Hidrante - Ejecución completa",IF(COUNTIF('06_Control_Semanal'!$C$203:$C$222,B38)&gt;1,"ALERTA: &gt;1 HIDRANTE",IF(E38&gt;0,"OK","SIN SALDO / NO PROGRAMAR")),IF(E38&gt;0,"OK","SIN SALDO / NO PROGRAMAR")))</f>
        <v/>
      </c>
      <c r="P38" t="str">
        <f t="shared" si="3"/>
        <v/>
      </c>
      <c r="Q38" t="str">
        <f>IF(B38="","",IFERROR(_xludf.XLOOKUP(B38,'07_Base_Tecnica'!$K$5:$K$54,'07_Base_Tecnica'!$W$5:$W$54,""),""))</f>
        <v/>
      </c>
      <c r="R38" t="str">
        <f>IF(B38="","",IFERROR(_xludf.XLOOKUP(B38,'07_Base_Tecnica'!$K$5:$K$54,'07_Base_Tecnica'!$X$5:$X$54,""),""))</f>
        <v/>
      </c>
      <c r="AA38" t="s">
        <v>173</v>
      </c>
    </row>
    <row r="39" spans="1:27">
      <c r="A39" t="str">
        <f>IF(OR(B39="",C39=""),"","PLAN-"&amp;35)</f>
        <v/>
      </c>
      <c r="D39" t="str">
        <f>IF(OR(B39="",C39=""),"",IF(C39="06 Servicios - Colocación de vaina / caño camisa","u",IF(C39="07 Hidrante - Ejecución completa","%",IFERROR(_xludf.XLOOKUP(B39&amp;"|"&amp;C39,'07_Base_Tecnica'!$AK$2:$AK$1201,'07_Base_Tecnica'!$AL$2:$AL$1201,""),""))))</f>
        <v/>
      </c>
      <c r="E39" t="str">
        <f>IF(OR(B39="",C39=""),"",IF(C39="06 Servicios - Colocación de vaina / caño camisa",MAX(0,IFERROR(_xludf.XLOOKUP(B39,'07_Base_Tecnica'!$K$5:$K$54,'07_Base_Tecnica'!$Q$5:$Q$54,0),0)-MAX(SUMIFS('05_Parte_Diario'!$H$5:$H$204,'05_Parte_Diario'!$D$5:$D$204,B39,'05_Parte_Diario'!$E$5:$E$204,"06 Servicios - Colocación de vaina / caño camisa"),COUNTIFS('06_Control_Semanal'!$B$283:$B$533,B39,'06_Control_Semanal'!$D$283:$D$533,"Colocada"))),IF(C39="07 Hidrante - Ejecución completa",MAX(0,100-SUMIFS('06_Control_Semanal'!$D$203:$D$222,'06_Control_Semanal'!$C$203:$C$222,B39)),IFERROR(_xludf.XLOOKUP(B39&amp;"|"&amp;C39,'02_Para_Programar'!$N$5:$N$304,'02_Para_Programar'!$F$5:$F$304,0),0))))</f>
        <v/>
      </c>
      <c r="G39" t="str">
        <f t="shared" si="2"/>
        <v/>
      </c>
      <c r="H39" s="5"/>
      <c r="I39" s="5"/>
      <c r="O39" t="str">
        <f>IF(OR(B39="",C39=""),"",IF(C39="07 Hidrante - Ejecución completa",IF(COUNTIF('06_Control_Semanal'!$C$203:$C$222,B39)&gt;1,"ALERTA: &gt;1 HIDRANTE",IF(E39&gt;0,"OK","SIN SALDO / NO PROGRAMAR")),IF(E39&gt;0,"OK","SIN SALDO / NO PROGRAMAR")))</f>
        <v/>
      </c>
      <c r="P39" t="str">
        <f t="shared" si="3"/>
        <v/>
      </c>
      <c r="Q39" t="str">
        <f>IF(B39="","",IFERROR(_xludf.XLOOKUP(B39,'07_Base_Tecnica'!$K$5:$K$54,'07_Base_Tecnica'!$W$5:$W$54,""),""))</f>
        <v/>
      </c>
      <c r="R39" t="str">
        <f>IF(B39="","",IFERROR(_xludf.XLOOKUP(B39,'07_Base_Tecnica'!$K$5:$K$54,'07_Base_Tecnica'!$X$5:$X$54,""),""))</f>
        <v/>
      </c>
      <c r="AA39" t="s">
        <v>175</v>
      </c>
    </row>
    <row r="40" spans="1:27">
      <c r="A40" t="str">
        <f>IF(OR(B40="",C40=""),"","PLAN-"&amp;36)</f>
        <v/>
      </c>
      <c r="D40" t="str">
        <f>IF(OR(B40="",C40=""),"",IF(C40="06 Servicios - Colocación de vaina / caño camisa","u",IF(C40="07 Hidrante - Ejecución completa","%",IFERROR(_xludf.XLOOKUP(B40&amp;"|"&amp;C40,'07_Base_Tecnica'!$AK$2:$AK$1201,'07_Base_Tecnica'!$AL$2:$AL$1201,""),""))))</f>
        <v/>
      </c>
      <c r="E40" t="str">
        <f>IF(OR(B40="",C40=""),"",IF(C40="06 Servicios - Colocación de vaina / caño camisa",MAX(0,IFERROR(_xludf.XLOOKUP(B40,'07_Base_Tecnica'!$K$5:$K$54,'07_Base_Tecnica'!$Q$5:$Q$54,0),0)-MAX(SUMIFS('05_Parte_Diario'!$H$5:$H$204,'05_Parte_Diario'!$D$5:$D$204,B40,'05_Parte_Diario'!$E$5:$E$204,"06 Servicios - Colocación de vaina / caño camisa"),COUNTIFS('06_Control_Semanal'!$B$283:$B$533,B40,'06_Control_Semanal'!$D$283:$D$533,"Colocada"))),IF(C40="07 Hidrante - Ejecución completa",MAX(0,100-SUMIFS('06_Control_Semanal'!$D$203:$D$222,'06_Control_Semanal'!$C$203:$C$222,B40)),IFERROR(_xludf.XLOOKUP(B40&amp;"|"&amp;C40,'02_Para_Programar'!$N$5:$N$304,'02_Para_Programar'!$F$5:$F$304,0),0))))</f>
        <v/>
      </c>
      <c r="G40" t="str">
        <f t="shared" si="2"/>
        <v/>
      </c>
      <c r="H40" s="5"/>
      <c r="I40" s="5"/>
      <c r="O40" t="str">
        <f>IF(OR(B40="",C40=""),"",IF(C40="07 Hidrante - Ejecución completa",IF(COUNTIF('06_Control_Semanal'!$C$203:$C$222,B40)&gt;1,"ALERTA: &gt;1 HIDRANTE",IF(E40&gt;0,"OK","SIN SALDO / NO PROGRAMAR")),IF(E40&gt;0,"OK","SIN SALDO / NO PROGRAMAR")))</f>
        <v/>
      </c>
      <c r="P40" t="str">
        <f t="shared" si="3"/>
        <v/>
      </c>
      <c r="Q40" t="str">
        <f>IF(B40="","",IFERROR(_xludf.XLOOKUP(B40,'07_Base_Tecnica'!$K$5:$K$54,'07_Base_Tecnica'!$W$5:$W$54,""),""))</f>
        <v/>
      </c>
      <c r="R40" t="str">
        <f>IF(B40="","",IFERROR(_xludf.XLOOKUP(B40,'07_Base_Tecnica'!$K$5:$K$54,'07_Base_Tecnica'!$X$5:$X$54,""),""))</f>
        <v/>
      </c>
      <c r="AA40" t="s">
        <v>176</v>
      </c>
    </row>
    <row r="41" spans="1:27">
      <c r="A41" t="str">
        <f>IF(OR(B41="",C41=""),"","PLAN-"&amp;37)</f>
        <v/>
      </c>
      <c r="D41" t="str">
        <f>IF(OR(B41="",C41=""),"",IF(C41="06 Servicios - Colocación de vaina / caño camisa","u",IF(C41="07 Hidrante - Ejecución completa","%",IFERROR(_xludf.XLOOKUP(B41&amp;"|"&amp;C41,'07_Base_Tecnica'!$AK$2:$AK$1201,'07_Base_Tecnica'!$AL$2:$AL$1201,""),""))))</f>
        <v/>
      </c>
      <c r="E41" t="str">
        <f>IF(OR(B41="",C41=""),"",IF(C41="06 Servicios - Colocación de vaina / caño camisa",MAX(0,IFERROR(_xludf.XLOOKUP(B41,'07_Base_Tecnica'!$K$5:$K$54,'07_Base_Tecnica'!$Q$5:$Q$54,0),0)-MAX(SUMIFS('05_Parte_Diario'!$H$5:$H$204,'05_Parte_Diario'!$D$5:$D$204,B41,'05_Parte_Diario'!$E$5:$E$204,"06 Servicios - Colocación de vaina / caño camisa"),COUNTIFS('06_Control_Semanal'!$B$283:$B$533,B41,'06_Control_Semanal'!$D$283:$D$533,"Colocada"))),IF(C41="07 Hidrante - Ejecución completa",MAX(0,100-SUMIFS('06_Control_Semanal'!$D$203:$D$222,'06_Control_Semanal'!$C$203:$C$222,B41)),IFERROR(_xludf.XLOOKUP(B41&amp;"|"&amp;C41,'02_Para_Programar'!$N$5:$N$304,'02_Para_Programar'!$F$5:$F$304,0),0))))</f>
        <v/>
      </c>
      <c r="G41" t="str">
        <f t="shared" si="2"/>
        <v/>
      </c>
      <c r="H41" s="5"/>
      <c r="I41" s="5"/>
      <c r="O41" t="str">
        <f>IF(OR(B41="",C41=""),"",IF(C41="07 Hidrante - Ejecución completa",IF(COUNTIF('06_Control_Semanal'!$C$203:$C$222,B41)&gt;1,"ALERTA: &gt;1 HIDRANTE",IF(E41&gt;0,"OK","SIN SALDO / NO PROGRAMAR")),IF(E41&gt;0,"OK","SIN SALDO / NO PROGRAMAR")))</f>
        <v/>
      </c>
      <c r="P41" t="str">
        <f t="shared" si="3"/>
        <v/>
      </c>
      <c r="Q41" t="str">
        <f>IF(B41="","",IFERROR(_xludf.XLOOKUP(B41,'07_Base_Tecnica'!$K$5:$K$54,'07_Base_Tecnica'!$W$5:$W$54,""),""))</f>
        <v/>
      </c>
      <c r="R41" t="str">
        <f>IF(B41="","",IFERROR(_xludf.XLOOKUP(B41,'07_Base_Tecnica'!$K$5:$K$54,'07_Base_Tecnica'!$X$5:$X$54,""),""))</f>
        <v/>
      </c>
      <c r="AA41" t="s">
        <v>177</v>
      </c>
    </row>
    <row r="42" spans="1:27">
      <c r="A42" t="str">
        <f>IF(OR(B42="",C42=""),"","PLAN-"&amp;38)</f>
        <v/>
      </c>
      <c r="D42" t="str">
        <f>IF(OR(B42="",C42=""),"",IF(C42="06 Servicios - Colocación de vaina / caño camisa","u",IF(C42="07 Hidrante - Ejecución completa","%",IFERROR(_xludf.XLOOKUP(B42&amp;"|"&amp;C42,'07_Base_Tecnica'!$AK$2:$AK$1201,'07_Base_Tecnica'!$AL$2:$AL$1201,""),""))))</f>
        <v/>
      </c>
      <c r="E42" t="str">
        <f>IF(OR(B42="",C42=""),"",IF(C42="06 Servicios - Colocación de vaina / caño camisa",MAX(0,IFERROR(_xludf.XLOOKUP(B42,'07_Base_Tecnica'!$K$5:$K$54,'07_Base_Tecnica'!$Q$5:$Q$54,0),0)-MAX(SUMIFS('05_Parte_Diario'!$H$5:$H$204,'05_Parte_Diario'!$D$5:$D$204,B42,'05_Parte_Diario'!$E$5:$E$204,"06 Servicios - Colocación de vaina / caño camisa"),COUNTIFS('06_Control_Semanal'!$B$283:$B$533,B42,'06_Control_Semanal'!$D$283:$D$533,"Colocada"))),IF(C42="07 Hidrante - Ejecución completa",MAX(0,100-SUMIFS('06_Control_Semanal'!$D$203:$D$222,'06_Control_Semanal'!$C$203:$C$222,B42)),IFERROR(_xludf.XLOOKUP(B42&amp;"|"&amp;C42,'02_Para_Programar'!$N$5:$N$304,'02_Para_Programar'!$F$5:$F$304,0),0))))</f>
        <v/>
      </c>
      <c r="G42" t="str">
        <f t="shared" si="2"/>
        <v/>
      </c>
      <c r="H42" s="5"/>
      <c r="I42" s="5"/>
      <c r="O42" t="str">
        <f>IF(OR(B42="",C42=""),"",IF(C42="07 Hidrante - Ejecución completa",IF(COUNTIF('06_Control_Semanal'!$C$203:$C$222,B42)&gt;1,"ALERTA: &gt;1 HIDRANTE",IF(E42&gt;0,"OK","SIN SALDO / NO PROGRAMAR")),IF(E42&gt;0,"OK","SIN SALDO / NO PROGRAMAR")))</f>
        <v/>
      </c>
      <c r="P42" t="str">
        <f t="shared" si="3"/>
        <v/>
      </c>
      <c r="Q42" t="str">
        <f>IF(B42="","",IFERROR(_xludf.XLOOKUP(B42,'07_Base_Tecnica'!$K$5:$K$54,'07_Base_Tecnica'!$W$5:$W$54,""),""))</f>
        <v/>
      </c>
      <c r="R42" t="str">
        <f>IF(B42="","",IFERROR(_xludf.XLOOKUP(B42,'07_Base_Tecnica'!$K$5:$K$54,'07_Base_Tecnica'!$X$5:$X$54,""),""))</f>
        <v/>
      </c>
      <c r="AA42" t="s">
        <v>178</v>
      </c>
    </row>
    <row r="43" spans="1:27">
      <c r="A43" t="str">
        <f>IF(OR(B43="",C43=""),"","PLAN-"&amp;39)</f>
        <v/>
      </c>
      <c r="D43" t="str">
        <f>IF(OR(B43="",C43=""),"",IF(C43="06 Servicios - Colocación de vaina / caño camisa","u",IF(C43="07 Hidrante - Ejecución completa","%",IFERROR(_xludf.XLOOKUP(B43&amp;"|"&amp;C43,'07_Base_Tecnica'!$AK$2:$AK$1201,'07_Base_Tecnica'!$AL$2:$AL$1201,""),""))))</f>
        <v/>
      </c>
      <c r="E43" t="str">
        <f>IF(OR(B43="",C43=""),"",IF(C43="06 Servicios - Colocación de vaina / caño camisa",MAX(0,IFERROR(_xludf.XLOOKUP(B43,'07_Base_Tecnica'!$K$5:$K$54,'07_Base_Tecnica'!$Q$5:$Q$54,0),0)-MAX(SUMIFS('05_Parte_Diario'!$H$5:$H$204,'05_Parte_Diario'!$D$5:$D$204,B43,'05_Parte_Diario'!$E$5:$E$204,"06 Servicios - Colocación de vaina / caño camisa"),COUNTIFS('06_Control_Semanal'!$B$283:$B$533,B43,'06_Control_Semanal'!$D$283:$D$533,"Colocada"))),IF(C43="07 Hidrante - Ejecución completa",MAX(0,100-SUMIFS('06_Control_Semanal'!$D$203:$D$222,'06_Control_Semanal'!$C$203:$C$222,B43)),IFERROR(_xludf.XLOOKUP(B43&amp;"|"&amp;C43,'02_Para_Programar'!$N$5:$N$304,'02_Para_Programar'!$F$5:$F$304,0),0))))</f>
        <v/>
      </c>
      <c r="G43" t="str">
        <f t="shared" si="2"/>
        <v/>
      </c>
      <c r="H43" s="5"/>
      <c r="I43" s="5"/>
      <c r="O43" t="str">
        <f>IF(OR(B43="",C43=""),"",IF(C43="07 Hidrante - Ejecución completa",IF(COUNTIF('06_Control_Semanal'!$C$203:$C$222,B43)&gt;1,"ALERTA: &gt;1 HIDRANTE",IF(E43&gt;0,"OK","SIN SALDO / NO PROGRAMAR")),IF(E43&gt;0,"OK","SIN SALDO / NO PROGRAMAR")))</f>
        <v/>
      </c>
      <c r="P43" t="str">
        <f t="shared" si="3"/>
        <v/>
      </c>
      <c r="Q43" t="str">
        <f>IF(B43="","",IFERROR(_xludf.XLOOKUP(B43,'07_Base_Tecnica'!$K$5:$K$54,'07_Base_Tecnica'!$W$5:$W$54,""),""))</f>
        <v/>
      </c>
      <c r="R43" t="str">
        <f>IF(B43="","",IFERROR(_xludf.XLOOKUP(B43,'07_Base_Tecnica'!$K$5:$K$54,'07_Base_Tecnica'!$X$5:$X$54,""),""))</f>
        <v/>
      </c>
      <c r="AA43" t="s">
        <v>179</v>
      </c>
    </row>
    <row r="44" spans="1:27">
      <c r="A44" t="str">
        <f>IF(OR(B44="",C44=""),"","PLAN-"&amp;40)</f>
        <v/>
      </c>
      <c r="D44" t="str">
        <f>IF(OR(B44="",C44=""),"",IF(C44="06 Servicios - Colocación de vaina / caño camisa","u",IF(C44="07 Hidrante - Ejecución completa","%",IFERROR(_xludf.XLOOKUP(B44&amp;"|"&amp;C44,'07_Base_Tecnica'!$AK$2:$AK$1201,'07_Base_Tecnica'!$AL$2:$AL$1201,""),""))))</f>
        <v/>
      </c>
      <c r="E44" t="str">
        <f>IF(OR(B44="",C44=""),"",IF(C44="06 Servicios - Colocación de vaina / caño camisa",MAX(0,IFERROR(_xludf.XLOOKUP(B44,'07_Base_Tecnica'!$K$5:$K$54,'07_Base_Tecnica'!$Q$5:$Q$54,0),0)-MAX(SUMIFS('05_Parte_Diario'!$H$5:$H$204,'05_Parte_Diario'!$D$5:$D$204,B44,'05_Parte_Diario'!$E$5:$E$204,"06 Servicios - Colocación de vaina / caño camisa"),COUNTIFS('06_Control_Semanal'!$B$283:$B$533,B44,'06_Control_Semanal'!$D$283:$D$533,"Colocada"))),IF(C44="07 Hidrante - Ejecución completa",MAX(0,100-SUMIFS('06_Control_Semanal'!$D$203:$D$222,'06_Control_Semanal'!$C$203:$C$222,B44)),IFERROR(_xludf.XLOOKUP(B44&amp;"|"&amp;C44,'02_Para_Programar'!$N$5:$N$304,'02_Para_Programar'!$F$5:$F$304,0),0))))</f>
        <v/>
      </c>
      <c r="G44" t="str">
        <f t="shared" si="2"/>
        <v/>
      </c>
      <c r="H44" s="5"/>
      <c r="I44" s="5"/>
      <c r="O44" t="str">
        <f>IF(OR(B44="",C44=""),"",IF(C44="07 Hidrante - Ejecución completa",IF(COUNTIF('06_Control_Semanal'!$C$203:$C$222,B44)&gt;1,"ALERTA: &gt;1 HIDRANTE",IF(E44&gt;0,"OK","SIN SALDO / NO PROGRAMAR")),IF(E44&gt;0,"OK","SIN SALDO / NO PROGRAMAR")))</f>
        <v/>
      </c>
      <c r="P44" t="str">
        <f t="shared" si="3"/>
        <v/>
      </c>
      <c r="Q44" t="str">
        <f>IF(B44="","",IFERROR(_xludf.XLOOKUP(B44,'07_Base_Tecnica'!$K$5:$K$54,'07_Base_Tecnica'!$W$5:$W$54,""),""))</f>
        <v/>
      </c>
      <c r="R44" t="str">
        <f>IF(B44="","",IFERROR(_xludf.XLOOKUP(B44,'07_Base_Tecnica'!$K$5:$K$54,'07_Base_Tecnica'!$X$5:$X$54,""),""))</f>
        <v/>
      </c>
      <c r="AA44" t="s">
        <v>181</v>
      </c>
    </row>
    <row r="45" spans="1:27">
      <c r="A45" t="str">
        <f>IF(OR(B45="",C45=""),"","PLAN-"&amp;41)</f>
        <v/>
      </c>
      <c r="D45" t="str">
        <f>IF(OR(B45="",C45=""),"",IF(C45="06 Servicios - Colocación de vaina / caño camisa","u",IF(C45="07 Hidrante - Ejecución completa","%",IFERROR(_xludf.XLOOKUP(B45&amp;"|"&amp;C45,'07_Base_Tecnica'!$AK$2:$AK$1201,'07_Base_Tecnica'!$AL$2:$AL$1201,""),""))))</f>
        <v/>
      </c>
      <c r="E45" t="str">
        <f>IF(OR(B45="",C45=""),"",IF(C45="06 Servicios - Colocación de vaina / caño camisa",MAX(0,IFERROR(_xludf.XLOOKUP(B45,'07_Base_Tecnica'!$K$5:$K$54,'07_Base_Tecnica'!$Q$5:$Q$54,0),0)-MAX(SUMIFS('05_Parte_Diario'!$H$5:$H$204,'05_Parte_Diario'!$D$5:$D$204,B45,'05_Parte_Diario'!$E$5:$E$204,"06 Servicios - Colocación de vaina / caño camisa"),COUNTIFS('06_Control_Semanal'!$B$283:$B$533,B45,'06_Control_Semanal'!$D$283:$D$533,"Colocada"))),IF(C45="07 Hidrante - Ejecución completa",MAX(0,100-SUMIFS('06_Control_Semanal'!$D$203:$D$222,'06_Control_Semanal'!$C$203:$C$222,B45)),IFERROR(_xludf.XLOOKUP(B45&amp;"|"&amp;C45,'02_Para_Programar'!$N$5:$N$304,'02_Para_Programar'!$F$5:$F$304,0),0))))</f>
        <v/>
      </c>
      <c r="G45" t="str">
        <f t="shared" si="2"/>
        <v/>
      </c>
      <c r="H45" s="5"/>
      <c r="I45" s="5"/>
      <c r="O45" t="str">
        <f>IF(OR(B45="",C45=""),"",IF(C45="07 Hidrante - Ejecución completa",IF(COUNTIF('06_Control_Semanal'!$C$203:$C$222,B45)&gt;1,"ALERTA: &gt;1 HIDRANTE",IF(E45&gt;0,"OK","SIN SALDO / NO PROGRAMAR")),IF(E45&gt;0,"OK","SIN SALDO / NO PROGRAMAR")))</f>
        <v/>
      </c>
      <c r="P45" t="str">
        <f t="shared" si="3"/>
        <v/>
      </c>
      <c r="Q45" t="str">
        <f>IF(B45="","",IFERROR(_xludf.XLOOKUP(B45,'07_Base_Tecnica'!$K$5:$K$54,'07_Base_Tecnica'!$W$5:$W$54,""),""))</f>
        <v/>
      </c>
      <c r="R45" t="str">
        <f>IF(B45="","",IFERROR(_xludf.XLOOKUP(B45,'07_Base_Tecnica'!$K$5:$K$54,'07_Base_Tecnica'!$X$5:$X$54,""),""))</f>
        <v/>
      </c>
      <c r="AA45" t="s">
        <v>182</v>
      </c>
    </row>
    <row r="46" spans="1:27">
      <c r="A46" t="str">
        <f>IF(OR(B46="",C46=""),"","PLAN-"&amp;42)</f>
        <v/>
      </c>
      <c r="D46" t="str">
        <f>IF(OR(B46="",C46=""),"",IF(C46="06 Servicios - Colocación de vaina / caño camisa","u",IF(C46="07 Hidrante - Ejecución completa","%",IFERROR(_xludf.XLOOKUP(B46&amp;"|"&amp;C46,'07_Base_Tecnica'!$AK$2:$AK$1201,'07_Base_Tecnica'!$AL$2:$AL$1201,""),""))))</f>
        <v/>
      </c>
      <c r="E46" t="str">
        <f>IF(OR(B46="",C46=""),"",IF(C46="06 Servicios - Colocación de vaina / caño camisa",MAX(0,IFERROR(_xludf.XLOOKUP(B46,'07_Base_Tecnica'!$K$5:$K$54,'07_Base_Tecnica'!$Q$5:$Q$54,0),0)-MAX(SUMIFS('05_Parte_Diario'!$H$5:$H$204,'05_Parte_Diario'!$D$5:$D$204,B46,'05_Parte_Diario'!$E$5:$E$204,"06 Servicios - Colocación de vaina / caño camisa"),COUNTIFS('06_Control_Semanal'!$B$283:$B$533,B46,'06_Control_Semanal'!$D$283:$D$533,"Colocada"))),IF(C46="07 Hidrante - Ejecución completa",MAX(0,100-SUMIFS('06_Control_Semanal'!$D$203:$D$222,'06_Control_Semanal'!$C$203:$C$222,B46)),IFERROR(_xludf.XLOOKUP(B46&amp;"|"&amp;C46,'02_Para_Programar'!$N$5:$N$304,'02_Para_Programar'!$F$5:$F$304,0),0))))</f>
        <v/>
      </c>
      <c r="G46" t="str">
        <f t="shared" si="2"/>
        <v/>
      </c>
      <c r="H46" s="5"/>
      <c r="I46" s="5"/>
      <c r="O46" t="str">
        <f>IF(OR(B46="",C46=""),"",IF(C46="07 Hidrante - Ejecución completa",IF(COUNTIF('06_Control_Semanal'!$C$203:$C$222,B46)&gt;1,"ALERTA: &gt;1 HIDRANTE",IF(E46&gt;0,"OK","SIN SALDO / NO PROGRAMAR")),IF(E46&gt;0,"OK","SIN SALDO / NO PROGRAMAR")))</f>
        <v/>
      </c>
      <c r="P46" t="str">
        <f t="shared" si="3"/>
        <v/>
      </c>
      <c r="Q46" t="str">
        <f>IF(B46="","",IFERROR(_xludf.XLOOKUP(B46,'07_Base_Tecnica'!$K$5:$K$54,'07_Base_Tecnica'!$W$5:$W$54,""),""))</f>
        <v/>
      </c>
      <c r="R46" t="str">
        <f>IF(B46="","",IFERROR(_xludf.XLOOKUP(B46,'07_Base_Tecnica'!$K$5:$K$54,'07_Base_Tecnica'!$X$5:$X$54,""),""))</f>
        <v/>
      </c>
      <c r="AA46" t="s">
        <v>183</v>
      </c>
    </row>
    <row r="47" spans="1:27">
      <c r="A47" t="str">
        <f>IF(OR(B47="",C47=""),"","PLAN-"&amp;43)</f>
        <v/>
      </c>
      <c r="D47" t="str">
        <f>IF(OR(B47="",C47=""),"",IF(C47="06 Servicios - Colocación de vaina / caño camisa","u",IF(C47="07 Hidrante - Ejecución completa","%",IFERROR(_xludf.XLOOKUP(B47&amp;"|"&amp;C47,'07_Base_Tecnica'!$AK$2:$AK$1201,'07_Base_Tecnica'!$AL$2:$AL$1201,""),""))))</f>
        <v/>
      </c>
      <c r="E47" t="str">
        <f>IF(OR(B47="",C47=""),"",IF(C47="06 Servicios - Colocación de vaina / caño camisa",MAX(0,IFERROR(_xludf.XLOOKUP(B47,'07_Base_Tecnica'!$K$5:$K$54,'07_Base_Tecnica'!$Q$5:$Q$54,0),0)-MAX(SUMIFS('05_Parte_Diario'!$H$5:$H$204,'05_Parte_Diario'!$D$5:$D$204,B47,'05_Parte_Diario'!$E$5:$E$204,"06 Servicios - Colocación de vaina / caño camisa"),COUNTIFS('06_Control_Semanal'!$B$283:$B$533,B47,'06_Control_Semanal'!$D$283:$D$533,"Colocada"))),IF(C47="07 Hidrante - Ejecución completa",MAX(0,100-SUMIFS('06_Control_Semanal'!$D$203:$D$222,'06_Control_Semanal'!$C$203:$C$222,B47)),IFERROR(_xludf.XLOOKUP(B47&amp;"|"&amp;C47,'02_Para_Programar'!$N$5:$N$304,'02_Para_Programar'!$F$5:$F$304,0),0))))</f>
        <v/>
      </c>
      <c r="G47" t="str">
        <f t="shared" si="2"/>
        <v/>
      </c>
      <c r="H47" s="5"/>
      <c r="I47" s="5"/>
      <c r="O47" t="str">
        <f>IF(OR(B47="",C47=""),"",IF(C47="07 Hidrante - Ejecución completa",IF(COUNTIF('06_Control_Semanal'!$C$203:$C$222,B47)&gt;1,"ALERTA: &gt;1 HIDRANTE",IF(E47&gt;0,"OK","SIN SALDO / NO PROGRAMAR")),IF(E47&gt;0,"OK","SIN SALDO / NO PROGRAMAR")))</f>
        <v/>
      </c>
      <c r="P47" t="str">
        <f t="shared" si="3"/>
        <v/>
      </c>
      <c r="Q47" t="str">
        <f>IF(B47="","",IFERROR(_xludf.XLOOKUP(B47,'07_Base_Tecnica'!$K$5:$K$54,'07_Base_Tecnica'!$W$5:$W$54,""),""))</f>
        <v/>
      </c>
      <c r="R47" t="str">
        <f>IF(B47="","",IFERROR(_xludf.XLOOKUP(B47,'07_Base_Tecnica'!$K$5:$K$54,'07_Base_Tecnica'!$X$5:$X$54,""),""))</f>
        <v/>
      </c>
      <c r="AA47" t="s">
        <v>184</v>
      </c>
    </row>
    <row r="48" spans="1:27">
      <c r="A48" t="str">
        <f>IF(OR(B48="",C48=""),"","PLAN-"&amp;44)</f>
        <v/>
      </c>
      <c r="D48" t="str">
        <f>IF(OR(B48="",C48=""),"",IF(C48="06 Servicios - Colocación de vaina / caño camisa","u",IF(C48="07 Hidrante - Ejecución completa","%",IFERROR(_xludf.XLOOKUP(B48&amp;"|"&amp;C48,'07_Base_Tecnica'!$AK$2:$AK$1201,'07_Base_Tecnica'!$AL$2:$AL$1201,""),""))))</f>
        <v/>
      </c>
      <c r="E48" t="str">
        <f>IF(OR(B48="",C48=""),"",IF(C48="06 Servicios - Colocación de vaina / caño camisa",MAX(0,IFERROR(_xludf.XLOOKUP(B48,'07_Base_Tecnica'!$K$5:$K$54,'07_Base_Tecnica'!$Q$5:$Q$54,0),0)-MAX(SUMIFS('05_Parte_Diario'!$H$5:$H$204,'05_Parte_Diario'!$D$5:$D$204,B48,'05_Parte_Diario'!$E$5:$E$204,"06 Servicios - Colocación de vaina / caño camisa"),COUNTIFS('06_Control_Semanal'!$B$283:$B$533,B48,'06_Control_Semanal'!$D$283:$D$533,"Colocada"))),IF(C48="07 Hidrante - Ejecución completa",MAX(0,100-SUMIFS('06_Control_Semanal'!$D$203:$D$222,'06_Control_Semanal'!$C$203:$C$222,B48)),IFERROR(_xludf.XLOOKUP(B48&amp;"|"&amp;C48,'02_Para_Programar'!$N$5:$N$304,'02_Para_Programar'!$F$5:$F$304,0),0))))</f>
        <v/>
      </c>
      <c r="G48" t="str">
        <f t="shared" si="2"/>
        <v/>
      </c>
      <c r="H48" s="5"/>
      <c r="I48" s="5"/>
      <c r="O48" t="str">
        <f>IF(OR(B48="",C48=""),"",IF(C48="07 Hidrante - Ejecución completa",IF(COUNTIF('06_Control_Semanal'!$C$203:$C$222,B48)&gt;1,"ALERTA: &gt;1 HIDRANTE",IF(E48&gt;0,"OK","SIN SALDO / NO PROGRAMAR")),IF(E48&gt;0,"OK","SIN SALDO / NO PROGRAMAR")))</f>
        <v/>
      </c>
      <c r="P48" t="str">
        <f t="shared" si="3"/>
        <v/>
      </c>
      <c r="Q48" t="str">
        <f>IF(B48="","",IFERROR(_xludf.XLOOKUP(B48,'07_Base_Tecnica'!$K$5:$K$54,'07_Base_Tecnica'!$W$5:$W$54,""),""))</f>
        <v/>
      </c>
      <c r="R48" t="str">
        <f>IF(B48="","",IFERROR(_xludf.XLOOKUP(B48,'07_Base_Tecnica'!$K$5:$K$54,'07_Base_Tecnica'!$X$5:$X$54,""),""))</f>
        <v/>
      </c>
      <c r="AA48" t="s">
        <v>185</v>
      </c>
    </row>
    <row r="49" spans="1:27">
      <c r="A49" t="str">
        <f>IF(OR(B49="",C49=""),"","PLAN-"&amp;45)</f>
        <v/>
      </c>
      <c r="D49" t="str">
        <f>IF(OR(B49="",C49=""),"",IF(C49="06 Servicios - Colocación de vaina / caño camisa","u",IF(C49="07 Hidrante - Ejecución completa","%",IFERROR(_xludf.XLOOKUP(B49&amp;"|"&amp;C49,'07_Base_Tecnica'!$AK$2:$AK$1201,'07_Base_Tecnica'!$AL$2:$AL$1201,""),""))))</f>
        <v/>
      </c>
      <c r="E49" t="str">
        <f>IF(OR(B49="",C49=""),"",IF(C49="06 Servicios - Colocación de vaina / caño camisa",MAX(0,IFERROR(_xludf.XLOOKUP(B49,'07_Base_Tecnica'!$K$5:$K$54,'07_Base_Tecnica'!$Q$5:$Q$54,0),0)-MAX(SUMIFS('05_Parte_Diario'!$H$5:$H$204,'05_Parte_Diario'!$D$5:$D$204,B49,'05_Parte_Diario'!$E$5:$E$204,"06 Servicios - Colocación de vaina / caño camisa"),COUNTIFS('06_Control_Semanal'!$B$283:$B$533,B49,'06_Control_Semanal'!$D$283:$D$533,"Colocada"))),IF(C49="07 Hidrante - Ejecución completa",MAX(0,100-SUMIFS('06_Control_Semanal'!$D$203:$D$222,'06_Control_Semanal'!$C$203:$C$222,B49)),IFERROR(_xludf.XLOOKUP(B49&amp;"|"&amp;C49,'02_Para_Programar'!$N$5:$N$304,'02_Para_Programar'!$F$5:$F$304,0),0))))</f>
        <v/>
      </c>
      <c r="G49" t="str">
        <f t="shared" si="2"/>
        <v/>
      </c>
      <c r="H49" s="5"/>
      <c r="I49" s="5"/>
      <c r="O49" t="str">
        <f>IF(OR(B49="",C49=""),"",IF(C49="07 Hidrante - Ejecución completa",IF(COUNTIF('06_Control_Semanal'!$C$203:$C$222,B49)&gt;1,"ALERTA: &gt;1 HIDRANTE",IF(E49&gt;0,"OK","SIN SALDO / NO PROGRAMAR")),IF(E49&gt;0,"OK","SIN SALDO / NO PROGRAMAR")))</f>
        <v/>
      </c>
      <c r="P49" t="str">
        <f t="shared" si="3"/>
        <v/>
      </c>
      <c r="Q49" t="str">
        <f>IF(B49="","",IFERROR(_xludf.XLOOKUP(B49,'07_Base_Tecnica'!$K$5:$K$54,'07_Base_Tecnica'!$W$5:$W$54,""),""))</f>
        <v/>
      </c>
      <c r="R49" t="str">
        <f>IF(B49="","",IFERROR(_xludf.XLOOKUP(B49,'07_Base_Tecnica'!$K$5:$K$54,'07_Base_Tecnica'!$X$5:$X$54,""),""))</f>
        <v/>
      </c>
      <c r="AA49" t="s">
        <v>186</v>
      </c>
    </row>
    <row r="50" spans="1:27">
      <c r="A50" t="str">
        <f>IF(OR(B50="",C50=""),"","PLAN-"&amp;46)</f>
        <v/>
      </c>
      <c r="D50" t="str">
        <f>IF(OR(B50="",C50=""),"",IF(C50="06 Servicios - Colocación de vaina / caño camisa","u",IF(C50="07 Hidrante - Ejecución completa","%",IFERROR(_xludf.XLOOKUP(B50&amp;"|"&amp;C50,'07_Base_Tecnica'!$AK$2:$AK$1201,'07_Base_Tecnica'!$AL$2:$AL$1201,""),""))))</f>
        <v/>
      </c>
      <c r="E50" t="str">
        <f>IF(OR(B50="",C50=""),"",IF(C50="06 Servicios - Colocación de vaina / caño camisa",MAX(0,IFERROR(_xludf.XLOOKUP(B50,'07_Base_Tecnica'!$K$5:$K$54,'07_Base_Tecnica'!$Q$5:$Q$54,0),0)-MAX(SUMIFS('05_Parte_Diario'!$H$5:$H$204,'05_Parte_Diario'!$D$5:$D$204,B50,'05_Parte_Diario'!$E$5:$E$204,"06 Servicios - Colocación de vaina / caño camisa"),COUNTIFS('06_Control_Semanal'!$B$283:$B$533,B50,'06_Control_Semanal'!$D$283:$D$533,"Colocada"))),IF(C50="07 Hidrante - Ejecución completa",MAX(0,100-SUMIFS('06_Control_Semanal'!$D$203:$D$222,'06_Control_Semanal'!$C$203:$C$222,B50)),IFERROR(_xludf.XLOOKUP(B50&amp;"|"&amp;C50,'02_Para_Programar'!$N$5:$N$304,'02_Para_Programar'!$F$5:$F$304,0),0))))</f>
        <v/>
      </c>
      <c r="G50" t="str">
        <f t="shared" si="2"/>
        <v/>
      </c>
      <c r="H50" s="5"/>
      <c r="I50" s="5"/>
      <c r="O50" t="str">
        <f>IF(OR(B50="",C50=""),"",IF(C50="07 Hidrante - Ejecución completa",IF(COUNTIF('06_Control_Semanal'!$C$203:$C$222,B50)&gt;1,"ALERTA: &gt;1 HIDRANTE",IF(E50&gt;0,"OK","SIN SALDO / NO PROGRAMAR")),IF(E50&gt;0,"OK","SIN SALDO / NO PROGRAMAR")))</f>
        <v/>
      </c>
      <c r="P50" t="str">
        <f t="shared" si="3"/>
        <v/>
      </c>
      <c r="Q50" t="str">
        <f>IF(B50="","",IFERROR(_xludf.XLOOKUP(B50,'07_Base_Tecnica'!$K$5:$K$54,'07_Base_Tecnica'!$W$5:$W$54,""),""))</f>
        <v/>
      </c>
      <c r="R50" t="str">
        <f>IF(B50="","",IFERROR(_xludf.XLOOKUP(B50,'07_Base_Tecnica'!$K$5:$K$54,'07_Base_Tecnica'!$X$5:$X$54,""),""))</f>
        <v/>
      </c>
      <c r="AA50" t="s">
        <v>187</v>
      </c>
    </row>
    <row r="51" spans="1:27">
      <c r="A51" t="str">
        <f>IF(OR(B51="",C51=""),"","PLAN-"&amp;47)</f>
        <v/>
      </c>
      <c r="D51" t="str">
        <f>IF(OR(B51="",C51=""),"",IF(C51="06 Servicios - Colocación de vaina / caño camisa","u",IF(C51="07 Hidrante - Ejecución completa","%",IFERROR(_xludf.XLOOKUP(B51&amp;"|"&amp;C51,'07_Base_Tecnica'!$AK$2:$AK$1201,'07_Base_Tecnica'!$AL$2:$AL$1201,""),""))))</f>
        <v/>
      </c>
      <c r="E51" t="str">
        <f>IF(OR(B51="",C51=""),"",IF(C51="06 Servicios - Colocación de vaina / caño camisa",MAX(0,IFERROR(_xludf.XLOOKUP(B51,'07_Base_Tecnica'!$K$5:$K$54,'07_Base_Tecnica'!$Q$5:$Q$54,0),0)-MAX(SUMIFS('05_Parte_Diario'!$H$5:$H$204,'05_Parte_Diario'!$D$5:$D$204,B51,'05_Parte_Diario'!$E$5:$E$204,"06 Servicios - Colocación de vaina / caño camisa"),COUNTIFS('06_Control_Semanal'!$B$283:$B$533,B51,'06_Control_Semanal'!$D$283:$D$533,"Colocada"))),IF(C51="07 Hidrante - Ejecución completa",MAX(0,100-SUMIFS('06_Control_Semanal'!$D$203:$D$222,'06_Control_Semanal'!$C$203:$C$222,B51)),IFERROR(_xludf.XLOOKUP(B51&amp;"|"&amp;C51,'02_Para_Programar'!$N$5:$N$304,'02_Para_Programar'!$F$5:$F$304,0),0))))</f>
        <v/>
      </c>
      <c r="G51" t="str">
        <f t="shared" si="2"/>
        <v/>
      </c>
      <c r="H51" s="5"/>
      <c r="I51" s="5"/>
      <c r="O51" t="str">
        <f>IF(OR(B51="",C51=""),"",IF(C51="07 Hidrante - Ejecución completa",IF(COUNTIF('06_Control_Semanal'!$C$203:$C$222,B51)&gt;1,"ALERTA: &gt;1 HIDRANTE",IF(E51&gt;0,"OK","SIN SALDO / NO PROGRAMAR")),IF(E51&gt;0,"OK","SIN SALDO / NO PROGRAMAR")))</f>
        <v/>
      </c>
      <c r="P51" t="str">
        <f t="shared" si="3"/>
        <v/>
      </c>
      <c r="Q51" t="str">
        <f>IF(B51="","",IFERROR(_xludf.XLOOKUP(B51,'07_Base_Tecnica'!$K$5:$K$54,'07_Base_Tecnica'!$W$5:$W$54,""),""))</f>
        <v/>
      </c>
      <c r="R51" t="str">
        <f>IF(B51="","",IFERROR(_xludf.XLOOKUP(B51,'07_Base_Tecnica'!$K$5:$K$54,'07_Base_Tecnica'!$X$5:$X$54,""),""))</f>
        <v/>
      </c>
      <c r="AA51" t="s">
        <v>189</v>
      </c>
    </row>
    <row r="52" spans="1:27">
      <c r="A52" t="str">
        <f>IF(OR(B52="",C52=""),"","PLAN-"&amp;48)</f>
        <v/>
      </c>
      <c r="D52" t="str">
        <f>IF(OR(B52="",C52=""),"",IF(C52="06 Servicios - Colocación de vaina / caño camisa","u",IF(C52="07 Hidrante - Ejecución completa","%",IFERROR(_xludf.XLOOKUP(B52&amp;"|"&amp;C52,'07_Base_Tecnica'!$AK$2:$AK$1201,'07_Base_Tecnica'!$AL$2:$AL$1201,""),""))))</f>
        <v/>
      </c>
      <c r="E52" t="str">
        <f>IF(OR(B52="",C52=""),"",IF(C52="06 Servicios - Colocación de vaina / caño camisa",MAX(0,IFERROR(_xludf.XLOOKUP(B52,'07_Base_Tecnica'!$K$5:$K$54,'07_Base_Tecnica'!$Q$5:$Q$54,0),0)-MAX(SUMIFS('05_Parte_Diario'!$H$5:$H$204,'05_Parte_Diario'!$D$5:$D$204,B52,'05_Parte_Diario'!$E$5:$E$204,"06 Servicios - Colocación de vaina / caño camisa"),COUNTIFS('06_Control_Semanal'!$B$283:$B$533,B52,'06_Control_Semanal'!$D$283:$D$533,"Colocada"))),IF(C52="07 Hidrante - Ejecución completa",MAX(0,100-SUMIFS('06_Control_Semanal'!$D$203:$D$222,'06_Control_Semanal'!$C$203:$C$222,B52)),IFERROR(_xludf.XLOOKUP(B52&amp;"|"&amp;C52,'02_Para_Programar'!$N$5:$N$304,'02_Para_Programar'!$F$5:$F$304,0),0))))</f>
        <v/>
      </c>
      <c r="G52" t="str">
        <f t="shared" si="2"/>
        <v/>
      </c>
      <c r="H52" s="5"/>
      <c r="I52" s="5"/>
      <c r="O52" t="str">
        <f>IF(OR(B52="",C52=""),"",IF(C52="07 Hidrante - Ejecución completa",IF(COUNTIF('06_Control_Semanal'!$C$203:$C$222,B52)&gt;1,"ALERTA: &gt;1 HIDRANTE",IF(E52&gt;0,"OK","SIN SALDO / NO PROGRAMAR")),IF(E52&gt;0,"OK","SIN SALDO / NO PROGRAMAR")))</f>
        <v/>
      </c>
      <c r="P52" t="str">
        <f t="shared" si="3"/>
        <v/>
      </c>
      <c r="Q52" t="str">
        <f>IF(B52="","",IFERROR(_xludf.XLOOKUP(B52,'07_Base_Tecnica'!$K$5:$K$54,'07_Base_Tecnica'!$W$5:$W$54,""),""))</f>
        <v/>
      </c>
      <c r="R52" t="str">
        <f>IF(B52="","",IFERROR(_xludf.XLOOKUP(B52,'07_Base_Tecnica'!$K$5:$K$54,'07_Base_Tecnica'!$X$5:$X$54,""),""))</f>
        <v/>
      </c>
    </row>
    <row r="53" spans="1:27">
      <c r="A53" t="str">
        <f>IF(OR(B53="",C53=""),"","PLAN-"&amp;49)</f>
        <v/>
      </c>
      <c r="D53" t="str">
        <f>IF(OR(B53="",C53=""),"",IF(C53="06 Servicios - Colocación de vaina / caño camisa","u",IF(C53="07 Hidrante - Ejecución completa","%",IFERROR(_xludf.XLOOKUP(B53&amp;"|"&amp;C53,'07_Base_Tecnica'!$AK$2:$AK$1201,'07_Base_Tecnica'!$AL$2:$AL$1201,""),""))))</f>
        <v/>
      </c>
      <c r="E53" t="str">
        <f>IF(OR(B53="",C53=""),"",IF(C53="06 Servicios - Colocación de vaina / caño camisa",MAX(0,IFERROR(_xludf.XLOOKUP(B53,'07_Base_Tecnica'!$K$5:$K$54,'07_Base_Tecnica'!$Q$5:$Q$54,0),0)-MAX(SUMIFS('05_Parte_Diario'!$H$5:$H$204,'05_Parte_Diario'!$D$5:$D$204,B53,'05_Parte_Diario'!$E$5:$E$204,"06 Servicios - Colocación de vaina / caño camisa"),COUNTIFS('06_Control_Semanal'!$B$283:$B$533,B53,'06_Control_Semanal'!$D$283:$D$533,"Colocada"))),IF(C53="07 Hidrante - Ejecución completa",MAX(0,100-SUMIFS('06_Control_Semanal'!$D$203:$D$222,'06_Control_Semanal'!$C$203:$C$222,B53)),IFERROR(_xludf.XLOOKUP(B53&amp;"|"&amp;C53,'02_Para_Programar'!$N$5:$N$304,'02_Para_Programar'!$F$5:$F$304,0),0))))</f>
        <v/>
      </c>
      <c r="G53" t="str">
        <f t="shared" si="2"/>
        <v/>
      </c>
      <c r="H53" s="5"/>
      <c r="I53" s="5"/>
      <c r="O53" t="str">
        <f>IF(OR(B53="",C53=""),"",IF(C53="07 Hidrante - Ejecución completa",IF(COUNTIF('06_Control_Semanal'!$C$203:$C$222,B53)&gt;1,"ALERTA: &gt;1 HIDRANTE",IF(E53&gt;0,"OK","SIN SALDO / NO PROGRAMAR")),IF(E53&gt;0,"OK","SIN SALDO / NO PROGRAMAR")))</f>
        <v/>
      </c>
      <c r="P53" t="str">
        <f t="shared" si="3"/>
        <v/>
      </c>
      <c r="Q53" t="str">
        <f>IF(B53="","",IFERROR(_xludf.XLOOKUP(B53,'07_Base_Tecnica'!$K$5:$K$54,'07_Base_Tecnica'!$W$5:$W$54,""),""))</f>
        <v/>
      </c>
      <c r="R53" t="str">
        <f>IF(B53="","",IFERROR(_xludf.XLOOKUP(B53,'07_Base_Tecnica'!$K$5:$K$54,'07_Base_Tecnica'!$X$5:$X$54,""),""))</f>
        <v/>
      </c>
    </row>
    <row r="54" spans="1:27">
      <c r="A54" t="str">
        <f>IF(OR(B54="",C54=""),"","PLAN-"&amp;50)</f>
        <v/>
      </c>
      <c r="D54" t="str">
        <f>IF(OR(B54="",C54=""),"",IF(C54="06 Servicios - Colocación de vaina / caño camisa","u",IF(C54="07 Hidrante - Ejecución completa","%",IFERROR(_xludf.XLOOKUP(B54&amp;"|"&amp;C54,'07_Base_Tecnica'!$AK$2:$AK$1201,'07_Base_Tecnica'!$AL$2:$AL$1201,""),""))))</f>
        <v/>
      </c>
      <c r="E54" t="str">
        <f>IF(OR(B54="",C54=""),"",IF(C54="06 Servicios - Colocación de vaina / caño camisa",MAX(0,IFERROR(_xludf.XLOOKUP(B54,'07_Base_Tecnica'!$K$5:$K$54,'07_Base_Tecnica'!$Q$5:$Q$54,0),0)-MAX(SUMIFS('05_Parte_Diario'!$H$5:$H$204,'05_Parte_Diario'!$D$5:$D$204,B54,'05_Parte_Diario'!$E$5:$E$204,"06 Servicios - Colocación de vaina / caño camisa"),COUNTIFS('06_Control_Semanal'!$B$283:$B$533,B54,'06_Control_Semanal'!$D$283:$D$533,"Colocada"))),IF(C54="07 Hidrante - Ejecución completa",MAX(0,100-SUMIFS('06_Control_Semanal'!$D$203:$D$222,'06_Control_Semanal'!$C$203:$C$222,B54)),IFERROR(_xludf.XLOOKUP(B54&amp;"|"&amp;C54,'02_Para_Programar'!$N$5:$N$304,'02_Para_Programar'!$F$5:$F$304,0),0))))</f>
        <v/>
      </c>
      <c r="G54" t="str">
        <f t="shared" si="2"/>
        <v/>
      </c>
      <c r="H54" s="5"/>
      <c r="I54" s="5"/>
      <c r="O54" t="str">
        <f>IF(OR(B54="",C54=""),"",IF(C54="07 Hidrante - Ejecución completa",IF(COUNTIF('06_Control_Semanal'!$C$203:$C$222,B54)&gt;1,"ALERTA: &gt;1 HIDRANTE",IF(E54&gt;0,"OK","SIN SALDO / NO PROGRAMAR")),IF(E54&gt;0,"OK","SIN SALDO / NO PROGRAMAR")))</f>
        <v/>
      </c>
      <c r="P54" t="str">
        <f t="shared" si="3"/>
        <v/>
      </c>
      <c r="Q54" t="str">
        <f>IF(B54="","",IFERROR(_xludf.XLOOKUP(B54,'07_Base_Tecnica'!$K$5:$K$54,'07_Base_Tecnica'!$W$5:$W$54,""),""))</f>
        <v/>
      </c>
      <c r="R54" t="str">
        <f>IF(B54="","",IFERROR(_xludf.XLOOKUP(B54,'07_Base_Tecnica'!$K$5:$K$54,'07_Base_Tecnica'!$X$5:$X$54,""),""))</f>
        <v/>
      </c>
    </row>
    <row r="55" spans="1:27">
      <c r="A55" t="str">
        <f>IF(OR(B55="",C55=""),"","PLAN-"&amp;51)</f>
        <v/>
      </c>
      <c r="D55" t="str">
        <f>IF(OR(B55="",C55=""),"",IF(C55="06 Servicios - Colocación de vaina / caño camisa","u",IF(C55="07 Hidrante - Ejecución completa","%",IFERROR(_xludf.XLOOKUP(B55&amp;"|"&amp;C55,'07_Base_Tecnica'!$AK$2:$AK$1201,'07_Base_Tecnica'!$AL$2:$AL$1201,""),""))))</f>
        <v/>
      </c>
      <c r="E55" t="str">
        <f>IF(OR(B55="",C55=""),"",IF(C55="06 Servicios - Colocación de vaina / caño camisa",MAX(0,IFERROR(_xludf.XLOOKUP(B55,'07_Base_Tecnica'!$K$5:$K$54,'07_Base_Tecnica'!$Q$5:$Q$54,0),0)-MAX(SUMIFS('05_Parte_Diario'!$H$5:$H$204,'05_Parte_Diario'!$D$5:$D$204,B55,'05_Parte_Diario'!$E$5:$E$204,"06 Servicios - Colocación de vaina / caño camisa"),COUNTIFS('06_Control_Semanal'!$B$283:$B$533,B55,'06_Control_Semanal'!$D$283:$D$533,"Colocada"))),IF(C55="07 Hidrante - Ejecución completa",MAX(0,100-SUMIFS('06_Control_Semanal'!$D$203:$D$222,'06_Control_Semanal'!$C$203:$C$222,B55)),IFERROR(_xludf.XLOOKUP(B55&amp;"|"&amp;C55,'02_Para_Programar'!$N$5:$N$304,'02_Para_Programar'!$F$5:$F$304,0),0))))</f>
        <v/>
      </c>
      <c r="G55" t="str">
        <f t="shared" si="2"/>
        <v/>
      </c>
      <c r="H55" s="5"/>
      <c r="I55" s="5"/>
      <c r="O55" t="str">
        <f>IF(OR(B55="",C55=""),"",IF(C55="07 Hidrante - Ejecución completa",IF(COUNTIF('06_Control_Semanal'!$C$203:$C$222,B55)&gt;1,"ALERTA: &gt;1 HIDRANTE",IF(E55&gt;0,"OK","SIN SALDO / NO PROGRAMAR")),IF(E55&gt;0,"OK","SIN SALDO / NO PROGRAMAR")))</f>
        <v/>
      </c>
      <c r="P55" t="str">
        <f t="shared" si="3"/>
        <v/>
      </c>
      <c r="Q55" t="str">
        <f>IF(B55="","",IFERROR(_xludf.XLOOKUP(B55,'07_Base_Tecnica'!$K$5:$K$54,'07_Base_Tecnica'!$W$5:$W$54,""),""))</f>
        <v/>
      </c>
      <c r="R55" t="str">
        <f>IF(B55="","",IFERROR(_xludf.XLOOKUP(B55,'07_Base_Tecnica'!$K$5:$K$54,'07_Base_Tecnica'!$X$5:$X$54,""),""))</f>
        <v/>
      </c>
    </row>
    <row r="56" spans="1:27">
      <c r="A56" t="str">
        <f>IF(OR(B56="",C56=""),"","PLAN-"&amp;52)</f>
        <v/>
      </c>
      <c r="D56" t="str">
        <f>IF(OR(B56="",C56=""),"",IF(C56="06 Servicios - Colocación de vaina / caño camisa","u",IF(C56="07 Hidrante - Ejecución completa","%",IFERROR(_xludf.XLOOKUP(B56&amp;"|"&amp;C56,'07_Base_Tecnica'!$AK$2:$AK$1201,'07_Base_Tecnica'!$AL$2:$AL$1201,""),""))))</f>
        <v/>
      </c>
      <c r="E56" t="str">
        <f>IF(OR(B56="",C56=""),"",IF(C56="06 Servicios - Colocación de vaina / caño camisa",MAX(0,IFERROR(_xludf.XLOOKUP(B56,'07_Base_Tecnica'!$K$5:$K$54,'07_Base_Tecnica'!$Q$5:$Q$54,0),0)-MAX(SUMIFS('05_Parte_Diario'!$H$5:$H$204,'05_Parte_Diario'!$D$5:$D$204,B56,'05_Parte_Diario'!$E$5:$E$204,"06 Servicios - Colocación de vaina / caño camisa"),COUNTIFS('06_Control_Semanal'!$B$283:$B$533,B56,'06_Control_Semanal'!$D$283:$D$533,"Colocada"))),IF(C56="07 Hidrante - Ejecución completa",MAX(0,100-SUMIFS('06_Control_Semanal'!$D$203:$D$222,'06_Control_Semanal'!$C$203:$C$222,B56)),IFERROR(_xludf.XLOOKUP(B56&amp;"|"&amp;C56,'02_Para_Programar'!$N$5:$N$304,'02_Para_Programar'!$F$5:$F$304,0),0))))</f>
        <v/>
      </c>
      <c r="G56" t="str">
        <f t="shared" si="2"/>
        <v/>
      </c>
      <c r="H56" s="5"/>
      <c r="I56" s="5"/>
      <c r="O56" t="str">
        <f>IF(OR(B56="",C56=""),"",IF(C56="07 Hidrante - Ejecución completa",IF(COUNTIF('06_Control_Semanal'!$C$203:$C$222,B56)&gt;1,"ALERTA: &gt;1 HIDRANTE",IF(E56&gt;0,"OK","SIN SALDO / NO PROGRAMAR")),IF(E56&gt;0,"OK","SIN SALDO / NO PROGRAMAR")))</f>
        <v/>
      </c>
      <c r="P56" t="str">
        <f t="shared" si="3"/>
        <v/>
      </c>
      <c r="Q56" t="str">
        <f>IF(B56="","",IFERROR(_xludf.XLOOKUP(B56,'07_Base_Tecnica'!$K$5:$K$54,'07_Base_Tecnica'!$W$5:$W$54,""),""))</f>
        <v/>
      </c>
      <c r="R56" t="str">
        <f>IF(B56="","",IFERROR(_xludf.XLOOKUP(B56,'07_Base_Tecnica'!$K$5:$K$54,'07_Base_Tecnica'!$X$5:$X$54,""),""))</f>
        <v/>
      </c>
    </row>
    <row r="57" spans="1:27">
      <c r="A57" t="str">
        <f>IF(OR(B57="",C57=""),"","PLAN-"&amp;53)</f>
        <v/>
      </c>
      <c r="D57" t="str">
        <f>IF(OR(B57="",C57=""),"",IF(C57="06 Servicios - Colocación de vaina / caño camisa","u",IF(C57="07 Hidrante - Ejecución completa","%",IFERROR(_xludf.XLOOKUP(B57&amp;"|"&amp;C57,'07_Base_Tecnica'!$AK$2:$AK$1201,'07_Base_Tecnica'!$AL$2:$AL$1201,""),""))))</f>
        <v/>
      </c>
      <c r="E57" t="str">
        <f>IF(OR(B57="",C57=""),"",IF(C57="06 Servicios - Colocación de vaina / caño camisa",MAX(0,IFERROR(_xludf.XLOOKUP(B57,'07_Base_Tecnica'!$K$5:$K$54,'07_Base_Tecnica'!$Q$5:$Q$54,0),0)-MAX(SUMIFS('05_Parte_Diario'!$H$5:$H$204,'05_Parte_Diario'!$D$5:$D$204,B57,'05_Parte_Diario'!$E$5:$E$204,"06 Servicios - Colocación de vaina / caño camisa"),COUNTIFS('06_Control_Semanal'!$B$283:$B$533,B57,'06_Control_Semanal'!$D$283:$D$533,"Colocada"))),IF(C57="07 Hidrante - Ejecución completa",MAX(0,100-SUMIFS('06_Control_Semanal'!$D$203:$D$222,'06_Control_Semanal'!$C$203:$C$222,B57)),IFERROR(_xludf.XLOOKUP(B57&amp;"|"&amp;C57,'02_Para_Programar'!$N$5:$N$304,'02_Para_Programar'!$F$5:$F$304,0),0))))</f>
        <v/>
      </c>
      <c r="G57" t="str">
        <f t="shared" si="2"/>
        <v/>
      </c>
      <c r="H57" s="5"/>
      <c r="I57" s="5"/>
      <c r="O57" t="str">
        <f>IF(OR(B57="",C57=""),"",IF(C57="07 Hidrante - Ejecución completa",IF(COUNTIF('06_Control_Semanal'!$C$203:$C$222,B57)&gt;1,"ALERTA: &gt;1 HIDRANTE",IF(E57&gt;0,"OK","SIN SALDO / NO PROGRAMAR")),IF(E57&gt;0,"OK","SIN SALDO / NO PROGRAMAR")))</f>
        <v/>
      </c>
      <c r="P57" t="str">
        <f t="shared" si="3"/>
        <v/>
      </c>
      <c r="Q57" t="str">
        <f>IF(B57="","",IFERROR(_xludf.XLOOKUP(B57,'07_Base_Tecnica'!$K$5:$K$54,'07_Base_Tecnica'!$W$5:$W$54,""),""))</f>
        <v/>
      </c>
      <c r="R57" t="str">
        <f>IF(B57="","",IFERROR(_xludf.XLOOKUP(B57,'07_Base_Tecnica'!$K$5:$K$54,'07_Base_Tecnica'!$X$5:$X$54,""),""))</f>
        <v/>
      </c>
    </row>
    <row r="58" spans="1:27">
      <c r="A58" t="str">
        <f>IF(OR(B58="",C58=""),"","PLAN-"&amp;54)</f>
        <v/>
      </c>
      <c r="D58" t="str">
        <f>IF(OR(B58="",C58=""),"",IF(C58="06 Servicios - Colocación de vaina / caño camisa","u",IF(C58="07 Hidrante - Ejecución completa","%",IFERROR(_xludf.XLOOKUP(B58&amp;"|"&amp;C58,'07_Base_Tecnica'!$AK$2:$AK$1201,'07_Base_Tecnica'!$AL$2:$AL$1201,""),""))))</f>
        <v/>
      </c>
      <c r="E58" t="str">
        <f>IF(OR(B58="",C58=""),"",IF(C58="06 Servicios - Colocación de vaina / caño camisa",MAX(0,IFERROR(_xludf.XLOOKUP(B58,'07_Base_Tecnica'!$K$5:$K$54,'07_Base_Tecnica'!$Q$5:$Q$54,0),0)-MAX(SUMIFS('05_Parte_Diario'!$H$5:$H$204,'05_Parte_Diario'!$D$5:$D$204,B58,'05_Parte_Diario'!$E$5:$E$204,"06 Servicios - Colocación de vaina / caño camisa"),COUNTIFS('06_Control_Semanal'!$B$283:$B$533,B58,'06_Control_Semanal'!$D$283:$D$533,"Colocada"))),IF(C58="07 Hidrante - Ejecución completa",MAX(0,100-SUMIFS('06_Control_Semanal'!$D$203:$D$222,'06_Control_Semanal'!$C$203:$C$222,B58)),IFERROR(_xludf.XLOOKUP(B58&amp;"|"&amp;C58,'02_Para_Programar'!$N$5:$N$304,'02_Para_Programar'!$F$5:$F$304,0),0))))</f>
        <v/>
      </c>
      <c r="G58" t="str">
        <f t="shared" si="2"/>
        <v/>
      </c>
      <c r="H58" s="5"/>
      <c r="I58" s="5"/>
      <c r="O58" t="str">
        <f>IF(OR(B58="",C58=""),"",IF(C58="07 Hidrante - Ejecución completa",IF(COUNTIF('06_Control_Semanal'!$C$203:$C$222,B58)&gt;1,"ALERTA: &gt;1 HIDRANTE",IF(E58&gt;0,"OK","SIN SALDO / NO PROGRAMAR")),IF(E58&gt;0,"OK","SIN SALDO / NO PROGRAMAR")))</f>
        <v/>
      </c>
      <c r="P58" t="str">
        <f t="shared" si="3"/>
        <v/>
      </c>
      <c r="Q58" t="str">
        <f>IF(B58="","",IFERROR(_xludf.XLOOKUP(B58,'07_Base_Tecnica'!$K$5:$K$54,'07_Base_Tecnica'!$W$5:$W$54,""),""))</f>
        <v/>
      </c>
      <c r="R58" t="str">
        <f>IF(B58="","",IFERROR(_xludf.XLOOKUP(B58,'07_Base_Tecnica'!$K$5:$K$54,'07_Base_Tecnica'!$X$5:$X$54,""),""))</f>
        <v/>
      </c>
    </row>
    <row r="59" spans="1:27">
      <c r="A59" t="str">
        <f>IF(OR(B59="",C59=""),"","PLAN-"&amp;55)</f>
        <v/>
      </c>
      <c r="D59" t="str">
        <f>IF(OR(B59="",C59=""),"",IF(C59="06 Servicios - Colocación de vaina / caño camisa","u",IF(C59="07 Hidrante - Ejecución completa","%",IFERROR(_xludf.XLOOKUP(B59&amp;"|"&amp;C59,'07_Base_Tecnica'!$AK$2:$AK$1201,'07_Base_Tecnica'!$AL$2:$AL$1201,""),""))))</f>
        <v/>
      </c>
      <c r="E59" t="str">
        <f>IF(OR(B59="",C59=""),"",IF(C59="06 Servicios - Colocación de vaina / caño camisa",MAX(0,IFERROR(_xludf.XLOOKUP(B59,'07_Base_Tecnica'!$K$5:$K$54,'07_Base_Tecnica'!$Q$5:$Q$54,0),0)-MAX(SUMIFS('05_Parte_Diario'!$H$5:$H$204,'05_Parte_Diario'!$D$5:$D$204,B59,'05_Parte_Diario'!$E$5:$E$204,"06 Servicios - Colocación de vaina / caño camisa"),COUNTIFS('06_Control_Semanal'!$B$283:$B$533,B59,'06_Control_Semanal'!$D$283:$D$533,"Colocada"))),IF(C59="07 Hidrante - Ejecución completa",MAX(0,100-SUMIFS('06_Control_Semanal'!$D$203:$D$222,'06_Control_Semanal'!$C$203:$C$222,B59)),IFERROR(_xludf.XLOOKUP(B59&amp;"|"&amp;C59,'02_Para_Programar'!$N$5:$N$304,'02_Para_Programar'!$F$5:$F$304,0),0))))</f>
        <v/>
      </c>
      <c r="G59" t="str">
        <f t="shared" si="2"/>
        <v/>
      </c>
      <c r="H59" s="5"/>
      <c r="I59" s="5"/>
      <c r="O59" t="str">
        <f>IF(OR(B59="",C59=""),"",IF(C59="07 Hidrante - Ejecución completa",IF(COUNTIF('06_Control_Semanal'!$C$203:$C$222,B59)&gt;1,"ALERTA: &gt;1 HIDRANTE",IF(E59&gt;0,"OK","SIN SALDO / NO PROGRAMAR")),IF(E59&gt;0,"OK","SIN SALDO / NO PROGRAMAR")))</f>
        <v/>
      </c>
      <c r="P59" t="str">
        <f t="shared" si="3"/>
        <v/>
      </c>
      <c r="Q59" t="str">
        <f>IF(B59="","",IFERROR(_xludf.XLOOKUP(B59,'07_Base_Tecnica'!$K$5:$K$54,'07_Base_Tecnica'!$W$5:$W$54,""),""))</f>
        <v/>
      </c>
      <c r="R59" t="str">
        <f>IF(B59="","",IFERROR(_xludf.XLOOKUP(B59,'07_Base_Tecnica'!$K$5:$K$54,'07_Base_Tecnica'!$X$5:$X$54,""),""))</f>
        <v/>
      </c>
    </row>
    <row r="60" spans="1:27">
      <c r="A60" t="str">
        <f>IF(OR(B60="",C60=""),"","PLAN-"&amp;56)</f>
        <v/>
      </c>
      <c r="D60" t="str">
        <f>IF(OR(B60="",C60=""),"",IF(C60="06 Servicios - Colocación de vaina / caño camisa","u",IF(C60="07 Hidrante - Ejecución completa","%",IFERROR(_xludf.XLOOKUP(B60&amp;"|"&amp;C60,'07_Base_Tecnica'!$AK$2:$AK$1201,'07_Base_Tecnica'!$AL$2:$AL$1201,""),""))))</f>
        <v/>
      </c>
      <c r="E60" t="str">
        <f>IF(OR(B60="",C60=""),"",IF(C60="06 Servicios - Colocación de vaina / caño camisa",MAX(0,IFERROR(_xludf.XLOOKUP(B60,'07_Base_Tecnica'!$K$5:$K$54,'07_Base_Tecnica'!$Q$5:$Q$54,0),0)-MAX(SUMIFS('05_Parte_Diario'!$H$5:$H$204,'05_Parte_Diario'!$D$5:$D$204,B60,'05_Parte_Diario'!$E$5:$E$204,"06 Servicios - Colocación de vaina / caño camisa"),COUNTIFS('06_Control_Semanal'!$B$283:$B$533,B60,'06_Control_Semanal'!$D$283:$D$533,"Colocada"))),IF(C60="07 Hidrante - Ejecución completa",MAX(0,100-SUMIFS('06_Control_Semanal'!$D$203:$D$222,'06_Control_Semanal'!$C$203:$C$222,B60)),IFERROR(_xludf.XLOOKUP(B60&amp;"|"&amp;C60,'02_Para_Programar'!$N$5:$N$304,'02_Para_Programar'!$F$5:$F$304,0),0))))</f>
        <v/>
      </c>
      <c r="G60" t="str">
        <f t="shared" si="2"/>
        <v/>
      </c>
      <c r="H60" s="5"/>
      <c r="I60" s="5"/>
      <c r="O60" t="str">
        <f>IF(OR(B60="",C60=""),"",IF(C60="07 Hidrante - Ejecución completa",IF(COUNTIF('06_Control_Semanal'!$C$203:$C$222,B60)&gt;1,"ALERTA: &gt;1 HIDRANTE",IF(E60&gt;0,"OK","SIN SALDO / NO PROGRAMAR")),IF(E60&gt;0,"OK","SIN SALDO / NO PROGRAMAR")))</f>
        <v/>
      </c>
      <c r="P60" t="str">
        <f t="shared" si="3"/>
        <v/>
      </c>
      <c r="Q60" t="str">
        <f>IF(B60="","",IFERROR(_xludf.XLOOKUP(B60,'07_Base_Tecnica'!$K$5:$K$54,'07_Base_Tecnica'!$W$5:$W$54,""),""))</f>
        <v/>
      </c>
      <c r="R60" t="str">
        <f>IF(B60="","",IFERROR(_xludf.XLOOKUP(B60,'07_Base_Tecnica'!$K$5:$K$54,'07_Base_Tecnica'!$X$5:$X$54,""),""))</f>
        <v/>
      </c>
    </row>
    <row r="61" spans="1:27">
      <c r="A61" t="str">
        <f>IF(OR(B61="",C61=""),"","PLAN-"&amp;57)</f>
        <v/>
      </c>
      <c r="D61" t="str">
        <f>IF(OR(B61="",C61=""),"",IF(C61="06 Servicios - Colocación de vaina / caño camisa","u",IF(C61="07 Hidrante - Ejecución completa","%",IFERROR(_xludf.XLOOKUP(B61&amp;"|"&amp;C61,'07_Base_Tecnica'!$AK$2:$AK$1201,'07_Base_Tecnica'!$AL$2:$AL$1201,""),""))))</f>
        <v/>
      </c>
      <c r="E61" t="str">
        <f>IF(OR(B61="",C61=""),"",IF(C61="06 Servicios - Colocación de vaina / caño camisa",MAX(0,IFERROR(_xludf.XLOOKUP(B61,'07_Base_Tecnica'!$K$5:$K$54,'07_Base_Tecnica'!$Q$5:$Q$54,0),0)-MAX(SUMIFS('05_Parte_Diario'!$H$5:$H$204,'05_Parte_Diario'!$D$5:$D$204,B61,'05_Parte_Diario'!$E$5:$E$204,"06 Servicios - Colocación de vaina / caño camisa"),COUNTIFS('06_Control_Semanal'!$B$283:$B$533,B61,'06_Control_Semanal'!$D$283:$D$533,"Colocada"))),IF(C61="07 Hidrante - Ejecución completa",MAX(0,100-SUMIFS('06_Control_Semanal'!$D$203:$D$222,'06_Control_Semanal'!$C$203:$C$222,B61)),IFERROR(_xludf.XLOOKUP(B61&amp;"|"&amp;C61,'02_Para_Programar'!$N$5:$N$304,'02_Para_Programar'!$F$5:$F$304,0),0))))</f>
        <v/>
      </c>
      <c r="G61" t="str">
        <f t="shared" si="2"/>
        <v/>
      </c>
      <c r="H61" s="5"/>
      <c r="I61" s="5"/>
      <c r="O61" t="str">
        <f>IF(OR(B61="",C61=""),"",IF(C61="07 Hidrante - Ejecución completa",IF(COUNTIF('06_Control_Semanal'!$C$203:$C$222,B61)&gt;1,"ALERTA: &gt;1 HIDRANTE",IF(E61&gt;0,"OK","SIN SALDO / NO PROGRAMAR")),IF(E61&gt;0,"OK","SIN SALDO / NO PROGRAMAR")))</f>
        <v/>
      </c>
      <c r="P61" t="str">
        <f t="shared" si="3"/>
        <v/>
      </c>
      <c r="Q61" t="str">
        <f>IF(B61="","",IFERROR(_xludf.XLOOKUP(B61,'07_Base_Tecnica'!$K$5:$K$54,'07_Base_Tecnica'!$W$5:$W$54,""),""))</f>
        <v/>
      </c>
      <c r="R61" t="str">
        <f>IF(B61="","",IFERROR(_xludf.XLOOKUP(B61,'07_Base_Tecnica'!$K$5:$K$54,'07_Base_Tecnica'!$X$5:$X$54,""),""))</f>
        <v/>
      </c>
    </row>
    <row r="62" spans="1:27">
      <c r="A62" t="str">
        <f>IF(OR(B62="",C62=""),"","PLAN-"&amp;58)</f>
        <v/>
      </c>
      <c r="D62" t="str">
        <f>IF(OR(B62="",C62=""),"",IF(C62="06 Servicios - Colocación de vaina / caño camisa","u",IF(C62="07 Hidrante - Ejecución completa","%",IFERROR(_xludf.XLOOKUP(B62&amp;"|"&amp;C62,'07_Base_Tecnica'!$AK$2:$AK$1201,'07_Base_Tecnica'!$AL$2:$AL$1201,""),""))))</f>
        <v/>
      </c>
      <c r="E62" t="str">
        <f>IF(OR(B62="",C62=""),"",IF(C62="06 Servicios - Colocación de vaina / caño camisa",MAX(0,IFERROR(_xludf.XLOOKUP(B62,'07_Base_Tecnica'!$K$5:$K$54,'07_Base_Tecnica'!$Q$5:$Q$54,0),0)-MAX(SUMIFS('05_Parte_Diario'!$H$5:$H$204,'05_Parte_Diario'!$D$5:$D$204,B62,'05_Parte_Diario'!$E$5:$E$204,"06 Servicios - Colocación de vaina / caño camisa"),COUNTIFS('06_Control_Semanal'!$B$283:$B$533,B62,'06_Control_Semanal'!$D$283:$D$533,"Colocada"))),IF(C62="07 Hidrante - Ejecución completa",MAX(0,100-SUMIFS('06_Control_Semanal'!$D$203:$D$222,'06_Control_Semanal'!$C$203:$C$222,B62)),IFERROR(_xludf.XLOOKUP(B62&amp;"|"&amp;C62,'02_Para_Programar'!$N$5:$N$304,'02_Para_Programar'!$F$5:$F$304,0),0))))</f>
        <v/>
      </c>
      <c r="G62" t="str">
        <f t="shared" si="2"/>
        <v/>
      </c>
      <c r="H62" s="5"/>
      <c r="I62" s="5"/>
      <c r="O62" t="str">
        <f>IF(OR(B62="",C62=""),"",IF(C62="07 Hidrante - Ejecución completa",IF(COUNTIF('06_Control_Semanal'!$C$203:$C$222,B62)&gt;1,"ALERTA: &gt;1 HIDRANTE",IF(E62&gt;0,"OK","SIN SALDO / NO PROGRAMAR")),IF(E62&gt;0,"OK","SIN SALDO / NO PROGRAMAR")))</f>
        <v/>
      </c>
      <c r="P62" t="str">
        <f t="shared" si="3"/>
        <v/>
      </c>
      <c r="Q62" t="str">
        <f>IF(B62="","",IFERROR(_xludf.XLOOKUP(B62,'07_Base_Tecnica'!$K$5:$K$54,'07_Base_Tecnica'!$W$5:$W$54,""),""))</f>
        <v/>
      </c>
      <c r="R62" t="str">
        <f>IF(B62="","",IFERROR(_xludf.XLOOKUP(B62,'07_Base_Tecnica'!$K$5:$K$54,'07_Base_Tecnica'!$X$5:$X$54,""),""))</f>
        <v/>
      </c>
    </row>
    <row r="63" spans="1:27">
      <c r="A63" t="str">
        <f>IF(OR(B63="",C63=""),"","PLAN-"&amp;59)</f>
        <v/>
      </c>
      <c r="D63" t="str">
        <f>IF(OR(B63="",C63=""),"",IF(C63="06 Servicios - Colocación de vaina / caño camisa","u",IF(C63="07 Hidrante - Ejecución completa","%",IFERROR(_xludf.XLOOKUP(B63&amp;"|"&amp;C63,'07_Base_Tecnica'!$AK$2:$AK$1201,'07_Base_Tecnica'!$AL$2:$AL$1201,""),""))))</f>
        <v/>
      </c>
      <c r="E63" t="str">
        <f>IF(OR(B63="",C63=""),"",IF(C63="06 Servicios - Colocación de vaina / caño camisa",MAX(0,IFERROR(_xludf.XLOOKUP(B63,'07_Base_Tecnica'!$K$5:$K$54,'07_Base_Tecnica'!$Q$5:$Q$54,0),0)-MAX(SUMIFS('05_Parte_Diario'!$H$5:$H$204,'05_Parte_Diario'!$D$5:$D$204,B63,'05_Parte_Diario'!$E$5:$E$204,"06 Servicios - Colocación de vaina / caño camisa"),COUNTIFS('06_Control_Semanal'!$B$283:$B$533,B63,'06_Control_Semanal'!$D$283:$D$533,"Colocada"))),IF(C63="07 Hidrante - Ejecución completa",MAX(0,100-SUMIFS('06_Control_Semanal'!$D$203:$D$222,'06_Control_Semanal'!$C$203:$C$222,B63)),IFERROR(_xludf.XLOOKUP(B63&amp;"|"&amp;C63,'02_Para_Programar'!$N$5:$N$304,'02_Para_Programar'!$F$5:$F$304,0),0))))</f>
        <v/>
      </c>
      <c r="G63" t="str">
        <f t="shared" si="2"/>
        <v/>
      </c>
      <c r="H63" s="5"/>
      <c r="I63" s="5"/>
      <c r="O63" t="str">
        <f>IF(OR(B63="",C63=""),"",IF(C63="07 Hidrante - Ejecución completa",IF(COUNTIF('06_Control_Semanal'!$C$203:$C$222,B63)&gt;1,"ALERTA: &gt;1 HIDRANTE",IF(E63&gt;0,"OK","SIN SALDO / NO PROGRAMAR")),IF(E63&gt;0,"OK","SIN SALDO / NO PROGRAMAR")))</f>
        <v/>
      </c>
      <c r="P63" t="str">
        <f t="shared" si="3"/>
        <v/>
      </c>
      <c r="Q63" t="str">
        <f>IF(B63="","",IFERROR(_xludf.XLOOKUP(B63,'07_Base_Tecnica'!$K$5:$K$54,'07_Base_Tecnica'!$W$5:$W$54,""),""))</f>
        <v/>
      </c>
      <c r="R63" t="str">
        <f>IF(B63="","",IFERROR(_xludf.XLOOKUP(B63,'07_Base_Tecnica'!$K$5:$K$54,'07_Base_Tecnica'!$X$5:$X$54,""),""))</f>
        <v/>
      </c>
    </row>
    <row r="64" spans="1:27">
      <c r="A64" t="str">
        <f>IF(OR(B64="",C64=""),"","PLAN-"&amp;60)</f>
        <v/>
      </c>
      <c r="D64" t="str">
        <f>IF(OR(B64="",C64=""),"",IF(C64="06 Servicios - Colocación de vaina / caño camisa","u",IF(C64="07 Hidrante - Ejecución completa","%",IFERROR(_xludf.XLOOKUP(B64&amp;"|"&amp;C64,'07_Base_Tecnica'!$AK$2:$AK$1201,'07_Base_Tecnica'!$AL$2:$AL$1201,""),""))))</f>
        <v/>
      </c>
      <c r="E64" t="str">
        <f>IF(OR(B64="",C64=""),"",IF(C64="06 Servicios - Colocación de vaina / caño camisa",MAX(0,IFERROR(_xludf.XLOOKUP(B64,'07_Base_Tecnica'!$K$5:$K$54,'07_Base_Tecnica'!$Q$5:$Q$54,0),0)-MAX(SUMIFS('05_Parte_Diario'!$H$5:$H$204,'05_Parte_Diario'!$D$5:$D$204,B64,'05_Parte_Diario'!$E$5:$E$204,"06 Servicios - Colocación de vaina / caño camisa"),COUNTIFS('06_Control_Semanal'!$B$283:$B$533,B64,'06_Control_Semanal'!$D$283:$D$533,"Colocada"))),IF(C64="07 Hidrante - Ejecución completa",MAX(0,100-SUMIFS('06_Control_Semanal'!$D$203:$D$222,'06_Control_Semanal'!$C$203:$C$222,B64)),IFERROR(_xludf.XLOOKUP(B64&amp;"|"&amp;C64,'02_Para_Programar'!$N$5:$N$304,'02_Para_Programar'!$F$5:$F$304,0),0))))</f>
        <v/>
      </c>
      <c r="G64" t="str">
        <f t="shared" si="2"/>
        <v/>
      </c>
      <c r="H64" s="5"/>
      <c r="I64" s="5"/>
      <c r="O64" t="str">
        <f>IF(OR(B64="",C64=""),"",IF(C64="07 Hidrante - Ejecución completa",IF(COUNTIF('06_Control_Semanal'!$C$203:$C$222,B64)&gt;1,"ALERTA: &gt;1 HIDRANTE",IF(E64&gt;0,"OK","SIN SALDO / NO PROGRAMAR")),IF(E64&gt;0,"OK","SIN SALDO / NO PROGRAMAR")))</f>
        <v/>
      </c>
      <c r="P64" t="str">
        <f t="shared" si="3"/>
        <v/>
      </c>
      <c r="Q64" t="str">
        <f>IF(B64="","",IFERROR(_xludf.XLOOKUP(B64,'07_Base_Tecnica'!$K$5:$K$54,'07_Base_Tecnica'!$W$5:$W$54,""),""))</f>
        <v/>
      </c>
      <c r="R64" t="str">
        <f>IF(B64="","",IFERROR(_xludf.XLOOKUP(B64,'07_Base_Tecnica'!$K$5:$K$54,'07_Base_Tecnica'!$X$5:$X$54,""),""))</f>
        <v/>
      </c>
    </row>
    <row r="65" spans="1:18">
      <c r="A65" t="str">
        <f>IF(OR(B65="",C65=""),"","PLAN-"&amp;61)</f>
        <v/>
      </c>
      <c r="D65" t="str">
        <f>IF(OR(B65="",C65=""),"",IF(C65="06 Servicios - Colocación de vaina / caño camisa","u",IF(C65="07 Hidrante - Ejecución completa","%",IFERROR(_xludf.XLOOKUP(B65&amp;"|"&amp;C65,'07_Base_Tecnica'!$AK$2:$AK$1201,'07_Base_Tecnica'!$AL$2:$AL$1201,""),""))))</f>
        <v/>
      </c>
      <c r="E65" t="str">
        <f>IF(OR(B65="",C65=""),"",IF(C65="06 Servicios - Colocación de vaina / caño camisa",MAX(0,IFERROR(_xludf.XLOOKUP(B65,'07_Base_Tecnica'!$K$5:$K$54,'07_Base_Tecnica'!$Q$5:$Q$54,0),0)-MAX(SUMIFS('05_Parte_Diario'!$H$5:$H$204,'05_Parte_Diario'!$D$5:$D$204,B65,'05_Parte_Diario'!$E$5:$E$204,"06 Servicios - Colocación de vaina / caño camisa"),COUNTIFS('06_Control_Semanal'!$B$283:$B$533,B65,'06_Control_Semanal'!$D$283:$D$533,"Colocada"))),IF(C65="07 Hidrante - Ejecución completa",MAX(0,100-SUMIFS('06_Control_Semanal'!$D$203:$D$222,'06_Control_Semanal'!$C$203:$C$222,B65)),IFERROR(_xludf.XLOOKUP(B65&amp;"|"&amp;C65,'02_Para_Programar'!$N$5:$N$304,'02_Para_Programar'!$F$5:$F$304,0),0))))</f>
        <v/>
      </c>
      <c r="G65" t="str">
        <f t="shared" si="2"/>
        <v/>
      </c>
      <c r="H65" s="5"/>
      <c r="I65" s="5"/>
      <c r="O65" t="str">
        <f>IF(OR(B65="",C65=""),"",IF(C65="07 Hidrante - Ejecución completa",IF(COUNTIF('06_Control_Semanal'!$C$203:$C$222,B65)&gt;1,"ALERTA: &gt;1 HIDRANTE",IF(E65&gt;0,"OK","SIN SALDO / NO PROGRAMAR")),IF(E65&gt;0,"OK","SIN SALDO / NO PROGRAMAR")))</f>
        <v/>
      </c>
      <c r="P65" t="str">
        <f t="shared" si="3"/>
        <v/>
      </c>
      <c r="Q65" t="str">
        <f>IF(B65="","",IFERROR(_xludf.XLOOKUP(B65,'07_Base_Tecnica'!$K$5:$K$54,'07_Base_Tecnica'!$W$5:$W$54,""),""))</f>
        <v/>
      </c>
      <c r="R65" t="str">
        <f>IF(B65="","",IFERROR(_xludf.XLOOKUP(B65,'07_Base_Tecnica'!$K$5:$K$54,'07_Base_Tecnica'!$X$5:$X$54,""),""))</f>
        <v/>
      </c>
    </row>
    <row r="66" spans="1:18">
      <c r="A66" t="str">
        <f>IF(OR(B66="",C66=""),"","PLAN-"&amp;62)</f>
        <v/>
      </c>
      <c r="D66" t="str">
        <f>IF(OR(B66="",C66=""),"",IF(C66="06 Servicios - Colocación de vaina / caño camisa","u",IF(C66="07 Hidrante - Ejecución completa","%",IFERROR(_xludf.XLOOKUP(B66&amp;"|"&amp;C66,'07_Base_Tecnica'!$AK$2:$AK$1201,'07_Base_Tecnica'!$AL$2:$AL$1201,""),""))))</f>
        <v/>
      </c>
      <c r="E66" t="str">
        <f>IF(OR(B66="",C66=""),"",IF(C66="06 Servicios - Colocación de vaina / caño camisa",MAX(0,IFERROR(_xludf.XLOOKUP(B66,'07_Base_Tecnica'!$K$5:$K$54,'07_Base_Tecnica'!$Q$5:$Q$54,0),0)-MAX(SUMIFS('05_Parte_Diario'!$H$5:$H$204,'05_Parte_Diario'!$D$5:$D$204,B66,'05_Parte_Diario'!$E$5:$E$204,"06 Servicios - Colocación de vaina / caño camisa"),COUNTIFS('06_Control_Semanal'!$B$283:$B$533,B66,'06_Control_Semanal'!$D$283:$D$533,"Colocada"))),IF(C66="07 Hidrante - Ejecución completa",MAX(0,100-SUMIFS('06_Control_Semanal'!$D$203:$D$222,'06_Control_Semanal'!$C$203:$C$222,B66)),IFERROR(_xludf.XLOOKUP(B66&amp;"|"&amp;C66,'02_Para_Programar'!$N$5:$N$304,'02_Para_Programar'!$F$5:$F$304,0),0))))</f>
        <v/>
      </c>
      <c r="G66" t="str">
        <f t="shared" si="2"/>
        <v/>
      </c>
      <c r="H66" s="5"/>
      <c r="I66" s="5"/>
      <c r="O66" t="str">
        <f>IF(OR(B66="",C66=""),"",IF(C66="07 Hidrante - Ejecución completa",IF(COUNTIF('06_Control_Semanal'!$C$203:$C$222,B66)&gt;1,"ALERTA: &gt;1 HIDRANTE",IF(E66&gt;0,"OK","SIN SALDO / NO PROGRAMAR")),IF(E66&gt;0,"OK","SIN SALDO / NO PROGRAMAR")))</f>
        <v/>
      </c>
      <c r="P66" t="str">
        <f t="shared" si="3"/>
        <v/>
      </c>
      <c r="Q66" t="str">
        <f>IF(B66="","",IFERROR(_xludf.XLOOKUP(B66,'07_Base_Tecnica'!$K$5:$K$54,'07_Base_Tecnica'!$W$5:$W$54,""),""))</f>
        <v/>
      </c>
      <c r="R66" t="str">
        <f>IF(B66="","",IFERROR(_xludf.XLOOKUP(B66,'07_Base_Tecnica'!$K$5:$K$54,'07_Base_Tecnica'!$X$5:$X$54,""),""))</f>
        <v/>
      </c>
    </row>
    <row r="67" spans="1:18">
      <c r="A67" t="str">
        <f>IF(OR(B67="",C67=""),"","PLAN-"&amp;63)</f>
        <v/>
      </c>
      <c r="D67" t="str">
        <f>IF(OR(B67="",C67=""),"",IF(C67="06 Servicios - Colocación de vaina / caño camisa","u",IF(C67="07 Hidrante - Ejecución completa","%",IFERROR(_xludf.XLOOKUP(B67&amp;"|"&amp;C67,'07_Base_Tecnica'!$AK$2:$AK$1201,'07_Base_Tecnica'!$AL$2:$AL$1201,""),""))))</f>
        <v/>
      </c>
      <c r="E67" t="str">
        <f>IF(OR(B67="",C67=""),"",IF(C67="06 Servicios - Colocación de vaina / caño camisa",MAX(0,IFERROR(_xludf.XLOOKUP(B67,'07_Base_Tecnica'!$K$5:$K$54,'07_Base_Tecnica'!$Q$5:$Q$54,0),0)-MAX(SUMIFS('05_Parte_Diario'!$H$5:$H$204,'05_Parte_Diario'!$D$5:$D$204,B67,'05_Parte_Diario'!$E$5:$E$204,"06 Servicios - Colocación de vaina / caño camisa"),COUNTIFS('06_Control_Semanal'!$B$283:$B$533,B67,'06_Control_Semanal'!$D$283:$D$533,"Colocada"))),IF(C67="07 Hidrante - Ejecución completa",MAX(0,100-SUMIFS('06_Control_Semanal'!$D$203:$D$222,'06_Control_Semanal'!$C$203:$C$222,B67)),IFERROR(_xludf.XLOOKUP(B67&amp;"|"&amp;C67,'02_Para_Programar'!$N$5:$N$304,'02_Para_Programar'!$F$5:$F$304,0),0))))</f>
        <v/>
      </c>
      <c r="G67" t="str">
        <f t="shared" si="2"/>
        <v/>
      </c>
      <c r="H67" s="5"/>
      <c r="I67" s="5"/>
      <c r="O67" t="str">
        <f>IF(OR(B67="",C67=""),"",IF(C67="07 Hidrante - Ejecución completa",IF(COUNTIF('06_Control_Semanal'!$C$203:$C$222,B67)&gt;1,"ALERTA: &gt;1 HIDRANTE",IF(E67&gt;0,"OK","SIN SALDO / NO PROGRAMAR")),IF(E67&gt;0,"OK","SIN SALDO / NO PROGRAMAR")))</f>
        <v/>
      </c>
      <c r="P67" t="str">
        <f t="shared" si="3"/>
        <v/>
      </c>
      <c r="Q67" t="str">
        <f>IF(B67="","",IFERROR(_xludf.XLOOKUP(B67,'07_Base_Tecnica'!$K$5:$K$54,'07_Base_Tecnica'!$W$5:$W$54,""),""))</f>
        <v/>
      </c>
      <c r="R67" t="str">
        <f>IF(B67="","",IFERROR(_xludf.XLOOKUP(B67,'07_Base_Tecnica'!$K$5:$K$54,'07_Base_Tecnica'!$X$5:$X$54,""),""))</f>
        <v/>
      </c>
    </row>
    <row r="68" spans="1:18">
      <c r="A68" t="str">
        <f>IF(OR(B68="",C68=""),"","PLAN-"&amp;64)</f>
        <v/>
      </c>
      <c r="D68" t="str">
        <f>IF(OR(B68="",C68=""),"",IF(C68="06 Servicios - Colocación de vaina / caño camisa","u",IF(C68="07 Hidrante - Ejecución completa","%",IFERROR(_xludf.XLOOKUP(B68&amp;"|"&amp;C68,'07_Base_Tecnica'!$AK$2:$AK$1201,'07_Base_Tecnica'!$AL$2:$AL$1201,""),""))))</f>
        <v/>
      </c>
      <c r="E68" t="str">
        <f>IF(OR(B68="",C68=""),"",IF(C68="06 Servicios - Colocación de vaina / caño camisa",MAX(0,IFERROR(_xludf.XLOOKUP(B68,'07_Base_Tecnica'!$K$5:$K$54,'07_Base_Tecnica'!$Q$5:$Q$54,0),0)-MAX(SUMIFS('05_Parte_Diario'!$H$5:$H$204,'05_Parte_Diario'!$D$5:$D$204,B68,'05_Parte_Diario'!$E$5:$E$204,"06 Servicios - Colocación de vaina / caño camisa"),COUNTIFS('06_Control_Semanal'!$B$283:$B$533,B68,'06_Control_Semanal'!$D$283:$D$533,"Colocada"))),IF(C68="07 Hidrante - Ejecución completa",MAX(0,100-SUMIFS('06_Control_Semanal'!$D$203:$D$222,'06_Control_Semanal'!$C$203:$C$222,B68)),IFERROR(_xludf.XLOOKUP(B68&amp;"|"&amp;C68,'02_Para_Programar'!$N$5:$N$304,'02_Para_Programar'!$F$5:$F$304,0),0))))</f>
        <v/>
      </c>
      <c r="G68" t="str">
        <f t="shared" si="2"/>
        <v/>
      </c>
      <c r="H68" s="5"/>
      <c r="I68" s="5"/>
      <c r="O68" t="str">
        <f>IF(OR(B68="",C68=""),"",IF(C68="07 Hidrante - Ejecución completa",IF(COUNTIF('06_Control_Semanal'!$C$203:$C$222,B68)&gt;1,"ALERTA: &gt;1 HIDRANTE",IF(E68&gt;0,"OK","SIN SALDO / NO PROGRAMAR")),IF(E68&gt;0,"OK","SIN SALDO / NO PROGRAMAR")))</f>
        <v/>
      </c>
      <c r="P68" t="str">
        <f t="shared" si="3"/>
        <v/>
      </c>
      <c r="Q68" t="str">
        <f>IF(B68="","",IFERROR(_xludf.XLOOKUP(B68,'07_Base_Tecnica'!$K$5:$K$54,'07_Base_Tecnica'!$W$5:$W$54,""),""))</f>
        <v/>
      </c>
      <c r="R68" t="str">
        <f>IF(B68="","",IFERROR(_xludf.XLOOKUP(B68,'07_Base_Tecnica'!$K$5:$K$54,'07_Base_Tecnica'!$X$5:$X$54,""),""))</f>
        <v/>
      </c>
    </row>
    <row r="69" spans="1:18">
      <c r="A69" t="str">
        <f>IF(OR(B69="",C69=""),"","PLAN-"&amp;65)</f>
        <v/>
      </c>
      <c r="D69" t="str">
        <f>IF(OR(B69="",C69=""),"",IF(C69="06 Servicios - Colocación de vaina / caño camisa","u",IF(C69="07 Hidrante - Ejecución completa","%",IFERROR(_xludf.XLOOKUP(B69&amp;"|"&amp;C69,'07_Base_Tecnica'!$AK$2:$AK$1201,'07_Base_Tecnica'!$AL$2:$AL$1201,""),""))))</f>
        <v/>
      </c>
      <c r="E69" t="str">
        <f>IF(OR(B69="",C69=""),"",IF(C69="06 Servicios - Colocación de vaina / caño camisa",MAX(0,IFERROR(_xludf.XLOOKUP(B69,'07_Base_Tecnica'!$K$5:$K$54,'07_Base_Tecnica'!$Q$5:$Q$54,0),0)-MAX(SUMIFS('05_Parte_Diario'!$H$5:$H$204,'05_Parte_Diario'!$D$5:$D$204,B69,'05_Parte_Diario'!$E$5:$E$204,"06 Servicios - Colocación de vaina / caño camisa"),COUNTIFS('06_Control_Semanal'!$B$283:$B$533,B69,'06_Control_Semanal'!$D$283:$D$533,"Colocada"))),IF(C69="07 Hidrante - Ejecución completa",MAX(0,100-SUMIFS('06_Control_Semanal'!$D$203:$D$222,'06_Control_Semanal'!$C$203:$C$222,B69)),IFERROR(_xludf.XLOOKUP(B69&amp;"|"&amp;C69,'02_Para_Programar'!$N$5:$N$304,'02_Para_Programar'!$F$5:$F$304,0),0))))</f>
        <v/>
      </c>
      <c r="G69" t="str">
        <f t="shared" ref="G69:G84" si="4">IFERROR(ROUNDUP(E69/F69,0),"")</f>
        <v/>
      </c>
      <c r="H69" s="5"/>
      <c r="I69" s="5"/>
      <c r="O69" t="str">
        <f>IF(OR(B69="",C69=""),"",IF(C69="07 Hidrante - Ejecución completa",IF(COUNTIF('06_Control_Semanal'!$C$203:$C$222,B69)&gt;1,"ALERTA: &gt;1 HIDRANTE",IF(E69&gt;0,"OK","SIN SALDO / NO PROGRAMAR")),IF(E69&gt;0,"OK","SIN SALDO / NO PROGRAMAR")))</f>
        <v/>
      </c>
      <c r="P69" t="str">
        <f t="shared" ref="P69:P84" si="5">IF(OR(B69="",C69=""),"",IF(C69="07 Hidrante - Ejecución completa","HID|"&amp;B69,IF(C69="06 Servicios - Colocación de vaina / caño camisa","SV|"&amp;B69,B69&amp;"|"&amp;C69)))</f>
        <v/>
      </c>
      <c r="Q69" t="str">
        <f>IF(B69="","",IFERROR(_xludf.XLOOKUP(B69,'07_Base_Tecnica'!$K$5:$K$54,'07_Base_Tecnica'!$W$5:$W$54,""),""))</f>
        <v/>
      </c>
      <c r="R69" t="str">
        <f>IF(B69="","",IFERROR(_xludf.XLOOKUP(B69,'07_Base_Tecnica'!$K$5:$K$54,'07_Base_Tecnica'!$X$5:$X$54,""),""))</f>
        <v/>
      </c>
    </row>
    <row r="70" spans="1:18">
      <c r="A70" t="str">
        <f>IF(OR(B70="",C70=""),"","PLAN-"&amp;66)</f>
        <v/>
      </c>
      <c r="D70" t="str">
        <f>IF(OR(B70="",C70=""),"",IF(C70="06 Servicios - Colocación de vaina / caño camisa","u",IF(C70="07 Hidrante - Ejecución completa","%",IFERROR(_xludf.XLOOKUP(B70&amp;"|"&amp;C70,'07_Base_Tecnica'!$AK$2:$AK$1201,'07_Base_Tecnica'!$AL$2:$AL$1201,""),""))))</f>
        <v/>
      </c>
      <c r="E70" t="str">
        <f>IF(OR(B70="",C70=""),"",IF(C70="06 Servicios - Colocación de vaina / caño camisa",MAX(0,IFERROR(_xludf.XLOOKUP(B70,'07_Base_Tecnica'!$K$5:$K$54,'07_Base_Tecnica'!$Q$5:$Q$54,0),0)-MAX(SUMIFS('05_Parte_Diario'!$H$5:$H$204,'05_Parte_Diario'!$D$5:$D$204,B70,'05_Parte_Diario'!$E$5:$E$204,"06 Servicios - Colocación de vaina / caño camisa"),COUNTIFS('06_Control_Semanal'!$B$283:$B$533,B70,'06_Control_Semanal'!$D$283:$D$533,"Colocada"))),IF(C70="07 Hidrante - Ejecución completa",MAX(0,100-SUMIFS('06_Control_Semanal'!$D$203:$D$222,'06_Control_Semanal'!$C$203:$C$222,B70)),IFERROR(_xludf.XLOOKUP(B70&amp;"|"&amp;C70,'02_Para_Programar'!$N$5:$N$304,'02_Para_Programar'!$F$5:$F$304,0),0))))</f>
        <v/>
      </c>
      <c r="G70" t="str">
        <f t="shared" si="4"/>
        <v/>
      </c>
      <c r="H70" s="5"/>
      <c r="I70" s="5"/>
      <c r="O70" t="str">
        <f>IF(OR(B70="",C70=""),"",IF(C70="07 Hidrante - Ejecución completa",IF(COUNTIF('06_Control_Semanal'!$C$203:$C$222,B70)&gt;1,"ALERTA: &gt;1 HIDRANTE",IF(E70&gt;0,"OK","SIN SALDO / NO PROGRAMAR")),IF(E70&gt;0,"OK","SIN SALDO / NO PROGRAMAR")))</f>
        <v/>
      </c>
      <c r="P70" t="str">
        <f t="shared" si="5"/>
        <v/>
      </c>
      <c r="Q70" t="str">
        <f>IF(B70="","",IFERROR(_xludf.XLOOKUP(B70,'07_Base_Tecnica'!$K$5:$K$54,'07_Base_Tecnica'!$W$5:$W$54,""),""))</f>
        <v/>
      </c>
      <c r="R70" t="str">
        <f>IF(B70="","",IFERROR(_xludf.XLOOKUP(B70,'07_Base_Tecnica'!$K$5:$K$54,'07_Base_Tecnica'!$X$5:$X$54,""),""))</f>
        <v/>
      </c>
    </row>
    <row r="71" spans="1:18">
      <c r="A71" t="str">
        <f>IF(OR(B71="",C71=""),"","PLAN-"&amp;67)</f>
        <v/>
      </c>
      <c r="D71" t="str">
        <f>IF(OR(B71="",C71=""),"",IF(C71="06 Servicios - Colocación de vaina / caño camisa","u",IF(C71="07 Hidrante - Ejecución completa","%",IFERROR(_xludf.XLOOKUP(B71&amp;"|"&amp;C71,'07_Base_Tecnica'!$AK$2:$AK$1201,'07_Base_Tecnica'!$AL$2:$AL$1201,""),""))))</f>
        <v/>
      </c>
      <c r="E71" t="str">
        <f>IF(OR(B71="",C71=""),"",IF(C71="06 Servicios - Colocación de vaina / caño camisa",MAX(0,IFERROR(_xludf.XLOOKUP(B71,'07_Base_Tecnica'!$K$5:$K$54,'07_Base_Tecnica'!$Q$5:$Q$54,0),0)-MAX(SUMIFS('05_Parte_Diario'!$H$5:$H$204,'05_Parte_Diario'!$D$5:$D$204,B71,'05_Parte_Diario'!$E$5:$E$204,"06 Servicios - Colocación de vaina / caño camisa"),COUNTIFS('06_Control_Semanal'!$B$283:$B$533,B71,'06_Control_Semanal'!$D$283:$D$533,"Colocada"))),IF(C71="07 Hidrante - Ejecución completa",MAX(0,100-SUMIFS('06_Control_Semanal'!$D$203:$D$222,'06_Control_Semanal'!$C$203:$C$222,B71)),IFERROR(_xludf.XLOOKUP(B71&amp;"|"&amp;C71,'02_Para_Programar'!$N$5:$N$304,'02_Para_Programar'!$F$5:$F$304,0),0))))</f>
        <v/>
      </c>
      <c r="G71" t="str">
        <f t="shared" si="4"/>
        <v/>
      </c>
      <c r="H71" s="5"/>
      <c r="I71" s="5"/>
      <c r="O71" t="str">
        <f>IF(OR(B71="",C71=""),"",IF(C71="07 Hidrante - Ejecución completa",IF(COUNTIF('06_Control_Semanal'!$C$203:$C$222,B71)&gt;1,"ALERTA: &gt;1 HIDRANTE",IF(E71&gt;0,"OK","SIN SALDO / NO PROGRAMAR")),IF(E71&gt;0,"OK","SIN SALDO / NO PROGRAMAR")))</f>
        <v/>
      </c>
      <c r="P71" t="str">
        <f t="shared" si="5"/>
        <v/>
      </c>
      <c r="Q71" t="str">
        <f>IF(B71="","",IFERROR(_xludf.XLOOKUP(B71,'07_Base_Tecnica'!$K$5:$K$54,'07_Base_Tecnica'!$W$5:$W$54,""),""))</f>
        <v/>
      </c>
      <c r="R71" t="str">
        <f>IF(B71="","",IFERROR(_xludf.XLOOKUP(B71,'07_Base_Tecnica'!$K$5:$K$54,'07_Base_Tecnica'!$X$5:$X$54,""),""))</f>
        <v/>
      </c>
    </row>
    <row r="72" spans="1:18">
      <c r="A72" t="str">
        <f>IF(OR(B72="",C72=""),"","PLAN-"&amp;68)</f>
        <v/>
      </c>
      <c r="D72" t="str">
        <f>IF(OR(B72="",C72=""),"",IF(C72="06 Servicios - Colocación de vaina / caño camisa","u",IF(C72="07 Hidrante - Ejecución completa","%",IFERROR(_xludf.XLOOKUP(B72&amp;"|"&amp;C72,'07_Base_Tecnica'!$AK$2:$AK$1201,'07_Base_Tecnica'!$AL$2:$AL$1201,""),""))))</f>
        <v/>
      </c>
      <c r="E72" t="str">
        <f>IF(OR(B72="",C72=""),"",IF(C72="06 Servicios - Colocación de vaina / caño camisa",MAX(0,IFERROR(_xludf.XLOOKUP(B72,'07_Base_Tecnica'!$K$5:$K$54,'07_Base_Tecnica'!$Q$5:$Q$54,0),0)-MAX(SUMIFS('05_Parte_Diario'!$H$5:$H$204,'05_Parte_Diario'!$D$5:$D$204,B72,'05_Parte_Diario'!$E$5:$E$204,"06 Servicios - Colocación de vaina / caño camisa"),COUNTIFS('06_Control_Semanal'!$B$283:$B$533,B72,'06_Control_Semanal'!$D$283:$D$533,"Colocada"))),IF(C72="07 Hidrante - Ejecución completa",MAX(0,100-SUMIFS('06_Control_Semanal'!$D$203:$D$222,'06_Control_Semanal'!$C$203:$C$222,B72)),IFERROR(_xludf.XLOOKUP(B72&amp;"|"&amp;C72,'02_Para_Programar'!$N$5:$N$304,'02_Para_Programar'!$F$5:$F$304,0),0))))</f>
        <v/>
      </c>
      <c r="G72" t="str">
        <f t="shared" si="4"/>
        <v/>
      </c>
      <c r="H72" s="5"/>
      <c r="I72" s="5"/>
      <c r="O72" t="str">
        <f>IF(OR(B72="",C72=""),"",IF(C72="07 Hidrante - Ejecución completa",IF(COUNTIF('06_Control_Semanal'!$C$203:$C$222,B72)&gt;1,"ALERTA: &gt;1 HIDRANTE",IF(E72&gt;0,"OK","SIN SALDO / NO PROGRAMAR")),IF(E72&gt;0,"OK","SIN SALDO / NO PROGRAMAR")))</f>
        <v/>
      </c>
      <c r="P72" t="str">
        <f t="shared" si="5"/>
        <v/>
      </c>
      <c r="Q72" t="str">
        <f>IF(B72="","",IFERROR(_xludf.XLOOKUP(B72,'07_Base_Tecnica'!$K$5:$K$54,'07_Base_Tecnica'!$W$5:$W$54,""),""))</f>
        <v/>
      </c>
      <c r="R72" t="str">
        <f>IF(B72="","",IFERROR(_xludf.XLOOKUP(B72,'07_Base_Tecnica'!$K$5:$K$54,'07_Base_Tecnica'!$X$5:$X$54,""),""))</f>
        <v/>
      </c>
    </row>
    <row r="73" spans="1:18">
      <c r="A73" t="str">
        <f>IF(OR(B73="",C73=""),"","PLAN-"&amp;69)</f>
        <v/>
      </c>
      <c r="D73" t="str">
        <f>IF(OR(B73="",C73=""),"",IF(C73="06 Servicios - Colocación de vaina / caño camisa","u",IF(C73="07 Hidrante - Ejecución completa","%",IFERROR(_xludf.XLOOKUP(B73&amp;"|"&amp;C73,'07_Base_Tecnica'!$AK$2:$AK$1201,'07_Base_Tecnica'!$AL$2:$AL$1201,""),""))))</f>
        <v/>
      </c>
      <c r="E73" t="str">
        <f>IF(OR(B73="",C73=""),"",IF(C73="06 Servicios - Colocación de vaina / caño camisa",MAX(0,IFERROR(_xludf.XLOOKUP(B73,'07_Base_Tecnica'!$K$5:$K$54,'07_Base_Tecnica'!$Q$5:$Q$54,0),0)-MAX(SUMIFS('05_Parte_Diario'!$H$5:$H$204,'05_Parte_Diario'!$D$5:$D$204,B73,'05_Parte_Diario'!$E$5:$E$204,"06 Servicios - Colocación de vaina / caño camisa"),COUNTIFS('06_Control_Semanal'!$B$283:$B$533,B73,'06_Control_Semanal'!$D$283:$D$533,"Colocada"))),IF(C73="07 Hidrante - Ejecución completa",MAX(0,100-SUMIFS('06_Control_Semanal'!$D$203:$D$222,'06_Control_Semanal'!$C$203:$C$222,B73)),IFERROR(_xludf.XLOOKUP(B73&amp;"|"&amp;C73,'02_Para_Programar'!$N$5:$N$304,'02_Para_Programar'!$F$5:$F$304,0),0))))</f>
        <v/>
      </c>
      <c r="G73" t="str">
        <f t="shared" si="4"/>
        <v/>
      </c>
      <c r="H73" s="5"/>
      <c r="I73" s="5"/>
      <c r="O73" t="str">
        <f>IF(OR(B73="",C73=""),"",IF(C73="07 Hidrante - Ejecución completa",IF(COUNTIF('06_Control_Semanal'!$C$203:$C$222,B73)&gt;1,"ALERTA: &gt;1 HIDRANTE",IF(E73&gt;0,"OK","SIN SALDO / NO PROGRAMAR")),IF(E73&gt;0,"OK","SIN SALDO / NO PROGRAMAR")))</f>
        <v/>
      </c>
      <c r="P73" t="str">
        <f t="shared" si="5"/>
        <v/>
      </c>
      <c r="Q73" t="str">
        <f>IF(B73="","",IFERROR(_xludf.XLOOKUP(B73,'07_Base_Tecnica'!$K$5:$K$54,'07_Base_Tecnica'!$W$5:$W$54,""),""))</f>
        <v/>
      </c>
      <c r="R73" t="str">
        <f>IF(B73="","",IFERROR(_xludf.XLOOKUP(B73,'07_Base_Tecnica'!$K$5:$K$54,'07_Base_Tecnica'!$X$5:$X$54,""),""))</f>
        <v/>
      </c>
    </row>
    <row r="74" spans="1:18">
      <c r="A74" t="str">
        <f>IF(OR(B74="",C74=""),"","PLAN-"&amp;70)</f>
        <v/>
      </c>
      <c r="D74" t="str">
        <f>IF(OR(B74="",C74=""),"",IF(C74="06 Servicios - Colocación de vaina / caño camisa","u",IF(C74="07 Hidrante - Ejecución completa","%",IFERROR(_xludf.XLOOKUP(B74&amp;"|"&amp;C74,'07_Base_Tecnica'!$AK$2:$AK$1201,'07_Base_Tecnica'!$AL$2:$AL$1201,""),""))))</f>
        <v/>
      </c>
      <c r="E74" t="str">
        <f>IF(OR(B74="",C74=""),"",IF(C74="06 Servicios - Colocación de vaina / caño camisa",MAX(0,IFERROR(_xludf.XLOOKUP(B74,'07_Base_Tecnica'!$K$5:$K$54,'07_Base_Tecnica'!$Q$5:$Q$54,0),0)-MAX(SUMIFS('05_Parte_Diario'!$H$5:$H$204,'05_Parte_Diario'!$D$5:$D$204,B74,'05_Parte_Diario'!$E$5:$E$204,"06 Servicios - Colocación de vaina / caño camisa"),COUNTIFS('06_Control_Semanal'!$B$283:$B$533,B74,'06_Control_Semanal'!$D$283:$D$533,"Colocada"))),IF(C74="07 Hidrante - Ejecución completa",MAX(0,100-SUMIFS('06_Control_Semanal'!$D$203:$D$222,'06_Control_Semanal'!$C$203:$C$222,B74)),IFERROR(_xludf.XLOOKUP(B74&amp;"|"&amp;C74,'02_Para_Programar'!$N$5:$N$304,'02_Para_Programar'!$F$5:$F$304,0),0))))</f>
        <v/>
      </c>
      <c r="G74" t="str">
        <f t="shared" si="4"/>
        <v/>
      </c>
      <c r="H74" s="5"/>
      <c r="I74" s="5"/>
      <c r="O74" t="str">
        <f>IF(OR(B74="",C74=""),"",IF(C74="07 Hidrante - Ejecución completa",IF(COUNTIF('06_Control_Semanal'!$C$203:$C$222,B74)&gt;1,"ALERTA: &gt;1 HIDRANTE",IF(E74&gt;0,"OK","SIN SALDO / NO PROGRAMAR")),IF(E74&gt;0,"OK","SIN SALDO / NO PROGRAMAR")))</f>
        <v/>
      </c>
      <c r="P74" t="str">
        <f t="shared" si="5"/>
        <v/>
      </c>
      <c r="Q74" t="str">
        <f>IF(B74="","",IFERROR(_xludf.XLOOKUP(B74,'07_Base_Tecnica'!$K$5:$K$54,'07_Base_Tecnica'!$W$5:$W$54,""),""))</f>
        <v/>
      </c>
      <c r="R74" t="str">
        <f>IF(B74="","",IFERROR(_xludf.XLOOKUP(B74,'07_Base_Tecnica'!$K$5:$K$54,'07_Base_Tecnica'!$X$5:$X$54,""),""))</f>
        <v/>
      </c>
    </row>
    <row r="75" spans="1:18">
      <c r="A75" t="str">
        <f>IF(OR(B75="",C75=""),"","PLAN-"&amp;71)</f>
        <v/>
      </c>
      <c r="D75" t="str">
        <f>IF(OR(B75="",C75=""),"",IF(C75="06 Servicios - Colocación de vaina / caño camisa","u",IF(C75="07 Hidrante - Ejecución completa","%",IFERROR(_xludf.XLOOKUP(B75&amp;"|"&amp;C75,'07_Base_Tecnica'!$AK$2:$AK$1201,'07_Base_Tecnica'!$AL$2:$AL$1201,""),""))))</f>
        <v/>
      </c>
      <c r="E75" t="str">
        <f>IF(OR(B75="",C75=""),"",IF(C75="06 Servicios - Colocación de vaina / caño camisa",MAX(0,IFERROR(_xludf.XLOOKUP(B75,'07_Base_Tecnica'!$K$5:$K$54,'07_Base_Tecnica'!$Q$5:$Q$54,0),0)-MAX(SUMIFS('05_Parte_Diario'!$H$5:$H$204,'05_Parte_Diario'!$D$5:$D$204,B75,'05_Parte_Diario'!$E$5:$E$204,"06 Servicios - Colocación de vaina / caño camisa"),COUNTIFS('06_Control_Semanal'!$B$283:$B$533,B75,'06_Control_Semanal'!$D$283:$D$533,"Colocada"))),IF(C75="07 Hidrante - Ejecución completa",MAX(0,100-SUMIFS('06_Control_Semanal'!$D$203:$D$222,'06_Control_Semanal'!$C$203:$C$222,B75)),IFERROR(_xludf.XLOOKUP(B75&amp;"|"&amp;C75,'02_Para_Programar'!$N$5:$N$304,'02_Para_Programar'!$F$5:$F$304,0),0))))</f>
        <v/>
      </c>
      <c r="G75" t="str">
        <f t="shared" si="4"/>
        <v/>
      </c>
      <c r="H75" s="5"/>
      <c r="I75" s="5"/>
      <c r="O75" t="str">
        <f>IF(OR(B75="",C75=""),"",IF(C75="07 Hidrante - Ejecución completa",IF(COUNTIF('06_Control_Semanal'!$C$203:$C$222,B75)&gt;1,"ALERTA: &gt;1 HIDRANTE",IF(E75&gt;0,"OK","SIN SALDO / NO PROGRAMAR")),IF(E75&gt;0,"OK","SIN SALDO / NO PROGRAMAR")))</f>
        <v/>
      </c>
      <c r="P75" t="str">
        <f t="shared" si="5"/>
        <v/>
      </c>
      <c r="Q75" t="str">
        <f>IF(B75="","",IFERROR(_xludf.XLOOKUP(B75,'07_Base_Tecnica'!$K$5:$K$54,'07_Base_Tecnica'!$W$5:$W$54,""),""))</f>
        <v/>
      </c>
      <c r="R75" t="str">
        <f>IF(B75="","",IFERROR(_xludf.XLOOKUP(B75,'07_Base_Tecnica'!$K$5:$K$54,'07_Base_Tecnica'!$X$5:$X$54,""),""))</f>
        <v/>
      </c>
    </row>
    <row r="76" spans="1:18">
      <c r="A76" t="str">
        <f>IF(OR(B76="",C76=""),"","PLAN-"&amp;72)</f>
        <v/>
      </c>
      <c r="D76" t="str">
        <f>IF(OR(B76="",C76=""),"",IF(C76="06 Servicios - Colocación de vaina / caño camisa","u",IF(C76="07 Hidrante - Ejecución completa","%",IFERROR(_xludf.XLOOKUP(B76&amp;"|"&amp;C76,'07_Base_Tecnica'!$AK$2:$AK$1201,'07_Base_Tecnica'!$AL$2:$AL$1201,""),""))))</f>
        <v/>
      </c>
      <c r="E76" t="str">
        <f>IF(OR(B76="",C76=""),"",IF(C76="06 Servicios - Colocación de vaina / caño camisa",MAX(0,IFERROR(_xludf.XLOOKUP(B76,'07_Base_Tecnica'!$K$5:$K$54,'07_Base_Tecnica'!$Q$5:$Q$54,0),0)-MAX(SUMIFS('05_Parte_Diario'!$H$5:$H$204,'05_Parte_Diario'!$D$5:$D$204,B76,'05_Parte_Diario'!$E$5:$E$204,"06 Servicios - Colocación de vaina / caño camisa"),COUNTIFS('06_Control_Semanal'!$B$283:$B$533,B76,'06_Control_Semanal'!$D$283:$D$533,"Colocada"))),IF(C76="07 Hidrante - Ejecución completa",MAX(0,100-SUMIFS('06_Control_Semanal'!$D$203:$D$222,'06_Control_Semanal'!$C$203:$C$222,B76)),IFERROR(_xludf.XLOOKUP(B76&amp;"|"&amp;C76,'02_Para_Programar'!$N$5:$N$304,'02_Para_Programar'!$F$5:$F$304,0),0))))</f>
        <v/>
      </c>
      <c r="G76" t="str">
        <f t="shared" si="4"/>
        <v/>
      </c>
      <c r="H76" s="5"/>
      <c r="I76" s="5"/>
      <c r="O76" t="str">
        <f>IF(OR(B76="",C76=""),"",IF(C76="07 Hidrante - Ejecución completa",IF(COUNTIF('06_Control_Semanal'!$C$203:$C$222,B76)&gt;1,"ALERTA: &gt;1 HIDRANTE",IF(E76&gt;0,"OK","SIN SALDO / NO PROGRAMAR")),IF(E76&gt;0,"OK","SIN SALDO / NO PROGRAMAR")))</f>
        <v/>
      </c>
      <c r="P76" t="str">
        <f t="shared" si="5"/>
        <v/>
      </c>
      <c r="Q76" t="str">
        <f>IF(B76="","",IFERROR(_xludf.XLOOKUP(B76,'07_Base_Tecnica'!$K$5:$K$54,'07_Base_Tecnica'!$W$5:$W$54,""),""))</f>
        <v/>
      </c>
      <c r="R76" t="str">
        <f>IF(B76="","",IFERROR(_xludf.XLOOKUP(B76,'07_Base_Tecnica'!$K$5:$K$54,'07_Base_Tecnica'!$X$5:$X$54,""),""))</f>
        <v/>
      </c>
    </row>
    <row r="77" spans="1:18">
      <c r="A77" t="str">
        <f>IF(OR(B77="",C77=""),"","PLAN-"&amp;73)</f>
        <v/>
      </c>
      <c r="D77" t="str">
        <f>IF(OR(B77="",C77=""),"",IF(C77="06 Servicios - Colocación de vaina / caño camisa","u",IF(C77="07 Hidrante - Ejecución completa","%",IFERROR(_xludf.XLOOKUP(B77&amp;"|"&amp;C77,'07_Base_Tecnica'!$AK$2:$AK$1201,'07_Base_Tecnica'!$AL$2:$AL$1201,""),""))))</f>
        <v/>
      </c>
      <c r="E77" t="str">
        <f>IF(OR(B77="",C77=""),"",IF(C77="06 Servicios - Colocación de vaina / caño camisa",MAX(0,IFERROR(_xludf.XLOOKUP(B77,'07_Base_Tecnica'!$K$5:$K$54,'07_Base_Tecnica'!$Q$5:$Q$54,0),0)-MAX(SUMIFS('05_Parte_Diario'!$H$5:$H$204,'05_Parte_Diario'!$D$5:$D$204,B77,'05_Parte_Diario'!$E$5:$E$204,"06 Servicios - Colocación de vaina / caño camisa"),COUNTIFS('06_Control_Semanal'!$B$283:$B$533,B77,'06_Control_Semanal'!$D$283:$D$533,"Colocada"))),IF(C77="07 Hidrante - Ejecución completa",MAX(0,100-SUMIFS('06_Control_Semanal'!$D$203:$D$222,'06_Control_Semanal'!$C$203:$C$222,B77)),IFERROR(_xludf.XLOOKUP(B77&amp;"|"&amp;C77,'02_Para_Programar'!$N$5:$N$304,'02_Para_Programar'!$F$5:$F$304,0),0))))</f>
        <v/>
      </c>
      <c r="G77" t="str">
        <f t="shared" si="4"/>
        <v/>
      </c>
      <c r="H77" s="5"/>
      <c r="I77" s="5"/>
      <c r="O77" t="str">
        <f>IF(OR(B77="",C77=""),"",IF(C77="07 Hidrante - Ejecución completa",IF(COUNTIF('06_Control_Semanal'!$C$203:$C$222,B77)&gt;1,"ALERTA: &gt;1 HIDRANTE",IF(E77&gt;0,"OK","SIN SALDO / NO PROGRAMAR")),IF(E77&gt;0,"OK","SIN SALDO / NO PROGRAMAR")))</f>
        <v/>
      </c>
      <c r="P77" t="str">
        <f t="shared" si="5"/>
        <v/>
      </c>
      <c r="Q77" t="str">
        <f>IF(B77="","",IFERROR(_xludf.XLOOKUP(B77,'07_Base_Tecnica'!$K$5:$K$54,'07_Base_Tecnica'!$W$5:$W$54,""),""))</f>
        <v/>
      </c>
      <c r="R77" t="str">
        <f>IF(B77="","",IFERROR(_xludf.XLOOKUP(B77,'07_Base_Tecnica'!$K$5:$K$54,'07_Base_Tecnica'!$X$5:$X$54,""),""))</f>
        <v/>
      </c>
    </row>
    <row r="78" spans="1:18">
      <c r="A78" t="str">
        <f>IF(OR(B78="",C78=""),"","PLAN-"&amp;74)</f>
        <v/>
      </c>
      <c r="D78" t="str">
        <f>IF(OR(B78="",C78=""),"",IF(C78="06 Servicios - Colocación de vaina / caño camisa","u",IF(C78="07 Hidrante - Ejecución completa","%",IFERROR(_xludf.XLOOKUP(B78&amp;"|"&amp;C78,'07_Base_Tecnica'!$AK$2:$AK$1201,'07_Base_Tecnica'!$AL$2:$AL$1201,""),""))))</f>
        <v/>
      </c>
      <c r="E78" t="str">
        <f>IF(OR(B78="",C78=""),"",IF(C78="06 Servicios - Colocación de vaina / caño camisa",MAX(0,IFERROR(_xludf.XLOOKUP(B78,'07_Base_Tecnica'!$K$5:$K$54,'07_Base_Tecnica'!$Q$5:$Q$54,0),0)-MAX(SUMIFS('05_Parte_Diario'!$H$5:$H$204,'05_Parte_Diario'!$D$5:$D$204,B78,'05_Parte_Diario'!$E$5:$E$204,"06 Servicios - Colocación de vaina / caño camisa"),COUNTIFS('06_Control_Semanal'!$B$283:$B$533,B78,'06_Control_Semanal'!$D$283:$D$533,"Colocada"))),IF(C78="07 Hidrante - Ejecución completa",MAX(0,100-SUMIFS('06_Control_Semanal'!$D$203:$D$222,'06_Control_Semanal'!$C$203:$C$222,B78)),IFERROR(_xludf.XLOOKUP(B78&amp;"|"&amp;C78,'02_Para_Programar'!$N$5:$N$304,'02_Para_Programar'!$F$5:$F$304,0),0))))</f>
        <v/>
      </c>
      <c r="G78" t="str">
        <f t="shared" si="4"/>
        <v/>
      </c>
      <c r="H78" s="5"/>
      <c r="I78" s="5"/>
      <c r="O78" t="str">
        <f>IF(OR(B78="",C78=""),"",IF(C78="07 Hidrante - Ejecución completa",IF(COUNTIF('06_Control_Semanal'!$C$203:$C$222,B78)&gt;1,"ALERTA: &gt;1 HIDRANTE",IF(E78&gt;0,"OK","SIN SALDO / NO PROGRAMAR")),IF(E78&gt;0,"OK","SIN SALDO / NO PROGRAMAR")))</f>
        <v/>
      </c>
      <c r="P78" t="str">
        <f t="shared" si="5"/>
        <v/>
      </c>
      <c r="Q78" t="str">
        <f>IF(B78="","",IFERROR(_xludf.XLOOKUP(B78,'07_Base_Tecnica'!$K$5:$K$54,'07_Base_Tecnica'!$W$5:$W$54,""),""))</f>
        <v/>
      </c>
      <c r="R78" t="str">
        <f>IF(B78="","",IFERROR(_xludf.XLOOKUP(B78,'07_Base_Tecnica'!$K$5:$K$54,'07_Base_Tecnica'!$X$5:$X$54,""),""))</f>
        <v/>
      </c>
    </row>
    <row r="79" spans="1:18">
      <c r="A79" t="str">
        <f>IF(OR(B79="",C79=""),"","PLAN-"&amp;75)</f>
        <v/>
      </c>
      <c r="D79" t="str">
        <f>IF(OR(B79="",C79=""),"",IF(C79="06 Servicios - Colocación de vaina / caño camisa","u",IF(C79="07 Hidrante - Ejecución completa","%",IFERROR(_xludf.XLOOKUP(B79&amp;"|"&amp;C79,'07_Base_Tecnica'!$AK$2:$AK$1201,'07_Base_Tecnica'!$AL$2:$AL$1201,""),""))))</f>
        <v/>
      </c>
      <c r="E79" t="str">
        <f>IF(OR(B79="",C79=""),"",IF(C79="06 Servicios - Colocación de vaina / caño camisa",MAX(0,IFERROR(_xludf.XLOOKUP(B79,'07_Base_Tecnica'!$K$5:$K$54,'07_Base_Tecnica'!$Q$5:$Q$54,0),0)-MAX(SUMIFS('05_Parte_Diario'!$H$5:$H$204,'05_Parte_Diario'!$D$5:$D$204,B79,'05_Parte_Diario'!$E$5:$E$204,"06 Servicios - Colocación de vaina / caño camisa"),COUNTIFS('06_Control_Semanal'!$B$283:$B$533,B79,'06_Control_Semanal'!$D$283:$D$533,"Colocada"))),IF(C79="07 Hidrante - Ejecución completa",MAX(0,100-SUMIFS('06_Control_Semanal'!$D$203:$D$222,'06_Control_Semanal'!$C$203:$C$222,B79)),IFERROR(_xludf.XLOOKUP(B79&amp;"|"&amp;C79,'02_Para_Programar'!$N$5:$N$304,'02_Para_Programar'!$F$5:$F$304,0),0))))</f>
        <v/>
      </c>
      <c r="G79" t="str">
        <f t="shared" si="4"/>
        <v/>
      </c>
      <c r="H79" s="5"/>
      <c r="I79" s="5"/>
      <c r="O79" t="str">
        <f>IF(OR(B79="",C79=""),"",IF(C79="07 Hidrante - Ejecución completa",IF(COUNTIF('06_Control_Semanal'!$C$203:$C$222,B79)&gt;1,"ALERTA: &gt;1 HIDRANTE",IF(E79&gt;0,"OK","SIN SALDO / NO PROGRAMAR")),IF(E79&gt;0,"OK","SIN SALDO / NO PROGRAMAR")))</f>
        <v/>
      </c>
      <c r="P79" t="str">
        <f t="shared" si="5"/>
        <v/>
      </c>
      <c r="Q79" t="str">
        <f>IF(B79="","",IFERROR(_xludf.XLOOKUP(B79,'07_Base_Tecnica'!$K$5:$K$54,'07_Base_Tecnica'!$W$5:$W$54,""),""))</f>
        <v/>
      </c>
      <c r="R79" t="str">
        <f>IF(B79="","",IFERROR(_xludf.XLOOKUP(B79,'07_Base_Tecnica'!$K$5:$K$54,'07_Base_Tecnica'!$X$5:$X$54,""),""))</f>
        <v/>
      </c>
    </row>
    <row r="80" spans="1:18">
      <c r="A80" t="str">
        <f>IF(OR(B80="",C80=""),"","PLAN-"&amp;76)</f>
        <v/>
      </c>
      <c r="D80" t="str">
        <f>IF(OR(B80="",C80=""),"",IF(C80="06 Servicios - Colocación de vaina / caño camisa","u",IF(C80="07 Hidrante - Ejecución completa","%",IFERROR(_xludf.XLOOKUP(B80&amp;"|"&amp;C80,'07_Base_Tecnica'!$AK$2:$AK$1201,'07_Base_Tecnica'!$AL$2:$AL$1201,""),""))))</f>
        <v/>
      </c>
      <c r="E80" t="str">
        <f>IF(OR(B80="",C80=""),"",IF(C80="06 Servicios - Colocación de vaina / caño camisa",MAX(0,IFERROR(_xludf.XLOOKUP(B80,'07_Base_Tecnica'!$K$5:$K$54,'07_Base_Tecnica'!$Q$5:$Q$54,0),0)-MAX(SUMIFS('05_Parte_Diario'!$H$5:$H$204,'05_Parte_Diario'!$D$5:$D$204,B80,'05_Parte_Diario'!$E$5:$E$204,"06 Servicios - Colocación de vaina / caño camisa"),COUNTIFS('06_Control_Semanal'!$B$283:$B$533,B80,'06_Control_Semanal'!$D$283:$D$533,"Colocada"))),IF(C80="07 Hidrante - Ejecución completa",MAX(0,100-SUMIFS('06_Control_Semanal'!$D$203:$D$222,'06_Control_Semanal'!$C$203:$C$222,B80)),IFERROR(_xludf.XLOOKUP(B80&amp;"|"&amp;C80,'02_Para_Programar'!$N$5:$N$304,'02_Para_Programar'!$F$5:$F$304,0),0))))</f>
        <v/>
      </c>
      <c r="G80" t="str">
        <f t="shared" si="4"/>
        <v/>
      </c>
      <c r="H80" s="5"/>
      <c r="I80" s="5"/>
      <c r="O80" t="str">
        <f>IF(OR(B80="",C80=""),"",IF(C80="07 Hidrante - Ejecución completa",IF(COUNTIF('06_Control_Semanal'!$C$203:$C$222,B80)&gt;1,"ALERTA: &gt;1 HIDRANTE",IF(E80&gt;0,"OK","SIN SALDO / NO PROGRAMAR")),IF(E80&gt;0,"OK","SIN SALDO / NO PROGRAMAR")))</f>
        <v/>
      </c>
      <c r="P80" t="str">
        <f t="shared" si="5"/>
        <v/>
      </c>
      <c r="Q80" t="str">
        <f>IF(B80="","",IFERROR(_xludf.XLOOKUP(B80,'07_Base_Tecnica'!$K$5:$K$54,'07_Base_Tecnica'!$W$5:$W$54,""),""))</f>
        <v/>
      </c>
      <c r="R80" t="str">
        <f>IF(B80="","",IFERROR(_xludf.XLOOKUP(B80,'07_Base_Tecnica'!$K$5:$K$54,'07_Base_Tecnica'!$X$5:$X$54,""),""))</f>
        <v/>
      </c>
    </row>
    <row r="81" spans="1:19">
      <c r="A81" t="str">
        <f>IF(OR(B81="",C81=""),"","PLAN-"&amp;77)</f>
        <v/>
      </c>
      <c r="D81" t="str">
        <f>IF(OR(B81="",C81=""),"",IF(C81="06 Servicios - Colocación de vaina / caño camisa","u",IF(C81="07 Hidrante - Ejecución completa","%",IFERROR(_xludf.XLOOKUP(B81&amp;"|"&amp;C81,'07_Base_Tecnica'!$AK$2:$AK$1201,'07_Base_Tecnica'!$AL$2:$AL$1201,""),""))))</f>
        <v/>
      </c>
      <c r="E81" t="str">
        <f>IF(OR(B81="",C81=""),"",IF(C81="06 Servicios - Colocación de vaina / caño camisa",MAX(0,IFERROR(_xludf.XLOOKUP(B81,'07_Base_Tecnica'!$K$5:$K$54,'07_Base_Tecnica'!$Q$5:$Q$54,0),0)-MAX(SUMIFS('05_Parte_Diario'!$H$5:$H$204,'05_Parte_Diario'!$D$5:$D$204,B81,'05_Parte_Diario'!$E$5:$E$204,"06 Servicios - Colocación de vaina / caño camisa"),COUNTIFS('06_Control_Semanal'!$B$283:$B$533,B81,'06_Control_Semanal'!$D$283:$D$533,"Colocada"))),IF(C81="07 Hidrante - Ejecución completa",MAX(0,100-SUMIFS('06_Control_Semanal'!$D$203:$D$222,'06_Control_Semanal'!$C$203:$C$222,B81)),IFERROR(_xludf.XLOOKUP(B81&amp;"|"&amp;C81,'02_Para_Programar'!$N$5:$N$304,'02_Para_Programar'!$F$5:$F$304,0),0))))</f>
        <v/>
      </c>
      <c r="G81" t="str">
        <f t="shared" si="4"/>
        <v/>
      </c>
      <c r="H81" s="5"/>
      <c r="I81" s="5"/>
      <c r="O81" t="str">
        <f>IF(OR(B81="",C81=""),"",IF(C81="07 Hidrante - Ejecución completa",IF(COUNTIF('06_Control_Semanal'!$C$203:$C$222,B81)&gt;1,"ALERTA: &gt;1 HIDRANTE",IF(E81&gt;0,"OK","SIN SALDO / NO PROGRAMAR")),IF(E81&gt;0,"OK","SIN SALDO / NO PROGRAMAR")))</f>
        <v/>
      </c>
      <c r="P81" t="str">
        <f t="shared" si="5"/>
        <v/>
      </c>
      <c r="Q81" t="str">
        <f>IF(B81="","",IFERROR(_xludf.XLOOKUP(B81,'07_Base_Tecnica'!$K$5:$K$54,'07_Base_Tecnica'!$W$5:$W$54,""),""))</f>
        <v/>
      </c>
      <c r="R81" t="str">
        <f>IF(B81="","",IFERROR(_xludf.XLOOKUP(B81,'07_Base_Tecnica'!$K$5:$K$54,'07_Base_Tecnica'!$X$5:$X$54,""),""))</f>
        <v/>
      </c>
    </row>
    <row r="82" spans="1:19">
      <c r="A82" t="str">
        <f>IF(OR(B82="",C82=""),"","PLAN-"&amp;78)</f>
        <v/>
      </c>
      <c r="D82" t="str">
        <f>IF(OR(B82="",C82=""),"",IF(C82="06 Servicios - Colocación de vaina / caño camisa","u",IF(C82="07 Hidrante - Ejecución completa","%",IFERROR(_xludf.XLOOKUP(B82&amp;"|"&amp;C82,'07_Base_Tecnica'!$AK$2:$AK$1201,'07_Base_Tecnica'!$AL$2:$AL$1201,""),""))))</f>
        <v/>
      </c>
      <c r="E82" t="str">
        <f>IF(OR(B82="",C82=""),"",IF(C82="06 Servicios - Colocación de vaina / caño camisa",MAX(0,IFERROR(_xludf.XLOOKUP(B82,'07_Base_Tecnica'!$K$5:$K$54,'07_Base_Tecnica'!$Q$5:$Q$54,0),0)-MAX(SUMIFS('05_Parte_Diario'!$H$5:$H$204,'05_Parte_Diario'!$D$5:$D$204,B82,'05_Parte_Diario'!$E$5:$E$204,"06 Servicios - Colocación de vaina / caño camisa"),COUNTIFS('06_Control_Semanal'!$B$283:$B$533,B82,'06_Control_Semanal'!$D$283:$D$533,"Colocada"))),IF(C82="07 Hidrante - Ejecución completa",MAX(0,100-SUMIFS('06_Control_Semanal'!$D$203:$D$222,'06_Control_Semanal'!$C$203:$C$222,B82)),IFERROR(_xludf.XLOOKUP(B82&amp;"|"&amp;C82,'02_Para_Programar'!$N$5:$N$304,'02_Para_Programar'!$F$5:$F$304,0),0))))</f>
        <v/>
      </c>
      <c r="G82" t="str">
        <f t="shared" si="4"/>
        <v/>
      </c>
      <c r="H82" s="5"/>
      <c r="I82" s="5"/>
      <c r="O82" t="str">
        <f>IF(OR(B82="",C82=""),"",IF(C82="07 Hidrante - Ejecución completa",IF(COUNTIF('06_Control_Semanal'!$C$203:$C$222,B82)&gt;1,"ALERTA: &gt;1 HIDRANTE",IF(E82&gt;0,"OK","SIN SALDO / NO PROGRAMAR")),IF(E82&gt;0,"OK","SIN SALDO / NO PROGRAMAR")))</f>
        <v/>
      </c>
      <c r="P82" t="str">
        <f t="shared" si="5"/>
        <v/>
      </c>
      <c r="Q82" t="str">
        <f>IF(B82="","",IFERROR(_xludf.XLOOKUP(B82,'07_Base_Tecnica'!$K$5:$K$54,'07_Base_Tecnica'!$W$5:$W$54,""),""))</f>
        <v/>
      </c>
      <c r="R82" t="str">
        <f>IF(B82="","",IFERROR(_xludf.XLOOKUP(B82,'07_Base_Tecnica'!$K$5:$K$54,'07_Base_Tecnica'!$X$5:$X$54,""),""))</f>
        <v/>
      </c>
    </row>
    <row r="83" spans="1:19">
      <c r="A83" t="str">
        <f>IF(OR(B83="",C83=""),"","PLAN-"&amp;79)</f>
        <v/>
      </c>
      <c r="D83" t="str">
        <f>IF(OR(B83="",C83=""),"",IF(C83="06 Servicios - Colocación de vaina / caño camisa","u",IF(C83="07 Hidrante - Ejecución completa","%",IFERROR(_xludf.XLOOKUP(B83&amp;"|"&amp;C83,'07_Base_Tecnica'!$AK$2:$AK$1201,'07_Base_Tecnica'!$AL$2:$AL$1201,""),""))))</f>
        <v/>
      </c>
      <c r="E83" t="str">
        <f>IF(OR(B83="",C83=""),"",IF(C83="06 Servicios - Colocación de vaina / caño camisa",MAX(0,IFERROR(_xludf.XLOOKUP(B83,'07_Base_Tecnica'!$K$5:$K$54,'07_Base_Tecnica'!$Q$5:$Q$54,0),0)-MAX(SUMIFS('05_Parte_Diario'!$H$5:$H$204,'05_Parte_Diario'!$D$5:$D$204,B83,'05_Parte_Diario'!$E$5:$E$204,"06 Servicios - Colocación de vaina / caño camisa"),COUNTIFS('06_Control_Semanal'!$B$283:$B$533,B83,'06_Control_Semanal'!$D$283:$D$533,"Colocada"))),IF(C83="07 Hidrante - Ejecución completa",MAX(0,100-SUMIFS('06_Control_Semanal'!$D$203:$D$222,'06_Control_Semanal'!$C$203:$C$222,B83)),IFERROR(_xludf.XLOOKUP(B83&amp;"|"&amp;C83,'02_Para_Programar'!$N$5:$N$304,'02_Para_Programar'!$F$5:$F$304,0),0))))</f>
        <v/>
      </c>
      <c r="G83" t="str">
        <f t="shared" si="4"/>
        <v/>
      </c>
      <c r="H83" s="5"/>
      <c r="I83" s="5"/>
      <c r="O83" t="str">
        <f>IF(OR(B83="",C83=""),"",IF(C83="07 Hidrante - Ejecución completa",IF(COUNTIF('06_Control_Semanal'!$C$203:$C$222,B83)&gt;1,"ALERTA: &gt;1 HIDRANTE",IF(E83&gt;0,"OK","SIN SALDO / NO PROGRAMAR")),IF(E83&gt;0,"OK","SIN SALDO / NO PROGRAMAR")))</f>
        <v/>
      </c>
      <c r="P83" t="str">
        <f t="shared" si="5"/>
        <v/>
      </c>
      <c r="Q83" t="str">
        <f>IF(B83="","",IFERROR(_xludf.XLOOKUP(B83,'07_Base_Tecnica'!$K$5:$K$54,'07_Base_Tecnica'!$W$5:$W$54,""),""))</f>
        <v/>
      </c>
      <c r="R83" t="str">
        <f>IF(B83="","",IFERROR(_xludf.XLOOKUP(B83,'07_Base_Tecnica'!$K$5:$K$54,'07_Base_Tecnica'!$X$5:$X$54,""),""))</f>
        <v/>
      </c>
    </row>
    <row r="84" spans="1:19">
      <c r="A84" t="str">
        <f>IF(OR(B84="",C84=""),"","PLAN-"&amp;80)</f>
        <v/>
      </c>
      <c r="D84" t="str">
        <f>IF(OR(B84="",C84=""),"",IF(C84="06 Servicios - Colocación de vaina / caño camisa","u",IF(C84="07 Hidrante - Ejecución completa","%",IFERROR(_xludf.XLOOKUP(B84&amp;"|"&amp;C84,'07_Base_Tecnica'!$AK$2:$AK$1201,'07_Base_Tecnica'!$AL$2:$AL$1201,""),""))))</f>
        <v/>
      </c>
      <c r="E84" t="str">
        <f>IF(OR(B84="",C84=""),"",IF(C84="06 Servicios - Colocación de vaina / caño camisa",MAX(0,IFERROR(_xludf.XLOOKUP(B84,'07_Base_Tecnica'!$K$5:$K$54,'07_Base_Tecnica'!$Q$5:$Q$54,0),0)-MAX(SUMIFS('05_Parte_Diario'!$H$5:$H$204,'05_Parte_Diario'!$D$5:$D$204,B84,'05_Parte_Diario'!$E$5:$E$204,"06 Servicios - Colocación de vaina / caño camisa"),COUNTIFS('06_Control_Semanal'!$B$283:$B$533,B84,'06_Control_Semanal'!$D$283:$D$533,"Colocada"))),IF(C84="07 Hidrante - Ejecución completa",MAX(0,100-SUMIFS('06_Control_Semanal'!$D$203:$D$222,'06_Control_Semanal'!$C$203:$C$222,B84)),IFERROR(_xludf.XLOOKUP(B84&amp;"|"&amp;C84,'02_Para_Programar'!$N$5:$N$304,'02_Para_Programar'!$F$5:$F$304,0),0))))</f>
        <v/>
      </c>
      <c r="G84" t="str">
        <f t="shared" si="4"/>
        <v/>
      </c>
      <c r="H84" s="5"/>
      <c r="I84" s="5"/>
      <c r="O84" t="str">
        <f>IF(OR(B84="",C84=""),"",IF(C84="07 Hidrante - Ejecución completa",IF(COUNTIF('06_Control_Semanal'!$C$203:$C$222,B84)&gt;1,"ALERTA: &gt;1 HIDRANTE",IF(E84&gt;0,"OK","SIN SALDO / NO PROGRAMAR")),IF(E84&gt;0,"OK","SIN SALDO / NO PROGRAMAR")))</f>
        <v/>
      </c>
      <c r="P84" t="str">
        <f t="shared" si="5"/>
        <v/>
      </c>
      <c r="Q84" t="str">
        <f>IF(B84="","",IFERROR(_xludf.XLOOKUP(B84,'07_Base_Tecnica'!$K$5:$K$54,'07_Base_Tecnica'!$W$5:$W$54,""),""))</f>
        <v/>
      </c>
      <c r="R84" t="str">
        <f>IF(B84="","",IFERROR(_xludf.XLOOKUP(B84,'07_Base_Tecnica'!$K$5:$K$54,'07_Base_Tecnica'!$X$5:$X$54,""),""))</f>
        <v/>
      </c>
    </row>
    <row r="91" spans="1:19" ht="19.2">
      <c r="A91" s="19" t="s">
        <v>210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 ht="14.4">
      <c r="A92" s="16" t="s">
        <v>211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8" spans="1:19" ht="30.45" customHeight="1">
      <c r="A98" s="1" t="s">
        <v>212</v>
      </c>
      <c r="B98" s="1" t="s">
        <v>199</v>
      </c>
      <c r="C98" s="1" t="s">
        <v>213</v>
      </c>
      <c r="D98" s="1" t="s">
        <v>214</v>
      </c>
      <c r="E98" s="1" t="s">
        <v>42</v>
      </c>
      <c r="F98" s="1" t="s">
        <v>43</v>
      </c>
      <c r="G98" s="1" t="s">
        <v>215</v>
      </c>
      <c r="H98" s="1" t="s">
        <v>44</v>
      </c>
      <c r="I98" s="1" t="s">
        <v>203</v>
      </c>
      <c r="J98" s="1" t="s">
        <v>204</v>
      </c>
      <c r="K98" s="1" t="s">
        <v>216</v>
      </c>
      <c r="L98" s="1" t="s">
        <v>217</v>
      </c>
      <c r="M98" s="1" t="s">
        <v>218</v>
      </c>
      <c r="N98" s="1" t="s">
        <v>55</v>
      </c>
      <c r="O98" s="1" t="s">
        <v>52</v>
      </c>
      <c r="P98" s="1" t="s">
        <v>219</v>
      </c>
      <c r="Q98" s="1" t="s">
        <v>220</v>
      </c>
      <c r="R98" s="1" t="s">
        <v>221</v>
      </c>
      <c r="S98" s="1" t="s">
        <v>222</v>
      </c>
    </row>
    <row r="99" spans="1:19">
      <c r="A99" t="str">
        <f>IF(OR(B99="",D99=""),"","PRG-"&amp;1)</f>
        <v/>
      </c>
      <c r="C99" s="5" t="str">
        <f t="shared" ref="C99:C138" si="6">IF(D99="","",D99-WEEKDAY(D99,2)+1)</f>
        <v/>
      </c>
      <c r="D99" s="5"/>
      <c r="E99" t="str">
        <f>IF(B99="","",IFERROR(_xludf.XLOOKUP(B99,$A$5:$A$84,$B$5:$B$84,""),""))</f>
        <v/>
      </c>
      <c r="F99" t="str">
        <f>IF(B99="","",IFERROR(_xludf.XLOOKUP(B99,$A$5:$A$84,$C$5:$C$84,""),""))</f>
        <v/>
      </c>
      <c r="H99" t="str">
        <f>IF(B99="","",IFERROR(_xludf.XLOOKUP(B99,$A$5:$A$84,$D$5:$D$84,""),""))</f>
        <v/>
      </c>
      <c r="N99" t="str">
        <f>IF(B99="","",IFERROR(_xludf.XLOOKUP(B99,$A$5:$A$84,$M$5:$M$84,""),""))</f>
        <v/>
      </c>
      <c r="P99" t="str">
        <f>IF(A99="","",SUMIF('05_Parte_Diario'!$C$5:$C$104,A99,'05_Parte_Diario'!$H$5:$H$104))</f>
        <v/>
      </c>
      <c r="Q99" s="6">
        <f t="shared" ref="Q99:Q138" si="7">IFERROR(P99/G99,0)</f>
        <v>0</v>
      </c>
      <c r="R99" t="str">
        <f>IF(B99="","",IFERROR(_xludf.XLOOKUP(B99,$A$5:$A$84,$E$5:$E$84,""),""))</f>
        <v/>
      </c>
      <c r="S99" t="str">
        <f t="shared" ref="S99:S138" si="8">IF(OR(B99="",G99="",R99=""),"",IF(G99&gt;R99,"REVISAR &gt; SALDO","OK"))</f>
        <v/>
      </c>
    </row>
    <row r="100" spans="1:19">
      <c r="A100" t="str">
        <f>IF(OR(B100="",D100=""),"","PRG-"&amp;2)</f>
        <v/>
      </c>
      <c r="C100" s="5" t="str">
        <f t="shared" si="6"/>
        <v/>
      </c>
      <c r="D100" s="5"/>
      <c r="E100" t="str">
        <f>IF(B100="","",IFERROR(_xludf.XLOOKUP(B100,$A$5:$A$84,$B$5:$B$84,""),""))</f>
        <v/>
      </c>
      <c r="F100" t="str">
        <f>IF(B100="","",IFERROR(_xludf.XLOOKUP(B100,$A$5:$A$84,$C$5:$C$84,""),""))</f>
        <v/>
      </c>
      <c r="H100" t="str">
        <f>IF(B100="","",IFERROR(_xludf.XLOOKUP(B100,$A$5:$A$84,$D$5:$D$84,""),""))</f>
        <v/>
      </c>
      <c r="N100" t="str">
        <f>IF(B100="","",IFERROR(_xludf.XLOOKUP(B100,$A$5:$A$84,$M$5:$M$84,""),""))</f>
        <v/>
      </c>
      <c r="P100" t="str">
        <f>IF(A100="","",SUMIF('05_Parte_Diario'!$C$5:$C$104,A100,'05_Parte_Diario'!$H$5:$H$104))</f>
        <v/>
      </c>
      <c r="Q100" s="6">
        <f t="shared" si="7"/>
        <v>0</v>
      </c>
      <c r="R100" t="str">
        <f>IF(B100="","",IFERROR(_xludf.XLOOKUP(B100,$A$5:$A$84,$E$5:$E$84,""),""))</f>
        <v/>
      </c>
      <c r="S100" t="str">
        <f t="shared" si="8"/>
        <v/>
      </c>
    </row>
    <row r="101" spans="1:19">
      <c r="A101" t="str">
        <f>IF(OR(B101="",D101=""),"","PRG-"&amp;3)</f>
        <v/>
      </c>
      <c r="C101" s="5" t="str">
        <f t="shared" si="6"/>
        <v/>
      </c>
      <c r="D101" s="5"/>
      <c r="E101" t="str">
        <f>IF(B101="","",IFERROR(_xludf.XLOOKUP(B101,$A$5:$A$84,$B$5:$B$84,""),""))</f>
        <v/>
      </c>
      <c r="F101" t="str">
        <f>IF(B101="","",IFERROR(_xludf.XLOOKUP(B101,$A$5:$A$84,$C$5:$C$84,""),""))</f>
        <v/>
      </c>
      <c r="H101" t="str">
        <f>IF(B101="","",IFERROR(_xludf.XLOOKUP(B101,$A$5:$A$84,$D$5:$D$84,""),""))</f>
        <v/>
      </c>
      <c r="N101" t="str">
        <f>IF(B101="","",IFERROR(_xludf.XLOOKUP(B101,$A$5:$A$84,$M$5:$M$84,""),""))</f>
        <v/>
      </c>
      <c r="P101" t="str">
        <f>IF(A101="","",SUMIF('05_Parte_Diario'!$C$5:$C$104,A101,'05_Parte_Diario'!$H$5:$H$104))</f>
        <v/>
      </c>
      <c r="Q101" s="6">
        <f t="shared" si="7"/>
        <v>0</v>
      </c>
      <c r="R101" t="str">
        <f>IF(B101="","",IFERROR(_xludf.XLOOKUP(B101,$A$5:$A$84,$E$5:$E$84,""),""))</f>
        <v/>
      </c>
      <c r="S101" t="str">
        <f t="shared" si="8"/>
        <v/>
      </c>
    </row>
    <row r="102" spans="1:19">
      <c r="A102" t="str">
        <f>IF(OR(B102="",D102=""),"","PRG-"&amp;4)</f>
        <v/>
      </c>
      <c r="C102" s="5" t="str">
        <f t="shared" si="6"/>
        <v/>
      </c>
      <c r="D102" s="5"/>
      <c r="E102" t="str">
        <f>IF(B102="","",IFERROR(_xludf.XLOOKUP(B102,$A$5:$A$84,$B$5:$B$84,""),""))</f>
        <v/>
      </c>
      <c r="F102" t="str">
        <f>IF(B102="","",IFERROR(_xludf.XLOOKUP(B102,$A$5:$A$84,$C$5:$C$84,""),""))</f>
        <v/>
      </c>
      <c r="H102" t="str">
        <f>IF(B102="","",IFERROR(_xludf.XLOOKUP(B102,$A$5:$A$84,$D$5:$D$84,""),""))</f>
        <v/>
      </c>
      <c r="N102" t="str">
        <f>IF(B102="","",IFERROR(_xludf.XLOOKUP(B102,$A$5:$A$84,$M$5:$M$84,""),""))</f>
        <v/>
      </c>
      <c r="P102" t="str">
        <f>IF(A102="","",SUMIF('05_Parte_Diario'!$C$5:$C$104,A102,'05_Parte_Diario'!$H$5:$H$104))</f>
        <v/>
      </c>
      <c r="Q102" s="6">
        <f t="shared" si="7"/>
        <v>0</v>
      </c>
      <c r="R102" t="str">
        <f>IF(B102="","",IFERROR(_xludf.XLOOKUP(B102,$A$5:$A$84,$E$5:$E$84,""),""))</f>
        <v/>
      </c>
      <c r="S102" t="str">
        <f t="shared" si="8"/>
        <v/>
      </c>
    </row>
    <row r="103" spans="1:19">
      <c r="A103" t="str">
        <f>IF(OR(B103="",D103=""),"","PRG-"&amp;5)</f>
        <v/>
      </c>
      <c r="C103" s="5" t="str">
        <f t="shared" si="6"/>
        <v/>
      </c>
      <c r="D103" s="5"/>
      <c r="E103" t="str">
        <f>IF(B103="","",IFERROR(_xludf.XLOOKUP(B103,$A$5:$A$84,$B$5:$B$84,""),""))</f>
        <v/>
      </c>
      <c r="F103" t="str">
        <f>IF(B103="","",IFERROR(_xludf.XLOOKUP(B103,$A$5:$A$84,$C$5:$C$84,""),""))</f>
        <v/>
      </c>
      <c r="H103" t="str">
        <f>IF(B103="","",IFERROR(_xludf.XLOOKUP(B103,$A$5:$A$84,$D$5:$D$84,""),""))</f>
        <v/>
      </c>
      <c r="N103" t="str">
        <f>IF(B103="","",IFERROR(_xludf.XLOOKUP(B103,$A$5:$A$84,$M$5:$M$84,""),""))</f>
        <v/>
      </c>
      <c r="P103" t="str">
        <f>IF(A103="","",SUMIF('05_Parte_Diario'!$C$5:$C$104,A103,'05_Parte_Diario'!$H$5:$H$104))</f>
        <v/>
      </c>
      <c r="Q103" s="6">
        <f t="shared" si="7"/>
        <v>0</v>
      </c>
      <c r="R103" t="str">
        <f>IF(B103="","",IFERROR(_xludf.XLOOKUP(B103,$A$5:$A$84,$E$5:$E$84,""),""))</f>
        <v/>
      </c>
      <c r="S103" t="str">
        <f t="shared" si="8"/>
        <v/>
      </c>
    </row>
    <row r="104" spans="1:19">
      <c r="A104" t="str">
        <f>IF(OR(B104="",D104=""),"","PRG-"&amp;6)</f>
        <v/>
      </c>
      <c r="C104" s="5" t="str">
        <f t="shared" si="6"/>
        <v/>
      </c>
      <c r="D104" s="5"/>
      <c r="E104" t="str">
        <f>IF(B104="","",IFERROR(_xludf.XLOOKUP(B104,$A$5:$A$84,$B$5:$B$84,""),""))</f>
        <v/>
      </c>
      <c r="F104" t="str">
        <f>IF(B104="","",IFERROR(_xludf.XLOOKUP(B104,$A$5:$A$84,$C$5:$C$84,""),""))</f>
        <v/>
      </c>
      <c r="H104" t="str">
        <f>IF(B104="","",IFERROR(_xludf.XLOOKUP(B104,$A$5:$A$84,$D$5:$D$84,""),""))</f>
        <v/>
      </c>
      <c r="N104" t="str">
        <f>IF(B104="","",IFERROR(_xludf.XLOOKUP(B104,$A$5:$A$84,$M$5:$M$84,""),""))</f>
        <v/>
      </c>
      <c r="P104" t="str">
        <f>IF(A104="","",SUMIF('05_Parte_Diario'!$C$5:$C$104,A104,'05_Parte_Diario'!$H$5:$H$104))</f>
        <v/>
      </c>
      <c r="Q104" s="6">
        <f t="shared" si="7"/>
        <v>0</v>
      </c>
      <c r="R104" t="str">
        <f>IF(B104="","",IFERROR(_xludf.XLOOKUP(B104,$A$5:$A$84,$E$5:$E$84,""),""))</f>
        <v/>
      </c>
      <c r="S104" t="str">
        <f t="shared" si="8"/>
        <v/>
      </c>
    </row>
    <row r="105" spans="1:19">
      <c r="A105" t="str">
        <f>IF(OR(B105="",D105=""),"","PRG-"&amp;7)</f>
        <v/>
      </c>
      <c r="C105" s="5" t="str">
        <f t="shared" si="6"/>
        <v/>
      </c>
      <c r="D105" s="5"/>
      <c r="E105" t="str">
        <f>IF(B105="","",IFERROR(_xludf.XLOOKUP(B105,$A$5:$A$84,$B$5:$B$84,""),""))</f>
        <v/>
      </c>
      <c r="F105" t="str">
        <f>IF(B105="","",IFERROR(_xludf.XLOOKUP(B105,$A$5:$A$84,$C$5:$C$84,""),""))</f>
        <v/>
      </c>
      <c r="H105" t="str">
        <f>IF(B105="","",IFERROR(_xludf.XLOOKUP(B105,$A$5:$A$84,$D$5:$D$84,""),""))</f>
        <v/>
      </c>
      <c r="N105" t="str">
        <f>IF(B105="","",IFERROR(_xludf.XLOOKUP(B105,$A$5:$A$84,$M$5:$M$84,""),""))</f>
        <v/>
      </c>
      <c r="P105" t="str">
        <f>IF(A105="","",SUMIF('05_Parte_Diario'!$C$5:$C$104,A105,'05_Parte_Diario'!$H$5:$H$104))</f>
        <v/>
      </c>
      <c r="Q105" s="6">
        <f t="shared" si="7"/>
        <v>0</v>
      </c>
      <c r="R105" t="str">
        <f>IF(B105="","",IFERROR(_xludf.XLOOKUP(B105,$A$5:$A$84,$E$5:$E$84,""),""))</f>
        <v/>
      </c>
      <c r="S105" t="str">
        <f t="shared" si="8"/>
        <v/>
      </c>
    </row>
    <row r="106" spans="1:19">
      <c r="A106" t="str">
        <f>IF(OR(B106="",D106=""),"","PRG-"&amp;8)</f>
        <v/>
      </c>
      <c r="C106" s="5" t="str">
        <f t="shared" si="6"/>
        <v/>
      </c>
      <c r="D106" s="5"/>
      <c r="E106" t="str">
        <f>IF(B106="","",IFERROR(_xludf.XLOOKUP(B106,$A$5:$A$84,$B$5:$B$84,""),""))</f>
        <v/>
      </c>
      <c r="F106" t="str">
        <f>IF(B106="","",IFERROR(_xludf.XLOOKUP(B106,$A$5:$A$84,$C$5:$C$84,""),""))</f>
        <v/>
      </c>
      <c r="H106" t="str">
        <f>IF(B106="","",IFERROR(_xludf.XLOOKUP(B106,$A$5:$A$84,$D$5:$D$84,""),""))</f>
        <v/>
      </c>
      <c r="N106" t="str">
        <f>IF(B106="","",IFERROR(_xludf.XLOOKUP(B106,$A$5:$A$84,$M$5:$M$84,""),""))</f>
        <v/>
      </c>
      <c r="P106" t="str">
        <f>IF(A106="","",SUMIF('05_Parte_Diario'!$C$5:$C$104,A106,'05_Parte_Diario'!$H$5:$H$104))</f>
        <v/>
      </c>
      <c r="Q106" s="6">
        <f t="shared" si="7"/>
        <v>0</v>
      </c>
      <c r="R106" t="str">
        <f>IF(B106="","",IFERROR(_xludf.XLOOKUP(B106,$A$5:$A$84,$E$5:$E$84,""),""))</f>
        <v/>
      </c>
      <c r="S106" t="str">
        <f t="shared" si="8"/>
        <v/>
      </c>
    </row>
    <row r="107" spans="1:19">
      <c r="A107" t="str">
        <f>IF(OR(B107="",D107=""),"","PRG-"&amp;9)</f>
        <v/>
      </c>
      <c r="C107" s="5" t="str">
        <f t="shared" si="6"/>
        <v/>
      </c>
      <c r="D107" s="5"/>
      <c r="E107" t="str">
        <f>IF(B107="","",IFERROR(_xludf.XLOOKUP(B107,$A$5:$A$84,$B$5:$B$84,""),""))</f>
        <v/>
      </c>
      <c r="F107" t="str">
        <f>IF(B107="","",IFERROR(_xludf.XLOOKUP(B107,$A$5:$A$84,$C$5:$C$84,""),""))</f>
        <v/>
      </c>
      <c r="H107" t="str">
        <f>IF(B107="","",IFERROR(_xludf.XLOOKUP(B107,$A$5:$A$84,$D$5:$D$84,""),""))</f>
        <v/>
      </c>
      <c r="N107" t="str">
        <f>IF(B107="","",IFERROR(_xludf.XLOOKUP(B107,$A$5:$A$84,$M$5:$M$84,""),""))</f>
        <v/>
      </c>
      <c r="P107" t="str">
        <f>IF(A107="","",SUMIF('05_Parte_Diario'!$C$5:$C$104,A107,'05_Parte_Diario'!$H$5:$H$104))</f>
        <v/>
      </c>
      <c r="Q107" s="6">
        <f t="shared" si="7"/>
        <v>0</v>
      </c>
      <c r="R107" t="str">
        <f>IF(B107="","",IFERROR(_xludf.XLOOKUP(B107,$A$5:$A$84,$E$5:$E$84,""),""))</f>
        <v/>
      </c>
      <c r="S107" t="str">
        <f t="shared" si="8"/>
        <v/>
      </c>
    </row>
    <row r="108" spans="1:19">
      <c r="A108" t="str">
        <f>IF(OR(B108="",D108=""),"","PRG-"&amp;10)</f>
        <v/>
      </c>
      <c r="C108" s="5" t="str">
        <f t="shared" si="6"/>
        <v/>
      </c>
      <c r="D108" s="5"/>
      <c r="E108" t="str">
        <f>IF(B108="","",IFERROR(_xludf.XLOOKUP(B108,$A$5:$A$84,$B$5:$B$84,""),""))</f>
        <v/>
      </c>
      <c r="F108" t="str">
        <f>IF(B108="","",IFERROR(_xludf.XLOOKUP(B108,$A$5:$A$84,$C$5:$C$84,""),""))</f>
        <v/>
      </c>
      <c r="H108" t="str">
        <f>IF(B108="","",IFERROR(_xludf.XLOOKUP(B108,$A$5:$A$84,$D$5:$D$84,""),""))</f>
        <v/>
      </c>
      <c r="N108" t="str">
        <f>IF(B108="","",IFERROR(_xludf.XLOOKUP(B108,$A$5:$A$84,$M$5:$M$84,""),""))</f>
        <v/>
      </c>
      <c r="P108" t="str">
        <f>IF(A108="","",SUMIF('05_Parte_Diario'!$C$5:$C$104,A108,'05_Parte_Diario'!$H$5:$H$104))</f>
        <v/>
      </c>
      <c r="Q108" s="6">
        <f t="shared" si="7"/>
        <v>0</v>
      </c>
      <c r="R108" t="str">
        <f>IF(B108="","",IFERROR(_xludf.XLOOKUP(B108,$A$5:$A$84,$E$5:$E$84,""),""))</f>
        <v/>
      </c>
      <c r="S108" t="str">
        <f t="shared" si="8"/>
        <v/>
      </c>
    </row>
    <row r="109" spans="1:19">
      <c r="A109" t="str">
        <f>IF(OR(B109="",D109=""),"","PRG-"&amp;11)</f>
        <v/>
      </c>
      <c r="C109" s="5" t="str">
        <f t="shared" si="6"/>
        <v/>
      </c>
      <c r="D109" s="5"/>
      <c r="E109" t="str">
        <f>IF(B109="","",IFERROR(_xludf.XLOOKUP(B109,$A$5:$A$84,$B$5:$B$84,""),""))</f>
        <v/>
      </c>
      <c r="F109" t="str">
        <f>IF(B109="","",IFERROR(_xludf.XLOOKUP(B109,$A$5:$A$84,$C$5:$C$84,""),""))</f>
        <v/>
      </c>
      <c r="H109" t="str">
        <f>IF(B109="","",IFERROR(_xludf.XLOOKUP(B109,$A$5:$A$84,$D$5:$D$84,""),""))</f>
        <v/>
      </c>
      <c r="N109" t="str">
        <f>IF(B109="","",IFERROR(_xludf.XLOOKUP(B109,$A$5:$A$84,$M$5:$M$84,""),""))</f>
        <v/>
      </c>
      <c r="P109" t="str">
        <f>IF(A109="","",SUMIF('05_Parte_Diario'!$C$5:$C$104,A109,'05_Parte_Diario'!$H$5:$H$104))</f>
        <v/>
      </c>
      <c r="Q109" s="6">
        <f t="shared" si="7"/>
        <v>0</v>
      </c>
      <c r="R109" t="str">
        <f>IF(B109="","",IFERROR(_xludf.XLOOKUP(B109,$A$5:$A$84,$E$5:$E$84,""),""))</f>
        <v/>
      </c>
      <c r="S109" t="str">
        <f t="shared" si="8"/>
        <v/>
      </c>
    </row>
    <row r="110" spans="1:19">
      <c r="A110" t="str">
        <f>IF(OR(B110="",D110=""),"","PRG-"&amp;12)</f>
        <v/>
      </c>
      <c r="C110" s="5" t="str">
        <f t="shared" si="6"/>
        <v/>
      </c>
      <c r="D110" s="5"/>
      <c r="E110" t="str">
        <f>IF(B110="","",IFERROR(_xludf.XLOOKUP(B110,$A$5:$A$84,$B$5:$B$84,""),""))</f>
        <v/>
      </c>
      <c r="F110" t="str">
        <f>IF(B110="","",IFERROR(_xludf.XLOOKUP(B110,$A$5:$A$84,$C$5:$C$84,""),""))</f>
        <v/>
      </c>
      <c r="H110" t="str">
        <f>IF(B110="","",IFERROR(_xludf.XLOOKUP(B110,$A$5:$A$84,$D$5:$D$84,""),""))</f>
        <v/>
      </c>
      <c r="N110" t="str">
        <f>IF(B110="","",IFERROR(_xludf.XLOOKUP(B110,$A$5:$A$84,$M$5:$M$84,""),""))</f>
        <v/>
      </c>
      <c r="P110" t="str">
        <f>IF(A110="","",SUMIF('05_Parte_Diario'!$C$5:$C$104,A110,'05_Parte_Diario'!$H$5:$H$104))</f>
        <v/>
      </c>
      <c r="Q110" s="6">
        <f t="shared" si="7"/>
        <v>0</v>
      </c>
      <c r="R110" t="str">
        <f>IF(B110="","",IFERROR(_xludf.XLOOKUP(B110,$A$5:$A$84,$E$5:$E$84,""),""))</f>
        <v/>
      </c>
      <c r="S110" t="str">
        <f t="shared" si="8"/>
        <v/>
      </c>
    </row>
    <row r="111" spans="1:19">
      <c r="A111" t="str">
        <f>IF(OR(B111="",D111=""),"","PRG-"&amp;13)</f>
        <v/>
      </c>
      <c r="C111" s="5" t="str">
        <f t="shared" si="6"/>
        <v/>
      </c>
      <c r="D111" s="5"/>
      <c r="E111" t="str">
        <f>IF(B111="","",IFERROR(_xludf.XLOOKUP(B111,$A$5:$A$84,$B$5:$B$84,""),""))</f>
        <v/>
      </c>
      <c r="F111" t="str">
        <f>IF(B111="","",IFERROR(_xludf.XLOOKUP(B111,$A$5:$A$84,$C$5:$C$84,""),""))</f>
        <v/>
      </c>
      <c r="H111" t="str">
        <f>IF(B111="","",IFERROR(_xludf.XLOOKUP(B111,$A$5:$A$84,$D$5:$D$84,""),""))</f>
        <v/>
      </c>
      <c r="N111" t="str">
        <f>IF(B111="","",IFERROR(_xludf.XLOOKUP(B111,$A$5:$A$84,$M$5:$M$84,""),""))</f>
        <v/>
      </c>
      <c r="P111" t="str">
        <f>IF(A111="","",SUMIF('05_Parte_Diario'!$C$5:$C$104,A111,'05_Parte_Diario'!$H$5:$H$104))</f>
        <v/>
      </c>
      <c r="Q111" s="6">
        <f t="shared" si="7"/>
        <v>0</v>
      </c>
      <c r="R111" t="str">
        <f>IF(B111="","",IFERROR(_xludf.XLOOKUP(B111,$A$5:$A$84,$E$5:$E$84,""),""))</f>
        <v/>
      </c>
      <c r="S111" t="str">
        <f t="shared" si="8"/>
        <v/>
      </c>
    </row>
    <row r="112" spans="1:19">
      <c r="A112" t="str">
        <f>IF(OR(B112="",D112=""),"","PRG-"&amp;14)</f>
        <v/>
      </c>
      <c r="C112" s="5" t="str">
        <f t="shared" si="6"/>
        <v/>
      </c>
      <c r="D112" s="5"/>
      <c r="E112" t="str">
        <f>IF(B112="","",IFERROR(_xludf.XLOOKUP(B112,$A$5:$A$84,$B$5:$B$84,""),""))</f>
        <v/>
      </c>
      <c r="F112" t="str">
        <f>IF(B112="","",IFERROR(_xludf.XLOOKUP(B112,$A$5:$A$84,$C$5:$C$84,""),""))</f>
        <v/>
      </c>
      <c r="H112" t="str">
        <f>IF(B112="","",IFERROR(_xludf.XLOOKUP(B112,$A$5:$A$84,$D$5:$D$84,""),""))</f>
        <v/>
      </c>
      <c r="N112" t="str">
        <f>IF(B112="","",IFERROR(_xludf.XLOOKUP(B112,$A$5:$A$84,$M$5:$M$84,""),""))</f>
        <v/>
      </c>
      <c r="P112" t="str">
        <f>IF(A112="","",SUMIF('05_Parte_Diario'!$C$5:$C$104,A112,'05_Parte_Diario'!$H$5:$H$104))</f>
        <v/>
      </c>
      <c r="Q112" s="6">
        <f t="shared" si="7"/>
        <v>0</v>
      </c>
      <c r="R112" t="str">
        <f>IF(B112="","",IFERROR(_xludf.XLOOKUP(B112,$A$5:$A$84,$E$5:$E$84,""),""))</f>
        <v/>
      </c>
      <c r="S112" t="str">
        <f t="shared" si="8"/>
        <v/>
      </c>
    </row>
    <row r="113" spans="1:19">
      <c r="A113" t="str">
        <f>IF(OR(B113="",D113=""),"","PRG-"&amp;15)</f>
        <v/>
      </c>
      <c r="C113" s="5" t="str">
        <f t="shared" si="6"/>
        <v/>
      </c>
      <c r="D113" s="5"/>
      <c r="E113" t="str">
        <f>IF(B113="","",IFERROR(_xludf.XLOOKUP(B113,$A$5:$A$84,$B$5:$B$84,""),""))</f>
        <v/>
      </c>
      <c r="F113" t="str">
        <f>IF(B113="","",IFERROR(_xludf.XLOOKUP(B113,$A$5:$A$84,$C$5:$C$84,""),""))</f>
        <v/>
      </c>
      <c r="H113" t="str">
        <f>IF(B113="","",IFERROR(_xludf.XLOOKUP(B113,$A$5:$A$84,$D$5:$D$84,""),""))</f>
        <v/>
      </c>
      <c r="N113" t="str">
        <f>IF(B113="","",IFERROR(_xludf.XLOOKUP(B113,$A$5:$A$84,$M$5:$M$84,""),""))</f>
        <v/>
      </c>
      <c r="P113" t="str">
        <f>IF(A113="","",SUMIF('05_Parte_Diario'!$C$5:$C$104,A113,'05_Parte_Diario'!$H$5:$H$104))</f>
        <v/>
      </c>
      <c r="Q113" s="6">
        <f t="shared" si="7"/>
        <v>0</v>
      </c>
      <c r="R113" t="str">
        <f>IF(B113="","",IFERROR(_xludf.XLOOKUP(B113,$A$5:$A$84,$E$5:$E$84,""),""))</f>
        <v/>
      </c>
      <c r="S113" t="str">
        <f t="shared" si="8"/>
        <v/>
      </c>
    </row>
    <row r="114" spans="1:19">
      <c r="A114" t="str">
        <f>IF(OR(B114="",D114=""),"","PRG-"&amp;16)</f>
        <v/>
      </c>
      <c r="C114" s="5" t="str">
        <f t="shared" si="6"/>
        <v/>
      </c>
      <c r="D114" s="5"/>
      <c r="E114" t="str">
        <f>IF(B114="","",IFERROR(_xludf.XLOOKUP(B114,$A$5:$A$84,$B$5:$B$84,""),""))</f>
        <v/>
      </c>
      <c r="F114" t="str">
        <f>IF(B114="","",IFERROR(_xludf.XLOOKUP(B114,$A$5:$A$84,$C$5:$C$84,""),""))</f>
        <v/>
      </c>
      <c r="H114" t="str">
        <f>IF(B114="","",IFERROR(_xludf.XLOOKUP(B114,$A$5:$A$84,$D$5:$D$84,""),""))</f>
        <v/>
      </c>
      <c r="N114" t="str">
        <f>IF(B114="","",IFERROR(_xludf.XLOOKUP(B114,$A$5:$A$84,$M$5:$M$84,""),""))</f>
        <v/>
      </c>
      <c r="P114" t="str">
        <f>IF(A114="","",SUMIF('05_Parte_Diario'!$C$5:$C$104,A114,'05_Parte_Diario'!$H$5:$H$104))</f>
        <v/>
      </c>
      <c r="Q114" s="6">
        <f t="shared" si="7"/>
        <v>0</v>
      </c>
      <c r="R114" t="str">
        <f>IF(B114="","",IFERROR(_xludf.XLOOKUP(B114,$A$5:$A$84,$E$5:$E$84,""),""))</f>
        <v/>
      </c>
      <c r="S114" t="str">
        <f t="shared" si="8"/>
        <v/>
      </c>
    </row>
    <row r="115" spans="1:19">
      <c r="A115" t="str">
        <f>IF(OR(B115="",D115=""),"","PRG-"&amp;17)</f>
        <v/>
      </c>
      <c r="C115" s="5" t="str">
        <f t="shared" si="6"/>
        <v/>
      </c>
      <c r="D115" s="5"/>
      <c r="E115" t="str">
        <f>IF(B115="","",IFERROR(_xludf.XLOOKUP(B115,$A$5:$A$84,$B$5:$B$84,""),""))</f>
        <v/>
      </c>
      <c r="F115" t="str">
        <f>IF(B115="","",IFERROR(_xludf.XLOOKUP(B115,$A$5:$A$84,$C$5:$C$84,""),""))</f>
        <v/>
      </c>
      <c r="H115" t="str">
        <f>IF(B115="","",IFERROR(_xludf.XLOOKUP(B115,$A$5:$A$84,$D$5:$D$84,""),""))</f>
        <v/>
      </c>
      <c r="N115" t="str">
        <f>IF(B115="","",IFERROR(_xludf.XLOOKUP(B115,$A$5:$A$84,$M$5:$M$84,""),""))</f>
        <v/>
      </c>
      <c r="P115" t="str">
        <f>IF(A115="","",SUMIF('05_Parte_Diario'!$C$5:$C$104,A115,'05_Parte_Diario'!$H$5:$H$104))</f>
        <v/>
      </c>
      <c r="Q115" s="6">
        <f t="shared" si="7"/>
        <v>0</v>
      </c>
      <c r="R115" t="str">
        <f>IF(B115="","",IFERROR(_xludf.XLOOKUP(B115,$A$5:$A$84,$E$5:$E$84,""),""))</f>
        <v/>
      </c>
      <c r="S115" t="str">
        <f t="shared" si="8"/>
        <v/>
      </c>
    </row>
    <row r="116" spans="1:19">
      <c r="A116" t="str">
        <f>IF(OR(B116="",D116=""),"","PRG-"&amp;18)</f>
        <v/>
      </c>
      <c r="C116" s="5" t="str">
        <f t="shared" si="6"/>
        <v/>
      </c>
      <c r="D116" s="5"/>
      <c r="E116" t="str">
        <f>IF(B116="","",IFERROR(_xludf.XLOOKUP(B116,$A$5:$A$84,$B$5:$B$84,""),""))</f>
        <v/>
      </c>
      <c r="F116" t="str">
        <f>IF(B116="","",IFERROR(_xludf.XLOOKUP(B116,$A$5:$A$84,$C$5:$C$84,""),""))</f>
        <v/>
      </c>
      <c r="H116" t="str">
        <f>IF(B116="","",IFERROR(_xludf.XLOOKUP(B116,$A$5:$A$84,$D$5:$D$84,""),""))</f>
        <v/>
      </c>
      <c r="N116" t="str">
        <f>IF(B116="","",IFERROR(_xludf.XLOOKUP(B116,$A$5:$A$84,$M$5:$M$84,""),""))</f>
        <v/>
      </c>
      <c r="P116" t="str">
        <f>IF(A116="","",SUMIF('05_Parte_Diario'!$C$5:$C$104,A116,'05_Parte_Diario'!$H$5:$H$104))</f>
        <v/>
      </c>
      <c r="Q116" s="6">
        <f t="shared" si="7"/>
        <v>0</v>
      </c>
      <c r="R116" t="str">
        <f>IF(B116="","",IFERROR(_xludf.XLOOKUP(B116,$A$5:$A$84,$E$5:$E$84,""),""))</f>
        <v/>
      </c>
      <c r="S116" t="str">
        <f t="shared" si="8"/>
        <v/>
      </c>
    </row>
    <row r="117" spans="1:19">
      <c r="A117" t="str">
        <f>IF(OR(B117="",D117=""),"","PRG-"&amp;19)</f>
        <v/>
      </c>
      <c r="C117" s="5" t="str">
        <f t="shared" si="6"/>
        <v/>
      </c>
      <c r="D117" s="5"/>
      <c r="E117" t="str">
        <f>IF(B117="","",IFERROR(_xludf.XLOOKUP(B117,$A$5:$A$84,$B$5:$B$84,""),""))</f>
        <v/>
      </c>
      <c r="F117" t="str">
        <f>IF(B117="","",IFERROR(_xludf.XLOOKUP(B117,$A$5:$A$84,$C$5:$C$84,""),""))</f>
        <v/>
      </c>
      <c r="H117" t="str">
        <f>IF(B117="","",IFERROR(_xludf.XLOOKUP(B117,$A$5:$A$84,$D$5:$D$84,""),""))</f>
        <v/>
      </c>
      <c r="N117" t="str">
        <f>IF(B117="","",IFERROR(_xludf.XLOOKUP(B117,$A$5:$A$84,$M$5:$M$84,""),""))</f>
        <v/>
      </c>
      <c r="P117" t="str">
        <f>IF(A117="","",SUMIF('05_Parte_Diario'!$C$5:$C$104,A117,'05_Parte_Diario'!$H$5:$H$104))</f>
        <v/>
      </c>
      <c r="Q117" s="6">
        <f t="shared" si="7"/>
        <v>0</v>
      </c>
      <c r="R117" t="str">
        <f>IF(B117="","",IFERROR(_xludf.XLOOKUP(B117,$A$5:$A$84,$E$5:$E$84,""),""))</f>
        <v/>
      </c>
      <c r="S117" t="str">
        <f t="shared" si="8"/>
        <v/>
      </c>
    </row>
    <row r="118" spans="1:19">
      <c r="A118" t="str">
        <f>IF(OR(B118="",D118=""),"","PRG-"&amp;20)</f>
        <v/>
      </c>
      <c r="C118" s="5" t="str">
        <f t="shared" si="6"/>
        <v/>
      </c>
      <c r="D118" s="5"/>
      <c r="E118" t="str">
        <f>IF(B118="","",IFERROR(_xludf.XLOOKUP(B118,$A$5:$A$84,$B$5:$B$84,""),""))</f>
        <v/>
      </c>
      <c r="F118" t="str">
        <f>IF(B118="","",IFERROR(_xludf.XLOOKUP(B118,$A$5:$A$84,$C$5:$C$84,""),""))</f>
        <v/>
      </c>
      <c r="H118" t="str">
        <f>IF(B118="","",IFERROR(_xludf.XLOOKUP(B118,$A$5:$A$84,$D$5:$D$84,""),""))</f>
        <v/>
      </c>
      <c r="N118" t="str">
        <f>IF(B118="","",IFERROR(_xludf.XLOOKUP(B118,$A$5:$A$84,$M$5:$M$84,""),""))</f>
        <v/>
      </c>
      <c r="P118" t="str">
        <f>IF(A118="","",SUMIF('05_Parte_Diario'!$C$5:$C$104,A118,'05_Parte_Diario'!$H$5:$H$104))</f>
        <v/>
      </c>
      <c r="Q118" s="6">
        <f t="shared" si="7"/>
        <v>0</v>
      </c>
      <c r="R118" t="str">
        <f>IF(B118="","",IFERROR(_xludf.XLOOKUP(B118,$A$5:$A$84,$E$5:$E$84,""),""))</f>
        <v/>
      </c>
      <c r="S118" t="str">
        <f t="shared" si="8"/>
        <v/>
      </c>
    </row>
    <row r="119" spans="1:19">
      <c r="A119" t="str">
        <f>IF(OR(B119="",D119=""),"","PRG-"&amp;21)</f>
        <v/>
      </c>
      <c r="C119" s="5" t="str">
        <f t="shared" si="6"/>
        <v/>
      </c>
      <c r="D119" s="5"/>
      <c r="E119" t="str">
        <f>IF(B119="","",IFERROR(_xludf.XLOOKUP(B119,$A$5:$A$84,$B$5:$B$84,""),""))</f>
        <v/>
      </c>
      <c r="F119" t="str">
        <f>IF(B119="","",IFERROR(_xludf.XLOOKUP(B119,$A$5:$A$84,$C$5:$C$84,""),""))</f>
        <v/>
      </c>
      <c r="H119" t="str">
        <f>IF(B119="","",IFERROR(_xludf.XLOOKUP(B119,$A$5:$A$84,$D$5:$D$84,""),""))</f>
        <v/>
      </c>
      <c r="N119" t="str">
        <f>IF(B119="","",IFERROR(_xludf.XLOOKUP(B119,$A$5:$A$84,$M$5:$M$84,""),""))</f>
        <v/>
      </c>
      <c r="P119" t="str">
        <f>IF(A119="","",SUMIF('05_Parte_Diario'!$C$5:$C$104,A119,'05_Parte_Diario'!$H$5:$H$104))</f>
        <v/>
      </c>
      <c r="Q119" s="6">
        <f t="shared" si="7"/>
        <v>0</v>
      </c>
      <c r="R119" t="str">
        <f>IF(B119="","",IFERROR(_xludf.XLOOKUP(B119,$A$5:$A$84,$E$5:$E$84,""),""))</f>
        <v/>
      </c>
      <c r="S119" t="str">
        <f t="shared" si="8"/>
        <v/>
      </c>
    </row>
    <row r="120" spans="1:19">
      <c r="A120" t="str">
        <f>IF(OR(B120="",D120=""),"","PRG-"&amp;22)</f>
        <v/>
      </c>
      <c r="C120" s="5" t="str">
        <f t="shared" si="6"/>
        <v/>
      </c>
      <c r="D120" s="5"/>
      <c r="E120" t="str">
        <f>IF(B120="","",IFERROR(_xludf.XLOOKUP(B120,$A$5:$A$84,$B$5:$B$84,""),""))</f>
        <v/>
      </c>
      <c r="F120" t="str">
        <f>IF(B120="","",IFERROR(_xludf.XLOOKUP(B120,$A$5:$A$84,$C$5:$C$84,""),""))</f>
        <v/>
      </c>
      <c r="H120" t="str">
        <f>IF(B120="","",IFERROR(_xludf.XLOOKUP(B120,$A$5:$A$84,$D$5:$D$84,""),""))</f>
        <v/>
      </c>
      <c r="N120" t="str">
        <f>IF(B120="","",IFERROR(_xludf.XLOOKUP(B120,$A$5:$A$84,$M$5:$M$84,""),""))</f>
        <v/>
      </c>
      <c r="P120" t="str">
        <f>IF(A120="","",SUMIF('05_Parte_Diario'!$C$5:$C$104,A120,'05_Parte_Diario'!$H$5:$H$104))</f>
        <v/>
      </c>
      <c r="Q120" s="6">
        <f t="shared" si="7"/>
        <v>0</v>
      </c>
      <c r="R120" t="str">
        <f>IF(B120="","",IFERROR(_xludf.XLOOKUP(B120,$A$5:$A$84,$E$5:$E$84,""),""))</f>
        <v/>
      </c>
      <c r="S120" t="str">
        <f t="shared" si="8"/>
        <v/>
      </c>
    </row>
    <row r="121" spans="1:19">
      <c r="A121" t="str">
        <f>IF(OR(B121="",D121=""),"","PRG-"&amp;23)</f>
        <v/>
      </c>
      <c r="C121" s="5" t="str">
        <f t="shared" si="6"/>
        <v/>
      </c>
      <c r="D121" s="5"/>
      <c r="E121" t="str">
        <f>IF(B121="","",IFERROR(_xludf.XLOOKUP(B121,$A$5:$A$84,$B$5:$B$84,""),""))</f>
        <v/>
      </c>
      <c r="F121" t="str">
        <f>IF(B121="","",IFERROR(_xludf.XLOOKUP(B121,$A$5:$A$84,$C$5:$C$84,""),""))</f>
        <v/>
      </c>
      <c r="H121" t="str">
        <f>IF(B121="","",IFERROR(_xludf.XLOOKUP(B121,$A$5:$A$84,$D$5:$D$84,""),""))</f>
        <v/>
      </c>
      <c r="N121" t="str">
        <f>IF(B121="","",IFERROR(_xludf.XLOOKUP(B121,$A$5:$A$84,$M$5:$M$84,""),""))</f>
        <v/>
      </c>
      <c r="P121" t="str">
        <f>IF(A121="","",SUMIF('05_Parte_Diario'!$C$5:$C$104,A121,'05_Parte_Diario'!$H$5:$H$104))</f>
        <v/>
      </c>
      <c r="Q121" s="6">
        <f t="shared" si="7"/>
        <v>0</v>
      </c>
      <c r="R121" t="str">
        <f>IF(B121="","",IFERROR(_xludf.XLOOKUP(B121,$A$5:$A$84,$E$5:$E$84,""),""))</f>
        <v/>
      </c>
      <c r="S121" t="str">
        <f t="shared" si="8"/>
        <v/>
      </c>
    </row>
    <row r="122" spans="1:19">
      <c r="A122" t="str">
        <f>IF(OR(B122="",D122=""),"","PRG-"&amp;24)</f>
        <v/>
      </c>
      <c r="C122" s="5" t="str">
        <f t="shared" si="6"/>
        <v/>
      </c>
      <c r="D122" s="5"/>
      <c r="E122" t="str">
        <f>IF(B122="","",IFERROR(_xludf.XLOOKUP(B122,$A$5:$A$84,$B$5:$B$84,""),""))</f>
        <v/>
      </c>
      <c r="F122" t="str">
        <f>IF(B122="","",IFERROR(_xludf.XLOOKUP(B122,$A$5:$A$84,$C$5:$C$84,""),""))</f>
        <v/>
      </c>
      <c r="H122" t="str">
        <f>IF(B122="","",IFERROR(_xludf.XLOOKUP(B122,$A$5:$A$84,$D$5:$D$84,""),""))</f>
        <v/>
      </c>
      <c r="N122" t="str">
        <f>IF(B122="","",IFERROR(_xludf.XLOOKUP(B122,$A$5:$A$84,$M$5:$M$84,""),""))</f>
        <v/>
      </c>
      <c r="P122" t="str">
        <f>IF(A122="","",SUMIF('05_Parte_Diario'!$C$5:$C$104,A122,'05_Parte_Diario'!$H$5:$H$104))</f>
        <v/>
      </c>
      <c r="Q122" s="6">
        <f t="shared" si="7"/>
        <v>0</v>
      </c>
      <c r="R122" t="str">
        <f>IF(B122="","",IFERROR(_xludf.XLOOKUP(B122,$A$5:$A$84,$E$5:$E$84,""),""))</f>
        <v/>
      </c>
      <c r="S122" t="str">
        <f t="shared" si="8"/>
        <v/>
      </c>
    </row>
    <row r="123" spans="1:19">
      <c r="A123" t="str">
        <f>IF(OR(B123="",D123=""),"","PRG-"&amp;25)</f>
        <v/>
      </c>
      <c r="C123" s="5" t="str">
        <f t="shared" si="6"/>
        <v/>
      </c>
      <c r="D123" s="5"/>
      <c r="E123" t="str">
        <f>IF(B123="","",IFERROR(_xludf.XLOOKUP(B123,$A$5:$A$84,$B$5:$B$84,""),""))</f>
        <v/>
      </c>
      <c r="F123" t="str">
        <f>IF(B123="","",IFERROR(_xludf.XLOOKUP(B123,$A$5:$A$84,$C$5:$C$84,""),""))</f>
        <v/>
      </c>
      <c r="H123" t="str">
        <f>IF(B123="","",IFERROR(_xludf.XLOOKUP(B123,$A$5:$A$84,$D$5:$D$84,""),""))</f>
        <v/>
      </c>
      <c r="N123" t="str">
        <f>IF(B123="","",IFERROR(_xludf.XLOOKUP(B123,$A$5:$A$84,$M$5:$M$84,""),""))</f>
        <v/>
      </c>
      <c r="P123" t="str">
        <f>IF(A123="","",SUMIF('05_Parte_Diario'!$C$5:$C$104,A123,'05_Parte_Diario'!$H$5:$H$104))</f>
        <v/>
      </c>
      <c r="Q123" s="6">
        <f t="shared" si="7"/>
        <v>0</v>
      </c>
      <c r="R123" t="str">
        <f>IF(B123="","",IFERROR(_xludf.XLOOKUP(B123,$A$5:$A$84,$E$5:$E$84,""),""))</f>
        <v/>
      </c>
      <c r="S123" t="str">
        <f t="shared" si="8"/>
        <v/>
      </c>
    </row>
    <row r="124" spans="1:19">
      <c r="A124" t="str">
        <f>IF(OR(B124="",D124=""),"","PRG-"&amp;26)</f>
        <v/>
      </c>
      <c r="C124" s="5" t="str">
        <f t="shared" si="6"/>
        <v/>
      </c>
      <c r="D124" s="5"/>
      <c r="E124" t="str">
        <f>IF(B124="","",IFERROR(_xludf.XLOOKUP(B124,$A$5:$A$84,$B$5:$B$84,""),""))</f>
        <v/>
      </c>
      <c r="F124" t="str">
        <f>IF(B124="","",IFERROR(_xludf.XLOOKUP(B124,$A$5:$A$84,$C$5:$C$84,""),""))</f>
        <v/>
      </c>
      <c r="H124" t="str">
        <f>IF(B124="","",IFERROR(_xludf.XLOOKUP(B124,$A$5:$A$84,$D$5:$D$84,""),""))</f>
        <v/>
      </c>
      <c r="N124" t="str">
        <f>IF(B124="","",IFERROR(_xludf.XLOOKUP(B124,$A$5:$A$84,$M$5:$M$84,""),""))</f>
        <v/>
      </c>
      <c r="P124" t="str">
        <f>IF(A124="","",SUMIF('05_Parte_Diario'!$C$5:$C$104,A124,'05_Parte_Diario'!$H$5:$H$104))</f>
        <v/>
      </c>
      <c r="Q124" s="6">
        <f t="shared" si="7"/>
        <v>0</v>
      </c>
      <c r="R124" t="str">
        <f>IF(B124="","",IFERROR(_xludf.XLOOKUP(B124,$A$5:$A$84,$E$5:$E$84,""),""))</f>
        <v/>
      </c>
      <c r="S124" t="str">
        <f t="shared" si="8"/>
        <v/>
      </c>
    </row>
    <row r="125" spans="1:19">
      <c r="A125" t="str">
        <f>IF(OR(B125="",D125=""),"","PRG-"&amp;27)</f>
        <v/>
      </c>
      <c r="C125" s="5" t="str">
        <f t="shared" si="6"/>
        <v/>
      </c>
      <c r="D125" s="5"/>
      <c r="E125" t="str">
        <f>IF(B125="","",IFERROR(_xludf.XLOOKUP(B125,$A$5:$A$84,$B$5:$B$84,""),""))</f>
        <v/>
      </c>
      <c r="F125" t="str">
        <f>IF(B125="","",IFERROR(_xludf.XLOOKUP(B125,$A$5:$A$84,$C$5:$C$84,""),""))</f>
        <v/>
      </c>
      <c r="H125" t="str">
        <f>IF(B125="","",IFERROR(_xludf.XLOOKUP(B125,$A$5:$A$84,$D$5:$D$84,""),""))</f>
        <v/>
      </c>
      <c r="N125" t="str">
        <f>IF(B125="","",IFERROR(_xludf.XLOOKUP(B125,$A$5:$A$84,$M$5:$M$84,""),""))</f>
        <v/>
      </c>
      <c r="P125" t="str">
        <f>IF(A125="","",SUMIF('05_Parte_Diario'!$C$5:$C$104,A125,'05_Parte_Diario'!$H$5:$H$104))</f>
        <v/>
      </c>
      <c r="Q125" s="6">
        <f t="shared" si="7"/>
        <v>0</v>
      </c>
      <c r="R125" t="str">
        <f>IF(B125="","",IFERROR(_xludf.XLOOKUP(B125,$A$5:$A$84,$E$5:$E$84,""),""))</f>
        <v/>
      </c>
      <c r="S125" t="str">
        <f t="shared" si="8"/>
        <v/>
      </c>
    </row>
    <row r="126" spans="1:19">
      <c r="A126" t="str">
        <f>IF(OR(B126="",D126=""),"","PRG-"&amp;28)</f>
        <v/>
      </c>
      <c r="C126" s="5" t="str">
        <f t="shared" si="6"/>
        <v/>
      </c>
      <c r="D126" s="5"/>
      <c r="E126" t="str">
        <f>IF(B126="","",IFERROR(_xludf.XLOOKUP(B126,$A$5:$A$84,$B$5:$B$84,""),""))</f>
        <v/>
      </c>
      <c r="F126" t="str">
        <f>IF(B126="","",IFERROR(_xludf.XLOOKUP(B126,$A$5:$A$84,$C$5:$C$84,""),""))</f>
        <v/>
      </c>
      <c r="H126" t="str">
        <f>IF(B126="","",IFERROR(_xludf.XLOOKUP(B126,$A$5:$A$84,$D$5:$D$84,""),""))</f>
        <v/>
      </c>
      <c r="N126" t="str">
        <f>IF(B126="","",IFERROR(_xludf.XLOOKUP(B126,$A$5:$A$84,$M$5:$M$84,""),""))</f>
        <v/>
      </c>
      <c r="P126" t="str">
        <f>IF(A126="","",SUMIF('05_Parte_Diario'!$C$5:$C$104,A126,'05_Parte_Diario'!$H$5:$H$104))</f>
        <v/>
      </c>
      <c r="Q126" s="6">
        <f t="shared" si="7"/>
        <v>0</v>
      </c>
      <c r="R126" t="str">
        <f>IF(B126="","",IFERROR(_xludf.XLOOKUP(B126,$A$5:$A$84,$E$5:$E$84,""),""))</f>
        <v/>
      </c>
      <c r="S126" t="str">
        <f t="shared" si="8"/>
        <v/>
      </c>
    </row>
    <row r="127" spans="1:19">
      <c r="A127" t="str">
        <f>IF(OR(B127="",D127=""),"","PRG-"&amp;29)</f>
        <v/>
      </c>
      <c r="C127" s="5" t="str">
        <f t="shared" si="6"/>
        <v/>
      </c>
      <c r="D127" s="5"/>
      <c r="E127" t="str">
        <f>IF(B127="","",IFERROR(_xludf.XLOOKUP(B127,$A$5:$A$84,$B$5:$B$84,""),""))</f>
        <v/>
      </c>
      <c r="F127" t="str">
        <f>IF(B127="","",IFERROR(_xludf.XLOOKUP(B127,$A$5:$A$84,$C$5:$C$84,""),""))</f>
        <v/>
      </c>
      <c r="H127" t="str">
        <f>IF(B127="","",IFERROR(_xludf.XLOOKUP(B127,$A$5:$A$84,$D$5:$D$84,""),""))</f>
        <v/>
      </c>
      <c r="N127" t="str">
        <f>IF(B127="","",IFERROR(_xludf.XLOOKUP(B127,$A$5:$A$84,$M$5:$M$84,""),""))</f>
        <v/>
      </c>
      <c r="P127" t="str">
        <f>IF(A127="","",SUMIF('05_Parte_Diario'!$C$5:$C$104,A127,'05_Parte_Diario'!$H$5:$H$104))</f>
        <v/>
      </c>
      <c r="Q127" s="6">
        <f t="shared" si="7"/>
        <v>0</v>
      </c>
      <c r="R127" t="str">
        <f>IF(B127="","",IFERROR(_xludf.XLOOKUP(B127,$A$5:$A$84,$E$5:$E$84,""),""))</f>
        <v/>
      </c>
      <c r="S127" t="str">
        <f t="shared" si="8"/>
        <v/>
      </c>
    </row>
    <row r="128" spans="1:19">
      <c r="A128" t="str">
        <f>IF(OR(B128="",D128=""),"","PRG-"&amp;30)</f>
        <v/>
      </c>
      <c r="C128" s="5" t="str">
        <f t="shared" si="6"/>
        <v/>
      </c>
      <c r="D128" s="5"/>
      <c r="E128" t="str">
        <f>IF(B128="","",IFERROR(_xludf.XLOOKUP(B128,$A$5:$A$84,$B$5:$B$84,""),""))</f>
        <v/>
      </c>
      <c r="F128" t="str">
        <f>IF(B128="","",IFERROR(_xludf.XLOOKUP(B128,$A$5:$A$84,$C$5:$C$84,""),""))</f>
        <v/>
      </c>
      <c r="H128" t="str">
        <f>IF(B128="","",IFERROR(_xludf.XLOOKUP(B128,$A$5:$A$84,$D$5:$D$84,""),""))</f>
        <v/>
      </c>
      <c r="N128" t="str">
        <f>IF(B128="","",IFERROR(_xludf.XLOOKUP(B128,$A$5:$A$84,$M$5:$M$84,""),""))</f>
        <v/>
      </c>
      <c r="P128" t="str">
        <f>IF(A128="","",SUMIF('05_Parte_Diario'!$C$5:$C$104,A128,'05_Parte_Diario'!$H$5:$H$104))</f>
        <v/>
      </c>
      <c r="Q128" s="6">
        <f t="shared" si="7"/>
        <v>0</v>
      </c>
      <c r="R128" t="str">
        <f>IF(B128="","",IFERROR(_xludf.XLOOKUP(B128,$A$5:$A$84,$E$5:$E$84,""),""))</f>
        <v/>
      </c>
      <c r="S128" t="str">
        <f t="shared" si="8"/>
        <v/>
      </c>
    </row>
    <row r="129" spans="1:19">
      <c r="A129" t="str">
        <f>IF(OR(B129="",D129=""),"","PRG-"&amp;31)</f>
        <v/>
      </c>
      <c r="C129" s="5" t="str">
        <f t="shared" si="6"/>
        <v/>
      </c>
      <c r="D129" s="5"/>
      <c r="E129" t="str">
        <f>IF(B129="","",IFERROR(_xludf.XLOOKUP(B129,$A$5:$A$84,$B$5:$B$84,""),""))</f>
        <v/>
      </c>
      <c r="F129" t="str">
        <f>IF(B129="","",IFERROR(_xludf.XLOOKUP(B129,$A$5:$A$84,$C$5:$C$84,""),""))</f>
        <v/>
      </c>
      <c r="H129" t="str">
        <f>IF(B129="","",IFERROR(_xludf.XLOOKUP(B129,$A$5:$A$84,$D$5:$D$84,""),""))</f>
        <v/>
      </c>
      <c r="N129" t="str">
        <f>IF(B129="","",IFERROR(_xludf.XLOOKUP(B129,$A$5:$A$84,$M$5:$M$84,""),""))</f>
        <v/>
      </c>
      <c r="P129" t="str">
        <f>IF(A129="","",SUMIF('05_Parte_Diario'!$C$5:$C$104,A129,'05_Parte_Diario'!$H$5:$H$104))</f>
        <v/>
      </c>
      <c r="Q129" s="6">
        <f t="shared" si="7"/>
        <v>0</v>
      </c>
      <c r="R129" t="str">
        <f>IF(B129="","",IFERROR(_xludf.XLOOKUP(B129,$A$5:$A$84,$E$5:$E$84,""),""))</f>
        <v/>
      </c>
      <c r="S129" t="str">
        <f t="shared" si="8"/>
        <v/>
      </c>
    </row>
    <row r="130" spans="1:19">
      <c r="A130" t="str">
        <f>IF(OR(B130="",D130=""),"","PRG-"&amp;32)</f>
        <v/>
      </c>
      <c r="C130" s="5" t="str">
        <f t="shared" si="6"/>
        <v/>
      </c>
      <c r="D130" s="5"/>
      <c r="E130" t="str">
        <f>IF(B130="","",IFERROR(_xludf.XLOOKUP(B130,$A$5:$A$84,$B$5:$B$84,""),""))</f>
        <v/>
      </c>
      <c r="F130" t="str">
        <f>IF(B130="","",IFERROR(_xludf.XLOOKUP(B130,$A$5:$A$84,$C$5:$C$84,""),""))</f>
        <v/>
      </c>
      <c r="H130" t="str">
        <f>IF(B130="","",IFERROR(_xludf.XLOOKUP(B130,$A$5:$A$84,$D$5:$D$84,""),""))</f>
        <v/>
      </c>
      <c r="N130" t="str">
        <f>IF(B130="","",IFERROR(_xludf.XLOOKUP(B130,$A$5:$A$84,$M$5:$M$84,""),""))</f>
        <v/>
      </c>
      <c r="P130" t="str">
        <f>IF(A130="","",SUMIF('05_Parte_Diario'!$C$5:$C$104,A130,'05_Parte_Diario'!$H$5:$H$104))</f>
        <v/>
      </c>
      <c r="Q130" s="6">
        <f t="shared" si="7"/>
        <v>0</v>
      </c>
      <c r="R130" t="str">
        <f>IF(B130="","",IFERROR(_xludf.XLOOKUP(B130,$A$5:$A$84,$E$5:$E$84,""),""))</f>
        <v/>
      </c>
      <c r="S130" t="str">
        <f t="shared" si="8"/>
        <v/>
      </c>
    </row>
    <row r="131" spans="1:19">
      <c r="A131" t="str">
        <f>IF(OR(B131="",D131=""),"","PRG-"&amp;33)</f>
        <v/>
      </c>
      <c r="C131" s="5" t="str">
        <f t="shared" si="6"/>
        <v/>
      </c>
      <c r="D131" s="5"/>
      <c r="E131" t="str">
        <f>IF(B131="","",IFERROR(_xludf.XLOOKUP(B131,$A$5:$A$84,$B$5:$B$84,""),""))</f>
        <v/>
      </c>
      <c r="F131" t="str">
        <f>IF(B131="","",IFERROR(_xludf.XLOOKUP(B131,$A$5:$A$84,$C$5:$C$84,""),""))</f>
        <v/>
      </c>
      <c r="H131" t="str">
        <f>IF(B131="","",IFERROR(_xludf.XLOOKUP(B131,$A$5:$A$84,$D$5:$D$84,""),""))</f>
        <v/>
      </c>
      <c r="N131" t="str">
        <f>IF(B131="","",IFERROR(_xludf.XLOOKUP(B131,$A$5:$A$84,$M$5:$M$84,""),""))</f>
        <v/>
      </c>
      <c r="P131" t="str">
        <f>IF(A131="","",SUMIF('05_Parte_Diario'!$C$5:$C$104,A131,'05_Parte_Diario'!$H$5:$H$104))</f>
        <v/>
      </c>
      <c r="Q131" s="6">
        <f t="shared" si="7"/>
        <v>0</v>
      </c>
      <c r="R131" t="str">
        <f>IF(B131="","",IFERROR(_xludf.XLOOKUP(B131,$A$5:$A$84,$E$5:$E$84,""),""))</f>
        <v/>
      </c>
      <c r="S131" t="str">
        <f t="shared" si="8"/>
        <v/>
      </c>
    </row>
    <row r="132" spans="1:19">
      <c r="A132" t="str">
        <f>IF(OR(B132="",D132=""),"","PRG-"&amp;34)</f>
        <v/>
      </c>
      <c r="C132" s="5" t="str">
        <f t="shared" si="6"/>
        <v/>
      </c>
      <c r="D132" s="5"/>
      <c r="E132" t="str">
        <f>IF(B132="","",IFERROR(_xludf.XLOOKUP(B132,$A$5:$A$84,$B$5:$B$84,""),""))</f>
        <v/>
      </c>
      <c r="F132" t="str">
        <f>IF(B132="","",IFERROR(_xludf.XLOOKUP(B132,$A$5:$A$84,$C$5:$C$84,""),""))</f>
        <v/>
      </c>
      <c r="H132" t="str">
        <f>IF(B132="","",IFERROR(_xludf.XLOOKUP(B132,$A$5:$A$84,$D$5:$D$84,""),""))</f>
        <v/>
      </c>
      <c r="N132" t="str">
        <f>IF(B132="","",IFERROR(_xludf.XLOOKUP(B132,$A$5:$A$84,$M$5:$M$84,""),""))</f>
        <v/>
      </c>
      <c r="P132" t="str">
        <f>IF(A132="","",SUMIF('05_Parte_Diario'!$C$5:$C$104,A132,'05_Parte_Diario'!$H$5:$H$104))</f>
        <v/>
      </c>
      <c r="Q132" s="6">
        <f t="shared" si="7"/>
        <v>0</v>
      </c>
      <c r="R132" t="str">
        <f>IF(B132="","",IFERROR(_xludf.XLOOKUP(B132,$A$5:$A$84,$E$5:$E$84,""),""))</f>
        <v/>
      </c>
      <c r="S132" t="str">
        <f t="shared" si="8"/>
        <v/>
      </c>
    </row>
    <row r="133" spans="1:19">
      <c r="A133" t="str">
        <f>IF(OR(B133="",D133=""),"","PRG-"&amp;35)</f>
        <v/>
      </c>
      <c r="C133" s="5" t="str">
        <f t="shared" si="6"/>
        <v/>
      </c>
      <c r="D133" s="5"/>
      <c r="E133" t="str">
        <f>IF(B133="","",IFERROR(_xludf.XLOOKUP(B133,$A$5:$A$84,$B$5:$B$84,""),""))</f>
        <v/>
      </c>
      <c r="F133" t="str">
        <f>IF(B133="","",IFERROR(_xludf.XLOOKUP(B133,$A$5:$A$84,$C$5:$C$84,""),""))</f>
        <v/>
      </c>
      <c r="H133" t="str">
        <f>IF(B133="","",IFERROR(_xludf.XLOOKUP(B133,$A$5:$A$84,$D$5:$D$84,""),""))</f>
        <v/>
      </c>
      <c r="N133" t="str">
        <f>IF(B133="","",IFERROR(_xludf.XLOOKUP(B133,$A$5:$A$84,$M$5:$M$84,""),""))</f>
        <v/>
      </c>
      <c r="P133" t="str">
        <f>IF(A133="","",SUMIF('05_Parte_Diario'!$C$5:$C$104,A133,'05_Parte_Diario'!$H$5:$H$104))</f>
        <v/>
      </c>
      <c r="Q133" s="6">
        <f t="shared" si="7"/>
        <v>0</v>
      </c>
      <c r="R133" t="str">
        <f>IF(B133="","",IFERROR(_xludf.XLOOKUP(B133,$A$5:$A$84,$E$5:$E$84,""),""))</f>
        <v/>
      </c>
      <c r="S133" t="str">
        <f t="shared" si="8"/>
        <v/>
      </c>
    </row>
    <row r="134" spans="1:19">
      <c r="A134" t="str">
        <f>IF(OR(B134="",D134=""),"","PRG-"&amp;36)</f>
        <v/>
      </c>
      <c r="C134" s="5" t="str">
        <f t="shared" si="6"/>
        <v/>
      </c>
      <c r="D134" s="5"/>
      <c r="E134" t="str">
        <f>IF(B134="","",IFERROR(_xludf.XLOOKUP(B134,$A$5:$A$84,$B$5:$B$84,""),""))</f>
        <v/>
      </c>
      <c r="F134" t="str">
        <f>IF(B134="","",IFERROR(_xludf.XLOOKUP(B134,$A$5:$A$84,$C$5:$C$84,""),""))</f>
        <v/>
      </c>
      <c r="H134" t="str">
        <f>IF(B134="","",IFERROR(_xludf.XLOOKUP(B134,$A$5:$A$84,$D$5:$D$84,""),""))</f>
        <v/>
      </c>
      <c r="N134" t="str">
        <f>IF(B134="","",IFERROR(_xludf.XLOOKUP(B134,$A$5:$A$84,$M$5:$M$84,""),""))</f>
        <v/>
      </c>
      <c r="P134" t="str">
        <f>IF(A134="","",SUMIF('05_Parte_Diario'!$C$5:$C$104,A134,'05_Parte_Diario'!$H$5:$H$104))</f>
        <v/>
      </c>
      <c r="Q134" s="6">
        <f t="shared" si="7"/>
        <v>0</v>
      </c>
      <c r="R134" t="str">
        <f>IF(B134="","",IFERROR(_xludf.XLOOKUP(B134,$A$5:$A$84,$E$5:$E$84,""),""))</f>
        <v/>
      </c>
      <c r="S134" t="str">
        <f t="shared" si="8"/>
        <v/>
      </c>
    </row>
    <row r="135" spans="1:19">
      <c r="A135" t="str">
        <f>IF(OR(B135="",D135=""),"","PRG-"&amp;37)</f>
        <v/>
      </c>
      <c r="C135" s="5" t="str">
        <f t="shared" si="6"/>
        <v/>
      </c>
      <c r="D135" s="5"/>
      <c r="E135" t="str">
        <f>IF(B135="","",IFERROR(_xludf.XLOOKUP(B135,$A$5:$A$84,$B$5:$B$84,""),""))</f>
        <v/>
      </c>
      <c r="F135" t="str">
        <f>IF(B135="","",IFERROR(_xludf.XLOOKUP(B135,$A$5:$A$84,$C$5:$C$84,""),""))</f>
        <v/>
      </c>
      <c r="H135" t="str">
        <f>IF(B135="","",IFERROR(_xludf.XLOOKUP(B135,$A$5:$A$84,$D$5:$D$84,""),""))</f>
        <v/>
      </c>
      <c r="N135" t="str">
        <f>IF(B135="","",IFERROR(_xludf.XLOOKUP(B135,$A$5:$A$84,$M$5:$M$84,""),""))</f>
        <v/>
      </c>
      <c r="P135" t="str">
        <f>IF(A135="","",SUMIF('05_Parte_Diario'!$C$5:$C$104,A135,'05_Parte_Diario'!$H$5:$H$104))</f>
        <v/>
      </c>
      <c r="Q135" s="6">
        <f t="shared" si="7"/>
        <v>0</v>
      </c>
      <c r="R135" t="str">
        <f>IF(B135="","",IFERROR(_xludf.XLOOKUP(B135,$A$5:$A$84,$E$5:$E$84,""),""))</f>
        <v/>
      </c>
      <c r="S135" t="str">
        <f t="shared" si="8"/>
        <v/>
      </c>
    </row>
    <row r="136" spans="1:19">
      <c r="A136" t="str">
        <f>IF(OR(B136="",D136=""),"","PRG-"&amp;38)</f>
        <v/>
      </c>
      <c r="C136" s="5" t="str">
        <f t="shared" si="6"/>
        <v/>
      </c>
      <c r="D136" s="5"/>
      <c r="E136" t="str">
        <f>IF(B136="","",IFERROR(_xludf.XLOOKUP(B136,$A$5:$A$84,$B$5:$B$84,""),""))</f>
        <v/>
      </c>
      <c r="F136" t="str">
        <f>IF(B136="","",IFERROR(_xludf.XLOOKUP(B136,$A$5:$A$84,$C$5:$C$84,""),""))</f>
        <v/>
      </c>
      <c r="H136" t="str">
        <f>IF(B136="","",IFERROR(_xludf.XLOOKUP(B136,$A$5:$A$84,$D$5:$D$84,""),""))</f>
        <v/>
      </c>
      <c r="N136" t="str">
        <f>IF(B136="","",IFERROR(_xludf.XLOOKUP(B136,$A$5:$A$84,$M$5:$M$84,""),""))</f>
        <v/>
      </c>
      <c r="P136" t="str">
        <f>IF(A136="","",SUMIF('05_Parte_Diario'!$C$5:$C$104,A136,'05_Parte_Diario'!$H$5:$H$104))</f>
        <v/>
      </c>
      <c r="Q136" s="6">
        <f t="shared" si="7"/>
        <v>0</v>
      </c>
      <c r="R136" t="str">
        <f>IF(B136="","",IFERROR(_xludf.XLOOKUP(B136,$A$5:$A$84,$E$5:$E$84,""),""))</f>
        <v/>
      </c>
      <c r="S136" t="str">
        <f t="shared" si="8"/>
        <v/>
      </c>
    </row>
    <row r="137" spans="1:19">
      <c r="A137" t="str">
        <f>IF(OR(B137="",D137=""),"","PRG-"&amp;39)</f>
        <v/>
      </c>
      <c r="C137" s="5" t="str">
        <f t="shared" si="6"/>
        <v/>
      </c>
      <c r="D137" s="5"/>
      <c r="E137" t="str">
        <f>IF(B137="","",IFERROR(_xludf.XLOOKUP(B137,$A$5:$A$84,$B$5:$B$84,""),""))</f>
        <v/>
      </c>
      <c r="F137" t="str">
        <f>IF(B137="","",IFERROR(_xludf.XLOOKUP(B137,$A$5:$A$84,$C$5:$C$84,""),""))</f>
        <v/>
      </c>
      <c r="H137" t="str">
        <f>IF(B137="","",IFERROR(_xludf.XLOOKUP(B137,$A$5:$A$84,$D$5:$D$84,""),""))</f>
        <v/>
      </c>
      <c r="N137" t="str">
        <f>IF(B137="","",IFERROR(_xludf.XLOOKUP(B137,$A$5:$A$84,$M$5:$M$84,""),""))</f>
        <v/>
      </c>
      <c r="P137" t="str">
        <f>IF(A137="","",SUMIF('05_Parte_Diario'!$C$5:$C$104,A137,'05_Parte_Diario'!$H$5:$H$104))</f>
        <v/>
      </c>
      <c r="Q137" s="6">
        <f t="shared" si="7"/>
        <v>0</v>
      </c>
      <c r="R137" t="str">
        <f>IF(B137="","",IFERROR(_xludf.XLOOKUP(B137,$A$5:$A$84,$E$5:$E$84,""),""))</f>
        <v/>
      </c>
      <c r="S137" t="str">
        <f t="shared" si="8"/>
        <v/>
      </c>
    </row>
    <row r="138" spans="1:19">
      <c r="A138" t="str">
        <f>IF(OR(B138="",D138=""),"","PRG-"&amp;40)</f>
        <v/>
      </c>
      <c r="C138" s="5" t="str">
        <f t="shared" si="6"/>
        <v/>
      </c>
      <c r="D138" s="5"/>
      <c r="E138" t="str">
        <f>IF(B138="","",IFERROR(_xludf.XLOOKUP(B138,$A$5:$A$84,$B$5:$B$84,""),""))</f>
        <v/>
      </c>
      <c r="F138" t="str">
        <f>IF(B138="","",IFERROR(_xludf.XLOOKUP(B138,$A$5:$A$84,$C$5:$C$84,""),""))</f>
        <v/>
      </c>
      <c r="H138" t="str">
        <f>IF(B138="","",IFERROR(_xludf.XLOOKUP(B138,$A$5:$A$84,$D$5:$D$84,""),""))</f>
        <v/>
      </c>
      <c r="N138" t="str">
        <f>IF(B138="","",IFERROR(_xludf.XLOOKUP(B138,$A$5:$A$84,$M$5:$M$84,""),""))</f>
        <v/>
      </c>
      <c r="P138" t="str">
        <f>IF(A138="","",SUMIF('05_Parte_Diario'!$C$5:$C$104,A138,'05_Parte_Diario'!$H$5:$H$104))</f>
        <v/>
      </c>
      <c r="Q138" s="6">
        <f t="shared" si="7"/>
        <v>0</v>
      </c>
      <c r="R138" t="str">
        <f>IF(B138="","",IFERROR(_xludf.XLOOKUP(B138,$A$5:$A$84,$E$5:$E$84,""),""))</f>
        <v/>
      </c>
      <c r="S138" t="str">
        <f t="shared" si="8"/>
        <v/>
      </c>
    </row>
    <row r="139" spans="1:19">
      <c r="C139" s="5"/>
      <c r="D139" s="5"/>
      <c r="Q139" s="6"/>
    </row>
    <row r="140" spans="1:19">
      <c r="A140" t="s">
        <v>223</v>
      </c>
      <c r="C140" s="5"/>
      <c r="D140" s="5"/>
      <c r="Q140" s="6"/>
    </row>
    <row r="141" spans="1:19">
      <c r="C141" s="5"/>
      <c r="D141" s="5"/>
      <c r="Q141" s="6"/>
    </row>
    <row r="142" spans="1:19">
      <c r="C142" s="5"/>
      <c r="D142" s="5"/>
      <c r="Q142" s="6"/>
    </row>
    <row r="143" spans="1:19">
      <c r="C143" s="5"/>
      <c r="D143" s="5"/>
      <c r="Q143" s="6"/>
    </row>
    <row r="144" spans="1:19">
      <c r="C144" s="5"/>
      <c r="D144" s="5"/>
      <c r="Q144" s="6"/>
    </row>
    <row r="145" spans="3:17">
      <c r="C145" s="5"/>
      <c r="D145" s="5"/>
      <c r="Q145" s="6"/>
    </row>
    <row r="146" spans="3:17">
      <c r="C146" s="5"/>
      <c r="D146" s="5"/>
      <c r="Q146" s="6"/>
    </row>
    <row r="147" spans="3:17">
      <c r="C147" s="5"/>
      <c r="D147" s="5"/>
      <c r="Q147" s="6"/>
    </row>
    <row r="148" spans="3:17">
      <c r="C148" s="5"/>
      <c r="D148" s="5"/>
      <c r="Q148" s="6"/>
    </row>
    <row r="149" spans="3:17">
      <c r="C149" s="5"/>
      <c r="D149" s="5"/>
      <c r="Q149" s="6"/>
    </row>
    <row r="150" spans="3:17">
      <c r="C150" s="5"/>
      <c r="D150" s="5"/>
      <c r="Q150" s="6"/>
    </row>
    <row r="151" spans="3:17">
      <c r="C151" s="5"/>
      <c r="D151" s="5"/>
      <c r="Q151" s="6"/>
    </row>
    <row r="152" spans="3:17">
      <c r="C152" s="5"/>
      <c r="D152" s="5"/>
      <c r="Q152" s="6"/>
    </row>
    <row r="153" spans="3:17">
      <c r="C153" s="5"/>
      <c r="D153" s="5"/>
      <c r="Q153" s="6"/>
    </row>
    <row r="154" spans="3:17">
      <c r="C154" s="5"/>
      <c r="D154" s="5"/>
      <c r="Q154" s="6"/>
    </row>
    <row r="155" spans="3:17">
      <c r="C155" s="5"/>
      <c r="D155" s="5"/>
      <c r="Q155" s="6"/>
    </row>
    <row r="156" spans="3:17">
      <c r="C156" s="5"/>
      <c r="D156" s="5"/>
      <c r="Q156" s="6"/>
    </row>
    <row r="157" spans="3:17">
      <c r="C157" s="5"/>
      <c r="D157" s="5"/>
      <c r="Q157" s="6"/>
    </row>
    <row r="158" spans="3:17">
      <c r="C158" s="5"/>
      <c r="D158" s="5"/>
      <c r="Q158" s="6"/>
    </row>
    <row r="159" spans="3:17">
      <c r="C159" s="5"/>
      <c r="D159" s="5"/>
      <c r="Q159" s="6"/>
    </row>
    <row r="160" spans="3:17">
      <c r="C160" s="5"/>
      <c r="D160" s="5"/>
      <c r="Q160" s="6"/>
    </row>
    <row r="161" spans="3:17">
      <c r="C161" s="5"/>
      <c r="D161" s="5"/>
      <c r="Q161" s="6"/>
    </row>
    <row r="162" spans="3:17">
      <c r="C162" s="5"/>
      <c r="D162" s="5"/>
      <c r="Q162" s="6"/>
    </row>
    <row r="163" spans="3:17">
      <c r="C163" s="5"/>
      <c r="D163" s="5"/>
      <c r="Q163" s="6"/>
    </row>
    <row r="164" spans="3:17">
      <c r="C164" s="5"/>
      <c r="D164" s="5"/>
      <c r="Q164" s="6"/>
    </row>
    <row r="165" spans="3:17">
      <c r="C165" s="5"/>
      <c r="D165" s="5"/>
      <c r="Q165" s="6"/>
    </row>
    <row r="166" spans="3:17">
      <c r="C166" s="5"/>
      <c r="D166" s="5"/>
      <c r="Q166" s="6"/>
    </row>
    <row r="167" spans="3:17">
      <c r="C167" s="5"/>
      <c r="D167" s="5"/>
      <c r="Q167" s="6"/>
    </row>
    <row r="168" spans="3:17">
      <c r="C168" s="5"/>
      <c r="D168" s="5"/>
      <c r="Q168" s="6"/>
    </row>
    <row r="169" spans="3:17">
      <c r="C169" s="5"/>
      <c r="D169" s="5"/>
      <c r="Q169" s="6"/>
    </row>
    <row r="170" spans="3:17">
      <c r="C170" s="5"/>
      <c r="D170" s="5"/>
      <c r="Q170" s="6"/>
    </row>
    <row r="171" spans="3:17">
      <c r="C171" s="5"/>
      <c r="D171" s="5"/>
      <c r="Q171" s="6"/>
    </row>
    <row r="172" spans="3:17">
      <c r="C172" s="5"/>
      <c r="D172" s="5"/>
      <c r="Q172" s="6"/>
    </row>
    <row r="173" spans="3:17">
      <c r="C173" s="5"/>
      <c r="D173" s="5"/>
      <c r="Q173" s="6"/>
    </row>
    <row r="174" spans="3:17">
      <c r="C174" s="5"/>
      <c r="D174" s="5"/>
      <c r="Q174" s="6"/>
    </row>
    <row r="175" spans="3:17">
      <c r="C175" s="5"/>
      <c r="D175" s="5"/>
      <c r="Q175" s="6"/>
    </row>
    <row r="176" spans="3:17">
      <c r="C176" s="5"/>
      <c r="D176" s="5"/>
      <c r="Q176" s="6"/>
    </row>
    <row r="177" spans="3:17">
      <c r="C177" s="5"/>
      <c r="D177" s="5"/>
      <c r="Q177" s="6"/>
    </row>
    <row r="178" spans="3:17">
      <c r="C178" s="5"/>
      <c r="D178" s="5"/>
      <c r="Q178" s="6"/>
    </row>
  </sheetData>
  <mergeCells count="4">
    <mergeCell ref="A1:R1"/>
    <mergeCell ref="A2:R2"/>
    <mergeCell ref="A91:S91"/>
    <mergeCell ref="A92:S92"/>
  </mergeCells>
  <conditionalFormatting sqref="O5:O84">
    <cfRule type="expression" dxfId="13" priority="1">
      <formula>O5="OK"</formula>
    </cfRule>
    <cfRule type="expression" dxfId="12" priority="2">
      <formula>LEFT(O5,6)="ALERTA"</formula>
    </cfRule>
    <cfRule type="expression" dxfId="11" priority="3">
      <formula>O5="SIN SALDO / NO PROGRAMAR"</formula>
    </cfRule>
  </conditionalFormatting>
  <conditionalFormatting sqref="S99:S138">
    <cfRule type="containsText" dxfId="10" priority="4" operator="containsText" text="REVISAR &gt; SALDO"/>
  </conditionalFormatting>
  <dataValidations count="4">
    <dataValidation type="list" sqref="N5:N84 O99:O178" xr:uid="{00000000-0002-0000-0300-000000000000}">
      <formula1>"No iniciada,Programada,En curso,Bloqueada,Terminada,Reprogramada"</formula1>
    </dataValidation>
    <dataValidation type="list" sqref="B5:B84" xr:uid="{00000000-0002-0000-0300-000002000000}">
      <formula1>$AA$2:$AA$51</formula1>
    </dataValidation>
    <dataValidation type="list" sqref="C5:C84" xr:uid="{00000000-0002-0000-0300-000003000000}">
      <formula1>OFFSET($AC$2,0,MATCH(B5,$AC$1:$BZ$1,0)-1,26,1)</formula1>
    </dataValidation>
    <dataValidation type="list" sqref="B99:B138" xr:uid="{00000000-0002-0000-0300-000004000000}">
      <formula1>$A$5:$A$84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4"/>
  <sheetViews>
    <sheetView workbookViewId="0">
      <selection sqref="A1:P1"/>
    </sheetView>
  </sheetViews>
  <sheetFormatPr baseColWidth="10" defaultColWidth="8.796875" defaultRowHeight="13.8"/>
  <cols>
    <col min="1" max="3" width="13" customWidth="1"/>
    <col min="4" max="4" width="18" customWidth="1"/>
    <col min="5" max="5" width="48" customWidth="1"/>
    <col min="6" max="7" width="13" customWidth="1"/>
    <col min="8" max="8" width="18" customWidth="1"/>
    <col min="9" max="9" width="14" customWidth="1"/>
    <col min="10" max="10" width="18" customWidth="1"/>
    <col min="11" max="11" width="28" customWidth="1"/>
    <col min="12" max="13" width="12" customWidth="1"/>
    <col min="14" max="14" width="32" customWidth="1"/>
    <col min="15" max="15" width="16" customWidth="1"/>
    <col min="16" max="16" width="28" customWidth="1"/>
  </cols>
  <sheetData>
    <row r="1" spans="1:16" ht="22.35" customHeight="1">
      <c r="A1" s="15" t="s">
        <v>224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7.15" customHeight="1">
      <c r="A2" s="16" t="s">
        <v>225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 ht="30.45" customHeight="1">
      <c r="A4" s="1" t="s">
        <v>226</v>
      </c>
      <c r="B4" s="1" t="s">
        <v>214</v>
      </c>
      <c r="C4" s="1" t="s">
        <v>212</v>
      </c>
      <c r="D4" s="1" t="s">
        <v>42</v>
      </c>
      <c r="E4" s="1" t="s">
        <v>43</v>
      </c>
      <c r="F4" s="1" t="s">
        <v>227</v>
      </c>
      <c r="G4" s="1" t="s">
        <v>44</v>
      </c>
      <c r="H4" s="1" t="s">
        <v>55</v>
      </c>
      <c r="I4" s="1" t="s">
        <v>205</v>
      </c>
      <c r="J4" s="1" t="s">
        <v>206</v>
      </c>
      <c r="K4" s="1" t="s">
        <v>228</v>
      </c>
      <c r="L4" s="1" t="s">
        <v>203</v>
      </c>
      <c r="M4" s="1" t="s">
        <v>204</v>
      </c>
      <c r="N4" s="1" t="s">
        <v>229</v>
      </c>
      <c r="O4" s="1" t="s">
        <v>230</v>
      </c>
      <c r="P4" s="1" t="s">
        <v>231</v>
      </c>
    </row>
    <row r="5" spans="1:16">
      <c r="A5" t="str">
        <f>IF(C5="","","ODT-"&amp;1)</f>
        <v/>
      </c>
      <c r="B5" s="5" t="str">
        <f>IF(C5="","",IFERROR(_xludf.XLOOKUP(C5,'03_Planificacion'!$A$99:$A$138,'03_Planificacion'!$D$99:$D$138,""),""))</f>
        <v/>
      </c>
      <c r="D5" t="str">
        <f>IF(C5="","",IFERROR(_xludf.XLOOKUP(C5,'03_Planificacion'!$A$99:$A$138,'03_Planificacion'!$E$99:$E$138,""),""))</f>
        <v/>
      </c>
      <c r="E5" t="str">
        <f>IF(C5="","",IFERROR(_xludf.XLOOKUP(C5,'03_Planificacion'!$A$99:$A$138,'03_Planificacion'!$F$99:$F$138,""),""))</f>
        <v/>
      </c>
      <c r="F5" t="str">
        <f>IF(C5="","",IFERROR(_xludf.XLOOKUP(C5,'03_Planificacion'!$A$99:$A$138,'03_Planificacion'!$G$99:$G$138,""),""))</f>
        <v/>
      </c>
      <c r="G5" t="str">
        <f>IF(C5="","",IFERROR(_xludf.XLOOKUP(C5,'03_Planificacion'!$A$99:$A$138,'03_Planificacion'!$H$99:$H$138,""),""))</f>
        <v/>
      </c>
      <c r="H5" t="str">
        <f>IF(C5="","",IFERROR(_xludf.XLOOKUP(C5,'03_Planificacion'!$A$99:$A$138,'03_Planificacion'!$N$99:$N$138,""),""))</f>
        <v/>
      </c>
      <c r="I5" t="str">
        <f>IF(C5="","",IFERROR(_xludf.XLOOKUP(C5,'03_Planificacion'!$A$99:$A$138,'03_Planificacion'!$K$99:$K$138,""),""))</f>
        <v/>
      </c>
      <c r="J5" t="str">
        <f>IF(C5="","",IFERROR(_xludf.XLOOKUP(C5,'03_Planificacion'!$A$99:$A$138,'03_Planificacion'!$L$99:$L$138,""),""))</f>
        <v/>
      </c>
      <c r="K5" t="str">
        <f>IF(C5="","",IFERROR(_xludf.XLOOKUP(C5,'03_Planificacion'!$A$99:$A$138,'03_Planificacion'!$M$99:$M$138,""),""))</f>
        <v/>
      </c>
      <c r="L5" t="str">
        <f>IF(C5="","",IFERROR(_xludf.XLOOKUP(C5,'03_Planificacion'!$A$99:$A$138,'03_Planificacion'!$I$99:$I$138,""),""))</f>
        <v/>
      </c>
      <c r="M5" t="str">
        <f>IF(C5="","",IFERROR(_xludf.XLOOKUP(C5,'03_Planificacion'!$A$99:$A$138,'03_Planificacion'!$J$99:$J$138,""),""))</f>
        <v/>
      </c>
    </row>
    <row r="6" spans="1:16">
      <c r="A6" t="str">
        <f>IF(C6="","","ODT-"&amp;2)</f>
        <v/>
      </c>
      <c r="B6" s="5" t="str">
        <f>IF(C6="","",IFERROR(_xludf.XLOOKUP(C6,'03_Planificacion'!$A$99:$A$138,'03_Planificacion'!$D$99:$D$138,""),""))</f>
        <v/>
      </c>
      <c r="D6" t="str">
        <f>IF(C6="","",IFERROR(_xludf.XLOOKUP(C6,'03_Planificacion'!$A$99:$A$138,'03_Planificacion'!$E$99:$E$138,""),""))</f>
        <v/>
      </c>
      <c r="E6" t="str">
        <f>IF(C6="","",IFERROR(_xludf.XLOOKUP(C6,'03_Planificacion'!$A$99:$A$138,'03_Planificacion'!$F$99:$F$138,""),""))</f>
        <v/>
      </c>
      <c r="F6" t="str">
        <f>IF(C6="","",IFERROR(_xludf.XLOOKUP(C6,'03_Planificacion'!$A$99:$A$138,'03_Planificacion'!$G$99:$G$138,""),""))</f>
        <v/>
      </c>
      <c r="G6" t="str">
        <f>IF(C6="","",IFERROR(_xludf.XLOOKUP(C6,'03_Planificacion'!$A$99:$A$138,'03_Planificacion'!$H$99:$H$138,""),""))</f>
        <v/>
      </c>
      <c r="H6" t="str">
        <f>IF(C6="","",IFERROR(_xludf.XLOOKUP(C6,'03_Planificacion'!$A$99:$A$138,'03_Planificacion'!$N$99:$N$138,""),""))</f>
        <v/>
      </c>
      <c r="I6" t="str">
        <f>IF(C6="","",IFERROR(_xludf.XLOOKUP(C6,'03_Planificacion'!$A$99:$A$138,'03_Planificacion'!$K$99:$K$138,""),""))</f>
        <v/>
      </c>
      <c r="J6" t="str">
        <f>IF(C6="","",IFERROR(_xludf.XLOOKUP(C6,'03_Planificacion'!$A$99:$A$138,'03_Planificacion'!$L$99:$L$138,""),""))</f>
        <v/>
      </c>
      <c r="K6" t="str">
        <f>IF(C6="","",IFERROR(_xludf.XLOOKUP(C6,'03_Planificacion'!$A$99:$A$138,'03_Planificacion'!$M$99:$M$138,""),""))</f>
        <v/>
      </c>
      <c r="L6" t="str">
        <f>IF(C6="","",IFERROR(_xludf.XLOOKUP(C6,'03_Planificacion'!$A$99:$A$138,'03_Planificacion'!$I$99:$I$138,""),""))</f>
        <v/>
      </c>
      <c r="M6" t="str">
        <f>IF(C6="","",IFERROR(_xludf.XLOOKUP(C6,'03_Planificacion'!$A$99:$A$138,'03_Planificacion'!$J$99:$J$138,""),""))</f>
        <v/>
      </c>
    </row>
    <row r="7" spans="1:16">
      <c r="A7" t="str">
        <f>IF(C7="","","ODT-"&amp;3)</f>
        <v/>
      </c>
      <c r="B7" s="5" t="str">
        <f>IF(C7="","",IFERROR(_xludf.XLOOKUP(C7,'03_Planificacion'!$A$99:$A$138,'03_Planificacion'!$D$99:$D$138,""),""))</f>
        <v/>
      </c>
      <c r="D7" t="str">
        <f>IF(C7="","",IFERROR(_xludf.XLOOKUP(C7,'03_Planificacion'!$A$99:$A$138,'03_Planificacion'!$E$99:$E$138,""),""))</f>
        <v/>
      </c>
      <c r="E7" t="str">
        <f>IF(C7="","",IFERROR(_xludf.XLOOKUP(C7,'03_Planificacion'!$A$99:$A$138,'03_Planificacion'!$F$99:$F$138,""),""))</f>
        <v/>
      </c>
      <c r="F7" t="str">
        <f>IF(C7="","",IFERROR(_xludf.XLOOKUP(C7,'03_Planificacion'!$A$99:$A$138,'03_Planificacion'!$G$99:$G$138,""),""))</f>
        <v/>
      </c>
      <c r="G7" t="str">
        <f>IF(C7="","",IFERROR(_xludf.XLOOKUP(C7,'03_Planificacion'!$A$99:$A$138,'03_Planificacion'!$H$99:$H$138,""),""))</f>
        <v/>
      </c>
      <c r="H7" t="str">
        <f>IF(C7="","",IFERROR(_xludf.XLOOKUP(C7,'03_Planificacion'!$A$99:$A$138,'03_Planificacion'!$N$99:$N$138,""),""))</f>
        <v/>
      </c>
      <c r="I7" t="str">
        <f>IF(C7="","",IFERROR(_xludf.XLOOKUP(C7,'03_Planificacion'!$A$99:$A$138,'03_Planificacion'!$K$99:$K$138,""),""))</f>
        <v/>
      </c>
      <c r="J7" t="str">
        <f>IF(C7="","",IFERROR(_xludf.XLOOKUP(C7,'03_Planificacion'!$A$99:$A$138,'03_Planificacion'!$L$99:$L$138,""),""))</f>
        <v/>
      </c>
      <c r="K7" t="str">
        <f>IF(C7="","",IFERROR(_xludf.XLOOKUP(C7,'03_Planificacion'!$A$99:$A$138,'03_Planificacion'!$M$99:$M$138,""),""))</f>
        <v/>
      </c>
      <c r="L7" t="str">
        <f>IF(C7="","",IFERROR(_xludf.XLOOKUP(C7,'03_Planificacion'!$A$99:$A$138,'03_Planificacion'!$I$99:$I$138,""),""))</f>
        <v/>
      </c>
      <c r="M7" t="str">
        <f>IF(C7="","",IFERROR(_xludf.XLOOKUP(C7,'03_Planificacion'!$A$99:$A$138,'03_Planificacion'!$J$99:$J$138,""),""))</f>
        <v/>
      </c>
    </row>
    <row r="8" spans="1:16">
      <c r="A8" t="str">
        <f>IF(C8="","","ODT-"&amp;4)</f>
        <v/>
      </c>
      <c r="B8" s="5" t="str">
        <f>IF(C8="","",IFERROR(_xludf.XLOOKUP(C8,'03_Planificacion'!$A$99:$A$138,'03_Planificacion'!$D$99:$D$138,""),""))</f>
        <v/>
      </c>
      <c r="D8" t="str">
        <f>IF(C8="","",IFERROR(_xludf.XLOOKUP(C8,'03_Planificacion'!$A$99:$A$138,'03_Planificacion'!$E$99:$E$138,""),""))</f>
        <v/>
      </c>
      <c r="E8" t="str">
        <f>IF(C8="","",IFERROR(_xludf.XLOOKUP(C8,'03_Planificacion'!$A$99:$A$138,'03_Planificacion'!$F$99:$F$138,""),""))</f>
        <v/>
      </c>
      <c r="F8" t="str">
        <f>IF(C8="","",IFERROR(_xludf.XLOOKUP(C8,'03_Planificacion'!$A$99:$A$138,'03_Planificacion'!$G$99:$G$138,""),""))</f>
        <v/>
      </c>
      <c r="G8" t="str">
        <f>IF(C8="","",IFERROR(_xludf.XLOOKUP(C8,'03_Planificacion'!$A$99:$A$138,'03_Planificacion'!$H$99:$H$138,""),""))</f>
        <v/>
      </c>
      <c r="H8" t="str">
        <f>IF(C8="","",IFERROR(_xludf.XLOOKUP(C8,'03_Planificacion'!$A$99:$A$138,'03_Planificacion'!$N$99:$N$138,""),""))</f>
        <v/>
      </c>
      <c r="I8" t="str">
        <f>IF(C8="","",IFERROR(_xludf.XLOOKUP(C8,'03_Planificacion'!$A$99:$A$138,'03_Planificacion'!$K$99:$K$138,""),""))</f>
        <v/>
      </c>
      <c r="J8" t="str">
        <f>IF(C8="","",IFERROR(_xludf.XLOOKUP(C8,'03_Planificacion'!$A$99:$A$138,'03_Planificacion'!$L$99:$L$138,""),""))</f>
        <v/>
      </c>
      <c r="K8" t="str">
        <f>IF(C8="","",IFERROR(_xludf.XLOOKUP(C8,'03_Planificacion'!$A$99:$A$138,'03_Planificacion'!$M$99:$M$138,""),""))</f>
        <v/>
      </c>
      <c r="L8" t="str">
        <f>IF(C8="","",IFERROR(_xludf.XLOOKUP(C8,'03_Planificacion'!$A$99:$A$138,'03_Planificacion'!$I$99:$I$138,""),""))</f>
        <v/>
      </c>
      <c r="M8" t="str">
        <f>IF(C8="","",IFERROR(_xludf.XLOOKUP(C8,'03_Planificacion'!$A$99:$A$138,'03_Planificacion'!$J$99:$J$138,""),""))</f>
        <v/>
      </c>
    </row>
    <row r="9" spans="1:16">
      <c r="A9" t="str">
        <f>IF(C9="","","ODT-"&amp;5)</f>
        <v/>
      </c>
      <c r="B9" s="5" t="str">
        <f>IF(C9="","",IFERROR(_xludf.XLOOKUP(C9,'03_Planificacion'!$A$99:$A$138,'03_Planificacion'!$D$99:$D$138,""),""))</f>
        <v/>
      </c>
      <c r="D9" t="str">
        <f>IF(C9="","",IFERROR(_xludf.XLOOKUP(C9,'03_Planificacion'!$A$99:$A$138,'03_Planificacion'!$E$99:$E$138,""),""))</f>
        <v/>
      </c>
      <c r="E9" t="str">
        <f>IF(C9="","",IFERROR(_xludf.XLOOKUP(C9,'03_Planificacion'!$A$99:$A$138,'03_Planificacion'!$F$99:$F$138,""),""))</f>
        <v/>
      </c>
      <c r="F9" t="str">
        <f>IF(C9="","",IFERROR(_xludf.XLOOKUP(C9,'03_Planificacion'!$A$99:$A$138,'03_Planificacion'!$G$99:$G$138,""),""))</f>
        <v/>
      </c>
      <c r="G9" t="str">
        <f>IF(C9="","",IFERROR(_xludf.XLOOKUP(C9,'03_Planificacion'!$A$99:$A$138,'03_Planificacion'!$H$99:$H$138,""),""))</f>
        <v/>
      </c>
      <c r="H9" t="str">
        <f>IF(C9="","",IFERROR(_xludf.XLOOKUP(C9,'03_Planificacion'!$A$99:$A$138,'03_Planificacion'!$N$99:$N$138,""),""))</f>
        <v/>
      </c>
      <c r="I9" t="str">
        <f>IF(C9="","",IFERROR(_xludf.XLOOKUP(C9,'03_Planificacion'!$A$99:$A$138,'03_Planificacion'!$K$99:$K$138,""),""))</f>
        <v/>
      </c>
      <c r="J9" t="str">
        <f>IF(C9="","",IFERROR(_xludf.XLOOKUP(C9,'03_Planificacion'!$A$99:$A$138,'03_Planificacion'!$L$99:$L$138,""),""))</f>
        <v/>
      </c>
      <c r="K9" t="str">
        <f>IF(C9="","",IFERROR(_xludf.XLOOKUP(C9,'03_Planificacion'!$A$99:$A$138,'03_Planificacion'!$M$99:$M$138,""),""))</f>
        <v/>
      </c>
      <c r="L9" t="str">
        <f>IF(C9="","",IFERROR(_xludf.XLOOKUP(C9,'03_Planificacion'!$A$99:$A$138,'03_Planificacion'!$I$99:$I$138,""),""))</f>
        <v/>
      </c>
      <c r="M9" t="str">
        <f>IF(C9="","",IFERROR(_xludf.XLOOKUP(C9,'03_Planificacion'!$A$99:$A$138,'03_Planificacion'!$J$99:$J$138,""),""))</f>
        <v/>
      </c>
    </row>
    <row r="10" spans="1:16">
      <c r="A10" t="str">
        <f>IF(C10="","","ODT-"&amp;6)</f>
        <v/>
      </c>
      <c r="B10" s="5" t="str">
        <f>IF(C10="","",IFERROR(_xludf.XLOOKUP(C10,'03_Planificacion'!$A$99:$A$138,'03_Planificacion'!$D$99:$D$138,""),""))</f>
        <v/>
      </c>
      <c r="D10" t="str">
        <f>IF(C10="","",IFERROR(_xludf.XLOOKUP(C10,'03_Planificacion'!$A$99:$A$138,'03_Planificacion'!$E$99:$E$138,""),""))</f>
        <v/>
      </c>
      <c r="E10" t="str">
        <f>IF(C10="","",IFERROR(_xludf.XLOOKUP(C10,'03_Planificacion'!$A$99:$A$138,'03_Planificacion'!$F$99:$F$138,""),""))</f>
        <v/>
      </c>
      <c r="F10" t="str">
        <f>IF(C10="","",IFERROR(_xludf.XLOOKUP(C10,'03_Planificacion'!$A$99:$A$138,'03_Planificacion'!$G$99:$G$138,""),""))</f>
        <v/>
      </c>
      <c r="G10" t="str">
        <f>IF(C10="","",IFERROR(_xludf.XLOOKUP(C10,'03_Planificacion'!$A$99:$A$138,'03_Planificacion'!$H$99:$H$138,""),""))</f>
        <v/>
      </c>
      <c r="H10" t="str">
        <f>IF(C10="","",IFERROR(_xludf.XLOOKUP(C10,'03_Planificacion'!$A$99:$A$138,'03_Planificacion'!$N$99:$N$138,""),""))</f>
        <v/>
      </c>
      <c r="I10" t="str">
        <f>IF(C10="","",IFERROR(_xludf.XLOOKUP(C10,'03_Planificacion'!$A$99:$A$138,'03_Planificacion'!$K$99:$K$138,""),""))</f>
        <v/>
      </c>
      <c r="J10" t="str">
        <f>IF(C10="","",IFERROR(_xludf.XLOOKUP(C10,'03_Planificacion'!$A$99:$A$138,'03_Planificacion'!$L$99:$L$138,""),""))</f>
        <v/>
      </c>
      <c r="K10" t="str">
        <f>IF(C10="","",IFERROR(_xludf.XLOOKUP(C10,'03_Planificacion'!$A$99:$A$138,'03_Planificacion'!$M$99:$M$138,""),""))</f>
        <v/>
      </c>
      <c r="L10" t="str">
        <f>IF(C10="","",IFERROR(_xludf.XLOOKUP(C10,'03_Planificacion'!$A$99:$A$138,'03_Planificacion'!$I$99:$I$138,""),""))</f>
        <v/>
      </c>
      <c r="M10" t="str">
        <f>IF(C10="","",IFERROR(_xludf.XLOOKUP(C10,'03_Planificacion'!$A$99:$A$138,'03_Planificacion'!$J$99:$J$138,""),""))</f>
        <v/>
      </c>
    </row>
    <row r="11" spans="1:16">
      <c r="A11" t="str">
        <f>IF(C11="","","ODT-"&amp;7)</f>
        <v/>
      </c>
      <c r="B11" s="5" t="str">
        <f>IF(C11="","",IFERROR(_xludf.XLOOKUP(C11,'03_Planificacion'!$A$99:$A$138,'03_Planificacion'!$D$99:$D$138,""),""))</f>
        <v/>
      </c>
      <c r="D11" t="str">
        <f>IF(C11="","",IFERROR(_xludf.XLOOKUP(C11,'03_Planificacion'!$A$99:$A$138,'03_Planificacion'!$E$99:$E$138,""),""))</f>
        <v/>
      </c>
      <c r="E11" t="str">
        <f>IF(C11="","",IFERROR(_xludf.XLOOKUP(C11,'03_Planificacion'!$A$99:$A$138,'03_Planificacion'!$F$99:$F$138,""),""))</f>
        <v/>
      </c>
      <c r="F11" t="str">
        <f>IF(C11="","",IFERROR(_xludf.XLOOKUP(C11,'03_Planificacion'!$A$99:$A$138,'03_Planificacion'!$G$99:$G$138,""),""))</f>
        <v/>
      </c>
      <c r="G11" t="str">
        <f>IF(C11="","",IFERROR(_xludf.XLOOKUP(C11,'03_Planificacion'!$A$99:$A$138,'03_Planificacion'!$H$99:$H$138,""),""))</f>
        <v/>
      </c>
      <c r="H11" t="str">
        <f>IF(C11="","",IFERROR(_xludf.XLOOKUP(C11,'03_Planificacion'!$A$99:$A$138,'03_Planificacion'!$N$99:$N$138,""),""))</f>
        <v/>
      </c>
      <c r="I11" t="str">
        <f>IF(C11="","",IFERROR(_xludf.XLOOKUP(C11,'03_Planificacion'!$A$99:$A$138,'03_Planificacion'!$K$99:$K$138,""),""))</f>
        <v/>
      </c>
      <c r="J11" t="str">
        <f>IF(C11="","",IFERROR(_xludf.XLOOKUP(C11,'03_Planificacion'!$A$99:$A$138,'03_Planificacion'!$L$99:$L$138,""),""))</f>
        <v/>
      </c>
      <c r="K11" t="str">
        <f>IF(C11="","",IFERROR(_xludf.XLOOKUP(C11,'03_Planificacion'!$A$99:$A$138,'03_Planificacion'!$M$99:$M$138,""),""))</f>
        <v/>
      </c>
      <c r="L11" t="str">
        <f>IF(C11="","",IFERROR(_xludf.XLOOKUP(C11,'03_Planificacion'!$A$99:$A$138,'03_Planificacion'!$I$99:$I$138,""),""))</f>
        <v/>
      </c>
      <c r="M11" t="str">
        <f>IF(C11="","",IFERROR(_xludf.XLOOKUP(C11,'03_Planificacion'!$A$99:$A$138,'03_Planificacion'!$J$99:$J$138,""),""))</f>
        <v/>
      </c>
    </row>
    <row r="12" spans="1:16">
      <c r="A12" t="str">
        <f>IF(C12="","","ODT-"&amp;8)</f>
        <v/>
      </c>
      <c r="B12" s="5" t="str">
        <f>IF(C12="","",IFERROR(_xludf.XLOOKUP(C12,'03_Planificacion'!$A$99:$A$138,'03_Planificacion'!$D$99:$D$138,""),""))</f>
        <v/>
      </c>
      <c r="D12" t="str">
        <f>IF(C12="","",IFERROR(_xludf.XLOOKUP(C12,'03_Planificacion'!$A$99:$A$138,'03_Planificacion'!$E$99:$E$138,""),""))</f>
        <v/>
      </c>
      <c r="E12" t="str">
        <f>IF(C12="","",IFERROR(_xludf.XLOOKUP(C12,'03_Planificacion'!$A$99:$A$138,'03_Planificacion'!$F$99:$F$138,""),""))</f>
        <v/>
      </c>
      <c r="F12" t="str">
        <f>IF(C12="","",IFERROR(_xludf.XLOOKUP(C12,'03_Planificacion'!$A$99:$A$138,'03_Planificacion'!$G$99:$G$138,""),""))</f>
        <v/>
      </c>
      <c r="G12" t="str">
        <f>IF(C12="","",IFERROR(_xludf.XLOOKUP(C12,'03_Planificacion'!$A$99:$A$138,'03_Planificacion'!$H$99:$H$138,""),""))</f>
        <v/>
      </c>
      <c r="H12" t="str">
        <f>IF(C12="","",IFERROR(_xludf.XLOOKUP(C12,'03_Planificacion'!$A$99:$A$138,'03_Planificacion'!$N$99:$N$138,""),""))</f>
        <v/>
      </c>
      <c r="I12" t="str">
        <f>IF(C12="","",IFERROR(_xludf.XLOOKUP(C12,'03_Planificacion'!$A$99:$A$138,'03_Planificacion'!$K$99:$K$138,""),""))</f>
        <v/>
      </c>
      <c r="J12" t="str">
        <f>IF(C12="","",IFERROR(_xludf.XLOOKUP(C12,'03_Planificacion'!$A$99:$A$138,'03_Planificacion'!$L$99:$L$138,""),""))</f>
        <v/>
      </c>
      <c r="K12" t="str">
        <f>IF(C12="","",IFERROR(_xludf.XLOOKUP(C12,'03_Planificacion'!$A$99:$A$138,'03_Planificacion'!$M$99:$M$138,""),""))</f>
        <v/>
      </c>
      <c r="L12" t="str">
        <f>IF(C12="","",IFERROR(_xludf.XLOOKUP(C12,'03_Planificacion'!$A$99:$A$138,'03_Planificacion'!$I$99:$I$138,""),""))</f>
        <v/>
      </c>
      <c r="M12" t="str">
        <f>IF(C12="","",IFERROR(_xludf.XLOOKUP(C12,'03_Planificacion'!$A$99:$A$138,'03_Planificacion'!$J$99:$J$138,""),""))</f>
        <v/>
      </c>
    </row>
    <row r="13" spans="1:16">
      <c r="A13" t="str">
        <f>IF(C13="","","ODT-"&amp;9)</f>
        <v/>
      </c>
      <c r="B13" s="5" t="str">
        <f>IF(C13="","",IFERROR(_xludf.XLOOKUP(C13,'03_Planificacion'!$A$99:$A$138,'03_Planificacion'!$D$99:$D$138,""),""))</f>
        <v/>
      </c>
      <c r="D13" t="str">
        <f>IF(C13="","",IFERROR(_xludf.XLOOKUP(C13,'03_Planificacion'!$A$99:$A$138,'03_Planificacion'!$E$99:$E$138,""),""))</f>
        <v/>
      </c>
      <c r="E13" t="str">
        <f>IF(C13="","",IFERROR(_xludf.XLOOKUP(C13,'03_Planificacion'!$A$99:$A$138,'03_Planificacion'!$F$99:$F$138,""),""))</f>
        <v/>
      </c>
      <c r="F13" t="str">
        <f>IF(C13="","",IFERROR(_xludf.XLOOKUP(C13,'03_Planificacion'!$A$99:$A$138,'03_Planificacion'!$G$99:$G$138,""),""))</f>
        <v/>
      </c>
      <c r="G13" t="str">
        <f>IF(C13="","",IFERROR(_xludf.XLOOKUP(C13,'03_Planificacion'!$A$99:$A$138,'03_Planificacion'!$H$99:$H$138,""),""))</f>
        <v/>
      </c>
      <c r="H13" t="str">
        <f>IF(C13="","",IFERROR(_xludf.XLOOKUP(C13,'03_Planificacion'!$A$99:$A$138,'03_Planificacion'!$N$99:$N$138,""),""))</f>
        <v/>
      </c>
      <c r="I13" t="str">
        <f>IF(C13="","",IFERROR(_xludf.XLOOKUP(C13,'03_Planificacion'!$A$99:$A$138,'03_Planificacion'!$K$99:$K$138,""),""))</f>
        <v/>
      </c>
      <c r="J13" t="str">
        <f>IF(C13="","",IFERROR(_xludf.XLOOKUP(C13,'03_Planificacion'!$A$99:$A$138,'03_Planificacion'!$L$99:$L$138,""),""))</f>
        <v/>
      </c>
      <c r="K13" t="str">
        <f>IF(C13="","",IFERROR(_xludf.XLOOKUP(C13,'03_Planificacion'!$A$99:$A$138,'03_Planificacion'!$M$99:$M$138,""),""))</f>
        <v/>
      </c>
      <c r="L13" t="str">
        <f>IF(C13="","",IFERROR(_xludf.XLOOKUP(C13,'03_Planificacion'!$A$99:$A$138,'03_Planificacion'!$I$99:$I$138,""),""))</f>
        <v/>
      </c>
      <c r="M13" t="str">
        <f>IF(C13="","",IFERROR(_xludf.XLOOKUP(C13,'03_Planificacion'!$A$99:$A$138,'03_Planificacion'!$J$99:$J$138,""),""))</f>
        <v/>
      </c>
    </row>
    <row r="14" spans="1:16">
      <c r="A14" t="str">
        <f>IF(C14="","","ODT-"&amp;10)</f>
        <v/>
      </c>
      <c r="B14" s="5" t="str">
        <f>IF(C14="","",IFERROR(_xludf.XLOOKUP(C14,'03_Planificacion'!$A$99:$A$138,'03_Planificacion'!$D$99:$D$138,""),""))</f>
        <v/>
      </c>
      <c r="D14" t="str">
        <f>IF(C14="","",IFERROR(_xludf.XLOOKUP(C14,'03_Planificacion'!$A$99:$A$138,'03_Planificacion'!$E$99:$E$138,""),""))</f>
        <v/>
      </c>
      <c r="E14" t="str">
        <f>IF(C14="","",IFERROR(_xludf.XLOOKUP(C14,'03_Planificacion'!$A$99:$A$138,'03_Planificacion'!$F$99:$F$138,""),""))</f>
        <v/>
      </c>
      <c r="F14" t="str">
        <f>IF(C14="","",IFERROR(_xludf.XLOOKUP(C14,'03_Planificacion'!$A$99:$A$138,'03_Planificacion'!$G$99:$G$138,""),""))</f>
        <v/>
      </c>
      <c r="G14" t="str">
        <f>IF(C14="","",IFERROR(_xludf.XLOOKUP(C14,'03_Planificacion'!$A$99:$A$138,'03_Planificacion'!$H$99:$H$138,""),""))</f>
        <v/>
      </c>
      <c r="H14" t="str">
        <f>IF(C14="","",IFERROR(_xludf.XLOOKUP(C14,'03_Planificacion'!$A$99:$A$138,'03_Planificacion'!$N$99:$N$138,""),""))</f>
        <v/>
      </c>
      <c r="I14" t="str">
        <f>IF(C14="","",IFERROR(_xludf.XLOOKUP(C14,'03_Planificacion'!$A$99:$A$138,'03_Planificacion'!$K$99:$K$138,""),""))</f>
        <v/>
      </c>
      <c r="J14" t="str">
        <f>IF(C14="","",IFERROR(_xludf.XLOOKUP(C14,'03_Planificacion'!$A$99:$A$138,'03_Planificacion'!$L$99:$L$138,""),""))</f>
        <v/>
      </c>
      <c r="K14" t="str">
        <f>IF(C14="","",IFERROR(_xludf.XLOOKUP(C14,'03_Planificacion'!$A$99:$A$138,'03_Planificacion'!$M$99:$M$138,""),""))</f>
        <v/>
      </c>
      <c r="L14" t="str">
        <f>IF(C14="","",IFERROR(_xludf.XLOOKUP(C14,'03_Planificacion'!$A$99:$A$138,'03_Planificacion'!$I$99:$I$138,""),""))</f>
        <v/>
      </c>
      <c r="M14" t="str">
        <f>IF(C14="","",IFERROR(_xludf.XLOOKUP(C14,'03_Planificacion'!$A$99:$A$138,'03_Planificacion'!$J$99:$J$138,""),""))</f>
        <v/>
      </c>
    </row>
    <row r="15" spans="1:16">
      <c r="A15" t="str">
        <f>IF(C15="","","ODT-"&amp;11)</f>
        <v/>
      </c>
      <c r="B15" s="5" t="str">
        <f>IF(C15="","",IFERROR(_xludf.XLOOKUP(C15,'03_Planificacion'!$A$99:$A$138,'03_Planificacion'!$D$99:$D$138,""),""))</f>
        <v/>
      </c>
      <c r="D15" t="str">
        <f>IF(C15="","",IFERROR(_xludf.XLOOKUP(C15,'03_Planificacion'!$A$99:$A$138,'03_Planificacion'!$E$99:$E$138,""),""))</f>
        <v/>
      </c>
      <c r="E15" t="str">
        <f>IF(C15="","",IFERROR(_xludf.XLOOKUP(C15,'03_Planificacion'!$A$99:$A$138,'03_Planificacion'!$F$99:$F$138,""),""))</f>
        <v/>
      </c>
      <c r="F15" t="str">
        <f>IF(C15="","",IFERROR(_xludf.XLOOKUP(C15,'03_Planificacion'!$A$99:$A$138,'03_Planificacion'!$G$99:$G$138,""),""))</f>
        <v/>
      </c>
      <c r="G15" t="str">
        <f>IF(C15="","",IFERROR(_xludf.XLOOKUP(C15,'03_Planificacion'!$A$99:$A$138,'03_Planificacion'!$H$99:$H$138,""),""))</f>
        <v/>
      </c>
      <c r="H15" t="str">
        <f>IF(C15="","",IFERROR(_xludf.XLOOKUP(C15,'03_Planificacion'!$A$99:$A$138,'03_Planificacion'!$N$99:$N$138,""),""))</f>
        <v/>
      </c>
      <c r="I15" t="str">
        <f>IF(C15="","",IFERROR(_xludf.XLOOKUP(C15,'03_Planificacion'!$A$99:$A$138,'03_Planificacion'!$K$99:$K$138,""),""))</f>
        <v/>
      </c>
      <c r="J15" t="str">
        <f>IF(C15="","",IFERROR(_xludf.XLOOKUP(C15,'03_Planificacion'!$A$99:$A$138,'03_Planificacion'!$L$99:$L$138,""),""))</f>
        <v/>
      </c>
      <c r="K15" t="str">
        <f>IF(C15="","",IFERROR(_xludf.XLOOKUP(C15,'03_Planificacion'!$A$99:$A$138,'03_Planificacion'!$M$99:$M$138,""),""))</f>
        <v/>
      </c>
      <c r="L15" t="str">
        <f>IF(C15="","",IFERROR(_xludf.XLOOKUP(C15,'03_Planificacion'!$A$99:$A$138,'03_Planificacion'!$I$99:$I$138,""),""))</f>
        <v/>
      </c>
      <c r="M15" t="str">
        <f>IF(C15="","",IFERROR(_xludf.XLOOKUP(C15,'03_Planificacion'!$A$99:$A$138,'03_Planificacion'!$J$99:$J$138,""),""))</f>
        <v/>
      </c>
    </row>
    <row r="16" spans="1:16">
      <c r="A16" t="str">
        <f>IF(C16="","","ODT-"&amp;12)</f>
        <v/>
      </c>
      <c r="B16" s="5" t="str">
        <f>IF(C16="","",IFERROR(_xludf.XLOOKUP(C16,'03_Planificacion'!$A$99:$A$138,'03_Planificacion'!$D$99:$D$138,""),""))</f>
        <v/>
      </c>
      <c r="D16" t="str">
        <f>IF(C16="","",IFERROR(_xludf.XLOOKUP(C16,'03_Planificacion'!$A$99:$A$138,'03_Planificacion'!$E$99:$E$138,""),""))</f>
        <v/>
      </c>
      <c r="E16" t="str">
        <f>IF(C16="","",IFERROR(_xludf.XLOOKUP(C16,'03_Planificacion'!$A$99:$A$138,'03_Planificacion'!$F$99:$F$138,""),""))</f>
        <v/>
      </c>
      <c r="F16" t="str">
        <f>IF(C16="","",IFERROR(_xludf.XLOOKUP(C16,'03_Planificacion'!$A$99:$A$138,'03_Planificacion'!$G$99:$G$138,""),""))</f>
        <v/>
      </c>
      <c r="G16" t="str">
        <f>IF(C16="","",IFERROR(_xludf.XLOOKUP(C16,'03_Planificacion'!$A$99:$A$138,'03_Planificacion'!$H$99:$H$138,""),""))</f>
        <v/>
      </c>
      <c r="H16" t="str">
        <f>IF(C16="","",IFERROR(_xludf.XLOOKUP(C16,'03_Planificacion'!$A$99:$A$138,'03_Planificacion'!$N$99:$N$138,""),""))</f>
        <v/>
      </c>
      <c r="I16" t="str">
        <f>IF(C16="","",IFERROR(_xludf.XLOOKUP(C16,'03_Planificacion'!$A$99:$A$138,'03_Planificacion'!$K$99:$K$138,""),""))</f>
        <v/>
      </c>
      <c r="J16" t="str">
        <f>IF(C16="","",IFERROR(_xludf.XLOOKUP(C16,'03_Planificacion'!$A$99:$A$138,'03_Planificacion'!$L$99:$L$138,""),""))</f>
        <v/>
      </c>
      <c r="K16" t="str">
        <f>IF(C16="","",IFERROR(_xludf.XLOOKUP(C16,'03_Planificacion'!$A$99:$A$138,'03_Planificacion'!$M$99:$M$138,""),""))</f>
        <v/>
      </c>
      <c r="L16" t="str">
        <f>IF(C16="","",IFERROR(_xludf.XLOOKUP(C16,'03_Planificacion'!$A$99:$A$138,'03_Planificacion'!$I$99:$I$138,""),""))</f>
        <v/>
      </c>
      <c r="M16" t="str">
        <f>IF(C16="","",IFERROR(_xludf.XLOOKUP(C16,'03_Planificacion'!$A$99:$A$138,'03_Planificacion'!$J$99:$J$138,""),""))</f>
        <v/>
      </c>
    </row>
    <row r="17" spans="1:13">
      <c r="A17" t="str">
        <f>IF(C17="","","ODT-"&amp;13)</f>
        <v/>
      </c>
      <c r="B17" s="5" t="str">
        <f>IF(C17="","",IFERROR(_xludf.XLOOKUP(C17,'03_Planificacion'!$A$99:$A$138,'03_Planificacion'!$D$99:$D$138,""),""))</f>
        <v/>
      </c>
      <c r="D17" t="str">
        <f>IF(C17="","",IFERROR(_xludf.XLOOKUP(C17,'03_Planificacion'!$A$99:$A$138,'03_Planificacion'!$E$99:$E$138,""),""))</f>
        <v/>
      </c>
      <c r="E17" t="str">
        <f>IF(C17="","",IFERROR(_xludf.XLOOKUP(C17,'03_Planificacion'!$A$99:$A$138,'03_Planificacion'!$F$99:$F$138,""),""))</f>
        <v/>
      </c>
      <c r="F17" t="str">
        <f>IF(C17="","",IFERROR(_xludf.XLOOKUP(C17,'03_Planificacion'!$A$99:$A$138,'03_Planificacion'!$G$99:$G$138,""),""))</f>
        <v/>
      </c>
      <c r="G17" t="str">
        <f>IF(C17="","",IFERROR(_xludf.XLOOKUP(C17,'03_Planificacion'!$A$99:$A$138,'03_Planificacion'!$H$99:$H$138,""),""))</f>
        <v/>
      </c>
      <c r="H17" t="str">
        <f>IF(C17="","",IFERROR(_xludf.XLOOKUP(C17,'03_Planificacion'!$A$99:$A$138,'03_Planificacion'!$N$99:$N$138,""),""))</f>
        <v/>
      </c>
      <c r="I17" t="str">
        <f>IF(C17="","",IFERROR(_xludf.XLOOKUP(C17,'03_Planificacion'!$A$99:$A$138,'03_Planificacion'!$K$99:$K$138,""),""))</f>
        <v/>
      </c>
      <c r="J17" t="str">
        <f>IF(C17="","",IFERROR(_xludf.XLOOKUP(C17,'03_Planificacion'!$A$99:$A$138,'03_Planificacion'!$L$99:$L$138,""),""))</f>
        <v/>
      </c>
      <c r="K17" t="str">
        <f>IF(C17="","",IFERROR(_xludf.XLOOKUP(C17,'03_Planificacion'!$A$99:$A$138,'03_Planificacion'!$M$99:$M$138,""),""))</f>
        <v/>
      </c>
      <c r="L17" t="str">
        <f>IF(C17="","",IFERROR(_xludf.XLOOKUP(C17,'03_Planificacion'!$A$99:$A$138,'03_Planificacion'!$I$99:$I$138,""),""))</f>
        <v/>
      </c>
      <c r="M17" t="str">
        <f>IF(C17="","",IFERROR(_xludf.XLOOKUP(C17,'03_Planificacion'!$A$99:$A$138,'03_Planificacion'!$J$99:$J$138,""),""))</f>
        <v/>
      </c>
    </row>
    <row r="18" spans="1:13">
      <c r="A18" t="str">
        <f>IF(C18="","","ODT-"&amp;14)</f>
        <v/>
      </c>
      <c r="B18" s="5" t="str">
        <f>IF(C18="","",IFERROR(_xludf.XLOOKUP(C18,'03_Planificacion'!$A$99:$A$138,'03_Planificacion'!$D$99:$D$138,""),""))</f>
        <v/>
      </c>
      <c r="D18" t="str">
        <f>IF(C18="","",IFERROR(_xludf.XLOOKUP(C18,'03_Planificacion'!$A$99:$A$138,'03_Planificacion'!$E$99:$E$138,""),""))</f>
        <v/>
      </c>
      <c r="E18" t="str">
        <f>IF(C18="","",IFERROR(_xludf.XLOOKUP(C18,'03_Planificacion'!$A$99:$A$138,'03_Planificacion'!$F$99:$F$138,""),""))</f>
        <v/>
      </c>
      <c r="F18" t="str">
        <f>IF(C18="","",IFERROR(_xludf.XLOOKUP(C18,'03_Planificacion'!$A$99:$A$138,'03_Planificacion'!$G$99:$G$138,""),""))</f>
        <v/>
      </c>
      <c r="G18" t="str">
        <f>IF(C18="","",IFERROR(_xludf.XLOOKUP(C18,'03_Planificacion'!$A$99:$A$138,'03_Planificacion'!$H$99:$H$138,""),""))</f>
        <v/>
      </c>
      <c r="H18" t="str">
        <f>IF(C18="","",IFERROR(_xludf.XLOOKUP(C18,'03_Planificacion'!$A$99:$A$138,'03_Planificacion'!$N$99:$N$138,""),""))</f>
        <v/>
      </c>
      <c r="I18" t="str">
        <f>IF(C18="","",IFERROR(_xludf.XLOOKUP(C18,'03_Planificacion'!$A$99:$A$138,'03_Planificacion'!$K$99:$K$138,""),""))</f>
        <v/>
      </c>
      <c r="J18" t="str">
        <f>IF(C18="","",IFERROR(_xludf.XLOOKUP(C18,'03_Planificacion'!$A$99:$A$138,'03_Planificacion'!$L$99:$L$138,""),""))</f>
        <v/>
      </c>
      <c r="K18" t="str">
        <f>IF(C18="","",IFERROR(_xludf.XLOOKUP(C18,'03_Planificacion'!$A$99:$A$138,'03_Planificacion'!$M$99:$M$138,""),""))</f>
        <v/>
      </c>
      <c r="L18" t="str">
        <f>IF(C18="","",IFERROR(_xludf.XLOOKUP(C18,'03_Planificacion'!$A$99:$A$138,'03_Planificacion'!$I$99:$I$138,""),""))</f>
        <v/>
      </c>
      <c r="M18" t="str">
        <f>IF(C18="","",IFERROR(_xludf.XLOOKUP(C18,'03_Planificacion'!$A$99:$A$138,'03_Planificacion'!$J$99:$J$138,""),""))</f>
        <v/>
      </c>
    </row>
    <row r="19" spans="1:13">
      <c r="A19" t="str">
        <f>IF(C19="","","ODT-"&amp;15)</f>
        <v/>
      </c>
      <c r="B19" s="5" t="str">
        <f>IF(C19="","",IFERROR(_xludf.XLOOKUP(C19,'03_Planificacion'!$A$99:$A$138,'03_Planificacion'!$D$99:$D$138,""),""))</f>
        <v/>
      </c>
      <c r="D19" t="str">
        <f>IF(C19="","",IFERROR(_xludf.XLOOKUP(C19,'03_Planificacion'!$A$99:$A$138,'03_Planificacion'!$E$99:$E$138,""),""))</f>
        <v/>
      </c>
      <c r="E19" t="str">
        <f>IF(C19="","",IFERROR(_xludf.XLOOKUP(C19,'03_Planificacion'!$A$99:$A$138,'03_Planificacion'!$F$99:$F$138,""),""))</f>
        <v/>
      </c>
      <c r="F19" t="str">
        <f>IF(C19="","",IFERROR(_xludf.XLOOKUP(C19,'03_Planificacion'!$A$99:$A$138,'03_Planificacion'!$G$99:$G$138,""),""))</f>
        <v/>
      </c>
      <c r="G19" t="str">
        <f>IF(C19="","",IFERROR(_xludf.XLOOKUP(C19,'03_Planificacion'!$A$99:$A$138,'03_Planificacion'!$H$99:$H$138,""),""))</f>
        <v/>
      </c>
      <c r="H19" t="str">
        <f>IF(C19="","",IFERROR(_xludf.XLOOKUP(C19,'03_Planificacion'!$A$99:$A$138,'03_Planificacion'!$N$99:$N$138,""),""))</f>
        <v/>
      </c>
      <c r="I19" t="str">
        <f>IF(C19="","",IFERROR(_xludf.XLOOKUP(C19,'03_Planificacion'!$A$99:$A$138,'03_Planificacion'!$K$99:$K$138,""),""))</f>
        <v/>
      </c>
      <c r="J19" t="str">
        <f>IF(C19="","",IFERROR(_xludf.XLOOKUP(C19,'03_Planificacion'!$A$99:$A$138,'03_Planificacion'!$L$99:$L$138,""),""))</f>
        <v/>
      </c>
      <c r="K19" t="str">
        <f>IF(C19="","",IFERROR(_xludf.XLOOKUP(C19,'03_Planificacion'!$A$99:$A$138,'03_Planificacion'!$M$99:$M$138,""),""))</f>
        <v/>
      </c>
      <c r="L19" t="str">
        <f>IF(C19="","",IFERROR(_xludf.XLOOKUP(C19,'03_Planificacion'!$A$99:$A$138,'03_Planificacion'!$I$99:$I$138,""),""))</f>
        <v/>
      </c>
      <c r="M19" t="str">
        <f>IF(C19="","",IFERROR(_xludf.XLOOKUP(C19,'03_Planificacion'!$A$99:$A$138,'03_Planificacion'!$J$99:$J$138,""),""))</f>
        <v/>
      </c>
    </row>
    <row r="20" spans="1:13">
      <c r="A20" t="str">
        <f>IF(C20="","","ODT-"&amp;16)</f>
        <v/>
      </c>
      <c r="B20" s="5" t="str">
        <f>IF(C20="","",IFERROR(_xludf.XLOOKUP(C20,'03_Planificacion'!$A$99:$A$138,'03_Planificacion'!$D$99:$D$138,""),""))</f>
        <v/>
      </c>
      <c r="D20" t="str">
        <f>IF(C20="","",IFERROR(_xludf.XLOOKUP(C20,'03_Planificacion'!$A$99:$A$138,'03_Planificacion'!$E$99:$E$138,""),""))</f>
        <v/>
      </c>
      <c r="E20" t="str">
        <f>IF(C20="","",IFERROR(_xludf.XLOOKUP(C20,'03_Planificacion'!$A$99:$A$138,'03_Planificacion'!$F$99:$F$138,""),""))</f>
        <v/>
      </c>
      <c r="F20" t="str">
        <f>IF(C20="","",IFERROR(_xludf.XLOOKUP(C20,'03_Planificacion'!$A$99:$A$138,'03_Planificacion'!$G$99:$G$138,""),""))</f>
        <v/>
      </c>
      <c r="G20" t="str">
        <f>IF(C20="","",IFERROR(_xludf.XLOOKUP(C20,'03_Planificacion'!$A$99:$A$138,'03_Planificacion'!$H$99:$H$138,""),""))</f>
        <v/>
      </c>
      <c r="H20" t="str">
        <f>IF(C20="","",IFERROR(_xludf.XLOOKUP(C20,'03_Planificacion'!$A$99:$A$138,'03_Planificacion'!$N$99:$N$138,""),""))</f>
        <v/>
      </c>
      <c r="I20" t="str">
        <f>IF(C20="","",IFERROR(_xludf.XLOOKUP(C20,'03_Planificacion'!$A$99:$A$138,'03_Planificacion'!$K$99:$K$138,""),""))</f>
        <v/>
      </c>
      <c r="J20" t="str">
        <f>IF(C20="","",IFERROR(_xludf.XLOOKUP(C20,'03_Planificacion'!$A$99:$A$138,'03_Planificacion'!$L$99:$L$138,""),""))</f>
        <v/>
      </c>
      <c r="K20" t="str">
        <f>IF(C20="","",IFERROR(_xludf.XLOOKUP(C20,'03_Planificacion'!$A$99:$A$138,'03_Planificacion'!$M$99:$M$138,""),""))</f>
        <v/>
      </c>
      <c r="L20" t="str">
        <f>IF(C20="","",IFERROR(_xludf.XLOOKUP(C20,'03_Planificacion'!$A$99:$A$138,'03_Planificacion'!$I$99:$I$138,""),""))</f>
        <v/>
      </c>
      <c r="M20" t="str">
        <f>IF(C20="","",IFERROR(_xludf.XLOOKUP(C20,'03_Planificacion'!$A$99:$A$138,'03_Planificacion'!$J$99:$J$138,""),""))</f>
        <v/>
      </c>
    </row>
    <row r="21" spans="1:13">
      <c r="A21" t="str">
        <f>IF(C21="","","ODT-"&amp;17)</f>
        <v/>
      </c>
      <c r="B21" s="5" t="str">
        <f>IF(C21="","",IFERROR(_xludf.XLOOKUP(C21,'03_Planificacion'!$A$99:$A$138,'03_Planificacion'!$D$99:$D$138,""),""))</f>
        <v/>
      </c>
      <c r="D21" t="str">
        <f>IF(C21="","",IFERROR(_xludf.XLOOKUP(C21,'03_Planificacion'!$A$99:$A$138,'03_Planificacion'!$E$99:$E$138,""),""))</f>
        <v/>
      </c>
      <c r="E21" t="str">
        <f>IF(C21="","",IFERROR(_xludf.XLOOKUP(C21,'03_Planificacion'!$A$99:$A$138,'03_Planificacion'!$F$99:$F$138,""),""))</f>
        <v/>
      </c>
      <c r="F21" t="str">
        <f>IF(C21="","",IFERROR(_xludf.XLOOKUP(C21,'03_Planificacion'!$A$99:$A$138,'03_Planificacion'!$G$99:$G$138,""),""))</f>
        <v/>
      </c>
      <c r="G21" t="str">
        <f>IF(C21="","",IFERROR(_xludf.XLOOKUP(C21,'03_Planificacion'!$A$99:$A$138,'03_Planificacion'!$H$99:$H$138,""),""))</f>
        <v/>
      </c>
      <c r="H21" t="str">
        <f>IF(C21="","",IFERROR(_xludf.XLOOKUP(C21,'03_Planificacion'!$A$99:$A$138,'03_Planificacion'!$N$99:$N$138,""),""))</f>
        <v/>
      </c>
      <c r="I21" t="str">
        <f>IF(C21="","",IFERROR(_xludf.XLOOKUP(C21,'03_Planificacion'!$A$99:$A$138,'03_Planificacion'!$K$99:$K$138,""),""))</f>
        <v/>
      </c>
      <c r="J21" t="str">
        <f>IF(C21="","",IFERROR(_xludf.XLOOKUP(C21,'03_Planificacion'!$A$99:$A$138,'03_Planificacion'!$L$99:$L$138,""),""))</f>
        <v/>
      </c>
      <c r="K21" t="str">
        <f>IF(C21="","",IFERROR(_xludf.XLOOKUP(C21,'03_Planificacion'!$A$99:$A$138,'03_Planificacion'!$M$99:$M$138,""),""))</f>
        <v/>
      </c>
      <c r="L21" t="str">
        <f>IF(C21="","",IFERROR(_xludf.XLOOKUP(C21,'03_Planificacion'!$A$99:$A$138,'03_Planificacion'!$I$99:$I$138,""),""))</f>
        <v/>
      </c>
      <c r="M21" t="str">
        <f>IF(C21="","",IFERROR(_xludf.XLOOKUP(C21,'03_Planificacion'!$A$99:$A$138,'03_Planificacion'!$J$99:$J$138,""),""))</f>
        <v/>
      </c>
    </row>
    <row r="22" spans="1:13">
      <c r="A22" t="str">
        <f>IF(C22="","","ODT-"&amp;18)</f>
        <v/>
      </c>
      <c r="B22" s="5" t="str">
        <f>IF(C22="","",IFERROR(_xludf.XLOOKUP(C22,'03_Planificacion'!$A$99:$A$138,'03_Planificacion'!$D$99:$D$138,""),""))</f>
        <v/>
      </c>
      <c r="D22" t="str">
        <f>IF(C22="","",IFERROR(_xludf.XLOOKUP(C22,'03_Planificacion'!$A$99:$A$138,'03_Planificacion'!$E$99:$E$138,""),""))</f>
        <v/>
      </c>
      <c r="E22" t="str">
        <f>IF(C22="","",IFERROR(_xludf.XLOOKUP(C22,'03_Planificacion'!$A$99:$A$138,'03_Planificacion'!$F$99:$F$138,""),""))</f>
        <v/>
      </c>
      <c r="F22" t="str">
        <f>IF(C22="","",IFERROR(_xludf.XLOOKUP(C22,'03_Planificacion'!$A$99:$A$138,'03_Planificacion'!$G$99:$G$138,""),""))</f>
        <v/>
      </c>
      <c r="G22" t="str">
        <f>IF(C22="","",IFERROR(_xludf.XLOOKUP(C22,'03_Planificacion'!$A$99:$A$138,'03_Planificacion'!$H$99:$H$138,""),""))</f>
        <v/>
      </c>
      <c r="H22" t="str">
        <f>IF(C22="","",IFERROR(_xludf.XLOOKUP(C22,'03_Planificacion'!$A$99:$A$138,'03_Planificacion'!$N$99:$N$138,""),""))</f>
        <v/>
      </c>
      <c r="I22" t="str">
        <f>IF(C22="","",IFERROR(_xludf.XLOOKUP(C22,'03_Planificacion'!$A$99:$A$138,'03_Planificacion'!$K$99:$K$138,""),""))</f>
        <v/>
      </c>
      <c r="J22" t="str">
        <f>IF(C22="","",IFERROR(_xludf.XLOOKUP(C22,'03_Planificacion'!$A$99:$A$138,'03_Planificacion'!$L$99:$L$138,""),""))</f>
        <v/>
      </c>
      <c r="K22" t="str">
        <f>IF(C22="","",IFERROR(_xludf.XLOOKUP(C22,'03_Planificacion'!$A$99:$A$138,'03_Planificacion'!$M$99:$M$138,""),""))</f>
        <v/>
      </c>
      <c r="L22" t="str">
        <f>IF(C22="","",IFERROR(_xludf.XLOOKUP(C22,'03_Planificacion'!$A$99:$A$138,'03_Planificacion'!$I$99:$I$138,""),""))</f>
        <v/>
      </c>
      <c r="M22" t="str">
        <f>IF(C22="","",IFERROR(_xludf.XLOOKUP(C22,'03_Planificacion'!$A$99:$A$138,'03_Planificacion'!$J$99:$J$138,""),""))</f>
        <v/>
      </c>
    </row>
    <row r="23" spans="1:13">
      <c r="A23" t="str">
        <f>IF(C23="","","ODT-"&amp;19)</f>
        <v/>
      </c>
      <c r="B23" s="5" t="str">
        <f>IF(C23="","",IFERROR(_xludf.XLOOKUP(C23,'03_Planificacion'!$A$99:$A$138,'03_Planificacion'!$D$99:$D$138,""),""))</f>
        <v/>
      </c>
      <c r="D23" t="str">
        <f>IF(C23="","",IFERROR(_xludf.XLOOKUP(C23,'03_Planificacion'!$A$99:$A$138,'03_Planificacion'!$E$99:$E$138,""),""))</f>
        <v/>
      </c>
      <c r="E23" t="str">
        <f>IF(C23="","",IFERROR(_xludf.XLOOKUP(C23,'03_Planificacion'!$A$99:$A$138,'03_Planificacion'!$F$99:$F$138,""),""))</f>
        <v/>
      </c>
      <c r="F23" t="str">
        <f>IF(C23="","",IFERROR(_xludf.XLOOKUP(C23,'03_Planificacion'!$A$99:$A$138,'03_Planificacion'!$G$99:$G$138,""),""))</f>
        <v/>
      </c>
      <c r="G23" t="str">
        <f>IF(C23="","",IFERROR(_xludf.XLOOKUP(C23,'03_Planificacion'!$A$99:$A$138,'03_Planificacion'!$H$99:$H$138,""),""))</f>
        <v/>
      </c>
      <c r="H23" t="str">
        <f>IF(C23="","",IFERROR(_xludf.XLOOKUP(C23,'03_Planificacion'!$A$99:$A$138,'03_Planificacion'!$N$99:$N$138,""),""))</f>
        <v/>
      </c>
      <c r="I23" t="str">
        <f>IF(C23="","",IFERROR(_xludf.XLOOKUP(C23,'03_Planificacion'!$A$99:$A$138,'03_Planificacion'!$K$99:$K$138,""),""))</f>
        <v/>
      </c>
      <c r="J23" t="str">
        <f>IF(C23="","",IFERROR(_xludf.XLOOKUP(C23,'03_Planificacion'!$A$99:$A$138,'03_Planificacion'!$L$99:$L$138,""),""))</f>
        <v/>
      </c>
      <c r="K23" t="str">
        <f>IF(C23="","",IFERROR(_xludf.XLOOKUP(C23,'03_Planificacion'!$A$99:$A$138,'03_Planificacion'!$M$99:$M$138,""),""))</f>
        <v/>
      </c>
      <c r="L23" t="str">
        <f>IF(C23="","",IFERROR(_xludf.XLOOKUP(C23,'03_Planificacion'!$A$99:$A$138,'03_Planificacion'!$I$99:$I$138,""),""))</f>
        <v/>
      </c>
      <c r="M23" t="str">
        <f>IF(C23="","",IFERROR(_xludf.XLOOKUP(C23,'03_Planificacion'!$A$99:$A$138,'03_Planificacion'!$J$99:$J$138,""),""))</f>
        <v/>
      </c>
    </row>
    <row r="24" spans="1:13">
      <c r="A24" t="str">
        <f>IF(C24="","","ODT-"&amp;20)</f>
        <v/>
      </c>
      <c r="B24" s="5" t="str">
        <f>IF(C24="","",IFERROR(_xludf.XLOOKUP(C24,'03_Planificacion'!$A$99:$A$138,'03_Planificacion'!$D$99:$D$138,""),""))</f>
        <v/>
      </c>
      <c r="D24" t="str">
        <f>IF(C24="","",IFERROR(_xludf.XLOOKUP(C24,'03_Planificacion'!$A$99:$A$138,'03_Planificacion'!$E$99:$E$138,""),""))</f>
        <v/>
      </c>
      <c r="E24" t="str">
        <f>IF(C24="","",IFERROR(_xludf.XLOOKUP(C24,'03_Planificacion'!$A$99:$A$138,'03_Planificacion'!$F$99:$F$138,""),""))</f>
        <v/>
      </c>
      <c r="F24" t="str">
        <f>IF(C24="","",IFERROR(_xludf.XLOOKUP(C24,'03_Planificacion'!$A$99:$A$138,'03_Planificacion'!$G$99:$G$138,""),""))</f>
        <v/>
      </c>
      <c r="G24" t="str">
        <f>IF(C24="","",IFERROR(_xludf.XLOOKUP(C24,'03_Planificacion'!$A$99:$A$138,'03_Planificacion'!$H$99:$H$138,""),""))</f>
        <v/>
      </c>
      <c r="H24" t="str">
        <f>IF(C24="","",IFERROR(_xludf.XLOOKUP(C24,'03_Planificacion'!$A$99:$A$138,'03_Planificacion'!$N$99:$N$138,""),""))</f>
        <v/>
      </c>
      <c r="I24" t="str">
        <f>IF(C24="","",IFERROR(_xludf.XLOOKUP(C24,'03_Planificacion'!$A$99:$A$138,'03_Planificacion'!$K$99:$K$138,""),""))</f>
        <v/>
      </c>
      <c r="J24" t="str">
        <f>IF(C24="","",IFERROR(_xludf.XLOOKUP(C24,'03_Planificacion'!$A$99:$A$138,'03_Planificacion'!$L$99:$L$138,""),""))</f>
        <v/>
      </c>
      <c r="K24" t="str">
        <f>IF(C24="","",IFERROR(_xludf.XLOOKUP(C24,'03_Planificacion'!$A$99:$A$138,'03_Planificacion'!$M$99:$M$138,""),""))</f>
        <v/>
      </c>
      <c r="L24" t="str">
        <f>IF(C24="","",IFERROR(_xludf.XLOOKUP(C24,'03_Planificacion'!$A$99:$A$138,'03_Planificacion'!$I$99:$I$138,""),""))</f>
        <v/>
      </c>
      <c r="M24" t="str">
        <f>IF(C24="","",IFERROR(_xludf.XLOOKUP(C24,'03_Planificacion'!$A$99:$A$138,'03_Planificacion'!$J$99:$J$138,""),""))</f>
        <v/>
      </c>
    </row>
    <row r="25" spans="1:13">
      <c r="A25" t="str">
        <f>IF(C25="","","ODT-"&amp;21)</f>
        <v/>
      </c>
      <c r="B25" s="5" t="str">
        <f>IF(C25="","",IFERROR(_xludf.XLOOKUP(C25,'03_Planificacion'!$A$99:$A$138,'03_Planificacion'!$D$99:$D$138,""),""))</f>
        <v/>
      </c>
      <c r="D25" t="str">
        <f>IF(C25="","",IFERROR(_xludf.XLOOKUP(C25,'03_Planificacion'!$A$99:$A$138,'03_Planificacion'!$E$99:$E$138,""),""))</f>
        <v/>
      </c>
      <c r="E25" t="str">
        <f>IF(C25="","",IFERROR(_xludf.XLOOKUP(C25,'03_Planificacion'!$A$99:$A$138,'03_Planificacion'!$F$99:$F$138,""),""))</f>
        <v/>
      </c>
      <c r="F25" t="str">
        <f>IF(C25="","",IFERROR(_xludf.XLOOKUP(C25,'03_Planificacion'!$A$99:$A$138,'03_Planificacion'!$G$99:$G$138,""),""))</f>
        <v/>
      </c>
      <c r="G25" t="str">
        <f>IF(C25="","",IFERROR(_xludf.XLOOKUP(C25,'03_Planificacion'!$A$99:$A$138,'03_Planificacion'!$H$99:$H$138,""),""))</f>
        <v/>
      </c>
      <c r="H25" t="str">
        <f>IF(C25="","",IFERROR(_xludf.XLOOKUP(C25,'03_Planificacion'!$A$99:$A$138,'03_Planificacion'!$N$99:$N$138,""),""))</f>
        <v/>
      </c>
      <c r="I25" t="str">
        <f>IF(C25="","",IFERROR(_xludf.XLOOKUP(C25,'03_Planificacion'!$A$99:$A$138,'03_Planificacion'!$K$99:$K$138,""),""))</f>
        <v/>
      </c>
      <c r="J25" t="str">
        <f>IF(C25="","",IFERROR(_xludf.XLOOKUP(C25,'03_Planificacion'!$A$99:$A$138,'03_Planificacion'!$L$99:$L$138,""),""))</f>
        <v/>
      </c>
      <c r="K25" t="str">
        <f>IF(C25="","",IFERROR(_xludf.XLOOKUP(C25,'03_Planificacion'!$A$99:$A$138,'03_Planificacion'!$M$99:$M$138,""),""))</f>
        <v/>
      </c>
      <c r="L25" t="str">
        <f>IF(C25="","",IFERROR(_xludf.XLOOKUP(C25,'03_Planificacion'!$A$99:$A$138,'03_Planificacion'!$I$99:$I$138,""),""))</f>
        <v/>
      </c>
      <c r="M25" t="str">
        <f>IF(C25="","",IFERROR(_xludf.XLOOKUP(C25,'03_Planificacion'!$A$99:$A$138,'03_Planificacion'!$J$99:$J$138,""),""))</f>
        <v/>
      </c>
    </row>
    <row r="26" spans="1:13">
      <c r="A26" t="str">
        <f>IF(C26="","","ODT-"&amp;22)</f>
        <v/>
      </c>
      <c r="B26" s="5" t="str">
        <f>IF(C26="","",IFERROR(_xludf.XLOOKUP(C26,'03_Planificacion'!$A$99:$A$138,'03_Planificacion'!$D$99:$D$138,""),""))</f>
        <v/>
      </c>
      <c r="D26" t="str">
        <f>IF(C26="","",IFERROR(_xludf.XLOOKUP(C26,'03_Planificacion'!$A$99:$A$138,'03_Planificacion'!$E$99:$E$138,""),""))</f>
        <v/>
      </c>
      <c r="E26" t="str">
        <f>IF(C26="","",IFERROR(_xludf.XLOOKUP(C26,'03_Planificacion'!$A$99:$A$138,'03_Planificacion'!$F$99:$F$138,""),""))</f>
        <v/>
      </c>
      <c r="F26" t="str">
        <f>IF(C26="","",IFERROR(_xludf.XLOOKUP(C26,'03_Planificacion'!$A$99:$A$138,'03_Planificacion'!$G$99:$G$138,""),""))</f>
        <v/>
      </c>
      <c r="G26" t="str">
        <f>IF(C26="","",IFERROR(_xludf.XLOOKUP(C26,'03_Planificacion'!$A$99:$A$138,'03_Planificacion'!$H$99:$H$138,""),""))</f>
        <v/>
      </c>
      <c r="H26" t="str">
        <f>IF(C26="","",IFERROR(_xludf.XLOOKUP(C26,'03_Planificacion'!$A$99:$A$138,'03_Planificacion'!$N$99:$N$138,""),""))</f>
        <v/>
      </c>
      <c r="I26" t="str">
        <f>IF(C26="","",IFERROR(_xludf.XLOOKUP(C26,'03_Planificacion'!$A$99:$A$138,'03_Planificacion'!$K$99:$K$138,""),""))</f>
        <v/>
      </c>
      <c r="J26" t="str">
        <f>IF(C26="","",IFERROR(_xludf.XLOOKUP(C26,'03_Planificacion'!$A$99:$A$138,'03_Planificacion'!$L$99:$L$138,""),""))</f>
        <v/>
      </c>
      <c r="K26" t="str">
        <f>IF(C26="","",IFERROR(_xludf.XLOOKUP(C26,'03_Planificacion'!$A$99:$A$138,'03_Planificacion'!$M$99:$M$138,""),""))</f>
        <v/>
      </c>
      <c r="L26" t="str">
        <f>IF(C26="","",IFERROR(_xludf.XLOOKUP(C26,'03_Planificacion'!$A$99:$A$138,'03_Planificacion'!$I$99:$I$138,""),""))</f>
        <v/>
      </c>
      <c r="M26" t="str">
        <f>IF(C26="","",IFERROR(_xludf.XLOOKUP(C26,'03_Planificacion'!$A$99:$A$138,'03_Planificacion'!$J$99:$J$138,""),""))</f>
        <v/>
      </c>
    </row>
    <row r="27" spans="1:13">
      <c r="A27" t="str">
        <f>IF(C27="","","ODT-"&amp;23)</f>
        <v/>
      </c>
      <c r="B27" s="5" t="str">
        <f>IF(C27="","",IFERROR(_xludf.XLOOKUP(C27,'03_Planificacion'!$A$99:$A$138,'03_Planificacion'!$D$99:$D$138,""),""))</f>
        <v/>
      </c>
      <c r="D27" t="str">
        <f>IF(C27="","",IFERROR(_xludf.XLOOKUP(C27,'03_Planificacion'!$A$99:$A$138,'03_Planificacion'!$E$99:$E$138,""),""))</f>
        <v/>
      </c>
      <c r="E27" t="str">
        <f>IF(C27="","",IFERROR(_xludf.XLOOKUP(C27,'03_Planificacion'!$A$99:$A$138,'03_Planificacion'!$F$99:$F$138,""),""))</f>
        <v/>
      </c>
      <c r="F27" t="str">
        <f>IF(C27="","",IFERROR(_xludf.XLOOKUP(C27,'03_Planificacion'!$A$99:$A$138,'03_Planificacion'!$G$99:$G$138,""),""))</f>
        <v/>
      </c>
      <c r="G27" t="str">
        <f>IF(C27="","",IFERROR(_xludf.XLOOKUP(C27,'03_Planificacion'!$A$99:$A$138,'03_Planificacion'!$H$99:$H$138,""),""))</f>
        <v/>
      </c>
      <c r="H27" t="str">
        <f>IF(C27="","",IFERROR(_xludf.XLOOKUP(C27,'03_Planificacion'!$A$99:$A$138,'03_Planificacion'!$N$99:$N$138,""),""))</f>
        <v/>
      </c>
      <c r="I27" t="str">
        <f>IF(C27="","",IFERROR(_xludf.XLOOKUP(C27,'03_Planificacion'!$A$99:$A$138,'03_Planificacion'!$K$99:$K$138,""),""))</f>
        <v/>
      </c>
      <c r="J27" t="str">
        <f>IF(C27="","",IFERROR(_xludf.XLOOKUP(C27,'03_Planificacion'!$A$99:$A$138,'03_Planificacion'!$L$99:$L$138,""),""))</f>
        <v/>
      </c>
      <c r="K27" t="str">
        <f>IF(C27="","",IFERROR(_xludf.XLOOKUP(C27,'03_Planificacion'!$A$99:$A$138,'03_Planificacion'!$M$99:$M$138,""),""))</f>
        <v/>
      </c>
      <c r="L27" t="str">
        <f>IF(C27="","",IFERROR(_xludf.XLOOKUP(C27,'03_Planificacion'!$A$99:$A$138,'03_Planificacion'!$I$99:$I$138,""),""))</f>
        <v/>
      </c>
      <c r="M27" t="str">
        <f>IF(C27="","",IFERROR(_xludf.XLOOKUP(C27,'03_Planificacion'!$A$99:$A$138,'03_Planificacion'!$J$99:$J$138,""),""))</f>
        <v/>
      </c>
    </row>
    <row r="28" spans="1:13">
      <c r="A28" t="str">
        <f>IF(C28="","","ODT-"&amp;24)</f>
        <v/>
      </c>
      <c r="B28" s="5" t="str">
        <f>IF(C28="","",IFERROR(_xludf.XLOOKUP(C28,'03_Planificacion'!$A$99:$A$138,'03_Planificacion'!$D$99:$D$138,""),""))</f>
        <v/>
      </c>
      <c r="D28" t="str">
        <f>IF(C28="","",IFERROR(_xludf.XLOOKUP(C28,'03_Planificacion'!$A$99:$A$138,'03_Planificacion'!$E$99:$E$138,""),""))</f>
        <v/>
      </c>
      <c r="E28" t="str">
        <f>IF(C28="","",IFERROR(_xludf.XLOOKUP(C28,'03_Planificacion'!$A$99:$A$138,'03_Planificacion'!$F$99:$F$138,""),""))</f>
        <v/>
      </c>
      <c r="F28" t="str">
        <f>IF(C28="","",IFERROR(_xludf.XLOOKUP(C28,'03_Planificacion'!$A$99:$A$138,'03_Planificacion'!$G$99:$G$138,""),""))</f>
        <v/>
      </c>
      <c r="G28" t="str">
        <f>IF(C28="","",IFERROR(_xludf.XLOOKUP(C28,'03_Planificacion'!$A$99:$A$138,'03_Planificacion'!$H$99:$H$138,""),""))</f>
        <v/>
      </c>
      <c r="H28" t="str">
        <f>IF(C28="","",IFERROR(_xludf.XLOOKUP(C28,'03_Planificacion'!$A$99:$A$138,'03_Planificacion'!$N$99:$N$138,""),""))</f>
        <v/>
      </c>
      <c r="I28" t="str">
        <f>IF(C28="","",IFERROR(_xludf.XLOOKUP(C28,'03_Planificacion'!$A$99:$A$138,'03_Planificacion'!$K$99:$K$138,""),""))</f>
        <v/>
      </c>
      <c r="J28" t="str">
        <f>IF(C28="","",IFERROR(_xludf.XLOOKUP(C28,'03_Planificacion'!$A$99:$A$138,'03_Planificacion'!$L$99:$L$138,""),""))</f>
        <v/>
      </c>
      <c r="K28" t="str">
        <f>IF(C28="","",IFERROR(_xludf.XLOOKUP(C28,'03_Planificacion'!$A$99:$A$138,'03_Planificacion'!$M$99:$M$138,""),""))</f>
        <v/>
      </c>
      <c r="L28" t="str">
        <f>IF(C28="","",IFERROR(_xludf.XLOOKUP(C28,'03_Planificacion'!$A$99:$A$138,'03_Planificacion'!$I$99:$I$138,""),""))</f>
        <v/>
      </c>
      <c r="M28" t="str">
        <f>IF(C28="","",IFERROR(_xludf.XLOOKUP(C28,'03_Planificacion'!$A$99:$A$138,'03_Planificacion'!$J$99:$J$138,""),""))</f>
        <v/>
      </c>
    </row>
    <row r="29" spans="1:13">
      <c r="A29" t="str">
        <f>IF(C29="","","ODT-"&amp;25)</f>
        <v/>
      </c>
      <c r="B29" s="5" t="str">
        <f>IF(C29="","",IFERROR(_xludf.XLOOKUP(C29,'03_Planificacion'!$A$99:$A$138,'03_Planificacion'!$D$99:$D$138,""),""))</f>
        <v/>
      </c>
      <c r="D29" t="str">
        <f>IF(C29="","",IFERROR(_xludf.XLOOKUP(C29,'03_Planificacion'!$A$99:$A$138,'03_Planificacion'!$E$99:$E$138,""),""))</f>
        <v/>
      </c>
      <c r="E29" t="str">
        <f>IF(C29="","",IFERROR(_xludf.XLOOKUP(C29,'03_Planificacion'!$A$99:$A$138,'03_Planificacion'!$F$99:$F$138,""),""))</f>
        <v/>
      </c>
      <c r="F29" t="str">
        <f>IF(C29="","",IFERROR(_xludf.XLOOKUP(C29,'03_Planificacion'!$A$99:$A$138,'03_Planificacion'!$G$99:$G$138,""),""))</f>
        <v/>
      </c>
      <c r="G29" t="str">
        <f>IF(C29="","",IFERROR(_xludf.XLOOKUP(C29,'03_Planificacion'!$A$99:$A$138,'03_Planificacion'!$H$99:$H$138,""),""))</f>
        <v/>
      </c>
      <c r="H29" t="str">
        <f>IF(C29="","",IFERROR(_xludf.XLOOKUP(C29,'03_Planificacion'!$A$99:$A$138,'03_Planificacion'!$N$99:$N$138,""),""))</f>
        <v/>
      </c>
      <c r="I29" t="str">
        <f>IF(C29="","",IFERROR(_xludf.XLOOKUP(C29,'03_Planificacion'!$A$99:$A$138,'03_Planificacion'!$K$99:$K$138,""),""))</f>
        <v/>
      </c>
      <c r="J29" t="str">
        <f>IF(C29="","",IFERROR(_xludf.XLOOKUP(C29,'03_Planificacion'!$A$99:$A$138,'03_Planificacion'!$L$99:$L$138,""),""))</f>
        <v/>
      </c>
      <c r="K29" t="str">
        <f>IF(C29="","",IFERROR(_xludf.XLOOKUP(C29,'03_Planificacion'!$A$99:$A$138,'03_Planificacion'!$M$99:$M$138,""),""))</f>
        <v/>
      </c>
      <c r="L29" t="str">
        <f>IF(C29="","",IFERROR(_xludf.XLOOKUP(C29,'03_Planificacion'!$A$99:$A$138,'03_Planificacion'!$I$99:$I$138,""),""))</f>
        <v/>
      </c>
      <c r="M29" t="str">
        <f>IF(C29="","",IFERROR(_xludf.XLOOKUP(C29,'03_Planificacion'!$A$99:$A$138,'03_Planificacion'!$J$99:$J$138,""),""))</f>
        <v/>
      </c>
    </row>
    <row r="30" spans="1:13">
      <c r="A30" t="str">
        <f>IF(C30="","","ODT-"&amp;26)</f>
        <v/>
      </c>
      <c r="B30" s="5" t="str">
        <f>IF(C30="","",IFERROR(_xludf.XLOOKUP(C30,'03_Planificacion'!$A$99:$A$138,'03_Planificacion'!$D$99:$D$138,""),""))</f>
        <v/>
      </c>
      <c r="D30" t="str">
        <f>IF(C30="","",IFERROR(_xludf.XLOOKUP(C30,'03_Planificacion'!$A$99:$A$138,'03_Planificacion'!$E$99:$E$138,""),""))</f>
        <v/>
      </c>
      <c r="E30" t="str">
        <f>IF(C30="","",IFERROR(_xludf.XLOOKUP(C30,'03_Planificacion'!$A$99:$A$138,'03_Planificacion'!$F$99:$F$138,""),""))</f>
        <v/>
      </c>
      <c r="F30" t="str">
        <f>IF(C30="","",IFERROR(_xludf.XLOOKUP(C30,'03_Planificacion'!$A$99:$A$138,'03_Planificacion'!$G$99:$G$138,""),""))</f>
        <v/>
      </c>
      <c r="G30" t="str">
        <f>IF(C30="","",IFERROR(_xludf.XLOOKUP(C30,'03_Planificacion'!$A$99:$A$138,'03_Planificacion'!$H$99:$H$138,""),""))</f>
        <v/>
      </c>
      <c r="H30" t="str">
        <f>IF(C30="","",IFERROR(_xludf.XLOOKUP(C30,'03_Planificacion'!$A$99:$A$138,'03_Planificacion'!$N$99:$N$138,""),""))</f>
        <v/>
      </c>
      <c r="I30" t="str">
        <f>IF(C30="","",IFERROR(_xludf.XLOOKUP(C30,'03_Planificacion'!$A$99:$A$138,'03_Planificacion'!$K$99:$K$138,""),""))</f>
        <v/>
      </c>
      <c r="J30" t="str">
        <f>IF(C30="","",IFERROR(_xludf.XLOOKUP(C30,'03_Planificacion'!$A$99:$A$138,'03_Planificacion'!$L$99:$L$138,""),""))</f>
        <v/>
      </c>
      <c r="K30" t="str">
        <f>IF(C30="","",IFERROR(_xludf.XLOOKUP(C30,'03_Planificacion'!$A$99:$A$138,'03_Planificacion'!$M$99:$M$138,""),""))</f>
        <v/>
      </c>
      <c r="L30" t="str">
        <f>IF(C30="","",IFERROR(_xludf.XLOOKUP(C30,'03_Planificacion'!$A$99:$A$138,'03_Planificacion'!$I$99:$I$138,""),""))</f>
        <v/>
      </c>
      <c r="M30" t="str">
        <f>IF(C30="","",IFERROR(_xludf.XLOOKUP(C30,'03_Planificacion'!$A$99:$A$138,'03_Planificacion'!$J$99:$J$138,""),""))</f>
        <v/>
      </c>
    </row>
    <row r="31" spans="1:13">
      <c r="A31" t="str">
        <f>IF(C31="","","ODT-"&amp;27)</f>
        <v/>
      </c>
      <c r="B31" s="5" t="str">
        <f>IF(C31="","",IFERROR(_xludf.XLOOKUP(C31,'03_Planificacion'!$A$99:$A$138,'03_Planificacion'!$D$99:$D$138,""),""))</f>
        <v/>
      </c>
      <c r="D31" t="str">
        <f>IF(C31="","",IFERROR(_xludf.XLOOKUP(C31,'03_Planificacion'!$A$99:$A$138,'03_Planificacion'!$E$99:$E$138,""),""))</f>
        <v/>
      </c>
      <c r="E31" t="str">
        <f>IF(C31="","",IFERROR(_xludf.XLOOKUP(C31,'03_Planificacion'!$A$99:$A$138,'03_Planificacion'!$F$99:$F$138,""),""))</f>
        <v/>
      </c>
      <c r="F31" t="str">
        <f>IF(C31="","",IFERROR(_xludf.XLOOKUP(C31,'03_Planificacion'!$A$99:$A$138,'03_Planificacion'!$G$99:$G$138,""),""))</f>
        <v/>
      </c>
      <c r="G31" t="str">
        <f>IF(C31="","",IFERROR(_xludf.XLOOKUP(C31,'03_Planificacion'!$A$99:$A$138,'03_Planificacion'!$H$99:$H$138,""),""))</f>
        <v/>
      </c>
      <c r="H31" t="str">
        <f>IF(C31="","",IFERROR(_xludf.XLOOKUP(C31,'03_Planificacion'!$A$99:$A$138,'03_Planificacion'!$N$99:$N$138,""),""))</f>
        <v/>
      </c>
      <c r="I31" t="str">
        <f>IF(C31="","",IFERROR(_xludf.XLOOKUP(C31,'03_Planificacion'!$A$99:$A$138,'03_Planificacion'!$K$99:$K$138,""),""))</f>
        <v/>
      </c>
      <c r="J31" t="str">
        <f>IF(C31="","",IFERROR(_xludf.XLOOKUP(C31,'03_Planificacion'!$A$99:$A$138,'03_Planificacion'!$L$99:$L$138,""),""))</f>
        <v/>
      </c>
      <c r="K31" t="str">
        <f>IF(C31="","",IFERROR(_xludf.XLOOKUP(C31,'03_Planificacion'!$A$99:$A$138,'03_Planificacion'!$M$99:$M$138,""),""))</f>
        <v/>
      </c>
      <c r="L31" t="str">
        <f>IF(C31="","",IFERROR(_xludf.XLOOKUP(C31,'03_Planificacion'!$A$99:$A$138,'03_Planificacion'!$I$99:$I$138,""),""))</f>
        <v/>
      </c>
      <c r="M31" t="str">
        <f>IF(C31="","",IFERROR(_xludf.XLOOKUP(C31,'03_Planificacion'!$A$99:$A$138,'03_Planificacion'!$J$99:$J$138,""),""))</f>
        <v/>
      </c>
    </row>
    <row r="32" spans="1:13">
      <c r="A32" t="str">
        <f>IF(C32="","","ODT-"&amp;28)</f>
        <v/>
      </c>
      <c r="B32" s="5" t="str">
        <f>IF(C32="","",IFERROR(_xludf.XLOOKUP(C32,'03_Planificacion'!$A$99:$A$138,'03_Planificacion'!$D$99:$D$138,""),""))</f>
        <v/>
      </c>
      <c r="D32" t="str">
        <f>IF(C32="","",IFERROR(_xludf.XLOOKUP(C32,'03_Planificacion'!$A$99:$A$138,'03_Planificacion'!$E$99:$E$138,""),""))</f>
        <v/>
      </c>
      <c r="E32" t="str">
        <f>IF(C32="","",IFERROR(_xludf.XLOOKUP(C32,'03_Planificacion'!$A$99:$A$138,'03_Planificacion'!$F$99:$F$138,""),""))</f>
        <v/>
      </c>
      <c r="F32" t="str">
        <f>IF(C32="","",IFERROR(_xludf.XLOOKUP(C32,'03_Planificacion'!$A$99:$A$138,'03_Planificacion'!$G$99:$G$138,""),""))</f>
        <v/>
      </c>
      <c r="G32" t="str">
        <f>IF(C32="","",IFERROR(_xludf.XLOOKUP(C32,'03_Planificacion'!$A$99:$A$138,'03_Planificacion'!$H$99:$H$138,""),""))</f>
        <v/>
      </c>
      <c r="H32" t="str">
        <f>IF(C32="","",IFERROR(_xludf.XLOOKUP(C32,'03_Planificacion'!$A$99:$A$138,'03_Planificacion'!$N$99:$N$138,""),""))</f>
        <v/>
      </c>
      <c r="I32" t="str">
        <f>IF(C32="","",IFERROR(_xludf.XLOOKUP(C32,'03_Planificacion'!$A$99:$A$138,'03_Planificacion'!$K$99:$K$138,""),""))</f>
        <v/>
      </c>
      <c r="J32" t="str">
        <f>IF(C32="","",IFERROR(_xludf.XLOOKUP(C32,'03_Planificacion'!$A$99:$A$138,'03_Planificacion'!$L$99:$L$138,""),""))</f>
        <v/>
      </c>
      <c r="K32" t="str">
        <f>IF(C32="","",IFERROR(_xludf.XLOOKUP(C32,'03_Planificacion'!$A$99:$A$138,'03_Planificacion'!$M$99:$M$138,""),""))</f>
        <v/>
      </c>
      <c r="L32" t="str">
        <f>IF(C32="","",IFERROR(_xludf.XLOOKUP(C32,'03_Planificacion'!$A$99:$A$138,'03_Planificacion'!$I$99:$I$138,""),""))</f>
        <v/>
      </c>
      <c r="M32" t="str">
        <f>IF(C32="","",IFERROR(_xludf.XLOOKUP(C32,'03_Planificacion'!$A$99:$A$138,'03_Planificacion'!$J$99:$J$138,""),""))</f>
        <v/>
      </c>
    </row>
    <row r="33" spans="1:13">
      <c r="A33" t="str">
        <f>IF(C33="","","ODT-"&amp;29)</f>
        <v/>
      </c>
      <c r="B33" s="5" t="str">
        <f>IF(C33="","",IFERROR(_xludf.XLOOKUP(C33,'03_Planificacion'!$A$99:$A$138,'03_Planificacion'!$D$99:$D$138,""),""))</f>
        <v/>
      </c>
      <c r="D33" t="str">
        <f>IF(C33="","",IFERROR(_xludf.XLOOKUP(C33,'03_Planificacion'!$A$99:$A$138,'03_Planificacion'!$E$99:$E$138,""),""))</f>
        <v/>
      </c>
      <c r="E33" t="str">
        <f>IF(C33="","",IFERROR(_xludf.XLOOKUP(C33,'03_Planificacion'!$A$99:$A$138,'03_Planificacion'!$F$99:$F$138,""),""))</f>
        <v/>
      </c>
      <c r="F33" t="str">
        <f>IF(C33="","",IFERROR(_xludf.XLOOKUP(C33,'03_Planificacion'!$A$99:$A$138,'03_Planificacion'!$G$99:$G$138,""),""))</f>
        <v/>
      </c>
      <c r="G33" t="str">
        <f>IF(C33="","",IFERROR(_xludf.XLOOKUP(C33,'03_Planificacion'!$A$99:$A$138,'03_Planificacion'!$H$99:$H$138,""),""))</f>
        <v/>
      </c>
      <c r="H33" t="str">
        <f>IF(C33="","",IFERROR(_xludf.XLOOKUP(C33,'03_Planificacion'!$A$99:$A$138,'03_Planificacion'!$N$99:$N$138,""),""))</f>
        <v/>
      </c>
      <c r="I33" t="str">
        <f>IF(C33="","",IFERROR(_xludf.XLOOKUP(C33,'03_Planificacion'!$A$99:$A$138,'03_Planificacion'!$K$99:$K$138,""),""))</f>
        <v/>
      </c>
      <c r="J33" t="str">
        <f>IF(C33="","",IFERROR(_xludf.XLOOKUP(C33,'03_Planificacion'!$A$99:$A$138,'03_Planificacion'!$L$99:$L$138,""),""))</f>
        <v/>
      </c>
      <c r="K33" t="str">
        <f>IF(C33="","",IFERROR(_xludf.XLOOKUP(C33,'03_Planificacion'!$A$99:$A$138,'03_Planificacion'!$M$99:$M$138,""),""))</f>
        <v/>
      </c>
      <c r="L33" t="str">
        <f>IF(C33="","",IFERROR(_xludf.XLOOKUP(C33,'03_Planificacion'!$A$99:$A$138,'03_Planificacion'!$I$99:$I$138,""),""))</f>
        <v/>
      </c>
      <c r="M33" t="str">
        <f>IF(C33="","",IFERROR(_xludf.XLOOKUP(C33,'03_Planificacion'!$A$99:$A$138,'03_Planificacion'!$J$99:$J$138,""),""))</f>
        <v/>
      </c>
    </row>
    <row r="34" spans="1:13">
      <c r="A34" t="str">
        <f>IF(C34="","","ODT-"&amp;30)</f>
        <v/>
      </c>
      <c r="B34" s="5" t="str">
        <f>IF(C34="","",IFERROR(_xludf.XLOOKUP(C34,'03_Planificacion'!$A$99:$A$138,'03_Planificacion'!$D$99:$D$138,""),""))</f>
        <v/>
      </c>
      <c r="D34" t="str">
        <f>IF(C34="","",IFERROR(_xludf.XLOOKUP(C34,'03_Planificacion'!$A$99:$A$138,'03_Planificacion'!$E$99:$E$138,""),""))</f>
        <v/>
      </c>
      <c r="E34" t="str">
        <f>IF(C34="","",IFERROR(_xludf.XLOOKUP(C34,'03_Planificacion'!$A$99:$A$138,'03_Planificacion'!$F$99:$F$138,""),""))</f>
        <v/>
      </c>
      <c r="F34" t="str">
        <f>IF(C34="","",IFERROR(_xludf.XLOOKUP(C34,'03_Planificacion'!$A$99:$A$138,'03_Planificacion'!$G$99:$G$138,""),""))</f>
        <v/>
      </c>
      <c r="G34" t="str">
        <f>IF(C34="","",IFERROR(_xludf.XLOOKUP(C34,'03_Planificacion'!$A$99:$A$138,'03_Planificacion'!$H$99:$H$138,""),""))</f>
        <v/>
      </c>
      <c r="H34" t="str">
        <f>IF(C34="","",IFERROR(_xludf.XLOOKUP(C34,'03_Planificacion'!$A$99:$A$138,'03_Planificacion'!$N$99:$N$138,""),""))</f>
        <v/>
      </c>
      <c r="I34" t="str">
        <f>IF(C34="","",IFERROR(_xludf.XLOOKUP(C34,'03_Planificacion'!$A$99:$A$138,'03_Planificacion'!$K$99:$K$138,""),""))</f>
        <v/>
      </c>
      <c r="J34" t="str">
        <f>IF(C34="","",IFERROR(_xludf.XLOOKUP(C34,'03_Planificacion'!$A$99:$A$138,'03_Planificacion'!$L$99:$L$138,""),""))</f>
        <v/>
      </c>
      <c r="K34" t="str">
        <f>IF(C34="","",IFERROR(_xludf.XLOOKUP(C34,'03_Planificacion'!$A$99:$A$138,'03_Planificacion'!$M$99:$M$138,""),""))</f>
        <v/>
      </c>
      <c r="L34" t="str">
        <f>IF(C34="","",IFERROR(_xludf.XLOOKUP(C34,'03_Planificacion'!$A$99:$A$138,'03_Planificacion'!$I$99:$I$138,""),""))</f>
        <v/>
      </c>
      <c r="M34" t="str">
        <f>IF(C34="","",IFERROR(_xludf.XLOOKUP(C34,'03_Planificacion'!$A$99:$A$138,'03_Planificacion'!$J$99:$J$138,""),""))</f>
        <v/>
      </c>
    </row>
    <row r="35" spans="1:13">
      <c r="A35" t="str">
        <f>IF(C35="","","ODT-"&amp;31)</f>
        <v/>
      </c>
      <c r="B35" s="5" t="str">
        <f>IF(C35="","",IFERROR(_xludf.XLOOKUP(C35,'03_Planificacion'!$A$99:$A$138,'03_Planificacion'!$D$99:$D$138,""),""))</f>
        <v/>
      </c>
      <c r="D35" t="str">
        <f>IF(C35="","",IFERROR(_xludf.XLOOKUP(C35,'03_Planificacion'!$A$99:$A$138,'03_Planificacion'!$E$99:$E$138,""),""))</f>
        <v/>
      </c>
      <c r="E35" t="str">
        <f>IF(C35="","",IFERROR(_xludf.XLOOKUP(C35,'03_Planificacion'!$A$99:$A$138,'03_Planificacion'!$F$99:$F$138,""),""))</f>
        <v/>
      </c>
      <c r="F35" t="str">
        <f>IF(C35="","",IFERROR(_xludf.XLOOKUP(C35,'03_Planificacion'!$A$99:$A$138,'03_Planificacion'!$G$99:$G$138,""),""))</f>
        <v/>
      </c>
      <c r="G35" t="str">
        <f>IF(C35="","",IFERROR(_xludf.XLOOKUP(C35,'03_Planificacion'!$A$99:$A$138,'03_Planificacion'!$H$99:$H$138,""),""))</f>
        <v/>
      </c>
      <c r="H35" t="str">
        <f>IF(C35="","",IFERROR(_xludf.XLOOKUP(C35,'03_Planificacion'!$A$99:$A$138,'03_Planificacion'!$N$99:$N$138,""),""))</f>
        <v/>
      </c>
      <c r="I35" t="str">
        <f>IF(C35="","",IFERROR(_xludf.XLOOKUP(C35,'03_Planificacion'!$A$99:$A$138,'03_Planificacion'!$K$99:$K$138,""),""))</f>
        <v/>
      </c>
      <c r="J35" t="str">
        <f>IF(C35="","",IFERROR(_xludf.XLOOKUP(C35,'03_Planificacion'!$A$99:$A$138,'03_Planificacion'!$L$99:$L$138,""),""))</f>
        <v/>
      </c>
      <c r="K35" t="str">
        <f>IF(C35="","",IFERROR(_xludf.XLOOKUP(C35,'03_Planificacion'!$A$99:$A$138,'03_Planificacion'!$M$99:$M$138,""),""))</f>
        <v/>
      </c>
      <c r="L35" t="str">
        <f>IF(C35="","",IFERROR(_xludf.XLOOKUP(C35,'03_Planificacion'!$A$99:$A$138,'03_Planificacion'!$I$99:$I$138,""),""))</f>
        <v/>
      </c>
      <c r="M35" t="str">
        <f>IF(C35="","",IFERROR(_xludf.XLOOKUP(C35,'03_Planificacion'!$A$99:$A$138,'03_Planificacion'!$J$99:$J$138,""),""))</f>
        <v/>
      </c>
    </row>
    <row r="36" spans="1:13">
      <c r="A36" t="str">
        <f>IF(C36="","","ODT-"&amp;32)</f>
        <v/>
      </c>
      <c r="B36" s="5" t="str">
        <f>IF(C36="","",IFERROR(_xludf.XLOOKUP(C36,'03_Planificacion'!$A$99:$A$138,'03_Planificacion'!$D$99:$D$138,""),""))</f>
        <v/>
      </c>
      <c r="D36" t="str">
        <f>IF(C36="","",IFERROR(_xludf.XLOOKUP(C36,'03_Planificacion'!$A$99:$A$138,'03_Planificacion'!$E$99:$E$138,""),""))</f>
        <v/>
      </c>
      <c r="E36" t="str">
        <f>IF(C36="","",IFERROR(_xludf.XLOOKUP(C36,'03_Planificacion'!$A$99:$A$138,'03_Planificacion'!$F$99:$F$138,""),""))</f>
        <v/>
      </c>
      <c r="F36" t="str">
        <f>IF(C36="","",IFERROR(_xludf.XLOOKUP(C36,'03_Planificacion'!$A$99:$A$138,'03_Planificacion'!$G$99:$G$138,""),""))</f>
        <v/>
      </c>
      <c r="G36" t="str">
        <f>IF(C36="","",IFERROR(_xludf.XLOOKUP(C36,'03_Planificacion'!$A$99:$A$138,'03_Planificacion'!$H$99:$H$138,""),""))</f>
        <v/>
      </c>
      <c r="H36" t="str">
        <f>IF(C36="","",IFERROR(_xludf.XLOOKUP(C36,'03_Planificacion'!$A$99:$A$138,'03_Planificacion'!$N$99:$N$138,""),""))</f>
        <v/>
      </c>
      <c r="I36" t="str">
        <f>IF(C36="","",IFERROR(_xludf.XLOOKUP(C36,'03_Planificacion'!$A$99:$A$138,'03_Planificacion'!$K$99:$K$138,""),""))</f>
        <v/>
      </c>
      <c r="J36" t="str">
        <f>IF(C36="","",IFERROR(_xludf.XLOOKUP(C36,'03_Planificacion'!$A$99:$A$138,'03_Planificacion'!$L$99:$L$138,""),""))</f>
        <v/>
      </c>
      <c r="K36" t="str">
        <f>IF(C36="","",IFERROR(_xludf.XLOOKUP(C36,'03_Planificacion'!$A$99:$A$138,'03_Planificacion'!$M$99:$M$138,""),""))</f>
        <v/>
      </c>
      <c r="L36" t="str">
        <f>IF(C36="","",IFERROR(_xludf.XLOOKUP(C36,'03_Planificacion'!$A$99:$A$138,'03_Planificacion'!$I$99:$I$138,""),""))</f>
        <v/>
      </c>
      <c r="M36" t="str">
        <f>IF(C36="","",IFERROR(_xludf.XLOOKUP(C36,'03_Planificacion'!$A$99:$A$138,'03_Planificacion'!$J$99:$J$138,""),""))</f>
        <v/>
      </c>
    </row>
    <row r="37" spans="1:13">
      <c r="A37" t="str">
        <f>IF(C37="","","ODT-"&amp;33)</f>
        <v/>
      </c>
      <c r="B37" s="5" t="str">
        <f>IF(C37="","",IFERROR(_xludf.XLOOKUP(C37,'03_Planificacion'!$A$99:$A$138,'03_Planificacion'!$D$99:$D$138,""),""))</f>
        <v/>
      </c>
      <c r="D37" t="str">
        <f>IF(C37="","",IFERROR(_xludf.XLOOKUP(C37,'03_Planificacion'!$A$99:$A$138,'03_Planificacion'!$E$99:$E$138,""),""))</f>
        <v/>
      </c>
      <c r="E37" t="str">
        <f>IF(C37="","",IFERROR(_xludf.XLOOKUP(C37,'03_Planificacion'!$A$99:$A$138,'03_Planificacion'!$F$99:$F$138,""),""))</f>
        <v/>
      </c>
      <c r="F37" t="str">
        <f>IF(C37="","",IFERROR(_xludf.XLOOKUP(C37,'03_Planificacion'!$A$99:$A$138,'03_Planificacion'!$G$99:$G$138,""),""))</f>
        <v/>
      </c>
      <c r="G37" t="str">
        <f>IF(C37="","",IFERROR(_xludf.XLOOKUP(C37,'03_Planificacion'!$A$99:$A$138,'03_Planificacion'!$H$99:$H$138,""),""))</f>
        <v/>
      </c>
      <c r="H37" t="str">
        <f>IF(C37="","",IFERROR(_xludf.XLOOKUP(C37,'03_Planificacion'!$A$99:$A$138,'03_Planificacion'!$N$99:$N$138,""),""))</f>
        <v/>
      </c>
      <c r="I37" t="str">
        <f>IF(C37="","",IFERROR(_xludf.XLOOKUP(C37,'03_Planificacion'!$A$99:$A$138,'03_Planificacion'!$K$99:$K$138,""),""))</f>
        <v/>
      </c>
      <c r="J37" t="str">
        <f>IF(C37="","",IFERROR(_xludf.XLOOKUP(C37,'03_Planificacion'!$A$99:$A$138,'03_Planificacion'!$L$99:$L$138,""),""))</f>
        <v/>
      </c>
      <c r="K37" t="str">
        <f>IF(C37="","",IFERROR(_xludf.XLOOKUP(C37,'03_Planificacion'!$A$99:$A$138,'03_Planificacion'!$M$99:$M$138,""),""))</f>
        <v/>
      </c>
      <c r="L37" t="str">
        <f>IF(C37="","",IFERROR(_xludf.XLOOKUP(C37,'03_Planificacion'!$A$99:$A$138,'03_Planificacion'!$I$99:$I$138,""),""))</f>
        <v/>
      </c>
      <c r="M37" t="str">
        <f>IF(C37="","",IFERROR(_xludf.XLOOKUP(C37,'03_Planificacion'!$A$99:$A$138,'03_Planificacion'!$J$99:$J$138,""),""))</f>
        <v/>
      </c>
    </row>
    <row r="38" spans="1:13">
      <c r="A38" t="str">
        <f>IF(C38="","","ODT-"&amp;34)</f>
        <v/>
      </c>
      <c r="B38" s="5" t="str">
        <f>IF(C38="","",IFERROR(_xludf.XLOOKUP(C38,'03_Planificacion'!$A$99:$A$138,'03_Planificacion'!$D$99:$D$138,""),""))</f>
        <v/>
      </c>
      <c r="D38" t="str">
        <f>IF(C38="","",IFERROR(_xludf.XLOOKUP(C38,'03_Planificacion'!$A$99:$A$138,'03_Planificacion'!$E$99:$E$138,""),""))</f>
        <v/>
      </c>
      <c r="E38" t="str">
        <f>IF(C38="","",IFERROR(_xludf.XLOOKUP(C38,'03_Planificacion'!$A$99:$A$138,'03_Planificacion'!$F$99:$F$138,""),""))</f>
        <v/>
      </c>
      <c r="F38" t="str">
        <f>IF(C38="","",IFERROR(_xludf.XLOOKUP(C38,'03_Planificacion'!$A$99:$A$138,'03_Planificacion'!$G$99:$G$138,""),""))</f>
        <v/>
      </c>
      <c r="G38" t="str">
        <f>IF(C38="","",IFERROR(_xludf.XLOOKUP(C38,'03_Planificacion'!$A$99:$A$138,'03_Planificacion'!$H$99:$H$138,""),""))</f>
        <v/>
      </c>
      <c r="H38" t="str">
        <f>IF(C38="","",IFERROR(_xludf.XLOOKUP(C38,'03_Planificacion'!$A$99:$A$138,'03_Planificacion'!$N$99:$N$138,""),""))</f>
        <v/>
      </c>
      <c r="I38" t="str">
        <f>IF(C38="","",IFERROR(_xludf.XLOOKUP(C38,'03_Planificacion'!$A$99:$A$138,'03_Planificacion'!$K$99:$K$138,""),""))</f>
        <v/>
      </c>
      <c r="J38" t="str">
        <f>IF(C38="","",IFERROR(_xludf.XLOOKUP(C38,'03_Planificacion'!$A$99:$A$138,'03_Planificacion'!$L$99:$L$138,""),""))</f>
        <v/>
      </c>
      <c r="K38" t="str">
        <f>IF(C38="","",IFERROR(_xludf.XLOOKUP(C38,'03_Planificacion'!$A$99:$A$138,'03_Planificacion'!$M$99:$M$138,""),""))</f>
        <v/>
      </c>
      <c r="L38" t="str">
        <f>IF(C38="","",IFERROR(_xludf.XLOOKUP(C38,'03_Planificacion'!$A$99:$A$138,'03_Planificacion'!$I$99:$I$138,""),""))</f>
        <v/>
      </c>
      <c r="M38" t="str">
        <f>IF(C38="","",IFERROR(_xludf.XLOOKUP(C38,'03_Planificacion'!$A$99:$A$138,'03_Planificacion'!$J$99:$J$138,""),""))</f>
        <v/>
      </c>
    </row>
    <row r="39" spans="1:13">
      <c r="A39" t="str">
        <f>IF(C39="","","ODT-"&amp;35)</f>
        <v/>
      </c>
      <c r="B39" s="5" t="str">
        <f>IF(C39="","",IFERROR(_xludf.XLOOKUP(C39,'03_Planificacion'!$A$99:$A$138,'03_Planificacion'!$D$99:$D$138,""),""))</f>
        <v/>
      </c>
      <c r="D39" t="str">
        <f>IF(C39="","",IFERROR(_xludf.XLOOKUP(C39,'03_Planificacion'!$A$99:$A$138,'03_Planificacion'!$E$99:$E$138,""),""))</f>
        <v/>
      </c>
      <c r="E39" t="str">
        <f>IF(C39="","",IFERROR(_xludf.XLOOKUP(C39,'03_Planificacion'!$A$99:$A$138,'03_Planificacion'!$F$99:$F$138,""),""))</f>
        <v/>
      </c>
      <c r="F39" t="str">
        <f>IF(C39="","",IFERROR(_xludf.XLOOKUP(C39,'03_Planificacion'!$A$99:$A$138,'03_Planificacion'!$G$99:$G$138,""),""))</f>
        <v/>
      </c>
      <c r="G39" t="str">
        <f>IF(C39="","",IFERROR(_xludf.XLOOKUP(C39,'03_Planificacion'!$A$99:$A$138,'03_Planificacion'!$H$99:$H$138,""),""))</f>
        <v/>
      </c>
      <c r="H39" t="str">
        <f>IF(C39="","",IFERROR(_xludf.XLOOKUP(C39,'03_Planificacion'!$A$99:$A$138,'03_Planificacion'!$N$99:$N$138,""),""))</f>
        <v/>
      </c>
      <c r="I39" t="str">
        <f>IF(C39="","",IFERROR(_xludf.XLOOKUP(C39,'03_Planificacion'!$A$99:$A$138,'03_Planificacion'!$K$99:$K$138,""),""))</f>
        <v/>
      </c>
      <c r="J39" t="str">
        <f>IF(C39="","",IFERROR(_xludf.XLOOKUP(C39,'03_Planificacion'!$A$99:$A$138,'03_Planificacion'!$L$99:$L$138,""),""))</f>
        <v/>
      </c>
      <c r="K39" t="str">
        <f>IF(C39="","",IFERROR(_xludf.XLOOKUP(C39,'03_Planificacion'!$A$99:$A$138,'03_Planificacion'!$M$99:$M$138,""),""))</f>
        <v/>
      </c>
      <c r="L39" t="str">
        <f>IF(C39="","",IFERROR(_xludf.XLOOKUP(C39,'03_Planificacion'!$A$99:$A$138,'03_Planificacion'!$I$99:$I$138,""),""))</f>
        <v/>
      </c>
      <c r="M39" t="str">
        <f>IF(C39="","",IFERROR(_xludf.XLOOKUP(C39,'03_Planificacion'!$A$99:$A$138,'03_Planificacion'!$J$99:$J$138,""),""))</f>
        <v/>
      </c>
    </row>
    <row r="40" spans="1:13">
      <c r="A40" t="str">
        <f>IF(C40="","","ODT-"&amp;36)</f>
        <v/>
      </c>
      <c r="B40" s="5" t="str">
        <f>IF(C40="","",IFERROR(_xludf.XLOOKUP(C40,'03_Planificacion'!$A$99:$A$138,'03_Planificacion'!$D$99:$D$138,""),""))</f>
        <v/>
      </c>
      <c r="D40" t="str">
        <f>IF(C40="","",IFERROR(_xludf.XLOOKUP(C40,'03_Planificacion'!$A$99:$A$138,'03_Planificacion'!$E$99:$E$138,""),""))</f>
        <v/>
      </c>
      <c r="E40" t="str">
        <f>IF(C40="","",IFERROR(_xludf.XLOOKUP(C40,'03_Planificacion'!$A$99:$A$138,'03_Planificacion'!$F$99:$F$138,""),""))</f>
        <v/>
      </c>
      <c r="F40" t="str">
        <f>IF(C40="","",IFERROR(_xludf.XLOOKUP(C40,'03_Planificacion'!$A$99:$A$138,'03_Planificacion'!$G$99:$G$138,""),""))</f>
        <v/>
      </c>
      <c r="G40" t="str">
        <f>IF(C40="","",IFERROR(_xludf.XLOOKUP(C40,'03_Planificacion'!$A$99:$A$138,'03_Planificacion'!$H$99:$H$138,""),""))</f>
        <v/>
      </c>
      <c r="H40" t="str">
        <f>IF(C40="","",IFERROR(_xludf.XLOOKUP(C40,'03_Planificacion'!$A$99:$A$138,'03_Planificacion'!$N$99:$N$138,""),""))</f>
        <v/>
      </c>
      <c r="I40" t="str">
        <f>IF(C40="","",IFERROR(_xludf.XLOOKUP(C40,'03_Planificacion'!$A$99:$A$138,'03_Planificacion'!$K$99:$K$138,""),""))</f>
        <v/>
      </c>
      <c r="J40" t="str">
        <f>IF(C40="","",IFERROR(_xludf.XLOOKUP(C40,'03_Planificacion'!$A$99:$A$138,'03_Planificacion'!$L$99:$L$138,""),""))</f>
        <v/>
      </c>
      <c r="K40" t="str">
        <f>IF(C40="","",IFERROR(_xludf.XLOOKUP(C40,'03_Planificacion'!$A$99:$A$138,'03_Planificacion'!$M$99:$M$138,""),""))</f>
        <v/>
      </c>
      <c r="L40" t="str">
        <f>IF(C40="","",IFERROR(_xludf.XLOOKUP(C40,'03_Planificacion'!$A$99:$A$138,'03_Planificacion'!$I$99:$I$138,""),""))</f>
        <v/>
      </c>
      <c r="M40" t="str">
        <f>IF(C40="","",IFERROR(_xludf.XLOOKUP(C40,'03_Planificacion'!$A$99:$A$138,'03_Planificacion'!$J$99:$J$138,""),""))</f>
        <v/>
      </c>
    </row>
    <row r="41" spans="1:13">
      <c r="A41" t="str">
        <f>IF(C41="","","ODT-"&amp;37)</f>
        <v/>
      </c>
      <c r="B41" s="5" t="str">
        <f>IF(C41="","",IFERROR(_xludf.XLOOKUP(C41,'03_Planificacion'!$A$99:$A$138,'03_Planificacion'!$D$99:$D$138,""),""))</f>
        <v/>
      </c>
      <c r="D41" t="str">
        <f>IF(C41="","",IFERROR(_xludf.XLOOKUP(C41,'03_Planificacion'!$A$99:$A$138,'03_Planificacion'!$E$99:$E$138,""),""))</f>
        <v/>
      </c>
      <c r="E41" t="str">
        <f>IF(C41="","",IFERROR(_xludf.XLOOKUP(C41,'03_Planificacion'!$A$99:$A$138,'03_Planificacion'!$F$99:$F$138,""),""))</f>
        <v/>
      </c>
      <c r="F41" t="str">
        <f>IF(C41="","",IFERROR(_xludf.XLOOKUP(C41,'03_Planificacion'!$A$99:$A$138,'03_Planificacion'!$G$99:$G$138,""),""))</f>
        <v/>
      </c>
      <c r="G41" t="str">
        <f>IF(C41="","",IFERROR(_xludf.XLOOKUP(C41,'03_Planificacion'!$A$99:$A$138,'03_Planificacion'!$H$99:$H$138,""),""))</f>
        <v/>
      </c>
      <c r="H41" t="str">
        <f>IF(C41="","",IFERROR(_xludf.XLOOKUP(C41,'03_Planificacion'!$A$99:$A$138,'03_Planificacion'!$N$99:$N$138,""),""))</f>
        <v/>
      </c>
      <c r="I41" t="str">
        <f>IF(C41="","",IFERROR(_xludf.XLOOKUP(C41,'03_Planificacion'!$A$99:$A$138,'03_Planificacion'!$K$99:$K$138,""),""))</f>
        <v/>
      </c>
      <c r="J41" t="str">
        <f>IF(C41="","",IFERROR(_xludf.XLOOKUP(C41,'03_Planificacion'!$A$99:$A$138,'03_Planificacion'!$L$99:$L$138,""),""))</f>
        <v/>
      </c>
      <c r="K41" t="str">
        <f>IF(C41="","",IFERROR(_xludf.XLOOKUP(C41,'03_Planificacion'!$A$99:$A$138,'03_Planificacion'!$M$99:$M$138,""),""))</f>
        <v/>
      </c>
      <c r="L41" t="str">
        <f>IF(C41="","",IFERROR(_xludf.XLOOKUP(C41,'03_Planificacion'!$A$99:$A$138,'03_Planificacion'!$I$99:$I$138,""),""))</f>
        <v/>
      </c>
      <c r="M41" t="str">
        <f>IF(C41="","",IFERROR(_xludf.XLOOKUP(C41,'03_Planificacion'!$A$99:$A$138,'03_Planificacion'!$J$99:$J$138,""),""))</f>
        <v/>
      </c>
    </row>
    <row r="42" spans="1:13">
      <c r="A42" t="str">
        <f>IF(C42="","","ODT-"&amp;38)</f>
        <v/>
      </c>
      <c r="B42" s="5" t="str">
        <f>IF(C42="","",IFERROR(_xludf.XLOOKUP(C42,'03_Planificacion'!$A$99:$A$138,'03_Planificacion'!$D$99:$D$138,""),""))</f>
        <v/>
      </c>
      <c r="D42" t="str">
        <f>IF(C42="","",IFERROR(_xludf.XLOOKUP(C42,'03_Planificacion'!$A$99:$A$138,'03_Planificacion'!$E$99:$E$138,""),""))</f>
        <v/>
      </c>
      <c r="E42" t="str">
        <f>IF(C42="","",IFERROR(_xludf.XLOOKUP(C42,'03_Planificacion'!$A$99:$A$138,'03_Planificacion'!$F$99:$F$138,""),""))</f>
        <v/>
      </c>
      <c r="F42" t="str">
        <f>IF(C42="","",IFERROR(_xludf.XLOOKUP(C42,'03_Planificacion'!$A$99:$A$138,'03_Planificacion'!$G$99:$G$138,""),""))</f>
        <v/>
      </c>
      <c r="G42" t="str">
        <f>IF(C42="","",IFERROR(_xludf.XLOOKUP(C42,'03_Planificacion'!$A$99:$A$138,'03_Planificacion'!$H$99:$H$138,""),""))</f>
        <v/>
      </c>
      <c r="H42" t="str">
        <f>IF(C42="","",IFERROR(_xludf.XLOOKUP(C42,'03_Planificacion'!$A$99:$A$138,'03_Planificacion'!$N$99:$N$138,""),""))</f>
        <v/>
      </c>
      <c r="I42" t="str">
        <f>IF(C42="","",IFERROR(_xludf.XLOOKUP(C42,'03_Planificacion'!$A$99:$A$138,'03_Planificacion'!$K$99:$K$138,""),""))</f>
        <v/>
      </c>
      <c r="J42" t="str">
        <f>IF(C42="","",IFERROR(_xludf.XLOOKUP(C42,'03_Planificacion'!$A$99:$A$138,'03_Planificacion'!$L$99:$L$138,""),""))</f>
        <v/>
      </c>
      <c r="K42" t="str">
        <f>IF(C42="","",IFERROR(_xludf.XLOOKUP(C42,'03_Planificacion'!$A$99:$A$138,'03_Planificacion'!$M$99:$M$138,""),""))</f>
        <v/>
      </c>
      <c r="L42" t="str">
        <f>IF(C42="","",IFERROR(_xludf.XLOOKUP(C42,'03_Planificacion'!$A$99:$A$138,'03_Planificacion'!$I$99:$I$138,""),""))</f>
        <v/>
      </c>
      <c r="M42" t="str">
        <f>IF(C42="","",IFERROR(_xludf.XLOOKUP(C42,'03_Planificacion'!$A$99:$A$138,'03_Planificacion'!$J$99:$J$138,""),""))</f>
        <v/>
      </c>
    </row>
    <row r="43" spans="1:13">
      <c r="A43" t="str">
        <f>IF(C43="","","ODT-"&amp;39)</f>
        <v/>
      </c>
      <c r="B43" s="5" t="str">
        <f>IF(C43="","",IFERROR(_xludf.XLOOKUP(C43,'03_Planificacion'!$A$99:$A$138,'03_Planificacion'!$D$99:$D$138,""),""))</f>
        <v/>
      </c>
      <c r="D43" t="str">
        <f>IF(C43="","",IFERROR(_xludf.XLOOKUP(C43,'03_Planificacion'!$A$99:$A$138,'03_Planificacion'!$E$99:$E$138,""),""))</f>
        <v/>
      </c>
      <c r="E43" t="str">
        <f>IF(C43="","",IFERROR(_xludf.XLOOKUP(C43,'03_Planificacion'!$A$99:$A$138,'03_Planificacion'!$F$99:$F$138,""),""))</f>
        <v/>
      </c>
      <c r="F43" t="str">
        <f>IF(C43="","",IFERROR(_xludf.XLOOKUP(C43,'03_Planificacion'!$A$99:$A$138,'03_Planificacion'!$G$99:$G$138,""),""))</f>
        <v/>
      </c>
      <c r="G43" t="str">
        <f>IF(C43="","",IFERROR(_xludf.XLOOKUP(C43,'03_Planificacion'!$A$99:$A$138,'03_Planificacion'!$H$99:$H$138,""),""))</f>
        <v/>
      </c>
      <c r="H43" t="str">
        <f>IF(C43="","",IFERROR(_xludf.XLOOKUP(C43,'03_Planificacion'!$A$99:$A$138,'03_Planificacion'!$N$99:$N$138,""),""))</f>
        <v/>
      </c>
      <c r="I43" t="str">
        <f>IF(C43="","",IFERROR(_xludf.XLOOKUP(C43,'03_Planificacion'!$A$99:$A$138,'03_Planificacion'!$K$99:$K$138,""),""))</f>
        <v/>
      </c>
      <c r="J43" t="str">
        <f>IF(C43="","",IFERROR(_xludf.XLOOKUP(C43,'03_Planificacion'!$A$99:$A$138,'03_Planificacion'!$L$99:$L$138,""),""))</f>
        <v/>
      </c>
      <c r="K43" t="str">
        <f>IF(C43="","",IFERROR(_xludf.XLOOKUP(C43,'03_Planificacion'!$A$99:$A$138,'03_Planificacion'!$M$99:$M$138,""),""))</f>
        <v/>
      </c>
      <c r="L43" t="str">
        <f>IF(C43="","",IFERROR(_xludf.XLOOKUP(C43,'03_Planificacion'!$A$99:$A$138,'03_Planificacion'!$I$99:$I$138,""),""))</f>
        <v/>
      </c>
      <c r="M43" t="str">
        <f>IF(C43="","",IFERROR(_xludf.XLOOKUP(C43,'03_Planificacion'!$A$99:$A$138,'03_Planificacion'!$J$99:$J$138,""),""))</f>
        <v/>
      </c>
    </row>
    <row r="44" spans="1:13">
      <c r="A44" t="str">
        <f>IF(C44="","","ODT-"&amp;40)</f>
        <v/>
      </c>
      <c r="B44" s="5" t="str">
        <f>IF(C44="","",IFERROR(_xludf.XLOOKUP(C44,'03_Planificacion'!$A$99:$A$138,'03_Planificacion'!$D$99:$D$138,""),""))</f>
        <v/>
      </c>
      <c r="D44" t="str">
        <f>IF(C44="","",IFERROR(_xludf.XLOOKUP(C44,'03_Planificacion'!$A$99:$A$138,'03_Planificacion'!$E$99:$E$138,""),""))</f>
        <v/>
      </c>
      <c r="E44" t="str">
        <f>IF(C44="","",IFERROR(_xludf.XLOOKUP(C44,'03_Planificacion'!$A$99:$A$138,'03_Planificacion'!$F$99:$F$138,""),""))</f>
        <v/>
      </c>
      <c r="F44" t="str">
        <f>IF(C44="","",IFERROR(_xludf.XLOOKUP(C44,'03_Planificacion'!$A$99:$A$138,'03_Planificacion'!$G$99:$G$138,""),""))</f>
        <v/>
      </c>
      <c r="G44" t="str">
        <f>IF(C44="","",IFERROR(_xludf.XLOOKUP(C44,'03_Planificacion'!$A$99:$A$138,'03_Planificacion'!$H$99:$H$138,""),""))</f>
        <v/>
      </c>
      <c r="H44" t="str">
        <f>IF(C44="","",IFERROR(_xludf.XLOOKUP(C44,'03_Planificacion'!$A$99:$A$138,'03_Planificacion'!$N$99:$N$138,""),""))</f>
        <v/>
      </c>
      <c r="I44" t="str">
        <f>IF(C44="","",IFERROR(_xludf.XLOOKUP(C44,'03_Planificacion'!$A$99:$A$138,'03_Planificacion'!$K$99:$K$138,""),""))</f>
        <v/>
      </c>
      <c r="J44" t="str">
        <f>IF(C44="","",IFERROR(_xludf.XLOOKUP(C44,'03_Planificacion'!$A$99:$A$138,'03_Planificacion'!$L$99:$L$138,""),""))</f>
        <v/>
      </c>
      <c r="K44" t="str">
        <f>IF(C44="","",IFERROR(_xludf.XLOOKUP(C44,'03_Planificacion'!$A$99:$A$138,'03_Planificacion'!$M$99:$M$138,""),""))</f>
        <v/>
      </c>
      <c r="L44" t="str">
        <f>IF(C44="","",IFERROR(_xludf.XLOOKUP(C44,'03_Planificacion'!$A$99:$A$138,'03_Planificacion'!$I$99:$I$138,""),""))</f>
        <v/>
      </c>
      <c r="M44" t="str">
        <f>IF(C44="","",IFERROR(_xludf.XLOOKUP(C44,'03_Planificacion'!$A$99:$A$138,'03_Planificacion'!$J$99:$J$138,""),""))</f>
        <v/>
      </c>
    </row>
    <row r="45" spans="1:13">
      <c r="B45" s="5"/>
    </row>
    <row r="46" spans="1:13">
      <c r="B46" s="5"/>
    </row>
    <row r="47" spans="1:13">
      <c r="B47" s="5"/>
    </row>
    <row r="48" spans="1:13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</sheetData>
  <mergeCells count="2">
    <mergeCell ref="A1:P1"/>
    <mergeCell ref="A2:P2"/>
  </mergeCells>
  <dataValidations count="1">
    <dataValidation type="list" sqref="O5:O84" xr:uid="{00000000-0002-0000-0400-000000000000}">
      <formula1>"Pendiente,Emitida,En ejecución,Cumplida,Anulada"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1000000}">
          <x14:formula1>
            <xm:f>'03_Planificacion'!$A$99:$A$138</xm:f>
          </x14:formula1>
          <xm:sqref>C5:C44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4"/>
  <sheetViews>
    <sheetView workbookViewId="0">
      <selection activeCell="D7" sqref="D7"/>
    </sheetView>
  </sheetViews>
  <sheetFormatPr baseColWidth="10" defaultColWidth="8.796875" defaultRowHeight="13.8"/>
  <cols>
    <col min="1" max="3" width="13" customWidth="1"/>
    <col min="4" max="4" width="18" customWidth="1"/>
    <col min="5" max="5" width="48" customWidth="1"/>
    <col min="6" max="9" width="13" customWidth="1"/>
    <col min="10" max="11" width="12" customWidth="1"/>
    <col min="12" max="12" width="14" customWidth="1"/>
    <col min="13" max="14" width="22" customWidth="1"/>
    <col min="15" max="16" width="30" customWidth="1"/>
    <col min="17" max="17" width="18" customWidth="1"/>
    <col min="18" max="18" width="28" customWidth="1"/>
  </cols>
  <sheetData>
    <row r="1" spans="1:18" ht="22.35" customHeight="1">
      <c r="A1" s="15" t="s">
        <v>232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27.15" customHeight="1">
      <c r="A2" s="16" t="s">
        <v>233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4" spans="1:18" ht="30.45" customHeight="1">
      <c r="A4" s="1" t="s">
        <v>214</v>
      </c>
      <c r="B4" s="1" t="s">
        <v>226</v>
      </c>
      <c r="C4" s="1" t="s">
        <v>212</v>
      </c>
      <c r="D4" s="1" t="s">
        <v>42</v>
      </c>
      <c r="E4" s="1" t="s">
        <v>43</v>
      </c>
      <c r="F4" s="1" t="s">
        <v>44</v>
      </c>
      <c r="G4" s="1" t="s">
        <v>234</v>
      </c>
      <c r="H4" s="1" t="s">
        <v>219</v>
      </c>
      <c r="I4" s="1" t="s">
        <v>220</v>
      </c>
      <c r="J4" s="1" t="s">
        <v>235</v>
      </c>
      <c r="K4" s="1" t="s">
        <v>236</v>
      </c>
      <c r="L4" s="1" t="s">
        <v>237</v>
      </c>
      <c r="M4" s="1" t="s">
        <v>238</v>
      </c>
      <c r="N4" s="1" t="s">
        <v>239</v>
      </c>
      <c r="O4" s="1" t="s">
        <v>240</v>
      </c>
      <c r="P4" s="1" t="s">
        <v>241</v>
      </c>
      <c r="Q4" s="1" t="s">
        <v>242</v>
      </c>
      <c r="R4" s="1" t="s">
        <v>231</v>
      </c>
    </row>
    <row r="5" spans="1:18">
      <c r="A5" s="5" t="str">
        <f>IF(B5="","",IFERROR(_xludf.XLOOKUP(B5,'04_Orden_Diaria'!$A$5:$A$44,'04_Orden_Diaria'!$B$5:$B$44,""),""))</f>
        <v/>
      </c>
      <c r="B5" t="s">
        <v>1724</v>
      </c>
      <c r="C5" t="str">
        <f>IF(B5="","",IFERROR(_xludf.XLOOKUP(B5,'04_Orden_Diaria'!$A$5:$A$44,'04_Orden_Diaria'!$C$5:$C$44,""),""))</f>
        <v/>
      </c>
      <c r="D5" t="str">
        <f>IF(B5="","",IFERROR(_xludf.XLOOKUP(B5,'04_Orden_Diaria'!$A$5:$A$44,'04_Orden_Diaria'!$D$5:$D$44,""),""))</f>
        <v/>
      </c>
      <c r="E5" t="str">
        <f>IF(B5="","",IFERROR(_xludf.XLOOKUP(B5,'04_Orden_Diaria'!$A$5:$A$44,'04_Orden_Diaria'!$E$5:$E$44,""),""))</f>
        <v/>
      </c>
      <c r="F5" t="str">
        <f>IF(B5="","",IFERROR(_xludf.XLOOKUP(B5,'04_Orden_Diaria'!$A$5:$A$44,'04_Orden_Diaria'!$G$5:$G$44,""),""))</f>
        <v/>
      </c>
      <c r="G5" t="str">
        <f>IF(B5="","",IFERROR(_xludf.XLOOKUP(B5,'04_Orden_Diaria'!$A$5:$A$44,'04_Orden_Diaria'!$F$5:$F$44,""),""))</f>
        <v/>
      </c>
      <c r="I5" s="6">
        <f t="shared" ref="I5:I36" si="0">IFERROR(H5/G5,0)</f>
        <v>0</v>
      </c>
    </row>
    <row r="6" spans="1:18">
      <c r="A6" s="5" t="str">
        <f>IF(B6="","",IFERROR(_xludf.XLOOKUP(B6,'04_Orden_Diaria'!$A$5:$A$44,'04_Orden_Diaria'!$B$5:$B$44,""),""))</f>
        <v/>
      </c>
      <c r="C6" t="str">
        <f>IF(B6="","",IFERROR(_xludf.XLOOKUP(B6,'04_Orden_Diaria'!$A$5:$A$44,'04_Orden_Diaria'!$C$5:$C$44,""),""))</f>
        <v/>
      </c>
      <c r="D6" t="str">
        <f>IF(B6="","",IFERROR(_xludf.XLOOKUP(B6,'04_Orden_Diaria'!$A$5:$A$44,'04_Orden_Diaria'!$D$5:$D$44,""),""))</f>
        <v/>
      </c>
      <c r="E6" t="str">
        <f>IF(B6="","",IFERROR(_xludf.XLOOKUP(B6,'04_Orden_Diaria'!$A$5:$A$44,'04_Orden_Diaria'!$E$5:$E$44,""),""))</f>
        <v/>
      </c>
      <c r="F6" t="str">
        <f>IF(B6="","",IFERROR(_xludf.XLOOKUP(B6,'04_Orden_Diaria'!$A$5:$A$44,'04_Orden_Diaria'!$G$5:$G$44,""),""))</f>
        <v/>
      </c>
      <c r="G6" t="str">
        <f>IF(B6="","",IFERROR(_xludf.XLOOKUP(B6,'04_Orden_Diaria'!$A$5:$A$44,'04_Orden_Diaria'!$F$5:$F$44,""),""))</f>
        <v/>
      </c>
      <c r="I6" s="6">
        <f t="shared" si="0"/>
        <v>0</v>
      </c>
    </row>
    <row r="7" spans="1:18">
      <c r="A7" s="5" t="str">
        <f>IF(B7="","",IFERROR(_xludf.XLOOKUP(B7,'04_Orden_Diaria'!$A$5:$A$44,'04_Orden_Diaria'!$B$5:$B$44,""),""))</f>
        <v/>
      </c>
      <c r="C7" t="str">
        <f>IF(B7="","",IFERROR(_xludf.XLOOKUP(B7,'04_Orden_Diaria'!$A$5:$A$44,'04_Orden_Diaria'!$C$5:$C$44,""),""))</f>
        <v/>
      </c>
      <c r="D7" t="str">
        <f>IF(B7="","",IFERROR(_xludf.XLOOKUP(B7,'04_Orden_Diaria'!$A$5:$A$44,'04_Orden_Diaria'!$D$5:$D$44,""),""))</f>
        <v/>
      </c>
      <c r="E7" t="str">
        <f>IF(B7="","",IFERROR(_xludf.XLOOKUP(B7,'04_Orden_Diaria'!$A$5:$A$44,'04_Orden_Diaria'!$E$5:$E$44,""),""))</f>
        <v/>
      </c>
      <c r="F7" t="str">
        <f>IF(B7="","",IFERROR(_xludf.XLOOKUP(B7,'04_Orden_Diaria'!$A$5:$A$44,'04_Orden_Diaria'!$G$5:$G$44,""),""))</f>
        <v/>
      </c>
      <c r="G7" t="str">
        <f>IF(B7="","",IFERROR(_xludf.XLOOKUP(B7,'04_Orden_Diaria'!$A$5:$A$44,'04_Orden_Diaria'!$F$5:$F$44,""),""))</f>
        <v/>
      </c>
      <c r="I7" s="6">
        <f t="shared" si="0"/>
        <v>0</v>
      </c>
    </row>
    <row r="8" spans="1:18">
      <c r="A8" s="5" t="str">
        <f>IF(B8="","",IFERROR(_xludf.XLOOKUP(B8,'04_Orden_Diaria'!$A$5:$A$44,'04_Orden_Diaria'!$B$5:$B$44,""),""))</f>
        <v/>
      </c>
      <c r="C8" t="str">
        <f>IF(B8="","",IFERROR(_xludf.XLOOKUP(B8,'04_Orden_Diaria'!$A$5:$A$44,'04_Orden_Diaria'!$C$5:$C$44,""),""))</f>
        <v/>
      </c>
      <c r="D8" t="str">
        <f>IF(B8="","",IFERROR(_xludf.XLOOKUP(B8,'04_Orden_Diaria'!$A$5:$A$44,'04_Orden_Diaria'!$D$5:$D$44,""),""))</f>
        <v/>
      </c>
      <c r="E8" t="str">
        <f>IF(B8="","",IFERROR(_xludf.XLOOKUP(B8,'04_Orden_Diaria'!$A$5:$A$44,'04_Orden_Diaria'!$E$5:$E$44,""),""))</f>
        <v/>
      </c>
      <c r="F8" t="str">
        <f>IF(B8="","",IFERROR(_xludf.XLOOKUP(B8,'04_Orden_Diaria'!$A$5:$A$44,'04_Orden_Diaria'!$G$5:$G$44,""),""))</f>
        <v/>
      </c>
      <c r="G8" t="str">
        <f>IF(B8="","",IFERROR(_xludf.XLOOKUP(B8,'04_Orden_Diaria'!$A$5:$A$44,'04_Orden_Diaria'!$F$5:$F$44,""),""))</f>
        <v/>
      </c>
      <c r="I8" s="6">
        <f t="shared" si="0"/>
        <v>0</v>
      </c>
    </row>
    <row r="9" spans="1:18">
      <c r="A9" s="5" t="str">
        <f>IF(B9="","",IFERROR(_xludf.XLOOKUP(B9,'04_Orden_Diaria'!$A$5:$A$44,'04_Orden_Diaria'!$B$5:$B$44,""),""))</f>
        <v/>
      </c>
      <c r="C9" t="str">
        <f>IF(B9="","",IFERROR(_xludf.XLOOKUP(B9,'04_Orden_Diaria'!$A$5:$A$44,'04_Orden_Diaria'!$C$5:$C$44,""),""))</f>
        <v/>
      </c>
      <c r="D9" t="str">
        <f>IF(B9="","",IFERROR(_xludf.XLOOKUP(B9,'04_Orden_Diaria'!$A$5:$A$44,'04_Orden_Diaria'!$D$5:$D$44,""),""))</f>
        <v/>
      </c>
      <c r="E9" t="str">
        <f>IF(B9="","",IFERROR(_xludf.XLOOKUP(B9,'04_Orden_Diaria'!$A$5:$A$44,'04_Orden_Diaria'!$E$5:$E$44,""),""))</f>
        <v/>
      </c>
      <c r="F9" t="str">
        <f>IF(B9="","",IFERROR(_xludf.XLOOKUP(B9,'04_Orden_Diaria'!$A$5:$A$44,'04_Orden_Diaria'!$G$5:$G$44,""),""))</f>
        <v/>
      </c>
      <c r="G9" t="str">
        <f>IF(B9="","",IFERROR(_xludf.XLOOKUP(B9,'04_Orden_Diaria'!$A$5:$A$44,'04_Orden_Diaria'!$F$5:$F$44,""),""))</f>
        <v/>
      </c>
      <c r="I9" s="6">
        <f t="shared" si="0"/>
        <v>0</v>
      </c>
    </row>
    <row r="10" spans="1:18">
      <c r="A10" s="5" t="str">
        <f>IF(B10="","",IFERROR(_xludf.XLOOKUP(B10,'04_Orden_Diaria'!$A$5:$A$44,'04_Orden_Diaria'!$B$5:$B$44,""),""))</f>
        <v/>
      </c>
      <c r="C10" t="str">
        <f>IF(B10="","",IFERROR(_xludf.XLOOKUP(B10,'04_Orden_Diaria'!$A$5:$A$44,'04_Orden_Diaria'!$C$5:$C$44,""),""))</f>
        <v/>
      </c>
      <c r="D10" t="str">
        <f>IF(B10="","",IFERROR(_xludf.XLOOKUP(B10,'04_Orden_Diaria'!$A$5:$A$44,'04_Orden_Diaria'!$D$5:$D$44,""),""))</f>
        <v/>
      </c>
      <c r="E10" t="str">
        <f>IF(B10="","",IFERROR(_xludf.XLOOKUP(B10,'04_Orden_Diaria'!$A$5:$A$44,'04_Orden_Diaria'!$E$5:$E$44,""),""))</f>
        <v/>
      </c>
      <c r="F10" t="str">
        <f>IF(B10="","",IFERROR(_xludf.XLOOKUP(B10,'04_Orden_Diaria'!$A$5:$A$44,'04_Orden_Diaria'!$G$5:$G$44,""),""))</f>
        <v/>
      </c>
      <c r="G10" t="str">
        <f>IF(B10="","",IFERROR(_xludf.XLOOKUP(B10,'04_Orden_Diaria'!$A$5:$A$44,'04_Orden_Diaria'!$F$5:$F$44,""),""))</f>
        <v/>
      </c>
      <c r="I10" s="6">
        <f t="shared" si="0"/>
        <v>0</v>
      </c>
    </row>
    <row r="11" spans="1:18">
      <c r="A11" s="5" t="str">
        <f>IF(B11="","",IFERROR(_xludf.XLOOKUP(B11,'04_Orden_Diaria'!$A$5:$A$44,'04_Orden_Diaria'!$B$5:$B$44,""),""))</f>
        <v/>
      </c>
      <c r="C11" t="str">
        <f>IF(B11="","",IFERROR(_xludf.XLOOKUP(B11,'04_Orden_Diaria'!$A$5:$A$44,'04_Orden_Diaria'!$C$5:$C$44,""),""))</f>
        <v/>
      </c>
      <c r="D11" t="str">
        <f>IF(B11="","",IFERROR(_xludf.XLOOKUP(B11,'04_Orden_Diaria'!$A$5:$A$44,'04_Orden_Diaria'!$D$5:$D$44,""),""))</f>
        <v/>
      </c>
      <c r="E11" t="str">
        <f>IF(B11="","",IFERROR(_xludf.XLOOKUP(B11,'04_Orden_Diaria'!$A$5:$A$44,'04_Orden_Diaria'!$E$5:$E$44,""),""))</f>
        <v/>
      </c>
      <c r="F11" t="str">
        <f>IF(B11="","",IFERROR(_xludf.XLOOKUP(B11,'04_Orden_Diaria'!$A$5:$A$44,'04_Orden_Diaria'!$G$5:$G$44,""),""))</f>
        <v/>
      </c>
      <c r="G11" t="str">
        <f>IF(B11="","",IFERROR(_xludf.XLOOKUP(B11,'04_Orden_Diaria'!$A$5:$A$44,'04_Orden_Diaria'!$F$5:$F$44,""),""))</f>
        <v/>
      </c>
      <c r="I11" s="6">
        <f t="shared" si="0"/>
        <v>0</v>
      </c>
    </row>
    <row r="12" spans="1:18">
      <c r="A12" s="5" t="str">
        <f>IF(B12="","",IFERROR(_xludf.XLOOKUP(B12,'04_Orden_Diaria'!$A$5:$A$44,'04_Orden_Diaria'!$B$5:$B$44,""),""))</f>
        <v/>
      </c>
      <c r="C12" t="str">
        <f>IF(B12="","",IFERROR(_xludf.XLOOKUP(B12,'04_Orden_Diaria'!$A$5:$A$44,'04_Orden_Diaria'!$C$5:$C$44,""),""))</f>
        <v/>
      </c>
      <c r="D12" t="str">
        <f>IF(B12="","",IFERROR(_xludf.XLOOKUP(B12,'04_Orden_Diaria'!$A$5:$A$44,'04_Orden_Diaria'!$D$5:$D$44,""),""))</f>
        <v/>
      </c>
      <c r="E12" t="str">
        <f>IF(B12="","",IFERROR(_xludf.XLOOKUP(B12,'04_Orden_Diaria'!$A$5:$A$44,'04_Orden_Diaria'!$E$5:$E$44,""),""))</f>
        <v/>
      </c>
      <c r="F12" t="str">
        <f>IF(B12="","",IFERROR(_xludf.XLOOKUP(B12,'04_Orden_Diaria'!$A$5:$A$44,'04_Orden_Diaria'!$G$5:$G$44,""),""))</f>
        <v/>
      </c>
      <c r="G12" t="str">
        <f>IF(B12="","",IFERROR(_xludf.XLOOKUP(B12,'04_Orden_Diaria'!$A$5:$A$44,'04_Orden_Diaria'!$F$5:$F$44,""),""))</f>
        <v/>
      </c>
      <c r="I12" s="6">
        <f t="shared" si="0"/>
        <v>0</v>
      </c>
    </row>
    <row r="13" spans="1:18">
      <c r="A13" s="5" t="str">
        <f>IF(B13="","",IFERROR(_xludf.XLOOKUP(B13,'04_Orden_Diaria'!$A$5:$A$44,'04_Orden_Diaria'!$B$5:$B$44,""),""))</f>
        <v/>
      </c>
      <c r="C13" t="str">
        <f>IF(B13="","",IFERROR(_xludf.XLOOKUP(B13,'04_Orden_Diaria'!$A$5:$A$44,'04_Orden_Diaria'!$C$5:$C$44,""),""))</f>
        <v/>
      </c>
      <c r="D13" t="str">
        <f>IF(B13="","",IFERROR(_xludf.XLOOKUP(B13,'04_Orden_Diaria'!$A$5:$A$44,'04_Orden_Diaria'!$D$5:$D$44,""),""))</f>
        <v/>
      </c>
      <c r="E13" t="str">
        <f>IF(B13="","",IFERROR(_xludf.XLOOKUP(B13,'04_Orden_Diaria'!$A$5:$A$44,'04_Orden_Diaria'!$E$5:$E$44,""),""))</f>
        <v/>
      </c>
      <c r="F13" t="str">
        <f>IF(B13="","",IFERROR(_xludf.XLOOKUP(B13,'04_Orden_Diaria'!$A$5:$A$44,'04_Orden_Diaria'!$G$5:$G$44,""),""))</f>
        <v/>
      </c>
      <c r="G13" t="str">
        <f>IF(B13="","",IFERROR(_xludf.XLOOKUP(B13,'04_Orden_Diaria'!$A$5:$A$44,'04_Orden_Diaria'!$F$5:$F$44,""),""))</f>
        <v/>
      </c>
      <c r="I13" s="6">
        <f t="shared" si="0"/>
        <v>0</v>
      </c>
    </row>
    <row r="14" spans="1:18">
      <c r="A14" s="5" t="str">
        <f>IF(B14="","",IFERROR(_xludf.XLOOKUP(B14,'04_Orden_Diaria'!$A$5:$A$44,'04_Orden_Diaria'!$B$5:$B$44,""),""))</f>
        <v/>
      </c>
      <c r="C14" t="str">
        <f>IF(B14="","",IFERROR(_xludf.XLOOKUP(B14,'04_Orden_Diaria'!$A$5:$A$44,'04_Orden_Diaria'!$C$5:$C$44,""),""))</f>
        <v/>
      </c>
      <c r="D14" t="str">
        <f>IF(B14="","",IFERROR(_xludf.XLOOKUP(B14,'04_Orden_Diaria'!$A$5:$A$44,'04_Orden_Diaria'!$D$5:$D$44,""),""))</f>
        <v/>
      </c>
      <c r="E14" t="str">
        <f>IF(B14="","",IFERROR(_xludf.XLOOKUP(B14,'04_Orden_Diaria'!$A$5:$A$44,'04_Orden_Diaria'!$E$5:$E$44,""),""))</f>
        <v/>
      </c>
      <c r="F14" t="str">
        <f>IF(B14="","",IFERROR(_xludf.XLOOKUP(B14,'04_Orden_Diaria'!$A$5:$A$44,'04_Orden_Diaria'!$G$5:$G$44,""),""))</f>
        <v/>
      </c>
      <c r="G14" t="str">
        <f>IF(B14="","",IFERROR(_xludf.XLOOKUP(B14,'04_Orden_Diaria'!$A$5:$A$44,'04_Orden_Diaria'!$F$5:$F$44,""),""))</f>
        <v/>
      </c>
      <c r="I14" s="6">
        <f t="shared" si="0"/>
        <v>0</v>
      </c>
    </row>
    <row r="15" spans="1:18">
      <c r="A15" s="5" t="str">
        <f>IF(B15="","",IFERROR(_xludf.XLOOKUP(B15,'04_Orden_Diaria'!$A$5:$A$44,'04_Orden_Diaria'!$B$5:$B$44,""),""))</f>
        <v/>
      </c>
      <c r="C15" t="str">
        <f>IF(B15="","",IFERROR(_xludf.XLOOKUP(B15,'04_Orden_Diaria'!$A$5:$A$44,'04_Orden_Diaria'!$C$5:$C$44,""),""))</f>
        <v/>
      </c>
      <c r="D15" t="str">
        <f>IF(B15="","",IFERROR(_xludf.XLOOKUP(B15,'04_Orden_Diaria'!$A$5:$A$44,'04_Orden_Diaria'!$D$5:$D$44,""),""))</f>
        <v/>
      </c>
      <c r="E15" t="str">
        <f>IF(B15="","",IFERROR(_xludf.XLOOKUP(B15,'04_Orden_Diaria'!$A$5:$A$44,'04_Orden_Diaria'!$E$5:$E$44,""),""))</f>
        <v/>
      </c>
      <c r="F15" t="str">
        <f>IF(B15="","",IFERROR(_xludf.XLOOKUP(B15,'04_Orden_Diaria'!$A$5:$A$44,'04_Orden_Diaria'!$G$5:$G$44,""),""))</f>
        <v/>
      </c>
      <c r="G15" t="str">
        <f>IF(B15="","",IFERROR(_xludf.XLOOKUP(B15,'04_Orden_Diaria'!$A$5:$A$44,'04_Orden_Diaria'!$F$5:$F$44,""),""))</f>
        <v/>
      </c>
      <c r="I15" s="6">
        <f t="shared" si="0"/>
        <v>0</v>
      </c>
    </row>
    <row r="16" spans="1:18">
      <c r="A16" s="5" t="str">
        <f>IF(B16="","",IFERROR(_xludf.XLOOKUP(B16,'04_Orden_Diaria'!$A$5:$A$44,'04_Orden_Diaria'!$B$5:$B$44,""),""))</f>
        <v/>
      </c>
      <c r="C16" t="str">
        <f>IF(B16="","",IFERROR(_xludf.XLOOKUP(B16,'04_Orden_Diaria'!$A$5:$A$44,'04_Orden_Diaria'!$C$5:$C$44,""),""))</f>
        <v/>
      </c>
      <c r="D16" t="str">
        <f>IF(B16="","",IFERROR(_xludf.XLOOKUP(B16,'04_Orden_Diaria'!$A$5:$A$44,'04_Orden_Diaria'!$D$5:$D$44,""),""))</f>
        <v/>
      </c>
      <c r="E16" t="str">
        <f>IF(B16="","",IFERROR(_xludf.XLOOKUP(B16,'04_Orden_Diaria'!$A$5:$A$44,'04_Orden_Diaria'!$E$5:$E$44,""),""))</f>
        <v/>
      </c>
      <c r="F16" t="str">
        <f>IF(B16="","",IFERROR(_xludf.XLOOKUP(B16,'04_Orden_Diaria'!$A$5:$A$44,'04_Orden_Diaria'!$G$5:$G$44,""),""))</f>
        <v/>
      </c>
      <c r="G16" t="str">
        <f>IF(B16="","",IFERROR(_xludf.XLOOKUP(B16,'04_Orden_Diaria'!$A$5:$A$44,'04_Orden_Diaria'!$F$5:$F$44,""),""))</f>
        <v/>
      </c>
      <c r="I16" s="6">
        <f t="shared" si="0"/>
        <v>0</v>
      </c>
    </row>
    <row r="17" spans="1:9">
      <c r="A17" s="5" t="str">
        <f>IF(B17="","",IFERROR(_xludf.XLOOKUP(B17,'04_Orden_Diaria'!$A$5:$A$44,'04_Orden_Diaria'!$B$5:$B$44,""),""))</f>
        <v/>
      </c>
      <c r="C17" t="str">
        <f>IF(B17="","",IFERROR(_xludf.XLOOKUP(B17,'04_Orden_Diaria'!$A$5:$A$44,'04_Orden_Diaria'!$C$5:$C$44,""),""))</f>
        <v/>
      </c>
      <c r="D17" t="str">
        <f>IF(B17="","",IFERROR(_xludf.XLOOKUP(B17,'04_Orden_Diaria'!$A$5:$A$44,'04_Orden_Diaria'!$D$5:$D$44,""),""))</f>
        <v/>
      </c>
      <c r="E17" t="str">
        <f>IF(B17="","",IFERROR(_xludf.XLOOKUP(B17,'04_Orden_Diaria'!$A$5:$A$44,'04_Orden_Diaria'!$E$5:$E$44,""),""))</f>
        <v/>
      </c>
      <c r="F17" t="str">
        <f>IF(B17="","",IFERROR(_xludf.XLOOKUP(B17,'04_Orden_Diaria'!$A$5:$A$44,'04_Orden_Diaria'!$G$5:$G$44,""),""))</f>
        <v/>
      </c>
      <c r="G17" t="str">
        <f>IF(B17="","",IFERROR(_xludf.XLOOKUP(B17,'04_Orden_Diaria'!$A$5:$A$44,'04_Orden_Diaria'!$F$5:$F$44,""),""))</f>
        <v/>
      </c>
      <c r="I17" s="6">
        <f t="shared" si="0"/>
        <v>0</v>
      </c>
    </row>
    <row r="18" spans="1:9">
      <c r="A18" s="5" t="str">
        <f>IF(B18="","",IFERROR(_xludf.XLOOKUP(B18,'04_Orden_Diaria'!$A$5:$A$44,'04_Orden_Diaria'!$B$5:$B$44,""),""))</f>
        <v/>
      </c>
      <c r="C18" t="str">
        <f>IF(B18="","",IFERROR(_xludf.XLOOKUP(B18,'04_Orden_Diaria'!$A$5:$A$44,'04_Orden_Diaria'!$C$5:$C$44,""),""))</f>
        <v/>
      </c>
      <c r="D18" t="str">
        <f>IF(B18="","",IFERROR(_xludf.XLOOKUP(B18,'04_Orden_Diaria'!$A$5:$A$44,'04_Orden_Diaria'!$D$5:$D$44,""),""))</f>
        <v/>
      </c>
      <c r="E18" t="str">
        <f>IF(B18="","",IFERROR(_xludf.XLOOKUP(B18,'04_Orden_Diaria'!$A$5:$A$44,'04_Orden_Diaria'!$E$5:$E$44,""),""))</f>
        <v/>
      </c>
      <c r="F18" t="str">
        <f>IF(B18="","",IFERROR(_xludf.XLOOKUP(B18,'04_Orden_Diaria'!$A$5:$A$44,'04_Orden_Diaria'!$G$5:$G$44,""),""))</f>
        <v/>
      </c>
      <c r="G18" t="str">
        <f>IF(B18="","",IFERROR(_xludf.XLOOKUP(B18,'04_Orden_Diaria'!$A$5:$A$44,'04_Orden_Diaria'!$F$5:$F$44,""),""))</f>
        <v/>
      </c>
      <c r="I18" s="6">
        <f t="shared" si="0"/>
        <v>0</v>
      </c>
    </row>
    <row r="19" spans="1:9">
      <c r="A19" s="5" t="str">
        <f>IF(B19="","",IFERROR(_xludf.XLOOKUP(B19,'04_Orden_Diaria'!$A$5:$A$44,'04_Orden_Diaria'!$B$5:$B$44,""),""))</f>
        <v/>
      </c>
      <c r="C19" t="str">
        <f>IF(B19="","",IFERROR(_xludf.XLOOKUP(B19,'04_Orden_Diaria'!$A$5:$A$44,'04_Orden_Diaria'!$C$5:$C$44,""),""))</f>
        <v/>
      </c>
      <c r="D19" t="str">
        <f>IF(B19="","",IFERROR(_xludf.XLOOKUP(B19,'04_Orden_Diaria'!$A$5:$A$44,'04_Orden_Diaria'!$D$5:$D$44,""),""))</f>
        <v/>
      </c>
      <c r="E19" t="str">
        <f>IF(B19="","",IFERROR(_xludf.XLOOKUP(B19,'04_Orden_Diaria'!$A$5:$A$44,'04_Orden_Diaria'!$E$5:$E$44,""),""))</f>
        <v/>
      </c>
      <c r="F19" t="str">
        <f>IF(B19="","",IFERROR(_xludf.XLOOKUP(B19,'04_Orden_Diaria'!$A$5:$A$44,'04_Orden_Diaria'!$G$5:$G$44,""),""))</f>
        <v/>
      </c>
      <c r="G19" t="str">
        <f>IF(B19="","",IFERROR(_xludf.XLOOKUP(B19,'04_Orden_Diaria'!$A$5:$A$44,'04_Orden_Diaria'!$F$5:$F$44,""),""))</f>
        <v/>
      </c>
      <c r="I19" s="6">
        <f t="shared" si="0"/>
        <v>0</v>
      </c>
    </row>
    <row r="20" spans="1:9">
      <c r="A20" s="5" t="str">
        <f>IF(B20="","",IFERROR(_xludf.XLOOKUP(B20,'04_Orden_Diaria'!$A$5:$A$44,'04_Orden_Diaria'!$B$5:$B$44,""),""))</f>
        <v/>
      </c>
      <c r="C20" t="str">
        <f>IF(B20="","",IFERROR(_xludf.XLOOKUP(B20,'04_Orden_Diaria'!$A$5:$A$44,'04_Orden_Diaria'!$C$5:$C$44,""),""))</f>
        <v/>
      </c>
      <c r="D20" t="str">
        <f>IF(B20="","",IFERROR(_xludf.XLOOKUP(B20,'04_Orden_Diaria'!$A$5:$A$44,'04_Orden_Diaria'!$D$5:$D$44,""),""))</f>
        <v/>
      </c>
      <c r="E20" t="str">
        <f>IF(B20="","",IFERROR(_xludf.XLOOKUP(B20,'04_Orden_Diaria'!$A$5:$A$44,'04_Orden_Diaria'!$E$5:$E$44,""),""))</f>
        <v/>
      </c>
      <c r="F20" t="str">
        <f>IF(B20="","",IFERROR(_xludf.XLOOKUP(B20,'04_Orden_Diaria'!$A$5:$A$44,'04_Orden_Diaria'!$G$5:$G$44,""),""))</f>
        <v/>
      </c>
      <c r="G20" t="str">
        <f>IF(B20="","",IFERROR(_xludf.XLOOKUP(B20,'04_Orden_Diaria'!$A$5:$A$44,'04_Orden_Diaria'!$F$5:$F$44,""),""))</f>
        <v/>
      </c>
      <c r="I20" s="6">
        <f t="shared" si="0"/>
        <v>0</v>
      </c>
    </row>
    <row r="21" spans="1:9">
      <c r="A21" s="5" t="str">
        <f>IF(B21="","",IFERROR(_xludf.XLOOKUP(B21,'04_Orden_Diaria'!$A$5:$A$44,'04_Orden_Diaria'!$B$5:$B$44,""),""))</f>
        <v/>
      </c>
      <c r="C21" t="str">
        <f>IF(B21="","",IFERROR(_xludf.XLOOKUP(B21,'04_Orden_Diaria'!$A$5:$A$44,'04_Orden_Diaria'!$C$5:$C$44,""),""))</f>
        <v/>
      </c>
      <c r="D21" t="str">
        <f>IF(B21="","",IFERROR(_xludf.XLOOKUP(B21,'04_Orden_Diaria'!$A$5:$A$44,'04_Orden_Diaria'!$D$5:$D$44,""),""))</f>
        <v/>
      </c>
      <c r="E21" t="str">
        <f>IF(B21="","",IFERROR(_xludf.XLOOKUP(B21,'04_Orden_Diaria'!$A$5:$A$44,'04_Orden_Diaria'!$E$5:$E$44,""),""))</f>
        <v/>
      </c>
      <c r="F21" t="str">
        <f>IF(B21="","",IFERROR(_xludf.XLOOKUP(B21,'04_Orden_Diaria'!$A$5:$A$44,'04_Orden_Diaria'!$G$5:$G$44,""),""))</f>
        <v/>
      </c>
      <c r="G21" t="str">
        <f>IF(B21="","",IFERROR(_xludf.XLOOKUP(B21,'04_Orden_Diaria'!$A$5:$A$44,'04_Orden_Diaria'!$F$5:$F$44,""),""))</f>
        <v/>
      </c>
      <c r="I21" s="6">
        <f t="shared" si="0"/>
        <v>0</v>
      </c>
    </row>
    <row r="22" spans="1:9">
      <c r="A22" s="5" t="str">
        <f>IF(B22="","",IFERROR(_xludf.XLOOKUP(B22,'04_Orden_Diaria'!$A$5:$A$44,'04_Orden_Diaria'!$B$5:$B$44,""),""))</f>
        <v/>
      </c>
      <c r="C22" t="str">
        <f>IF(B22="","",IFERROR(_xludf.XLOOKUP(B22,'04_Orden_Diaria'!$A$5:$A$44,'04_Orden_Diaria'!$C$5:$C$44,""),""))</f>
        <v/>
      </c>
      <c r="D22" t="str">
        <f>IF(B22="","",IFERROR(_xludf.XLOOKUP(B22,'04_Orden_Diaria'!$A$5:$A$44,'04_Orden_Diaria'!$D$5:$D$44,""),""))</f>
        <v/>
      </c>
      <c r="E22" t="str">
        <f>IF(B22="","",IFERROR(_xludf.XLOOKUP(B22,'04_Orden_Diaria'!$A$5:$A$44,'04_Orden_Diaria'!$E$5:$E$44,""),""))</f>
        <v/>
      </c>
      <c r="F22" t="str">
        <f>IF(B22="","",IFERROR(_xludf.XLOOKUP(B22,'04_Orden_Diaria'!$A$5:$A$44,'04_Orden_Diaria'!$G$5:$G$44,""),""))</f>
        <v/>
      </c>
      <c r="G22" t="str">
        <f>IF(B22="","",IFERROR(_xludf.XLOOKUP(B22,'04_Orden_Diaria'!$A$5:$A$44,'04_Orden_Diaria'!$F$5:$F$44,""),""))</f>
        <v/>
      </c>
      <c r="I22" s="6">
        <f t="shared" si="0"/>
        <v>0</v>
      </c>
    </row>
    <row r="23" spans="1:9">
      <c r="A23" s="5" t="str">
        <f>IF(B23="","",IFERROR(_xludf.XLOOKUP(B23,'04_Orden_Diaria'!$A$5:$A$44,'04_Orden_Diaria'!$B$5:$B$44,""),""))</f>
        <v/>
      </c>
      <c r="C23" t="str">
        <f>IF(B23="","",IFERROR(_xludf.XLOOKUP(B23,'04_Orden_Diaria'!$A$5:$A$44,'04_Orden_Diaria'!$C$5:$C$44,""),""))</f>
        <v/>
      </c>
      <c r="D23" t="str">
        <f>IF(B23="","",IFERROR(_xludf.XLOOKUP(B23,'04_Orden_Diaria'!$A$5:$A$44,'04_Orden_Diaria'!$D$5:$D$44,""),""))</f>
        <v/>
      </c>
      <c r="E23" t="str">
        <f>IF(B23="","",IFERROR(_xludf.XLOOKUP(B23,'04_Orden_Diaria'!$A$5:$A$44,'04_Orden_Diaria'!$E$5:$E$44,""),""))</f>
        <v/>
      </c>
      <c r="F23" t="str">
        <f>IF(B23="","",IFERROR(_xludf.XLOOKUP(B23,'04_Orden_Diaria'!$A$5:$A$44,'04_Orden_Diaria'!$G$5:$G$44,""),""))</f>
        <v/>
      </c>
      <c r="G23" t="str">
        <f>IF(B23="","",IFERROR(_xludf.XLOOKUP(B23,'04_Orden_Diaria'!$A$5:$A$44,'04_Orden_Diaria'!$F$5:$F$44,""),""))</f>
        <v/>
      </c>
      <c r="I23" s="6">
        <f t="shared" si="0"/>
        <v>0</v>
      </c>
    </row>
    <row r="24" spans="1:9">
      <c r="A24" s="5" t="str">
        <f>IF(B24="","",IFERROR(_xludf.XLOOKUP(B24,'04_Orden_Diaria'!$A$5:$A$44,'04_Orden_Diaria'!$B$5:$B$44,""),""))</f>
        <v/>
      </c>
      <c r="C24" t="str">
        <f>IF(B24="","",IFERROR(_xludf.XLOOKUP(B24,'04_Orden_Diaria'!$A$5:$A$44,'04_Orden_Diaria'!$C$5:$C$44,""),""))</f>
        <v/>
      </c>
      <c r="D24" t="str">
        <f>IF(B24="","",IFERROR(_xludf.XLOOKUP(B24,'04_Orden_Diaria'!$A$5:$A$44,'04_Orden_Diaria'!$D$5:$D$44,""),""))</f>
        <v/>
      </c>
      <c r="E24" t="str">
        <f>IF(B24="","",IFERROR(_xludf.XLOOKUP(B24,'04_Orden_Diaria'!$A$5:$A$44,'04_Orden_Diaria'!$E$5:$E$44,""),""))</f>
        <v/>
      </c>
      <c r="F24" t="str">
        <f>IF(B24="","",IFERROR(_xludf.XLOOKUP(B24,'04_Orden_Diaria'!$A$5:$A$44,'04_Orden_Diaria'!$G$5:$G$44,""),""))</f>
        <v/>
      </c>
      <c r="G24" t="str">
        <f>IF(B24="","",IFERROR(_xludf.XLOOKUP(B24,'04_Orden_Diaria'!$A$5:$A$44,'04_Orden_Diaria'!$F$5:$F$44,""),""))</f>
        <v/>
      </c>
      <c r="I24" s="6">
        <f t="shared" si="0"/>
        <v>0</v>
      </c>
    </row>
    <row r="25" spans="1:9">
      <c r="A25" s="5" t="str">
        <f>IF(B25="","",IFERROR(_xludf.XLOOKUP(B25,'04_Orden_Diaria'!$A$5:$A$44,'04_Orden_Diaria'!$B$5:$B$44,""),""))</f>
        <v/>
      </c>
      <c r="C25" t="str">
        <f>IF(B25="","",IFERROR(_xludf.XLOOKUP(B25,'04_Orden_Diaria'!$A$5:$A$44,'04_Orden_Diaria'!$C$5:$C$44,""),""))</f>
        <v/>
      </c>
      <c r="D25" t="str">
        <f>IF(B25="","",IFERROR(_xludf.XLOOKUP(B25,'04_Orden_Diaria'!$A$5:$A$44,'04_Orden_Diaria'!$D$5:$D$44,""),""))</f>
        <v/>
      </c>
      <c r="E25" t="str">
        <f>IF(B25="","",IFERROR(_xludf.XLOOKUP(B25,'04_Orden_Diaria'!$A$5:$A$44,'04_Orden_Diaria'!$E$5:$E$44,""),""))</f>
        <v/>
      </c>
      <c r="F25" t="str">
        <f>IF(B25="","",IFERROR(_xludf.XLOOKUP(B25,'04_Orden_Diaria'!$A$5:$A$44,'04_Orden_Diaria'!$G$5:$G$44,""),""))</f>
        <v/>
      </c>
      <c r="G25" t="str">
        <f>IF(B25="","",IFERROR(_xludf.XLOOKUP(B25,'04_Orden_Diaria'!$A$5:$A$44,'04_Orden_Diaria'!$F$5:$F$44,""),""))</f>
        <v/>
      </c>
      <c r="I25" s="6">
        <f t="shared" si="0"/>
        <v>0</v>
      </c>
    </row>
    <row r="26" spans="1:9">
      <c r="A26" s="5" t="str">
        <f>IF(B26="","",IFERROR(_xludf.XLOOKUP(B26,'04_Orden_Diaria'!$A$5:$A$44,'04_Orden_Diaria'!$B$5:$B$44,""),""))</f>
        <v/>
      </c>
      <c r="C26" t="str">
        <f>IF(B26="","",IFERROR(_xludf.XLOOKUP(B26,'04_Orden_Diaria'!$A$5:$A$44,'04_Orden_Diaria'!$C$5:$C$44,""),""))</f>
        <v/>
      </c>
      <c r="D26" t="str">
        <f>IF(B26="","",IFERROR(_xludf.XLOOKUP(B26,'04_Orden_Diaria'!$A$5:$A$44,'04_Orden_Diaria'!$D$5:$D$44,""),""))</f>
        <v/>
      </c>
      <c r="E26" t="str">
        <f>IF(B26="","",IFERROR(_xludf.XLOOKUP(B26,'04_Orden_Diaria'!$A$5:$A$44,'04_Orden_Diaria'!$E$5:$E$44,""),""))</f>
        <v/>
      </c>
      <c r="F26" t="str">
        <f>IF(B26="","",IFERROR(_xludf.XLOOKUP(B26,'04_Orden_Diaria'!$A$5:$A$44,'04_Orden_Diaria'!$G$5:$G$44,""),""))</f>
        <v/>
      </c>
      <c r="G26" t="str">
        <f>IF(B26="","",IFERROR(_xludf.XLOOKUP(B26,'04_Orden_Diaria'!$A$5:$A$44,'04_Orden_Diaria'!$F$5:$F$44,""),""))</f>
        <v/>
      </c>
      <c r="I26" s="6">
        <f t="shared" si="0"/>
        <v>0</v>
      </c>
    </row>
    <row r="27" spans="1:9">
      <c r="A27" s="5" t="str">
        <f>IF(B27="","",IFERROR(_xludf.XLOOKUP(B27,'04_Orden_Diaria'!$A$5:$A$44,'04_Orden_Diaria'!$B$5:$B$44,""),""))</f>
        <v/>
      </c>
      <c r="C27" t="str">
        <f>IF(B27="","",IFERROR(_xludf.XLOOKUP(B27,'04_Orden_Diaria'!$A$5:$A$44,'04_Orden_Diaria'!$C$5:$C$44,""),""))</f>
        <v/>
      </c>
      <c r="D27" t="str">
        <f>IF(B27="","",IFERROR(_xludf.XLOOKUP(B27,'04_Orden_Diaria'!$A$5:$A$44,'04_Orden_Diaria'!$D$5:$D$44,""),""))</f>
        <v/>
      </c>
      <c r="E27" t="str">
        <f>IF(B27="","",IFERROR(_xludf.XLOOKUP(B27,'04_Orden_Diaria'!$A$5:$A$44,'04_Orden_Diaria'!$E$5:$E$44,""),""))</f>
        <v/>
      </c>
      <c r="F27" t="str">
        <f>IF(B27="","",IFERROR(_xludf.XLOOKUP(B27,'04_Orden_Diaria'!$A$5:$A$44,'04_Orden_Diaria'!$G$5:$G$44,""),""))</f>
        <v/>
      </c>
      <c r="G27" t="str">
        <f>IF(B27="","",IFERROR(_xludf.XLOOKUP(B27,'04_Orden_Diaria'!$A$5:$A$44,'04_Orden_Diaria'!$F$5:$F$44,""),""))</f>
        <v/>
      </c>
      <c r="I27" s="6">
        <f t="shared" si="0"/>
        <v>0</v>
      </c>
    </row>
    <row r="28" spans="1:9">
      <c r="A28" s="5" t="str">
        <f>IF(B28="","",IFERROR(_xludf.XLOOKUP(B28,'04_Orden_Diaria'!$A$5:$A$44,'04_Orden_Diaria'!$B$5:$B$44,""),""))</f>
        <v/>
      </c>
      <c r="C28" t="str">
        <f>IF(B28="","",IFERROR(_xludf.XLOOKUP(B28,'04_Orden_Diaria'!$A$5:$A$44,'04_Orden_Diaria'!$C$5:$C$44,""),""))</f>
        <v/>
      </c>
      <c r="D28" t="str">
        <f>IF(B28="","",IFERROR(_xludf.XLOOKUP(B28,'04_Orden_Diaria'!$A$5:$A$44,'04_Orden_Diaria'!$D$5:$D$44,""),""))</f>
        <v/>
      </c>
      <c r="E28" t="str">
        <f>IF(B28="","",IFERROR(_xludf.XLOOKUP(B28,'04_Orden_Diaria'!$A$5:$A$44,'04_Orden_Diaria'!$E$5:$E$44,""),""))</f>
        <v/>
      </c>
      <c r="F28" t="str">
        <f>IF(B28="","",IFERROR(_xludf.XLOOKUP(B28,'04_Orden_Diaria'!$A$5:$A$44,'04_Orden_Diaria'!$G$5:$G$44,""),""))</f>
        <v/>
      </c>
      <c r="G28" t="str">
        <f>IF(B28="","",IFERROR(_xludf.XLOOKUP(B28,'04_Orden_Diaria'!$A$5:$A$44,'04_Orden_Diaria'!$F$5:$F$44,""),""))</f>
        <v/>
      </c>
      <c r="I28" s="6">
        <f t="shared" si="0"/>
        <v>0</v>
      </c>
    </row>
    <row r="29" spans="1:9">
      <c r="A29" s="5" t="str">
        <f>IF(B29="","",IFERROR(_xludf.XLOOKUP(B29,'04_Orden_Diaria'!$A$5:$A$44,'04_Orden_Diaria'!$B$5:$B$44,""),""))</f>
        <v/>
      </c>
      <c r="C29" t="str">
        <f>IF(B29="","",IFERROR(_xludf.XLOOKUP(B29,'04_Orden_Diaria'!$A$5:$A$44,'04_Orden_Diaria'!$C$5:$C$44,""),""))</f>
        <v/>
      </c>
      <c r="D29" t="str">
        <f>IF(B29="","",IFERROR(_xludf.XLOOKUP(B29,'04_Orden_Diaria'!$A$5:$A$44,'04_Orden_Diaria'!$D$5:$D$44,""),""))</f>
        <v/>
      </c>
      <c r="E29" t="str">
        <f>IF(B29="","",IFERROR(_xludf.XLOOKUP(B29,'04_Orden_Diaria'!$A$5:$A$44,'04_Orden_Diaria'!$E$5:$E$44,""),""))</f>
        <v/>
      </c>
      <c r="F29" t="str">
        <f>IF(B29="","",IFERROR(_xludf.XLOOKUP(B29,'04_Orden_Diaria'!$A$5:$A$44,'04_Orden_Diaria'!$G$5:$G$44,""),""))</f>
        <v/>
      </c>
      <c r="G29" t="str">
        <f>IF(B29="","",IFERROR(_xludf.XLOOKUP(B29,'04_Orden_Diaria'!$A$5:$A$44,'04_Orden_Diaria'!$F$5:$F$44,""),""))</f>
        <v/>
      </c>
      <c r="I29" s="6">
        <f t="shared" si="0"/>
        <v>0</v>
      </c>
    </row>
    <row r="30" spans="1:9">
      <c r="A30" s="5" t="str">
        <f>IF(B30="","",IFERROR(_xludf.XLOOKUP(B30,'04_Orden_Diaria'!$A$5:$A$44,'04_Orden_Diaria'!$B$5:$B$44,""),""))</f>
        <v/>
      </c>
      <c r="C30" t="str">
        <f>IF(B30="","",IFERROR(_xludf.XLOOKUP(B30,'04_Orden_Diaria'!$A$5:$A$44,'04_Orden_Diaria'!$C$5:$C$44,""),""))</f>
        <v/>
      </c>
      <c r="D30" t="str">
        <f>IF(B30="","",IFERROR(_xludf.XLOOKUP(B30,'04_Orden_Diaria'!$A$5:$A$44,'04_Orden_Diaria'!$D$5:$D$44,""),""))</f>
        <v/>
      </c>
      <c r="E30" t="str">
        <f>IF(B30="","",IFERROR(_xludf.XLOOKUP(B30,'04_Orden_Diaria'!$A$5:$A$44,'04_Orden_Diaria'!$E$5:$E$44,""),""))</f>
        <v/>
      </c>
      <c r="F30" t="str">
        <f>IF(B30="","",IFERROR(_xludf.XLOOKUP(B30,'04_Orden_Diaria'!$A$5:$A$44,'04_Orden_Diaria'!$G$5:$G$44,""),""))</f>
        <v/>
      </c>
      <c r="G30" t="str">
        <f>IF(B30="","",IFERROR(_xludf.XLOOKUP(B30,'04_Orden_Diaria'!$A$5:$A$44,'04_Orden_Diaria'!$F$5:$F$44,""),""))</f>
        <v/>
      </c>
      <c r="I30" s="6">
        <f t="shared" si="0"/>
        <v>0</v>
      </c>
    </row>
    <row r="31" spans="1:9">
      <c r="A31" s="5" t="str">
        <f>IF(B31="","",IFERROR(_xludf.XLOOKUP(B31,'04_Orden_Diaria'!$A$5:$A$44,'04_Orden_Diaria'!$B$5:$B$44,""),""))</f>
        <v/>
      </c>
      <c r="C31" t="str">
        <f>IF(B31="","",IFERROR(_xludf.XLOOKUP(B31,'04_Orden_Diaria'!$A$5:$A$44,'04_Orden_Diaria'!$C$5:$C$44,""),""))</f>
        <v/>
      </c>
      <c r="D31" t="str">
        <f>IF(B31="","",IFERROR(_xludf.XLOOKUP(B31,'04_Orden_Diaria'!$A$5:$A$44,'04_Orden_Diaria'!$D$5:$D$44,""),""))</f>
        <v/>
      </c>
      <c r="E31" t="str">
        <f>IF(B31="","",IFERROR(_xludf.XLOOKUP(B31,'04_Orden_Diaria'!$A$5:$A$44,'04_Orden_Diaria'!$E$5:$E$44,""),""))</f>
        <v/>
      </c>
      <c r="F31" t="str">
        <f>IF(B31="","",IFERROR(_xludf.XLOOKUP(B31,'04_Orden_Diaria'!$A$5:$A$44,'04_Orden_Diaria'!$G$5:$G$44,""),""))</f>
        <v/>
      </c>
      <c r="G31" t="str">
        <f>IF(B31="","",IFERROR(_xludf.XLOOKUP(B31,'04_Orden_Diaria'!$A$5:$A$44,'04_Orden_Diaria'!$F$5:$F$44,""),""))</f>
        <v/>
      </c>
      <c r="I31" s="6">
        <f t="shared" si="0"/>
        <v>0</v>
      </c>
    </row>
    <row r="32" spans="1:9">
      <c r="A32" s="5" t="str">
        <f>IF(B32="","",IFERROR(_xludf.XLOOKUP(B32,'04_Orden_Diaria'!$A$5:$A$44,'04_Orden_Diaria'!$B$5:$B$44,""),""))</f>
        <v/>
      </c>
      <c r="C32" t="str">
        <f>IF(B32="","",IFERROR(_xludf.XLOOKUP(B32,'04_Orden_Diaria'!$A$5:$A$44,'04_Orden_Diaria'!$C$5:$C$44,""),""))</f>
        <v/>
      </c>
      <c r="D32" t="str">
        <f>IF(B32="","",IFERROR(_xludf.XLOOKUP(B32,'04_Orden_Diaria'!$A$5:$A$44,'04_Orden_Diaria'!$D$5:$D$44,""),""))</f>
        <v/>
      </c>
      <c r="E32" t="str">
        <f>IF(B32="","",IFERROR(_xludf.XLOOKUP(B32,'04_Orden_Diaria'!$A$5:$A$44,'04_Orden_Diaria'!$E$5:$E$44,""),""))</f>
        <v/>
      </c>
      <c r="F32" t="str">
        <f>IF(B32="","",IFERROR(_xludf.XLOOKUP(B32,'04_Orden_Diaria'!$A$5:$A$44,'04_Orden_Diaria'!$G$5:$G$44,""),""))</f>
        <v/>
      </c>
      <c r="G32" t="str">
        <f>IF(B32="","",IFERROR(_xludf.XLOOKUP(B32,'04_Orden_Diaria'!$A$5:$A$44,'04_Orden_Diaria'!$F$5:$F$44,""),""))</f>
        <v/>
      </c>
      <c r="I32" s="6">
        <f t="shared" si="0"/>
        <v>0</v>
      </c>
    </row>
    <row r="33" spans="1:9">
      <c r="A33" s="5" t="str">
        <f>IF(B33="","",IFERROR(_xludf.XLOOKUP(B33,'04_Orden_Diaria'!$A$5:$A$44,'04_Orden_Diaria'!$B$5:$B$44,""),""))</f>
        <v/>
      </c>
      <c r="C33" t="str">
        <f>IF(B33="","",IFERROR(_xludf.XLOOKUP(B33,'04_Orden_Diaria'!$A$5:$A$44,'04_Orden_Diaria'!$C$5:$C$44,""),""))</f>
        <v/>
      </c>
      <c r="D33" t="str">
        <f>IF(B33="","",IFERROR(_xludf.XLOOKUP(B33,'04_Orden_Diaria'!$A$5:$A$44,'04_Orden_Diaria'!$D$5:$D$44,""),""))</f>
        <v/>
      </c>
      <c r="E33" t="str">
        <f>IF(B33="","",IFERROR(_xludf.XLOOKUP(B33,'04_Orden_Diaria'!$A$5:$A$44,'04_Orden_Diaria'!$E$5:$E$44,""),""))</f>
        <v/>
      </c>
      <c r="F33" t="str">
        <f>IF(B33="","",IFERROR(_xludf.XLOOKUP(B33,'04_Orden_Diaria'!$A$5:$A$44,'04_Orden_Diaria'!$G$5:$G$44,""),""))</f>
        <v/>
      </c>
      <c r="G33" t="str">
        <f>IF(B33="","",IFERROR(_xludf.XLOOKUP(B33,'04_Orden_Diaria'!$A$5:$A$44,'04_Orden_Diaria'!$F$5:$F$44,""),""))</f>
        <v/>
      </c>
      <c r="I33" s="6">
        <f t="shared" si="0"/>
        <v>0</v>
      </c>
    </row>
    <row r="34" spans="1:9">
      <c r="A34" s="5" t="str">
        <f>IF(B34="","",IFERROR(_xludf.XLOOKUP(B34,'04_Orden_Diaria'!$A$5:$A$44,'04_Orden_Diaria'!$B$5:$B$44,""),""))</f>
        <v/>
      </c>
      <c r="C34" t="str">
        <f>IF(B34="","",IFERROR(_xludf.XLOOKUP(B34,'04_Orden_Diaria'!$A$5:$A$44,'04_Orden_Diaria'!$C$5:$C$44,""),""))</f>
        <v/>
      </c>
      <c r="D34" t="str">
        <f>IF(B34="","",IFERROR(_xludf.XLOOKUP(B34,'04_Orden_Diaria'!$A$5:$A$44,'04_Orden_Diaria'!$D$5:$D$44,""),""))</f>
        <v/>
      </c>
      <c r="E34" t="str">
        <f>IF(B34="","",IFERROR(_xludf.XLOOKUP(B34,'04_Orden_Diaria'!$A$5:$A$44,'04_Orden_Diaria'!$E$5:$E$44,""),""))</f>
        <v/>
      </c>
      <c r="F34" t="str">
        <f>IF(B34="","",IFERROR(_xludf.XLOOKUP(B34,'04_Orden_Diaria'!$A$5:$A$44,'04_Orden_Diaria'!$G$5:$G$44,""),""))</f>
        <v/>
      </c>
      <c r="G34" t="str">
        <f>IF(B34="","",IFERROR(_xludf.XLOOKUP(B34,'04_Orden_Diaria'!$A$5:$A$44,'04_Orden_Diaria'!$F$5:$F$44,""),""))</f>
        <v/>
      </c>
      <c r="I34" s="6">
        <f t="shared" si="0"/>
        <v>0</v>
      </c>
    </row>
    <row r="35" spans="1:9">
      <c r="A35" s="5" t="str">
        <f>IF(B35="","",IFERROR(_xludf.XLOOKUP(B35,'04_Orden_Diaria'!$A$5:$A$44,'04_Orden_Diaria'!$B$5:$B$44,""),""))</f>
        <v/>
      </c>
      <c r="C35" t="str">
        <f>IF(B35="","",IFERROR(_xludf.XLOOKUP(B35,'04_Orden_Diaria'!$A$5:$A$44,'04_Orden_Diaria'!$C$5:$C$44,""),""))</f>
        <v/>
      </c>
      <c r="D35" t="str">
        <f>IF(B35="","",IFERROR(_xludf.XLOOKUP(B35,'04_Orden_Diaria'!$A$5:$A$44,'04_Orden_Diaria'!$D$5:$D$44,""),""))</f>
        <v/>
      </c>
      <c r="E35" t="str">
        <f>IF(B35="","",IFERROR(_xludf.XLOOKUP(B35,'04_Orden_Diaria'!$A$5:$A$44,'04_Orden_Diaria'!$E$5:$E$44,""),""))</f>
        <v/>
      </c>
      <c r="F35" t="str">
        <f>IF(B35="","",IFERROR(_xludf.XLOOKUP(B35,'04_Orden_Diaria'!$A$5:$A$44,'04_Orden_Diaria'!$G$5:$G$44,""),""))</f>
        <v/>
      </c>
      <c r="G35" t="str">
        <f>IF(B35="","",IFERROR(_xludf.XLOOKUP(B35,'04_Orden_Diaria'!$A$5:$A$44,'04_Orden_Diaria'!$F$5:$F$44,""),""))</f>
        <v/>
      </c>
      <c r="I35" s="6">
        <f t="shared" si="0"/>
        <v>0</v>
      </c>
    </row>
    <row r="36" spans="1:9">
      <c r="A36" s="5" t="str">
        <f>IF(B36="","",IFERROR(_xludf.XLOOKUP(B36,'04_Orden_Diaria'!$A$5:$A$44,'04_Orden_Diaria'!$B$5:$B$44,""),""))</f>
        <v/>
      </c>
      <c r="C36" t="str">
        <f>IF(B36="","",IFERROR(_xludf.XLOOKUP(B36,'04_Orden_Diaria'!$A$5:$A$44,'04_Orden_Diaria'!$C$5:$C$44,""),""))</f>
        <v/>
      </c>
      <c r="D36" t="str">
        <f>IF(B36="","",IFERROR(_xludf.XLOOKUP(B36,'04_Orden_Diaria'!$A$5:$A$44,'04_Orden_Diaria'!$D$5:$D$44,""),""))</f>
        <v/>
      </c>
      <c r="E36" t="str">
        <f>IF(B36="","",IFERROR(_xludf.XLOOKUP(B36,'04_Orden_Diaria'!$A$5:$A$44,'04_Orden_Diaria'!$E$5:$E$44,""),""))</f>
        <v/>
      </c>
      <c r="F36" t="str">
        <f>IF(B36="","",IFERROR(_xludf.XLOOKUP(B36,'04_Orden_Diaria'!$A$5:$A$44,'04_Orden_Diaria'!$G$5:$G$44,""),""))</f>
        <v/>
      </c>
      <c r="G36" t="str">
        <f>IF(B36="","",IFERROR(_xludf.XLOOKUP(B36,'04_Orden_Diaria'!$A$5:$A$44,'04_Orden_Diaria'!$F$5:$F$44,""),""))</f>
        <v/>
      </c>
      <c r="I36" s="6">
        <f t="shared" si="0"/>
        <v>0</v>
      </c>
    </row>
    <row r="37" spans="1:9">
      <c r="A37" s="5" t="str">
        <f>IF(B37="","",IFERROR(_xludf.XLOOKUP(B37,'04_Orden_Diaria'!$A$5:$A$44,'04_Orden_Diaria'!$B$5:$B$44,""),""))</f>
        <v/>
      </c>
      <c r="C37" t="str">
        <f>IF(B37="","",IFERROR(_xludf.XLOOKUP(B37,'04_Orden_Diaria'!$A$5:$A$44,'04_Orden_Diaria'!$C$5:$C$44,""),""))</f>
        <v/>
      </c>
      <c r="D37" t="str">
        <f>IF(B37="","",IFERROR(_xludf.XLOOKUP(B37,'04_Orden_Diaria'!$A$5:$A$44,'04_Orden_Diaria'!$D$5:$D$44,""),""))</f>
        <v/>
      </c>
      <c r="E37" t="str">
        <f>IF(B37="","",IFERROR(_xludf.XLOOKUP(B37,'04_Orden_Diaria'!$A$5:$A$44,'04_Orden_Diaria'!$E$5:$E$44,""),""))</f>
        <v/>
      </c>
      <c r="F37" t="str">
        <f>IF(B37="","",IFERROR(_xludf.XLOOKUP(B37,'04_Orden_Diaria'!$A$5:$A$44,'04_Orden_Diaria'!$G$5:$G$44,""),""))</f>
        <v/>
      </c>
      <c r="G37" t="str">
        <f>IF(B37="","",IFERROR(_xludf.XLOOKUP(B37,'04_Orden_Diaria'!$A$5:$A$44,'04_Orden_Diaria'!$F$5:$F$44,""),""))</f>
        <v/>
      </c>
      <c r="I37" s="6">
        <f t="shared" ref="I37:I68" si="1">IFERROR(H37/G37,0)</f>
        <v>0</v>
      </c>
    </row>
    <row r="38" spans="1:9">
      <c r="A38" s="5" t="str">
        <f>IF(B38="","",IFERROR(_xludf.XLOOKUP(B38,'04_Orden_Diaria'!$A$5:$A$44,'04_Orden_Diaria'!$B$5:$B$44,""),""))</f>
        <v/>
      </c>
      <c r="C38" t="str">
        <f>IF(B38="","",IFERROR(_xludf.XLOOKUP(B38,'04_Orden_Diaria'!$A$5:$A$44,'04_Orden_Diaria'!$C$5:$C$44,""),""))</f>
        <v/>
      </c>
      <c r="D38" t="str">
        <f>IF(B38="","",IFERROR(_xludf.XLOOKUP(B38,'04_Orden_Diaria'!$A$5:$A$44,'04_Orden_Diaria'!$D$5:$D$44,""),""))</f>
        <v/>
      </c>
      <c r="E38" t="str">
        <f>IF(B38="","",IFERROR(_xludf.XLOOKUP(B38,'04_Orden_Diaria'!$A$5:$A$44,'04_Orden_Diaria'!$E$5:$E$44,""),""))</f>
        <v/>
      </c>
      <c r="F38" t="str">
        <f>IF(B38="","",IFERROR(_xludf.XLOOKUP(B38,'04_Orden_Diaria'!$A$5:$A$44,'04_Orden_Diaria'!$G$5:$G$44,""),""))</f>
        <v/>
      </c>
      <c r="G38" t="str">
        <f>IF(B38="","",IFERROR(_xludf.XLOOKUP(B38,'04_Orden_Diaria'!$A$5:$A$44,'04_Orden_Diaria'!$F$5:$F$44,""),""))</f>
        <v/>
      </c>
      <c r="I38" s="6">
        <f t="shared" si="1"/>
        <v>0</v>
      </c>
    </row>
    <row r="39" spans="1:9">
      <c r="A39" s="5" t="str">
        <f>IF(B39="","",IFERROR(_xludf.XLOOKUP(B39,'04_Orden_Diaria'!$A$5:$A$44,'04_Orden_Diaria'!$B$5:$B$44,""),""))</f>
        <v/>
      </c>
      <c r="C39" t="str">
        <f>IF(B39="","",IFERROR(_xludf.XLOOKUP(B39,'04_Orden_Diaria'!$A$5:$A$44,'04_Orden_Diaria'!$C$5:$C$44,""),""))</f>
        <v/>
      </c>
      <c r="D39" t="str">
        <f>IF(B39="","",IFERROR(_xludf.XLOOKUP(B39,'04_Orden_Diaria'!$A$5:$A$44,'04_Orden_Diaria'!$D$5:$D$44,""),""))</f>
        <v/>
      </c>
      <c r="E39" t="str">
        <f>IF(B39="","",IFERROR(_xludf.XLOOKUP(B39,'04_Orden_Diaria'!$A$5:$A$44,'04_Orden_Diaria'!$E$5:$E$44,""),""))</f>
        <v/>
      </c>
      <c r="F39" t="str">
        <f>IF(B39="","",IFERROR(_xludf.XLOOKUP(B39,'04_Orden_Diaria'!$A$5:$A$44,'04_Orden_Diaria'!$G$5:$G$44,""),""))</f>
        <v/>
      </c>
      <c r="G39" t="str">
        <f>IF(B39="","",IFERROR(_xludf.XLOOKUP(B39,'04_Orden_Diaria'!$A$5:$A$44,'04_Orden_Diaria'!$F$5:$F$44,""),""))</f>
        <v/>
      </c>
      <c r="I39" s="6">
        <f t="shared" si="1"/>
        <v>0</v>
      </c>
    </row>
    <row r="40" spans="1:9">
      <c r="A40" s="5" t="str">
        <f>IF(B40="","",IFERROR(_xludf.XLOOKUP(B40,'04_Orden_Diaria'!$A$5:$A$44,'04_Orden_Diaria'!$B$5:$B$44,""),""))</f>
        <v/>
      </c>
      <c r="C40" t="str">
        <f>IF(B40="","",IFERROR(_xludf.XLOOKUP(B40,'04_Orden_Diaria'!$A$5:$A$44,'04_Orden_Diaria'!$C$5:$C$44,""),""))</f>
        <v/>
      </c>
      <c r="D40" t="str">
        <f>IF(B40="","",IFERROR(_xludf.XLOOKUP(B40,'04_Orden_Diaria'!$A$5:$A$44,'04_Orden_Diaria'!$D$5:$D$44,""),""))</f>
        <v/>
      </c>
      <c r="E40" t="str">
        <f>IF(B40="","",IFERROR(_xludf.XLOOKUP(B40,'04_Orden_Diaria'!$A$5:$A$44,'04_Orden_Diaria'!$E$5:$E$44,""),""))</f>
        <v/>
      </c>
      <c r="F40" t="str">
        <f>IF(B40="","",IFERROR(_xludf.XLOOKUP(B40,'04_Orden_Diaria'!$A$5:$A$44,'04_Orden_Diaria'!$G$5:$G$44,""),""))</f>
        <v/>
      </c>
      <c r="G40" t="str">
        <f>IF(B40="","",IFERROR(_xludf.XLOOKUP(B40,'04_Orden_Diaria'!$A$5:$A$44,'04_Orden_Diaria'!$F$5:$F$44,""),""))</f>
        <v/>
      </c>
      <c r="I40" s="6">
        <f t="shared" si="1"/>
        <v>0</v>
      </c>
    </row>
    <row r="41" spans="1:9">
      <c r="A41" s="5" t="str">
        <f>IF(B41="","",IFERROR(_xludf.XLOOKUP(B41,'04_Orden_Diaria'!$A$5:$A$44,'04_Orden_Diaria'!$B$5:$B$44,""),""))</f>
        <v/>
      </c>
      <c r="C41" t="str">
        <f>IF(B41="","",IFERROR(_xludf.XLOOKUP(B41,'04_Orden_Diaria'!$A$5:$A$44,'04_Orden_Diaria'!$C$5:$C$44,""),""))</f>
        <v/>
      </c>
      <c r="D41" t="str">
        <f>IF(B41="","",IFERROR(_xludf.XLOOKUP(B41,'04_Orden_Diaria'!$A$5:$A$44,'04_Orden_Diaria'!$D$5:$D$44,""),""))</f>
        <v/>
      </c>
      <c r="E41" t="str">
        <f>IF(B41="","",IFERROR(_xludf.XLOOKUP(B41,'04_Orden_Diaria'!$A$5:$A$44,'04_Orden_Diaria'!$E$5:$E$44,""),""))</f>
        <v/>
      </c>
      <c r="F41" t="str">
        <f>IF(B41="","",IFERROR(_xludf.XLOOKUP(B41,'04_Orden_Diaria'!$A$5:$A$44,'04_Orden_Diaria'!$G$5:$G$44,""),""))</f>
        <v/>
      </c>
      <c r="G41" t="str">
        <f>IF(B41="","",IFERROR(_xludf.XLOOKUP(B41,'04_Orden_Diaria'!$A$5:$A$44,'04_Orden_Diaria'!$F$5:$F$44,""),""))</f>
        <v/>
      </c>
      <c r="I41" s="6">
        <f t="shared" si="1"/>
        <v>0</v>
      </c>
    </row>
    <row r="42" spans="1:9">
      <c r="A42" s="5" t="str">
        <f>IF(B42="","",IFERROR(_xludf.XLOOKUP(B42,'04_Orden_Diaria'!$A$5:$A$44,'04_Orden_Diaria'!$B$5:$B$44,""),""))</f>
        <v/>
      </c>
      <c r="C42" t="str">
        <f>IF(B42="","",IFERROR(_xludf.XLOOKUP(B42,'04_Orden_Diaria'!$A$5:$A$44,'04_Orden_Diaria'!$C$5:$C$44,""),""))</f>
        <v/>
      </c>
      <c r="D42" t="str">
        <f>IF(B42="","",IFERROR(_xludf.XLOOKUP(B42,'04_Orden_Diaria'!$A$5:$A$44,'04_Orden_Diaria'!$D$5:$D$44,""),""))</f>
        <v/>
      </c>
      <c r="E42" t="str">
        <f>IF(B42="","",IFERROR(_xludf.XLOOKUP(B42,'04_Orden_Diaria'!$A$5:$A$44,'04_Orden_Diaria'!$E$5:$E$44,""),""))</f>
        <v/>
      </c>
      <c r="F42" t="str">
        <f>IF(B42="","",IFERROR(_xludf.XLOOKUP(B42,'04_Orden_Diaria'!$A$5:$A$44,'04_Orden_Diaria'!$G$5:$G$44,""),""))</f>
        <v/>
      </c>
      <c r="G42" t="str">
        <f>IF(B42="","",IFERROR(_xludf.XLOOKUP(B42,'04_Orden_Diaria'!$A$5:$A$44,'04_Orden_Diaria'!$F$5:$F$44,""),""))</f>
        <v/>
      </c>
      <c r="I42" s="6">
        <f t="shared" si="1"/>
        <v>0</v>
      </c>
    </row>
    <row r="43" spans="1:9">
      <c r="A43" s="5" t="str">
        <f>IF(B43="","",IFERROR(_xludf.XLOOKUP(B43,'04_Orden_Diaria'!$A$5:$A$44,'04_Orden_Diaria'!$B$5:$B$44,""),""))</f>
        <v/>
      </c>
      <c r="C43" t="str">
        <f>IF(B43="","",IFERROR(_xludf.XLOOKUP(B43,'04_Orden_Diaria'!$A$5:$A$44,'04_Orden_Diaria'!$C$5:$C$44,""),""))</f>
        <v/>
      </c>
      <c r="D43" t="str">
        <f>IF(B43="","",IFERROR(_xludf.XLOOKUP(B43,'04_Orden_Diaria'!$A$5:$A$44,'04_Orden_Diaria'!$D$5:$D$44,""),""))</f>
        <v/>
      </c>
      <c r="E43" t="str">
        <f>IF(B43="","",IFERROR(_xludf.XLOOKUP(B43,'04_Orden_Diaria'!$A$5:$A$44,'04_Orden_Diaria'!$E$5:$E$44,""),""))</f>
        <v/>
      </c>
      <c r="F43" t="str">
        <f>IF(B43="","",IFERROR(_xludf.XLOOKUP(B43,'04_Orden_Diaria'!$A$5:$A$44,'04_Orden_Diaria'!$G$5:$G$44,""),""))</f>
        <v/>
      </c>
      <c r="G43" t="str">
        <f>IF(B43="","",IFERROR(_xludf.XLOOKUP(B43,'04_Orden_Diaria'!$A$5:$A$44,'04_Orden_Diaria'!$F$5:$F$44,""),""))</f>
        <v/>
      </c>
      <c r="I43" s="6">
        <f t="shared" si="1"/>
        <v>0</v>
      </c>
    </row>
    <row r="44" spans="1:9">
      <c r="A44" s="5" t="str">
        <f>IF(B44="","",IFERROR(_xludf.XLOOKUP(B44,'04_Orden_Diaria'!$A$5:$A$44,'04_Orden_Diaria'!$B$5:$B$44,""),""))</f>
        <v/>
      </c>
      <c r="C44" t="str">
        <f>IF(B44="","",IFERROR(_xludf.XLOOKUP(B44,'04_Orden_Diaria'!$A$5:$A$44,'04_Orden_Diaria'!$C$5:$C$44,""),""))</f>
        <v/>
      </c>
      <c r="D44" t="str">
        <f>IF(B44="","",IFERROR(_xludf.XLOOKUP(B44,'04_Orden_Diaria'!$A$5:$A$44,'04_Orden_Diaria'!$D$5:$D$44,""),""))</f>
        <v/>
      </c>
      <c r="E44" t="str">
        <f>IF(B44="","",IFERROR(_xludf.XLOOKUP(B44,'04_Orden_Diaria'!$A$5:$A$44,'04_Orden_Diaria'!$E$5:$E$44,""),""))</f>
        <v/>
      </c>
      <c r="F44" t="str">
        <f>IF(B44="","",IFERROR(_xludf.XLOOKUP(B44,'04_Orden_Diaria'!$A$5:$A$44,'04_Orden_Diaria'!$G$5:$G$44,""),""))</f>
        <v/>
      </c>
      <c r="G44" t="str">
        <f>IF(B44="","",IFERROR(_xludf.XLOOKUP(B44,'04_Orden_Diaria'!$A$5:$A$44,'04_Orden_Diaria'!$F$5:$F$44,""),""))</f>
        <v/>
      </c>
      <c r="I44" s="6">
        <f t="shared" si="1"/>
        <v>0</v>
      </c>
    </row>
    <row r="45" spans="1:9">
      <c r="A45" s="5" t="str">
        <f>IF(B45="","",IFERROR(_xludf.XLOOKUP(B45,'04_Orden_Diaria'!$A$5:$A$44,'04_Orden_Diaria'!$B$5:$B$44,""),""))</f>
        <v/>
      </c>
      <c r="C45" t="str">
        <f>IF(B45="","",IFERROR(_xludf.XLOOKUP(B45,'04_Orden_Diaria'!$A$5:$A$44,'04_Orden_Diaria'!$C$5:$C$44,""),""))</f>
        <v/>
      </c>
      <c r="D45" t="str">
        <f>IF(B45="","",IFERROR(_xludf.XLOOKUP(B45,'04_Orden_Diaria'!$A$5:$A$44,'04_Orden_Diaria'!$D$5:$D$44,""),""))</f>
        <v/>
      </c>
      <c r="E45" t="str">
        <f>IF(B45="","",IFERROR(_xludf.XLOOKUP(B45,'04_Orden_Diaria'!$A$5:$A$44,'04_Orden_Diaria'!$E$5:$E$44,""),""))</f>
        <v/>
      </c>
      <c r="F45" t="str">
        <f>IF(B45="","",IFERROR(_xludf.XLOOKUP(B45,'04_Orden_Diaria'!$A$5:$A$44,'04_Orden_Diaria'!$G$5:$G$44,""),""))</f>
        <v/>
      </c>
      <c r="G45" t="str">
        <f>IF(B45="","",IFERROR(_xludf.XLOOKUP(B45,'04_Orden_Diaria'!$A$5:$A$44,'04_Orden_Diaria'!$F$5:$F$44,""),""))</f>
        <v/>
      </c>
      <c r="I45" s="6">
        <f t="shared" si="1"/>
        <v>0</v>
      </c>
    </row>
    <row r="46" spans="1:9">
      <c r="A46" s="5" t="str">
        <f>IF(B46="","",IFERROR(_xludf.XLOOKUP(B46,'04_Orden_Diaria'!$A$5:$A$44,'04_Orden_Diaria'!$B$5:$B$44,""),""))</f>
        <v/>
      </c>
      <c r="C46" t="str">
        <f>IF(B46="","",IFERROR(_xludf.XLOOKUP(B46,'04_Orden_Diaria'!$A$5:$A$44,'04_Orden_Diaria'!$C$5:$C$44,""),""))</f>
        <v/>
      </c>
      <c r="D46" t="str">
        <f>IF(B46="","",IFERROR(_xludf.XLOOKUP(B46,'04_Orden_Diaria'!$A$5:$A$44,'04_Orden_Diaria'!$D$5:$D$44,""),""))</f>
        <v/>
      </c>
      <c r="E46" t="str">
        <f>IF(B46="","",IFERROR(_xludf.XLOOKUP(B46,'04_Orden_Diaria'!$A$5:$A$44,'04_Orden_Diaria'!$E$5:$E$44,""),""))</f>
        <v/>
      </c>
      <c r="F46" t="str">
        <f>IF(B46="","",IFERROR(_xludf.XLOOKUP(B46,'04_Orden_Diaria'!$A$5:$A$44,'04_Orden_Diaria'!$G$5:$G$44,""),""))</f>
        <v/>
      </c>
      <c r="G46" t="str">
        <f>IF(B46="","",IFERROR(_xludf.XLOOKUP(B46,'04_Orden_Diaria'!$A$5:$A$44,'04_Orden_Diaria'!$F$5:$F$44,""),""))</f>
        <v/>
      </c>
      <c r="I46" s="6">
        <f t="shared" si="1"/>
        <v>0</v>
      </c>
    </row>
    <row r="47" spans="1:9">
      <c r="A47" s="5" t="str">
        <f>IF(B47="","",IFERROR(_xludf.XLOOKUP(B47,'04_Orden_Diaria'!$A$5:$A$44,'04_Orden_Diaria'!$B$5:$B$44,""),""))</f>
        <v/>
      </c>
      <c r="C47" t="str">
        <f>IF(B47="","",IFERROR(_xludf.XLOOKUP(B47,'04_Orden_Diaria'!$A$5:$A$44,'04_Orden_Diaria'!$C$5:$C$44,""),""))</f>
        <v/>
      </c>
      <c r="D47" t="str">
        <f>IF(B47="","",IFERROR(_xludf.XLOOKUP(B47,'04_Orden_Diaria'!$A$5:$A$44,'04_Orden_Diaria'!$D$5:$D$44,""),""))</f>
        <v/>
      </c>
      <c r="E47" t="str">
        <f>IF(B47="","",IFERROR(_xludf.XLOOKUP(B47,'04_Orden_Diaria'!$A$5:$A$44,'04_Orden_Diaria'!$E$5:$E$44,""),""))</f>
        <v/>
      </c>
      <c r="F47" t="str">
        <f>IF(B47="","",IFERROR(_xludf.XLOOKUP(B47,'04_Orden_Diaria'!$A$5:$A$44,'04_Orden_Diaria'!$G$5:$G$44,""),""))</f>
        <v/>
      </c>
      <c r="G47" t="str">
        <f>IF(B47="","",IFERROR(_xludf.XLOOKUP(B47,'04_Orden_Diaria'!$A$5:$A$44,'04_Orden_Diaria'!$F$5:$F$44,""),""))</f>
        <v/>
      </c>
      <c r="I47" s="6">
        <f t="shared" si="1"/>
        <v>0</v>
      </c>
    </row>
    <row r="48" spans="1:9">
      <c r="A48" s="5" t="str">
        <f>IF(B48="","",IFERROR(_xludf.XLOOKUP(B48,'04_Orden_Diaria'!$A$5:$A$44,'04_Orden_Diaria'!$B$5:$B$44,""),""))</f>
        <v/>
      </c>
      <c r="C48" t="str">
        <f>IF(B48="","",IFERROR(_xludf.XLOOKUP(B48,'04_Orden_Diaria'!$A$5:$A$44,'04_Orden_Diaria'!$C$5:$C$44,""),""))</f>
        <v/>
      </c>
      <c r="D48" t="str">
        <f>IF(B48="","",IFERROR(_xludf.XLOOKUP(B48,'04_Orden_Diaria'!$A$5:$A$44,'04_Orden_Diaria'!$D$5:$D$44,""),""))</f>
        <v/>
      </c>
      <c r="E48" t="str">
        <f>IF(B48="","",IFERROR(_xludf.XLOOKUP(B48,'04_Orden_Diaria'!$A$5:$A$44,'04_Orden_Diaria'!$E$5:$E$44,""),""))</f>
        <v/>
      </c>
      <c r="F48" t="str">
        <f>IF(B48="","",IFERROR(_xludf.XLOOKUP(B48,'04_Orden_Diaria'!$A$5:$A$44,'04_Orden_Diaria'!$G$5:$G$44,""),""))</f>
        <v/>
      </c>
      <c r="G48" t="str">
        <f>IF(B48="","",IFERROR(_xludf.XLOOKUP(B48,'04_Orden_Diaria'!$A$5:$A$44,'04_Orden_Diaria'!$F$5:$F$44,""),""))</f>
        <v/>
      </c>
      <c r="I48" s="6">
        <f t="shared" si="1"/>
        <v>0</v>
      </c>
    </row>
    <row r="49" spans="1:9">
      <c r="A49" s="5" t="str">
        <f>IF(B49="","",IFERROR(_xludf.XLOOKUP(B49,'04_Orden_Diaria'!$A$5:$A$44,'04_Orden_Diaria'!$B$5:$B$44,""),""))</f>
        <v/>
      </c>
      <c r="C49" t="str">
        <f>IF(B49="","",IFERROR(_xludf.XLOOKUP(B49,'04_Orden_Diaria'!$A$5:$A$44,'04_Orden_Diaria'!$C$5:$C$44,""),""))</f>
        <v/>
      </c>
      <c r="D49" t="str">
        <f>IF(B49="","",IFERROR(_xludf.XLOOKUP(B49,'04_Orden_Diaria'!$A$5:$A$44,'04_Orden_Diaria'!$D$5:$D$44,""),""))</f>
        <v/>
      </c>
      <c r="E49" t="str">
        <f>IF(B49="","",IFERROR(_xludf.XLOOKUP(B49,'04_Orden_Diaria'!$A$5:$A$44,'04_Orden_Diaria'!$E$5:$E$44,""),""))</f>
        <v/>
      </c>
      <c r="F49" t="str">
        <f>IF(B49="","",IFERROR(_xludf.XLOOKUP(B49,'04_Orden_Diaria'!$A$5:$A$44,'04_Orden_Diaria'!$G$5:$G$44,""),""))</f>
        <v/>
      </c>
      <c r="G49" t="str">
        <f>IF(B49="","",IFERROR(_xludf.XLOOKUP(B49,'04_Orden_Diaria'!$A$5:$A$44,'04_Orden_Diaria'!$F$5:$F$44,""),""))</f>
        <v/>
      </c>
      <c r="I49" s="6">
        <f t="shared" si="1"/>
        <v>0</v>
      </c>
    </row>
    <row r="50" spans="1:9">
      <c r="A50" s="5" t="str">
        <f>IF(B50="","",IFERROR(_xludf.XLOOKUP(B50,'04_Orden_Diaria'!$A$5:$A$44,'04_Orden_Diaria'!$B$5:$B$44,""),""))</f>
        <v/>
      </c>
      <c r="C50" t="str">
        <f>IF(B50="","",IFERROR(_xludf.XLOOKUP(B50,'04_Orden_Diaria'!$A$5:$A$44,'04_Orden_Diaria'!$C$5:$C$44,""),""))</f>
        <v/>
      </c>
      <c r="D50" t="str">
        <f>IF(B50="","",IFERROR(_xludf.XLOOKUP(B50,'04_Orden_Diaria'!$A$5:$A$44,'04_Orden_Diaria'!$D$5:$D$44,""),""))</f>
        <v/>
      </c>
      <c r="E50" t="str">
        <f>IF(B50="","",IFERROR(_xludf.XLOOKUP(B50,'04_Orden_Diaria'!$A$5:$A$44,'04_Orden_Diaria'!$E$5:$E$44,""),""))</f>
        <v/>
      </c>
      <c r="F50" t="str">
        <f>IF(B50="","",IFERROR(_xludf.XLOOKUP(B50,'04_Orden_Diaria'!$A$5:$A$44,'04_Orden_Diaria'!$G$5:$G$44,""),""))</f>
        <v/>
      </c>
      <c r="G50" t="str">
        <f>IF(B50="","",IFERROR(_xludf.XLOOKUP(B50,'04_Orden_Diaria'!$A$5:$A$44,'04_Orden_Diaria'!$F$5:$F$44,""),""))</f>
        <v/>
      </c>
      <c r="I50" s="6">
        <f t="shared" si="1"/>
        <v>0</v>
      </c>
    </row>
    <row r="51" spans="1:9">
      <c r="A51" s="5" t="str">
        <f>IF(B51="","",IFERROR(_xludf.XLOOKUP(B51,'04_Orden_Diaria'!$A$5:$A$44,'04_Orden_Diaria'!$B$5:$B$44,""),""))</f>
        <v/>
      </c>
      <c r="C51" t="str">
        <f>IF(B51="","",IFERROR(_xludf.XLOOKUP(B51,'04_Orden_Diaria'!$A$5:$A$44,'04_Orden_Diaria'!$C$5:$C$44,""),""))</f>
        <v/>
      </c>
      <c r="D51" t="str">
        <f>IF(B51="","",IFERROR(_xludf.XLOOKUP(B51,'04_Orden_Diaria'!$A$5:$A$44,'04_Orden_Diaria'!$D$5:$D$44,""),""))</f>
        <v/>
      </c>
      <c r="E51" t="str">
        <f>IF(B51="","",IFERROR(_xludf.XLOOKUP(B51,'04_Orden_Diaria'!$A$5:$A$44,'04_Orden_Diaria'!$E$5:$E$44,""),""))</f>
        <v/>
      </c>
      <c r="F51" t="str">
        <f>IF(B51="","",IFERROR(_xludf.XLOOKUP(B51,'04_Orden_Diaria'!$A$5:$A$44,'04_Orden_Diaria'!$G$5:$G$44,""),""))</f>
        <v/>
      </c>
      <c r="G51" t="str">
        <f>IF(B51="","",IFERROR(_xludf.XLOOKUP(B51,'04_Orden_Diaria'!$A$5:$A$44,'04_Orden_Diaria'!$F$5:$F$44,""),""))</f>
        <v/>
      </c>
      <c r="I51" s="6">
        <f t="shared" si="1"/>
        <v>0</v>
      </c>
    </row>
    <row r="52" spans="1:9">
      <c r="A52" s="5" t="str">
        <f>IF(B52="","",IFERROR(_xludf.XLOOKUP(B52,'04_Orden_Diaria'!$A$5:$A$44,'04_Orden_Diaria'!$B$5:$B$44,""),""))</f>
        <v/>
      </c>
      <c r="C52" t="str">
        <f>IF(B52="","",IFERROR(_xludf.XLOOKUP(B52,'04_Orden_Diaria'!$A$5:$A$44,'04_Orden_Diaria'!$C$5:$C$44,""),""))</f>
        <v/>
      </c>
      <c r="D52" t="str">
        <f>IF(B52="","",IFERROR(_xludf.XLOOKUP(B52,'04_Orden_Diaria'!$A$5:$A$44,'04_Orden_Diaria'!$D$5:$D$44,""),""))</f>
        <v/>
      </c>
      <c r="E52" t="str">
        <f>IF(B52="","",IFERROR(_xludf.XLOOKUP(B52,'04_Orden_Diaria'!$A$5:$A$44,'04_Orden_Diaria'!$E$5:$E$44,""),""))</f>
        <v/>
      </c>
      <c r="F52" t="str">
        <f>IF(B52="","",IFERROR(_xludf.XLOOKUP(B52,'04_Orden_Diaria'!$A$5:$A$44,'04_Orden_Diaria'!$G$5:$G$44,""),""))</f>
        <v/>
      </c>
      <c r="G52" t="str">
        <f>IF(B52="","",IFERROR(_xludf.XLOOKUP(B52,'04_Orden_Diaria'!$A$5:$A$44,'04_Orden_Diaria'!$F$5:$F$44,""),""))</f>
        <v/>
      </c>
      <c r="I52" s="6">
        <f t="shared" si="1"/>
        <v>0</v>
      </c>
    </row>
    <row r="53" spans="1:9">
      <c r="A53" s="5" t="str">
        <f>IF(B53="","",IFERROR(_xludf.XLOOKUP(B53,'04_Orden_Diaria'!$A$5:$A$44,'04_Orden_Diaria'!$B$5:$B$44,""),""))</f>
        <v/>
      </c>
      <c r="C53" t="str">
        <f>IF(B53="","",IFERROR(_xludf.XLOOKUP(B53,'04_Orden_Diaria'!$A$5:$A$44,'04_Orden_Diaria'!$C$5:$C$44,""),""))</f>
        <v/>
      </c>
      <c r="D53" t="str">
        <f>IF(B53="","",IFERROR(_xludf.XLOOKUP(B53,'04_Orden_Diaria'!$A$5:$A$44,'04_Orden_Diaria'!$D$5:$D$44,""),""))</f>
        <v/>
      </c>
      <c r="E53" t="str">
        <f>IF(B53="","",IFERROR(_xludf.XLOOKUP(B53,'04_Orden_Diaria'!$A$5:$A$44,'04_Orden_Diaria'!$E$5:$E$44,""),""))</f>
        <v/>
      </c>
      <c r="F53" t="str">
        <f>IF(B53="","",IFERROR(_xludf.XLOOKUP(B53,'04_Orden_Diaria'!$A$5:$A$44,'04_Orden_Diaria'!$G$5:$G$44,""),""))</f>
        <v/>
      </c>
      <c r="G53" t="str">
        <f>IF(B53="","",IFERROR(_xludf.XLOOKUP(B53,'04_Orden_Diaria'!$A$5:$A$44,'04_Orden_Diaria'!$F$5:$F$44,""),""))</f>
        <v/>
      </c>
      <c r="I53" s="6">
        <f t="shared" si="1"/>
        <v>0</v>
      </c>
    </row>
    <row r="54" spans="1:9">
      <c r="A54" s="5" t="str">
        <f>IF(B54="","",IFERROR(_xludf.XLOOKUP(B54,'04_Orden_Diaria'!$A$5:$A$44,'04_Orden_Diaria'!$B$5:$B$44,""),""))</f>
        <v/>
      </c>
      <c r="C54" t="str">
        <f>IF(B54="","",IFERROR(_xludf.XLOOKUP(B54,'04_Orden_Diaria'!$A$5:$A$44,'04_Orden_Diaria'!$C$5:$C$44,""),""))</f>
        <v/>
      </c>
      <c r="D54" t="str">
        <f>IF(B54="","",IFERROR(_xludf.XLOOKUP(B54,'04_Orden_Diaria'!$A$5:$A$44,'04_Orden_Diaria'!$D$5:$D$44,""),""))</f>
        <v/>
      </c>
      <c r="E54" t="str">
        <f>IF(B54="","",IFERROR(_xludf.XLOOKUP(B54,'04_Orden_Diaria'!$A$5:$A$44,'04_Orden_Diaria'!$E$5:$E$44,""),""))</f>
        <v/>
      </c>
      <c r="F54" t="str">
        <f>IF(B54="","",IFERROR(_xludf.XLOOKUP(B54,'04_Orden_Diaria'!$A$5:$A$44,'04_Orden_Diaria'!$G$5:$G$44,""),""))</f>
        <v/>
      </c>
      <c r="G54" t="str">
        <f>IF(B54="","",IFERROR(_xludf.XLOOKUP(B54,'04_Orden_Diaria'!$A$5:$A$44,'04_Orden_Diaria'!$F$5:$F$44,""),""))</f>
        <v/>
      </c>
      <c r="I54" s="6">
        <f t="shared" si="1"/>
        <v>0</v>
      </c>
    </row>
    <row r="55" spans="1:9">
      <c r="A55" s="5" t="str">
        <f>IF(B55="","",IFERROR(_xludf.XLOOKUP(B55,'04_Orden_Diaria'!$A$5:$A$44,'04_Orden_Diaria'!$B$5:$B$44,""),""))</f>
        <v/>
      </c>
      <c r="C55" t="str">
        <f>IF(B55="","",IFERROR(_xludf.XLOOKUP(B55,'04_Orden_Diaria'!$A$5:$A$44,'04_Orden_Diaria'!$C$5:$C$44,""),""))</f>
        <v/>
      </c>
      <c r="D55" t="str">
        <f>IF(B55="","",IFERROR(_xludf.XLOOKUP(B55,'04_Orden_Diaria'!$A$5:$A$44,'04_Orden_Diaria'!$D$5:$D$44,""),""))</f>
        <v/>
      </c>
      <c r="E55" t="str">
        <f>IF(B55="","",IFERROR(_xludf.XLOOKUP(B55,'04_Orden_Diaria'!$A$5:$A$44,'04_Orden_Diaria'!$E$5:$E$44,""),""))</f>
        <v/>
      </c>
      <c r="F55" t="str">
        <f>IF(B55="","",IFERROR(_xludf.XLOOKUP(B55,'04_Orden_Diaria'!$A$5:$A$44,'04_Orden_Diaria'!$G$5:$G$44,""),""))</f>
        <v/>
      </c>
      <c r="G55" t="str">
        <f>IF(B55="","",IFERROR(_xludf.XLOOKUP(B55,'04_Orden_Diaria'!$A$5:$A$44,'04_Orden_Diaria'!$F$5:$F$44,""),""))</f>
        <v/>
      </c>
      <c r="I55" s="6">
        <f t="shared" si="1"/>
        <v>0</v>
      </c>
    </row>
    <row r="56" spans="1:9">
      <c r="A56" s="5" t="str">
        <f>IF(B56="","",IFERROR(_xludf.XLOOKUP(B56,'04_Orden_Diaria'!$A$5:$A$44,'04_Orden_Diaria'!$B$5:$B$44,""),""))</f>
        <v/>
      </c>
      <c r="C56" t="str">
        <f>IF(B56="","",IFERROR(_xludf.XLOOKUP(B56,'04_Orden_Diaria'!$A$5:$A$44,'04_Orden_Diaria'!$C$5:$C$44,""),""))</f>
        <v/>
      </c>
      <c r="D56" t="str">
        <f>IF(B56="","",IFERROR(_xludf.XLOOKUP(B56,'04_Orden_Diaria'!$A$5:$A$44,'04_Orden_Diaria'!$D$5:$D$44,""),""))</f>
        <v/>
      </c>
      <c r="E56" t="str">
        <f>IF(B56="","",IFERROR(_xludf.XLOOKUP(B56,'04_Orden_Diaria'!$A$5:$A$44,'04_Orden_Diaria'!$E$5:$E$44,""),""))</f>
        <v/>
      </c>
      <c r="F56" t="str">
        <f>IF(B56="","",IFERROR(_xludf.XLOOKUP(B56,'04_Orden_Diaria'!$A$5:$A$44,'04_Orden_Diaria'!$G$5:$G$44,""),""))</f>
        <v/>
      </c>
      <c r="G56" t="str">
        <f>IF(B56="","",IFERROR(_xludf.XLOOKUP(B56,'04_Orden_Diaria'!$A$5:$A$44,'04_Orden_Diaria'!$F$5:$F$44,""),""))</f>
        <v/>
      </c>
      <c r="I56" s="6">
        <f t="shared" si="1"/>
        <v>0</v>
      </c>
    </row>
    <row r="57" spans="1:9">
      <c r="A57" s="5" t="str">
        <f>IF(B57="","",IFERROR(_xludf.XLOOKUP(B57,'04_Orden_Diaria'!$A$5:$A$44,'04_Orden_Diaria'!$B$5:$B$44,""),""))</f>
        <v/>
      </c>
      <c r="C57" t="str">
        <f>IF(B57="","",IFERROR(_xludf.XLOOKUP(B57,'04_Orden_Diaria'!$A$5:$A$44,'04_Orden_Diaria'!$C$5:$C$44,""),""))</f>
        <v/>
      </c>
      <c r="D57" t="str">
        <f>IF(B57="","",IFERROR(_xludf.XLOOKUP(B57,'04_Orden_Diaria'!$A$5:$A$44,'04_Orden_Diaria'!$D$5:$D$44,""),""))</f>
        <v/>
      </c>
      <c r="E57" t="str">
        <f>IF(B57="","",IFERROR(_xludf.XLOOKUP(B57,'04_Orden_Diaria'!$A$5:$A$44,'04_Orden_Diaria'!$E$5:$E$44,""),""))</f>
        <v/>
      </c>
      <c r="F57" t="str">
        <f>IF(B57="","",IFERROR(_xludf.XLOOKUP(B57,'04_Orden_Diaria'!$A$5:$A$44,'04_Orden_Diaria'!$G$5:$G$44,""),""))</f>
        <v/>
      </c>
      <c r="G57" t="str">
        <f>IF(B57="","",IFERROR(_xludf.XLOOKUP(B57,'04_Orden_Diaria'!$A$5:$A$44,'04_Orden_Diaria'!$F$5:$F$44,""),""))</f>
        <v/>
      </c>
      <c r="I57" s="6">
        <f t="shared" si="1"/>
        <v>0</v>
      </c>
    </row>
    <row r="58" spans="1:9">
      <c r="A58" s="5" t="str">
        <f>IF(B58="","",IFERROR(_xludf.XLOOKUP(B58,'04_Orden_Diaria'!$A$5:$A$44,'04_Orden_Diaria'!$B$5:$B$44,""),""))</f>
        <v/>
      </c>
      <c r="C58" t="str">
        <f>IF(B58="","",IFERROR(_xludf.XLOOKUP(B58,'04_Orden_Diaria'!$A$5:$A$44,'04_Orden_Diaria'!$C$5:$C$44,""),""))</f>
        <v/>
      </c>
      <c r="D58" t="str">
        <f>IF(B58="","",IFERROR(_xludf.XLOOKUP(B58,'04_Orden_Diaria'!$A$5:$A$44,'04_Orden_Diaria'!$D$5:$D$44,""),""))</f>
        <v/>
      </c>
      <c r="E58" t="str">
        <f>IF(B58="","",IFERROR(_xludf.XLOOKUP(B58,'04_Orden_Diaria'!$A$5:$A$44,'04_Orden_Diaria'!$E$5:$E$44,""),""))</f>
        <v/>
      </c>
      <c r="F58" t="str">
        <f>IF(B58="","",IFERROR(_xludf.XLOOKUP(B58,'04_Orden_Diaria'!$A$5:$A$44,'04_Orden_Diaria'!$G$5:$G$44,""),""))</f>
        <v/>
      </c>
      <c r="G58" t="str">
        <f>IF(B58="","",IFERROR(_xludf.XLOOKUP(B58,'04_Orden_Diaria'!$A$5:$A$44,'04_Orden_Diaria'!$F$5:$F$44,""),""))</f>
        <v/>
      </c>
      <c r="I58" s="6">
        <f t="shared" si="1"/>
        <v>0</v>
      </c>
    </row>
    <row r="59" spans="1:9">
      <c r="A59" s="5" t="str">
        <f>IF(B59="","",IFERROR(_xludf.XLOOKUP(B59,'04_Orden_Diaria'!$A$5:$A$44,'04_Orden_Diaria'!$B$5:$B$44,""),""))</f>
        <v/>
      </c>
      <c r="C59" t="str">
        <f>IF(B59="","",IFERROR(_xludf.XLOOKUP(B59,'04_Orden_Diaria'!$A$5:$A$44,'04_Orden_Diaria'!$C$5:$C$44,""),""))</f>
        <v/>
      </c>
      <c r="D59" t="str">
        <f>IF(B59="","",IFERROR(_xludf.XLOOKUP(B59,'04_Orden_Diaria'!$A$5:$A$44,'04_Orden_Diaria'!$D$5:$D$44,""),""))</f>
        <v/>
      </c>
      <c r="E59" t="str">
        <f>IF(B59="","",IFERROR(_xludf.XLOOKUP(B59,'04_Orden_Diaria'!$A$5:$A$44,'04_Orden_Diaria'!$E$5:$E$44,""),""))</f>
        <v/>
      </c>
      <c r="F59" t="str">
        <f>IF(B59="","",IFERROR(_xludf.XLOOKUP(B59,'04_Orden_Diaria'!$A$5:$A$44,'04_Orden_Diaria'!$G$5:$G$44,""),""))</f>
        <v/>
      </c>
      <c r="G59" t="str">
        <f>IF(B59="","",IFERROR(_xludf.XLOOKUP(B59,'04_Orden_Diaria'!$A$5:$A$44,'04_Orden_Diaria'!$F$5:$F$44,""),""))</f>
        <v/>
      </c>
      <c r="I59" s="6">
        <f t="shared" si="1"/>
        <v>0</v>
      </c>
    </row>
    <row r="60" spans="1:9">
      <c r="A60" s="5" t="str">
        <f>IF(B60="","",IFERROR(_xludf.XLOOKUP(B60,'04_Orden_Diaria'!$A$5:$A$44,'04_Orden_Diaria'!$B$5:$B$44,""),""))</f>
        <v/>
      </c>
      <c r="C60" t="str">
        <f>IF(B60="","",IFERROR(_xludf.XLOOKUP(B60,'04_Orden_Diaria'!$A$5:$A$44,'04_Orden_Diaria'!$C$5:$C$44,""),""))</f>
        <v/>
      </c>
      <c r="D60" t="str">
        <f>IF(B60="","",IFERROR(_xludf.XLOOKUP(B60,'04_Orden_Diaria'!$A$5:$A$44,'04_Orden_Diaria'!$D$5:$D$44,""),""))</f>
        <v/>
      </c>
      <c r="E60" t="str">
        <f>IF(B60="","",IFERROR(_xludf.XLOOKUP(B60,'04_Orden_Diaria'!$A$5:$A$44,'04_Orden_Diaria'!$E$5:$E$44,""),""))</f>
        <v/>
      </c>
      <c r="F60" t="str">
        <f>IF(B60="","",IFERROR(_xludf.XLOOKUP(B60,'04_Orden_Diaria'!$A$5:$A$44,'04_Orden_Diaria'!$G$5:$G$44,""),""))</f>
        <v/>
      </c>
      <c r="G60" t="str">
        <f>IF(B60="","",IFERROR(_xludf.XLOOKUP(B60,'04_Orden_Diaria'!$A$5:$A$44,'04_Orden_Diaria'!$F$5:$F$44,""),""))</f>
        <v/>
      </c>
      <c r="I60" s="6">
        <f t="shared" si="1"/>
        <v>0</v>
      </c>
    </row>
    <row r="61" spans="1:9">
      <c r="A61" s="5" t="str">
        <f>IF(B61="","",IFERROR(_xludf.XLOOKUP(B61,'04_Orden_Diaria'!$A$5:$A$44,'04_Orden_Diaria'!$B$5:$B$44,""),""))</f>
        <v/>
      </c>
      <c r="C61" t="str">
        <f>IF(B61="","",IFERROR(_xludf.XLOOKUP(B61,'04_Orden_Diaria'!$A$5:$A$44,'04_Orden_Diaria'!$C$5:$C$44,""),""))</f>
        <v/>
      </c>
      <c r="D61" t="str">
        <f>IF(B61="","",IFERROR(_xludf.XLOOKUP(B61,'04_Orden_Diaria'!$A$5:$A$44,'04_Orden_Diaria'!$D$5:$D$44,""),""))</f>
        <v/>
      </c>
      <c r="E61" t="str">
        <f>IF(B61="","",IFERROR(_xludf.XLOOKUP(B61,'04_Orden_Diaria'!$A$5:$A$44,'04_Orden_Diaria'!$E$5:$E$44,""),""))</f>
        <v/>
      </c>
      <c r="F61" t="str">
        <f>IF(B61="","",IFERROR(_xludf.XLOOKUP(B61,'04_Orden_Diaria'!$A$5:$A$44,'04_Orden_Diaria'!$G$5:$G$44,""),""))</f>
        <v/>
      </c>
      <c r="G61" t="str">
        <f>IF(B61="","",IFERROR(_xludf.XLOOKUP(B61,'04_Orden_Diaria'!$A$5:$A$44,'04_Orden_Diaria'!$F$5:$F$44,""),""))</f>
        <v/>
      </c>
      <c r="I61" s="6">
        <f t="shared" si="1"/>
        <v>0</v>
      </c>
    </row>
    <row r="62" spans="1:9">
      <c r="A62" s="5" t="str">
        <f>IF(B62="","",IFERROR(_xludf.XLOOKUP(B62,'04_Orden_Diaria'!$A$5:$A$44,'04_Orden_Diaria'!$B$5:$B$44,""),""))</f>
        <v/>
      </c>
      <c r="C62" t="str">
        <f>IF(B62="","",IFERROR(_xludf.XLOOKUP(B62,'04_Orden_Diaria'!$A$5:$A$44,'04_Orden_Diaria'!$C$5:$C$44,""),""))</f>
        <v/>
      </c>
      <c r="D62" t="str">
        <f>IF(B62="","",IFERROR(_xludf.XLOOKUP(B62,'04_Orden_Diaria'!$A$5:$A$44,'04_Orden_Diaria'!$D$5:$D$44,""),""))</f>
        <v/>
      </c>
      <c r="E62" t="str">
        <f>IF(B62="","",IFERROR(_xludf.XLOOKUP(B62,'04_Orden_Diaria'!$A$5:$A$44,'04_Orden_Diaria'!$E$5:$E$44,""),""))</f>
        <v/>
      </c>
      <c r="F62" t="str">
        <f>IF(B62="","",IFERROR(_xludf.XLOOKUP(B62,'04_Orden_Diaria'!$A$5:$A$44,'04_Orden_Diaria'!$G$5:$G$44,""),""))</f>
        <v/>
      </c>
      <c r="G62" t="str">
        <f>IF(B62="","",IFERROR(_xludf.XLOOKUP(B62,'04_Orden_Diaria'!$A$5:$A$44,'04_Orden_Diaria'!$F$5:$F$44,""),""))</f>
        <v/>
      </c>
      <c r="I62" s="6">
        <f t="shared" si="1"/>
        <v>0</v>
      </c>
    </row>
    <row r="63" spans="1:9">
      <c r="A63" s="5" t="str">
        <f>IF(B63="","",IFERROR(_xludf.XLOOKUP(B63,'04_Orden_Diaria'!$A$5:$A$44,'04_Orden_Diaria'!$B$5:$B$44,""),""))</f>
        <v/>
      </c>
      <c r="C63" t="str">
        <f>IF(B63="","",IFERROR(_xludf.XLOOKUP(B63,'04_Orden_Diaria'!$A$5:$A$44,'04_Orden_Diaria'!$C$5:$C$44,""),""))</f>
        <v/>
      </c>
      <c r="D63" t="str">
        <f>IF(B63="","",IFERROR(_xludf.XLOOKUP(B63,'04_Orden_Diaria'!$A$5:$A$44,'04_Orden_Diaria'!$D$5:$D$44,""),""))</f>
        <v/>
      </c>
      <c r="E63" t="str">
        <f>IF(B63="","",IFERROR(_xludf.XLOOKUP(B63,'04_Orden_Diaria'!$A$5:$A$44,'04_Orden_Diaria'!$E$5:$E$44,""),""))</f>
        <v/>
      </c>
      <c r="F63" t="str">
        <f>IF(B63="","",IFERROR(_xludf.XLOOKUP(B63,'04_Orden_Diaria'!$A$5:$A$44,'04_Orden_Diaria'!$G$5:$G$44,""),""))</f>
        <v/>
      </c>
      <c r="G63" t="str">
        <f>IF(B63="","",IFERROR(_xludf.XLOOKUP(B63,'04_Orden_Diaria'!$A$5:$A$44,'04_Orden_Diaria'!$F$5:$F$44,""),""))</f>
        <v/>
      </c>
      <c r="I63" s="6">
        <f t="shared" si="1"/>
        <v>0</v>
      </c>
    </row>
    <row r="64" spans="1:9">
      <c r="A64" s="5" t="str">
        <f>IF(B64="","",IFERROR(_xludf.XLOOKUP(B64,'04_Orden_Diaria'!$A$5:$A$44,'04_Orden_Diaria'!$B$5:$B$44,""),""))</f>
        <v/>
      </c>
      <c r="C64" t="str">
        <f>IF(B64="","",IFERROR(_xludf.XLOOKUP(B64,'04_Orden_Diaria'!$A$5:$A$44,'04_Orden_Diaria'!$C$5:$C$44,""),""))</f>
        <v/>
      </c>
      <c r="D64" t="str">
        <f>IF(B64="","",IFERROR(_xludf.XLOOKUP(B64,'04_Orden_Diaria'!$A$5:$A$44,'04_Orden_Diaria'!$D$5:$D$44,""),""))</f>
        <v/>
      </c>
      <c r="E64" t="str">
        <f>IF(B64="","",IFERROR(_xludf.XLOOKUP(B64,'04_Orden_Diaria'!$A$5:$A$44,'04_Orden_Diaria'!$E$5:$E$44,""),""))</f>
        <v/>
      </c>
      <c r="F64" t="str">
        <f>IF(B64="","",IFERROR(_xludf.XLOOKUP(B64,'04_Orden_Diaria'!$A$5:$A$44,'04_Orden_Diaria'!$G$5:$G$44,""),""))</f>
        <v/>
      </c>
      <c r="G64" t="str">
        <f>IF(B64="","",IFERROR(_xludf.XLOOKUP(B64,'04_Orden_Diaria'!$A$5:$A$44,'04_Orden_Diaria'!$F$5:$F$44,""),""))</f>
        <v/>
      </c>
      <c r="I64" s="6">
        <f t="shared" si="1"/>
        <v>0</v>
      </c>
    </row>
    <row r="65" spans="1:9">
      <c r="A65" s="5" t="str">
        <f>IF(B65="","",IFERROR(_xludf.XLOOKUP(B65,'04_Orden_Diaria'!$A$5:$A$44,'04_Orden_Diaria'!$B$5:$B$44,""),""))</f>
        <v/>
      </c>
      <c r="C65" t="str">
        <f>IF(B65="","",IFERROR(_xludf.XLOOKUP(B65,'04_Orden_Diaria'!$A$5:$A$44,'04_Orden_Diaria'!$C$5:$C$44,""),""))</f>
        <v/>
      </c>
      <c r="D65" t="str">
        <f>IF(B65="","",IFERROR(_xludf.XLOOKUP(B65,'04_Orden_Diaria'!$A$5:$A$44,'04_Orden_Diaria'!$D$5:$D$44,""),""))</f>
        <v/>
      </c>
      <c r="E65" t="str">
        <f>IF(B65="","",IFERROR(_xludf.XLOOKUP(B65,'04_Orden_Diaria'!$A$5:$A$44,'04_Orden_Diaria'!$E$5:$E$44,""),""))</f>
        <v/>
      </c>
      <c r="F65" t="str">
        <f>IF(B65="","",IFERROR(_xludf.XLOOKUP(B65,'04_Orden_Diaria'!$A$5:$A$44,'04_Orden_Diaria'!$G$5:$G$44,""),""))</f>
        <v/>
      </c>
      <c r="G65" t="str">
        <f>IF(B65="","",IFERROR(_xludf.XLOOKUP(B65,'04_Orden_Diaria'!$A$5:$A$44,'04_Orden_Diaria'!$F$5:$F$44,""),""))</f>
        <v/>
      </c>
      <c r="I65" s="6">
        <f t="shared" si="1"/>
        <v>0</v>
      </c>
    </row>
    <row r="66" spans="1:9">
      <c r="A66" s="5" t="str">
        <f>IF(B66="","",IFERROR(_xludf.XLOOKUP(B66,'04_Orden_Diaria'!$A$5:$A$44,'04_Orden_Diaria'!$B$5:$B$44,""),""))</f>
        <v/>
      </c>
      <c r="C66" t="str">
        <f>IF(B66="","",IFERROR(_xludf.XLOOKUP(B66,'04_Orden_Diaria'!$A$5:$A$44,'04_Orden_Diaria'!$C$5:$C$44,""),""))</f>
        <v/>
      </c>
      <c r="D66" t="str">
        <f>IF(B66="","",IFERROR(_xludf.XLOOKUP(B66,'04_Orden_Diaria'!$A$5:$A$44,'04_Orden_Diaria'!$D$5:$D$44,""),""))</f>
        <v/>
      </c>
      <c r="E66" t="str">
        <f>IF(B66="","",IFERROR(_xludf.XLOOKUP(B66,'04_Orden_Diaria'!$A$5:$A$44,'04_Orden_Diaria'!$E$5:$E$44,""),""))</f>
        <v/>
      </c>
      <c r="F66" t="str">
        <f>IF(B66="","",IFERROR(_xludf.XLOOKUP(B66,'04_Orden_Diaria'!$A$5:$A$44,'04_Orden_Diaria'!$G$5:$G$44,""),""))</f>
        <v/>
      </c>
      <c r="G66" t="str">
        <f>IF(B66="","",IFERROR(_xludf.XLOOKUP(B66,'04_Orden_Diaria'!$A$5:$A$44,'04_Orden_Diaria'!$F$5:$F$44,""),""))</f>
        <v/>
      </c>
      <c r="I66" s="6">
        <f t="shared" si="1"/>
        <v>0</v>
      </c>
    </row>
    <row r="67" spans="1:9">
      <c r="A67" s="5" t="str">
        <f>IF(B67="","",IFERROR(_xludf.XLOOKUP(B67,'04_Orden_Diaria'!$A$5:$A$44,'04_Orden_Diaria'!$B$5:$B$44,""),""))</f>
        <v/>
      </c>
      <c r="C67" t="str">
        <f>IF(B67="","",IFERROR(_xludf.XLOOKUP(B67,'04_Orden_Diaria'!$A$5:$A$44,'04_Orden_Diaria'!$C$5:$C$44,""),""))</f>
        <v/>
      </c>
      <c r="D67" t="str">
        <f>IF(B67="","",IFERROR(_xludf.XLOOKUP(B67,'04_Orden_Diaria'!$A$5:$A$44,'04_Orden_Diaria'!$D$5:$D$44,""),""))</f>
        <v/>
      </c>
      <c r="E67" t="str">
        <f>IF(B67="","",IFERROR(_xludf.XLOOKUP(B67,'04_Orden_Diaria'!$A$5:$A$44,'04_Orden_Diaria'!$E$5:$E$44,""),""))</f>
        <v/>
      </c>
      <c r="F67" t="str">
        <f>IF(B67="","",IFERROR(_xludf.XLOOKUP(B67,'04_Orden_Diaria'!$A$5:$A$44,'04_Orden_Diaria'!$G$5:$G$44,""),""))</f>
        <v/>
      </c>
      <c r="G67" t="str">
        <f>IF(B67="","",IFERROR(_xludf.XLOOKUP(B67,'04_Orden_Diaria'!$A$5:$A$44,'04_Orden_Diaria'!$F$5:$F$44,""),""))</f>
        <v/>
      </c>
      <c r="I67" s="6">
        <f t="shared" si="1"/>
        <v>0</v>
      </c>
    </row>
    <row r="68" spans="1:9">
      <c r="A68" s="5" t="str">
        <f>IF(B68="","",IFERROR(_xludf.XLOOKUP(B68,'04_Orden_Diaria'!$A$5:$A$44,'04_Orden_Diaria'!$B$5:$B$44,""),""))</f>
        <v/>
      </c>
      <c r="C68" t="str">
        <f>IF(B68="","",IFERROR(_xludf.XLOOKUP(B68,'04_Orden_Diaria'!$A$5:$A$44,'04_Orden_Diaria'!$C$5:$C$44,""),""))</f>
        <v/>
      </c>
      <c r="D68" t="str">
        <f>IF(B68="","",IFERROR(_xludf.XLOOKUP(B68,'04_Orden_Diaria'!$A$5:$A$44,'04_Orden_Diaria'!$D$5:$D$44,""),""))</f>
        <v/>
      </c>
      <c r="E68" t="str">
        <f>IF(B68="","",IFERROR(_xludf.XLOOKUP(B68,'04_Orden_Diaria'!$A$5:$A$44,'04_Orden_Diaria'!$E$5:$E$44,""),""))</f>
        <v/>
      </c>
      <c r="F68" t="str">
        <f>IF(B68="","",IFERROR(_xludf.XLOOKUP(B68,'04_Orden_Diaria'!$A$5:$A$44,'04_Orden_Diaria'!$G$5:$G$44,""),""))</f>
        <v/>
      </c>
      <c r="G68" t="str">
        <f>IF(B68="","",IFERROR(_xludf.XLOOKUP(B68,'04_Orden_Diaria'!$A$5:$A$44,'04_Orden_Diaria'!$F$5:$F$44,""),""))</f>
        <v/>
      </c>
      <c r="I68" s="6">
        <f t="shared" si="1"/>
        <v>0</v>
      </c>
    </row>
    <row r="69" spans="1:9">
      <c r="A69" s="5" t="str">
        <f>IF(B69="","",IFERROR(_xludf.XLOOKUP(B69,'04_Orden_Diaria'!$A$5:$A$44,'04_Orden_Diaria'!$B$5:$B$44,""),""))</f>
        <v/>
      </c>
      <c r="C69" t="str">
        <f>IF(B69="","",IFERROR(_xludf.XLOOKUP(B69,'04_Orden_Diaria'!$A$5:$A$44,'04_Orden_Diaria'!$C$5:$C$44,""),""))</f>
        <v/>
      </c>
      <c r="D69" t="str">
        <f>IF(B69="","",IFERROR(_xludf.XLOOKUP(B69,'04_Orden_Diaria'!$A$5:$A$44,'04_Orden_Diaria'!$D$5:$D$44,""),""))</f>
        <v/>
      </c>
      <c r="E69" t="str">
        <f>IF(B69="","",IFERROR(_xludf.XLOOKUP(B69,'04_Orden_Diaria'!$A$5:$A$44,'04_Orden_Diaria'!$E$5:$E$44,""),""))</f>
        <v/>
      </c>
      <c r="F69" t="str">
        <f>IF(B69="","",IFERROR(_xludf.XLOOKUP(B69,'04_Orden_Diaria'!$A$5:$A$44,'04_Orden_Diaria'!$G$5:$G$44,""),""))</f>
        <v/>
      </c>
      <c r="G69" t="str">
        <f>IF(B69="","",IFERROR(_xludf.XLOOKUP(B69,'04_Orden_Diaria'!$A$5:$A$44,'04_Orden_Diaria'!$F$5:$F$44,""),""))</f>
        <v/>
      </c>
      <c r="I69" s="6">
        <f t="shared" ref="I69:I100" si="2">IFERROR(H69/G69,0)</f>
        <v>0</v>
      </c>
    </row>
    <row r="70" spans="1:9">
      <c r="A70" s="5" t="str">
        <f>IF(B70="","",IFERROR(_xludf.XLOOKUP(B70,'04_Orden_Diaria'!$A$5:$A$44,'04_Orden_Diaria'!$B$5:$B$44,""),""))</f>
        <v/>
      </c>
      <c r="C70" t="str">
        <f>IF(B70="","",IFERROR(_xludf.XLOOKUP(B70,'04_Orden_Diaria'!$A$5:$A$44,'04_Orden_Diaria'!$C$5:$C$44,""),""))</f>
        <v/>
      </c>
      <c r="D70" t="str">
        <f>IF(B70="","",IFERROR(_xludf.XLOOKUP(B70,'04_Orden_Diaria'!$A$5:$A$44,'04_Orden_Diaria'!$D$5:$D$44,""),""))</f>
        <v/>
      </c>
      <c r="E70" t="str">
        <f>IF(B70="","",IFERROR(_xludf.XLOOKUP(B70,'04_Orden_Diaria'!$A$5:$A$44,'04_Orden_Diaria'!$E$5:$E$44,""),""))</f>
        <v/>
      </c>
      <c r="F70" t="str">
        <f>IF(B70="","",IFERROR(_xludf.XLOOKUP(B70,'04_Orden_Diaria'!$A$5:$A$44,'04_Orden_Diaria'!$G$5:$G$44,""),""))</f>
        <v/>
      </c>
      <c r="G70" t="str">
        <f>IF(B70="","",IFERROR(_xludf.XLOOKUP(B70,'04_Orden_Diaria'!$A$5:$A$44,'04_Orden_Diaria'!$F$5:$F$44,""),""))</f>
        <v/>
      </c>
      <c r="I70" s="6">
        <f t="shared" si="2"/>
        <v>0</v>
      </c>
    </row>
    <row r="71" spans="1:9">
      <c r="A71" s="5" t="str">
        <f>IF(B71="","",IFERROR(_xludf.XLOOKUP(B71,'04_Orden_Diaria'!$A$5:$A$44,'04_Orden_Diaria'!$B$5:$B$44,""),""))</f>
        <v/>
      </c>
      <c r="C71" t="str">
        <f>IF(B71="","",IFERROR(_xludf.XLOOKUP(B71,'04_Orden_Diaria'!$A$5:$A$44,'04_Orden_Diaria'!$C$5:$C$44,""),""))</f>
        <v/>
      </c>
      <c r="D71" t="str">
        <f>IF(B71="","",IFERROR(_xludf.XLOOKUP(B71,'04_Orden_Diaria'!$A$5:$A$44,'04_Orden_Diaria'!$D$5:$D$44,""),""))</f>
        <v/>
      </c>
      <c r="E71" t="str">
        <f>IF(B71="","",IFERROR(_xludf.XLOOKUP(B71,'04_Orden_Diaria'!$A$5:$A$44,'04_Orden_Diaria'!$E$5:$E$44,""),""))</f>
        <v/>
      </c>
      <c r="F71" t="str">
        <f>IF(B71="","",IFERROR(_xludf.XLOOKUP(B71,'04_Orden_Diaria'!$A$5:$A$44,'04_Orden_Diaria'!$G$5:$G$44,""),""))</f>
        <v/>
      </c>
      <c r="G71" t="str">
        <f>IF(B71="","",IFERROR(_xludf.XLOOKUP(B71,'04_Orden_Diaria'!$A$5:$A$44,'04_Orden_Diaria'!$F$5:$F$44,""),""))</f>
        <v/>
      </c>
      <c r="I71" s="6">
        <f t="shared" si="2"/>
        <v>0</v>
      </c>
    </row>
    <row r="72" spans="1:9">
      <c r="A72" s="5" t="str">
        <f>IF(B72="","",IFERROR(_xludf.XLOOKUP(B72,'04_Orden_Diaria'!$A$5:$A$44,'04_Orden_Diaria'!$B$5:$B$44,""),""))</f>
        <v/>
      </c>
      <c r="C72" t="str">
        <f>IF(B72="","",IFERROR(_xludf.XLOOKUP(B72,'04_Orden_Diaria'!$A$5:$A$44,'04_Orden_Diaria'!$C$5:$C$44,""),""))</f>
        <v/>
      </c>
      <c r="D72" t="str">
        <f>IF(B72="","",IFERROR(_xludf.XLOOKUP(B72,'04_Orden_Diaria'!$A$5:$A$44,'04_Orden_Diaria'!$D$5:$D$44,""),""))</f>
        <v/>
      </c>
      <c r="E72" t="str">
        <f>IF(B72="","",IFERROR(_xludf.XLOOKUP(B72,'04_Orden_Diaria'!$A$5:$A$44,'04_Orden_Diaria'!$E$5:$E$44,""),""))</f>
        <v/>
      </c>
      <c r="F72" t="str">
        <f>IF(B72="","",IFERROR(_xludf.XLOOKUP(B72,'04_Orden_Diaria'!$A$5:$A$44,'04_Orden_Diaria'!$G$5:$G$44,""),""))</f>
        <v/>
      </c>
      <c r="G72" t="str">
        <f>IF(B72="","",IFERROR(_xludf.XLOOKUP(B72,'04_Orden_Diaria'!$A$5:$A$44,'04_Orden_Diaria'!$F$5:$F$44,""),""))</f>
        <v/>
      </c>
      <c r="I72" s="6">
        <f t="shared" si="2"/>
        <v>0</v>
      </c>
    </row>
    <row r="73" spans="1:9">
      <c r="A73" s="5" t="str">
        <f>IF(B73="","",IFERROR(_xludf.XLOOKUP(B73,'04_Orden_Diaria'!$A$5:$A$44,'04_Orden_Diaria'!$B$5:$B$44,""),""))</f>
        <v/>
      </c>
      <c r="C73" t="str">
        <f>IF(B73="","",IFERROR(_xludf.XLOOKUP(B73,'04_Orden_Diaria'!$A$5:$A$44,'04_Orden_Diaria'!$C$5:$C$44,""),""))</f>
        <v/>
      </c>
      <c r="D73" t="str">
        <f>IF(B73="","",IFERROR(_xludf.XLOOKUP(B73,'04_Orden_Diaria'!$A$5:$A$44,'04_Orden_Diaria'!$D$5:$D$44,""),""))</f>
        <v/>
      </c>
      <c r="E73" t="str">
        <f>IF(B73="","",IFERROR(_xludf.XLOOKUP(B73,'04_Orden_Diaria'!$A$5:$A$44,'04_Orden_Diaria'!$E$5:$E$44,""),""))</f>
        <v/>
      </c>
      <c r="F73" t="str">
        <f>IF(B73="","",IFERROR(_xludf.XLOOKUP(B73,'04_Orden_Diaria'!$A$5:$A$44,'04_Orden_Diaria'!$G$5:$G$44,""),""))</f>
        <v/>
      </c>
      <c r="G73" t="str">
        <f>IF(B73="","",IFERROR(_xludf.XLOOKUP(B73,'04_Orden_Diaria'!$A$5:$A$44,'04_Orden_Diaria'!$F$5:$F$44,""),""))</f>
        <v/>
      </c>
      <c r="I73" s="6">
        <f t="shared" si="2"/>
        <v>0</v>
      </c>
    </row>
    <row r="74" spans="1:9">
      <c r="A74" s="5" t="str">
        <f>IF(B74="","",IFERROR(_xludf.XLOOKUP(B74,'04_Orden_Diaria'!$A$5:$A$44,'04_Orden_Diaria'!$B$5:$B$44,""),""))</f>
        <v/>
      </c>
      <c r="C74" t="str">
        <f>IF(B74="","",IFERROR(_xludf.XLOOKUP(B74,'04_Orden_Diaria'!$A$5:$A$44,'04_Orden_Diaria'!$C$5:$C$44,""),""))</f>
        <v/>
      </c>
      <c r="D74" t="str">
        <f>IF(B74="","",IFERROR(_xludf.XLOOKUP(B74,'04_Orden_Diaria'!$A$5:$A$44,'04_Orden_Diaria'!$D$5:$D$44,""),""))</f>
        <v/>
      </c>
      <c r="E74" t="str">
        <f>IF(B74="","",IFERROR(_xludf.XLOOKUP(B74,'04_Orden_Diaria'!$A$5:$A$44,'04_Orden_Diaria'!$E$5:$E$44,""),""))</f>
        <v/>
      </c>
      <c r="F74" t="str">
        <f>IF(B74="","",IFERROR(_xludf.XLOOKUP(B74,'04_Orden_Diaria'!$A$5:$A$44,'04_Orden_Diaria'!$G$5:$G$44,""),""))</f>
        <v/>
      </c>
      <c r="G74" t="str">
        <f>IF(B74="","",IFERROR(_xludf.XLOOKUP(B74,'04_Orden_Diaria'!$A$5:$A$44,'04_Orden_Diaria'!$F$5:$F$44,""),""))</f>
        <v/>
      </c>
      <c r="I74" s="6">
        <f t="shared" si="2"/>
        <v>0</v>
      </c>
    </row>
    <row r="75" spans="1:9">
      <c r="A75" s="5" t="str">
        <f>IF(B75="","",IFERROR(_xludf.XLOOKUP(B75,'04_Orden_Diaria'!$A$5:$A$44,'04_Orden_Diaria'!$B$5:$B$44,""),""))</f>
        <v/>
      </c>
      <c r="C75" t="str">
        <f>IF(B75="","",IFERROR(_xludf.XLOOKUP(B75,'04_Orden_Diaria'!$A$5:$A$44,'04_Orden_Diaria'!$C$5:$C$44,""),""))</f>
        <v/>
      </c>
      <c r="D75" t="str">
        <f>IF(B75="","",IFERROR(_xludf.XLOOKUP(B75,'04_Orden_Diaria'!$A$5:$A$44,'04_Orden_Diaria'!$D$5:$D$44,""),""))</f>
        <v/>
      </c>
      <c r="E75" t="str">
        <f>IF(B75="","",IFERROR(_xludf.XLOOKUP(B75,'04_Orden_Diaria'!$A$5:$A$44,'04_Orden_Diaria'!$E$5:$E$44,""),""))</f>
        <v/>
      </c>
      <c r="F75" t="str">
        <f>IF(B75="","",IFERROR(_xludf.XLOOKUP(B75,'04_Orden_Diaria'!$A$5:$A$44,'04_Orden_Diaria'!$G$5:$G$44,""),""))</f>
        <v/>
      </c>
      <c r="G75" t="str">
        <f>IF(B75="","",IFERROR(_xludf.XLOOKUP(B75,'04_Orden_Diaria'!$A$5:$A$44,'04_Orden_Diaria'!$F$5:$F$44,""),""))</f>
        <v/>
      </c>
      <c r="I75" s="6">
        <f t="shared" si="2"/>
        <v>0</v>
      </c>
    </row>
    <row r="76" spans="1:9">
      <c r="A76" s="5" t="str">
        <f>IF(B76="","",IFERROR(_xludf.XLOOKUP(B76,'04_Orden_Diaria'!$A$5:$A$44,'04_Orden_Diaria'!$B$5:$B$44,""),""))</f>
        <v/>
      </c>
      <c r="C76" t="str">
        <f>IF(B76="","",IFERROR(_xludf.XLOOKUP(B76,'04_Orden_Diaria'!$A$5:$A$44,'04_Orden_Diaria'!$C$5:$C$44,""),""))</f>
        <v/>
      </c>
      <c r="D76" t="str">
        <f>IF(B76="","",IFERROR(_xludf.XLOOKUP(B76,'04_Orden_Diaria'!$A$5:$A$44,'04_Orden_Diaria'!$D$5:$D$44,""),""))</f>
        <v/>
      </c>
      <c r="E76" t="str">
        <f>IF(B76="","",IFERROR(_xludf.XLOOKUP(B76,'04_Orden_Diaria'!$A$5:$A$44,'04_Orden_Diaria'!$E$5:$E$44,""),""))</f>
        <v/>
      </c>
      <c r="F76" t="str">
        <f>IF(B76="","",IFERROR(_xludf.XLOOKUP(B76,'04_Orden_Diaria'!$A$5:$A$44,'04_Orden_Diaria'!$G$5:$G$44,""),""))</f>
        <v/>
      </c>
      <c r="G76" t="str">
        <f>IF(B76="","",IFERROR(_xludf.XLOOKUP(B76,'04_Orden_Diaria'!$A$5:$A$44,'04_Orden_Diaria'!$F$5:$F$44,""),""))</f>
        <v/>
      </c>
      <c r="I76" s="6">
        <f t="shared" si="2"/>
        <v>0</v>
      </c>
    </row>
    <row r="77" spans="1:9">
      <c r="A77" s="5" t="str">
        <f>IF(B77="","",IFERROR(_xludf.XLOOKUP(B77,'04_Orden_Diaria'!$A$5:$A$44,'04_Orden_Diaria'!$B$5:$B$44,""),""))</f>
        <v/>
      </c>
      <c r="C77" t="str">
        <f>IF(B77="","",IFERROR(_xludf.XLOOKUP(B77,'04_Orden_Diaria'!$A$5:$A$44,'04_Orden_Diaria'!$C$5:$C$44,""),""))</f>
        <v/>
      </c>
      <c r="D77" t="str">
        <f>IF(B77="","",IFERROR(_xludf.XLOOKUP(B77,'04_Orden_Diaria'!$A$5:$A$44,'04_Orden_Diaria'!$D$5:$D$44,""),""))</f>
        <v/>
      </c>
      <c r="E77" t="str">
        <f>IF(B77="","",IFERROR(_xludf.XLOOKUP(B77,'04_Orden_Diaria'!$A$5:$A$44,'04_Orden_Diaria'!$E$5:$E$44,""),""))</f>
        <v/>
      </c>
      <c r="F77" t="str">
        <f>IF(B77="","",IFERROR(_xludf.XLOOKUP(B77,'04_Orden_Diaria'!$A$5:$A$44,'04_Orden_Diaria'!$G$5:$G$44,""),""))</f>
        <v/>
      </c>
      <c r="G77" t="str">
        <f>IF(B77="","",IFERROR(_xludf.XLOOKUP(B77,'04_Orden_Diaria'!$A$5:$A$44,'04_Orden_Diaria'!$F$5:$F$44,""),""))</f>
        <v/>
      </c>
      <c r="I77" s="6">
        <f t="shared" si="2"/>
        <v>0</v>
      </c>
    </row>
    <row r="78" spans="1:9">
      <c r="A78" s="5" t="str">
        <f>IF(B78="","",IFERROR(_xludf.XLOOKUP(B78,'04_Orden_Diaria'!$A$5:$A$44,'04_Orden_Diaria'!$B$5:$B$44,""),""))</f>
        <v/>
      </c>
      <c r="C78" t="str">
        <f>IF(B78="","",IFERROR(_xludf.XLOOKUP(B78,'04_Orden_Diaria'!$A$5:$A$44,'04_Orden_Diaria'!$C$5:$C$44,""),""))</f>
        <v/>
      </c>
      <c r="D78" t="str">
        <f>IF(B78="","",IFERROR(_xludf.XLOOKUP(B78,'04_Orden_Diaria'!$A$5:$A$44,'04_Orden_Diaria'!$D$5:$D$44,""),""))</f>
        <v/>
      </c>
      <c r="E78" t="str">
        <f>IF(B78="","",IFERROR(_xludf.XLOOKUP(B78,'04_Orden_Diaria'!$A$5:$A$44,'04_Orden_Diaria'!$E$5:$E$44,""),""))</f>
        <v/>
      </c>
      <c r="F78" t="str">
        <f>IF(B78="","",IFERROR(_xludf.XLOOKUP(B78,'04_Orden_Diaria'!$A$5:$A$44,'04_Orden_Diaria'!$G$5:$G$44,""),""))</f>
        <v/>
      </c>
      <c r="G78" t="str">
        <f>IF(B78="","",IFERROR(_xludf.XLOOKUP(B78,'04_Orden_Diaria'!$A$5:$A$44,'04_Orden_Diaria'!$F$5:$F$44,""),""))</f>
        <v/>
      </c>
      <c r="I78" s="6">
        <f t="shared" si="2"/>
        <v>0</v>
      </c>
    </row>
    <row r="79" spans="1:9">
      <c r="A79" s="5" t="str">
        <f>IF(B79="","",IFERROR(_xludf.XLOOKUP(B79,'04_Orden_Diaria'!$A$5:$A$44,'04_Orden_Diaria'!$B$5:$B$44,""),""))</f>
        <v/>
      </c>
      <c r="C79" t="str">
        <f>IF(B79="","",IFERROR(_xludf.XLOOKUP(B79,'04_Orden_Diaria'!$A$5:$A$44,'04_Orden_Diaria'!$C$5:$C$44,""),""))</f>
        <v/>
      </c>
      <c r="D79" t="str">
        <f>IF(B79="","",IFERROR(_xludf.XLOOKUP(B79,'04_Orden_Diaria'!$A$5:$A$44,'04_Orden_Diaria'!$D$5:$D$44,""),""))</f>
        <v/>
      </c>
      <c r="E79" t="str">
        <f>IF(B79="","",IFERROR(_xludf.XLOOKUP(B79,'04_Orden_Diaria'!$A$5:$A$44,'04_Orden_Diaria'!$E$5:$E$44,""),""))</f>
        <v/>
      </c>
      <c r="F79" t="str">
        <f>IF(B79="","",IFERROR(_xludf.XLOOKUP(B79,'04_Orden_Diaria'!$A$5:$A$44,'04_Orden_Diaria'!$G$5:$G$44,""),""))</f>
        <v/>
      </c>
      <c r="G79" t="str">
        <f>IF(B79="","",IFERROR(_xludf.XLOOKUP(B79,'04_Orden_Diaria'!$A$5:$A$44,'04_Orden_Diaria'!$F$5:$F$44,""),""))</f>
        <v/>
      </c>
      <c r="I79" s="6">
        <f t="shared" si="2"/>
        <v>0</v>
      </c>
    </row>
    <row r="80" spans="1:9">
      <c r="A80" s="5" t="str">
        <f>IF(B80="","",IFERROR(_xludf.XLOOKUP(B80,'04_Orden_Diaria'!$A$5:$A$44,'04_Orden_Diaria'!$B$5:$B$44,""),""))</f>
        <v/>
      </c>
      <c r="C80" t="str">
        <f>IF(B80="","",IFERROR(_xludf.XLOOKUP(B80,'04_Orden_Diaria'!$A$5:$A$44,'04_Orden_Diaria'!$C$5:$C$44,""),""))</f>
        <v/>
      </c>
      <c r="D80" t="str">
        <f>IF(B80="","",IFERROR(_xludf.XLOOKUP(B80,'04_Orden_Diaria'!$A$5:$A$44,'04_Orden_Diaria'!$D$5:$D$44,""),""))</f>
        <v/>
      </c>
      <c r="E80" t="str">
        <f>IF(B80="","",IFERROR(_xludf.XLOOKUP(B80,'04_Orden_Diaria'!$A$5:$A$44,'04_Orden_Diaria'!$E$5:$E$44,""),""))</f>
        <v/>
      </c>
      <c r="F80" t="str">
        <f>IF(B80="","",IFERROR(_xludf.XLOOKUP(B80,'04_Orden_Diaria'!$A$5:$A$44,'04_Orden_Diaria'!$G$5:$G$44,""),""))</f>
        <v/>
      </c>
      <c r="G80" t="str">
        <f>IF(B80="","",IFERROR(_xludf.XLOOKUP(B80,'04_Orden_Diaria'!$A$5:$A$44,'04_Orden_Diaria'!$F$5:$F$44,""),""))</f>
        <v/>
      </c>
      <c r="I80" s="6">
        <f t="shared" si="2"/>
        <v>0</v>
      </c>
    </row>
    <row r="81" spans="1:9">
      <c r="A81" s="5" t="str">
        <f>IF(B81="","",IFERROR(_xludf.XLOOKUP(B81,'04_Orden_Diaria'!$A$5:$A$44,'04_Orden_Diaria'!$B$5:$B$44,""),""))</f>
        <v/>
      </c>
      <c r="C81" t="str">
        <f>IF(B81="","",IFERROR(_xludf.XLOOKUP(B81,'04_Orden_Diaria'!$A$5:$A$44,'04_Orden_Diaria'!$C$5:$C$44,""),""))</f>
        <v/>
      </c>
      <c r="D81" t="str">
        <f>IF(B81="","",IFERROR(_xludf.XLOOKUP(B81,'04_Orden_Diaria'!$A$5:$A$44,'04_Orden_Diaria'!$D$5:$D$44,""),""))</f>
        <v/>
      </c>
      <c r="E81" t="str">
        <f>IF(B81="","",IFERROR(_xludf.XLOOKUP(B81,'04_Orden_Diaria'!$A$5:$A$44,'04_Orden_Diaria'!$E$5:$E$44,""),""))</f>
        <v/>
      </c>
      <c r="F81" t="str">
        <f>IF(B81="","",IFERROR(_xludf.XLOOKUP(B81,'04_Orden_Diaria'!$A$5:$A$44,'04_Orden_Diaria'!$G$5:$G$44,""),""))</f>
        <v/>
      </c>
      <c r="G81" t="str">
        <f>IF(B81="","",IFERROR(_xludf.XLOOKUP(B81,'04_Orden_Diaria'!$A$5:$A$44,'04_Orden_Diaria'!$F$5:$F$44,""),""))</f>
        <v/>
      </c>
      <c r="I81" s="6">
        <f t="shared" si="2"/>
        <v>0</v>
      </c>
    </row>
    <row r="82" spans="1:9">
      <c r="A82" s="5" t="str">
        <f>IF(B82="","",IFERROR(_xludf.XLOOKUP(B82,'04_Orden_Diaria'!$A$5:$A$44,'04_Orden_Diaria'!$B$5:$B$44,""),""))</f>
        <v/>
      </c>
      <c r="C82" t="str">
        <f>IF(B82="","",IFERROR(_xludf.XLOOKUP(B82,'04_Orden_Diaria'!$A$5:$A$44,'04_Orden_Diaria'!$C$5:$C$44,""),""))</f>
        <v/>
      </c>
      <c r="D82" t="str">
        <f>IF(B82="","",IFERROR(_xludf.XLOOKUP(B82,'04_Orden_Diaria'!$A$5:$A$44,'04_Orden_Diaria'!$D$5:$D$44,""),""))</f>
        <v/>
      </c>
      <c r="E82" t="str">
        <f>IF(B82="","",IFERROR(_xludf.XLOOKUP(B82,'04_Orden_Diaria'!$A$5:$A$44,'04_Orden_Diaria'!$E$5:$E$44,""),""))</f>
        <v/>
      </c>
      <c r="F82" t="str">
        <f>IF(B82="","",IFERROR(_xludf.XLOOKUP(B82,'04_Orden_Diaria'!$A$5:$A$44,'04_Orden_Diaria'!$G$5:$G$44,""),""))</f>
        <v/>
      </c>
      <c r="G82" t="str">
        <f>IF(B82="","",IFERROR(_xludf.XLOOKUP(B82,'04_Orden_Diaria'!$A$5:$A$44,'04_Orden_Diaria'!$F$5:$F$44,""),""))</f>
        <v/>
      </c>
      <c r="I82" s="6">
        <f t="shared" si="2"/>
        <v>0</v>
      </c>
    </row>
    <row r="83" spans="1:9">
      <c r="A83" s="5" t="str">
        <f>IF(B83="","",IFERROR(_xludf.XLOOKUP(B83,'04_Orden_Diaria'!$A$5:$A$44,'04_Orden_Diaria'!$B$5:$B$44,""),""))</f>
        <v/>
      </c>
      <c r="C83" t="str">
        <f>IF(B83="","",IFERROR(_xludf.XLOOKUP(B83,'04_Orden_Diaria'!$A$5:$A$44,'04_Orden_Diaria'!$C$5:$C$44,""),""))</f>
        <v/>
      </c>
      <c r="D83" t="str">
        <f>IF(B83="","",IFERROR(_xludf.XLOOKUP(B83,'04_Orden_Diaria'!$A$5:$A$44,'04_Orden_Diaria'!$D$5:$D$44,""),""))</f>
        <v/>
      </c>
      <c r="E83" t="str">
        <f>IF(B83="","",IFERROR(_xludf.XLOOKUP(B83,'04_Orden_Diaria'!$A$5:$A$44,'04_Orden_Diaria'!$E$5:$E$44,""),""))</f>
        <v/>
      </c>
      <c r="F83" t="str">
        <f>IF(B83="","",IFERROR(_xludf.XLOOKUP(B83,'04_Orden_Diaria'!$A$5:$A$44,'04_Orden_Diaria'!$G$5:$G$44,""),""))</f>
        <v/>
      </c>
      <c r="G83" t="str">
        <f>IF(B83="","",IFERROR(_xludf.XLOOKUP(B83,'04_Orden_Diaria'!$A$5:$A$44,'04_Orden_Diaria'!$F$5:$F$44,""),""))</f>
        <v/>
      </c>
      <c r="I83" s="6">
        <f t="shared" si="2"/>
        <v>0</v>
      </c>
    </row>
    <row r="84" spans="1:9">
      <c r="A84" s="5" t="str">
        <f>IF(B84="","",IFERROR(_xludf.XLOOKUP(B84,'04_Orden_Diaria'!$A$5:$A$44,'04_Orden_Diaria'!$B$5:$B$44,""),""))</f>
        <v/>
      </c>
      <c r="C84" t="str">
        <f>IF(B84="","",IFERROR(_xludf.XLOOKUP(B84,'04_Orden_Diaria'!$A$5:$A$44,'04_Orden_Diaria'!$C$5:$C$44,""),""))</f>
        <v/>
      </c>
      <c r="D84" t="str">
        <f>IF(B84="","",IFERROR(_xludf.XLOOKUP(B84,'04_Orden_Diaria'!$A$5:$A$44,'04_Orden_Diaria'!$D$5:$D$44,""),""))</f>
        <v/>
      </c>
      <c r="E84" t="str">
        <f>IF(B84="","",IFERROR(_xludf.XLOOKUP(B84,'04_Orden_Diaria'!$A$5:$A$44,'04_Orden_Diaria'!$E$5:$E$44,""),""))</f>
        <v/>
      </c>
      <c r="F84" t="str">
        <f>IF(B84="","",IFERROR(_xludf.XLOOKUP(B84,'04_Orden_Diaria'!$A$5:$A$44,'04_Orden_Diaria'!$G$5:$G$44,""),""))</f>
        <v/>
      </c>
      <c r="G84" t="str">
        <f>IF(B84="","",IFERROR(_xludf.XLOOKUP(B84,'04_Orden_Diaria'!$A$5:$A$44,'04_Orden_Diaria'!$F$5:$F$44,""),""))</f>
        <v/>
      </c>
      <c r="I84" s="6">
        <f t="shared" si="2"/>
        <v>0</v>
      </c>
    </row>
    <row r="85" spans="1:9">
      <c r="A85" s="5" t="str">
        <f>IF(B85="","",IFERROR(_xludf.XLOOKUP(B85,'04_Orden_Diaria'!$A$5:$A$44,'04_Orden_Diaria'!$B$5:$B$44,""),""))</f>
        <v/>
      </c>
      <c r="C85" t="str">
        <f>IF(B85="","",IFERROR(_xludf.XLOOKUP(B85,'04_Orden_Diaria'!$A$5:$A$44,'04_Orden_Diaria'!$C$5:$C$44,""),""))</f>
        <v/>
      </c>
      <c r="D85" t="str">
        <f>IF(B85="","",IFERROR(_xludf.XLOOKUP(B85,'04_Orden_Diaria'!$A$5:$A$44,'04_Orden_Diaria'!$D$5:$D$44,""),""))</f>
        <v/>
      </c>
      <c r="E85" t="str">
        <f>IF(B85="","",IFERROR(_xludf.XLOOKUP(B85,'04_Orden_Diaria'!$A$5:$A$44,'04_Orden_Diaria'!$E$5:$E$44,""),""))</f>
        <v/>
      </c>
      <c r="F85" t="str">
        <f>IF(B85="","",IFERROR(_xludf.XLOOKUP(B85,'04_Orden_Diaria'!$A$5:$A$44,'04_Orden_Diaria'!$G$5:$G$44,""),""))</f>
        <v/>
      </c>
      <c r="G85" t="str">
        <f>IF(B85="","",IFERROR(_xludf.XLOOKUP(B85,'04_Orden_Diaria'!$A$5:$A$44,'04_Orden_Diaria'!$F$5:$F$44,""),""))</f>
        <v/>
      </c>
      <c r="I85" s="6">
        <f t="shared" si="2"/>
        <v>0</v>
      </c>
    </row>
    <row r="86" spans="1:9">
      <c r="A86" s="5" t="str">
        <f>IF(B86="","",IFERROR(_xludf.XLOOKUP(B86,'04_Orden_Diaria'!$A$5:$A$44,'04_Orden_Diaria'!$B$5:$B$44,""),""))</f>
        <v/>
      </c>
      <c r="C86" t="str">
        <f>IF(B86="","",IFERROR(_xludf.XLOOKUP(B86,'04_Orden_Diaria'!$A$5:$A$44,'04_Orden_Diaria'!$C$5:$C$44,""),""))</f>
        <v/>
      </c>
      <c r="D86" t="str">
        <f>IF(B86="","",IFERROR(_xludf.XLOOKUP(B86,'04_Orden_Diaria'!$A$5:$A$44,'04_Orden_Diaria'!$D$5:$D$44,""),""))</f>
        <v/>
      </c>
      <c r="E86" t="str">
        <f>IF(B86="","",IFERROR(_xludf.XLOOKUP(B86,'04_Orden_Diaria'!$A$5:$A$44,'04_Orden_Diaria'!$E$5:$E$44,""),""))</f>
        <v/>
      </c>
      <c r="F86" t="str">
        <f>IF(B86="","",IFERROR(_xludf.XLOOKUP(B86,'04_Orden_Diaria'!$A$5:$A$44,'04_Orden_Diaria'!$G$5:$G$44,""),""))</f>
        <v/>
      </c>
      <c r="G86" t="str">
        <f>IF(B86="","",IFERROR(_xludf.XLOOKUP(B86,'04_Orden_Diaria'!$A$5:$A$44,'04_Orden_Diaria'!$F$5:$F$44,""),""))</f>
        <v/>
      </c>
      <c r="I86" s="6">
        <f t="shared" si="2"/>
        <v>0</v>
      </c>
    </row>
    <row r="87" spans="1:9">
      <c r="A87" s="5" t="str">
        <f>IF(B87="","",IFERROR(_xludf.XLOOKUP(B87,'04_Orden_Diaria'!$A$5:$A$44,'04_Orden_Diaria'!$B$5:$B$44,""),""))</f>
        <v/>
      </c>
      <c r="C87" t="str">
        <f>IF(B87="","",IFERROR(_xludf.XLOOKUP(B87,'04_Orden_Diaria'!$A$5:$A$44,'04_Orden_Diaria'!$C$5:$C$44,""),""))</f>
        <v/>
      </c>
      <c r="D87" t="str">
        <f>IF(B87="","",IFERROR(_xludf.XLOOKUP(B87,'04_Orden_Diaria'!$A$5:$A$44,'04_Orden_Diaria'!$D$5:$D$44,""),""))</f>
        <v/>
      </c>
      <c r="E87" t="str">
        <f>IF(B87="","",IFERROR(_xludf.XLOOKUP(B87,'04_Orden_Diaria'!$A$5:$A$44,'04_Orden_Diaria'!$E$5:$E$44,""),""))</f>
        <v/>
      </c>
      <c r="F87" t="str">
        <f>IF(B87="","",IFERROR(_xludf.XLOOKUP(B87,'04_Orden_Diaria'!$A$5:$A$44,'04_Orden_Diaria'!$G$5:$G$44,""),""))</f>
        <v/>
      </c>
      <c r="G87" t="str">
        <f>IF(B87="","",IFERROR(_xludf.XLOOKUP(B87,'04_Orden_Diaria'!$A$5:$A$44,'04_Orden_Diaria'!$F$5:$F$44,""),""))</f>
        <v/>
      </c>
      <c r="I87" s="6">
        <f t="shared" si="2"/>
        <v>0</v>
      </c>
    </row>
    <row r="88" spans="1:9">
      <c r="A88" s="5" t="str">
        <f>IF(B88="","",IFERROR(_xludf.XLOOKUP(B88,'04_Orden_Diaria'!$A$5:$A$44,'04_Orden_Diaria'!$B$5:$B$44,""),""))</f>
        <v/>
      </c>
      <c r="C88" t="str">
        <f>IF(B88="","",IFERROR(_xludf.XLOOKUP(B88,'04_Orden_Diaria'!$A$5:$A$44,'04_Orden_Diaria'!$C$5:$C$44,""),""))</f>
        <v/>
      </c>
      <c r="D88" t="str">
        <f>IF(B88="","",IFERROR(_xludf.XLOOKUP(B88,'04_Orden_Diaria'!$A$5:$A$44,'04_Orden_Diaria'!$D$5:$D$44,""),""))</f>
        <v/>
      </c>
      <c r="E88" t="str">
        <f>IF(B88="","",IFERROR(_xludf.XLOOKUP(B88,'04_Orden_Diaria'!$A$5:$A$44,'04_Orden_Diaria'!$E$5:$E$44,""),""))</f>
        <v/>
      </c>
      <c r="F88" t="str">
        <f>IF(B88="","",IFERROR(_xludf.XLOOKUP(B88,'04_Orden_Diaria'!$A$5:$A$44,'04_Orden_Diaria'!$G$5:$G$44,""),""))</f>
        <v/>
      </c>
      <c r="G88" t="str">
        <f>IF(B88="","",IFERROR(_xludf.XLOOKUP(B88,'04_Orden_Diaria'!$A$5:$A$44,'04_Orden_Diaria'!$F$5:$F$44,""),""))</f>
        <v/>
      </c>
      <c r="I88" s="6">
        <f t="shared" si="2"/>
        <v>0</v>
      </c>
    </row>
    <row r="89" spans="1:9">
      <c r="A89" s="5" t="str">
        <f>IF(B89="","",IFERROR(_xludf.XLOOKUP(B89,'04_Orden_Diaria'!$A$5:$A$44,'04_Orden_Diaria'!$B$5:$B$44,""),""))</f>
        <v/>
      </c>
      <c r="C89" t="str">
        <f>IF(B89="","",IFERROR(_xludf.XLOOKUP(B89,'04_Orden_Diaria'!$A$5:$A$44,'04_Orden_Diaria'!$C$5:$C$44,""),""))</f>
        <v/>
      </c>
      <c r="D89" t="str">
        <f>IF(B89="","",IFERROR(_xludf.XLOOKUP(B89,'04_Orden_Diaria'!$A$5:$A$44,'04_Orden_Diaria'!$D$5:$D$44,""),""))</f>
        <v/>
      </c>
      <c r="E89" t="str">
        <f>IF(B89="","",IFERROR(_xludf.XLOOKUP(B89,'04_Orden_Diaria'!$A$5:$A$44,'04_Orden_Diaria'!$E$5:$E$44,""),""))</f>
        <v/>
      </c>
      <c r="F89" t="str">
        <f>IF(B89="","",IFERROR(_xludf.XLOOKUP(B89,'04_Orden_Diaria'!$A$5:$A$44,'04_Orden_Diaria'!$G$5:$G$44,""),""))</f>
        <v/>
      </c>
      <c r="G89" t="str">
        <f>IF(B89="","",IFERROR(_xludf.XLOOKUP(B89,'04_Orden_Diaria'!$A$5:$A$44,'04_Orden_Diaria'!$F$5:$F$44,""),""))</f>
        <v/>
      </c>
      <c r="I89" s="6">
        <f t="shared" si="2"/>
        <v>0</v>
      </c>
    </row>
    <row r="90" spans="1:9">
      <c r="A90" s="5" t="str">
        <f>IF(B90="","",IFERROR(_xludf.XLOOKUP(B90,'04_Orden_Diaria'!$A$5:$A$44,'04_Orden_Diaria'!$B$5:$B$44,""),""))</f>
        <v/>
      </c>
      <c r="C90" t="str">
        <f>IF(B90="","",IFERROR(_xludf.XLOOKUP(B90,'04_Orden_Diaria'!$A$5:$A$44,'04_Orden_Diaria'!$C$5:$C$44,""),""))</f>
        <v/>
      </c>
      <c r="D90" t="str">
        <f>IF(B90="","",IFERROR(_xludf.XLOOKUP(B90,'04_Orden_Diaria'!$A$5:$A$44,'04_Orden_Diaria'!$D$5:$D$44,""),""))</f>
        <v/>
      </c>
      <c r="E90" t="str">
        <f>IF(B90="","",IFERROR(_xludf.XLOOKUP(B90,'04_Orden_Diaria'!$A$5:$A$44,'04_Orden_Diaria'!$E$5:$E$44,""),""))</f>
        <v/>
      </c>
      <c r="F90" t="str">
        <f>IF(B90="","",IFERROR(_xludf.XLOOKUP(B90,'04_Orden_Diaria'!$A$5:$A$44,'04_Orden_Diaria'!$G$5:$G$44,""),""))</f>
        <v/>
      </c>
      <c r="G90" t="str">
        <f>IF(B90="","",IFERROR(_xludf.XLOOKUP(B90,'04_Orden_Diaria'!$A$5:$A$44,'04_Orden_Diaria'!$F$5:$F$44,""),""))</f>
        <v/>
      </c>
      <c r="I90" s="6">
        <f t="shared" si="2"/>
        <v>0</v>
      </c>
    </row>
    <row r="91" spans="1:9">
      <c r="A91" s="5" t="str">
        <f>IF(B91="","",IFERROR(_xludf.XLOOKUP(B91,'04_Orden_Diaria'!$A$5:$A$44,'04_Orden_Diaria'!$B$5:$B$44,""),""))</f>
        <v/>
      </c>
      <c r="C91" t="str">
        <f>IF(B91="","",IFERROR(_xludf.XLOOKUP(B91,'04_Orden_Diaria'!$A$5:$A$44,'04_Orden_Diaria'!$C$5:$C$44,""),""))</f>
        <v/>
      </c>
      <c r="D91" t="str">
        <f>IF(B91="","",IFERROR(_xludf.XLOOKUP(B91,'04_Orden_Diaria'!$A$5:$A$44,'04_Orden_Diaria'!$D$5:$D$44,""),""))</f>
        <v/>
      </c>
      <c r="E91" t="str">
        <f>IF(B91="","",IFERROR(_xludf.XLOOKUP(B91,'04_Orden_Diaria'!$A$5:$A$44,'04_Orden_Diaria'!$E$5:$E$44,""),""))</f>
        <v/>
      </c>
      <c r="F91" t="str">
        <f>IF(B91="","",IFERROR(_xludf.XLOOKUP(B91,'04_Orden_Diaria'!$A$5:$A$44,'04_Orden_Diaria'!$G$5:$G$44,""),""))</f>
        <v/>
      </c>
      <c r="G91" t="str">
        <f>IF(B91="","",IFERROR(_xludf.XLOOKUP(B91,'04_Orden_Diaria'!$A$5:$A$44,'04_Orden_Diaria'!$F$5:$F$44,""),""))</f>
        <v/>
      </c>
      <c r="I91" s="6">
        <f t="shared" si="2"/>
        <v>0</v>
      </c>
    </row>
    <row r="92" spans="1:9">
      <c r="A92" s="5" t="str">
        <f>IF(B92="","",IFERROR(_xludf.XLOOKUP(B92,'04_Orden_Diaria'!$A$5:$A$44,'04_Orden_Diaria'!$B$5:$B$44,""),""))</f>
        <v/>
      </c>
      <c r="C92" t="str">
        <f>IF(B92="","",IFERROR(_xludf.XLOOKUP(B92,'04_Orden_Diaria'!$A$5:$A$44,'04_Orden_Diaria'!$C$5:$C$44,""),""))</f>
        <v/>
      </c>
      <c r="D92" t="str">
        <f>IF(B92="","",IFERROR(_xludf.XLOOKUP(B92,'04_Orden_Diaria'!$A$5:$A$44,'04_Orden_Diaria'!$D$5:$D$44,""),""))</f>
        <v/>
      </c>
      <c r="E92" t="str">
        <f>IF(B92="","",IFERROR(_xludf.XLOOKUP(B92,'04_Orden_Diaria'!$A$5:$A$44,'04_Orden_Diaria'!$E$5:$E$44,""),""))</f>
        <v/>
      </c>
      <c r="F92" t="str">
        <f>IF(B92="","",IFERROR(_xludf.XLOOKUP(B92,'04_Orden_Diaria'!$A$5:$A$44,'04_Orden_Diaria'!$G$5:$G$44,""),""))</f>
        <v/>
      </c>
      <c r="G92" t="str">
        <f>IF(B92="","",IFERROR(_xludf.XLOOKUP(B92,'04_Orden_Diaria'!$A$5:$A$44,'04_Orden_Diaria'!$F$5:$F$44,""),""))</f>
        <v/>
      </c>
      <c r="I92" s="6">
        <f t="shared" si="2"/>
        <v>0</v>
      </c>
    </row>
    <row r="93" spans="1:9">
      <c r="A93" s="5" t="str">
        <f>IF(B93="","",IFERROR(_xludf.XLOOKUP(B93,'04_Orden_Diaria'!$A$5:$A$44,'04_Orden_Diaria'!$B$5:$B$44,""),""))</f>
        <v/>
      </c>
      <c r="C93" t="str">
        <f>IF(B93="","",IFERROR(_xludf.XLOOKUP(B93,'04_Orden_Diaria'!$A$5:$A$44,'04_Orden_Diaria'!$C$5:$C$44,""),""))</f>
        <v/>
      </c>
      <c r="D93" t="str">
        <f>IF(B93="","",IFERROR(_xludf.XLOOKUP(B93,'04_Orden_Diaria'!$A$5:$A$44,'04_Orden_Diaria'!$D$5:$D$44,""),""))</f>
        <v/>
      </c>
      <c r="E93" t="str">
        <f>IF(B93="","",IFERROR(_xludf.XLOOKUP(B93,'04_Orden_Diaria'!$A$5:$A$44,'04_Orden_Diaria'!$E$5:$E$44,""),""))</f>
        <v/>
      </c>
      <c r="F93" t="str">
        <f>IF(B93="","",IFERROR(_xludf.XLOOKUP(B93,'04_Orden_Diaria'!$A$5:$A$44,'04_Orden_Diaria'!$G$5:$G$44,""),""))</f>
        <v/>
      </c>
      <c r="G93" t="str">
        <f>IF(B93="","",IFERROR(_xludf.XLOOKUP(B93,'04_Orden_Diaria'!$A$5:$A$44,'04_Orden_Diaria'!$F$5:$F$44,""),""))</f>
        <v/>
      </c>
      <c r="I93" s="6">
        <f t="shared" si="2"/>
        <v>0</v>
      </c>
    </row>
    <row r="94" spans="1:9">
      <c r="A94" s="5" t="str">
        <f>IF(B94="","",IFERROR(_xludf.XLOOKUP(B94,'04_Orden_Diaria'!$A$5:$A$44,'04_Orden_Diaria'!$B$5:$B$44,""),""))</f>
        <v/>
      </c>
      <c r="C94" t="str">
        <f>IF(B94="","",IFERROR(_xludf.XLOOKUP(B94,'04_Orden_Diaria'!$A$5:$A$44,'04_Orden_Diaria'!$C$5:$C$44,""),""))</f>
        <v/>
      </c>
      <c r="D94" t="str">
        <f>IF(B94="","",IFERROR(_xludf.XLOOKUP(B94,'04_Orden_Diaria'!$A$5:$A$44,'04_Orden_Diaria'!$D$5:$D$44,""),""))</f>
        <v/>
      </c>
      <c r="E94" t="str">
        <f>IF(B94="","",IFERROR(_xludf.XLOOKUP(B94,'04_Orden_Diaria'!$A$5:$A$44,'04_Orden_Diaria'!$E$5:$E$44,""),""))</f>
        <v/>
      </c>
      <c r="F94" t="str">
        <f>IF(B94="","",IFERROR(_xludf.XLOOKUP(B94,'04_Orden_Diaria'!$A$5:$A$44,'04_Orden_Diaria'!$G$5:$G$44,""),""))</f>
        <v/>
      </c>
      <c r="G94" t="str">
        <f>IF(B94="","",IFERROR(_xludf.XLOOKUP(B94,'04_Orden_Diaria'!$A$5:$A$44,'04_Orden_Diaria'!$F$5:$F$44,""),""))</f>
        <v/>
      </c>
      <c r="I94" s="6">
        <f t="shared" si="2"/>
        <v>0</v>
      </c>
    </row>
    <row r="95" spans="1:9">
      <c r="A95" s="5" t="str">
        <f>IF(B95="","",IFERROR(_xludf.XLOOKUP(B95,'04_Orden_Diaria'!$A$5:$A$44,'04_Orden_Diaria'!$B$5:$B$44,""),""))</f>
        <v/>
      </c>
      <c r="C95" t="str">
        <f>IF(B95="","",IFERROR(_xludf.XLOOKUP(B95,'04_Orden_Diaria'!$A$5:$A$44,'04_Orden_Diaria'!$C$5:$C$44,""),""))</f>
        <v/>
      </c>
      <c r="D95" t="str">
        <f>IF(B95="","",IFERROR(_xludf.XLOOKUP(B95,'04_Orden_Diaria'!$A$5:$A$44,'04_Orden_Diaria'!$D$5:$D$44,""),""))</f>
        <v/>
      </c>
      <c r="E95" t="str">
        <f>IF(B95="","",IFERROR(_xludf.XLOOKUP(B95,'04_Orden_Diaria'!$A$5:$A$44,'04_Orden_Diaria'!$E$5:$E$44,""),""))</f>
        <v/>
      </c>
      <c r="F95" t="str">
        <f>IF(B95="","",IFERROR(_xludf.XLOOKUP(B95,'04_Orden_Diaria'!$A$5:$A$44,'04_Orden_Diaria'!$G$5:$G$44,""),""))</f>
        <v/>
      </c>
      <c r="G95" t="str">
        <f>IF(B95="","",IFERROR(_xludf.XLOOKUP(B95,'04_Orden_Diaria'!$A$5:$A$44,'04_Orden_Diaria'!$F$5:$F$44,""),""))</f>
        <v/>
      </c>
      <c r="I95" s="6">
        <f t="shared" si="2"/>
        <v>0</v>
      </c>
    </row>
    <row r="96" spans="1:9">
      <c r="A96" s="5" t="str">
        <f>IF(B96="","",IFERROR(_xludf.XLOOKUP(B96,'04_Orden_Diaria'!$A$5:$A$44,'04_Orden_Diaria'!$B$5:$B$44,""),""))</f>
        <v/>
      </c>
      <c r="C96" t="str">
        <f>IF(B96="","",IFERROR(_xludf.XLOOKUP(B96,'04_Orden_Diaria'!$A$5:$A$44,'04_Orden_Diaria'!$C$5:$C$44,""),""))</f>
        <v/>
      </c>
      <c r="D96" t="str">
        <f>IF(B96="","",IFERROR(_xludf.XLOOKUP(B96,'04_Orden_Diaria'!$A$5:$A$44,'04_Orden_Diaria'!$D$5:$D$44,""),""))</f>
        <v/>
      </c>
      <c r="E96" t="str">
        <f>IF(B96="","",IFERROR(_xludf.XLOOKUP(B96,'04_Orden_Diaria'!$A$5:$A$44,'04_Orden_Diaria'!$E$5:$E$44,""),""))</f>
        <v/>
      </c>
      <c r="F96" t="str">
        <f>IF(B96="","",IFERROR(_xludf.XLOOKUP(B96,'04_Orden_Diaria'!$A$5:$A$44,'04_Orden_Diaria'!$G$5:$G$44,""),""))</f>
        <v/>
      </c>
      <c r="G96" t="str">
        <f>IF(B96="","",IFERROR(_xludf.XLOOKUP(B96,'04_Orden_Diaria'!$A$5:$A$44,'04_Orden_Diaria'!$F$5:$F$44,""),""))</f>
        <v/>
      </c>
      <c r="I96" s="6">
        <f t="shared" si="2"/>
        <v>0</v>
      </c>
    </row>
    <row r="97" spans="1:9">
      <c r="A97" s="5" t="str">
        <f>IF(B97="","",IFERROR(_xludf.XLOOKUP(B97,'04_Orden_Diaria'!$A$5:$A$44,'04_Orden_Diaria'!$B$5:$B$44,""),""))</f>
        <v/>
      </c>
      <c r="C97" t="str">
        <f>IF(B97="","",IFERROR(_xludf.XLOOKUP(B97,'04_Orden_Diaria'!$A$5:$A$44,'04_Orden_Diaria'!$C$5:$C$44,""),""))</f>
        <v/>
      </c>
      <c r="D97" t="str">
        <f>IF(B97="","",IFERROR(_xludf.XLOOKUP(B97,'04_Orden_Diaria'!$A$5:$A$44,'04_Orden_Diaria'!$D$5:$D$44,""),""))</f>
        <v/>
      </c>
      <c r="E97" t="str">
        <f>IF(B97="","",IFERROR(_xludf.XLOOKUP(B97,'04_Orden_Diaria'!$A$5:$A$44,'04_Orden_Diaria'!$E$5:$E$44,""),""))</f>
        <v/>
      </c>
      <c r="F97" t="str">
        <f>IF(B97="","",IFERROR(_xludf.XLOOKUP(B97,'04_Orden_Diaria'!$A$5:$A$44,'04_Orden_Diaria'!$G$5:$G$44,""),""))</f>
        <v/>
      </c>
      <c r="G97" t="str">
        <f>IF(B97="","",IFERROR(_xludf.XLOOKUP(B97,'04_Orden_Diaria'!$A$5:$A$44,'04_Orden_Diaria'!$F$5:$F$44,""),""))</f>
        <v/>
      </c>
      <c r="I97" s="6">
        <f t="shared" si="2"/>
        <v>0</v>
      </c>
    </row>
    <row r="98" spans="1:9">
      <c r="A98" s="5" t="str">
        <f>IF(B98="","",IFERROR(_xludf.XLOOKUP(B98,'04_Orden_Diaria'!$A$5:$A$44,'04_Orden_Diaria'!$B$5:$B$44,""),""))</f>
        <v/>
      </c>
      <c r="C98" t="str">
        <f>IF(B98="","",IFERROR(_xludf.XLOOKUP(B98,'04_Orden_Diaria'!$A$5:$A$44,'04_Orden_Diaria'!$C$5:$C$44,""),""))</f>
        <v/>
      </c>
      <c r="D98" t="str">
        <f>IF(B98="","",IFERROR(_xludf.XLOOKUP(B98,'04_Orden_Diaria'!$A$5:$A$44,'04_Orden_Diaria'!$D$5:$D$44,""),""))</f>
        <v/>
      </c>
      <c r="E98" t="str">
        <f>IF(B98="","",IFERROR(_xludf.XLOOKUP(B98,'04_Orden_Diaria'!$A$5:$A$44,'04_Orden_Diaria'!$E$5:$E$44,""),""))</f>
        <v/>
      </c>
      <c r="F98" t="str">
        <f>IF(B98="","",IFERROR(_xludf.XLOOKUP(B98,'04_Orden_Diaria'!$A$5:$A$44,'04_Orden_Diaria'!$G$5:$G$44,""),""))</f>
        <v/>
      </c>
      <c r="G98" t="str">
        <f>IF(B98="","",IFERROR(_xludf.XLOOKUP(B98,'04_Orden_Diaria'!$A$5:$A$44,'04_Orden_Diaria'!$F$5:$F$44,""),""))</f>
        <v/>
      </c>
      <c r="I98" s="6">
        <f t="shared" si="2"/>
        <v>0</v>
      </c>
    </row>
    <row r="99" spans="1:9">
      <c r="A99" s="5" t="str">
        <f>IF(B99="","",IFERROR(_xludf.XLOOKUP(B99,'04_Orden_Diaria'!$A$5:$A$44,'04_Orden_Diaria'!$B$5:$B$44,""),""))</f>
        <v/>
      </c>
      <c r="C99" t="str">
        <f>IF(B99="","",IFERROR(_xludf.XLOOKUP(B99,'04_Orden_Diaria'!$A$5:$A$44,'04_Orden_Diaria'!$C$5:$C$44,""),""))</f>
        <v/>
      </c>
      <c r="D99" t="str">
        <f>IF(B99="","",IFERROR(_xludf.XLOOKUP(B99,'04_Orden_Diaria'!$A$5:$A$44,'04_Orden_Diaria'!$D$5:$D$44,""),""))</f>
        <v/>
      </c>
      <c r="E99" t="str">
        <f>IF(B99="","",IFERROR(_xludf.XLOOKUP(B99,'04_Orden_Diaria'!$A$5:$A$44,'04_Orden_Diaria'!$E$5:$E$44,""),""))</f>
        <v/>
      </c>
      <c r="F99" t="str">
        <f>IF(B99="","",IFERROR(_xludf.XLOOKUP(B99,'04_Orden_Diaria'!$A$5:$A$44,'04_Orden_Diaria'!$G$5:$G$44,""),""))</f>
        <v/>
      </c>
      <c r="G99" t="str">
        <f>IF(B99="","",IFERROR(_xludf.XLOOKUP(B99,'04_Orden_Diaria'!$A$5:$A$44,'04_Orden_Diaria'!$F$5:$F$44,""),""))</f>
        <v/>
      </c>
      <c r="I99" s="6">
        <f t="shared" si="2"/>
        <v>0</v>
      </c>
    </row>
    <row r="100" spans="1:9">
      <c r="A100" s="5" t="str">
        <f>IF(B100="","",IFERROR(_xludf.XLOOKUP(B100,'04_Orden_Diaria'!$A$5:$A$44,'04_Orden_Diaria'!$B$5:$B$44,""),""))</f>
        <v/>
      </c>
      <c r="C100" t="str">
        <f>IF(B100="","",IFERROR(_xludf.XLOOKUP(B100,'04_Orden_Diaria'!$A$5:$A$44,'04_Orden_Diaria'!$C$5:$C$44,""),""))</f>
        <v/>
      </c>
      <c r="D100" t="str">
        <f>IF(B100="","",IFERROR(_xludf.XLOOKUP(B100,'04_Orden_Diaria'!$A$5:$A$44,'04_Orden_Diaria'!$D$5:$D$44,""),""))</f>
        <v/>
      </c>
      <c r="E100" t="str">
        <f>IF(B100="","",IFERROR(_xludf.XLOOKUP(B100,'04_Orden_Diaria'!$A$5:$A$44,'04_Orden_Diaria'!$E$5:$E$44,""),""))</f>
        <v/>
      </c>
      <c r="F100" t="str">
        <f>IF(B100="","",IFERROR(_xludf.XLOOKUP(B100,'04_Orden_Diaria'!$A$5:$A$44,'04_Orden_Diaria'!$G$5:$G$44,""),""))</f>
        <v/>
      </c>
      <c r="G100" t="str">
        <f>IF(B100="","",IFERROR(_xludf.XLOOKUP(B100,'04_Orden_Diaria'!$A$5:$A$44,'04_Orden_Diaria'!$F$5:$F$44,""),""))</f>
        <v/>
      </c>
      <c r="I100" s="6">
        <f t="shared" si="2"/>
        <v>0</v>
      </c>
    </row>
    <row r="101" spans="1:9">
      <c r="A101" s="5" t="str">
        <f>IF(B101="","",IFERROR(_xludf.XLOOKUP(B101,'04_Orden_Diaria'!$A$5:$A$44,'04_Orden_Diaria'!$B$5:$B$44,""),""))</f>
        <v/>
      </c>
      <c r="C101" t="str">
        <f>IF(B101="","",IFERROR(_xludf.XLOOKUP(B101,'04_Orden_Diaria'!$A$5:$A$44,'04_Orden_Diaria'!$C$5:$C$44,""),""))</f>
        <v/>
      </c>
      <c r="D101" t="str">
        <f>IF(B101="","",IFERROR(_xludf.XLOOKUP(B101,'04_Orden_Diaria'!$A$5:$A$44,'04_Orden_Diaria'!$D$5:$D$44,""),""))</f>
        <v/>
      </c>
      <c r="E101" t="str">
        <f>IF(B101="","",IFERROR(_xludf.XLOOKUP(B101,'04_Orden_Diaria'!$A$5:$A$44,'04_Orden_Diaria'!$E$5:$E$44,""),""))</f>
        <v/>
      </c>
      <c r="F101" t="str">
        <f>IF(B101="","",IFERROR(_xludf.XLOOKUP(B101,'04_Orden_Diaria'!$A$5:$A$44,'04_Orden_Diaria'!$G$5:$G$44,""),""))</f>
        <v/>
      </c>
      <c r="G101" t="str">
        <f>IF(B101="","",IFERROR(_xludf.XLOOKUP(B101,'04_Orden_Diaria'!$A$5:$A$44,'04_Orden_Diaria'!$F$5:$F$44,""),""))</f>
        <v/>
      </c>
      <c r="I101" s="6">
        <f t="shared" ref="I101:I104" si="3">IFERROR(H101/G101,0)</f>
        <v>0</v>
      </c>
    </row>
    <row r="102" spans="1:9">
      <c r="A102" s="5" t="str">
        <f>IF(B102="","",IFERROR(_xludf.XLOOKUP(B102,'04_Orden_Diaria'!$A$5:$A$44,'04_Orden_Diaria'!$B$5:$B$44,""),""))</f>
        <v/>
      </c>
      <c r="C102" t="str">
        <f>IF(B102="","",IFERROR(_xludf.XLOOKUP(B102,'04_Orden_Diaria'!$A$5:$A$44,'04_Orden_Diaria'!$C$5:$C$44,""),""))</f>
        <v/>
      </c>
      <c r="D102" t="str">
        <f>IF(B102="","",IFERROR(_xludf.XLOOKUP(B102,'04_Orden_Diaria'!$A$5:$A$44,'04_Orden_Diaria'!$D$5:$D$44,""),""))</f>
        <v/>
      </c>
      <c r="E102" t="str">
        <f>IF(B102="","",IFERROR(_xludf.XLOOKUP(B102,'04_Orden_Diaria'!$A$5:$A$44,'04_Orden_Diaria'!$E$5:$E$44,""),""))</f>
        <v/>
      </c>
      <c r="F102" t="str">
        <f>IF(B102="","",IFERROR(_xludf.XLOOKUP(B102,'04_Orden_Diaria'!$A$5:$A$44,'04_Orden_Diaria'!$G$5:$G$44,""),""))</f>
        <v/>
      </c>
      <c r="G102" t="str">
        <f>IF(B102="","",IFERROR(_xludf.XLOOKUP(B102,'04_Orden_Diaria'!$A$5:$A$44,'04_Orden_Diaria'!$F$5:$F$44,""),""))</f>
        <v/>
      </c>
      <c r="I102" s="6">
        <f t="shared" si="3"/>
        <v>0</v>
      </c>
    </row>
    <row r="103" spans="1:9">
      <c r="A103" s="5" t="str">
        <f>IF(B103="","",IFERROR(_xludf.XLOOKUP(B103,'04_Orden_Diaria'!$A$5:$A$44,'04_Orden_Diaria'!$B$5:$B$44,""),""))</f>
        <v/>
      </c>
      <c r="C103" t="str">
        <f>IF(B103="","",IFERROR(_xludf.XLOOKUP(B103,'04_Orden_Diaria'!$A$5:$A$44,'04_Orden_Diaria'!$C$5:$C$44,""),""))</f>
        <v/>
      </c>
      <c r="D103" t="str">
        <f>IF(B103="","",IFERROR(_xludf.XLOOKUP(B103,'04_Orden_Diaria'!$A$5:$A$44,'04_Orden_Diaria'!$D$5:$D$44,""),""))</f>
        <v/>
      </c>
      <c r="E103" t="str">
        <f>IF(B103="","",IFERROR(_xludf.XLOOKUP(B103,'04_Orden_Diaria'!$A$5:$A$44,'04_Orden_Diaria'!$E$5:$E$44,""),""))</f>
        <v/>
      </c>
      <c r="F103" t="str">
        <f>IF(B103="","",IFERROR(_xludf.XLOOKUP(B103,'04_Orden_Diaria'!$A$5:$A$44,'04_Orden_Diaria'!$G$5:$G$44,""),""))</f>
        <v/>
      </c>
      <c r="G103" t="str">
        <f>IF(B103="","",IFERROR(_xludf.XLOOKUP(B103,'04_Orden_Diaria'!$A$5:$A$44,'04_Orden_Diaria'!$F$5:$F$44,""),""))</f>
        <v/>
      </c>
      <c r="I103" s="6">
        <f t="shared" si="3"/>
        <v>0</v>
      </c>
    </row>
    <row r="104" spans="1:9">
      <c r="A104" s="5" t="str">
        <f>IF(B104="","",IFERROR(_xludf.XLOOKUP(B104,'04_Orden_Diaria'!$A$5:$A$44,'04_Orden_Diaria'!$B$5:$B$44,""),""))</f>
        <v/>
      </c>
      <c r="C104" t="str">
        <f>IF(B104="","",IFERROR(_xludf.XLOOKUP(B104,'04_Orden_Diaria'!$A$5:$A$44,'04_Orden_Diaria'!$C$5:$C$44,""),""))</f>
        <v/>
      </c>
      <c r="D104" t="str">
        <f>IF(B104="","",IFERROR(_xludf.XLOOKUP(B104,'04_Orden_Diaria'!$A$5:$A$44,'04_Orden_Diaria'!$D$5:$D$44,""),""))</f>
        <v/>
      </c>
      <c r="E104" t="str">
        <f>IF(B104="","",IFERROR(_xludf.XLOOKUP(B104,'04_Orden_Diaria'!$A$5:$A$44,'04_Orden_Diaria'!$E$5:$E$44,""),""))</f>
        <v/>
      </c>
      <c r="F104" t="str">
        <f>IF(B104="","",IFERROR(_xludf.XLOOKUP(B104,'04_Orden_Diaria'!$A$5:$A$44,'04_Orden_Diaria'!$G$5:$G$44,""),""))</f>
        <v/>
      </c>
      <c r="G104" t="str">
        <f>IF(B104="","",IFERROR(_xludf.XLOOKUP(B104,'04_Orden_Diaria'!$A$5:$A$44,'04_Orden_Diaria'!$F$5:$F$44,""),""))</f>
        <v/>
      </c>
      <c r="I104" s="6">
        <f t="shared" si="3"/>
        <v>0</v>
      </c>
    </row>
    <row r="105" spans="1:9">
      <c r="A105" s="5"/>
      <c r="I105" s="6"/>
    </row>
    <row r="106" spans="1:9">
      <c r="A106" s="5"/>
      <c r="I106" s="6"/>
    </row>
    <row r="107" spans="1:9">
      <c r="A107" s="5"/>
      <c r="I107" s="6"/>
    </row>
    <row r="108" spans="1:9">
      <c r="A108" s="5"/>
      <c r="I108" s="6"/>
    </row>
    <row r="109" spans="1:9">
      <c r="A109" s="5"/>
      <c r="I109" s="6"/>
    </row>
    <row r="110" spans="1:9">
      <c r="A110" s="5"/>
      <c r="I110" s="6"/>
    </row>
    <row r="111" spans="1:9">
      <c r="A111" s="5"/>
      <c r="I111" s="6"/>
    </row>
    <row r="112" spans="1:9">
      <c r="A112" s="5"/>
      <c r="I112" s="6"/>
    </row>
    <row r="113" spans="1:9">
      <c r="A113" s="5"/>
      <c r="I113" s="6"/>
    </row>
    <row r="114" spans="1:9">
      <c r="A114" s="5"/>
      <c r="I114" s="6"/>
    </row>
    <row r="115" spans="1:9">
      <c r="A115" s="5"/>
      <c r="I115" s="6"/>
    </row>
    <row r="116" spans="1:9">
      <c r="A116" s="5"/>
      <c r="I116" s="6"/>
    </row>
    <row r="117" spans="1:9">
      <c r="A117" s="5"/>
      <c r="I117" s="6"/>
    </row>
    <row r="118" spans="1:9">
      <c r="A118" s="5"/>
      <c r="I118" s="6"/>
    </row>
    <row r="119" spans="1:9">
      <c r="A119" s="5"/>
      <c r="I119" s="6"/>
    </row>
    <row r="120" spans="1:9">
      <c r="A120" s="5"/>
      <c r="I120" s="6"/>
    </row>
    <row r="121" spans="1:9">
      <c r="A121" s="5"/>
      <c r="I121" s="6"/>
    </row>
    <row r="122" spans="1:9">
      <c r="A122" s="5"/>
      <c r="I122" s="6"/>
    </row>
    <row r="123" spans="1:9">
      <c r="A123" s="5"/>
      <c r="I123" s="6"/>
    </row>
    <row r="124" spans="1:9">
      <c r="A124" s="5"/>
      <c r="I124" s="6"/>
    </row>
    <row r="125" spans="1:9">
      <c r="A125" s="5"/>
      <c r="I125" s="6"/>
    </row>
    <row r="126" spans="1:9">
      <c r="A126" s="5"/>
      <c r="I126" s="6"/>
    </row>
    <row r="127" spans="1:9">
      <c r="A127" s="5"/>
      <c r="I127" s="6"/>
    </row>
    <row r="128" spans="1:9">
      <c r="A128" s="5"/>
      <c r="I128" s="6"/>
    </row>
    <row r="129" spans="1:9">
      <c r="A129" s="5"/>
      <c r="I129" s="6"/>
    </row>
    <row r="130" spans="1:9">
      <c r="A130" s="5"/>
      <c r="I130" s="6"/>
    </row>
    <row r="131" spans="1:9">
      <c r="A131" s="5"/>
      <c r="I131" s="6"/>
    </row>
    <row r="132" spans="1:9">
      <c r="A132" s="5"/>
      <c r="I132" s="6"/>
    </row>
    <row r="133" spans="1:9">
      <c r="A133" s="5"/>
      <c r="I133" s="6"/>
    </row>
    <row r="134" spans="1:9">
      <c r="A134" s="5"/>
      <c r="I134" s="6"/>
    </row>
    <row r="135" spans="1:9">
      <c r="A135" s="5"/>
      <c r="I135" s="6"/>
    </row>
    <row r="136" spans="1:9">
      <c r="A136" s="5"/>
      <c r="I136" s="6"/>
    </row>
    <row r="137" spans="1:9">
      <c r="A137" s="5"/>
      <c r="I137" s="6"/>
    </row>
    <row r="138" spans="1:9">
      <c r="A138" s="5"/>
      <c r="I138" s="6"/>
    </row>
    <row r="139" spans="1:9">
      <c r="A139" s="5"/>
      <c r="I139" s="6"/>
    </row>
    <row r="140" spans="1:9">
      <c r="A140" s="5"/>
      <c r="I140" s="6"/>
    </row>
    <row r="141" spans="1:9">
      <c r="A141" s="5"/>
      <c r="I141" s="6"/>
    </row>
    <row r="142" spans="1:9">
      <c r="A142" s="5"/>
      <c r="I142" s="6"/>
    </row>
    <row r="143" spans="1:9">
      <c r="A143" s="5"/>
      <c r="I143" s="6"/>
    </row>
    <row r="144" spans="1:9">
      <c r="A144" s="5"/>
      <c r="I144" s="6"/>
    </row>
    <row r="145" spans="1:9">
      <c r="A145" s="5"/>
      <c r="I145" s="6"/>
    </row>
    <row r="146" spans="1:9">
      <c r="A146" s="5"/>
      <c r="I146" s="6"/>
    </row>
    <row r="147" spans="1:9">
      <c r="A147" s="5"/>
      <c r="I147" s="6"/>
    </row>
    <row r="148" spans="1:9">
      <c r="A148" s="5"/>
      <c r="I148" s="6"/>
    </row>
    <row r="149" spans="1:9">
      <c r="A149" s="5"/>
      <c r="I149" s="6"/>
    </row>
    <row r="150" spans="1:9">
      <c r="A150" s="5"/>
      <c r="I150" s="6"/>
    </row>
    <row r="151" spans="1:9">
      <c r="A151" s="5"/>
      <c r="I151" s="6"/>
    </row>
    <row r="152" spans="1:9">
      <c r="A152" s="5"/>
      <c r="I152" s="6"/>
    </row>
    <row r="153" spans="1:9">
      <c r="A153" s="5"/>
      <c r="I153" s="6"/>
    </row>
    <row r="154" spans="1:9">
      <c r="A154" s="5"/>
      <c r="I154" s="6"/>
    </row>
    <row r="155" spans="1:9">
      <c r="A155" s="5"/>
      <c r="I155" s="6"/>
    </row>
    <row r="156" spans="1:9">
      <c r="A156" s="5"/>
      <c r="I156" s="6"/>
    </row>
    <row r="157" spans="1:9">
      <c r="A157" s="5"/>
      <c r="I157" s="6"/>
    </row>
    <row r="158" spans="1:9">
      <c r="A158" s="5"/>
      <c r="I158" s="6"/>
    </row>
    <row r="159" spans="1:9">
      <c r="A159" s="5"/>
      <c r="I159" s="6"/>
    </row>
    <row r="160" spans="1:9">
      <c r="A160" s="5"/>
      <c r="I160" s="6"/>
    </row>
    <row r="161" spans="1:9">
      <c r="A161" s="5"/>
      <c r="I161" s="6"/>
    </row>
    <row r="162" spans="1:9">
      <c r="A162" s="5"/>
      <c r="I162" s="6"/>
    </row>
    <row r="163" spans="1:9">
      <c r="A163" s="5"/>
      <c r="I163" s="6"/>
    </row>
    <row r="164" spans="1:9">
      <c r="A164" s="5"/>
      <c r="I164" s="6"/>
    </row>
    <row r="165" spans="1:9">
      <c r="A165" s="5"/>
      <c r="I165" s="6"/>
    </row>
    <row r="166" spans="1:9">
      <c r="A166" s="5"/>
      <c r="I166" s="6"/>
    </row>
    <row r="167" spans="1:9">
      <c r="A167" s="5"/>
      <c r="I167" s="6"/>
    </row>
    <row r="168" spans="1:9">
      <c r="A168" s="5"/>
      <c r="I168" s="6"/>
    </row>
    <row r="169" spans="1:9">
      <c r="A169" s="5"/>
      <c r="I169" s="6"/>
    </row>
    <row r="170" spans="1:9">
      <c r="A170" s="5"/>
      <c r="I170" s="6"/>
    </row>
    <row r="171" spans="1:9">
      <c r="A171" s="5"/>
      <c r="I171" s="6"/>
    </row>
    <row r="172" spans="1:9">
      <c r="A172" s="5"/>
      <c r="I172" s="6"/>
    </row>
    <row r="173" spans="1:9">
      <c r="A173" s="5"/>
      <c r="I173" s="6"/>
    </row>
    <row r="174" spans="1:9">
      <c r="A174" s="5"/>
      <c r="I174" s="6"/>
    </row>
    <row r="175" spans="1:9">
      <c r="A175" s="5"/>
      <c r="I175" s="6"/>
    </row>
    <row r="176" spans="1:9">
      <c r="A176" s="5"/>
      <c r="I176" s="6"/>
    </row>
    <row r="177" spans="1:9">
      <c r="A177" s="5"/>
      <c r="I177" s="6"/>
    </row>
    <row r="178" spans="1:9">
      <c r="A178" s="5"/>
      <c r="I178" s="6"/>
    </row>
    <row r="179" spans="1:9">
      <c r="A179" s="5"/>
      <c r="I179" s="6"/>
    </row>
    <row r="180" spans="1:9">
      <c r="A180" s="5"/>
      <c r="I180" s="6"/>
    </row>
    <row r="181" spans="1:9">
      <c r="A181" s="5"/>
      <c r="I181" s="6"/>
    </row>
    <row r="182" spans="1:9">
      <c r="A182" s="5"/>
      <c r="I182" s="6"/>
    </row>
    <row r="183" spans="1:9">
      <c r="A183" s="5"/>
      <c r="I183" s="6"/>
    </row>
    <row r="184" spans="1:9">
      <c r="A184" s="5"/>
      <c r="I184" s="6"/>
    </row>
    <row r="185" spans="1:9">
      <c r="A185" s="5"/>
      <c r="I185" s="6"/>
    </row>
    <row r="186" spans="1:9">
      <c r="A186" s="5"/>
      <c r="I186" s="6"/>
    </row>
    <row r="187" spans="1:9">
      <c r="A187" s="5"/>
      <c r="I187" s="6"/>
    </row>
    <row r="188" spans="1:9">
      <c r="A188" s="5"/>
      <c r="I188" s="6"/>
    </row>
    <row r="189" spans="1:9">
      <c r="A189" s="5"/>
      <c r="I189" s="6"/>
    </row>
    <row r="190" spans="1:9">
      <c r="A190" s="5"/>
      <c r="I190" s="6"/>
    </row>
    <row r="191" spans="1:9">
      <c r="A191" s="5"/>
      <c r="I191" s="6"/>
    </row>
    <row r="192" spans="1:9">
      <c r="A192" s="5"/>
      <c r="I192" s="6"/>
    </row>
    <row r="193" spans="1:9">
      <c r="A193" s="5"/>
      <c r="I193" s="6"/>
    </row>
    <row r="194" spans="1:9">
      <c r="A194" s="5"/>
      <c r="I194" s="6"/>
    </row>
    <row r="195" spans="1:9">
      <c r="A195" s="5"/>
      <c r="I195" s="6"/>
    </row>
    <row r="196" spans="1:9">
      <c r="A196" s="5"/>
      <c r="I196" s="6"/>
    </row>
    <row r="197" spans="1:9">
      <c r="A197" s="5"/>
      <c r="I197" s="6"/>
    </row>
    <row r="198" spans="1:9">
      <c r="A198" s="5"/>
      <c r="I198" s="6"/>
    </row>
    <row r="199" spans="1:9">
      <c r="A199" s="5"/>
      <c r="I199" s="6"/>
    </row>
    <row r="200" spans="1:9">
      <c r="A200" s="5"/>
      <c r="I200" s="6"/>
    </row>
    <row r="201" spans="1:9">
      <c r="A201" s="5"/>
      <c r="I201" s="6"/>
    </row>
    <row r="202" spans="1:9">
      <c r="A202" s="5"/>
      <c r="I202" s="6"/>
    </row>
    <row r="203" spans="1:9">
      <c r="A203" s="5"/>
      <c r="I203" s="6"/>
    </row>
    <row r="204" spans="1:9">
      <c r="A204" s="5"/>
      <c r="I204" s="6"/>
    </row>
  </sheetData>
  <mergeCells count="2">
    <mergeCell ref="A1:R1"/>
    <mergeCell ref="A2:R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'04_Orden_Diaria'!$A$5:$A$44</xm:f>
          </x14:formula1>
          <xm:sqref>B5:B104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2"/>
  <sheetViews>
    <sheetView workbookViewId="0">
      <selection activeCell="I12" sqref="I12"/>
    </sheetView>
  </sheetViews>
  <sheetFormatPr baseColWidth="10" defaultColWidth="8.796875" defaultRowHeight="13.8"/>
  <cols>
    <col min="1" max="1" width="18" customWidth="1"/>
    <col min="2" max="2" width="20" customWidth="1"/>
    <col min="3" max="3" width="18" customWidth="1"/>
    <col min="4" max="4" width="15" customWidth="1"/>
    <col min="5" max="8" width="22" customWidth="1"/>
    <col min="9" max="9" width="18" customWidth="1"/>
    <col min="10" max="10" width="34" customWidth="1"/>
    <col min="11" max="15" width="16" customWidth="1"/>
  </cols>
  <sheetData>
    <row r="1" spans="1:15" ht="22.35" customHeight="1">
      <c r="A1" s="15" t="s">
        <v>243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7.15" customHeight="1">
      <c r="A2" s="16" t="s">
        <v>244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spans="1:15" ht="30.45" customHeight="1">
      <c r="A4" s="1" t="s">
        <v>42</v>
      </c>
      <c r="B4" s="1" t="s">
        <v>57</v>
      </c>
      <c r="C4" s="1" t="s">
        <v>245</v>
      </c>
      <c r="D4" s="1" t="s">
        <v>246</v>
      </c>
      <c r="E4" s="1" t="s">
        <v>247</v>
      </c>
      <c r="F4" s="1" t="s">
        <v>248</v>
      </c>
      <c r="G4" s="1" t="s">
        <v>249</v>
      </c>
      <c r="H4" s="1" t="s">
        <v>6</v>
      </c>
      <c r="I4" s="1" t="s">
        <v>12</v>
      </c>
      <c r="J4" s="1" t="s">
        <v>9</v>
      </c>
      <c r="K4" s="1" t="s">
        <v>18</v>
      </c>
      <c r="L4" s="1" t="s">
        <v>60</v>
      </c>
    </row>
    <row r="5" spans="1:15">
      <c r="A5" t="s">
        <v>65</v>
      </c>
      <c r="B5" t="s">
        <v>69</v>
      </c>
      <c r="C5">
        <v>165</v>
      </c>
      <c r="D5">
        <v>1</v>
      </c>
      <c r="E5">
        <v>1</v>
      </c>
      <c r="F5">
        <v>1</v>
      </c>
      <c r="G5" t="s">
        <v>250</v>
      </c>
      <c r="H5">
        <v>24</v>
      </c>
      <c r="I5">
        <v>0</v>
      </c>
      <c r="J5">
        <v>0</v>
      </c>
      <c r="K5">
        <v>0</v>
      </c>
      <c r="L5" t="s">
        <v>251</v>
      </c>
    </row>
    <row r="6" spans="1:15">
      <c r="A6" t="s">
        <v>118</v>
      </c>
      <c r="B6" t="s">
        <v>119</v>
      </c>
      <c r="C6">
        <v>82</v>
      </c>
      <c r="D6">
        <v>1</v>
      </c>
      <c r="E6">
        <v>1</v>
      </c>
      <c r="F6">
        <v>1</v>
      </c>
      <c r="G6" t="s">
        <v>250</v>
      </c>
      <c r="H6">
        <v>24</v>
      </c>
      <c r="I6">
        <v>0</v>
      </c>
      <c r="J6">
        <v>0</v>
      </c>
      <c r="K6">
        <v>0</v>
      </c>
      <c r="L6" t="s">
        <v>251</v>
      </c>
    </row>
    <row r="7" spans="1:15">
      <c r="A7" t="s">
        <v>120</v>
      </c>
      <c r="B7" t="s">
        <v>121</v>
      </c>
      <c r="C7">
        <v>210</v>
      </c>
      <c r="D7">
        <v>1</v>
      </c>
      <c r="E7">
        <v>1</v>
      </c>
      <c r="F7">
        <v>1</v>
      </c>
      <c r="G7" t="s">
        <v>250</v>
      </c>
      <c r="H7">
        <v>24</v>
      </c>
      <c r="I7">
        <v>0</v>
      </c>
      <c r="J7">
        <v>0</v>
      </c>
      <c r="K7">
        <v>0</v>
      </c>
      <c r="L7" t="s">
        <v>251</v>
      </c>
    </row>
    <row r="8" spans="1:15">
      <c r="A8" t="s">
        <v>122</v>
      </c>
      <c r="B8" t="s">
        <v>125</v>
      </c>
      <c r="C8">
        <v>81</v>
      </c>
      <c r="D8">
        <v>1</v>
      </c>
      <c r="E8">
        <v>1</v>
      </c>
      <c r="F8">
        <v>1</v>
      </c>
      <c r="G8" t="s">
        <v>250</v>
      </c>
      <c r="H8">
        <v>24</v>
      </c>
      <c r="I8">
        <v>23</v>
      </c>
      <c r="J8">
        <v>1</v>
      </c>
      <c r="K8">
        <v>0</v>
      </c>
      <c r="L8" t="s">
        <v>251</v>
      </c>
    </row>
    <row r="9" spans="1:15">
      <c r="A9" t="s">
        <v>127</v>
      </c>
      <c r="B9" t="s">
        <v>121</v>
      </c>
      <c r="C9">
        <v>182</v>
      </c>
      <c r="D9">
        <v>1</v>
      </c>
      <c r="E9">
        <v>1</v>
      </c>
      <c r="F9">
        <v>1</v>
      </c>
      <c r="G9" t="s">
        <v>250</v>
      </c>
      <c r="H9">
        <v>24</v>
      </c>
      <c r="I9">
        <v>0</v>
      </c>
      <c r="J9">
        <v>0</v>
      </c>
      <c r="K9">
        <v>0</v>
      </c>
      <c r="L9" t="s">
        <v>251</v>
      </c>
    </row>
    <row r="10" spans="1:15">
      <c r="A10" t="s">
        <v>128</v>
      </c>
      <c r="B10" t="s">
        <v>129</v>
      </c>
      <c r="C10">
        <v>80</v>
      </c>
      <c r="D10">
        <v>1</v>
      </c>
      <c r="E10">
        <v>1</v>
      </c>
      <c r="F10">
        <v>1</v>
      </c>
      <c r="G10" t="s">
        <v>250</v>
      </c>
      <c r="H10">
        <v>24</v>
      </c>
      <c r="I10">
        <v>0</v>
      </c>
      <c r="J10">
        <v>0</v>
      </c>
      <c r="K10">
        <v>0</v>
      </c>
      <c r="L10" t="s">
        <v>251</v>
      </c>
    </row>
    <row r="11" spans="1:15">
      <c r="A11" t="s">
        <v>130</v>
      </c>
      <c r="B11" t="s">
        <v>121</v>
      </c>
      <c r="C11">
        <v>200</v>
      </c>
      <c r="D11">
        <v>1</v>
      </c>
      <c r="E11">
        <v>1</v>
      </c>
      <c r="F11">
        <v>1</v>
      </c>
      <c r="G11" t="s">
        <v>250</v>
      </c>
      <c r="H11">
        <v>24</v>
      </c>
      <c r="I11">
        <v>7</v>
      </c>
      <c r="J11">
        <v>4</v>
      </c>
      <c r="K11">
        <v>0</v>
      </c>
      <c r="L11" t="s">
        <v>251</v>
      </c>
    </row>
    <row r="12" spans="1:15">
      <c r="A12" t="s">
        <v>131</v>
      </c>
      <c r="B12" t="s">
        <v>132</v>
      </c>
      <c r="C12">
        <v>98</v>
      </c>
      <c r="D12">
        <v>1</v>
      </c>
      <c r="E12">
        <v>1</v>
      </c>
      <c r="F12">
        <v>1</v>
      </c>
      <c r="G12" t="s">
        <v>250</v>
      </c>
      <c r="H12">
        <v>24</v>
      </c>
      <c r="I12">
        <v>7</v>
      </c>
      <c r="J12">
        <v>4</v>
      </c>
      <c r="K12">
        <v>0</v>
      </c>
      <c r="L12" t="s">
        <v>251</v>
      </c>
    </row>
    <row r="13" spans="1:15">
      <c r="A13" t="s">
        <v>134</v>
      </c>
      <c r="B13" t="s">
        <v>135</v>
      </c>
      <c r="C13">
        <v>78</v>
      </c>
      <c r="D13">
        <v>1</v>
      </c>
      <c r="E13">
        <v>1</v>
      </c>
      <c r="F13">
        <v>1</v>
      </c>
      <c r="G13" t="s">
        <v>250</v>
      </c>
      <c r="H13">
        <v>24</v>
      </c>
      <c r="I13">
        <v>20</v>
      </c>
      <c r="J13">
        <v>4</v>
      </c>
      <c r="K13">
        <v>0</v>
      </c>
      <c r="L13" t="s">
        <v>251</v>
      </c>
    </row>
    <row r="14" spans="1:15">
      <c r="A14" t="s">
        <v>136</v>
      </c>
      <c r="B14" t="s">
        <v>137</v>
      </c>
      <c r="C14">
        <v>136</v>
      </c>
      <c r="D14">
        <v>1</v>
      </c>
      <c r="E14">
        <v>1</v>
      </c>
      <c r="F14">
        <v>1</v>
      </c>
      <c r="G14" t="s">
        <v>250</v>
      </c>
      <c r="H14">
        <v>24</v>
      </c>
      <c r="I14">
        <v>0</v>
      </c>
      <c r="J14">
        <v>0</v>
      </c>
      <c r="K14">
        <v>0</v>
      </c>
      <c r="L14" t="s">
        <v>251</v>
      </c>
    </row>
    <row r="15" spans="1:15">
      <c r="A15" t="s">
        <v>138</v>
      </c>
      <c r="B15" t="s">
        <v>125</v>
      </c>
      <c r="C15">
        <v>7</v>
      </c>
      <c r="D15">
        <v>1</v>
      </c>
      <c r="E15">
        <v>1</v>
      </c>
      <c r="F15">
        <v>1</v>
      </c>
      <c r="G15" t="s">
        <v>250</v>
      </c>
      <c r="H15">
        <v>24</v>
      </c>
      <c r="I15">
        <v>12</v>
      </c>
      <c r="J15">
        <v>1</v>
      </c>
      <c r="K15">
        <v>0</v>
      </c>
      <c r="L15" t="s">
        <v>251</v>
      </c>
    </row>
    <row r="16" spans="1:15">
      <c r="A16" t="s">
        <v>139</v>
      </c>
      <c r="B16" t="s">
        <v>125</v>
      </c>
      <c r="C16">
        <v>245</v>
      </c>
      <c r="D16">
        <v>1</v>
      </c>
      <c r="E16">
        <v>1</v>
      </c>
      <c r="F16">
        <v>1</v>
      </c>
      <c r="G16" t="s">
        <v>250</v>
      </c>
      <c r="H16">
        <v>24</v>
      </c>
      <c r="I16">
        <v>7</v>
      </c>
      <c r="J16">
        <v>4</v>
      </c>
      <c r="K16">
        <v>0</v>
      </c>
      <c r="L16" t="s">
        <v>251</v>
      </c>
    </row>
    <row r="17" spans="1:12">
      <c r="A17" t="s">
        <v>142</v>
      </c>
      <c r="B17" t="s">
        <v>119</v>
      </c>
      <c r="C17">
        <v>24</v>
      </c>
      <c r="D17">
        <v>1</v>
      </c>
      <c r="E17">
        <v>1</v>
      </c>
      <c r="F17">
        <v>1</v>
      </c>
      <c r="G17" t="s">
        <v>250</v>
      </c>
      <c r="H17">
        <v>24</v>
      </c>
      <c r="I17">
        <v>7</v>
      </c>
      <c r="J17">
        <v>4</v>
      </c>
      <c r="K17">
        <v>0</v>
      </c>
      <c r="L17" t="s">
        <v>251</v>
      </c>
    </row>
    <row r="18" spans="1:12">
      <c r="A18" t="s">
        <v>143</v>
      </c>
      <c r="B18" t="s">
        <v>125</v>
      </c>
      <c r="C18">
        <v>88</v>
      </c>
      <c r="D18">
        <v>1</v>
      </c>
      <c r="E18">
        <v>1</v>
      </c>
      <c r="F18">
        <v>1</v>
      </c>
      <c r="G18" t="s">
        <v>250</v>
      </c>
      <c r="H18">
        <v>24</v>
      </c>
      <c r="I18">
        <v>13</v>
      </c>
      <c r="J18">
        <v>11</v>
      </c>
      <c r="K18">
        <v>0</v>
      </c>
      <c r="L18" t="s">
        <v>251</v>
      </c>
    </row>
    <row r="19" spans="1:12">
      <c r="A19" t="s">
        <v>144</v>
      </c>
      <c r="B19" t="s">
        <v>145</v>
      </c>
      <c r="C19">
        <v>113</v>
      </c>
      <c r="D19">
        <v>1</v>
      </c>
      <c r="E19">
        <v>1</v>
      </c>
      <c r="F19">
        <v>1</v>
      </c>
      <c r="G19" t="s">
        <v>250</v>
      </c>
      <c r="H19">
        <v>24</v>
      </c>
      <c r="I19">
        <v>13</v>
      </c>
      <c r="J19">
        <v>11</v>
      </c>
      <c r="K19">
        <v>0</v>
      </c>
      <c r="L19" t="s">
        <v>251</v>
      </c>
    </row>
    <row r="20" spans="1:12">
      <c r="A20" t="s">
        <v>146</v>
      </c>
      <c r="B20" t="s">
        <v>125</v>
      </c>
      <c r="C20">
        <v>77</v>
      </c>
      <c r="D20">
        <v>1</v>
      </c>
      <c r="E20">
        <v>1</v>
      </c>
      <c r="F20">
        <v>1</v>
      </c>
      <c r="G20" t="s">
        <v>250</v>
      </c>
      <c r="H20">
        <v>24</v>
      </c>
      <c r="I20">
        <v>12</v>
      </c>
      <c r="J20">
        <v>12</v>
      </c>
      <c r="K20">
        <v>0</v>
      </c>
      <c r="L20" t="s">
        <v>251</v>
      </c>
    </row>
    <row r="21" spans="1:12">
      <c r="A21" t="s">
        <v>147</v>
      </c>
      <c r="B21" t="s">
        <v>148</v>
      </c>
      <c r="C21">
        <v>117</v>
      </c>
      <c r="D21">
        <v>1</v>
      </c>
      <c r="E21">
        <v>1</v>
      </c>
      <c r="F21">
        <v>1</v>
      </c>
      <c r="G21" t="s">
        <v>250</v>
      </c>
      <c r="H21">
        <v>24</v>
      </c>
      <c r="I21">
        <v>13</v>
      </c>
      <c r="J21">
        <v>11</v>
      </c>
      <c r="K21">
        <v>0</v>
      </c>
      <c r="L21" t="s">
        <v>251</v>
      </c>
    </row>
    <row r="22" spans="1:12">
      <c r="A22" t="s">
        <v>149</v>
      </c>
      <c r="B22" t="s">
        <v>69</v>
      </c>
      <c r="C22">
        <v>190</v>
      </c>
      <c r="D22">
        <v>1</v>
      </c>
      <c r="E22">
        <v>1</v>
      </c>
      <c r="F22">
        <v>1</v>
      </c>
      <c r="G22" t="s">
        <v>250</v>
      </c>
      <c r="H22">
        <v>24</v>
      </c>
      <c r="I22">
        <v>0</v>
      </c>
      <c r="J22">
        <v>0</v>
      </c>
      <c r="K22">
        <v>0</v>
      </c>
      <c r="L22" t="s">
        <v>251</v>
      </c>
    </row>
    <row r="23" spans="1:12">
      <c r="A23" t="s">
        <v>150</v>
      </c>
      <c r="B23" t="s">
        <v>125</v>
      </c>
      <c r="C23">
        <v>40</v>
      </c>
      <c r="D23">
        <v>1</v>
      </c>
      <c r="E23">
        <v>1</v>
      </c>
      <c r="F23">
        <v>1</v>
      </c>
      <c r="G23" t="s">
        <v>250</v>
      </c>
      <c r="H23">
        <v>24</v>
      </c>
      <c r="I23">
        <v>0</v>
      </c>
      <c r="J23">
        <v>0</v>
      </c>
      <c r="K23">
        <v>0</v>
      </c>
      <c r="L23" t="s">
        <v>251</v>
      </c>
    </row>
    <row r="24" spans="1:12">
      <c r="A24" t="s">
        <v>151</v>
      </c>
      <c r="B24" t="s">
        <v>125</v>
      </c>
      <c r="C24">
        <v>55</v>
      </c>
      <c r="D24">
        <v>1</v>
      </c>
      <c r="E24">
        <v>1</v>
      </c>
      <c r="F24">
        <v>1</v>
      </c>
      <c r="G24" t="s">
        <v>250</v>
      </c>
      <c r="H24">
        <v>24</v>
      </c>
      <c r="I24">
        <v>0</v>
      </c>
      <c r="J24">
        <v>0</v>
      </c>
      <c r="K24">
        <v>0</v>
      </c>
      <c r="L24" t="s">
        <v>251</v>
      </c>
    </row>
    <row r="25" spans="1:12">
      <c r="A25" t="s">
        <v>152</v>
      </c>
      <c r="B25" t="s">
        <v>125</v>
      </c>
      <c r="C25">
        <v>2</v>
      </c>
      <c r="D25">
        <v>1</v>
      </c>
      <c r="E25">
        <v>1</v>
      </c>
      <c r="F25">
        <v>1</v>
      </c>
      <c r="G25" t="s">
        <v>250</v>
      </c>
      <c r="H25">
        <v>24</v>
      </c>
      <c r="I25">
        <v>2</v>
      </c>
      <c r="J25">
        <v>22</v>
      </c>
      <c r="K25">
        <v>0</v>
      </c>
      <c r="L25" t="s">
        <v>251</v>
      </c>
    </row>
    <row r="26" spans="1:12">
      <c r="A26" t="s">
        <v>153</v>
      </c>
      <c r="B26" t="s">
        <v>125</v>
      </c>
      <c r="C26">
        <v>97</v>
      </c>
      <c r="D26">
        <v>1</v>
      </c>
      <c r="E26">
        <v>1</v>
      </c>
      <c r="F26">
        <v>1</v>
      </c>
      <c r="G26" t="s">
        <v>250</v>
      </c>
      <c r="H26">
        <v>24</v>
      </c>
      <c r="I26">
        <v>2</v>
      </c>
      <c r="J26">
        <v>22</v>
      </c>
      <c r="K26">
        <v>0</v>
      </c>
      <c r="L26" t="s">
        <v>251</v>
      </c>
    </row>
    <row r="27" spans="1:12">
      <c r="A27" t="s">
        <v>154</v>
      </c>
      <c r="B27" t="s">
        <v>132</v>
      </c>
      <c r="C27">
        <v>102</v>
      </c>
      <c r="D27">
        <v>1</v>
      </c>
      <c r="E27">
        <v>1</v>
      </c>
      <c r="F27">
        <v>1</v>
      </c>
      <c r="G27" t="s">
        <v>250</v>
      </c>
      <c r="H27">
        <v>24</v>
      </c>
      <c r="I27">
        <v>2</v>
      </c>
      <c r="J27">
        <v>22</v>
      </c>
      <c r="K27">
        <v>0</v>
      </c>
      <c r="L27" t="s">
        <v>251</v>
      </c>
    </row>
    <row r="28" spans="1:12">
      <c r="A28" t="s">
        <v>155</v>
      </c>
      <c r="B28" t="s">
        <v>125</v>
      </c>
      <c r="C28">
        <v>96</v>
      </c>
      <c r="D28">
        <v>1</v>
      </c>
      <c r="E28">
        <v>1</v>
      </c>
      <c r="F28">
        <v>1</v>
      </c>
      <c r="G28" t="s">
        <v>250</v>
      </c>
      <c r="H28">
        <v>24</v>
      </c>
      <c r="I28">
        <v>2</v>
      </c>
      <c r="J28">
        <v>22</v>
      </c>
      <c r="K28">
        <v>0</v>
      </c>
      <c r="L28" t="s">
        <v>251</v>
      </c>
    </row>
    <row r="29" spans="1:12">
      <c r="A29" t="s">
        <v>156</v>
      </c>
      <c r="B29" t="s">
        <v>157</v>
      </c>
      <c r="C29">
        <v>92</v>
      </c>
      <c r="D29">
        <v>1</v>
      </c>
      <c r="E29">
        <v>1</v>
      </c>
      <c r="F29">
        <v>1</v>
      </c>
      <c r="G29" t="s">
        <v>250</v>
      </c>
      <c r="H29">
        <v>24</v>
      </c>
      <c r="I29">
        <v>0</v>
      </c>
      <c r="J29">
        <v>24</v>
      </c>
      <c r="K29">
        <v>0</v>
      </c>
      <c r="L29" t="s">
        <v>251</v>
      </c>
    </row>
    <row r="30" spans="1:12">
      <c r="A30" t="s">
        <v>158</v>
      </c>
      <c r="B30" t="s">
        <v>135</v>
      </c>
      <c r="C30">
        <v>8</v>
      </c>
      <c r="D30">
        <v>1</v>
      </c>
      <c r="E30">
        <v>1</v>
      </c>
      <c r="F30">
        <v>1</v>
      </c>
      <c r="G30" t="s">
        <v>250</v>
      </c>
      <c r="H30">
        <v>24</v>
      </c>
      <c r="I30">
        <v>7</v>
      </c>
      <c r="J30">
        <v>4</v>
      </c>
      <c r="K30">
        <v>0</v>
      </c>
      <c r="L30" t="s">
        <v>251</v>
      </c>
    </row>
    <row r="31" spans="1:12">
      <c r="A31" t="s">
        <v>159</v>
      </c>
      <c r="B31" t="s">
        <v>125</v>
      </c>
      <c r="C31">
        <v>15</v>
      </c>
      <c r="D31">
        <v>1</v>
      </c>
      <c r="E31">
        <v>1</v>
      </c>
      <c r="F31">
        <v>1</v>
      </c>
      <c r="G31" t="s">
        <v>250</v>
      </c>
      <c r="H31">
        <v>24</v>
      </c>
      <c r="I31">
        <v>0</v>
      </c>
      <c r="J31">
        <v>24</v>
      </c>
      <c r="K31">
        <v>0</v>
      </c>
      <c r="L31" t="s">
        <v>251</v>
      </c>
    </row>
    <row r="32" spans="1:12">
      <c r="A32" t="s">
        <v>160</v>
      </c>
      <c r="B32" t="s">
        <v>135</v>
      </c>
      <c r="C32">
        <v>76</v>
      </c>
      <c r="D32">
        <v>1</v>
      </c>
      <c r="E32">
        <v>1</v>
      </c>
      <c r="F32">
        <v>1</v>
      </c>
      <c r="G32" t="s">
        <v>250</v>
      </c>
      <c r="H32">
        <v>24</v>
      </c>
      <c r="I32">
        <v>2</v>
      </c>
      <c r="J32">
        <v>22</v>
      </c>
      <c r="K32">
        <v>0</v>
      </c>
      <c r="L32" t="s">
        <v>251</v>
      </c>
    </row>
    <row r="33" spans="1:12">
      <c r="A33" t="s">
        <v>161</v>
      </c>
      <c r="B33" t="s">
        <v>162</v>
      </c>
      <c r="C33">
        <v>84</v>
      </c>
      <c r="D33">
        <v>1</v>
      </c>
      <c r="E33">
        <v>1</v>
      </c>
      <c r="F33">
        <v>1</v>
      </c>
      <c r="G33" t="s">
        <v>250</v>
      </c>
      <c r="H33">
        <v>24</v>
      </c>
      <c r="I33">
        <v>0</v>
      </c>
      <c r="J33">
        <v>0</v>
      </c>
      <c r="K33">
        <v>0</v>
      </c>
      <c r="L33" t="s">
        <v>251</v>
      </c>
    </row>
    <row r="34" spans="1:12">
      <c r="A34" t="s">
        <v>163</v>
      </c>
      <c r="B34" t="s">
        <v>164</v>
      </c>
      <c r="C34">
        <v>81</v>
      </c>
      <c r="D34">
        <v>1</v>
      </c>
      <c r="E34">
        <v>1</v>
      </c>
      <c r="F34">
        <v>1</v>
      </c>
      <c r="G34" t="s">
        <v>250</v>
      </c>
      <c r="H34">
        <v>24</v>
      </c>
      <c r="I34">
        <v>13</v>
      </c>
      <c r="J34">
        <v>11</v>
      </c>
      <c r="K34">
        <v>0</v>
      </c>
      <c r="L34" t="s">
        <v>251</v>
      </c>
    </row>
    <row r="35" spans="1:12">
      <c r="A35" t="s">
        <v>165</v>
      </c>
      <c r="B35" t="s">
        <v>164</v>
      </c>
      <c r="C35">
        <v>82</v>
      </c>
      <c r="D35">
        <v>1</v>
      </c>
      <c r="E35">
        <v>1</v>
      </c>
      <c r="F35">
        <v>1</v>
      </c>
      <c r="G35" t="s">
        <v>250</v>
      </c>
      <c r="H35">
        <v>24</v>
      </c>
      <c r="I35">
        <v>13</v>
      </c>
      <c r="J35">
        <v>11</v>
      </c>
      <c r="K35">
        <v>0</v>
      </c>
      <c r="L35" t="s">
        <v>251</v>
      </c>
    </row>
    <row r="36" spans="1:12">
      <c r="A36" t="s">
        <v>166</v>
      </c>
      <c r="B36" t="s">
        <v>164</v>
      </c>
      <c r="C36">
        <v>100</v>
      </c>
      <c r="D36">
        <v>1</v>
      </c>
      <c r="E36">
        <v>1</v>
      </c>
      <c r="F36">
        <v>1</v>
      </c>
      <c r="G36" t="s">
        <v>250</v>
      </c>
      <c r="H36">
        <v>24</v>
      </c>
      <c r="I36">
        <v>2</v>
      </c>
      <c r="J36">
        <v>22</v>
      </c>
      <c r="K36">
        <v>0</v>
      </c>
      <c r="L36" t="s">
        <v>251</v>
      </c>
    </row>
    <row r="37" spans="1:12">
      <c r="A37" t="s">
        <v>167</v>
      </c>
      <c r="B37" t="s">
        <v>164</v>
      </c>
      <c r="C37">
        <v>106</v>
      </c>
      <c r="D37">
        <v>1</v>
      </c>
      <c r="E37">
        <v>1</v>
      </c>
      <c r="F37">
        <v>1</v>
      </c>
      <c r="G37" t="s">
        <v>250</v>
      </c>
      <c r="H37">
        <v>24</v>
      </c>
      <c r="I37">
        <v>2</v>
      </c>
      <c r="J37">
        <v>22</v>
      </c>
      <c r="K37">
        <v>0</v>
      </c>
      <c r="L37" t="s">
        <v>251</v>
      </c>
    </row>
    <row r="38" spans="1:12">
      <c r="A38" t="s">
        <v>168</v>
      </c>
      <c r="B38" t="s">
        <v>129</v>
      </c>
      <c r="C38">
        <v>64</v>
      </c>
      <c r="D38">
        <v>1</v>
      </c>
      <c r="E38">
        <v>1</v>
      </c>
      <c r="F38">
        <v>1</v>
      </c>
      <c r="G38" t="s">
        <v>250</v>
      </c>
      <c r="H38">
        <v>24</v>
      </c>
      <c r="I38">
        <v>0</v>
      </c>
      <c r="J38">
        <v>0</v>
      </c>
      <c r="K38">
        <v>0</v>
      </c>
      <c r="L38" t="s">
        <v>251</v>
      </c>
    </row>
    <row r="39" spans="1:12">
      <c r="A39" t="s">
        <v>169</v>
      </c>
      <c r="B39" t="s">
        <v>170</v>
      </c>
      <c r="C39">
        <v>15</v>
      </c>
      <c r="D39">
        <v>1</v>
      </c>
      <c r="E39">
        <v>1</v>
      </c>
      <c r="F39">
        <v>1</v>
      </c>
      <c r="G39" t="s">
        <v>250</v>
      </c>
      <c r="H39">
        <v>24</v>
      </c>
      <c r="I39">
        <v>0</v>
      </c>
      <c r="J39">
        <v>0</v>
      </c>
      <c r="K39">
        <v>0</v>
      </c>
      <c r="L39" t="s">
        <v>251</v>
      </c>
    </row>
    <row r="40" spans="1:12">
      <c r="A40" t="s">
        <v>172</v>
      </c>
      <c r="B40" t="s">
        <v>170</v>
      </c>
      <c r="C40">
        <v>85</v>
      </c>
      <c r="D40">
        <v>1</v>
      </c>
      <c r="E40">
        <v>1</v>
      </c>
      <c r="F40">
        <v>1</v>
      </c>
      <c r="G40" t="s">
        <v>250</v>
      </c>
      <c r="H40">
        <v>24</v>
      </c>
      <c r="I40">
        <v>0</v>
      </c>
      <c r="J40">
        <v>0</v>
      </c>
      <c r="K40">
        <v>0</v>
      </c>
      <c r="L40" t="s">
        <v>251</v>
      </c>
    </row>
    <row r="41" spans="1:12">
      <c r="A41" t="s">
        <v>173</v>
      </c>
      <c r="B41" t="s">
        <v>174</v>
      </c>
      <c r="C41">
        <v>260</v>
      </c>
      <c r="D41">
        <v>1</v>
      </c>
      <c r="E41">
        <v>1</v>
      </c>
      <c r="F41">
        <v>1</v>
      </c>
      <c r="G41" t="s">
        <v>250</v>
      </c>
      <c r="H41">
        <v>24</v>
      </c>
      <c r="I41">
        <v>0</v>
      </c>
      <c r="J41">
        <v>0</v>
      </c>
      <c r="K41">
        <v>0</v>
      </c>
      <c r="L41" t="s">
        <v>251</v>
      </c>
    </row>
    <row r="42" spans="1:12">
      <c r="A42" t="s">
        <v>175</v>
      </c>
      <c r="B42" t="s">
        <v>170</v>
      </c>
      <c r="C42">
        <v>195</v>
      </c>
      <c r="D42">
        <v>1</v>
      </c>
      <c r="E42">
        <v>1</v>
      </c>
      <c r="F42">
        <v>1</v>
      </c>
      <c r="G42" t="s">
        <v>250</v>
      </c>
      <c r="H42">
        <v>24</v>
      </c>
      <c r="I42">
        <v>0</v>
      </c>
      <c r="J42">
        <v>0</v>
      </c>
      <c r="K42">
        <v>0</v>
      </c>
      <c r="L42" t="s">
        <v>251</v>
      </c>
    </row>
    <row r="43" spans="1:12">
      <c r="A43" t="s">
        <v>176</v>
      </c>
      <c r="B43" t="s">
        <v>170</v>
      </c>
      <c r="C43">
        <v>15</v>
      </c>
      <c r="D43">
        <v>1</v>
      </c>
      <c r="E43">
        <v>1</v>
      </c>
      <c r="F43">
        <v>1</v>
      </c>
      <c r="G43" t="s">
        <v>250</v>
      </c>
      <c r="H43">
        <v>24</v>
      </c>
      <c r="I43">
        <v>0</v>
      </c>
      <c r="J43">
        <v>0</v>
      </c>
      <c r="K43">
        <v>0</v>
      </c>
      <c r="L43" t="s">
        <v>251</v>
      </c>
    </row>
    <row r="44" spans="1:12">
      <c r="A44" t="s">
        <v>177</v>
      </c>
      <c r="B44" t="s">
        <v>170</v>
      </c>
      <c r="C44">
        <v>135</v>
      </c>
      <c r="D44">
        <v>1</v>
      </c>
      <c r="E44">
        <v>1</v>
      </c>
      <c r="F44">
        <v>1</v>
      </c>
      <c r="G44" t="s">
        <v>250</v>
      </c>
      <c r="H44">
        <v>24</v>
      </c>
      <c r="I44">
        <v>0</v>
      </c>
      <c r="J44">
        <v>0</v>
      </c>
      <c r="K44">
        <v>0</v>
      </c>
      <c r="L44" t="s">
        <v>251</v>
      </c>
    </row>
    <row r="45" spans="1:12">
      <c r="A45" t="s">
        <v>178</v>
      </c>
      <c r="C45">
        <v>45</v>
      </c>
      <c r="D45">
        <v>1</v>
      </c>
      <c r="E45">
        <v>1</v>
      </c>
      <c r="F45">
        <v>1</v>
      </c>
      <c r="G45" t="s">
        <v>250</v>
      </c>
      <c r="H45">
        <v>24</v>
      </c>
      <c r="I45">
        <v>0</v>
      </c>
      <c r="J45">
        <v>0</v>
      </c>
      <c r="K45">
        <v>0</v>
      </c>
      <c r="L45" t="s">
        <v>251</v>
      </c>
    </row>
    <row r="46" spans="1:12">
      <c r="A46" t="s">
        <v>179</v>
      </c>
      <c r="B46" t="s">
        <v>180</v>
      </c>
      <c r="C46">
        <v>167</v>
      </c>
      <c r="D46">
        <v>1</v>
      </c>
      <c r="E46">
        <v>1</v>
      </c>
      <c r="F46">
        <v>1</v>
      </c>
      <c r="G46" t="s">
        <v>250</v>
      </c>
      <c r="H46">
        <v>24</v>
      </c>
      <c r="I46">
        <v>0</v>
      </c>
      <c r="J46">
        <v>0</v>
      </c>
      <c r="K46">
        <v>0</v>
      </c>
      <c r="L46" t="s">
        <v>251</v>
      </c>
    </row>
    <row r="47" spans="1:12">
      <c r="A47" t="s">
        <v>181</v>
      </c>
      <c r="B47" t="s">
        <v>119</v>
      </c>
      <c r="C47">
        <v>118</v>
      </c>
      <c r="D47">
        <v>1</v>
      </c>
      <c r="E47">
        <v>1</v>
      </c>
      <c r="F47">
        <v>1</v>
      </c>
      <c r="G47" t="s">
        <v>250</v>
      </c>
      <c r="H47">
        <v>24</v>
      </c>
      <c r="I47">
        <v>0</v>
      </c>
      <c r="J47">
        <v>0</v>
      </c>
      <c r="K47">
        <v>0</v>
      </c>
      <c r="L47" t="s">
        <v>251</v>
      </c>
    </row>
    <row r="48" spans="1:12">
      <c r="A48" t="s">
        <v>182</v>
      </c>
      <c r="B48" t="s">
        <v>125</v>
      </c>
      <c r="C48">
        <v>10</v>
      </c>
      <c r="D48">
        <v>1</v>
      </c>
      <c r="E48">
        <v>1</v>
      </c>
      <c r="F48">
        <v>1</v>
      </c>
      <c r="G48" t="s">
        <v>250</v>
      </c>
      <c r="H48">
        <v>24</v>
      </c>
      <c r="I48">
        <v>0</v>
      </c>
      <c r="J48">
        <v>0</v>
      </c>
      <c r="K48">
        <v>0</v>
      </c>
      <c r="L48" t="s">
        <v>251</v>
      </c>
    </row>
    <row r="49" spans="1:12">
      <c r="A49" t="s">
        <v>183</v>
      </c>
      <c r="B49" t="s">
        <v>180</v>
      </c>
      <c r="C49">
        <v>188</v>
      </c>
      <c r="D49">
        <v>1</v>
      </c>
      <c r="E49">
        <v>1</v>
      </c>
      <c r="F49">
        <v>1</v>
      </c>
      <c r="G49" t="s">
        <v>250</v>
      </c>
      <c r="H49">
        <v>24</v>
      </c>
      <c r="I49">
        <v>0</v>
      </c>
      <c r="J49">
        <v>0</v>
      </c>
      <c r="K49">
        <v>0</v>
      </c>
      <c r="L49" t="s">
        <v>251</v>
      </c>
    </row>
    <row r="50" spans="1:12">
      <c r="A50" t="s">
        <v>184</v>
      </c>
      <c r="B50" t="s">
        <v>125</v>
      </c>
      <c r="C50">
        <v>91</v>
      </c>
      <c r="D50">
        <v>1</v>
      </c>
      <c r="E50">
        <v>1</v>
      </c>
      <c r="F50">
        <v>1</v>
      </c>
      <c r="G50" t="s">
        <v>250</v>
      </c>
      <c r="H50">
        <v>24</v>
      </c>
      <c r="I50">
        <v>0</v>
      </c>
      <c r="J50">
        <v>0</v>
      </c>
      <c r="K50">
        <v>0</v>
      </c>
      <c r="L50" t="s">
        <v>251</v>
      </c>
    </row>
    <row r="51" spans="1:12">
      <c r="A51" t="s">
        <v>185</v>
      </c>
      <c r="B51" t="s">
        <v>129</v>
      </c>
      <c r="C51">
        <v>80</v>
      </c>
      <c r="D51">
        <v>1</v>
      </c>
      <c r="E51">
        <v>1</v>
      </c>
      <c r="F51">
        <v>1</v>
      </c>
      <c r="G51" t="s">
        <v>250</v>
      </c>
      <c r="H51">
        <v>24</v>
      </c>
      <c r="I51">
        <v>0</v>
      </c>
      <c r="J51">
        <v>0</v>
      </c>
      <c r="K51">
        <v>0</v>
      </c>
      <c r="L51" t="s">
        <v>251</v>
      </c>
    </row>
    <row r="52" spans="1:12">
      <c r="A52" t="s">
        <v>186</v>
      </c>
      <c r="B52" t="s">
        <v>119</v>
      </c>
      <c r="C52">
        <v>110</v>
      </c>
      <c r="D52">
        <v>1</v>
      </c>
      <c r="E52">
        <v>1</v>
      </c>
      <c r="F52">
        <v>1</v>
      </c>
      <c r="G52" t="s">
        <v>250</v>
      </c>
      <c r="H52">
        <v>24</v>
      </c>
      <c r="I52">
        <v>0</v>
      </c>
      <c r="J52">
        <v>0</v>
      </c>
      <c r="K52">
        <v>0</v>
      </c>
      <c r="L52" t="s">
        <v>251</v>
      </c>
    </row>
    <row r="53" spans="1:12">
      <c r="A53" t="s">
        <v>187</v>
      </c>
      <c r="B53" t="s">
        <v>188</v>
      </c>
      <c r="C53">
        <v>140</v>
      </c>
      <c r="D53">
        <v>1</v>
      </c>
      <c r="E53">
        <v>1</v>
      </c>
      <c r="F53">
        <v>1</v>
      </c>
      <c r="G53" t="s">
        <v>250</v>
      </c>
      <c r="H53">
        <v>24</v>
      </c>
      <c r="I53">
        <v>0</v>
      </c>
      <c r="J53">
        <v>0</v>
      </c>
      <c r="K53">
        <v>0</v>
      </c>
      <c r="L53" t="s">
        <v>251</v>
      </c>
    </row>
    <row r="54" spans="1:12">
      <c r="A54" t="s">
        <v>189</v>
      </c>
      <c r="B54" t="s">
        <v>125</v>
      </c>
      <c r="C54">
        <v>10</v>
      </c>
      <c r="D54">
        <v>1</v>
      </c>
      <c r="E54">
        <v>1</v>
      </c>
      <c r="F54">
        <v>1</v>
      </c>
      <c r="G54" t="s">
        <v>250</v>
      </c>
      <c r="H54">
        <v>24</v>
      </c>
      <c r="I54">
        <v>0</v>
      </c>
      <c r="J54">
        <v>0</v>
      </c>
      <c r="K54">
        <v>0</v>
      </c>
      <c r="L54" t="s">
        <v>251</v>
      </c>
    </row>
    <row r="60" spans="1:12" ht="16.8">
      <c r="A60" s="20" t="s">
        <v>252</v>
      </c>
      <c r="B60" s="20"/>
      <c r="C60" s="20"/>
      <c r="D60" s="20"/>
      <c r="E60" s="20"/>
      <c r="F60" s="20"/>
      <c r="G60" s="20"/>
      <c r="H60" s="20"/>
      <c r="I60" s="20"/>
      <c r="J60" s="20"/>
    </row>
    <row r="62" spans="1:12" ht="30.45" customHeight="1">
      <c r="A62" s="1" t="s">
        <v>253</v>
      </c>
      <c r="B62" s="1" t="s">
        <v>254</v>
      </c>
      <c r="C62" s="1" t="s">
        <v>44</v>
      </c>
      <c r="D62" s="1" t="s">
        <v>255</v>
      </c>
      <c r="E62" s="1" t="s">
        <v>256</v>
      </c>
      <c r="F62" s="1" t="s">
        <v>257</v>
      </c>
      <c r="G62" s="1" t="s">
        <v>258</v>
      </c>
      <c r="H62" s="1" t="s">
        <v>55</v>
      </c>
      <c r="I62" s="1" t="s">
        <v>52</v>
      </c>
      <c r="J62" s="1" t="s">
        <v>231</v>
      </c>
    </row>
    <row r="63" spans="1:12">
      <c r="F63" t="str">
        <f t="shared" ref="F63:F94" si="0">IF(OR(D63="",E63=""),"",MAX(E63-D63,0))</f>
        <v/>
      </c>
      <c r="G63" s="5"/>
    </row>
    <row r="64" spans="1:12">
      <c r="F64" t="str">
        <f t="shared" si="0"/>
        <v/>
      </c>
      <c r="G64" s="5"/>
    </row>
    <row r="65" spans="6:7">
      <c r="F65" t="str">
        <f t="shared" si="0"/>
        <v/>
      </c>
      <c r="G65" s="5"/>
    </row>
    <row r="66" spans="6:7">
      <c r="F66" t="str">
        <f t="shared" si="0"/>
        <v/>
      </c>
      <c r="G66" s="5"/>
    </row>
    <row r="67" spans="6:7">
      <c r="F67" t="str">
        <f t="shared" si="0"/>
        <v/>
      </c>
      <c r="G67" s="5"/>
    </row>
    <row r="68" spans="6:7">
      <c r="F68" t="str">
        <f t="shared" si="0"/>
        <v/>
      </c>
      <c r="G68" s="5"/>
    </row>
    <row r="69" spans="6:7">
      <c r="F69" t="str">
        <f t="shared" si="0"/>
        <v/>
      </c>
      <c r="G69" s="5"/>
    </row>
    <row r="70" spans="6:7">
      <c r="F70" t="str">
        <f t="shared" si="0"/>
        <v/>
      </c>
      <c r="G70" s="5"/>
    </row>
    <row r="71" spans="6:7">
      <c r="F71" t="str">
        <f t="shared" si="0"/>
        <v/>
      </c>
      <c r="G71" s="5"/>
    </row>
    <row r="72" spans="6:7">
      <c r="F72" t="str">
        <f t="shared" si="0"/>
        <v/>
      </c>
      <c r="G72" s="5"/>
    </row>
    <row r="73" spans="6:7">
      <c r="F73" t="str">
        <f t="shared" si="0"/>
        <v/>
      </c>
      <c r="G73" s="5"/>
    </row>
    <row r="74" spans="6:7">
      <c r="F74" t="str">
        <f t="shared" si="0"/>
        <v/>
      </c>
      <c r="G74" s="5"/>
    </row>
    <row r="75" spans="6:7">
      <c r="F75" t="str">
        <f t="shared" si="0"/>
        <v/>
      </c>
      <c r="G75" s="5"/>
    </row>
    <row r="76" spans="6:7">
      <c r="F76" t="str">
        <f t="shared" si="0"/>
        <v/>
      </c>
      <c r="G76" s="5"/>
    </row>
    <row r="77" spans="6:7">
      <c r="F77" t="str">
        <f t="shared" si="0"/>
        <v/>
      </c>
      <c r="G77" s="5"/>
    </row>
    <row r="78" spans="6:7">
      <c r="F78" t="str">
        <f t="shared" si="0"/>
        <v/>
      </c>
      <c r="G78" s="5"/>
    </row>
    <row r="79" spans="6:7">
      <c r="F79" t="str">
        <f t="shared" si="0"/>
        <v/>
      </c>
      <c r="G79" s="5"/>
    </row>
    <row r="80" spans="6:7">
      <c r="F80" t="str">
        <f t="shared" si="0"/>
        <v/>
      </c>
      <c r="G80" s="5"/>
    </row>
    <row r="81" spans="6:7">
      <c r="F81" t="str">
        <f t="shared" si="0"/>
        <v/>
      </c>
      <c r="G81" s="5"/>
    </row>
    <row r="82" spans="6:7">
      <c r="F82" t="str">
        <f t="shared" si="0"/>
        <v/>
      </c>
      <c r="G82" s="5"/>
    </row>
    <row r="83" spans="6:7">
      <c r="F83" t="str">
        <f t="shared" si="0"/>
        <v/>
      </c>
      <c r="G83" s="5"/>
    </row>
    <row r="84" spans="6:7">
      <c r="F84" t="str">
        <f t="shared" si="0"/>
        <v/>
      </c>
      <c r="G84" s="5"/>
    </row>
    <row r="85" spans="6:7">
      <c r="F85" t="str">
        <f t="shared" si="0"/>
        <v/>
      </c>
      <c r="G85" s="5"/>
    </row>
    <row r="86" spans="6:7">
      <c r="F86" t="str">
        <f t="shared" si="0"/>
        <v/>
      </c>
      <c r="G86" s="5"/>
    </row>
    <row r="87" spans="6:7">
      <c r="F87" t="str">
        <f t="shared" si="0"/>
        <v/>
      </c>
      <c r="G87" s="5"/>
    </row>
    <row r="88" spans="6:7">
      <c r="F88" t="str">
        <f t="shared" si="0"/>
        <v/>
      </c>
      <c r="G88" s="5"/>
    </row>
    <row r="89" spans="6:7">
      <c r="F89" t="str">
        <f t="shared" si="0"/>
        <v/>
      </c>
      <c r="G89" s="5"/>
    </row>
    <row r="90" spans="6:7">
      <c r="F90" t="str">
        <f t="shared" si="0"/>
        <v/>
      </c>
      <c r="G90" s="5"/>
    </row>
    <row r="91" spans="6:7">
      <c r="F91" t="str">
        <f t="shared" si="0"/>
        <v/>
      </c>
      <c r="G91" s="5"/>
    </row>
    <row r="92" spans="6:7">
      <c r="F92" t="str">
        <f t="shared" si="0"/>
        <v/>
      </c>
      <c r="G92" s="5"/>
    </row>
    <row r="93" spans="6:7">
      <c r="F93" t="str">
        <f t="shared" si="0"/>
        <v/>
      </c>
      <c r="G93" s="5"/>
    </row>
    <row r="94" spans="6:7">
      <c r="F94" t="str">
        <f t="shared" si="0"/>
        <v/>
      </c>
      <c r="G94" s="5"/>
    </row>
    <row r="95" spans="6:7">
      <c r="F95" t="str">
        <f t="shared" ref="F95:F122" si="1">IF(OR(D95="",E95=""),"",MAX(E95-D95,0))</f>
        <v/>
      </c>
      <c r="G95" s="5"/>
    </row>
    <row r="96" spans="6:7">
      <c r="F96" t="str">
        <f t="shared" si="1"/>
        <v/>
      </c>
      <c r="G96" s="5"/>
    </row>
    <row r="97" spans="6:7">
      <c r="F97" t="str">
        <f t="shared" si="1"/>
        <v/>
      </c>
      <c r="G97" s="5"/>
    </row>
    <row r="98" spans="6:7">
      <c r="F98" t="str">
        <f t="shared" si="1"/>
        <v/>
      </c>
      <c r="G98" s="5"/>
    </row>
    <row r="99" spans="6:7">
      <c r="F99" t="str">
        <f t="shared" si="1"/>
        <v/>
      </c>
      <c r="G99" s="5"/>
    </row>
    <row r="100" spans="6:7">
      <c r="F100" t="str">
        <f t="shared" si="1"/>
        <v/>
      </c>
      <c r="G100" s="5"/>
    </row>
    <row r="101" spans="6:7">
      <c r="F101" t="str">
        <f t="shared" si="1"/>
        <v/>
      </c>
      <c r="G101" s="5"/>
    </row>
    <row r="102" spans="6:7">
      <c r="F102" t="str">
        <f t="shared" si="1"/>
        <v/>
      </c>
      <c r="G102" s="5"/>
    </row>
    <row r="103" spans="6:7">
      <c r="F103" t="str">
        <f t="shared" si="1"/>
        <v/>
      </c>
      <c r="G103" s="5"/>
    </row>
    <row r="104" spans="6:7">
      <c r="F104" t="str">
        <f t="shared" si="1"/>
        <v/>
      </c>
      <c r="G104" s="5"/>
    </row>
    <row r="105" spans="6:7">
      <c r="F105" t="str">
        <f t="shared" si="1"/>
        <v/>
      </c>
      <c r="G105" s="5"/>
    </row>
    <row r="106" spans="6:7">
      <c r="F106" t="str">
        <f t="shared" si="1"/>
        <v/>
      </c>
      <c r="G106" s="5"/>
    </row>
    <row r="107" spans="6:7">
      <c r="F107" t="str">
        <f t="shared" si="1"/>
        <v/>
      </c>
      <c r="G107" s="5"/>
    </row>
    <row r="108" spans="6:7">
      <c r="F108" t="str">
        <f t="shared" si="1"/>
        <v/>
      </c>
      <c r="G108" s="5"/>
    </row>
    <row r="109" spans="6:7">
      <c r="F109" t="str">
        <f t="shared" si="1"/>
        <v/>
      </c>
      <c r="G109" s="5"/>
    </row>
    <row r="110" spans="6:7">
      <c r="F110" t="str">
        <f t="shared" si="1"/>
        <v/>
      </c>
      <c r="G110" s="5"/>
    </row>
    <row r="111" spans="6:7">
      <c r="F111" t="str">
        <f t="shared" si="1"/>
        <v/>
      </c>
      <c r="G111" s="5"/>
    </row>
    <row r="112" spans="6:7">
      <c r="F112" t="str">
        <f t="shared" si="1"/>
        <v/>
      </c>
      <c r="G112" s="5"/>
    </row>
    <row r="113" spans="6:7">
      <c r="F113" t="str">
        <f t="shared" si="1"/>
        <v/>
      </c>
      <c r="G113" s="5"/>
    </row>
    <row r="114" spans="6:7">
      <c r="F114" t="str">
        <f t="shared" si="1"/>
        <v/>
      </c>
      <c r="G114" s="5"/>
    </row>
    <row r="115" spans="6:7">
      <c r="F115" t="str">
        <f t="shared" si="1"/>
        <v/>
      </c>
      <c r="G115" s="5"/>
    </row>
    <row r="116" spans="6:7">
      <c r="F116" t="str">
        <f t="shared" si="1"/>
        <v/>
      </c>
      <c r="G116" s="5"/>
    </row>
    <row r="117" spans="6:7">
      <c r="F117" t="str">
        <f t="shared" si="1"/>
        <v/>
      </c>
      <c r="G117" s="5"/>
    </row>
    <row r="118" spans="6:7">
      <c r="F118" t="str">
        <f t="shared" si="1"/>
        <v/>
      </c>
      <c r="G118" s="5"/>
    </row>
    <row r="119" spans="6:7">
      <c r="F119" t="str">
        <f t="shared" si="1"/>
        <v/>
      </c>
      <c r="G119" s="5"/>
    </row>
    <row r="120" spans="6:7">
      <c r="F120" t="str">
        <f t="shared" si="1"/>
        <v/>
      </c>
      <c r="G120" s="5"/>
    </row>
    <row r="121" spans="6:7">
      <c r="F121" t="str">
        <f t="shared" si="1"/>
        <v/>
      </c>
      <c r="G121" s="5"/>
    </row>
    <row r="122" spans="6:7">
      <c r="F122" t="str">
        <f t="shared" si="1"/>
        <v/>
      </c>
      <c r="G122" s="5"/>
    </row>
    <row r="130" spans="1:15" ht="16.8">
      <c r="A130" s="20" t="s">
        <v>259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2" spans="1:15" ht="30.45" customHeight="1">
      <c r="A132" s="1" t="s">
        <v>260</v>
      </c>
      <c r="B132" s="1" t="s">
        <v>214</v>
      </c>
      <c r="C132" s="1" t="s">
        <v>261</v>
      </c>
      <c r="D132" s="1" t="s">
        <v>262</v>
      </c>
      <c r="E132" s="1" t="s">
        <v>263</v>
      </c>
      <c r="F132" s="1" t="s">
        <v>253</v>
      </c>
      <c r="G132" s="1" t="s">
        <v>264</v>
      </c>
      <c r="H132" s="1" t="s">
        <v>265</v>
      </c>
      <c r="I132" s="1" t="s">
        <v>266</v>
      </c>
      <c r="J132" s="1" t="s">
        <v>55</v>
      </c>
      <c r="K132" s="1" t="s">
        <v>267</v>
      </c>
      <c r="L132" s="1" t="s">
        <v>268</v>
      </c>
      <c r="M132" s="1" t="s">
        <v>52</v>
      </c>
      <c r="N132" s="1" t="s">
        <v>269</v>
      </c>
      <c r="O132" s="1" t="s">
        <v>270</v>
      </c>
    </row>
    <row r="133" spans="1:15">
      <c r="A133" t="str">
        <f>IF(B133="","","DES-"&amp;1)</f>
        <v/>
      </c>
      <c r="B133" s="5"/>
      <c r="L133" s="5"/>
      <c r="N133" s="5"/>
    </row>
    <row r="134" spans="1:15">
      <c r="A134" t="str">
        <f>IF(B134="","","DES-"&amp;2)</f>
        <v/>
      </c>
      <c r="B134" s="5"/>
      <c r="L134" s="5"/>
      <c r="N134" s="5"/>
    </row>
    <row r="135" spans="1:15">
      <c r="A135" t="str">
        <f>IF(B135="","","DES-"&amp;3)</f>
        <v/>
      </c>
      <c r="B135" s="5"/>
      <c r="L135" s="5"/>
      <c r="N135" s="5"/>
    </row>
    <row r="136" spans="1:15">
      <c r="A136" t="str">
        <f>IF(B136="","","DES-"&amp;4)</f>
        <v/>
      </c>
      <c r="B136" s="5"/>
      <c r="L136" s="5"/>
      <c r="N136" s="5"/>
    </row>
    <row r="137" spans="1:15">
      <c r="A137" t="str">
        <f>IF(B137="","","DES-"&amp;5)</f>
        <v/>
      </c>
      <c r="B137" s="5"/>
      <c r="L137" s="5"/>
      <c r="N137" s="5"/>
    </row>
    <row r="138" spans="1:15">
      <c r="A138" t="str">
        <f>IF(B138="","","DES-"&amp;6)</f>
        <v/>
      </c>
      <c r="B138" s="5"/>
      <c r="L138" s="5"/>
      <c r="N138" s="5"/>
    </row>
    <row r="139" spans="1:15">
      <c r="A139" t="str">
        <f>IF(B139="","","DES-"&amp;7)</f>
        <v/>
      </c>
      <c r="B139" s="5"/>
      <c r="L139" s="5"/>
      <c r="N139" s="5"/>
    </row>
    <row r="140" spans="1:15">
      <c r="A140" t="str">
        <f>IF(B140="","","DES-"&amp;8)</f>
        <v/>
      </c>
      <c r="B140" s="5"/>
      <c r="L140" s="5"/>
      <c r="N140" s="5"/>
    </row>
    <row r="141" spans="1:15">
      <c r="A141" t="str">
        <f>IF(B141="","","DES-"&amp;9)</f>
        <v/>
      </c>
      <c r="B141" s="5"/>
      <c r="L141" s="5"/>
      <c r="N141" s="5"/>
    </row>
    <row r="142" spans="1:15">
      <c r="A142" t="str">
        <f>IF(B142="","","DES-"&amp;10)</f>
        <v/>
      </c>
      <c r="B142" s="5"/>
      <c r="L142" s="5"/>
      <c r="N142" s="5"/>
    </row>
    <row r="143" spans="1:15">
      <c r="A143" t="str">
        <f>IF(B143="","","DES-"&amp;11)</f>
        <v/>
      </c>
      <c r="B143" s="5"/>
      <c r="L143" s="5"/>
      <c r="N143" s="5"/>
    </row>
    <row r="144" spans="1:15">
      <c r="A144" t="str">
        <f>IF(B144="","","DES-"&amp;12)</f>
        <v/>
      </c>
      <c r="B144" s="5"/>
      <c r="L144" s="5"/>
      <c r="N144" s="5"/>
    </row>
    <row r="145" spans="1:14">
      <c r="A145" t="str">
        <f>IF(B145="","","DES-"&amp;13)</f>
        <v/>
      </c>
      <c r="B145" s="5"/>
      <c r="L145" s="5"/>
      <c r="N145" s="5"/>
    </row>
    <row r="146" spans="1:14">
      <c r="A146" t="str">
        <f>IF(B146="","","DES-"&amp;14)</f>
        <v/>
      </c>
      <c r="B146" s="5"/>
      <c r="L146" s="5"/>
      <c r="N146" s="5"/>
    </row>
    <row r="147" spans="1:14">
      <c r="A147" t="str">
        <f>IF(B147="","","DES-"&amp;15)</f>
        <v/>
      </c>
      <c r="B147" s="5"/>
      <c r="L147" s="5"/>
      <c r="N147" s="5"/>
    </row>
    <row r="148" spans="1:14">
      <c r="A148" t="str">
        <f>IF(B148="","","DES-"&amp;16)</f>
        <v/>
      </c>
      <c r="B148" s="5"/>
      <c r="L148" s="5"/>
      <c r="N148" s="5"/>
    </row>
    <row r="149" spans="1:14">
      <c r="A149" t="str">
        <f>IF(B149="","","DES-"&amp;17)</f>
        <v/>
      </c>
      <c r="B149" s="5"/>
      <c r="L149" s="5"/>
      <c r="N149" s="5"/>
    </row>
    <row r="150" spans="1:14">
      <c r="A150" t="str">
        <f>IF(B150="","","DES-"&amp;18)</f>
        <v/>
      </c>
      <c r="B150" s="5"/>
      <c r="L150" s="5"/>
      <c r="N150" s="5"/>
    </row>
    <row r="151" spans="1:14">
      <c r="A151" t="str">
        <f>IF(B151="","","DES-"&amp;19)</f>
        <v/>
      </c>
      <c r="B151" s="5"/>
      <c r="L151" s="5"/>
      <c r="N151" s="5"/>
    </row>
    <row r="152" spans="1:14">
      <c r="A152" t="str">
        <f>IF(B152="","","DES-"&amp;20)</f>
        <v/>
      </c>
      <c r="B152" s="5"/>
      <c r="L152" s="5"/>
      <c r="N152" s="5"/>
    </row>
    <row r="153" spans="1:14">
      <c r="A153" t="str">
        <f>IF(B153="","","DES-"&amp;21)</f>
        <v/>
      </c>
      <c r="B153" s="5"/>
      <c r="L153" s="5"/>
      <c r="N153" s="5"/>
    </row>
    <row r="154" spans="1:14">
      <c r="A154" t="str">
        <f>IF(B154="","","DES-"&amp;22)</f>
        <v/>
      </c>
      <c r="B154" s="5"/>
      <c r="L154" s="5"/>
      <c r="N154" s="5"/>
    </row>
    <row r="155" spans="1:14">
      <c r="A155" t="str">
        <f>IF(B155="","","DES-"&amp;23)</f>
        <v/>
      </c>
      <c r="B155" s="5"/>
      <c r="L155" s="5"/>
      <c r="N155" s="5"/>
    </row>
    <row r="156" spans="1:14">
      <c r="A156" t="str">
        <f>IF(B156="","","DES-"&amp;24)</f>
        <v/>
      </c>
      <c r="B156" s="5"/>
      <c r="L156" s="5"/>
      <c r="N156" s="5"/>
    </row>
    <row r="157" spans="1:14">
      <c r="A157" t="str">
        <f>IF(B157="","","DES-"&amp;25)</f>
        <v/>
      </c>
      <c r="B157" s="5"/>
      <c r="L157" s="5"/>
      <c r="N157" s="5"/>
    </row>
    <row r="158" spans="1:14">
      <c r="A158" t="str">
        <f>IF(B158="","","DES-"&amp;26)</f>
        <v/>
      </c>
      <c r="B158" s="5"/>
      <c r="L158" s="5"/>
      <c r="N158" s="5"/>
    </row>
    <row r="159" spans="1:14">
      <c r="A159" t="str">
        <f>IF(B159="","","DES-"&amp;27)</f>
        <v/>
      </c>
      <c r="B159" s="5"/>
      <c r="L159" s="5"/>
      <c r="N159" s="5"/>
    </row>
    <row r="160" spans="1:14">
      <c r="A160" t="str">
        <f>IF(B160="","","DES-"&amp;28)</f>
        <v/>
      </c>
      <c r="B160" s="5"/>
      <c r="L160" s="5"/>
      <c r="N160" s="5"/>
    </row>
    <row r="161" spans="1:14">
      <c r="A161" t="str">
        <f>IF(B161="","","DES-"&amp;29)</f>
        <v/>
      </c>
      <c r="B161" s="5"/>
      <c r="L161" s="5"/>
      <c r="N161" s="5"/>
    </row>
    <row r="162" spans="1:14">
      <c r="A162" t="str">
        <f>IF(B162="","","DES-"&amp;30)</f>
        <v/>
      </c>
      <c r="B162" s="5"/>
      <c r="L162" s="5"/>
      <c r="N162" s="5"/>
    </row>
    <row r="163" spans="1:14">
      <c r="A163" t="str">
        <f>IF(B163="","","DES-"&amp;31)</f>
        <v/>
      </c>
      <c r="B163" s="5"/>
      <c r="L163" s="5"/>
      <c r="N163" s="5"/>
    </row>
    <row r="164" spans="1:14">
      <c r="A164" t="str">
        <f>IF(B164="","","DES-"&amp;32)</f>
        <v/>
      </c>
      <c r="B164" s="5"/>
      <c r="L164" s="5"/>
      <c r="N164" s="5"/>
    </row>
    <row r="165" spans="1:14">
      <c r="A165" t="str">
        <f>IF(B165="","","DES-"&amp;33)</f>
        <v/>
      </c>
      <c r="B165" s="5"/>
      <c r="L165" s="5"/>
      <c r="N165" s="5"/>
    </row>
    <row r="166" spans="1:14">
      <c r="A166" t="str">
        <f>IF(B166="","","DES-"&amp;34)</f>
        <v/>
      </c>
      <c r="B166" s="5"/>
      <c r="L166" s="5"/>
      <c r="N166" s="5"/>
    </row>
    <row r="167" spans="1:14">
      <c r="A167" t="str">
        <f>IF(B167="","","DES-"&amp;35)</f>
        <v/>
      </c>
      <c r="B167" s="5"/>
      <c r="L167" s="5"/>
      <c r="N167" s="5"/>
    </row>
    <row r="168" spans="1:14">
      <c r="A168" t="str">
        <f>IF(B168="","","DES-"&amp;36)</f>
        <v/>
      </c>
      <c r="B168" s="5"/>
      <c r="L168" s="5"/>
      <c r="N168" s="5"/>
    </row>
    <row r="169" spans="1:14">
      <c r="A169" t="str">
        <f>IF(B169="","","DES-"&amp;37)</f>
        <v/>
      </c>
      <c r="B169" s="5"/>
      <c r="L169" s="5"/>
      <c r="N169" s="5"/>
    </row>
    <row r="170" spans="1:14">
      <c r="A170" t="str">
        <f>IF(B170="","","DES-"&amp;38)</f>
        <v/>
      </c>
      <c r="B170" s="5"/>
      <c r="L170" s="5"/>
      <c r="N170" s="5"/>
    </row>
    <row r="171" spans="1:14">
      <c r="A171" t="str">
        <f>IF(B171="","","DES-"&amp;39)</f>
        <v/>
      </c>
      <c r="B171" s="5"/>
      <c r="L171" s="5"/>
      <c r="N171" s="5"/>
    </row>
    <row r="172" spans="1:14">
      <c r="A172" t="str">
        <f>IF(B172="","","DES-"&amp;40)</f>
        <v/>
      </c>
      <c r="B172" s="5"/>
      <c r="L172" s="5"/>
      <c r="N172" s="5"/>
    </row>
    <row r="173" spans="1:14">
      <c r="A173" t="str">
        <f>IF(B173="","","DES-"&amp;41)</f>
        <v/>
      </c>
      <c r="B173" s="5"/>
      <c r="L173" s="5"/>
      <c r="N173" s="5"/>
    </row>
    <row r="174" spans="1:14">
      <c r="A174" t="str">
        <f>IF(B174="","","DES-"&amp;42)</f>
        <v/>
      </c>
      <c r="B174" s="5"/>
      <c r="L174" s="5"/>
      <c r="N174" s="5"/>
    </row>
    <row r="175" spans="1:14">
      <c r="A175" t="str">
        <f>IF(B175="","","DES-"&amp;43)</f>
        <v/>
      </c>
      <c r="B175" s="5"/>
      <c r="L175" s="5"/>
      <c r="N175" s="5"/>
    </row>
    <row r="176" spans="1:14">
      <c r="A176" t="str">
        <f>IF(B176="","","DES-"&amp;44)</f>
        <v/>
      </c>
      <c r="B176" s="5"/>
      <c r="L176" s="5"/>
      <c r="N176" s="5"/>
    </row>
    <row r="177" spans="1:14">
      <c r="A177" t="str">
        <f>IF(B177="","","DES-"&amp;45)</f>
        <v/>
      </c>
      <c r="B177" s="5"/>
      <c r="L177" s="5"/>
      <c r="N177" s="5"/>
    </row>
    <row r="178" spans="1:14">
      <c r="A178" t="str">
        <f>IF(B178="","","DES-"&amp;46)</f>
        <v/>
      </c>
      <c r="B178" s="5"/>
      <c r="L178" s="5"/>
      <c r="N178" s="5"/>
    </row>
    <row r="179" spans="1:14">
      <c r="A179" t="str">
        <f>IF(B179="","","DES-"&amp;47)</f>
        <v/>
      </c>
      <c r="B179" s="5"/>
      <c r="L179" s="5"/>
      <c r="N179" s="5"/>
    </row>
    <row r="180" spans="1:14">
      <c r="A180" t="str">
        <f>IF(B180="","","DES-"&amp;48)</f>
        <v/>
      </c>
      <c r="B180" s="5"/>
      <c r="L180" s="5"/>
      <c r="N180" s="5"/>
    </row>
    <row r="181" spans="1:14">
      <c r="A181" t="str">
        <f>IF(B181="","","DES-"&amp;49)</f>
        <v/>
      </c>
      <c r="B181" s="5"/>
      <c r="L181" s="5"/>
      <c r="N181" s="5"/>
    </row>
    <row r="182" spans="1:14">
      <c r="A182" t="str">
        <f>IF(B182="","","DES-"&amp;50)</f>
        <v/>
      </c>
      <c r="B182" s="5"/>
      <c r="L182" s="5"/>
      <c r="N182" s="5"/>
    </row>
    <row r="183" spans="1:14">
      <c r="A183" t="str">
        <f>IF(B183="","","DES-"&amp;51)</f>
        <v/>
      </c>
      <c r="B183" s="5"/>
      <c r="L183" s="5"/>
      <c r="N183" s="5"/>
    </row>
    <row r="184" spans="1:14">
      <c r="A184" t="str">
        <f>IF(B184="","","DES-"&amp;52)</f>
        <v/>
      </c>
      <c r="B184" s="5"/>
      <c r="L184" s="5"/>
      <c r="N184" s="5"/>
    </row>
    <row r="185" spans="1:14">
      <c r="A185" t="str">
        <f>IF(B185="","","DES-"&amp;53)</f>
        <v/>
      </c>
      <c r="B185" s="5"/>
      <c r="L185" s="5"/>
      <c r="N185" s="5"/>
    </row>
    <row r="186" spans="1:14">
      <c r="A186" t="str">
        <f>IF(B186="","","DES-"&amp;54)</f>
        <v/>
      </c>
      <c r="B186" s="5"/>
      <c r="L186" s="5"/>
      <c r="N186" s="5"/>
    </row>
    <row r="187" spans="1:14">
      <c r="A187" t="str">
        <f>IF(B187="","","DES-"&amp;55)</f>
        <v/>
      </c>
      <c r="B187" s="5"/>
      <c r="L187" s="5"/>
      <c r="N187" s="5"/>
    </row>
    <row r="188" spans="1:14">
      <c r="A188" t="str">
        <f>IF(B188="","","DES-"&amp;56)</f>
        <v/>
      </c>
      <c r="B188" s="5"/>
      <c r="L188" s="5"/>
      <c r="N188" s="5"/>
    </row>
    <row r="189" spans="1:14">
      <c r="A189" t="str">
        <f>IF(B189="","","DES-"&amp;57)</f>
        <v/>
      </c>
      <c r="B189" s="5"/>
      <c r="L189" s="5"/>
      <c r="N189" s="5"/>
    </row>
    <row r="190" spans="1:14">
      <c r="A190" t="str">
        <f>IF(B190="","","DES-"&amp;58)</f>
        <v/>
      </c>
      <c r="B190" s="5"/>
      <c r="L190" s="5"/>
      <c r="N190" s="5"/>
    </row>
    <row r="191" spans="1:14">
      <c r="A191" t="str">
        <f>IF(B191="","","DES-"&amp;59)</f>
        <v/>
      </c>
      <c r="B191" s="5"/>
      <c r="L191" s="5"/>
      <c r="N191" s="5"/>
    </row>
    <row r="192" spans="1:14">
      <c r="A192" t="str">
        <f>IF(B192="","","DES-"&amp;60)</f>
        <v/>
      </c>
      <c r="B192" s="5"/>
      <c r="L192" s="5"/>
      <c r="N192" s="5"/>
    </row>
    <row r="200" spans="1:8" ht="16.8">
      <c r="A200" s="20" t="s">
        <v>271</v>
      </c>
      <c r="B200" s="20"/>
      <c r="C200" s="20"/>
      <c r="D200" s="20"/>
      <c r="E200" s="20"/>
      <c r="F200" s="20"/>
      <c r="G200" s="20"/>
      <c r="H200" s="20"/>
    </row>
    <row r="202" spans="1:8" ht="30.45" customHeight="1">
      <c r="A202" s="1" t="s">
        <v>272</v>
      </c>
      <c r="B202" s="1" t="s">
        <v>273</v>
      </c>
      <c r="C202" s="1" t="s">
        <v>274</v>
      </c>
      <c r="D202" s="1" t="s">
        <v>275</v>
      </c>
      <c r="E202" s="1" t="s">
        <v>52</v>
      </c>
      <c r="F202" s="1" t="s">
        <v>231</v>
      </c>
      <c r="G202" s="1" t="s">
        <v>276</v>
      </c>
      <c r="H202" s="1" t="s">
        <v>208</v>
      </c>
    </row>
    <row r="203" spans="1:8">
      <c r="A203" t="s">
        <v>277</v>
      </c>
      <c r="B203" t="s">
        <v>70</v>
      </c>
      <c r="D203" s="8">
        <v>0</v>
      </c>
      <c r="E203" t="s">
        <v>68</v>
      </c>
      <c r="G203" t="s">
        <v>278</v>
      </c>
      <c r="H203" t="str">
        <f>IF(C203="","PENDIENTE UBICACIÓN",IF(COUNTIF($C$203:$C$222,C203)&gt;1,"ALERTA DUPLICADO",IF(IFERROR(_xludf.XLOOKUP(C203,'07_Base_Tecnica'!$K$5:$K$54,'07_Base_Tecnica'!$Y$5:$Y$54,""),"")&lt;&gt;B203,"ALERTA TIPO RED","OK")))</f>
        <v>PENDIENTE UBICACIÓN</v>
      </c>
    </row>
    <row r="204" spans="1:8">
      <c r="A204" t="s">
        <v>279</v>
      </c>
      <c r="B204" t="s">
        <v>70</v>
      </c>
      <c r="D204" s="8">
        <v>0</v>
      </c>
      <c r="E204" t="s">
        <v>68</v>
      </c>
      <c r="G204" t="s">
        <v>278</v>
      </c>
      <c r="H204" t="str">
        <f>IF(C204="","PENDIENTE UBICACIÓN",IF(COUNTIF($C$203:$C$222,C204)&gt;1,"ALERTA DUPLICADO",IF(IFERROR(_xludf.XLOOKUP(C204,'07_Base_Tecnica'!$K$5:$K$54,'07_Base_Tecnica'!$Y$5:$Y$54,""),"")&lt;&gt;B204,"ALERTA TIPO RED","OK")))</f>
        <v>PENDIENTE UBICACIÓN</v>
      </c>
    </row>
    <row r="205" spans="1:8">
      <c r="A205" t="s">
        <v>280</v>
      </c>
      <c r="B205" t="s">
        <v>70</v>
      </c>
      <c r="D205" s="8">
        <v>0</v>
      </c>
      <c r="E205" t="s">
        <v>68</v>
      </c>
      <c r="G205" t="s">
        <v>278</v>
      </c>
      <c r="H205" t="str">
        <f>IF(C205="","PENDIENTE UBICACIÓN",IF(COUNTIF($C$203:$C$222,C205)&gt;1,"ALERTA DUPLICADO",IF(IFERROR(_xludf.XLOOKUP(C205,'07_Base_Tecnica'!$K$5:$K$54,'07_Base_Tecnica'!$Y$5:$Y$54,""),"")&lt;&gt;B205,"ALERTA TIPO RED","OK")))</f>
        <v>PENDIENTE UBICACIÓN</v>
      </c>
    </row>
    <row r="206" spans="1:8">
      <c r="A206" t="s">
        <v>281</v>
      </c>
      <c r="B206" t="s">
        <v>70</v>
      </c>
      <c r="D206" s="8">
        <v>0</v>
      </c>
      <c r="E206" t="s">
        <v>68</v>
      </c>
      <c r="G206" t="s">
        <v>278</v>
      </c>
      <c r="H206" t="str">
        <f>IF(C206="","PENDIENTE UBICACIÓN",IF(COUNTIF($C$203:$C$222,C206)&gt;1,"ALERTA DUPLICADO",IF(IFERROR(_xludf.XLOOKUP(C206,'07_Base_Tecnica'!$K$5:$K$54,'07_Base_Tecnica'!$Y$5:$Y$54,""),"")&lt;&gt;B206,"ALERTA TIPO RED","OK")))</f>
        <v>PENDIENTE UBICACIÓN</v>
      </c>
    </row>
    <row r="207" spans="1:8">
      <c r="A207" t="s">
        <v>282</v>
      </c>
      <c r="B207" t="s">
        <v>70</v>
      </c>
      <c r="D207" s="8">
        <v>0</v>
      </c>
      <c r="E207" t="s">
        <v>68</v>
      </c>
      <c r="G207" t="s">
        <v>278</v>
      </c>
      <c r="H207" t="str">
        <f>IF(C207="","PENDIENTE UBICACIÓN",IF(COUNTIF($C$203:$C$222,C207)&gt;1,"ALERTA DUPLICADO",IF(IFERROR(_xludf.XLOOKUP(C207,'07_Base_Tecnica'!$K$5:$K$54,'07_Base_Tecnica'!$Y$5:$Y$54,""),"")&lt;&gt;B207,"ALERTA TIPO RED","OK")))</f>
        <v>PENDIENTE UBICACIÓN</v>
      </c>
    </row>
    <row r="208" spans="1:8">
      <c r="A208" t="s">
        <v>283</v>
      </c>
      <c r="B208" t="s">
        <v>70</v>
      </c>
      <c r="D208" s="8">
        <v>0</v>
      </c>
      <c r="E208" t="s">
        <v>68</v>
      </c>
      <c r="G208" t="s">
        <v>278</v>
      </c>
      <c r="H208" t="str">
        <f>IF(C208="","PENDIENTE UBICACIÓN",IF(COUNTIF($C$203:$C$222,C208)&gt;1,"ALERTA DUPLICADO",IF(IFERROR(_xludf.XLOOKUP(C208,'07_Base_Tecnica'!$K$5:$K$54,'07_Base_Tecnica'!$Y$5:$Y$54,""),"")&lt;&gt;B208,"ALERTA TIPO RED","OK")))</f>
        <v>PENDIENTE UBICACIÓN</v>
      </c>
    </row>
    <row r="209" spans="1:8">
      <c r="A209" t="s">
        <v>284</v>
      </c>
      <c r="B209" t="s">
        <v>70</v>
      </c>
      <c r="D209" s="8">
        <v>0</v>
      </c>
      <c r="E209" t="s">
        <v>68</v>
      </c>
      <c r="G209" t="s">
        <v>278</v>
      </c>
      <c r="H209" t="str">
        <f>IF(C209="","PENDIENTE UBICACIÓN",IF(COUNTIF($C$203:$C$222,C209)&gt;1,"ALERTA DUPLICADO",IF(IFERROR(_xludf.XLOOKUP(C209,'07_Base_Tecnica'!$K$5:$K$54,'07_Base_Tecnica'!$Y$5:$Y$54,""),"")&lt;&gt;B209,"ALERTA TIPO RED","OK")))</f>
        <v>PENDIENTE UBICACIÓN</v>
      </c>
    </row>
    <row r="210" spans="1:8">
      <c r="A210" t="s">
        <v>285</v>
      </c>
      <c r="B210" t="s">
        <v>70</v>
      </c>
      <c r="D210" s="8">
        <v>0</v>
      </c>
      <c r="E210" t="s">
        <v>68</v>
      </c>
      <c r="G210" t="s">
        <v>278</v>
      </c>
      <c r="H210" t="str">
        <f>IF(C210="","PENDIENTE UBICACIÓN",IF(COUNTIF($C$203:$C$222,C210)&gt;1,"ALERTA DUPLICADO",IF(IFERROR(_xludf.XLOOKUP(C210,'07_Base_Tecnica'!$K$5:$K$54,'07_Base_Tecnica'!$Y$5:$Y$54,""),"")&lt;&gt;B210,"ALERTA TIPO RED","OK")))</f>
        <v>PENDIENTE UBICACIÓN</v>
      </c>
    </row>
    <row r="211" spans="1:8">
      <c r="A211" t="s">
        <v>286</v>
      </c>
      <c r="B211" t="s">
        <v>70</v>
      </c>
      <c r="D211" s="8">
        <v>0</v>
      </c>
      <c r="E211" t="s">
        <v>68</v>
      </c>
      <c r="G211" t="s">
        <v>278</v>
      </c>
      <c r="H211" t="str">
        <f>IF(C211="","PENDIENTE UBICACIÓN",IF(COUNTIF($C$203:$C$222,C211)&gt;1,"ALERTA DUPLICADO",IF(IFERROR(_xludf.XLOOKUP(C211,'07_Base_Tecnica'!$K$5:$K$54,'07_Base_Tecnica'!$Y$5:$Y$54,""),"")&lt;&gt;B211,"ALERTA TIPO RED","OK")))</f>
        <v>PENDIENTE UBICACIÓN</v>
      </c>
    </row>
    <row r="212" spans="1:8">
      <c r="A212" t="s">
        <v>287</v>
      </c>
      <c r="B212" t="s">
        <v>70</v>
      </c>
      <c r="D212" s="8">
        <v>0</v>
      </c>
      <c r="E212" t="s">
        <v>68</v>
      </c>
      <c r="G212" t="s">
        <v>278</v>
      </c>
      <c r="H212" t="str">
        <f>IF(C212="","PENDIENTE UBICACIÓN",IF(COUNTIF($C$203:$C$222,C212)&gt;1,"ALERTA DUPLICADO",IF(IFERROR(_xludf.XLOOKUP(C212,'07_Base_Tecnica'!$K$5:$K$54,'07_Base_Tecnica'!$Y$5:$Y$54,""),"")&lt;&gt;B212,"ALERTA TIPO RED","OK")))</f>
        <v>PENDIENTE UBICACIÓN</v>
      </c>
    </row>
    <row r="213" spans="1:8">
      <c r="A213" t="s">
        <v>288</v>
      </c>
      <c r="B213" t="s">
        <v>70</v>
      </c>
      <c r="D213" s="8">
        <v>0</v>
      </c>
      <c r="E213" t="s">
        <v>68</v>
      </c>
      <c r="G213" t="s">
        <v>278</v>
      </c>
      <c r="H213" t="str">
        <f>IF(C213="","PENDIENTE UBICACIÓN",IF(COUNTIF($C$203:$C$222,C213)&gt;1,"ALERTA DUPLICADO",IF(IFERROR(_xludf.XLOOKUP(C213,'07_Base_Tecnica'!$K$5:$K$54,'07_Base_Tecnica'!$Y$5:$Y$54,""),"")&lt;&gt;B213,"ALERTA TIPO RED","OK")))</f>
        <v>PENDIENTE UBICACIÓN</v>
      </c>
    </row>
    <row r="214" spans="1:8">
      <c r="A214" t="s">
        <v>289</v>
      </c>
      <c r="B214" t="s">
        <v>70</v>
      </c>
      <c r="D214" s="8">
        <v>0</v>
      </c>
      <c r="E214" t="s">
        <v>68</v>
      </c>
      <c r="G214" t="s">
        <v>278</v>
      </c>
      <c r="H214" t="str">
        <f>IF(C214="","PENDIENTE UBICACIÓN",IF(COUNTIF($C$203:$C$222,C214)&gt;1,"ALERTA DUPLICADO",IF(IFERROR(_xludf.XLOOKUP(C214,'07_Base_Tecnica'!$K$5:$K$54,'07_Base_Tecnica'!$Y$5:$Y$54,""),"")&lt;&gt;B214,"ALERTA TIPO RED","OK")))</f>
        <v>PENDIENTE UBICACIÓN</v>
      </c>
    </row>
    <row r="215" spans="1:8">
      <c r="A215" t="s">
        <v>290</v>
      </c>
      <c r="B215" t="s">
        <v>70</v>
      </c>
      <c r="D215" s="8">
        <v>0</v>
      </c>
      <c r="E215" t="s">
        <v>68</v>
      </c>
      <c r="G215" t="s">
        <v>278</v>
      </c>
      <c r="H215" t="str">
        <f>IF(C215="","PENDIENTE UBICACIÓN",IF(COUNTIF($C$203:$C$222,C215)&gt;1,"ALERTA DUPLICADO",IF(IFERROR(_xludf.XLOOKUP(C215,'07_Base_Tecnica'!$K$5:$K$54,'07_Base_Tecnica'!$Y$5:$Y$54,""),"")&lt;&gt;B215,"ALERTA TIPO RED","OK")))</f>
        <v>PENDIENTE UBICACIÓN</v>
      </c>
    </row>
    <row r="216" spans="1:8">
      <c r="A216" t="s">
        <v>291</v>
      </c>
      <c r="B216" t="s">
        <v>70</v>
      </c>
      <c r="D216" s="8">
        <v>0</v>
      </c>
      <c r="E216" t="s">
        <v>68</v>
      </c>
      <c r="G216" t="s">
        <v>278</v>
      </c>
      <c r="H216" t="str">
        <f>IF(C216="","PENDIENTE UBICACIÓN",IF(COUNTIF($C$203:$C$222,C216)&gt;1,"ALERTA DUPLICADO",IF(IFERROR(_xludf.XLOOKUP(C216,'07_Base_Tecnica'!$K$5:$K$54,'07_Base_Tecnica'!$Y$5:$Y$54,""),"")&lt;&gt;B216,"ALERTA TIPO RED","OK")))</f>
        <v>PENDIENTE UBICACIÓN</v>
      </c>
    </row>
    <row r="217" spans="1:8">
      <c r="A217" t="s">
        <v>292</v>
      </c>
      <c r="B217" t="s">
        <v>70</v>
      </c>
      <c r="D217" s="8">
        <v>0</v>
      </c>
      <c r="E217" t="s">
        <v>68</v>
      </c>
      <c r="G217" t="s">
        <v>278</v>
      </c>
      <c r="H217" t="str">
        <f>IF(C217="","PENDIENTE UBICACIÓN",IF(COUNTIF($C$203:$C$222,C217)&gt;1,"ALERTA DUPLICADO",IF(IFERROR(_xludf.XLOOKUP(C217,'07_Base_Tecnica'!$K$5:$K$54,'07_Base_Tecnica'!$Y$5:$Y$54,""),"")&lt;&gt;B217,"ALERTA TIPO RED","OK")))</f>
        <v>PENDIENTE UBICACIÓN</v>
      </c>
    </row>
    <row r="218" spans="1:8">
      <c r="A218" t="s">
        <v>293</v>
      </c>
      <c r="B218" t="s">
        <v>171</v>
      </c>
      <c r="D218" s="8">
        <v>0</v>
      </c>
      <c r="E218" t="s">
        <v>68</v>
      </c>
      <c r="G218" t="s">
        <v>294</v>
      </c>
      <c r="H218" t="str">
        <f>IF(C218="","PENDIENTE UBICACIÓN",IF(COUNTIF($C$203:$C$222,C218)&gt;1,"ALERTA DUPLICADO",IF(IFERROR(_xludf.XLOOKUP(C218,'07_Base_Tecnica'!$K$5:$K$54,'07_Base_Tecnica'!$Y$5:$Y$54,""),"")&lt;&gt;B218,"ALERTA TIPO RED","OK")))</f>
        <v>PENDIENTE UBICACIÓN</v>
      </c>
    </row>
    <row r="219" spans="1:8">
      <c r="A219" t="s">
        <v>295</v>
      </c>
      <c r="B219" t="s">
        <v>171</v>
      </c>
      <c r="D219" s="8">
        <v>0</v>
      </c>
      <c r="E219" t="s">
        <v>68</v>
      </c>
      <c r="G219" t="s">
        <v>294</v>
      </c>
      <c r="H219" t="str">
        <f>IF(C219="","PENDIENTE UBICACIÓN",IF(COUNTIF($C$203:$C$222,C219)&gt;1,"ALERTA DUPLICADO",IF(IFERROR(_xludf.XLOOKUP(C219,'07_Base_Tecnica'!$K$5:$K$54,'07_Base_Tecnica'!$Y$5:$Y$54,""),"")&lt;&gt;B219,"ALERTA TIPO RED","OK")))</f>
        <v>PENDIENTE UBICACIÓN</v>
      </c>
    </row>
    <row r="220" spans="1:8">
      <c r="A220" t="s">
        <v>296</v>
      </c>
      <c r="B220" t="s">
        <v>171</v>
      </c>
      <c r="D220" s="8">
        <v>0</v>
      </c>
      <c r="E220" t="s">
        <v>68</v>
      </c>
      <c r="G220" t="s">
        <v>294</v>
      </c>
      <c r="H220" t="str">
        <f>IF(C220="","PENDIENTE UBICACIÓN",IF(COUNTIF($C$203:$C$222,C220)&gt;1,"ALERTA DUPLICADO",IF(IFERROR(_xludf.XLOOKUP(C220,'07_Base_Tecnica'!$K$5:$K$54,'07_Base_Tecnica'!$Y$5:$Y$54,""),"")&lt;&gt;B220,"ALERTA TIPO RED","OK")))</f>
        <v>PENDIENTE UBICACIÓN</v>
      </c>
    </row>
    <row r="221" spans="1:8">
      <c r="A221" t="s">
        <v>297</v>
      </c>
      <c r="B221" t="s">
        <v>171</v>
      </c>
      <c r="D221" s="8">
        <v>0</v>
      </c>
      <c r="E221" t="s">
        <v>68</v>
      </c>
      <c r="G221" t="s">
        <v>294</v>
      </c>
      <c r="H221" t="str">
        <f>IF(C221="","PENDIENTE UBICACIÓN",IF(COUNTIF($C$203:$C$222,C221)&gt;1,"ALERTA DUPLICADO",IF(IFERROR(_xludf.XLOOKUP(C221,'07_Base_Tecnica'!$K$5:$K$54,'07_Base_Tecnica'!$Y$5:$Y$54,""),"")&lt;&gt;B221,"ALERTA TIPO RED","OK")))</f>
        <v>PENDIENTE UBICACIÓN</v>
      </c>
    </row>
    <row r="222" spans="1:8">
      <c r="A222" t="s">
        <v>298</v>
      </c>
      <c r="B222" t="s">
        <v>171</v>
      </c>
      <c r="D222" s="8">
        <v>0</v>
      </c>
      <c r="E222" t="s">
        <v>68</v>
      </c>
      <c r="G222" t="s">
        <v>294</v>
      </c>
      <c r="H222" t="str">
        <f>IF(C222="","PENDIENTE UBICACIÓN",IF(COUNTIF($C$203:$C$222,C222)&gt;1,"ALERTA DUPLICADO",IF(IFERROR(_xludf.XLOOKUP(C222,'07_Base_Tecnica'!$K$5:$K$54,'07_Base_Tecnica'!$Y$5:$Y$54,""),"")&lt;&gt;B222,"ALERTA TIPO RED","OK")))</f>
        <v>PENDIENTE UBICACIÓN</v>
      </c>
    </row>
    <row r="228" spans="1:8" ht="16.8">
      <c r="A228" s="20" t="s">
        <v>299</v>
      </c>
      <c r="B228" s="20"/>
      <c r="C228" s="20"/>
      <c r="D228" s="20"/>
      <c r="E228" s="20"/>
      <c r="F228" s="20"/>
      <c r="G228" s="20"/>
      <c r="H228" s="20"/>
    </row>
    <row r="230" spans="1:8" ht="30.45" customHeight="1">
      <c r="A230" s="1" t="s">
        <v>300</v>
      </c>
      <c r="B230" s="1" t="s">
        <v>8</v>
      </c>
      <c r="C230" s="1" t="s">
        <v>301</v>
      </c>
      <c r="D230" s="1" t="s">
        <v>11</v>
      </c>
      <c r="E230" s="1" t="s">
        <v>302</v>
      </c>
      <c r="F230" s="1" t="s">
        <v>303</v>
      </c>
      <c r="G230" s="1" t="s">
        <v>20</v>
      </c>
      <c r="H230" s="1" t="s">
        <v>304</v>
      </c>
    </row>
    <row r="231" spans="1:8">
      <c r="A231" t="s">
        <v>65</v>
      </c>
      <c r="B231">
        <f ca="1">IF(A231="","",IFERROR(_xludf.XLOOKUP(A231,'07_Base_Tecnica'!$K$5:$K$54,'07_Base_Tecnica'!$Q$5:$Q$54,0),0))</f>
        <v>0</v>
      </c>
      <c r="C231">
        <f t="shared" ref="C231:C262" si="2">IF(A231="","",COUNTIF($B$283:$B$533,A231))</f>
        <v>0</v>
      </c>
      <c r="D231">
        <f t="shared" ref="D231:D262" si="3">IF(A231="","",COUNTIFS($B$283:$B$533,A231,$D$283:$D$533,"Colocada"))</f>
        <v>0</v>
      </c>
      <c r="E231">
        <f t="shared" ref="E231:E262" si="4">IF(A231="","",COUNTIFS($B$283:$B$533,A231,$F$283:$F$533,"Aprobado"))</f>
        <v>0</v>
      </c>
      <c r="F231">
        <f t="shared" ref="F231:F262" si="5">IF(A231="","",COUNTIFS($B$283:$B$533,A231,$H$283:$H$533,"Aprobado"))</f>
        <v>0</v>
      </c>
      <c r="G231">
        <f t="shared" ref="G231:G262" si="6">IF(A231="","",COUNTIFS($B$283:$B$533,A231,$I$283:$I$533,"Terminado"))</f>
        <v>0</v>
      </c>
      <c r="H231">
        <f t="shared" ref="H231:H262" ca="1" si="7">IF(A231="","",MAX(B231-D231,0))</f>
        <v>0</v>
      </c>
    </row>
    <row r="232" spans="1:8">
      <c r="A232" t="s">
        <v>118</v>
      </c>
      <c r="B232">
        <f ca="1">IF(A232="","",IFERROR(_xludf.XLOOKUP(A232,'07_Base_Tecnica'!$K$5:$K$54,'07_Base_Tecnica'!$Q$5:$Q$54,0),0))</f>
        <v>0</v>
      </c>
      <c r="C232">
        <f t="shared" si="2"/>
        <v>0</v>
      </c>
      <c r="D232">
        <f t="shared" si="3"/>
        <v>0</v>
      </c>
      <c r="E232">
        <f t="shared" si="4"/>
        <v>0</v>
      </c>
      <c r="F232">
        <f t="shared" si="5"/>
        <v>0</v>
      </c>
      <c r="G232">
        <f t="shared" si="6"/>
        <v>0</v>
      </c>
      <c r="H232">
        <f t="shared" ca="1" si="7"/>
        <v>0</v>
      </c>
    </row>
    <row r="233" spans="1:8">
      <c r="A233" t="s">
        <v>120</v>
      </c>
      <c r="B233">
        <f ca="1">IF(A233="","",IFERROR(_xludf.XLOOKUP(A233,'07_Base_Tecnica'!$K$5:$K$54,'07_Base_Tecnica'!$Q$5:$Q$54,0),0))</f>
        <v>0</v>
      </c>
      <c r="C233">
        <f t="shared" si="2"/>
        <v>0</v>
      </c>
      <c r="D233">
        <f t="shared" si="3"/>
        <v>0</v>
      </c>
      <c r="E233">
        <f t="shared" si="4"/>
        <v>0</v>
      </c>
      <c r="F233">
        <f t="shared" si="5"/>
        <v>0</v>
      </c>
      <c r="G233">
        <f t="shared" si="6"/>
        <v>0</v>
      </c>
      <c r="H233">
        <f t="shared" ca="1" si="7"/>
        <v>0</v>
      </c>
    </row>
    <row r="234" spans="1:8">
      <c r="A234" t="s">
        <v>122</v>
      </c>
      <c r="B234">
        <f ca="1">IF(A234="","",IFERROR(_xludf.XLOOKUP(A234,'07_Base_Tecnica'!$K$5:$K$54,'07_Base_Tecnica'!$Q$5:$Q$54,0),0))</f>
        <v>0</v>
      </c>
      <c r="C234">
        <f t="shared" si="2"/>
        <v>0</v>
      </c>
      <c r="D234">
        <f t="shared" si="3"/>
        <v>0</v>
      </c>
      <c r="E234">
        <f t="shared" si="4"/>
        <v>0</v>
      </c>
      <c r="F234">
        <f t="shared" si="5"/>
        <v>0</v>
      </c>
      <c r="G234">
        <f t="shared" si="6"/>
        <v>0</v>
      </c>
      <c r="H234">
        <f t="shared" ca="1" si="7"/>
        <v>0</v>
      </c>
    </row>
    <row r="235" spans="1:8">
      <c r="A235" t="s">
        <v>127</v>
      </c>
      <c r="B235">
        <f ca="1">IF(A235="","",IFERROR(_xludf.XLOOKUP(A235,'07_Base_Tecnica'!$K$5:$K$54,'07_Base_Tecnica'!$Q$5:$Q$54,0),0))</f>
        <v>0</v>
      </c>
      <c r="C235">
        <f t="shared" si="2"/>
        <v>0</v>
      </c>
      <c r="D235">
        <f t="shared" si="3"/>
        <v>0</v>
      </c>
      <c r="E235">
        <f t="shared" si="4"/>
        <v>0</v>
      </c>
      <c r="F235">
        <f t="shared" si="5"/>
        <v>0</v>
      </c>
      <c r="G235">
        <f t="shared" si="6"/>
        <v>0</v>
      </c>
      <c r="H235">
        <f t="shared" ca="1" si="7"/>
        <v>0</v>
      </c>
    </row>
    <row r="236" spans="1:8">
      <c r="A236" t="s">
        <v>128</v>
      </c>
      <c r="B236">
        <f ca="1">IF(A236="","",IFERROR(_xludf.XLOOKUP(A236,'07_Base_Tecnica'!$K$5:$K$54,'07_Base_Tecnica'!$Q$5:$Q$54,0),0))</f>
        <v>0</v>
      </c>
      <c r="C236">
        <f t="shared" si="2"/>
        <v>0</v>
      </c>
      <c r="D236">
        <f t="shared" si="3"/>
        <v>0</v>
      </c>
      <c r="E236">
        <f t="shared" si="4"/>
        <v>0</v>
      </c>
      <c r="F236">
        <f t="shared" si="5"/>
        <v>0</v>
      </c>
      <c r="G236">
        <f t="shared" si="6"/>
        <v>0</v>
      </c>
      <c r="H236">
        <f t="shared" ca="1" si="7"/>
        <v>0</v>
      </c>
    </row>
    <row r="237" spans="1:8">
      <c r="A237" t="s">
        <v>130</v>
      </c>
      <c r="B237">
        <f ca="1">IF(A237="","",IFERROR(_xludf.XLOOKUP(A237,'07_Base_Tecnica'!$K$5:$K$54,'07_Base_Tecnica'!$Q$5:$Q$54,0),0))</f>
        <v>0</v>
      </c>
      <c r="C237">
        <f t="shared" si="2"/>
        <v>0</v>
      </c>
      <c r="D237">
        <f t="shared" si="3"/>
        <v>0</v>
      </c>
      <c r="E237">
        <f t="shared" si="4"/>
        <v>0</v>
      </c>
      <c r="F237">
        <f t="shared" si="5"/>
        <v>0</v>
      </c>
      <c r="G237">
        <f t="shared" si="6"/>
        <v>0</v>
      </c>
      <c r="H237">
        <f t="shared" ca="1" si="7"/>
        <v>0</v>
      </c>
    </row>
    <row r="238" spans="1:8">
      <c r="A238" t="s">
        <v>131</v>
      </c>
      <c r="B238">
        <f ca="1">IF(A238="","",IFERROR(_xludf.XLOOKUP(A238,'07_Base_Tecnica'!$K$5:$K$54,'07_Base_Tecnica'!$Q$5:$Q$54,0),0))</f>
        <v>0</v>
      </c>
      <c r="C238">
        <f t="shared" si="2"/>
        <v>0</v>
      </c>
      <c r="D238">
        <f t="shared" si="3"/>
        <v>0</v>
      </c>
      <c r="E238">
        <f t="shared" si="4"/>
        <v>0</v>
      </c>
      <c r="F238">
        <f t="shared" si="5"/>
        <v>0</v>
      </c>
      <c r="G238">
        <f t="shared" si="6"/>
        <v>0</v>
      </c>
      <c r="H238">
        <f t="shared" ca="1" si="7"/>
        <v>0</v>
      </c>
    </row>
    <row r="239" spans="1:8">
      <c r="A239" t="s">
        <v>136</v>
      </c>
      <c r="B239">
        <f ca="1">IF(A239="","",IFERROR(_xludf.XLOOKUP(A239,'07_Base_Tecnica'!$K$5:$K$54,'07_Base_Tecnica'!$Q$5:$Q$54,0),0))</f>
        <v>0</v>
      </c>
      <c r="C239">
        <f t="shared" si="2"/>
        <v>0</v>
      </c>
      <c r="D239">
        <f t="shared" si="3"/>
        <v>0</v>
      </c>
      <c r="E239">
        <f t="shared" si="4"/>
        <v>0</v>
      </c>
      <c r="F239">
        <f t="shared" si="5"/>
        <v>0</v>
      </c>
      <c r="G239">
        <f t="shared" si="6"/>
        <v>0</v>
      </c>
      <c r="H239">
        <f t="shared" ca="1" si="7"/>
        <v>0</v>
      </c>
    </row>
    <row r="240" spans="1:8">
      <c r="A240" t="s">
        <v>139</v>
      </c>
      <c r="B240">
        <f ca="1">IF(A240="","",IFERROR(_xludf.XLOOKUP(A240,'07_Base_Tecnica'!$K$5:$K$54,'07_Base_Tecnica'!$Q$5:$Q$54,0),0))</f>
        <v>0</v>
      </c>
      <c r="C240">
        <f t="shared" si="2"/>
        <v>0</v>
      </c>
      <c r="D240">
        <f t="shared" si="3"/>
        <v>0</v>
      </c>
      <c r="E240">
        <f t="shared" si="4"/>
        <v>0</v>
      </c>
      <c r="F240">
        <f t="shared" si="5"/>
        <v>0</v>
      </c>
      <c r="G240">
        <f t="shared" si="6"/>
        <v>0</v>
      </c>
      <c r="H240">
        <f t="shared" ca="1" si="7"/>
        <v>0</v>
      </c>
    </row>
    <row r="241" spans="1:8">
      <c r="A241" t="s">
        <v>143</v>
      </c>
      <c r="B241">
        <f ca="1">IF(A241="","",IFERROR(_xludf.XLOOKUP(A241,'07_Base_Tecnica'!$K$5:$K$54,'07_Base_Tecnica'!$Q$5:$Q$54,0),0))</f>
        <v>0</v>
      </c>
      <c r="C241">
        <f t="shared" si="2"/>
        <v>0</v>
      </c>
      <c r="D241">
        <f t="shared" si="3"/>
        <v>0</v>
      </c>
      <c r="E241">
        <f t="shared" si="4"/>
        <v>0</v>
      </c>
      <c r="F241">
        <f t="shared" si="5"/>
        <v>0</v>
      </c>
      <c r="G241">
        <f t="shared" si="6"/>
        <v>0</v>
      </c>
      <c r="H241">
        <f t="shared" ca="1" si="7"/>
        <v>0</v>
      </c>
    </row>
    <row r="242" spans="1:8">
      <c r="A242" t="s">
        <v>144</v>
      </c>
      <c r="B242">
        <f ca="1">IF(A242="","",IFERROR(_xludf.XLOOKUP(A242,'07_Base_Tecnica'!$K$5:$K$54,'07_Base_Tecnica'!$Q$5:$Q$54,0),0))</f>
        <v>0</v>
      </c>
      <c r="C242">
        <f t="shared" si="2"/>
        <v>0</v>
      </c>
      <c r="D242">
        <f t="shared" si="3"/>
        <v>0</v>
      </c>
      <c r="E242">
        <f t="shared" si="4"/>
        <v>0</v>
      </c>
      <c r="F242">
        <f t="shared" si="5"/>
        <v>0</v>
      </c>
      <c r="G242">
        <f t="shared" si="6"/>
        <v>0</v>
      </c>
      <c r="H242">
        <f t="shared" ca="1" si="7"/>
        <v>0</v>
      </c>
    </row>
    <row r="243" spans="1:8">
      <c r="A243" t="s">
        <v>146</v>
      </c>
      <c r="B243">
        <f ca="1">IF(A243="","",IFERROR(_xludf.XLOOKUP(A243,'07_Base_Tecnica'!$K$5:$K$54,'07_Base_Tecnica'!$Q$5:$Q$54,0),0))</f>
        <v>0</v>
      </c>
      <c r="C243">
        <f t="shared" si="2"/>
        <v>0</v>
      </c>
      <c r="D243">
        <f t="shared" si="3"/>
        <v>0</v>
      </c>
      <c r="E243">
        <f t="shared" si="4"/>
        <v>0</v>
      </c>
      <c r="F243">
        <f t="shared" si="5"/>
        <v>0</v>
      </c>
      <c r="G243">
        <f t="shared" si="6"/>
        <v>0</v>
      </c>
      <c r="H243">
        <f t="shared" ca="1" si="7"/>
        <v>0</v>
      </c>
    </row>
    <row r="244" spans="1:8">
      <c r="A244" t="s">
        <v>147</v>
      </c>
      <c r="B244">
        <f ca="1">IF(A244="","",IFERROR(_xludf.XLOOKUP(A244,'07_Base_Tecnica'!$K$5:$K$54,'07_Base_Tecnica'!$Q$5:$Q$54,0),0))</f>
        <v>0</v>
      </c>
      <c r="C244">
        <f t="shared" si="2"/>
        <v>0</v>
      </c>
      <c r="D244">
        <f t="shared" si="3"/>
        <v>0</v>
      </c>
      <c r="E244">
        <f t="shared" si="4"/>
        <v>0</v>
      </c>
      <c r="F244">
        <f t="shared" si="5"/>
        <v>0</v>
      </c>
      <c r="G244">
        <f t="shared" si="6"/>
        <v>0</v>
      </c>
      <c r="H244">
        <f t="shared" ca="1" si="7"/>
        <v>0</v>
      </c>
    </row>
    <row r="245" spans="1:8">
      <c r="A245" t="s">
        <v>149</v>
      </c>
      <c r="B245">
        <f ca="1">IF(A245="","",IFERROR(_xludf.XLOOKUP(A245,'07_Base_Tecnica'!$K$5:$K$54,'07_Base_Tecnica'!$Q$5:$Q$54,0),0))</f>
        <v>0</v>
      </c>
      <c r="C245">
        <f t="shared" si="2"/>
        <v>0</v>
      </c>
      <c r="D245">
        <f t="shared" si="3"/>
        <v>0</v>
      </c>
      <c r="E245">
        <f t="shared" si="4"/>
        <v>0</v>
      </c>
      <c r="F245">
        <f t="shared" si="5"/>
        <v>0</v>
      </c>
      <c r="G245">
        <f t="shared" si="6"/>
        <v>0</v>
      </c>
      <c r="H245">
        <f t="shared" ca="1" si="7"/>
        <v>0</v>
      </c>
    </row>
    <row r="246" spans="1:8">
      <c r="A246" t="s">
        <v>151</v>
      </c>
      <c r="B246">
        <f ca="1">IF(A246="","",IFERROR(_xludf.XLOOKUP(A246,'07_Base_Tecnica'!$K$5:$K$54,'07_Base_Tecnica'!$Q$5:$Q$54,0),0))</f>
        <v>0</v>
      </c>
      <c r="C246">
        <f t="shared" si="2"/>
        <v>0</v>
      </c>
      <c r="D246">
        <f t="shared" si="3"/>
        <v>0</v>
      </c>
      <c r="E246">
        <f t="shared" si="4"/>
        <v>0</v>
      </c>
      <c r="F246">
        <f t="shared" si="5"/>
        <v>0</v>
      </c>
      <c r="G246">
        <f t="shared" si="6"/>
        <v>0</v>
      </c>
      <c r="H246">
        <f t="shared" ca="1" si="7"/>
        <v>0</v>
      </c>
    </row>
    <row r="247" spans="1:8">
      <c r="A247" t="s">
        <v>153</v>
      </c>
      <c r="B247">
        <f ca="1">IF(A247="","",IFERROR(_xludf.XLOOKUP(A247,'07_Base_Tecnica'!$K$5:$K$54,'07_Base_Tecnica'!$Q$5:$Q$54,0),0))</f>
        <v>0</v>
      </c>
      <c r="C247">
        <f t="shared" si="2"/>
        <v>0</v>
      </c>
      <c r="D247">
        <f t="shared" si="3"/>
        <v>0</v>
      </c>
      <c r="E247">
        <f t="shared" si="4"/>
        <v>0</v>
      </c>
      <c r="F247">
        <f t="shared" si="5"/>
        <v>0</v>
      </c>
      <c r="G247">
        <f t="shared" si="6"/>
        <v>0</v>
      </c>
      <c r="H247">
        <f t="shared" ca="1" si="7"/>
        <v>0</v>
      </c>
    </row>
    <row r="248" spans="1:8">
      <c r="A248" t="s">
        <v>154</v>
      </c>
      <c r="B248">
        <f ca="1">IF(A248="","",IFERROR(_xludf.XLOOKUP(A248,'07_Base_Tecnica'!$K$5:$K$54,'07_Base_Tecnica'!$Q$5:$Q$54,0),0))</f>
        <v>0</v>
      </c>
      <c r="C248">
        <f t="shared" si="2"/>
        <v>0</v>
      </c>
      <c r="D248">
        <f t="shared" si="3"/>
        <v>0</v>
      </c>
      <c r="E248">
        <f t="shared" si="4"/>
        <v>0</v>
      </c>
      <c r="F248">
        <f t="shared" si="5"/>
        <v>0</v>
      </c>
      <c r="G248">
        <f t="shared" si="6"/>
        <v>0</v>
      </c>
      <c r="H248">
        <f t="shared" ca="1" si="7"/>
        <v>0</v>
      </c>
    </row>
    <row r="249" spans="1:8">
      <c r="A249" t="s">
        <v>155</v>
      </c>
      <c r="B249">
        <f ca="1">IF(A249="","",IFERROR(_xludf.XLOOKUP(A249,'07_Base_Tecnica'!$K$5:$K$54,'07_Base_Tecnica'!$Q$5:$Q$54,0),0))</f>
        <v>0</v>
      </c>
      <c r="C249">
        <f t="shared" si="2"/>
        <v>0</v>
      </c>
      <c r="D249">
        <f t="shared" si="3"/>
        <v>0</v>
      </c>
      <c r="E249">
        <f t="shared" si="4"/>
        <v>0</v>
      </c>
      <c r="F249">
        <f t="shared" si="5"/>
        <v>0</v>
      </c>
      <c r="G249">
        <f t="shared" si="6"/>
        <v>0</v>
      </c>
      <c r="H249">
        <f t="shared" ca="1" si="7"/>
        <v>0</v>
      </c>
    </row>
    <row r="250" spans="1:8">
      <c r="A250" t="s">
        <v>156</v>
      </c>
      <c r="B250">
        <f ca="1">IF(A250="","",IFERROR(_xludf.XLOOKUP(A250,'07_Base_Tecnica'!$K$5:$K$54,'07_Base_Tecnica'!$Q$5:$Q$54,0),0))</f>
        <v>0</v>
      </c>
      <c r="C250">
        <f t="shared" si="2"/>
        <v>0</v>
      </c>
      <c r="D250">
        <f t="shared" si="3"/>
        <v>0</v>
      </c>
      <c r="E250">
        <f t="shared" si="4"/>
        <v>0</v>
      </c>
      <c r="F250">
        <f t="shared" si="5"/>
        <v>0</v>
      </c>
      <c r="G250">
        <f t="shared" si="6"/>
        <v>0</v>
      </c>
      <c r="H250">
        <f t="shared" ca="1" si="7"/>
        <v>0</v>
      </c>
    </row>
    <row r="251" spans="1:8">
      <c r="A251" t="s">
        <v>160</v>
      </c>
      <c r="B251">
        <f ca="1">IF(A251="","",IFERROR(_xludf.XLOOKUP(A251,'07_Base_Tecnica'!$K$5:$K$54,'07_Base_Tecnica'!$Q$5:$Q$54,0),0))</f>
        <v>0</v>
      </c>
      <c r="C251">
        <f t="shared" si="2"/>
        <v>0</v>
      </c>
      <c r="D251">
        <f t="shared" si="3"/>
        <v>0</v>
      </c>
      <c r="E251">
        <f t="shared" si="4"/>
        <v>0</v>
      </c>
      <c r="F251">
        <f t="shared" si="5"/>
        <v>0</v>
      </c>
      <c r="G251">
        <f t="shared" si="6"/>
        <v>0</v>
      </c>
      <c r="H251">
        <f t="shared" ca="1" si="7"/>
        <v>0</v>
      </c>
    </row>
    <row r="252" spans="1:8">
      <c r="A252" t="s">
        <v>163</v>
      </c>
      <c r="B252">
        <f ca="1">IF(A252="","",IFERROR(_xludf.XLOOKUP(A252,'07_Base_Tecnica'!$K$5:$K$54,'07_Base_Tecnica'!$Q$5:$Q$54,0),0))</f>
        <v>0</v>
      </c>
      <c r="C252">
        <f t="shared" si="2"/>
        <v>0</v>
      </c>
      <c r="D252">
        <f t="shared" si="3"/>
        <v>0</v>
      </c>
      <c r="E252">
        <f t="shared" si="4"/>
        <v>0</v>
      </c>
      <c r="F252">
        <f t="shared" si="5"/>
        <v>0</v>
      </c>
      <c r="G252">
        <f t="shared" si="6"/>
        <v>0</v>
      </c>
      <c r="H252">
        <f t="shared" ca="1" si="7"/>
        <v>0</v>
      </c>
    </row>
    <row r="253" spans="1:8">
      <c r="A253" t="s">
        <v>165</v>
      </c>
      <c r="B253">
        <f ca="1">IF(A253="","",IFERROR(_xludf.XLOOKUP(A253,'07_Base_Tecnica'!$K$5:$K$54,'07_Base_Tecnica'!$Q$5:$Q$54,0),0))</f>
        <v>0</v>
      </c>
      <c r="C253">
        <f t="shared" si="2"/>
        <v>0</v>
      </c>
      <c r="D253">
        <f t="shared" si="3"/>
        <v>0</v>
      </c>
      <c r="E253">
        <f t="shared" si="4"/>
        <v>0</v>
      </c>
      <c r="F253">
        <f t="shared" si="5"/>
        <v>0</v>
      </c>
      <c r="G253">
        <f t="shared" si="6"/>
        <v>0</v>
      </c>
      <c r="H253">
        <f t="shared" ca="1" si="7"/>
        <v>0</v>
      </c>
    </row>
    <row r="254" spans="1:8">
      <c r="A254" t="s">
        <v>166</v>
      </c>
      <c r="B254">
        <f ca="1">IF(A254="","",IFERROR(_xludf.XLOOKUP(A254,'07_Base_Tecnica'!$K$5:$K$54,'07_Base_Tecnica'!$Q$5:$Q$54,0),0))</f>
        <v>0</v>
      </c>
      <c r="C254">
        <f t="shared" si="2"/>
        <v>0</v>
      </c>
      <c r="D254">
        <f t="shared" si="3"/>
        <v>0</v>
      </c>
      <c r="E254">
        <f t="shared" si="4"/>
        <v>0</v>
      </c>
      <c r="F254">
        <f t="shared" si="5"/>
        <v>0</v>
      </c>
      <c r="G254">
        <f t="shared" si="6"/>
        <v>0</v>
      </c>
      <c r="H254">
        <f t="shared" ca="1" si="7"/>
        <v>0</v>
      </c>
    </row>
    <row r="255" spans="1:8">
      <c r="A255" t="s">
        <v>167</v>
      </c>
      <c r="B255">
        <f ca="1">IF(A255="","",IFERROR(_xludf.XLOOKUP(A255,'07_Base_Tecnica'!$K$5:$K$54,'07_Base_Tecnica'!$Q$5:$Q$54,0),0))</f>
        <v>0</v>
      </c>
      <c r="C255">
        <f t="shared" si="2"/>
        <v>0</v>
      </c>
      <c r="D255">
        <f t="shared" si="3"/>
        <v>0</v>
      </c>
      <c r="E255">
        <f t="shared" si="4"/>
        <v>0</v>
      </c>
      <c r="F255">
        <f t="shared" si="5"/>
        <v>0</v>
      </c>
      <c r="G255">
        <f t="shared" si="6"/>
        <v>0</v>
      </c>
      <c r="H255">
        <f t="shared" ca="1" si="7"/>
        <v>0</v>
      </c>
    </row>
    <row r="256" spans="1:8">
      <c r="A256" t="s">
        <v>179</v>
      </c>
      <c r="B256">
        <f ca="1">IF(A256="","",IFERROR(_xludf.XLOOKUP(A256,'07_Base_Tecnica'!$K$5:$K$54,'07_Base_Tecnica'!$Q$5:$Q$54,0),0))</f>
        <v>0</v>
      </c>
      <c r="C256">
        <f t="shared" si="2"/>
        <v>0</v>
      </c>
      <c r="D256">
        <f t="shared" si="3"/>
        <v>0</v>
      </c>
      <c r="E256">
        <f t="shared" si="4"/>
        <v>0</v>
      </c>
      <c r="F256">
        <f t="shared" si="5"/>
        <v>0</v>
      </c>
      <c r="G256">
        <f t="shared" si="6"/>
        <v>0</v>
      </c>
      <c r="H256">
        <f t="shared" ca="1" si="7"/>
        <v>0</v>
      </c>
    </row>
    <row r="257" spans="1:8">
      <c r="A257" t="s">
        <v>181</v>
      </c>
      <c r="B257">
        <f ca="1">IF(A257="","",IFERROR(_xludf.XLOOKUP(A257,'07_Base_Tecnica'!$K$5:$K$54,'07_Base_Tecnica'!$Q$5:$Q$54,0),0))</f>
        <v>0</v>
      </c>
      <c r="C257">
        <f t="shared" si="2"/>
        <v>0</v>
      </c>
      <c r="D257">
        <f t="shared" si="3"/>
        <v>0</v>
      </c>
      <c r="E257">
        <f t="shared" si="4"/>
        <v>0</v>
      </c>
      <c r="F257">
        <f t="shared" si="5"/>
        <v>0</v>
      </c>
      <c r="G257">
        <f t="shared" si="6"/>
        <v>0</v>
      </c>
      <c r="H257">
        <f t="shared" ca="1" si="7"/>
        <v>0</v>
      </c>
    </row>
    <row r="258" spans="1:8">
      <c r="A258" t="s">
        <v>183</v>
      </c>
      <c r="B258">
        <f ca="1">IF(A258="","",IFERROR(_xludf.XLOOKUP(A258,'07_Base_Tecnica'!$K$5:$K$54,'07_Base_Tecnica'!$Q$5:$Q$54,0),0))</f>
        <v>0</v>
      </c>
      <c r="C258">
        <f t="shared" si="2"/>
        <v>0</v>
      </c>
      <c r="D258">
        <f t="shared" si="3"/>
        <v>0</v>
      </c>
      <c r="E258">
        <f t="shared" si="4"/>
        <v>0</v>
      </c>
      <c r="F258">
        <f t="shared" si="5"/>
        <v>0</v>
      </c>
      <c r="G258">
        <f t="shared" si="6"/>
        <v>0</v>
      </c>
      <c r="H258">
        <f t="shared" ca="1" si="7"/>
        <v>0</v>
      </c>
    </row>
    <row r="259" spans="1:8">
      <c r="A259" t="s">
        <v>184</v>
      </c>
      <c r="B259">
        <f ca="1">IF(A259="","",IFERROR(_xludf.XLOOKUP(A259,'07_Base_Tecnica'!$K$5:$K$54,'07_Base_Tecnica'!$Q$5:$Q$54,0),0))</f>
        <v>0</v>
      </c>
      <c r="C259">
        <f t="shared" si="2"/>
        <v>0</v>
      </c>
      <c r="D259">
        <f t="shared" si="3"/>
        <v>0</v>
      </c>
      <c r="E259">
        <f t="shared" si="4"/>
        <v>0</v>
      </c>
      <c r="F259">
        <f t="shared" si="5"/>
        <v>0</v>
      </c>
      <c r="G259">
        <f t="shared" si="6"/>
        <v>0</v>
      </c>
      <c r="H259">
        <f t="shared" ca="1" si="7"/>
        <v>0</v>
      </c>
    </row>
    <row r="260" spans="1:8">
      <c r="A260" t="s">
        <v>185</v>
      </c>
      <c r="B260">
        <f ca="1">IF(A260="","",IFERROR(_xludf.XLOOKUP(A260,'07_Base_Tecnica'!$K$5:$K$54,'07_Base_Tecnica'!$Q$5:$Q$54,0),0))</f>
        <v>0</v>
      </c>
      <c r="C260">
        <f t="shared" si="2"/>
        <v>0</v>
      </c>
      <c r="D260">
        <f t="shared" si="3"/>
        <v>0</v>
      </c>
      <c r="E260">
        <f t="shared" si="4"/>
        <v>0</v>
      </c>
      <c r="F260">
        <f t="shared" si="5"/>
        <v>0</v>
      </c>
      <c r="G260">
        <f t="shared" si="6"/>
        <v>0</v>
      </c>
      <c r="H260">
        <f t="shared" ca="1" si="7"/>
        <v>0</v>
      </c>
    </row>
    <row r="261" spans="1:8">
      <c r="A261" t="s">
        <v>186</v>
      </c>
      <c r="B261">
        <f ca="1">IF(A261="","",IFERROR(_xludf.XLOOKUP(A261,'07_Base_Tecnica'!$K$5:$K$54,'07_Base_Tecnica'!$Q$5:$Q$54,0),0))</f>
        <v>0</v>
      </c>
      <c r="C261">
        <f t="shared" si="2"/>
        <v>0</v>
      </c>
      <c r="D261">
        <f t="shared" si="3"/>
        <v>0</v>
      </c>
      <c r="E261">
        <f t="shared" si="4"/>
        <v>0</v>
      </c>
      <c r="F261">
        <f t="shared" si="5"/>
        <v>0</v>
      </c>
      <c r="G261">
        <f t="shared" si="6"/>
        <v>0</v>
      </c>
      <c r="H261">
        <f t="shared" ca="1" si="7"/>
        <v>0</v>
      </c>
    </row>
    <row r="262" spans="1:8">
      <c r="A262" t="s">
        <v>187</v>
      </c>
      <c r="B262">
        <f ca="1">IF(A262="","",IFERROR(_xludf.XLOOKUP(A262,'07_Base_Tecnica'!$K$5:$K$54,'07_Base_Tecnica'!$Q$5:$Q$54,0),0))</f>
        <v>0</v>
      </c>
      <c r="C262">
        <f t="shared" si="2"/>
        <v>0</v>
      </c>
      <c r="D262">
        <f t="shared" si="3"/>
        <v>0</v>
      </c>
      <c r="E262">
        <f t="shared" si="4"/>
        <v>0</v>
      </c>
      <c r="F262">
        <f t="shared" si="5"/>
        <v>0</v>
      </c>
      <c r="G262">
        <f t="shared" si="6"/>
        <v>0</v>
      </c>
      <c r="H262">
        <f t="shared" ca="1" si="7"/>
        <v>0</v>
      </c>
    </row>
    <row r="280" spans="1:10" ht="16.8">
      <c r="A280" s="20" t="s">
        <v>305</v>
      </c>
      <c r="B280" s="20"/>
      <c r="C280" s="20"/>
      <c r="D280" s="20"/>
      <c r="E280" s="20"/>
      <c r="F280" s="20"/>
      <c r="G280" s="20"/>
      <c r="H280" s="20"/>
      <c r="I280" s="20"/>
      <c r="J280" s="20"/>
    </row>
    <row r="282" spans="1:10" ht="30.45" customHeight="1">
      <c r="A282" s="1" t="s">
        <v>306</v>
      </c>
      <c r="B282" s="1" t="s">
        <v>300</v>
      </c>
      <c r="C282" s="1" t="s">
        <v>307</v>
      </c>
      <c r="D282" s="1" t="s">
        <v>308</v>
      </c>
      <c r="E282" s="1" t="s">
        <v>309</v>
      </c>
      <c r="F282" s="1" t="s">
        <v>310</v>
      </c>
      <c r="G282" s="1" t="s">
        <v>311</v>
      </c>
      <c r="H282" s="1" t="s">
        <v>312</v>
      </c>
      <c r="I282" s="1" t="s">
        <v>313</v>
      </c>
      <c r="J282" s="1" t="s">
        <v>314</v>
      </c>
    </row>
  </sheetData>
  <mergeCells count="7">
    <mergeCell ref="A228:H228"/>
    <mergeCell ref="A280:J280"/>
    <mergeCell ref="A1:O1"/>
    <mergeCell ref="A2:O2"/>
    <mergeCell ref="A60:J60"/>
    <mergeCell ref="A130:O130"/>
    <mergeCell ref="A200:H200"/>
  </mergeCells>
  <dataValidations count="6">
    <dataValidation type="list" sqref="A63:A122" xr:uid="{00000000-0002-0000-0600-000000000000}">
      <formula1>"Material,Equipo,Herramienta,Personal"</formula1>
    </dataValidation>
    <dataValidation type="list" sqref="I63:I122 E203:E222 M133:M192" xr:uid="{00000000-0002-0000-0600-000001000000}">
      <formula1>"No iniciada,Para Programar,En curso,Bloqueada,Terminada,Reprogramada"</formula1>
    </dataValidation>
    <dataValidation type="list" sqref="D283:D533" xr:uid="{00000000-0002-0000-0600-000004000000}">
      <formula1>"Pendiente,Colocada,No corresponde"</formula1>
    </dataValidation>
    <dataValidation type="list" sqref="E283:H533" xr:uid="{00000000-0002-0000-0600-000005000000}">
      <formula1>"Pendiente,Solicitado,Aprobado,Rechazado,Repetir ensayo,No corresponde"</formula1>
    </dataValidation>
    <dataValidation type="list" sqref="I283:I533" xr:uid="{00000000-0002-0000-0600-000009000000}">
      <formula1>"Pendiente,En curso,Bloqueado,Terminado"</formula1>
    </dataValidation>
    <dataValidation type="whole" sqref="D203:D222" xr:uid="{00000000-0002-0000-0600-00000C000000}">
      <formula1>0</formula1>
      <formula2>100</formula2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A000000}">
          <x14:formula1>
            <xm:f>'07_Base_Tecnica'!$K$5:$K$54</xm:f>
          </x14:formula1>
          <xm:sqref>C203:C222</xm:sqref>
        </x14:dataValidation>
        <x14:dataValidation type="list" xr:uid="{00000000-0002-0000-0600-00000B000000}">
          <x14:formula1>
            <xm:f>'07_Base_Tecnica'!$AP$2:$AP$33</xm:f>
          </x14:formula1>
          <xm:sqref>B283:B533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1201"/>
  <sheetViews>
    <sheetView workbookViewId="0"/>
  </sheetViews>
  <sheetFormatPr baseColWidth="10" defaultColWidth="8.796875" defaultRowHeight="13.8"/>
  <cols>
    <col min="1" max="1" width="12" customWidth="1"/>
    <col min="2" max="2" width="20" customWidth="1"/>
    <col min="3" max="3" width="50" customWidth="1"/>
    <col min="4" max="6" width="15" customWidth="1"/>
    <col min="7" max="7" width="42" customWidth="1"/>
    <col min="8" max="8" width="14" customWidth="1"/>
    <col min="9" max="9" width="34" customWidth="1"/>
    <col min="11" max="11" width="18" customWidth="1"/>
    <col min="12" max="13" width="10" customWidth="1"/>
    <col min="14" max="14" width="12" customWidth="1"/>
    <col min="15" max="18" width="13" customWidth="1"/>
    <col min="19" max="21" width="17" customWidth="1"/>
    <col min="22" max="22" width="32" customWidth="1"/>
    <col min="23" max="23" width="28" customWidth="1"/>
    <col min="24" max="24" width="11" customWidth="1"/>
    <col min="25" max="26" width="19" customWidth="1"/>
    <col min="27" max="35" width="2" customWidth="1"/>
    <col min="37" max="42" width="2" customWidth="1"/>
  </cols>
  <sheetData>
    <row r="1" spans="1:42" ht="22.35" customHeight="1">
      <c r="A1" s="15" t="s">
        <v>315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t="s">
        <v>316</v>
      </c>
      <c r="AB1" t="s">
        <v>317</v>
      </c>
      <c r="AC1" t="s">
        <v>318</v>
      </c>
      <c r="AD1" t="s">
        <v>319</v>
      </c>
      <c r="AE1" t="s">
        <v>320</v>
      </c>
      <c r="AF1" t="s">
        <v>321</v>
      </c>
      <c r="AG1" t="s">
        <v>322</v>
      </c>
      <c r="AH1" t="s">
        <v>323</v>
      </c>
      <c r="AI1" t="s">
        <v>324</v>
      </c>
      <c r="AK1" t="s">
        <v>62</v>
      </c>
      <c r="AL1" t="s">
        <v>44</v>
      </c>
      <c r="AM1" t="s">
        <v>57</v>
      </c>
      <c r="AN1" t="s">
        <v>58</v>
      </c>
      <c r="AO1" t="s">
        <v>325</v>
      </c>
      <c r="AP1" t="s">
        <v>326</v>
      </c>
    </row>
    <row r="2" spans="1:42" ht="27.15" customHeight="1">
      <c r="A2" s="16" t="s">
        <v>327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t="s">
        <v>68</v>
      </c>
      <c r="AB2" t="s">
        <v>126</v>
      </c>
      <c r="AC2" t="s">
        <v>328</v>
      </c>
      <c r="AD2" t="s">
        <v>68</v>
      </c>
      <c r="AE2" t="s">
        <v>328</v>
      </c>
      <c r="AF2" t="s">
        <v>328</v>
      </c>
      <c r="AG2" t="s">
        <v>328</v>
      </c>
      <c r="AH2" t="s">
        <v>329</v>
      </c>
      <c r="AI2" t="s">
        <v>67</v>
      </c>
      <c r="AK2" t="s">
        <v>330</v>
      </c>
      <c r="AL2" t="s">
        <v>67</v>
      </c>
      <c r="AM2" t="s">
        <v>69</v>
      </c>
      <c r="AN2">
        <v>75</v>
      </c>
      <c r="AO2">
        <v>5</v>
      </c>
      <c r="AP2" t="s">
        <v>65</v>
      </c>
    </row>
    <row r="3" spans="1:42">
      <c r="AA3" t="s">
        <v>12</v>
      </c>
      <c r="AB3" t="s">
        <v>124</v>
      </c>
      <c r="AC3" t="s">
        <v>331</v>
      </c>
      <c r="AD3" t="s">
        <v>332</v>
      </c>
      <c r="AE3" t="s">
        <v>333</v>
      </c>
      <c r="AF3" t="s">
        <v>334</v>
      </c>
      <c r="AG3" t="s">
        <v>15</v>
      </c>
      <c r="AH3" t="s">
        <v>206</v>
      </c>
      <c r="AI3" t="s">
        <v>335</v>
      </c>
      <c r="AK3" t="s">
        <v>336</v>
      </c>
      <c r="AL3" t="s">
        <v>67</v>
      </c>
      <c r="AM3" t="s">
        <v>69</v>
      </c>
      <c r="AN3">
        <v>75</v>
      </c>
      <c r="AO3">
        <v>6</v>
      </c>
      <c r="AP3" t="s">
        <v>118</v>
      </c>
    </row>
    <row r="4" spans="1:42" ht="30.45" customHeight="1">
      <c r="A4" s="1" t="s">
        <v>41</v>
      </c>
      <c r="B4" s="1" t="s">
        <v>337</v>
      </c>
      <c r="C4" s="1" t="s">
        <v>338</v>
      </c>
      <c r="D4" s="1" t="s">
        <v>339</v>
      </c>
      <c r="E4" s="1" t="s">
        <v>340</v>
      </c>
      <c r="F4" s="1" t="s">
        <v>341</v>
      </c>
      <c r="G4" s="1" t="s">
        <v>342</v>
      </c>
      <c r="H4" s="1" t="s">
        <v>253</v>
      </c>
      <c r="I4" s="1" t="s">
        <v>343</v>
      </c>
      <c r="K4" s="1" t="s">
        <v>300</v>
      </c>
      <c r="L4" s="1" t="s">
        <v>344</v>
      </c>
      <c r="M4" s="1" t="s">
        <v>345</v>
      </c>
      <c r="N4" s="1" t="s">
        <v>346</v>
      </c>
      <c r="O4" s="1" t="s">
        <v>347</v>
      </c>
      <c r="P4" s="1" t="s">
        <v>348</v>
      </c>
      <c r="Q4" s="1" t="s">
        <v>349</v>
      </c>
      <c r="R4" s="1" t="s">
        <v>350</v>
      </c>
      <c r="S4" s="1" t="s">
        <v>351</v>
      </c>
      <c r="T4" s="1" t="s">
        <v>352</v>
      </c>
      <c r="U4" s="1" t="s">
        <v>353</v>
      </c>
      <c r="V4" s="1" t="s">
        <v>314</v>
      </c>
      <c r="W4" s="1" t="s">
        <v>57</v>
      </c>
      <c r="X4" s="1" t="s">
        <v>354</v>
      </c>
      <c r="Y4" s="1" t="s">
        <v>59</v>
      </c>
      <c r="Z4" s="1" t="s">
        <v>355</v>
      </c>
      <c r="AA4" t="s">
        <v>15</v>
      </c>
      <c r="AB4" t="s">
        <v>356</v>
      </c>
      <c r="AC4" t="s">
        <v>357</v>
      </c>
      <c r="AD4" t="s">
        <v>15</v>
      </c>
      <c r="AE4" t="s">
        <v>358</v>
      </c>
      <c r="AF4" t="s">
        <v>359</v>
      </c>
      <c r="AG4" t="s">
        <v>360</v>
      </c>
      <c r="AH4" t="s">
        <v>361</v>
      </c>
      <c r="AI4" t="s">
        <v>362</v>
      </c>
      <c r="AK4" t="s">
        <v>363</v>
      </c>
      <c r="AL4" t="s">
        <v>67</v>
      </c>
      <c r="AM4" t="s">
        <v>69</v>
      </c>
      <c r="AN4">
        <v>75</v>
      </c>
      <c r="AO4">
        <v>7</v>
      </c>
      <c r="AP4" t="s">
        <v>120</v>
      </c>
    </row>
    <row r="5" spans="1:42">
      <c r="A5" t="s">
        <v>64</v>
      </c>
      <c r="B5" t="s">
        <v>364</v>
      </c>
      <c r="C5" t="s">
        <v>66</v>
      </c>
      <c r="D5" t="s">
        <v>67</v>
      </c>
      <c r="E5" t="s">
        <v>245</v>
      </c>
      <c r="F5" t="s">
        <v>362</v>
      </c>
      <c r="G5" t="s">
        <v>365</v>
      </c>
      <c r="H5" t="s">
        <v>366</v>
      </c>
      <c r="K5" t="s">
        <v>65</v>
      </c>
      <c r="L5" t="s">
        <v>367</v>
      </c>
      <c r="M5" t="s">
        <v>368</v>
      </c>
      <c r="N5">
        <v>165</v>
      </c>
      <c r="Q5">
        <v>6</v>
      </c>
      <c r="V5" t="s">
        <v>369</v>
      </c>
      <c r="W5" t="s">
        <v>69</v>
      </c>
      <c r="X5">
        <v>75</v>
      </c>
      <c r="Y5" t="s">
        <v>70</v>
      </c>
      <c r="Z5" t="s">
        <v>370</v>
      </c>
      <c r="AA5" t="s">
        <v>371</v>
      </c>
      <c r="AB5" t="s">
        <v>372</v>
      </c>
      <c r="AC5" t="s">
        <v>373</v>
      </c>
      <c r="AD5" t="s">
        <v>371</v>
      </c>
      <c r="AE5" t="s">
        <v>374</v>
      </c>
      <c r="AG5" t="s">
        <v>375</v>
      </c>
      <c r="AH5" t="s">
        <v>376</v>
      </c>
      <c r="AI5" t="s">
        <v>377</v>
      </c>
      <c r="AK5" t="s">
        <v>378</v>
      </c>
      <c r="AL5" t="s">
        <v>67</v>
      </c>
      <c r="AM5" t="s">
        <v>69</v>
      </c>
      <c r="AN5">
        <v>75</v>
      </c>
      <c r="AO5">
        <v>8</v>
      </c>
      <c r="AP5" t="s">
        <v>122</v>
      </c>
    </row>
    <row r="6" spans="1:42">
      <c r="A6" t="s">
        <v>379</v>
      </c>
      <c r="B6" t="s">
        <v>364</v>
      </c>
      <c r="C6" t="s">
        <v>380</v>
      </c>
      <c r="D6" t="s">
        <v>377</v>
      </c>
      <c r="E6" t="s">
        <v>381</v>
      </c>
      <c r="G6" t="s">
        <v>382</v>
      </c>
      <c r="H6" t="s">
        <v>366</v>
      </c>
      <c r="K6" t="s">
        <v>118</v>
      </c>
      <c r="L6" t="s">
        <v>367</v>
      </c>
      <c r="M6" t="s">
        <v>383</v>
      </c>
      <c r="N6">
        <v>82</v>
      </c>
      <c r="Q6">
        <v>4</v>
      </c>
      <c r="V6" t="s">
        <v>369</v>
      </c>
      <c r="W6" t="s">
        <v>119</v>
      </c>
      <c r="X6">
        <v>75</v>
      </c>
      <c r="Y6" t="s">
        <v>70</v>
      </c>
      <c r="Z6" t="s">
        <v>370</v>
      </c>
      <c r="AA6" t="s">
        <v>123</v>
      </c>
      <c r="AC6" t="s">
        <v>384</v>
      </c>
      <c r="AD6" t="s">
        <v>123</v>
      </c>
      <c r="AE6" t="s">
        <v>385</v>
      </c>
      <c r="AI6" t="s">
        <v>386</v>
      </c>
      <c r="AK6" t="s">
        <v>387</v>
      </c>
      <c r="AL6" t="s">
        <v>67</v>
      </c>
      <c r="AM6" t="s">
        <v>69</v>
      </c>
      <c r="AN6">
        <v>75</v>
      </c>
      <c r="AO6">
        <v>9</v>
      </c>
      <c r="AP6" t="s">
        <v>127</v>
      </c>
    </row>
    <row r="7" spans="1:42">
      <c r="A7" t="s">
        <v>71</v>
      </c>
      <c r="B7" t="s">
        <v>388</v>
      </c>
      <c r="C7" t="s">
        <v>72</v>
      </c>
      <c r="D7" t="s">
        <v>67</v>
      </c>
      <c r="E7" t="s">
        <v>245</v>
      </c>
      <c r="F7" t="s">
        <v>362</v>
      </c>
      <c r="G7" t="s">
        <v>389</v>
      </c>
      <c r="H7" t="s">
        <v>366</v>
      </c>
      <c r="I7" t="s">
        <v>390</v>
      </c>
      <c r="K7" t="s">
        <v>120</v>
      </c>
      <c r="L7" t="s">
        <v>391</v>
      </c>
      <c r="M7" t="s">
        <v>392</v>
      </c>
      <c r="N7">
        <v>210</v>
      </c>
      <c r="Q7">
        <v>16</v>
      </c>
      <c r="V7" t="s">
        <v>369</v>
      </c>
      <c r="W7" t="s">
        <v>121</v>
      </c>
      <c r="X7">
        <v>75</v>
      </c>
      <c r="Y7" t="s">
        <v>70</v>
      </c>
      <c r="Z7" t="s">
        <v>370</v>
      </c>
      <c r="AA7" t="s">
        <v>393</v>
      </c>
      <c r="AD7" t="s">
        <v>393</v>
      </c>
      <c r="AE7" t="s">
        <v>359</v>
      </c>
      <c r="AI7" t="s">
        <v>394</v>
      </c>
      <c r="AK7" t="s">
        <v>395</v>
      </c>
      <c r="AL7" t="s">
        <v>81</v>
      </c>
      <c r="AM7" t="s">
        <v>69</v>
      </c>
      <c r="AN7">
        <v>75</v>
      </c>
      <c r="AO7">
        <v>10</v>
      </c>
      <c r="AP7" t="s">
        <v>128</v>
      </c>
    </row>
    <row r="8" spans="1:42">
      <c r="A8" t="s">
        <v>396</v>
      </c>
      <c r="B8" t="s">
        <v>388</v>
      </c>
      <c r="C8" t="s">
        <v>397</v>
      </c>
      <c r="D8" t="s">
        <v>377</v>
      </c>
      <c r="E8" t="s">
        <v>381</v>
      </c>
      <c r="F8" t="s">
        <v>362</v>
      </c>
      <c r="G8" t="s">
        <v>398</v>
      </c>
      <c r="H8" t="s">
        <v>366</v>
      </c>
      <c r="K8" t="s">
        <v>122</v>
      </c>
      <c r="L8" t="s">
        <v>399</v>
      </c>
      <c r="M8" t="s">
        <v>400</v>
      </c>
      <c r="N8">
        <v>81</v>
      </c>
      <c r="Q8">
        <v>9</v>
      </c>
      <c r="V8" t="s">
        <v>369</v>
      </c>
      <c r="W8" t="s">
        <v>125</v>
      </c>
      <c r="X8">
        <v>110</v>
      </c>
      <c r="Y8" t="s">
        <v>70</v>
      </c>
      <c r="Z8" t="s">
        <v>370</v>
      </c>
      <c r="AI8" t="s">
        <v>401</v>
      </c>
      <c r="AK8" t="s">
        <v>402</v>
      </c>
      <c r="AL8" t="s">
        <v>81</v>
      </c>
      <c r="AM8" t="s">
        <v>69</v>
      </c>
      <c r="AN8">
        <v>75</v>
      </c>
      <c r="AO8">
        <v>11</v>
      </c>
      <c r="AP8" t="s">
        <v>130</v>
      </c>
    </row>
    <row r="9" spans="1:42">
      <c r="A9" t="s">
        <v>73</v>
      </c>
      <c r="B9" t="s">
        <v>403</v>
      </c>
      <c r="C9" t="s">
        <v>74</v>
      </c>
      <c r="D9" t="s">
        <v>67</v>
      </c>
      <c r="E9" t="s">
        <v>245</v>
      </c>
      <c r="G9" t="s">
        <v>404</v>
      </c>
      <c r="H9" t="s">
        <v>366</v>
      </c>
      <c r="K9" t="s">
        <v>127</v>
      </c>
      <c r="L9" t="s">
        <v>392</v>
      </c>
      <c r="M9" t="s">
        <v>405</v>
      </c>
      <c r="N9">
        <v>182</v>
      </c>
      <c r="Q9">
        <v>7</v>
      </c>
      <c r="V9" t="s">
        <v>369</v>
      </c>
      <c r="W9" t="s">
        <v>121</v>
      </c>
      <c r="X9">
        <v>75</v>
      </c>
      <c r="Y9" t="s">
        <v>70</v>
      </c>
      <c r="Z9" t="s">
        <v>370</v>
      </c>
      <c r="AI9" t="s">
        <v>406</v>
      </c>
      <c r="AK9" t="s">
        <v>407</v>
      </c>
      <c r="AL9" t="s">
        <v>67</v>
      </c>
      <c r="AM9" t="s">
        <v>69</v>
      </c>
      <c r="AN9">
        <v>75</v>
      </c>
      <c r="AO9">
        <v>12</v>
      </c>
      <c r="AP9" t="s">
        <v>131</v>
      </c>
    </row>
    <row r="10" spans="1:42">
      <c r="A10" t="s">
        <v>75</v>
      </c>
      <c r="B10" t="s">
        <v>403</v>
      </c>
      <c r="C10" t="s">
        <v>76</v>
      </c>
      <c r="D10" t="s">
        <v>67</v>
      </c>
      <c r="E10" t="s">
        <v>245</v>
      </c>
      <c r="F10" t="s">
        <v>362</v>
      </c>
      <c r="G10" t="s">
        <v>408</v>
      </c>
      <c r="H10" t="s">
        <v>366</v>
      </c>
      <c r="I10" t="s">
        <v>409</v>
      </c>
      <c r="K10" t="s">
        <v>128</v>
      </c>
      <c r="L10" t="s">
        <v>392</v>
      </c>
      <c r="M10" t="s">
        <v>410</v>
      </c>
      <c r="N10">
        <v>80</v>
      </c>
      <c r="Q10">
        <v>8</v>
      </c>
      <c r="V10" t="s">
        <v>369</v>
      </c>
      <c r="W10" t="s">
        <v>129</v>
      </c>
      <c r="X10">
        <v>75</v>
      </c>
      <c r="Y10" t="s">
        <v>70</v>
      </c>
      <c r="Z10" t="s">
        <v>370</v>
      </c>
      <c r="AI10" t="s">
        <v>411</v>
      </c>
      <c r="AK10" t="s">
        <v>412</v>
      </c>
      <c r="AL10" t="s">
        <v>67</v>
      </c>
      <c r="AM10" t="s">
        <v>69</v>
      </c>
      <c r="AN10">
        <v>75</v>
      </c>
      <c r="AO10">
        <v>13</v>
      </c>
      <c r="AP10" t="s">
        <v>136</v>
      </c>
    </row>
    <row r="11" spans="1:42">
      <c r="A11" t="s">
        <v>77</v>
      </c>
      <c r="B11" t="s">
        <v>403</v>
      </c>
      <c r="C11" t="s">
        <v>78</v>
      </c>
      <c r="D11" t="s">
        <v>67</v>
      </c>
      <c r="E11" t="s">
        <v>245</v>
      </c>
      <c r="G11" t="s">
        <v>413</v>
      </c>
      <c r="H11" t="s">
        <v>366</v>
      </c>
      <c r="I11" t="s">
        <v>414</v>
      </c>
      <c r="K11" t="s">
        <v>130</v>
      </c>
      <c r="L11" t="s">
        <v>405</v>
      </c>
      <c r="M11" t="s">
        <v>415</v>
      </c>
      <c r="N11">
        <v>200</v>
      </c>
      <c r="Q11">
        <v>9</v>
      </c>
      <c r="V11" t="s">
        <v>369</v>
      </c>
      <c r="W11" t="s">
        <v>121</v>
      </c>
      <c r="X11">
        <v>75</v>
      </c>
      <c r="Y11" t="s">
        <v>70</v>
      </c>
      <c r="Z11" t="s">
        <v>370</v>
      </c>
      <c r="AI11" t="s">
        <v>81</v>
      </c>
      <c r="AK11" t="s">
        <v>416</v>
      </c>
      <c r="AL11" t="s">
        <v>81</v>
      </c>
      <c r="AM11" t="s">
        <v>69</v>
      </c>
      <c r="AN11">
        <v>75</v>
      </c>
      <c r="AO11">
        <v>14</v>
      </c>
      <c r="AP11" t="s">
        <v>139</v>
      </c>
    </row>
    <row r="12" spans="1:42">
      <c r="A12" t="s">
        <v>79</v>
      </c>
      <c r="B12" t="s">
        <v>417</v>
      </c>
      <c r="C12" t="s">
        <v>80</v>
      </c>
      <c r="D12" t="s">
        <v>81</v>
      </c>
      <c r="E12" t="s">
        <v>300</v>
      </c>
      <c r="G12" t="s">
        <v>418</v>
      </c>
      <c r="H12" t="s">
        <v>419</v>
      </c>
      <c r="I12" t="s">
        <v>420</v>
      </c>
      <c r="K12" t="s">
        <v>131</v>
      </c>
      <c r="L12" t="s">
        <v>405</v>
      </c>
      <c r="M12" t="s">
        <v>421</v>
      </c>
      <c r="N12">
        <v>98</v>
      </c>
      <c r="Q12">
        <v>8</v>
      </c>
      <c r="V12" t="s">
        <v>369</v>
      </c>
      <c r="W12" t="s">
        <v>132</v>
      </c>
      <c r="X12">
        <v>75</v>
      </c>
      <c r="Y12" t="s">
        <v>70</v>
      </c>
      <c r="Z12" t="s">
        <v>370</v>
      </c>
      <c r="AI12" t="s">
        <v>422</v>
      </c>
      <c r="AK12" t="s">
        <v>423</v>
      </c>
      <c r="AL12" t="s">
        <v>81</v>
      </c>
      <c r="AM12" t="s">
        <v>69</v>
      </c>
      <c r="AN12">
        <v>75</v>
      </c>
      <c r="AO12">
        <v>15</v>
      </c>
      <c r="AP12" t="s">
        <v>143</v>
      </c>
    </row>
    <row r="13" spans="1:42">
      <c r="A13" t="s">
        <v>82</v>
      </c>
      <c r="B13" t="s">
        <v>417</v>
      </c>
      <c r="C13" t="s">
        <v>83</v>
      </c>
      <c r="D13" t="s">
        <v>81</v>
      </c>
      <c r="E13" t="s">
        <v>300</v>
      </c>
      <c r="G13" t="s">
        <v>418</v>
      </c>
      <c r="H13" t="s">
        <v>419</v>
      </c>
      <c r="I13" t="s">
        <v>424</v>
      </c>
      <c r="K13" t="s">
        <v>134</v>
      </c>
      <c r="L13" t="s">
        <v>415</v>
      </c>
      <c r="M13" t="s">
        <v>425</v>
      </c>
      <c r="N13">
        <v>78</v>
      </c>
      <c r="Q13">
        <v>0</v>
      </c>
      <c r="V13" t="s">
        <v>369</v>
      </c>
      <c r="W13" t="s">
        <v>135</v>
      </c>
      <c r="X13">
        <v>75</v>
      </c>
      <c r="Y13" t="s">
        <v>70</v>
      </c>
      <c r="Z13" t="s">
        <v>370</v>
      </c>
      <c r="AK13" t="s">
        <v>426</v>
      </c>
      <c r="AL13" t="s">
        <v>81</v>
      </c>
      <c r="AM13" t="s">
        <v>69</v>
      </c>
      <c r="AN13">
        <v>75</v>
      </c>
      <c r="AO13">
        <v>16</v>
      </c>
      <c r="AP13" t="s">
        <v>144</v>
      </c>
    </row>
    <row r="14" spans="1:42">
      <c r="A14" t="s">
        <v>84</v>
      </c>
      <c r="B14" t="s">
        <v>427</v>
      </c>
      <c r="C14" t="s">
        <v>85</v>
      </c>
      <c r="D14" t="s">
        <v>67</v>
      </c>
      <c r="E14" t="s">
        <v>245</v>
      </c>
      <c r="G14" t="s">
        <v>428</v>
      </c>
      <c r="H14" t="s">
        <v>366</v>
      </c>
      <c r="I14" t="s">
        <v>429</v>
      </c>
      <c r="K14" t="s">
        <v>136</v>
      </c>
      <c r="L14" t="s">
        <v>430</v>
      </c>
      <c r="M14" t="s">
        <v>431</v>
      </c>
      <c r="N14">
        <v>136</v>
      </c>
      <c r="Q14">
        <v>4</v>
      </c>
      <c r="V14" t="s">
        <v>369</v>
      </c>
      <c r="W14" t="s">
        <v>137</v>
      </c>
      <c r="X14">
        <v>75</v>
      </c>
      <c r="Y14" t="s">
        <v>70</v>
      </c>
      <c r="Z14" t="s">
        <v>370</v>
      </c>
      <c r="AK14" t="s">
        <v>432</v>
      </c>
      <c r="AL14" t="s">
        <v>81</v>
      </c>
      <c r="AM14" t="s">
        <v>69</v>
      </c>
      <c r="AN14">
        <v>75</v>
      </c>
      <c r="AO14">
        <v>17</v>
      </c>
      <c r="AP14" t="s">
        <v>146</v>
      </c>
    </row>
    <row r="15" spans="1:42">
      <c r="A15" t="s">
        <v>86</v>
      </c>
      <c r="B15" t="s">
        <v>427</v>
      </c>
      <c r="C15" t="s">
        <v>87</v>
      </c>
      <c r="D15" t="s">
        <v>67</v>
      </c>
      <c r="E15" t="s">
        <v>245</v>
      </c>
      <c r="G15" t="s">
        <v>433</v>
      </c>
      <c r="H15" t="s">
        <v>366</v>
      </c>
      <c r="I15" t="s">
        <v>434</v>
      </c>
      <c r="K15" t="s">
        <v>138</v>
      </c>
      <c r="L15" t="s">
        <v>400</v>
      </c>
      <c r="M15" t="s">
        <v>431</v>
      </c>
      <c r="N15">
        <v>7</v>
      </c>
      <c r="Q15">
        <v>0</v>
      </c>
      <c r="V15" t="s">
        <v>369</v>
      </c>
      <c r="W15" t="s">
        <v>125</v>
      </c>
      <c r="X15">
        <v>110</v>
      </c>
      <c r="Y15" t="s">
        <v>70</v>
      </c>
      <c r="Z15" t="s">
        <v>370</v>
      </c>
      <c r="AK15" t="s">
        <v>435</v>
      </c>
      <c r="AL15" t="s">
        <v>67</v>
      </c>
      <c r="AM15" t="s">
        <v>69</v>
      </c>
      <c r="AN15">
        <v>75</v>
      </c>
      <c r="AO15">
        <v>18</v>
      </c>
      <c r="AP15" t="s">
        <v>147</v>
      </c>
    </row>
    <row r="16" spans="1:42">
      <c r="A16" t="s">
        <v>436</v>
      </c>
      <c r="B16" t="s">
        <v>437</v>
      </c>
      <c r="C16" t="s">
        <v>438</v>
      </c>
      <c r="D16" t="s">
        <v>377</v>
      </c>
      <c r="E16" t="s">
        <v>381</v>
      </c>
      <c r="G16" t="s">
        <v>439</v>
      </c>
      <c r="H16" t="s">
        <v>366</v>
      </c>
      <c r="K16" t="s">
        <v>139</v>
      </c>
      <c r="L16" t="s">
        <v>400</v>
      </c>
      <c r="M16" t="s">
        <v>410</v>
      </c>
      <c r="N16">
        <v>245</v>
      </c>
      <c r="Q16">
        <v>10</v>
      </c>
      <c r="V16" t="s">
        <v>369</v>
      </c>
      <c r="W16" t="s">
        <v>125</v>
      </c>
      <c r="X16">
        <v>110</v>
      </c>
      <c r="Y16" t="s">
        <v>70</v>
      </c>
      <c r="Z16" t="s">
        <v>370</v>
      </c>
      <c r="AK16" t="s">
        <v>440</v>
      </c>
      <c r="AL16" t="s">
        <v>67</v>
      </c>
      <c r="AM16" t="s">
        <v>69</v>
      </c>
      <c r="AN16">
        <v>75</v>
      </c>
      <c r="AO16">
        <v>19</v>
      </c>
      <c r="AP16" t="s">
        <v>149</v>
      </c>
    </row>
    <row r="17" spans="1:42">
      <c r="A17" t="s">
        <v>441</v>
      </c>
      <c r="B17" t="s">
        <v>442</v>
      </c>
      <c r="C17" t="s">
        <v>443</v>
      </c>
      <c r="D17" t="s">
        <v>377</v>
      </c>
      <c r="E17" t="s">
        <v>444</v>
      </c>
      <c r="G17" t="s">
        <v>445</v>
      </c>
      <c r="H17" t="s">
        <v>366</v>
      </c>
      <c r="K17" t="s">
        <v>142</v>
      </c>
      <c r="L17" t="s">
        <v>410</v>
      </c>
      <c r="M17" t="s">
        <v>446</v>
      </c>
      <c r="N17">
        <v>24</v>
      </c>
      <c r="Q17">
        <v>0</v>
      </c>
      <c r="V17" t="s">
        <v>369</v>
      </c>
      <c r="W17" t="s">
        <v>119</v>
      </c>
      <c r="X17">
        <v>110</v>
      </c>
      <c r="Y17" t="s">
        <v>70</v>
      </c>
      <c r="Z17" t="s">
        <v>370</v>
      </c>
      <c r="AK17" t="s">
        <v>447</v>
      </c>
      <c r="AL17" t="s">
        <v>81</v>
      </c>
      <c r="AM17" t="s">
        <v>69</v>
      </c>
      <c r="AN17">
        <v>75</v>
      </c>
      <c r="AO17">
        <v>20</v>
      </c>
      <c r="AP17" t="s">
        <v>151</v>
      </c>
    </row>
    <row r="18" spans="1:42">
      <c r="A18" t="s">
        <v>448</v>
      </c>
      <c r="B18" t="s">
        <v>442</v>
      </c>
      <c r="C18" t="s">
        <v>449</v>
      </c>
      <c r="D18" t="s">
        <v>377</v>
      </c>
      <c r="E18" t="s">
        <v>444</v>
      </c>
      <c r="G18" t="s">
        <v>450</v>
      </c>
      <c r="H18" t="s">
        <v>366</v>
      </c>
      <c r="K18" t="s">
        <v>143</v>
      </c>
      <c r="L18" t="s">
        <v>446</v>
      </c>
      <c r="M18" t="s">
        <v>451</v>
      </c>
      <c r="N18">
        <v>88</v>
      </c>
      <c r="Q18">
        <v>8</v>
      </c>
      <c r="V18" t="s">
        <v>369</v>
      </c>
      <c r="W18" t="s">
        <v>125</v>
      </c>
      <c r="X18">
        <v>110</v>
      </c>
      <c r="Y18" t="s">
        <v>70</v>
      </c>
      <c r="Z18" t="s">
        <v>370</v>
      </c>
      <c r="AK18" t="s">
        <v>452</v>
      </c>
      <c r="AL18" t="s">
        <v>67</v>
      </c>
      <c r="AM18" t="s">
        <v>69</v>
      </c>
      <c r="AN18">
        <v>75</v>
      </c>
      <c r="AO18">
        <v>21</v>
      </c>
      <c r="AP18" t="s">
        <v>153</v>
      </c>
    </row>
    <row r="19" spans="1:42">
      <c r="A19" t="s">
        <v>453</v>
      </c>
      <c r="B19" t="s">
        <v>442</v>
      </c>
      <c r="C19" t="s">
        <v>454</v>
      </c>
      <c r="D19" t="s">
        <v>377</v>
      </c>
      <c r="E19" t="s">
        <v>444</v>
      </c>
      <c r="G19" t="s">
        <v>455</v>
      </c>
      <c r="H19" t="s">
        <v>366</v>
      </c>
      <c r="I19" t="s">
        <v>456</v>
      </c>
      <c r="K19" t="s">
        <v>144</v>
      </c>
      <c r="L19" t="s">
        <v>446</v>
      </c>
      <c r="M19" t="s">
        <v>457</v>
      </c>
      <c r="N19">
        <v>113</v>
      </c>
      <c r="Q19">
        <v>3</v>
      </c>
      <c r="V19" t="s">
        <v>369</v>
      </c>
      <c r="W19" t="s">
        <v>145</v>
      </c>
      <c r="X19">
        <v>75</v>
      </c>
      <c r="Y19" t="s">
        <v>70</v>
      </c>
      <c r="Z19" t="s">
        <v>370</v>
      </c>
      <c r="AK19" t="s">
        <v>458</v>
      </c>
      <c r="AL19" t="s">
        <v>67</v>
      </c>
      <c r="AM19" t="s">
        <v>69</v>
      </c>
      <c r="AN19">
        <v>75</v>
      </c>
      <c r="AO19">
        <v>22</v>
      </c>
      <c r="AP19" t="s">
        <v>154</v>
      </c>
    </row>
    <row r="20" spans="1:42">
      <c r="A20" t="s">
        <v>459</v>
      </c>
      <c r="B20" t="s">
        <v>442</v>
      </c>
      <c r="C20" t="s">
        <v>460</v>
      </c>
      <c r="D20" t="s">
        <v>377</v>
      </c>
      <c r="E20" t="s">
        <v>444</v>
      </c>
      <c r="G20" t="s">
        <v>461</v>
      </c>
      <c r="H20" t="s">
        <v>366</v>
      </c>
      <c r="K20" t="s">
        <v>146</v>
      </c>
      <c r="L20" t="s">
        <v>451</v>
      </c>
      <c r="M20" t="s">
        <v>421</v>
      </c>
      <c r="N20">
        <v>77</v>
      </c>
      <c r="Q20">
        <v>6</v>
      </c>
      <c r="V20" t="s">
        <v>369</v>
      </c>
      <c r="W20" t="s">
        <v>125</v>
      </c>
      <c r="X20">
        <v>110</v>
      </c>
      <c r="Y20" t="s">
        <v>70</v>
      </c>
      <c r="Z20" t="s">
        <v>370</v>
      </c>
      <c r="AK20" t="s">
        <v>462</v>
      </c>
      <c r="AL20" t="s">
        <v>67</v>
      </c>
      <c r="AM20" t="s">
        <v>69</v>
      </c>
      <c r="AN20">
        <v>75</v>
      </c>
      <c r="AO20">
        <v>23</v>
      </c>
      <c r="AP20" t="s">
        <v>155</v>
      </c>
    </row>
    <row r="21" spans="1:42">
      <c r="A21" t="s">
        <v>463</v>
      </c>
      <c r="B21" t="s">
        <v>442</v>
      </c>
      <c r="C21" t="s">
        <v>464</v>
      </c>
      <c r="D21" t="s">
        <v>377</v>
      </c>
      <c r="E21" t="s">
        <v>444</v>
      </c>
      <c r="G21" t="s">
        <v>465</v>
      </c>
      <c r="H21" t="s">
        <v>366</v>
      </c>
      <c r="K21" t="s">
        <v>147</v>
      </c>
      <c r="L21" t="s">
        <v>451</v>
      </c>
      <c r="M21" t="s">
        <v>466</v>
      </c>
      <c r="N21">
        <v>117</v>
      </c>
      <c r="Q21">
        <v>6</v>
      </c>
      <c r="V21" t="s">
        <v>369</v>
      </c>
      <c r="W21" t="s">
        <v>148</v>
      </c>
      <c r="X21">
        <v>75</v>
      </c>
      <c r="Y21" t="s">
        <v>70</v>
      </c>
      <c r="Z21" t="s">
        <v>370</v>
      </c>
      <c r="AK21" t="s">
        <v>467</v>
      </c>
      <c r="AL21" t="s">
        <v>81</v>
      </c>
      <c r="AM21" t="s">
        <v>69</v>
      </c>
      <c r="AN21">
        <v>75</v>
      </c>
      <c r="AO21">
        <v>24</v>
      </c>
      <c r="AP21" t="s">
        <v>156</v>
      </c>
    </row>
    <row r="22" spans="1:42">
      <c r="A22" t="s">
        <v>468</v>
      </c>
      <c r="B22" t="s">
        <v>442</v>
      </c>
      <c r="C22" t="s">
        <v>469</v>
      </c>
      <c r="D22" t="s">
        <v>377</v>
      </c>
      <c r="E22" t="s">
        <v>444</v>
      </c>
      <c r="G22" t="s">
        <v>470</v>
      </c>
      <c r="H22" t="s">
        <v>366</v>
      </c>
      <c r="K22" t="s">
        <v>149</v>
      </c>
      <c r="L22" t="s">
        <v>368</v>
      </c>
      <c r="M22" t="s">
        <v>471</v>
      </c>
      <c r="N22">
        <v>190</v>
      </c>
      <c r="Q22">
        <v>10</v>
      </c>
      <c r="V22" t="s">
        <v>369</v>
      </c>
      <c r="W22" t="s">
        <v>69</v>
      </c>
      <c r="X22">
        <v>75</v>
      </c>
      <c r="Y22" t="s">
        <v>70</v>
      </c>
      <c r="Z22" t="s">
        <v>370</v>
      </c>
      <c r="AK22" t="s">
        <v>472</v>
      </c>
      <c r="AL22" t="s">
        <v>67</v>
      </c>
      <c r="AM22" t="s">
        <v>69</v>
      </c>
      <c r="AN22">
        <v>75</v>
      </c>
      <c r="AO22">
        <v>25</v>
      </c>
      <c r="AP22" t="s">
        <v>160</v>
      </c>
    </row>
    <row r="23" spans="1:42">
      <c r="A23" t="s">
        <v>88</v>
      </c>
      <c r="B23" t="s">
        <v>473</v>
      </c>
      <c r="C23" t="s">
        <v>89</v>
      </c>
      <c r="D23" t="s">
        <v>81</v>
      </c>
      <c r="E23" t="s">
        <v>300</v>
      </c>
      <c r="G23" t="s">
        <v>474</v>
      </c>
      <c r="H23" t="s">
        <v>419</v>
      </c>
      <c r="I23" t="s">
        <v>475</v>
      </c>
      <c r="K23" t="s">
        <v>150</v>
      </c>
      <c r="L23" t="s">
        <v>368</v>
      </c>
      <c r="M23" t="s">
        <v>476</v>
      </c>
      <c r="N23">
        <v>40</v>
      </c>
      <c r="Q23">
        <v>0</v>
      </c>
      <c r="V23" t="s">
        <v>369</v>
      </c>
      <c r="W23" t="s">
        <v>125</v>
      </c>
      <c r="X23">
        <v>110</v>
      </c>
      <c r="Y23" t="s">
        <v>70</v>
      </c>
      <c r="Z23" t="s">
        <v>370</v>
      </c>
      <c r="AK23" t="s">
        <v>477</v>
      </c>
      <c r="AL23" t="s">
        <v>67</v>
      </c>
      <c r="AM23" t="s">
        <v>69</v>
      </c>
      <c r="AN23">
        <v>75</v>
      </c>
      <c r="AO23">
        <v>26</v>
      </c>
      <c r="AP23" t="s">
        <v>163</v>
      </c>
    </row>
    <row r="24" spans="1:42">
      <c r="A24" t="s">
        <v>90</v>
      </c>
      <c r="B24" t="s">
        <v>473</v>
      </c>
      <c r="C24" t="s">
        <v>91</v>
      </c>
      <c r="D24" t="s">
        <v>81</v>
      </c>
      <c r="E24" t="s">
        <v>300</v>
      </c>
      <c r="G24" t="s">
        <v>478</v>
      </c>
      <c r="H24" t="s">
        <v>419</v>
      </c>
      <c r="K24" t="s">
        <v>151</v>
      </c>
      <c r="L24" t="s">
        <v>368</v>
      </c>
      <c r="M24" t="s">
        <v>479</v>
      </c>
      <c r="N24">
        <v>55</v>
      </c>
      <c r="Q24">
        <v>4</v>
      </c>
      <c r="V24" t="s">
        <v>369</v>
      </c>
      <c r="W24" t="s">
        <v>125</v>
      </c>
      <c r="X24">
        <v>75</v>
      </c>
      <c r="Y24" t="s">
        <v>70</v>
      </c>
      <c r="Z24" t="s">
        <v>370</v>
      </c>
      <c r="AK24" t="s">
        <v>480</v>
      </c>
      <c r="AL24" t="s">
        <v>67</v>
      </c>
      <c r="AM24" t="s">
        <v>69</v>
      </c>
      <c r="AN24">
        <v>75</v>
      </c>
      <c r="AO24">
        <v>27</v>
      </c>
      <c r="AP24" t="s">
        <v>165</v>
      </c>
    </row>
    <row r="25" spans="1:42">
      <c r="A25" t="s">
        <v>92</v>
      </c>
      <c r="B25" t="s">
        <v>473</v>
      </c>
      <c r="C25" t="s">
        <v>93</v>
      </c>
      <c r="D25" t="s">
        <v>81</v>
      </c>
      <c r="E25" t="s">
        <v>300</v>
      </c>
      <c r="G25" t="s">
        <v>478</v>
      </c>
      <c r="H25" t="s">
        <v>419</v>
      </c>
      <c r="K25" t="s">
        <v>152</v>
      </c>
      <c r="L25" t="s">
        <v>421</v>
      </c>
      <c r="M25" t="s">
        <v>481</v>
      </c>
      <c r="N25">
        <v>2</v>
      </c>
      <c r="Q25">
        <v>0</v>
      </c>
      <c r="V25" t="s">
        <v>369</v>
      </c>
      <c r="W25" t="s">
        <v>125</v>
      </c>
      <c r="X25">
        <v>110</v>
      </c>
      <c r="Y25" t="s">
        <v>70</v>
      </c>
      <c r="Z25" t="s">
        <v>370</v>
      </c>
      <c r="AK25" t="s">
        <v>482</v>
      </c>
      <c r="AL25" t="s">
        <v>81</v>
      </c>
      <c r="AM25" t="s">
        <v>69</v>
      </c>
      <c r="AN25">
        <v>75</v>
      </c>
      <c r="AO25">
        <v>28</v>
      </c>
      <c r="AP25" t="s">
        <v>166</v>
      </c>
    </row>
    <row r="26" spans="1:42">
      <c r="A26" t="s">
        <v>94</v>
      </c>
      <c r="B26" t="s">
        <v>473</v>
      </c>
      <c r="C26" t="s">
        <v>95</v>
      </c>
      <c r="D26" t="s">
        <v>81</v>
      </c>
      <c r="E26" t="s">
        <v>300</v>
      </c>
      <c r="G26" t="s">
        <v>483</v>
      </c>
      <c r="H26" t="s">
        <v>419</v>
      </c>
      <c r="I26" t="s">
        <v>484</v>
      </c>
      <c r="K26" t="s">
        <v>153</v>
      </c>
      <c r="L26" t="s">
        <v>481</v>
      </c>
      <c r="M26" t="s">
        <v>485</v>
      </c>
      <c r="N26">
        <v>97</v>
      </c>
      <c r="Q26">
        <v>8</v>
      </c>
      <c r="V26" t="s">
        <v>369</v>
      </c>
      <c r="W26" t="s">
        <v>125</v>
      </c>
      <c r="X26">
        <v>110</v>
      </c>
      <c r="Y26" t="s">
        <v>70</v>
      </c>
      <c r="Z26" t="s">
        <v>370</v>
      </c>
      <c r="AK26" t="s">
        <v>486</v>
      </c>
      <c r="AL26" t="s">
        <v>67</v>
      </c>
      <c r="AM26" t="s">
        <v>119</v>
      </c>
      <c r="AN26">
        <v>75</v>
      </c>
      <c r="AO26">
        <v>29</v>
      </c>
      <c r="AP26" t="s">
        <v>167</v>
      </c>
    </row>
    <row r="27" spans="1:42">
      <c r="A27" t="s">
        <v>96</v>
      </c>
      <c r="B27" t="s">
        <v>487</v>
      </c>
      <c r="C27" t="s">
        <v>97</v>
      </c>
      <c r="D27" t="s">
        <v>67</v>
      </c>
      <c r="E27" t="s">
        <v>245</v>
      </c>
      <c r="F27" t="s">
        <v>362</v>
      </c>
      <c r="G27" t="s">
        <v>488</v>
      </c>
      <c r="H27" t="s">
        <v>366</v>
      </c>
      <c r="I27" t="s">
        <v>489</v>
      </c>
      <c r="K27" t="s">
        <v>154</v>
      </c>
      <c r="L27" t="s">
        <v>481</v>
      </c>
      <c r="M27" t="s">
        <v>490</v>
      </c>
      <c r="N27">
        <v>102</v>
      </c>
      <c r="Q27">
        <v>5</v>
      </c>
      <c r="V27" t="s">
        <v>369</v>
      </c>
      <c r="W27" t="s">
        <v>132</v>
      </c>
      <c r="X27">
        <v>75</v>
      </c>
      <c r="Y27" t="s">
        <v>70</v>
      </c>
      <c r="Z27" t="s">
        <v>370</v>
      </c>
      <c r="AK27" t="s">
        <v>491</v>
      </c>
      <c r="AL27" t="s">
        <v>67</v>
      </c>
      <c r="AM27" t="s">
        <v>119</v>
      </c>
      <c r="AN27">
        <v>75</v>
      </c>
      <c r="AO27">
        <v>30</v>
      </c>
      <c r="AP27" t="s">
        <v>179</v>
      </c>
    </row>
    <row r="28" spans="1:42">
      <c r="A28" t="s">
        <v>98</v>
      </c>
      <c r="B28" t="s">
        <v>487</v>
      </c>
      <c r="C28" t="s">
        <v>99</v>
      </c>
      <c r="D28" t="s">
        <v>67</v>
      </c>
      <c r="E28" t="s">
        <v>245</v>
      </c>
      <c r="G28" t="s">
        <v>492</v>
      </c>
      <c r="H28" t="s">
        <v>366</v>
      </c>
      <c r="I28" t="s">
        <v>493</v>
      </c>
      <c r="K28" t="s">
        <v>155</v>
      </c>
      <c r="L28" t="s">
        <v>485</v>
      </c>
      <c r="M28" t="s">
        <v>494</v>
      </c>
      <c r="N28">
        <v>96</v>
      </c>
      <c r="Q28">
        <v>8</v>
      </c>
      <c r="V28" t="s">
        <v>369</v>
      </c>
      <c r="W28" t="s">
        <v>125</v>
      </c>
      <c r="X28">
        <v>110</v>
      </c>
      <c r="Y28" t="s">
        <v>70</v>
      </c>
      <c r="Z28" t="s">
        <v>370</v>
      </c>
      <c r="AK28" t="s">
        <v>495</v>
      </c>
      <c r="AL28" t="s">
        <v>67</v>
      </c>
      <c r="AM28" t="s">
        <v>119</v>
      </c>
      <c r="AN28">
        <v>75</v>
      </c>
      <c r="AO28">
        <v>31</v>
      </c>
      <c r="AP28" t="s">
        <v>181</v>
      </c>
    </row>
    <row r="29" spans="1:42">
      <c r="A29" t="s">
        <v>100</v>
      </c>
      <c r="B29" t="s">
        <v>487</v>
      </c>
      <c r="C29" t="s">
        <v>101</v>
      </c>
      <c r="D29" t="s">
        <v>81</v>
      </c>
      <c r="E29" t="s">
        <v>300</v>
      </c>
      <c r="G29" t="s">
        <v>418</v>
      </c>
      <c r="H29" t="s">
        <v>419</v>
      </c>
      <c r="K29" t="s">
        <v>156</v>
      </c>
      <c r="L29" t="s">
        <v>485</v>
      </c>
      <c r="M29" t="s">
        <v>496</v>
      </c>
      <c r="N29">
        <v>92</v>
      </c>
      <c r="Q29">
        <v>6</v>
      </c>
      <c r="V29" t="s">
        <v>369</v>
      </c>
      <c r="W29" t="s">
        <v>157</v>
      </c>
      <c r="X29">
        <v>75</v>
      </c>
      <c r="Y29" t="s">
        <v>70</v>
      </c>
      <c r="Z29" t="s">
        <v>370</v>
      </c>
      <c r="AK29" t="s">
        <v>497</v>
      </c>
      <c r="AL29" t="s">
        <v>67</v>
      </c>
      <c r="AM29" t="s">
        <v>119</v>
      </c>
      <c r="AN29">
        <v>75</v>
      </c>
      <c r="AO29">
        <v>32</v>
      </c>
      <c r="AP29" t="s">
        <v>183</v>
      </c>
    </row>
    <row r="30" spans="1:42">
      <c r="A30" t="s">
        <v>102</v>
      </c>
      <c r="B30" t="s">
        <v>498</v>
      </c>
      <c r="C30" t="s">
        <v>103</v>
      </c>
      <c r="D30" t="s">
        <v>67</v>
      </c>
      <c r="E30" t="s">
        <v>245</v>
      </c>
      <c r="F30" t="s">
        <v>362</v>
      </c>
      <c r="G30" t="s">
        <v>499</v>
      </c>
      <c r="H30" t="s">
        <v>366</v>
      </c>
      <c r="K30" t="s">
        <v>158</v>
      </c>
      <c r="L30" t="s">
        <v>425</v>
      </c>
      <c r="M30" t="s">
        <v>494</v>
      </c>
      <c r="N30">
        <v>8</v>
      </c>
      <c r="Q30">
        <v>0</v>
      </c>
      <c r="V30" t="s">
        <v>369</v>
      </c>
      <c r="W30" t="s">
        <v>135</v>
      </c>
      <c r="X30">
        <v>110</v>
      </c>
      <c r="Y30" t="s">
        <v>70</v>
      </c>
      <c r="Z30" t="s">
        <v>370</v>
      </c>
      <c r="AK30" t="s">
        <v>500</v>
      </c>
      <c r="AL30" t="s">
        <v>67</v>
      </c>
      <c r="AM30" t="s">
        <v>119</v>
      </c>
      <c r="AN30">
        <v>75</v>
      </c>
      <c r="AO30">
        <v>33</v>
      </c>
      <c r="AP30" t="s">
        <v>184</v>
      </c>
    </row>
    <row r="31" spans="1:42">
      <c r="A31" t="s">
        <v>104</v>
      </c>
      <c r="B31" t="s">
        <v>498</v>
      </c>
      <c r="C31" t="s">
        <v>105</v>
      </c>
      <c r="D31" t="s">
        <v>67</v>
      </c>
      <c r="E31" t="s">
        <v>245</v>
      </c>
      <c r="G31" t="s">
        <v>501</v>
      </c>
      <c r="H31" t="s">
        <v>366</v>
      </c>
      <c r="K31" t="s">
        <v>159</v>
      </c>
      <c r="L31" t="s">
        <v>494</v>
      </c>
      <c r="M31" t="s">
        <v>502</v>
      </c>
      <c r="N31">
        <v>15</v>
      </c>
      <c r="Q31">
        <v>0</v>
      </c>
      <c r="V31" t="s">
        <v>369</v>
      </c>
      <c r="W31" t="s">
        <v>125</v>
      </c>
      <c r="X31">
        <v>110</v>
      </c>
      <c r="Y31" t="s">
        <v>70</v>
      </c>
      <c r="Z31" t="s">
        <v>370</v>
      </c>
      <c r="AK31" t="s">
        <v>503</v>
      </c>
      <c r="AL31" t="s">
        <v>81</v>
      </c>
      <c r="AM31" t="s">
        <v>119</v>
      </c>
      <c r="AN31">
        <v>75</v>
      </c>
      <c r="AO31">
        <v>34</v>
      </c>
      <c r="AP31" t="s">
        <v>185</v>
      </c>
    </row>
    <row r="32" spans="1:42">
      <c r="A32" t="s">
        <v>106</v>
      </c>
      <c r="B32" t="s">
        <v>498</v>
      </c>
      <c r="C32" t="s">
        <v>107</v>
      </c>
      <c r="D32" t="s">
        <v>67</v>
      </c>
      <c r="E32" t="s">
        <v>245</v>
      </c>
      <c r="G32" t="s">
        <v>492</v>
      </c>
      <c r="H32" t="s">
        <v>366</v>
      </c>
      <c r="K32" t="s">
        <v>160</v>
      </c>
      <c r="L32" t="s">
        <v>502</v>
      </c>
      <c r="M32" t="s">
        <v>504</v>
      </c>
      <c r="N32">
        <v>76</v>
      </c>
      <c r="Q32">
        <v>4</v>
      </c>
      <c r="V32" t="s">
        <v>369</v>
      </c>
      <c r="W32" t="s">
        <v>135</v>
      </c>
      <c r="X32">
        <v>75</v>
      </c>
      <c r="Y32" t="s">
        <v>70</v>
      </c>
      <c r="Z32" t="s">
        <v>370</v>
      </c>
      <c r="AK32" t="s">
        <v>505</v>
      </c>
      <c r="AL32" t="s">
        <v>81</v>
      </c>
      <c r="AM32" t="s">
        <v>119</v>
      </c>
      <c r="AN32">
        <v>75</v>
      </c>
      <c r="AO32">
        <v>35</v>
      </c>
      <c r="AP32" t="s">
        <v>186</v>
      </c>
    </row>
    <row r="33" spans="1:42">
      <c r="A33" t="s">
        <v>108</v>
      </c>
      <c r="B33" t="s">
        <v>498</v>
      </c>
      <c r="C33" t="s">
        <v>109</v>
      </c>
      <c r="D33" t="s">
        <v>81</v>
      </c>
      <c r="E33" t="s">
        <v>300</v>
      </c>
      <c r="G33" t="s">
        <v>418</v>
      </c>
      <c r="H33" t="s">
        <v>419</v>
      </c>
      <c r="K33" t="s">
        <v>161</v>
      </c>
      <c r="L33" t="s">
        <v>425</v>
      </c>
      <c r="M33" t="s">
        <v>506</v>
      </c>
      <c r="N33">
        <v>84</v>
      </c>
      <c r="Q33">
        <v>0</v>
      </c>
      <c r="V33" t="s">
        <v>369</v>
      </c>
      <c r="W33" t="s">
        <v>162</v>
      </c>
      <c r="X33">
        <v>110</v>
      </c>
      <c r="Y33" t="s">
        <v>70</v>
      </c>
      <c r="Z33" t="s">
        <v>370</v>
      </c>
      <c r="AK33" t="s">
        <v>507</v>
      </c>
      <c r="AL33" t="s">
        <v>67</v>
      </c>
      <c r="AM33" t="s">
        <v>119</v>
      </c>
      <c r="AN33">
        <v>75</v>
      </c>
      <c r="AO33">
        <v>36</v>
      </c>
      <c r="AP33" t="s">
        <v>187</v>
      </c>
    </row>
    <row r="34" spans="1:42">
      <c r="A34" t="s">
        <v>110</v>
      </c>
      <c r="B34" t="s">
        <v>508</v>
      </c>
      <c r="C34" t="s">
        <v>111</v>
      </c>
      <c r="D34" t="s">
        <v>67</v>
      </c>
      <c r="E34" t="s">
        <v>245</v>
      </c>
      <c r="F34" t="s">
        <v>362</v>
      </c>
      <c r="G34" t="s">
        <v>499</v>
      </c>
      <c r="H34" t="s">
        <v>366</v>
      </c>
      <c r="K34" t="s">
        <v>163</v>
      </c>
      <c r="L34" t="s">
        <v>457</v>
      </c>
      <c r="M34" t="s">
        <v>466</v>
      </c>
      <c r="N34">
        <v>81</v>
      </c>
      <c r="Q34">
        <v>4</v>
      </c>
      <c r="V34" t="s">
        <v>369</v>
      </c>
      <c r="W34" t="s">
        <v>164</v>
      </c>
      <c r="X34">
        <v>75</v>
      </c>
      <c r="Y34" t="s">
        <v>70</v>
      </c>
      <c r="Z34" t="s">
        <v>370</v>
      </c>
      <c r="AK34" t="s">
        <v>509</v>
      </c>
      <c r="AL34" t="s">
        <v>67</v>
      </c>
      <c r="AM34" t="s">
        <v>119</v>
      </c>
      <c r="AN34">
        <v>75</v>
      </c>
      <c r="AO34">
        <v>37</v>
      </c>
    </row>
    <row r="35" spans="1:42">
      <c r="A35" t="s">
        <v>112</v>
      </c>
      <c r="B35" t="s">
        <v>508</v>
      </c>
      <c r="C35" t="s">
        <v>113</v>
      </c>
      <c r="D35" t="s">
        <v>67</v>
      </c>
      <c r="E35" t="s">
        <v>245</v>
      </c>
      <c r="G35" t="s">
        <v>501</v>
      </c>
      <c r="H35" t="s">
        <v>366</v>
      </c>
      <c r="K35" t="s">
        <v>165</v>
      </c>
      <c r="L35" t="s">
        <v>466</v>
      </c>
      <c r="M35" t="s">
        <v>490</v>
      </c>
      <c r="N35">
        <v>82</v>
      </c>
      <c r="Q35">
        <v>4</v>
      </c>
      <c r="V35" t="s">
        <v>369</v>
      </c>
      <c r="W35" t="s">
        <v>164</v>
      </c>
      <c r="X35">
        <v>75</v>
      </c>
      <c r="Y35" t="s">
        <v>70</v>
      </c>
      <c r="Z35" t="s">
        <v>370</v>
      </c>
      <c r="AK35" t="s">
        <v>510</v>
      </c>
      <c r="AL35" t="s">
        <v>81</v>
      </c>
      <c r="AM35" t="s">
        <v>119</v>
      </c>
      <c r="AN35">
        <v>75</v>
      </c>
      <c r="AO35">
        <v>38</v>
      </c>
    </row>
    <row r="36" spans="1:42">
      <c r="A36" t="s">
        <v>114</v>
      </c>
      <c r="B36" t="s">
        <v>508</v>
      </c>
      <c r="C36" t="s">
        <v>115</v>
      </c>
      <c r="D36" t="s">
        <v>67</v>
      </c>
      <c r="E36" t="s">
        <v>245</v>
      </c>
      <c r="G36" t="s">
        <v>492</v>
      </c>
      <c r="H36" t="s">
        <v>366</v>
      </c>
      <c r="K36" t="s">
        <v>166</v>
      </c>
      <c r="L36" t="s">
        <v>490</v>
      </c>
      <c r="M36" t="s">
        <v>496</v>
      </c>
      <c r="N36">
        <v>100</v>
      </c>
      <c r="Q36">
        <v>4</v>
      </c>
      <c r="V36" t="s">
        <v>369</v>
      </c>
      <c r="W36" t="s">
        <v>164</v>
      </c>
      <c r="X36">
        <v>75</v>
      </c>
      <c r="Y36" t="s">
        <v>70</v>
      </c>
      <c r="Z36" t="s">
        <v>370</v>
      </c>
      <c r="AK36" t="s">
        <v>511</v>
      </c>
      <c r="AL36" t="s">
        <v>81</v>
      </c>
      <c r="AM36" t="s">
        <v>119</v>
      </c>
      <c r="AN36">
        <v>75</v>
      </c>
      <c r="AO36">
        <v>39</v>
      </c>
    </row>
    <row r="37" spans="1:42">
      <c r="A37" t="s">
        <v>116</v>
      </c>
      <c r="B37" t="s">
        <v>508</v>
      </c>
      <c r="C37" t="s">
        <v>117</v>
      </c>
      <c r="D37" t="s">
        <v>81</v>
      </c>
      <c r="E37" t="s">
        <v>300</v>
      </c>
      <c r="G37" t="s">
        <v>418</v>
      </c>
      <c r="H37" t="s">
        <v>419</v>
      </c>
      <c r="K37" t="s">
        <v>167</v>
      </c>
      <c r="L37" t="s">
        <v>496</v>
      </c>
      <c r="M37" t="s">
        <v>504</v>
      </c>
      <c r="N37">
        <v>106</v>
      </c>
      <c r="Q37">
        <v>3</v>
      </c>
      <c r="V37" t="s">
        <v>369</v>
      </c>
      <c r="W37" t="s">
        <v>164</v>
      </c>
      <c r="X37">
        <v>75</v>
      </c>
      <c r="Y37" t="s">
        <v>70</v>
      </c>
      <c r="Z37" t="s">
        <v>370</v>
      </c>
      <c r="AK37" t="s">
        <v>512</v>
      </c>
      <c r="AL37" t="s">
        <v>81</v>
      </c>
      <c r="AM37" t="s">
        <v>119</v>
      </c>
      <c r="AN37">
        <v>75</v>
      </c>
      <c r="AO37">
        <v>40</v>
      </c>
    </row>
    <row r="38" spans="1:42">
      <c r="A38" t="s">
        <v>513</v>
      </c>
      <c r="B38" t="s">
        <v>437</v>
      </c>
      <c r="C38" t="s">
        <v>514</v>
      </c>
      <c r="D38" t="s">
        <v>377</v>
      </c>
      <c r="E38" t="s">
        <v>381</v>
      </c>
      <c r="G38" t="s">
        <v>515</v>
      </c>
      <c r="H38" t="s">
        <v>366</v>
      </c>
      <c r="I38" t="s">
        <v>516</v>
      </c>
      <c r="K38" t="s">
        <v>168</v>
      </c>
      <c r="L38" t="s">
        <v>471</v>
      </c>
      <c r="M38" t="s">
        <v>517</v>
      </c>
      <c r="N38">
        <v>64</v>
      </c>
      <c r="Q38">
        <v>0</v>
      </c>
      <c r="V38" t="s">
        <v>369</v>
      </c>
      <c r="W38" t="s">
        <v>129</v>
      </c>
      <c r="X38">
        <v>75</v>
      </c>
      <c r="Y38" t="s">
        <v>70</v>
      </c>
      <c r="Z38" t="s">
        <v>370</v>
      </c>
      <c r="AK38" t="s">
        <v>518</v>
      </c>
      <c r="AL38" t="s">
        <v>81</v>
      </c>
      <c r="AM38" t="s">
        <v>119</v>
      </c>
      <c r="AN38">
        <v>75</v>
      </c>
      <c r="AO38">
        <v>41</v>
      </c>
    </row>
    <row r="39" spans="1:42">
      <c r="A39" t="s">
        <v>519</v>
      </c>
      <c r="B39" t="s">
        <v>520</v>
      </c>
      <c r="C39" t="s">
        <v>521</v>
      </c>
      <c r="D39" t="s">
        <v>377</v>
      </c>
      <c r="E39" t="s">
        <v>381</v>
      </c>
      <c r="G39" t="s">
        <v>522</v>
      </c>
      <c r="H39" t="s">
        <v>366</v>
      </c>
      <c r="K39" t="s">
        <v>169</v>
      </c>
      <c r="L39" t="s">
        <v>506</v>
      </c>
      <c r="M39" t="s">
        <v>523</v>
      </c>
      <c r="N39">
        <v>15</v>
      </c>
      <c r="Q39">
        <v>0</v>
      </c>
      <c r="V39" t="s">
        <v>369</v>
      </c>
      <c r="W39" t="s">
        <v>170</v>
      </c>
      <c r="X39">
        <v>160</v>
      </c>
      <c r="Y39" t="s">
        <v>171</v>
      </c>
      <c r="Z39" t="s">
        <v>370</v>
      </c>
      <c r="AK39" t="s">
        <v>524</v>
      </c>
      <c r="AL39" t="s">
        <v>67</v>
      </c>
      <c r="AM39" t="s">
        <v>119</v>
      </c>
      <c r="AN39">
        <v>75</v>
      </c>
      <c r="AO39">
        <v>42</v>
      </c>
    </row>
    <row r="40" spans="1:42">
      <c r="A40" t="s">
        <v>525</v>
      </c>
      <c r="B40" t="s">
        <v>520</v>
      </c>
      <c r="C40" t="s">
        <v>526</v>
      </c>
      <c r="D40" t="s">
        <v>377</v>
      </c>
      <c r="E40" t="s">
        <v>381</v>
      </c>
      <c r="G40" t="s">
        <v>527</v>
      </c>
      <c r="H40" t="s">
        <v>366</v>
      </c>
      <c r="K40" t="s">
        <v>172</v>
      </c>
      <c r="L40" t="s">
        <v>506</v>
      </c>
      <c r="M40" t="s">
        <v>528</v>
      </c>
      <c r="N40">
        <v>85</v>
      </c>
      <c r="Q40">
        <v>0</v>
      </c>
      <c r="V40" t="s">
        <v>369</v>
      </c>
      <c r="W40" t="s">
        <v>170</v>
      </c>
      <c r="X40">
        <v>160</v>
      </c>
      <c r="Y40" t="s">
        <v>171</v>
      </c>
      <c r="Z40" t="s">
        <v>370</v>
      </c>
      <c r="AK40" t="s">
        <v>529</v>
      </c>
      <c r="AL40" t="s">
        <v>67</v>
      </c>
      <c r="AM40" t="s">
        <v>119</v>
      </c>
      <c r="AN40">
        <v>75</v>
      </c>
      <c r="AO40">
        <v>43</v>
      </c>
    </row>
    <row r="41" spans="1:42">
      <c r="A41" t="s">
        <v>530</v>
      </c>
      <c r="B41" t="s">
        <v>531</v>
      </c>
      <c r="C41" t="s">
        <v>532</v>
      </c>
      <c r="D41" t="s">
        <v>411</v>
      </c>
      <c r="E41" t="s">
        <v>533</v>
      </c>
      <c r="G41" t="s">
        <v>534</v>
      </c>
      <c r="H41" t="s">
        <v>535</v>
      </c>
      <c r="K41" t="s">
        <v>173</v>
      </c>
      <c r="L41" t="s">
        <v>536</v>
      </c>
      <c r="M41" t="s">
        <v>537</v>
      </c>
      <c r="N41">
        <v>260</v>
      </c>
      <c r="Q41">
        <v>0</v>
      </c>
      <c r="V41" t="s">
        <v>369</v>
      </c>
      <c r="W41" t="s">
        <v>174</v>
      </c>
      <c r="X41">
        <v>160</v>
      </c>
      <c r="Y41" t="s">
        <v>171</v>
      </c>
      <c r="Z41" t="s">
        <v>370</v>
      </c>
      <c r="AK41" t="s">
        <v>538</v>
      </c>
      <c r="AL41" t="s">
        <v>81</v>
      </c>
      <c r="AM41" t="s">
        <v>119</v>
      </c>
      <c r="AN41">
        <v>75</v>
      </c>
      <c r="AO41">
        <v>44</v>
      </c>
    </row>
    <row r="42" spans="1:42">
      <c r="A42" t="s">
        <v>539</v>
      </c>
      <c r="B42" t="s">
        <v>442</v>
      </c>
      <c r="C42" t="s">
        <v>540</v>
      </c>
      <c r="D42" t="s">
        <v>406</v>
      </c>
      <c r="E42" t="s">
        <v>541</v>
      </c>
      <c r="G42" t="s">
        <v>542</v>
      </c>
      <c r="H42" t="s">
        <v>366</v>
      </c>
      <c r="I42" t="s">
        <v>543</v>
      </c>
      <c r="K42" t="s">
        <v>175</v>
      </c>
      <c r="L42" t="s">
        <v>537</v>
      </c>
      <c r="M42" t="s">
        <v>523</v>
      </c>
      <c r="N42">
        <v>195</v>
      </c>
      <c r="Q42">
        <v>0</v>
      </c>
      <c r="V42" t="s">
        <v>369</v>
      </c>
      <c r="W42" t="s">
        <v>170</v>
      </c>
      <c r="X42">
        <v>160</v>
      </c>
      <c r="Y42" t="s">
        <v>171</v>
      </c>
      <c r="Z42" t="s">
        <v>370</v>
      </c>
      <c r="AK42" t="s">
        <v>544</v>
      </c>
      <c r="AL42" t="s">
        <v>67</v>
      </c>
      <c r="AM42" t="s">
        <v>119</v>
      </c>
      <c r="AN42">
        <v>75</v>
      </c>
      <c r="AO42">
        <v>45</v>
      </c>
    </row>
    <row r="43" spans="1:42">
      <c r="A43" t="s">
        <v>545</v>
      </c>
      <c r="B43" t="s">
        <v>437</v>
      </c>
      <c r="C43" t="s">
        <v>546</v>
      </c>
      <c r="D43" t="s">
        <v>422</v>
      </c>
      <c r="E43" t="s">
        <v>547</v>
      </c>
      <c r="G43" t="s">
        <v>548</v>
      </c>
      <c r="H43" t="s">
        <v>419</v>
      </c>
      <c r="I43" t="s">
        <v>549</v>
      </c>
      <c r="K43" t="s">
        <v>176</v>
      </c>
      <c r="L43" t="s">
        <v>528</v>
      </c>
      <c r="M43" t="s">
        <v>550</v>
      </c>
      <c r="N43">
        <v>15</v>
      </c>
      <c r="Q43">
        <v>0</v>
      </c>
      <c r="V43" t="s">
        <v>369</v>
      </c>
      <c r="W43" t="s">
        <v>170</v>
      </c>
      <c r="X43">
        <v>160</v>
      </c>
      <c r="Y43" t="s">
        <v>171</v>
      </c>
      <c r="Z43" t="s">
        <v>370</v>
      </c>
      <c r="AK43" t="s">
        <v>551</v>
      </c>
      <c r="AL43" t="s">
        <v>67</v>
      </c>
      <c r="AM43" t="s">
        <v>119</v>
      </c>
      <c r="AN43">
        <v>75</v>
      </c>
      <c r="AO43">
        <v>46</v>
      </c>
    </row>
    <row r="44" spans="1:42">
      <c r="A44" t="s">
        <v>552</v>
      </c>
      <c r="B44" t="s">
        <v>437</v>
      </c>
      <c r="C44" t="s">
        <v>553</v>
      </c>
      <c r="D44" t="s">
        <v>422</v>
      </c>
      <c r="E44" t="s">
        <v>547</v>
      </c>
      <c r="G44" t="s">
        <v>548</v>
      </c>
      <c r="H44" t="s">
        <v>419</v>
      </c>
      <c r="I44" t="s">
        <v>549</v>
      </c>
      <c r="K44" t="s">
        <v>177</v>
      </c>
      <c r="L44" t="s">
        <v>550</v>
      </c>
      <c r="M44" t="s">
        <v>554</v>
      </c>
      <c r="N44">
        <v>135</v>
      </c>
      <c r="Q44">
        <v>0</v>
      </c>
      <c r="V44" t="s">
        <v>369</v>
      </c>
      <c r="W44" t="s">
        <v>170</v>
      </c>
      <c r="X44">
        <v>160</v>
      </c>
      <c r="Y44" t="s">
        <v>171</v>
      </c>
      <c r="Z44" t="s">
        <v>370</v>
      </c>
      <c r="AK44" t="s">
        <v>555</v>
      </c>
      <c r="AL44" t="s">
        <v>67</v>
      </c>
      <c r="AM44" t="s">
        <v>119</v>
      </c>
      <c r="AN44">
        <v>75</v>
      </c>
      <c r="AO44">
        <v>47</v>
      </c>
    </row>
    <row r="45" spans="1:42">
      <c r="K45" t="s">
        <v>178</v>
      </c>
      <c r="L45" t="s">
        <v>554</v>
      </c>
      <c r="M45" t="s">
        <v>556</v>
      </c>
      <c r="N45">
        <v>45</v>
      </c>
      <c r="Q45">
        <v>0</v>
      </c>
      <c r="V45" t="s">
        <v>557</v>
      </c>
      <c r="X45">
        <v>160</v>
      </c>
      <c r="Y45" t="s">
        <v>171</v>
      </c>
      <c r="Z45" t="s">
        <v>370</v>
      </c>
      <c r="AK45" t="s">
        <v>558</v>
      </c>
      <c r="AL45" t="s">
        <v>81</v>
      </c>
      <c r="AM45" t="s">
        <v>119</v>
      </c>
      <c r="AN45">
        <v>75</v>
      </c>
      <c r="AO45">
        <v>48</v>
      </c>
    </row>
    <row r="46" spans="1:42">
      <c r="K46" t="s">
        <v>179</v>
      </c>
      <c r="L46" t="s">
        <v>383</v>
      </c>
      <c r="M46" t="s">
        <v>559</v>
      </c>
      <c r="N46">
        <v>167</v>
      </c>
      <c r="Q46">
        <v>12</v>
      </c>
      <c r="V46" t="s">
        <v>369</v>
      </c>
      <c r="W46" t="s">
        <v>180</v>
      </c>
      <c r="X46">
        <v>75</v>
      </c>
      <c r="Y46" t="s">
        <v>70</v>
      </c>
      <c r="Z46" t="s">
        <v>370</v>
      </c>
      <c r="AK46" t="s">
        <v>560</v>
      </c>
      <c r="AL46" t="s">
        <v>67</v>
      </c>
      <c r="AM46" t="s">
        <v>119</v>
      </c>
      <c r="AN46">
        <v>75</v>
      </c>
      <c r="AO46">
        <v>49</v>
      </c>
    </row>
    <row r="47" spans="1:42">
      <c r="K47" t="s">
        <v>181</v>
      </c>
      <c r="L47" t="s">
        <v>383</v>
      </c>
      <c r="M47" t="s">
        <v>561</v>
      </c>
      <c r="N47">
        <v>118</v>
      </c>
      <c r="Q47">
        <v>6</v>
      </c>
      <c r="V47" t="s">
        <v>369</v>
      </c>
      <c r="W47" t="s">
        <v>119</v>
      </c>
      <c r="X47">
        <v>75</v>
      </c>
      <c r="Y47" t="s">
        <v>70</v>
      </c>
      <c r="Z47" t="s">
        <v>370</v>
      </c>
      <c r="AK47" t="s">
        <v>562</v>
      </c>
      <c r="AL47" t="s">
        <v>67</v>
      </c>
      <c r="AM47" t="s">
        <v>119</v>
      </c>
      <c r="AN47">
        <v>75</v>
      </c>
      <c r="AO47">
        <v>50</v>
      </c>
    </row>
    <row r="48" spans="1:42">
      <c r="K48" t="s">
        <v>182</v>
      </c>
      <c r="L48" t="s">
        <v>479</v>
      </c>
      <c r="M48" t="s">
        <v>559</v>
      </c>
      <c r="N48">
        <v>10</v>
      </c>
      <c r="Q48">
        <v>0</v>
      </c>
      <c r="V48" t="s">
        <v>369</v>
      </c>
      <c r="W48" t="s">
        <v>125</v>
      </c>
      <c r="X48">
        <v>110</v>
      </c>
      <c r="Y48" t="s">
        <v>70</v>
      </c>
      <c r="Z48" t="s">
        <v>370</v>
      </c>
      <c r="AK48" t="s">
        <v>563</v>
      </c>
      <c r="AL48" t="s">
        <v>67</v>
      </c>
      <c r="AM48" t="s">
        <v>119</v>
      </c>
      <c r="AN48">
        <v>75</v>
      </c>
      <c r="AO48">
        <v>51</v>
      </c>
    </row>
    <row r="49" spans="1:41">
      <c r="K49" t="s">
        <v>183</v>
      </c>
      <c r="L49" t="s">
        <v>479</v>
      </c>
      <c r="M49" t="s">
        <v>517</v>
      </c>
      <c r="N49">
        <v>188</v>
      </c>
      <c r="Q49">
        <v>17</v>
      </c>
      <c r="V49" t="s">
        <v>369</v>
      </c>
      <c r="W49" t="s">
        <v>180</v>
      </c>
      <c r="X49">
        <v>75</v>
      </c>
      <c r="Y49" t="s">
        <v>70</v>
      </c>
      <c r="Z49" t="s">
        <v>370</v>
      </c>
      <c r="AK49" t="s">
        <v>564</v>
      </c>
      <c r="AL49" t="s">
        <v>81</v>
      </c>
      <c r="AM49" t="s">
        <v>119</v>
      </c>
      <c r="AN49">
        <v>75</v>
      </c>
      <c r="AO49">
        <v>52</v>
      </c>
    </row>
    <row r="50" spans="1:41">
      <c r="A50" s="2" t="s">
        <v>565</v>
      </c>
      <c r="B50" s="2"/>
      <c r="C50" s="2"/>
      <c r="D50" s="2"/>
      <c r="E50" s="2"/>
      <c r="F50" s="2"/>
      <c r="G50" s="2"/>
      <c r="H50" s="2"/>
      <c r="I50" s="2"/>
      <c r="K50" t="s">
        <v>184</v>
      </c>
      <c r="L50" t="s">
        <v>559</v>
      </c>
      <c r="M50" t="s">
        <v>391</v>
      </c>
      <c r="N50">
        <v>91</v>
      </c>
      <c r="Q50">
        <v>9</v>
      </c>
      <c r="V50" t="s">
        <v>369</v>
      </c>
      <c r="W50" t="s">
        <v>125</v>
      </c>
      <c r="X50">
        <v>110</v>
      </c>
      <c r="Y50" t="s">
        <v>70</v>
      </c>
      <c r="Z50" t="s">
        <v>370</v>
      </c>
      <c r="AK50" t="s">
        <v>566</v>
      </c>
      <c r="AL50" t="s">
        <v>67</v>
      </c>
      <c r="AM50" t="s">
        <v>121</v>
      </c>
      <c r="AN50">
        <v>75</v>
      </c>
      <c r="AO50">
        <v>53</v>
      </c>
    </row>
    <row r="51" spans="1:41" ht="82.8">
      <c r="A51" s="3" t="s">
        <v>381</v>
      </c>
      <c r="B51" s="4" t="s">
        <v>567</v>
      </c>
      <c r="K51" t="s">
        <v>185</v>
      </c>
      <c r="L51" t="s">
        <v>517</v>
      </c>
      <c r="M51" t="s">
        <v>392</v>
      </c>
      <c r="N51">
        <v>80</v>
      </c>
      <c r="Q51">
        <v>4</v>
      </c>
      <c r="V51" t="s">
        <v>369</v>
      </c>
      <c r="W51" t="s">
        <v>129</v>
      </c>
      <c r="X51">
        <v>75</v>
      </c>
      <c r="Y51" t="s">
        <v>70</v>
      </c>
      <c r="Z51" t="s">
        <v>370</v>
      </c>
      <c r="AK51" t="s">
        <v>568</v>
      </c>
      <c r="AL51" t="s">
        <v>67</v>
      </c>
      <c r="AM51" t="s">
        <v>121</v>
      </c>
      <c r="AN51">
        <v>75</v>
      </c>
      <c r="AO51">
        <v>54</v>
      </c>
    </row>
    <row r="52" spans="1:41" ht="96.6">
      <c r="A52" s="3" t="s">
        <v>444</v>
      </c>
      <c r="B52" s="4" t="s">
        <v>569</v>
      </c>
      <c r="K52" t="s">
        <v>186</v>
      </c>
      <c r="L52" t="s">
        <v>561</v>
      </c>
      <c r="M52" t="s">
        <v>430</v>
      </c>
      <c r="N52">
        <v>110</v>
      </c>
      <c r="Q52">
        <v>6</v>
      </c>
      <c r="V52" t="s">
        <v>369</v>
      </c>
      <c r="W52" t="s">
        <v>119</v>
      </c>
      <c r="X52">
        <v>75</v>
      </c>
      <c r="Y52" t="s">
        <v>70</v>
      </c>
      <c r="Z52" t="s">
        <v>370</v>
      </c>
      <c r="AK52" t="s">
        <v>570</v>
      </c>
      <c r="AL52" t="s">
        <v>67</v>
      </c>
      <c r="AM52" t="s">
        <v>121</v>
      </c>
      <c r="AN52">
        <v>75</v>
      </c>
      <c r="AO52">
        <v>55</v>
      </c>
    </row>
    <row r="53" spans="1:41" ht="96.6">
      <c r="A53" s="3" t="s">
        <v>571</v>
      </c>
      <c r="B53" s="4" t="s">
        <v>572</v>
      </c>
      <c r="K53" t="s">
        <v>187</v>
      </c>
      <c r="L53" t="s">
        <v>561</v>
      </c>
      <c r="M53" t="s">
        <v>399</v>
      </c>
      <c r="N53">
        <v>140</v>
      </c>
      <c r="Q53">
        <v>9</v>
      </c>
      <c r="V53" t="s">
        <v>369</v>
      </c>
      <c r="W53" t="s">
        <v>188</v>
      </c>
      <c r="X53">
        <v>75</v>
      </c>
      <c r="Y53" t="s">
        <v>70</v>
      </c>
      <c r="Z53" t="s">
        <v>370</v>
      </c>
      <c r="AK53" t="s">
        <v>573</v>
      </c>
      <c r="AL53" t="s">
        <v>67</v>
      </c>
      <c r="AM53" t="s">
        <v>121</v>
      </c>
      <c r="AN53">
        <v>75</v>
      </c>
      <c r="AO53">
        <v>56</v>
      </c>
    </row>
    <row r="54" spans="1:41" ht="96.6">
      <c r="A54" s="3" t="s">
        <v>574</v>
      </c>
      <c r="B54" s="4" t="s">
        <v>575</v>
      </c>
      <c r="K54" t="s">
        <v>189</v>
      </c>
      <c r="L54" t="s">
        <v>391</v>
      </c>
      <c r="M54" t="s">
        <v>399</v>
      </c>
      <c r="N54">
        <v>10</v>
      </c>
      <c r="Q54">
        <v>0</v>
      </c>
      <c r="V54" t="s">
        <v>369</v>
      </c>
      <c r="W54" t="s">
        <v>125</v>
      </c>
      <c r="X54">
        <v>110</v>
      </c>
      <c r="Y54" t="s">
        <v>70</v>
      </c>
      <c r="Z54" t="s">
        <v>370</v>
      </c>
      <c r="AK54" t="s">
        <v>576</v>
      </c>
      <c r="AL54" t="s">
        <v>67</v>
      </c>
      <c r="AM54" t="s">
        <v>121</v>
      </c>
      <c r="AN54">
        <v>75</v>
      </c>
      <c r="AO54">
        <v>57</v>
      </c>
    </row>
    <row r="55" spans="1:41">
      <c r="AK55" t="s">
        <v>577</v>
      </c>
      <c r="AL55" t="s">
        <v>81</v>
      </c>
      <c r="AM55" t="s">
        <v>121</v>
      </c>
      <c r="AN55">
        <v>75</v>
      </c>
      <c r="AO55">
        <v>58</v>
      </c>
    </row>
    <row r="56" spans="1:41">
      <c r="AK56" t="s">
        <v>578</v>
      </c>
      <c r="AL56" t="s">
        <v>81</v>
      </c>
      <c r="AM56" t="s">
        <v>121</v>
      </c>
      <c r="AN56">
        <v>75</v>
      </c>
      <c r="AO56">
        <v>59</v>
      </c>
    </row>
    <row r="57" spans="1:41">
      <c r="AK57" t="s">
        <v>579</v>
      </c>
      <c r="AL57" t="s">
        <v>67</v>
      </c>
      <c r="AM57" t="s">
        <v>121</v>
      </c>
      <c r="AN57">
        <v>75</v>
      </c>
      <c r="AO57">
        <v>60</v>
      </c>
    </row>
    <row r="58" spans="1:41">
      <c r="AK58" t="s">
        <v>580</v>
      </c>
      <c r="AL58" t="s">
        <v>67</v>
      </c>
      <c r="AM58" t="s">
        <v>121</v>
      </c>
      <c r="AN58">
        <v>75</v>
      </c>
      <c r="AO58">
        <v>61</v>
      </c>
    </row>
    <row r="59" spans="1:41">
      <c r="AK59" t="s">
        <v>581</v>
      </c>
      <c r="AL59" t="s">
        <v>81</v>
      </c>
      <c r="AM59" t="s">
        <v>121</v>
      </c>
      <c r="AN59">
        <v>75</v>
      </c>
      <c r="AO59">
        <v>62</v>
      </c>
    </row>
    <row r="60" spans="1:41">
      <c r="AK60" t="s">
        <v>582</v>
      </c>
      <c r="AL60" t="s">
        <v>81</v>
      </c>
      <c r="AM60" t="s">
        <v>121</v>
      </c>
      <c r="AN60">
        <v>75</v>
      </c>
      <c r="AO60">
        <v>63</v>
      </c>
    </row>
    <row r="61" spans="1:41">
      <c r="AK61" t="s">
        <v>583</v>
      </c>
      <c r="AL61" t="s">
        <v>81</v>
      </c>
      <c r="AM61" t="s">
        <v>121</v>
      </c>
      <c r="AN61">
        <v>75</v>
      </c>
      <c r="AO61">
        <v>64</v>
      </c>
    </row>
    <row r="62" spans="1:41">
      <c r="AK62" t="s">
        <v>584</v>
      </c>
      <c r="AL62" t="s">
        <v>81</v>
      </c>
      <c r="AM62" t="s">
        <v>121</v>
      </c>
      <c r="AN62">
        <v>75</v>
      </c>
      <c r="AO62">
        <v>65</v>
      </c>
    </row>
    <row r="63" spans="1:41">
      <c r="AK63" t="s">
        <v>585</v>
      </c>
      <c r="AL63" t="s">
        <v>67</v>
      </c>
      <c r="AM63" t="s">
        <v>121</v>
      </c>
      <c r="AN63">
        <v>75</v>
      </c>
      <c r="AO63">
        <v>66</v>
      </c>
    </row>
    <row r="64" spans="1:41">
      <c r="AK64" t="s">
        <v>586</v>
      </c>
      <c r="AL64" t="s">
        <v>67</v>
      </c>
      <c r="AM64" t="s">
        <v>121</v>
      </c>
      <c r="AN64">
        <v>75</v>
      </c>
      <c r="AO64">
        <v>67</v>
      </c>
    </row>
    <row r="65" spans="37:41">
      <c r="AK65" t="s">
        <v>587</v>
      </c>
      <c r="AL65" t="s">
        <v>81</v>
      </c>
      <c r="AM65" t="s">
        <v>121</v>
      </c>
      <c r="AN65">
        <v>75</v>
      </c>
      <c r="AO65">
        <v>68</v>
      </c>
    </row>
    <row r="66" spans="37:41">
      <c r="AK66" t="s">
        <v>588</v>
      </c>
      <c r="AL66" t="s">
        <v>67</v>
      </c>
      <c r="AM66" t="s">
        <v>121</v>
      </c>
      <c r="AN66">
        <v>75</v>
      </c>
      <c r="AO66">
        <v>69</v>
      </c>
    </row>
    <row r="67" spans="37:41">
      <c r="AK67" t="s">
        <v>589</v>
      </c>
      <c r="AL67" t="s">
        <v>67</v>
      </c>
      <c r="AM67" t="s">
        <v>121</v>
      </c>
      <c r="AN67">
        <v>75</v>
      </c>
      <c r="AO67">
        <v>70</v>
      </c>
    </row>
    <row r="68" spans="37:41">
      <c r="AK68" t="s">
        <v>590</v>
      </c>
      <c r="AL68" t="s">
        <v>67</v>
      </c>
      <c r="AM68" t="s">
        <v>121</v>
      </c>
      <c r="AN68">
        <v>75</v>
      </c>
      <c r="AO68">
        <v>71</v>
      </c>
    </row>
    <row r="69" spans="37:41">
      <c r="AK69" t="s">
        <v>591</v>
      </c>
      <c r="AL69" t="s">
        <v>81</v>
      </c>
      <c r="AM69" t="s">
        <v>121</v>
      </c>
      <c r="AN69">
        <v>75</v>
      </c>
      <c r="AO69">
        <v>72</v>
      </c>
    </row>
    <row r="70" spans="37:41">
      <c r="AK70" t="s">
        <v>592</v>
      </c>
      <c r="AL70" t="s">
        <v>67</v>
      </c>
      <c r="AM70" t="s">
        <v>121</v>
      </c>
      <c r="AN70">
        <v>75</v>
      </c>
      <c r="AO70">
        <v>73</v>
      </c>
    </row>
    <row r="71" spans="37:41">
      <c r="AK71" t="s">
        <v>593</v>
      </c>
      <c r="AL71" t="s">
        <v>67</v>
      </c>
      <c r="AM71" t="s">
        <v>121</v>
      </c>
      <c r="AN71">
        <v>75</v>
      </c>
      <c r="AO71">
        <v>74</v>
      </c>
    </row>
    <row r="72" spans="37:41">
      <c r="AK72" t="s">
        <v>594</v>
      </c>
      <c r="AL72" t="s">
        <v>67</v>
      </c>
      <c r="AM72" t="s">
        <v>121</v>
      </c>
      <c r="AN72">
        <v>75</v>
      </c>
      <c r="AO72">
        <v>75</v>
      </c>
    </row>
    <row r="73" spans="37:41">
      <c r="AK73" t="s">
        <v>595</v>
      </c>
      <c r="AL73" t="s">
        <v>81</v>
      </c>
      <c r="AM73" t="s">
        <v>121</v>
      </c>
      <c r="AN73">
        <v>75</v>
      </c>
      <c r="AO73">
        <v>76</v>
      </c>
    </row>
    <row r="74" spans="37:41">
      <c r="AK74" t="s">
        <v>596</v>
      </c>
      <c r="AL74" t="s">
        <v>67</v>
      </c>
      <c r="AM74" t="s">
        <v>125</v>
      </c>
      <c r="AN74">
        <v>110</v>
      </c>
      <c r="AO74">
        <v>77</v>
      </c>
    </row>
    <row r="75" spans="37:41">
      <c r="AK75" t="s">
        <v>597</v>
      </c>
      <c r="AL75" t="s">
        <v>67</v>
      </c>
      <c r="AM75" t="s">
        <v>125</v>
      </c>
      <c r="AN75">
        <v>110</v>
      </c>
      <c r="AO75">
        <v>78</v>
      </c>
    </row>
    <row r="76" spans="37:41">
      <c r="AK76" t="s">
        <v>598</v>
      </c>
      <c r="AL76" t="s">
        <v>67</v>
      </c>
      <c r="AM76" t="s">
        <v>125</v>
      </c>
      <c r="AN76">
        <v>110</v>
      </c>
      <c r="AO76">
        <v>79</v>
      </c>
    </row>
    <row r="77" spans="37:41">
      <c r="AK77" t="s">
        <v>599</v>
      </c>
      <c r="AL77" t="s">
        <v>67</v>
      </c>
      <c r="AM77" t="s">
        <v>125</v>
      </c>
      <c r="AN77">
        <v>110</v>
      </c>
      <c r="AO77">
        <v>80</v>
      </c>
    </row>
    <row r="78" spans="37:41">
      <c r="AK78" t="s">
        <v>600</v>
      </c>
      <c r="AL78" t="s">
        <v>67</v>
      </c>
      <c r="AM78" t="s">
        <v>125</v>
      </c>
      <c r="AN78">
        <v>110</v>
      </c>
      <c r="AO78">
        <v>81</v>
      </c>
    </row>
    <row r="79" spans="37:41">
      <c r="AK79" t="s">
        <v>601</v>
      </c>
      <c r="AL79" t="s">
        <v>81</v>
      </c>
      <c r="AM79" t="s">
        <v>125</v>
      </c>
      <c r="AN79">
        <v>110</v>
      </c>
      <c r="AO79">
        <v>82</v>
      </c>
    </row>
    <row r="80" spans="37:41">
      <c r="AK80" t="s">
        <v>602</v>
      </c>
      <c r="AL80" t="s">
        <v>81</v>
      </c>
      <c r="AM80" t="s">
        <v>125</v>
      </c>
      <c r="AN80">
        <v>110</v>
      </c>
      <c r="AO80">
        <v>83</v>
      </c>
    </row>
    <row r="81" spans="37:41">
      <c r="AK81" t="s">
        <v>603</v>
      </c>
      <c r="AL81" t="s">
        <v>67</v>
      </c>
      <c r="AM81" t="s">
        <v>125</v>
      </c>
      <c r="AN81">
        <v>110</v>
      </c>
      <c r="AO81">
        <v>84</v>
      </c>
    </row>
    <row r="82" spans="37:41">
      <c r="AK82" t="s">
        <v>604</v>
      </c>
      <c r="AL82" t="s">
        <v>67</v>
      </c>
      <c r="AM82" t="s">
        <v>125</v>
      </c>
      <c r="AN82">
        <v>110</v>
      </c>
      <c r="AO82">
        <v>85</v>
      </c>
    </row>
    <row r="83" spans="37:41">
      <c r="AK83" t="s">
        <v>605</v>
      </c>
      <c r="AL83" t="s">
        <v>81</v>
      </c>
      <c r="AM83" t="s">
        <v>125</v>
      </c>
      <c r="AN83">
        <v>110</v>
      </c>
      <c r="AO83">
        <v>86</v>
      </c>
    </row>
    <row r="84" spans="37:41">
      <c r="AK84" t="s">
        <v>606</v>
      </c>
      <c r="AL84" t="s">
        <v>81</v>
      </c>
      <c r="AM84" t="s">
        <v>125</v>
      </c>
      <c r="AN84">
        <v>110</v>
      </c>
      <c r="AO84">
        <v>87</v>
      </c>
    </row>
    <row r="85" spans="37:41">
      <c r="AK85" t="s">
        <v>607</v>
      </c>
      <c r="AL85" t="s">
        <v>81</v>
      </c>
      <c r="AM85" t="s">
        <v>125</v>
      </c>
      <c r="AN85">
        <v>110</v>
      </c>
      <c r="AO85">
        <v>88</v>
      </c>
    </row>
    <row r="86" spans="37:41">
      <c r="AK86" t="s">
        <v>608</v>
      </c>
      <c r="AL86" t="s">
        <v>81</v>
      </c>
      <c r="AM86" t="s">
        <v>125</v>
      </c>
      <c r="AN86">
        <v>110</v>
      </c>
      <c r="AO86">
        <v>89</v>
      </c>
    </row>
    <row r="87" spans="37:41">
      <c r="AK87" t="s">
        <v>609</v>
      </c>
      <c r="AL87" t="s">
        <v>67</v>
      </c>
      <c r="AM87" t="s">
        <v>125</v>
      </c>
      <c r="AN87">
        <v>110</v>
      </c>
      <c r="AO87">
        <v>90</v>
      </c>
    </row>
    <row r="88" spans="37:41">
      <c r="AK88" t="s">
        <v>610</v>
      </c>
      <c r="AL88" t="s">
        <v>67</v>
      </c>
      <c r="AM88" t="s">
        <v>125</v>
      </c>
      <c r="AN88">
        <v>110</v>
      </c>
      <c r="AO88">
        <v>91</v>
      </c>
    </row>
    <row r="89" spans="37:41">
      <c r="AK89" t="s">
        <v>611</v>
      </c>
      <c r="AL89" t="s">
        <v>81</v>
      </c>
      <c r="AM89" t="s">
        <v>125</v>
      </c>
      <c r="AN89">
        <v>110</v>
      </c>
      <c r="AO89">
        <v>92</v>
      </c>
    </row>
    <row r="90" spans="37:41">
      <c r="AK90" t="s">
        <v>612</v>
      </c>
      <c r="AL90" t="s">
        <v>67</v>
      </c>
      <c r="AM90" t="s">
        <v>125</v>
      </c>
      <c r="AN90">
        <v>110</v>
      </c>
      <c r="AO90">
        <v>93</v>
      </c>
    </row>
    <row r="91" spans="37:41">
      <c r="AK91" t="s">
        <v>613</v>
      </c>
      <c r="AL91" t="s">
        <v>67</v>
      </c>
      <c r="AM91" t="s">
        <v>125</v>
      </c>
      <c r="AN91">
        <v>110</v>
      </c>
      <c r="AO91">
        <v>94</v>
      </c>
    </row>
    <row r="92" spans="37:41">
      <c r="AK92" t="s">
        <v>614</v>
      </c>
      <c r="AL92" t="s">
        <v>67</v>
      </c>
      <c r="AM92" t="s">
        <v>125</v>
      </c>
      <c r="AN92">
        <v>110</v>
      </c>
      <c r="AO92">
        <v>95</v>
      </c>
    </row>
    <row r="93" spans="37:41">
      <c r="AK93" t="s">
        <v>615</v>
      </c>
      <c r="AL93" t="s">
        <v>81</v>
      </c>
      <c r="AM93" t="s">
        <v>125</v>
      </c>
      <c r="AN93">
        <v>110</v>
      </c>
      <c r="AO93">
        <v>96</v>
      </c>
    </row>
    <row r="94" spans="37:41">
      <c r="AK94" t="s">
        <v>616</v>
      </c>
      <c r="AL94" t="s">
        <v>67</v>
      </c>
      <c r="AM94" t="s">
        <v>125</v>
      </c>
      <c r="AN94">
        <v>110</v>
      </c>
      <c r="AO94">
        <v>97</v>
      </c>
    </row>
    <row r="95" spans="37:41">
      <c r="AK95" t="s">
        <v>617</v>
      </c>
      <c r="AL95" t="s">
        <v>67</v>
      </c>
      <c r="AM95" t="s">
        <v>125</v>
      </c>
      <c r="AN95">
        <v>110</v>
      </c>
      <c r="AO95">
        <v>98</v>
      </c>
    </row>
    <row r="96" spans="37:41">
      <c r="AK96" t="s">
        <v>618</v>
      </c>
      <c r="AL96" t="s">
        <v>67</v>
      </c>
      <c r="AM96" t="s">
        <v>125</v>
      </c>
      <c r="AN96">
        <v>110</v>
      </c>
      <c r="AO96">
        <v>99</v>
      </c>
    </row>
    <row r="97" spans="37:41">
      <c r="AK97" t="s">
        <v>619</v>
      </c>
      <c r="AL97" t="s">
        <v>81</v>
      </c>
      <c r="AM97" t="s">
        <v>125</v>
      </c>
      <c r="AN97">
        <v>110</v>
      </c>
      <c r="AO97">
        <v>100</v>
      </c>
    </row>
    <row r="98" spans="37:41">
      <c r="AK98" t="s">
        <v>620</v>
      </c>
      <c r="AL98" t="s">
        <v>67</v>
      </c>
      <c r="AM98" t="s">
        <v>121</v>
      </c>
      <c r="AN98">
        <v>75</v>
      </c>
      <c r="AO98">
        <v>101</v>
      </c>
    </row>
    <row r="99" spans="37:41">
      <c r="AK99" t="s">
        <v>621</v>
      </c>
      <c r="AL99" t="s">
        <v>67</v>
      </c>
      <c r="AM99" t="s">
        <v>121</v>
      </c>
      <c r="AN99">
        <v>75</v>
      </c>
      <c r="AO99">
        <v>102</v>
      </c>
    </row>
    <row r="100" spans="37:41">
      <c r="AK100" t="s">
        <v>622</v>
      </c>
      <c r="AL100" t="s">
        <v>67</v>
      </c>
      <c r="AM100" t="s">
        <v>121</v>
      </c>
      <c r="AN100">
        <v>75</v>
      </c>
      <c r="AO100">
        <v>103</v>
      </c>
    </row>
    <row r="101" spans="37:41">
      <c r="AK101" t="s">
        <v>623</v>
      </c>
      <c r="AL101" t="s">
        <v>67</v>
      </c>
      <c r="AM101" t="s">
        <v>121</v>
      </c>
      <c r="AN101">
        <v>75</v>
      </c>
      <c r="AO101">
        <v>104</v>
      </c>
    </row>
    <row r="102" spans="37:41">
      <c r="AK102" t="s">
        <v>624</v>
      </c>
      <c r="AL102" t="s">
        <v>67</v>
      </c>
      <c r="AM102" t="s">
        <v>121</v>
      </c>
      <c r="AN102">
        <v>75</v>
      </c>
      <c r="AO102">
        <v>105</v>
      </c>
    </row>
    <row r="103" spans="37:41">
      <c r="AK103" t="s">
        <v>625</v>
      </c>
      <c r="AL103" t="s">
        <v>81</v>
      </c>
      <c r="AM103" t="s">
        <v>121</v>
      </c>
      <c r="AN103">
        <v>75</v>
      </c>
      <c r="AO103">
        <v>106</v>
      </c>
    </row>
    <row r="104" spans="37:41">
      <c r="AK104" t="s">
        <v>626</v>
      </c>
      <c r="AL104" t="s">
        <v>81</v>
      </c>
      <c r="AM104" t="s">
        <v>121</v>
      </c>
      <c r="AN104">
        <v>75</v>
      </c>
      <c r="AO104">
        <v>107</v>
      </c>
    </row>
    <row r="105" spans="37:41">
      <c r="AK105" t="s">
        <v>627</v>
      </c>
      <c r="AL105" t="s">
        <v>67</v>
      </c>
      <c r="AM105" t="s">
        <v>121</v>
      </c>
      <c r="AN105">
        <v>75</v>
      </c>
      <c r="AO105">
        <v>108</v>
      </c>
    </row>
    <row r="106" spans="37:41">
      <c r="AK106" t="s">
        <v>628</v>
      </c>
      <c r="AL106" t="s">
        <v>67</v>
      </c>
      <c r="AM106" t="s">
        <v>121</v>
      </c>
      <c r="AN106">
        <v>75</v>
      </c>
      <c r="AO106">
        <v>109</v>
      </c>
    </row>
    <row r="107" spans="37:41">
      <c r="AK107" t="s">
        <v>629</v>
      </c>
      <c r="AL107" t="s">
        <v>81</v>
      </c>
      <c r="AM107" t="s">
        <v>121</v>
      </c>
      <c r="AN107">
        <v>75</v>
      </c>
      <c r="AO107">
        <v>110</v>
      </c>
    </row>
    <row r="108" spans="37:41">
      <c r="AK108" t="s">
        <v>630</v>
      </c>
      <c r="AL108" t="s">
        <v>81</v>
      </c>
      <c r="AM108" t="s">
        <v>121</v>
      </c>
      <c r="AN108">
        <v>75</v>
      </c>
      <c r="AO108">
        <v>111</v>
      </c>
    </row>
    <row r="109" spans="37:41">
      <c r="AK109" t="s">
        <v>631</v>
      </c>
      <c r="AL109" t="s">
        <v>81</v>
      </c>
      <c r="AM109" t="s">
        <v>121</v>
      </c>
      <c r="AN109">
        <v>75</v>
      </c>
      <c r="AO109">
        <v>112</v>
      </c>
    </row>
    <row r="110" spans="37:41">
      <c r="AK110" t="s">
        <v>632</v>
      </c>
      <c r="AL110" t="s">
        <v>81</v>
      </c>
      <c r="AM110" t="s">
        <v>121</v>
      </c>
      <c r="AN110">
        <v>75</v>
      </c>
      <c r="AO110">
        <v>113</v>
      </c>
    </row>
    <row r="111" spans="37:41">
      <c r="AK111" t="s">
        <v>633</v>
      </c>
      <c r="AL111" t="s">
        <v>67</v>
      </c>
      <c r="AM111" t="s">
        <v>121</v>
      </c>
      <c r="AN111">
        <v>75</v>
      </c>
      <c r="AO111">
        <v>114</v>
      </c>
    </row>
    <row r="112" spans="37:41">
      <c r="AK112" t="s">
        <v>634</v>
      </c>
      <c r="AL112" t="s">
        <v>67</v>
      </c>
      <c r="AM112" t="s">
        <v>121</v>
      </c>
      <c r="AN112">
        <v>75</v>
      </c>
      <c r="AO112">
        <v>115</v>
      </c>
    </row>
    <row r="113" spans="37:41">
      <c r="AK113" t="s">
        <v>635</v>
      </c>
      <c r="AL113" t="s">
        <v>81</v>
      </c>
      <c r="AM113" t="s">
        <v>121</v>
      </c>
      <c r="AN113">
        <v>75</v>
      </c>
      <c r="AO113">
        <v>116</v>
      </c>
    </row>
    <row r="114" spans="37:41">
      <c r="AK114" t="s">
        <v>636</v>
      </c>
      <c r="AL114" t="s">
        <v>67</v>
      </c>
      <c r="AM114" t="s">
        <v>121</v>
      </c>
      <c r="AN114">
        <v>75</v>
      </c>
      <c r="AO114">
        <v>117</v>
      </c>
    </row>
    <row r="115" spans="37:41">
      <c r="AK115" t="s">
        <v>637</v>
      </c>
      <c r="AL115" t="s">
        <v>67</v>
      </c>
      <c r="AM115" t="s">
        <v>121</v>
      </c>
      <c r="AN115">
        <v>75</v>
      </c>
      <c r="AO115">
        <v>118</v>
      </c>
    </row>
    <row r="116" spans="37:41">
      <c r="AK116" t="s">
        <v>638</v>
      </c>
      <c r="AL116" t="s">
        <v>67</v>
      </c>
      <c r="AM116" t="s">
        <v>121</v>
      </c>
      <c r="AN116">
        <v>75</v>
      </c>
      <c r="AO116">
        <v>119</v>
      </c>
    </row>
    <row r="117" spans="37:41">
      <c r="AK117" t="s">
        <v>639</v>
      </c>
      <c r="AL117" t="s">
        <v>81</v>
      </c>
      <c r="AM117" t="s">
        <v>121</v>
      </c>
      <c r="AN117">
        <v>75</v>
      </c>
      <c r="AO117">
        <v>120</v>
      </c>
    </row>
    <row r="118" spans="37:41">
      <c r="AK118" t="s">
        <v>640</v>
      </c>
      <c r="AL118" t="s">
        <v>67</v>
      </c>
      <c r="AM118" t="s">
        <v>121</v>
      </c>
      <c r="AN118">
        <v>75</v>
      </c>
      <c r="AO118">
        <v>121</v>
      </c>
    </row>
    <row r="119" spans="37:41">
      <c r="AK119" t="s">
        <v>641</v>
      </c>
      <c r="AL119" t="s">
        <v>67</v>
      </c>
      <c r="AM119" t="s">
        <v>121</v>
      </c>
      <c r="AN119">
        <v>75</v>
      </c>
      <c r="AO119">
        <v>122</v>
      </c>
    </row>
    <row r="120" spans="37:41">
      <c r="AK120" t="s">
        <v>642</v>
      </c>
      <c r="AL120" t="s">
        <v>67</v>
      </c>
      <c r="AM120" t="s">
        <v>121</v>
      </c>
      <c r="AN120">
        <v>75</v>
      </c>
      <c r="AO120">
        <v>123</v>
      </c>
    </row>
    <row r="121" spans="37:41">
      <c r="AK121" t="s">
        <v>643</v>
      </c>
      <c r="AL121" t="s">
        <v>81</v>
      </c>
      <c r="AM121" t="s">
        <v>121</v>
      </c>
      <c r="AN121">
        <v>75</v>
      </c>
      <c r="AO121">
        <v>124</v>
      </c>
    </row>
    <row r="122" spans="37:41">
      <c r="AK122" t="s">
        <v>644</v>
      </c>
      <c r="AL122" t="s">
        <v>67</v>
      </c>
      <c r="AM122" t="s">
        <v>129</v>
      </c>
      <c r="AN122">
        <v>75</v>
      </c>
      <c r="AO122">
        <v>125</v>
      </c>
    </row>
    <row r="123" spans="37:41">
      <c r="AK123" t="s">
        <v>645</v>
      </c>
      <c r="AL123" t="s">
        <v>67</v>
      </c>
      <c r="AM123" t="s">
        <v>129</v>
      </c>
      <c r="AN123">
        <v>75</v>
      </c>
      <c r="AO123">
        <v>126</v>
      </c>
    </row>
    <row r="124" spans="37:41">
      <c r="AK124" t="s">
        <v>646</v>
      </c>
      <c r="AL124" t="s">
        <v>67</v>
      </c>
      <c r="AM124" t="s">
        <v>129</v>
      </c>
      <c r="AN124">
        <v>75</v>
      </c>
      <c r="AO124">
        <v>127</v>
      </c>
    </row>
    <row r="125" spans="37:41">
      <c r="AK125" t="s">
        <v>647</v>
      </c>
      <c r="AL125" t="s">
        <v>67</v>
      </c>
      <c r="AM125" t="s">
        <v>129</v>
      </c>
      <c r="AN125">
        <v>75</v>
      </c>
      <c r="AO125">
        <v>128</v>
      </c>
    </row>
    <row r="126" spans="37:41">
      <c r="AK126" t="s">
        <v>648</v>
      </c>
      <c r="AL126" t="s">
        <v>67</v>
      </c>
      <c r="AM126" t="s">
        <v>129</v>
      </c>
      <c r="AN126">
        <v>75</v>
      </c>
      <c r="AO126">
        <v>129</v>
      </c>
    </row>
    <row r="127" spans="37:41">
      <c r="AK127" t="s">
        <v>649</v>
      </c>
      <c r="AL127" t="s">
        <v>81</v>
      </c>
      <c r="AM127" t="s">
        <v>129</v>
      </c>
      <c r="AN127">
        <v>75</v>
      </c>
      <c r="AO127">
        <v>130</v>
      </c>
    </row>
    <row r="128" spans="37:41">
      <c r="AK128" t="s">
        <v>650</v>
      </c>
      <c r="AL128" t="s">
        <v>81</v>
      </c>
      <c r="AM128" t="s">
        <v>129</v>
      </c>
      <c r="AN128">
        <v>75</v>
      </c>
      <c r="AO128">
        <v>131</v>
      </c>
    </row>
    <row r="129" spans="37:41">
      <c r="AK129" t="s">
        <v>651</v>
      </c>
      <c r="AL129" t="s">
        <v>67</v>
      </c>
      <c r="AM129" t="s">
        <v>129</v>
      </c>
      <c r="AN129">
        <v>75</v>
      </c>
      <c r="AO129">
        <v>132</v>
      </c>
    </row>
    <row r="130" spans="37:41">
      <c r="AK130" t="s">
        <v>652</v>
      </c>
      <c r="AL130" t="s">
        <v>67</v>
      </c>
      <c r="AM130" t="s">
        <v>129</v>
      </c>
      <c r="AN130">
        <v>75</v>
      </c>
      <c r="AO130">
        <v>133</v>
      </c>
    </row>
    <row r="131" spans="37:41">
      <c r="AK131" t="s">
        <v>653</v>
      </c>
      <c r="AL131" t="s">
        <v>81</v>
      </c>
      <c r="AM131" t="s">
        <v>129</v>
      </c>
      <c r="AN131">
        <v>75</v>
      </c>
      <c r="AO131">
        <v>134</v>
      </c>
    </row>
    <row r="132" spans="37:41">
      <c r="AK132" t="s">
        <v>654</v>
      </c>
      <c r="AL132" t="s">
        <v>81</v>
      </c>
      <c r="AM132" t="s">
        <v>129</v>
      </c>
      <c r="AN132">
        <v>75</v>
      </c>
      <c r="AO132">
        <v>135</v>
      </c>
    </row>
    <row r="133" spans="37:41">
      <c r="AK133" t="s">
        <v>655</v>
      </c>
      <c r="AL133" t="s">
        <v>81</v>
      </c>
      <c r="AM133" t="s">
        <v>129</v>
      </c>
      <c r="AN133">
        <v>75</v>
      </c>
      <c r="AO133">
        <v>136</v>
      </c>
    </row>
    <row r="134" spans="37:41">
      <c r="AK134" t="s">
        <v>656</v>
      </c>
      <c r="AL134" t="s">
        <v>81</v>
      </c>
      <c r="AM134" t="s">
        <v>129</v>
      </c>
      <c r="AN134">
        <v>75</v>
      </c>
      <c r="AO134">
        <v>137</v>
      </c>
    </row>
    <row r="135" spans="37:41">
      <c r="AK135" t="s">
        <v>657</v>
      </c>
      <c r="AL135" t="s">
        <v>67</v>
      </c>
      <c r="AM135" t="s">
        <v>129</v>
      </c>
      <c r="AN135">
        <v>75</v>
      </c>
      <c r="AO135">
        <v>138</v>
      </c>
    </row>
    <row r="136" spans="37:41">
      <c r="AK136" t="s">
        <v>658</v>
      </c>
      <c r="AL136" t="s">
        <v>67</v>
      </c>
      <c r="AM136" t="s">
        <v>129</v>
      </c>
      <c r="AN136">
        <v>75</v>
      </c>
      <c r="AO136">
        <v>139</v>
      </c>
    </row>
    <row r="137" spans="37:41">
      <c r="AK137" t="s">
        <v>659</v>
      </c>
      <c r="AL137" t="s">
        <v>81</v>
      </c>
      <c r="AM137" t="s">
        <v>129</v>
      </c>
      <c r="AN137">
        <v>75</v>
      </c>
      <c r="AO137">
        <v>140</v>
      </c>
    </row>
    <row r="138" spans="37:41">
      <c r="AK138" t="s">
        <v>660</v>
      </c>
      <c r="AL138" t="s">
        <v>67</v>
      </c>
      <c r="AM138" t="s">
        <v>129</v>
      </c>
      <c r="AN138">
        <v>75</v>
      </c>
      <c r="AO138">
        <v>141</v>
      </c>
    </row>
    <row r="139" spans="37:41">
      <c r="AK139" t="s">
        <v>661</v>
      </c>
      <c r="AL139" t="s">
        <v>67</v>
      </c>
      <c r="AM139" t="s">
        <v>129</v>
      </c>
      <c r="AN139">
        <v>75</v>
      </c>
      <c r="AO139">
        <v>142</v>
      </c>
    </row>
    <row r="140" spans="37:41">
      <c r="AK140" t="s">
        <v>662</v>
      </c>
      <c r="AL140" t="s">
        <v>67</v>
      </c>
      <c r="AM140" t="s">
        <v>129</v>
      </c>
      <c r="AN140">
        <v>75</v>
      </c>
      <c r="AO140">
        <v>143</v>
      </c>
    </row>
    <row r="141" spans="37:41">
      <c r="AK141" t="s">
        <v>663</v>
      </c>
      <c r="AL141" t="s">
        <v>81</v>
      </c>
      <c r="AM141" t="s">
        <v>129</v>
      </c>
      <c r="AN141">
        <v>75</v>
      </c>
      <c r="AO141">
        <v>144</v>
      </c>
    </row>
    <row r="142" spans="37:41">
      <c r="AK142" t="s">
        <v>664</v>
      </c>
      <c r="AL142" t="s">
        <v>67</v>
      </c>
      <c r="AM142" t="s">
        <v>129</v>
      </c>
      <c r="AN142">
        <v>75</v>
      </c>
      <c r="AO142">
        <v>145</v>
      </c>
    </row>
    <row r="143" spans="37:41">
      <c r="AK143" t="s">
        <v>665</v>
      </c>
      <c r="AL143" t="s">
        <v>67</v>
      </c>
      <c r="AM143" t="s">
        <v>129</v>
      </c>
      <c r="AN143">
        <v>75</v>
      </c>
      <c r="AO143">
        <v>146</v>
      </c>
    </row>
    <row r="144" spans="37:41">
      <c r="AK144" t="s">
        <v>666</v>
      </c>
      <c r="AL144" t="s">
        <v>67</v>
      </c>
      <c r="AM144" t="s">
        <v>129</v>
      </c>
      <c r="AN144">
        <v>75</v>
      </c>
      <c r="AO144">
        <v>147</v>
      </c>
    </row>
    <row r="145" spans="37:41">
      <c r="AK145" t="s">
        <v>667</v>
      </c>
      <c r="AL145" t="s">
        <v>81</v>
      </c>
      <c r="AM145" t="s">
        <v>129</v>
      </c>
      <c r="AN145">
        <v>75</v>
      </c>
      <c r="AO145">
        <v>148</v>
      </c>
    </row>
    <row r="146" spans="37:41">
      <c r="AK146" t="s">
        <v>668</v>
      </c>
      <c r="AL146" t="s">
        <v>67</v>
      </c>
      <c r="AM146" t="s">
        <v>121</v>
      </c>
      <c r="AN146">
        <v>75</v>
      </c>
      <c r="AO146">
        <v>149</v>
      </c>
    </row>
    <row r="147" spans="37:41">
      <c r="AK147" t="s">
        <v>669</v>
      </c>
      <c r="AL147" t="s">
        <v>67</v>
      </c>
      <c r="AM147" t="s">
        <v>121</v>
      </c>
      <c r="AN147">
        <v>75</v>
      </c>
      <c r="AO147">
        <v>150</v>
      </c>
    </row>
    <row r="148" spans="37:41">
      <c r="AK148" t="s">
        <v>670</v>
      </c>
      <c r="AL148" t="s">
        <v>67</v>
      </c>
      <c r="AM148" t="s">
        <v>121</v>
      </c>
      <c r="AN148">
        <v>75</v>
      </c>
      <c r="AO148">
        <v>151</v>
      </c>
    </row>
    <row r="149" spans="37:41">
      <c r="AK149" t="s">
        <v>671</v>
      </c>
      <c r="AL149" t="s">
        <v>67</v>
      </c>
      <c r="AM149" t="s">
        <v>121</v>
      </c>
      <c r="AN149">
        <v>75</v>
      </c>
      <c r="AO149">
        <v>152</v>
      </c>
    </row>
    <row r="150" spans="37:41">
      <c r="AK150" t="s">
        <v>672</v>
      </c>
      <c r="AL150" t="s">
        <v>67</v>
      </c>
      <c r="AM150" t="s">
        <v>121</v>
      </c>
      <c r="AN150">
        <v>75</v>
      </c>
      <c r="AO150">
        <v>153</v>
      </c>
    </row>
    <row r="151" spans="37:41">
      <c r="AK151" t="s">
        <v>673</v>
      </c>
      <c r="AL151" t="s">
        <v>81</v>
      </c>
      <c r="AM151" t="s">
        <v>121</v>
      </c>
      <c r="AN151">
        <v>75</v>
      </c>
      <c r="AO151">
        <v>154</v>
      </c>
    </row>
    <row r="152" spans="37:41">
      <c r="AK152" t="s">
        <v>674</v>
      </c>
      <c r="AL152" t="s">
        <v>81</v>
      </c>
      <c r="AM152" t="s">
        <v>121</v>
      </c>
      <c r="AN152">
        <v>75</v>
      </c>
      <c r="AO152">
        <v>155</v>
      </c>
    </row>
    <row r="153" spans="37:41">
      <c r="AK153" t="s">
        <v>675</v>
      </c>
      <c r="AL153" t="s">
        <v>67</v>
      </c>
      <c r="AM153" t="s">
        <v>121</v>
      </c>
      <c r="AN153">
        <v>75</v>
      </c>
      <c r="AO153">
        <v>156</v>
      </c>
    </row>
    <row r="154" spans="37:41">
      <c r="AK154" t="s">
        <v>676</v>
      </c>
      <c r="AL154" t="s">
        <v>67</v>
      </c>
      <c r="AM154" t="s">
        <v>121</v>
      </c>
      <c r="AN154">
        <v>75</v>
      </c>
      <c r="AO154">
        <v>157</v>
      </c>
    </row>
    <row r="155" spans="37:41">
      <c r="AK155" t="s">
        <v>677</v>
      </c>
      <c r="AL155" t="s">
        <v>81</v>
      </c>
      <c r="AM155" t="s">
        <v>121</v>
      </c>
      <c r="AN155">
        <v>75</v>
      </c>
      <c r="AO155">
        <v>158</v>
      </c>
    </row>
    <row r="156" spans="37:41">
      <c r="AK156" t="s">
        <v>678</v>
      </c>
      <c r="AL156" t="s">
        <v>81</v>
      </c>
      <c r="AM156" t="s">
        <v>121</v>
      </c>
      <c r="AN156">
        <v>75</v>
      </c>
      <c r="AO156">
        <v>159</v>
      </c>
    </row>
    <row r="157" spans="37:41">
      <c r="AK157" t="s">
        <v>679</v>
      </c>
      <c r="AL157" t="s">
        <v>81</v>
      </c>
      <c r="AM157" t="s">
        <v>121</v>
      </c>
      <c r="AN157">
        <v>75</v>
      </c>
      <c r="AO157">
        <v>160</v>
      </c>
    </row>
    <row r="158" spans="37:41">
      <c r="AK158" t="s">
        <v>680</v>
      </c>
      <c r="AL158" t="s">
        <v>81</v>
      </c>
      <c r="AM158" t="s">
        <v>121</v>
      </c>
      <c r="AN158">
        <v>75</v>
      </c>
      <c r="AO158">
        <v>161</v>
      </c>
    </row>
    <row r="159" spans="37:41">
      <c r="AK159" t="s">
        <v>681</v>
      </c>
      <c r="AL159" t="s">
        <v>67</v>
      </c>
      <c r="AM159" t="s">
        <v>121</v>
      </c>
      <c r="AN159">
        <v>75</v>
      </c>
      <c r="AO159">
        <v>162</v>
      </c>
    </row>
    <row r="160" spans="37:41">
      <c r="AK160" t="s">
        <v>682</v>
      </c>
      <c r="AL160" t="s">
        <v>67</v>
      </c>
      <c r="AM160" t="s">
        <v>121</v>
      </c>
      <c r="AN160">
        <v>75</v>
      </c>
      <c r="AO160">
        <v>163</v>
      </c>
    </row>
    <row r="161" spans="37:41">
      <c r="AK161" t="s">
        <v>683</v>
      </c>
      <c r="AL161" t="s">
        <v>81</v>
      </c>
      <c r="AM161" t="s">
        <v>121</v>
      </c>
      <c r="AN161">
        <v>75</v>
      </c>
      <c r="AO161">
        <v>164</v>
      </c>
    </row>
    <row r="162" spans="37:41">
      <c r="AK162" t="s">
        <v>684</v>
      </c>
      <c r="AL162" t="s">
        <v>67</v>
      </c>
      <c r="AM162" t="s">
        <v>121</v>
      </c>
      <c r="AN162">
        <v>75</v>
      </c>
      <c r="AO162">
        <v>165</v>
      </c>
    </row>
    <row r="163" spans="37:41">
      <c r="AK163" t="s">
        <v>685</v>
      </c>
      <c r="AL163" t="s">
        <v>67</v>
      </c>
      <c r="AM163" t="s">
        <v>121</v>
      </c>
      <c r="AN163">
        <v>75</v>
      </c>
      <c r="AO163">
        <v>166</v>
      </c>
    </row>
    <row r="164" spans="37:41">
      <c r="AK164" t="s">
        <v>686</v>
      </c>
      <c r="AL164" t="s">
        <v>67</v>
      </c>
      <c r="AM164" t="s">
        <v>121</v>
      </c>
      <c r="AN164">
        <v>75</v>
      </c>
      <c r="AO164">
        <v>167</v>
      </c>
    </row>
    <row r="165" spans="37:41">
      <c r="AK165" t="s">
        <v>687</v>
      </c>
      <c r="AL165" t="s">
        <v>81</v>
      </c>
      <c r="AM165" t="s">
        <v>121</v>
      </c>
      <c r="AN165">
        <v>75</v>
      </c>
      <c r="AO165">
        <v>168</v>
      </c>
    </row>
    <row r="166" spans="37:41">
      <c r="AK166" t="s">
        <v>688</v>
      </c>
      <c r="AL166" t="s">
        <v>67</v>
      </c>
      <c r="AM166" t="s">
        <v>121</v>
      </c>
      <c r="AN166">
        <v>75</v>
      </c>
      <c r="AO166">
        <v>169</v>
      </c>
    </row>
    <row r="167" spans="37:41">
      <c r="AK167" t="s">
        <v>689</v>
      </c>
      <c r="AL167" t="s">
        <v>67</v>
      </c>
      <c r="AM167" t="s">
        <v>121</v>
      </c>
      <c r="AN167">
        <v>75</v>
      </c>
      <c r="AO167">
        <v>170</v>
      </c>
    </row>
    <row r="168" spans="37:41">
      <c r="AK168" t="s">
        <v>690</v>
      </c>
      <c r="AL168" t="s">
        <v>67</v>
      </c>
      <c r="AM168" t="s">
        <v>121</v>
      </c>
      <c r="AN168">
        <v>75</v>
      </c>
      <c r="AO168">
        <v>171</v>
      </c>
    </row>
    <row r="169" spans="37:41">
      <c r="AK169" t="s">
        <v>691</v>
      </c>
      <c r="AL169" t="s">
        <v>81</v>
      </c>
      <c r="AM169" t="s">
        <v>121</v>
      </c>
      <c r="AN169">
        <v>75</v>
      </c>
      <c r="AO169">
        <v>172</v>
      </c>
    </row>
    <row r="170" spans="37:41">
      <c r="AK170" t="s">
        <v>692</v>
      </c>
      <c r="AL170" t="s">
        <v>67</v>
      </c>
      <c r="AM170" t="s">
        <v>132</v>
      </c>
      <c r="AN170">
        <v>75</v>
      </c>
      <c r="AO170">
        <v>173</v>
      </c>
    </row>
    <row r="171" spans="37:41">
      <c r="AK171" t="s">
        <v>693</v>
      </c>
      <c r="AL171" t="s">
        <v>67</v>
      </c>
      <c r="AM171" t="s">
        <v>132</v>
      </c>
      <c r="AN171">
        <v>75</v>
      </c>
      <c r="AO171">
        <v>174</v>
      </c>
    </row>
    <row r="172" spans="37:41">
      <c r="AK172" t="s">
        <v>694</v>
      </c>
      <c r="AL172" t="s">
        <v>67</v>
      </c>
      <c r="AM172" t="s">
        <v>132</v>
      </c>
      <c r="AN172">
        <v>75</v>
      </c>
      <c r="AO172">
        <v>175</v>
      </c>
    </row>
    <row r="173" spans="37:41">
      <c r="AK173" t="s">
        <v>695</v>
      </c>
      <c r="AL173" t="s">
        <v>67</v>
      </c>
      <c r="AM173" t="s">
        <v>132</v>
      </c>
      <c r="AN173">
        <v>75</v>
      </c>
      <c r="AO173">
        <v>176</v>
      </c>
    </row>
    <row r="174" spans="37:41">
      <c r="AK174" t="s">
        <v>696</v>
      </c>
      <c r="AL174" t="s">
        <v>67</v>
      </c>
      <c r="AM174" t="s">
        <v>132</v>
      </c>
      <c r="AN174">
        <v>75</v>
      </c>
      <c r="AO174">
        <v>177</v>
      </c>
    </row>
    <row r="175" spans="37:41">
      <c r="AK175" t="s">
        <v>697</v>
      </c>
      <c r="AL175" t="s">
        <v>81</v>
      </c>
      <c r="AM175" t="s">
        <v>132</v>
      </c>
      <c r="AN175">
        <v>75</v>
      </c>
      <c r="AO175">
        <v>178</v>
      </c>
    </row>
    <row r="176" spans="37:41">
      <c r="AK176" t="s">
        <v>698</v>
      </c>
      <c r="AL176" t="s">
        <v>81</v>
      </c>
      <c r="AM176" t="s">
        <v>132</v>
      </c>
      <c r="AN176">
        <v>75</v>
      </c>
      <c r="AO176">
        <v>179</v>
      </c>
    </row>
    <row r="177" spans="37:41">
      <c r="AK177" t="s">
        <v>699</v>
      </c>
      <c r="AL177" t="s">
        <v>67</v>
      </c>
      <c r="AM177" t="s">
        <v>132</v>
      </c>
      <c r="AN177">
        <v>75</v>
      </c>
      <c r="AO177">
        <v>180</v>
      </c>
    </row>
    <row r="178" spans="37:41">
      <c r="AK178" t="s">
        <v>700</v>
      </c>
      <c r="AL178" t="s">
        <v>67</v>
      </c>
      <c r="AM178" t="s">
        <v>132</v>
      </c>
      <c r="AN178">
        <v>75</v>
      </c>
      <c r="AO178">
        <v>181</v>
      </c>
    </row>
    <row r="179" spans="37:41">
      <c r="AK179" t="s">
        <v>701</v>
      </c>
      <c r="AL179" t="s">
        <v>81</v>
      </c>
      <c r="AM179" t="s">
        <v>132</v>
      </c>
      <c r="AN179">
        <v>75</v>
      </c>
      <c r="AO179">
        <v>182</v>
      </c>
    </row>
    <row r="180" spans="37:41">
      <c r="AK180" t="s">
        <v>702</v>
      </c>
      <c r="AL180" t="s">
        <v>81</v>
      </c>
      <c r="AM180" t="s">
        <v>132</v>
      </c>
      <c r="AN180">
        <v>75</v>
      </c>
      <c r="AO180">
        <v>183</v>
      </c>
    </row>
    <row r="181" spans="37:41">
      <c r="AK181" t="s">
        <v>703</v>
      </c>
      <c r="AL181" t="s">
        <v>81</v>
      </c>
      <c r="AM181" t="s">
        <v>132</v>
      </c>
      <c r="AN181">
        <v>75</v>
      </c>
      <c r="AO181">
        <v>184</v>
      </c>
    </row>
    <row r="182" spans="37:41">
      <c r="AK182" t="s">
        <v>704</v>
      </c>
      <c r="AL182" t="s">
        <v>81</v>
      </c>
      <c r="AM182" t="s">
        <v>132</v>
      </c>
      <c r="AN182">
        <v>75</v>
      </c>
      <c r="AO182">
        <v>185</v>
      </c>
    </row>
    <row r="183" spans="37:41">
      <c r="AK183" t="s">
        <v>705</v>
      </c>
      <c r="AL183" t="s">
        <v>67</v>
      </c>
      <c r="AM183" t="s">
        <v>132</v>
      </c>
      <c r="AN183">
        <v>75</v>
      </c>
      <c r="AO183">
        <v>186</v>
      </c>
    </row>
    <row r="184" spans="37:41">
      <c r="AK184" t="s">
        <v>706</v>
      </c>
      <c r="AL184" t="s">
        <v>67</v>
      </c>
      <c r="AM184" t="s">
        <v>132</v>
      </c>
      <c r="AN184">
        <v>75</v>
      </c>
      <c r="AO184">
        <v>187</v>
      </c>
    </row>
    <row r="185" spans="37:41">
      <c r="AK185" t="s">
        <v>707</v>
      </c>
      <c r="AL185" t="s">
        <v>81</v>
      </c>
      <c r="AM185" t="s">
        <v>132</v>
      </c>
      <c r="AN185">
        <v>75</v>
      </c>
      <c r="AO185">
        <v>188</v>
      </c>
    </row>
    <row r="186" spans="37:41">
      <c r="AK186" t="s">
        <v>708</v>
      </c>
      <c r="AL186" t="s">
        <v>67</v>
      </c>
      <c r="AM186" t="s">
        <v>132</v>
      </c>
      <c r="AN186">
        <v>75</v>
      </c>
      <c r="AO186">
        <v>189</v>
      </c>
    </row>
    <row r="187" spans="37:41">
      <c r="AK187" t="s">
        <v>709</v>
      </c>
      <c r="AL187" t="s">
        <v>67</v>
      </c>
      <c r="AM187" t="s">
        <v>132</v>
      </c>
      <c r="AN187">
        <v>75</v>
      </c>
      <c r="AO187">
        <v>190</v>
      </c>
    </row>
    <row r="188" spans="37:41">
      <c r="AK188" t="s">
        <v>710</v>
      </c>
      <c r="AL188" t="s">
        <v>67</v>
      </c>
      <c r="AM188" t="s">
        <v>132</v>
      </c>
      <c r="AN188">
        <v>75</v>
      </c>
      <c r="AO188">
        <v>191</v>
      </c>
    </row>
    <row r="189" spans="37:41">
      <c r="AK189" t="s">
        <v>711</v>
      </c>
      <c r="AL189" t="s">
        <v>81</v>
      </c>
      <c r="AM189" t="s">
        <v>132</v>
      </c>
      <c r="AN189">
        <v>75</v>
      </c>
      <c r="AO189">
        <v>192</v>
      </c>
    </row>
    <row r="190" spans="37:41">
      <c r="AK190" t="s">
        <v>712</v>
      </c>
      <c r="AL190" t="s">
        <v>67</v>
      </c>
      <c r="AM190" t="s">
        <v>132</v>
      </c>
      <c r="AN190">
        <v>75</v>
      </c>
      <c r="AO190">
        <v>193</v>
      </c>
    </row>
    <row r="191" spans="37:41">
      <c r="AK191" t="s">
        <v>713</v>
      </c>
      <c r="AL191" t="s">
        <v>67</v>
      </c>
      <c r="AM191" t="s">
        <v>132</v>
      </c>
      <c r="AN191">
        <v>75</v>
      </c>
      <c r="AO191">
        <v>194</v>
      </c>
    </row>
    <row r="192" spans="37:41">
      <c r="AK192" t="s">
        <v>714</v>
      </c>
      <c r="AL192" t="s">
        <v>67</v>
      </c>
      <c r="AM192" t="s">
        <v>132</v>
      </c>
      <c r="AN192">
        <v>75</v>
      </c>
      <c r="AO192">
        <v>195</v>
      </c>
    </row>
    <row r="193" spans="37:41">
      <c r="AK193" t="s">
        <v>715</v>
      </c>
      <c r="AL193" t="s">
        <v>81</v>
      </c>
      <c r="AM193" t="s">
        <v>132</v>
      </c>
      <c r="AN193">
        <v>75</v>
      </c>
      <c r="AO193">
        <v>196</v>
      </c>
    </row>
    <row r="194" spans="37:41">
      <c r="AK194" t="s">
        <v>716</v>
      </c>
      <c r="AL194" t="s">
        <v>67</v>
      </c>
      <c r="AM194" t="s">
        <v>135</v>
      </c>
      <c r="AN194">
        <v>75</v>
      </c>
      <c r="AO194">
        <v>197</v>
      </c>
    </row>
    <row r="195" spans="37:41">
      <c r="AK195" t="s">
        <v>717</v>
      </c>
      <c r="AL195" t="s">
        <v>67</v>
      </c>
      <c r="AM195" t="s">
        <v>135</v>
      </c>
      <c r="AN195">
        <v>75</v>
      </c>
      <c r="AO195">
        <v>198</v>
      </c>
    </row>
    <row r="196" spans="37:41">
      <c r="AK196" t="s">
        <v>718</v>
      </c>
      <c r="AL196" t="s">
        <v>67</v>
      </c>
      <c r="AM196" t="s">
        <v>135</v>
      </c>
      <c r="AN196">
        <v>75</v>
      </c>
      <c r="AO196">
        <v>199</v>
      </c>
    </row>
    <row r="197" spans="37:41">
      <c r="AK197" t="s">
        <v>719</v>
      </c>
      <c r="AL197" t="s">
        <v>67</v>
      </c>
      <c r="AM197" t="s">
        <v>135</v>
      </c>
      <c r="AN197">
        <v>75</v>
      </c>
      <c r="AO197">
        <v>200</v>
      </c>
    </row>
    <row r="198" spans="37:41">
      <c r="AK198" t="s">
        <v>720</v>
      </c>
      <c r="AL198" t="s">
        <v>67</v>
      </c>
      <c r="AM198" t="s">
        <v>135</v>
      </c>
      <c r="AN198">
        <v>75</v>
      </c>
      <c r="AO198">
        <v>201</v>
      </c>
    </row>
    <row r="199" spans="37:41">
      <c r="AK199" t="s">
        <v>721</v>
      </c>
      <c r="AL199" t="s">
        <v>81</v>
      </c>
      <c r="AM199" t="s">
        <v>135</v>
      </c>
      <c r="AN199">
        <v>75</v>
      </c>
      <c r="AO199">
        <v>202</v>
      </c>
    </row>
    <row r="200" spans="37:41">
      <c r="AK200" t="s">
        <v>722</v>
      </c>
      <c r="AL200" t="s">
        <v>81</v>
      </c>
      <c r="AM200" t="s">
        <v>135</v>
      </c>
      <c r="AN200">
        <v>75</v>
      </c>
      <c r="AO200">
        <v>203</v>
      </c>
    </row>
    <row r="201" spans="37:41">
      <c r="AK201" t="s">
        <v>723</v>
      </c>
      <c r="AL201" t="s">
        <v>67</v>
      </c>
      <c r="AM201" t="s">
        <v>135</v>
      </c>
      <c r="AN201">
        <v>75</v>
      </c>
      <c r="AO201">
        <v>204</v>
      </c>
    </row>
    <row r="202" spans="37:41">
      <c r="AK202" t="s">
        <v>724</v>
      </c>
      <c r="AL202" t="s">
        <v>67</v>
      </c>
      <c r="AM202" t="s">
        <v>135</v>
      </c>
      <c r="AN202">
        <v>75</v>
      </c>
      <c r="AO202">
        <v>205</v>
      </c>
    </row>
    <row r="203" spans="37:41">
      <c r="AK203" t="s">
        <v>725</v>
      </c>
      <c r="AL203" t="s">
        <v>81</v>
      </c>
      <c r="AM203" t="s">
        <v>135</v>
      </c>
      <c r="AN203">
        <v>75</v>
      </c>
      <c r="AO203">
        <v>206</v>
      </c>
    </row>
    <row r="204" spans="37:41">
      <c r="AK204" t="s">
        <v>726</v>
      </c>
      <c r="AL204" t="s">
        <v>81</v>
      </c>
      <c r="AM204" t="s">
        <v>135</v>
      </c>
      <c r="AN204">
        <v>75</v>
      </c>
      <c r="AO204">
        <v>207</v>
      </c>
    </row>
    <row r="205" spans="37:41">
      <c r="AK205" t="s">
        <v>727</v>
      </c>
      <c r="AL205" t="s">
        <v>81</v>
      </c>
      <c r="AM205" t="s">
        <v>135</v>
      </c>
      <c r="AN205">
        <v>75</v>
      </c>
      <c r="AO205">
        <v>208</v>
      </c>
    </row>
    <row r="206" spans="37:41">
      <c r="AK206" t="s">
        <v>728</v>
      </c>
      <c r="AL206" t="s">
        <v>81</v>
      </c>
      <c r="AM206" t="s">
        <v>135</v>
      </c>
      <c r="AN206">
        <v>75</v>
      </c>
      <c r="AO206">
        <v>209</v>
      </c>
    </row>
    <row r="207" spans="37:41">
      <c r="AK207" t="s">
        <v>729</v>
      </c>
      <c r="AL207" t="s">
        <v>67</v>
      </c>
      <c r="AM207" t="s">
        <v>135</v>
      </c>
      <c r="AN207">
        <v>75</v>
      </c>
      <c r="AO207">
        <v>210</v>
      </c>
    </row>
    <row r="208" spans="37:41">
      <c r="AK208" t="s">
        <v>730</v>
      </c>
      <c r="AL208" t="s">
        <v>67</v>
      </c>
      <c r="AM208" t="s">
        <v>135</v>
      </c>
      <c r="AN208">
        <v>75</v>
      </c>
      <c r="AO208">
        <v>211</v>
      </c>
    </row>
    <row r="209" spans="37:41">
      <c r="AK209" t="s">
        <v>731</v>
      </c>
      <c r="AL209" t="s">
        <v>81</v>
      </c>
      <c r="AM209" t="s">
        <v>135</v>
      </c>
      <c r="AN209">
        <v>75</v>
      </c>
      <c r="AO209">
        <v>212</v>
      </c>
    </row>
    <row r="210" spans="37:41">
      <c r="AK210" t="s">
        <v>732</v>
      </c>
      <c r="AL210" t="s">
        <v>67</v>
      </c>
      <c r="AM210" t="s">
        <v>135</v>
      </c>
      <c r="AN210">
        <v>75</v>
      </c>
      <c r="AO210">
        <v>213</v>
      </c>
    </row>
    <row r="211" spans="37:41">
      <c r="AK211" t="s">
        <v>733</v>
      </c>
      <c r="AL211" t="s">
        <v>67</v>
      </c>
      <c r="AM211" t="s">
        <v>135</v>
      </c>
      <c r="AN211">
        <v>75</v>
      </c>
      <c r="AO211">
        <v>214</v>
      </c>
    </row>
    <row r="212" spans="37:41">
      <c r="AK212" t="s">
        <v>734</v>
      </c>
      <c r="AL212" t="s">
        <v>67</v>
      </c>
      <c r="AM212" t="s">
        <v>135</v>
      </c>
      <c r="AN212">
        <v>75</v>
      </c>
      <c r="AO212">
        <v>215</v>
      </c>
    </row>
    <row r="213" spans="37:41">
      <c r="AK213" t="s">
        <v>735</v>
      </c>
      <c r="AL213" t="s">
        <v>81</v>
      </c>
      <c r="AM213" t="s">
        <v>135</v>
      </c>
      <c r="AN213">
        <v>75</v>
      </c>
      <c r="AO213">
        <v>216</v>
      </c>
    </row>
    <row r="214" spans="37:41">
      <c r="AK214" t="s">
        <v>736</v>
      </c>
      <c r="AL214" t="s">
        <v>67</v>
      </c>
      <c r="AM214" t="s">
        <v>135</v>
      </c>
      <c r="AN214">
        <v>75</v>
      </c>
      <c r="AO214">
        <v>217</v>
      </c>
    </row>
    <row r="215" spans="37:41">
      <c r="AK215" t="s">
        <v>737</v>
      </c>
      <c r="AL215" t="s">
        <v>67</v>
      </c>
      <c r="AM215" t="s">
        <v>135</v>
      </c>
      <c r="AN215">
        <v>75</v>
      </c>
      <c r="AO215">
        <v>218</v>
      </c>
    </row>
    <row r="216" spans="37:41">
      <c r="AK216" t="s">
        <v>738</v>
      </c>
      <c r="AL216" t="s">
        <v>67</v>
      </c>
      <c r="AM216" t="s">
        <v>135</v>
      </c>
      <c r="AN216">
        <v>75</v>
      </c>
      <c r="AO216">
        <v>219</v>
      </c>
    </row>
    <row r="217" spans="37:41">
      <c r="AK217" t="s">
        <v>739</v>
      </c>
      <c r="AL217" t="s">
        <v>81</v>
      </c>
      <c r="AM217" t="s">
        <v>135</v>
      </c>
      <c r="AN217">
        <v>75</v>
      </c>
      <c r="AO217">
        <v>220</v>
      </c>
    </row>
    <row r="218" spans="37:41">
      <c r="AK218" t="s">
        <v>740</v>
      </c>
      <c r="AL218" t="s">
        <v>67</v>
      </c>
      <c r="AM218" t="s">
        <v>137</v>
      </c>
      <c r="AN218">
        <v>75</v>
      </c>
      <c r="AO218">
        <v>221</v>
      </c>
    </row>
    <row r="219" spans="37:41">
      <c r="AK219" t="s">
        <v>741</v>
      </c>
      <c r="AL219" t="s">
        <v>67</v>
      </c>
      <c r="AM219" t="s">
        <v>137</v>
      </c>
      <c r="AN219">
        <v>75</v>
      </c>
      <c r="AO219">
        <v>222</v>
      </c>
    </row>
    <row r="220" spans="37:41">
      <c r="AK220" t="s">
        <v>742</v>
      </c>
      <c r="AL220" t="s">
        <v>67</v>
      </c>
      <c r="AM220" t="s">
        <v>137</v>
      </c>
      <c r="AN220">
        <v>75</v>
      </c>
      <c r="AO220">
        <v>223</v>
      </c>
    </row>
    <row r="221" spans="37:41">
      <c r="AK221" t="s">
        <v>743</v>
      </c>
      <c r="AL221" t="s">
        <v>67</v>
      </c>
      <c r="AM221" t="s">
        <v>137</v>
      </c>
      <c r="AN221">
        <v>75</v>
      </c>
      <c r="AO221">
        <v>224</v>
      </c>
    </row>
    <row r="222" spans="37:41">
      <c r="AK222" t="s">
        <v>744</v>
      </c>
      <c r="AL222" t="s">
        <v>67</v>
      </c>
      <c r="AM222" t="s">
        <v>137</v>
      </c>
      <c r="AN222">
        <v>75</v>
      </c>
      <c r="AO222">
        <v>225</v>
      </c>
    </row>
    <row r="223" spans="37:41">
      <c r="AK223" t="s">
        <v>745</v>
      </c>
      <c r="AL223" t="s">
        <v>81</v>
      </c>
      <c r="AM223" t="s">
        <v>137</v>
      </c>
      <c r="AN223">
        <v>75</v>
      </c>
      <c r="AO223">
        <v>226</v>
      </c>
    </row>
    <row r="224" spans="37:41">
      <c r="AK224" t="s">
        <v>746</v>
      </c>
      <c r="AL224" t="s">
        <v>81</v>
      </c>
      <c r="AM224" t="s">
        <v>137</v>
      </c>
      <c r="AN224">
        <v>75</v>
      </c>
      <c r="AO224">
        <v>227</v>
      </c>
    </row>
    <row r="225" spans="37:41">
      <c r="AK225" t="s">
        <v>747</v>
      </c>
      <c r="AL225" t="s">
        <v>67</v>
      </c>
      <c r="AM225" t="s">
        <v>137</v>
      </c>
      <c r="AN225">
        <v>75</v>
      </c>
      <c r="AO225">
        <v>228</v>
      </c>
    </row>
    <row r="226" spans="37:41">
      <c r="AK226" t="s">
        <v>748</v>
      </c>
      <c r="AL226" t="s">
        <v>67</v>
      </c>
      <c r="AM226" t="s">
        <v>137</v>
      </c>
      <c r="AN226">
        <v>75</v>
      </c>
      <c r="AO226">
        <v>229</v>
      </c>
    </row>
    <row r="227" spans="37:41">
      <c r="AK227" t="s">
        <v>749</v>
      </c>
      <c r="AL227" t="s">
        <v>81</v>
      </c>
      <c r="AM227" t="s">
        <v>137</v>
      </c>
      <c r="AN227">
        <v>75</v>
      </c>
      <c r="AO227">
        <v>230</v>
      </c>
    </row>
    <row r="228" spans="37:41">
      <c r="AK228" t="s">
        <v>750</v>
      </c>
      <c r="AL228" t="s">
        <v>81</v>
      </c>
      <c r="AM228" t="s">
        <v>137</v>
      </c>
      <c r="AN228">
        <v>75</v>
      </c>
      <c r="AO228">
        <v>231</v>
      </c>
    </row>
    <row r="229" spans="37:41">
      <c r="AK229" t="s">
        <v>751</v>
      </c>
      <c r="AL229" t="s">
        <v>81</v>
      </c>
      <c r="AM229" t="s">
        <v>137</v>
      </c>
      <c r="AN229">
        <v>75</v>
      </c>
      <c r="AO229">
        <v>232</v>
      </c>
    </row>
    <row r="230" spans="37:41">
      <c r="AK230" t="s">
        <v>752</v>
      </c>
      <c r="AL230" t="s">
        <v>81</v>
      </c>
      <c r="AM230" t="s">
        <v>137</v>
      </c>
      <c r="AN230">
        <v>75</v>
      </c>
      <c r="AO230">
        <v>233</v>
      </c>
    </row>
    <row r="231" spans="37:41">
      <c r="AK231" t="s">
        <v>753</v>
      </c>
      <c r="AL231" t="s">
        <v>67</v>
      </c>
      <c r="AM231" t="s">
        <v>137</v>
      </c>
      <c r="AN231">
        <v>75</v>
      </c>
      <c r="AO231">
        <v>234</v>
      </c>
    </row>
    <row r="232" spans="37:41">
      <c r="AK232" t="s">
        <v>754</v>
      </c>
      <c r="AL232" t="s">
        <v>67</v>
      </c>
      <c r="AM232" t="s">
        <v>137</v>
      </c>
      <c r="AN232">
        <v>75</v>
      </c>
      <c r="AO232">
        <v>235</v>
      </c>
    </row>
    <row r="233" spans="37:41">
      <c r="AK233" t="s">
        <v>755</v>
      </c>
      <c r="AL233" t="s">
        <v>81</v>
      </c>
      <c r="AM233" t="s">
        <v>137</v>
      </c>
      <c r="AN233">
        <v>75</v>
      </c>
      <c r="AO233">
        <v>236</v>
      </c>
    </row>
    <row r="234" spans="37:41">
      <c r="AK234" t="s">
        <v>756</v>
      </c>
      <c r="AL234" t="s">
        <v>67</v>
      </c>
      <c r="AM234" t="s">
        <v>137</v>
      </c>
      <c r="AN234">
        <v>75</v>
      </c>
      <c r="AO234">
        <v>237</v>
      </c>
    </row>
    <row r="235" spans="37:41">
      <c r="AK235" t="s">
        <v>757</v>
      </c>
      <c r="AL235" t="s">
        <v>67</v>
      </c>
      <c r="AM235" t="s">
        <v>137</v>
      </c>
      <c r="AN235">
        <v>75</v>
      </c>
      <c r="AO235">
        <v>238</v>
      </c>
    </row>
    <row r="236" spans="37:41">
      <c r="AK236" t="s">
        <v>758</v>
      </c>
      <c r="AL236" t="s">
        <v>67</v>
      </c>
      <c r="AM236" t="s">
        <v>137</v>
      </c>
      <c r="AN236">
        <v>75</v>
      </c>
      <c r="AO236">
        <v>239</v>
      </c>
    </row>
    <row r="237" spans="37:41">
      <c r="AK237" t="s">
        <v>759</v>
      </c>
      <c r="AL237" t="s">
        <v>81</v>
      </c>
      <c r="AM237" t="s">
        <v>137</v>
      </c>
      <c r="AN237">
        <v>75</v>
      </c>
      <c r="AO237">
        <v>240</v>
      </c>
    </row>
    <row r="238" spans="37:41">
      <c r="AK238" t="s">
        <v>760</v>
      </c>
      <c r="AL238" t="s">
        <v>67</v>
      </c>
      <c r="AM238" t="s">
        <v>137</v>
      </c>
      <c r="AN238">
        <v>75</v>
      </c>
      <c r="AO238">
        <v>241</v>
      </c>
    </row>
    <row r="239" spans="37:41">
      <c r="AK239" t="s">
        <v>761</v>
      </c>
      <c r="AL239" t="s">
        <v>67</v>
      </c>
      <c r="AM239" t="s">
        <v>137</v>
      </c>
      <c r="AN239">
        <v>75</v>
      </c>
      <c r="AO239">
        <v>242</v>
      </c>
    </row>
    <row r="240" spans="37:41">
      <c r="AK240" t="s">
        <v>762</v>
      </c>
      <c r="AL240" t="s">
        <v>67</v>
      </c>
      <c r="AM240" t="s">
        <v>137</v>
      </c>
      <c r="AN240">
        <v>75</v>
      </c>
      <c r="AO240">
        <v>243</v>
      </c>
    </row>
    <row r="241" spans="37:41">
      <c r="AK241" t="s">
        <v>763</v>
      </c>
      <c r="AL241" t="s">
        <v>81</v>
      </c>
      <c r="AM241" t="s">
        <v>137</v>
      </c>
      <c r="AN241">
        <v>75</v>
      </c>
      <c r="AO241">
        <v>244</v>
      </c>
    </row>
    <row r="242" spans="37:41">
      <c r="AK242" t="s">
        <v>764</v>
      </c>
      <c r="AL242" t="s">
        <v>67</v>
      </c>
      <c r="AM242" t="s">
        <v>125</v>
      </c>
      <c r="AN242">
        <v>110</v>
      </c>
      <c r="AO242">
        <v>245</v>
      </c>
    </row>
    <row r="243" spans="37:41">
      <c r="AK243" t="s">
        <v>765</v>
      </c>
      <c r="AL243" t="s">
        <v>67</v>
      </c>
      <c r="AM243" t="s">
        <v>125</v>
      </c>
      <c r="AN243">
        <v>110</v>
      </c>
      <c r="AO243">
        <v>246</v>
      </c>
    </row>
    <row r="244" spans="37:41">
      <c r="AK244" t="s">
        <v>766</v>
      </c>
      <c r="AL244" t="s">
        <v>67</v>
      </c>
      <c r="AM244" t="s">
        <v>125</v>
      </c>
      <c r="AN244">
        <v>110</v>
      </c>
      <c r="AO244">
        <v>247</v>
      </c>
    </row>
    <row r="245" spans="37:41">
      <c r="AK245" t="s">
        <v>767</v>
      </c>
      <c r="AL245" t="s">
        <v>67</v>
      </c>
      <c r="AM245" t="s">
        <v>125</v>
      </c>
      <c r="AN245">
        <v>110</v>
      </c>
      <c r="AO245">
        <v>248</v>
      </c>
    </row>
    <row r="246" spans="37:41">
      <c r="AK246" t="s">
        <v>768</v>
      </c>
      <c r="AL246" t="s">
        <v>67</v>
      </c>
      <c r="AM246" t="s">
        <v>125</v>
      </c>
      <c r="AN246">
        <v>110</v>
      </c>
      <c r="AO246">
        <v>249</v>
      </c>
    </row>
    <row r="247" spans="37:41">
      <c r="AK247" t="s">
        <v>769</v>
      </c>
      <c r="AL247" t="s">
        <v>81</v>
      </c>
      <c r="AM247" t="s">
        <v>125</v>
      </c>
      <c r="AN247">
        <v>110</v>
      </c>
      <c r="AO247">
        <v>250</v>
      </c>
    </row>
    <row r="248" spans="37:41">
      <c r="AK248" t="s">
        <v>770</v>
      </c>
      <c r="AL248" t="s">
        <v>81</v>
      </c>
      <c r="AM248" t="s">
        <v>125</v>
      </c>
      <c r="AN248">
        <v>110</v>
      </c>
      <c r="AO248">
        <v>251</v>
      </c>
    </row>
    <row r="249" spans="37:41">
      <c r="AK249" t="s">
        <v>771</v>
      </c>
      <c r="AL249" t="s">
        <v>67</v>
      </c>
      <c r="AM249" t="s">
        <v>125</v>
      </c>
      <c r="AN249">
        <v>110</v>
      </c>
      <c r="AO249">
        <v>252</v>
      </c>
    </row>
    <row r="250" spans="37:41">
      <c r="AK250" t="s">
        <v>772</v>
      </c>
      <c r="AL250" t="s">
        <v>67</v>
      </c>
      <c r="AM250" t="s">
        <v>125</v>
      </c>
      <c r="AN250">
        <v>110</v>
      </c>
      <c r="AO250">
        <v>253</v>
      </c>
    </row>
    <row r="251" spans="37:41">
      <c r="AK251" t="s">
        <v>773</v>
      </c>
      <c r="AL251" t="s">
        <v>81</v>
      </c>
      <c r="AM251" t="s">
        <v>125</v>
      </c>
      <c r="AN251">
        <v>110</v>
      </c>
      <c r="AO251">
        <v>254</v>
      </c>
    </row>
    <row r="252" spans="37:41">
      <c r="AK252" t="s">
        <v>774</v>
      </c>
      <c r="AL252" t="s">
        <v>81</v>
      </c>
      <c r="AM252" t="s">
        <v>125</v>
      </c>
      <c r="AN252">
        <v>110</v>
      </c>
      <c r="AO252">
        <v>255</v>
      </c>
    </row>
    <row r="253" spans="37:41">
      <c r="AK253" t="s">
        <v>775</v>
      </c>
      <c r="AL253" t="s">
        <v>81</v>
      </c>
      <c r="AM253" t="s">
        <v>125</v>
      </c>
      <c r="AN253">
        <v>110</v>
      </c>
      <c r="AO253">
        <v>256</v>
      </c>
    </row>
    <row r="254" spans="37:41">
      <c r="AK254" t="s">
        <v>776</v>
      </c>
      <c r="AL254" t="s">
        <v>81</v>
      </c>
      <c r="AM254" t="s">
        <v>125</v>
      </c>
      <c r="AN254">
        <v>110</v>
      </c>
      <c r="AO254">
        <v>257</v>
      </c>
    </row>
    <row r="255" spans="37:41">
      <c r="AK255" t="s">
        <v>777</v>
      </c>
      <c r="AL255" t="s">
        <v>67</v>
      </c>
      <c r="AM255" t="s">
        <v>125</v>
      </c>
      <c r="AN255">
        <v>110</v>
      </c>
      <c r="AO255">
        <v>258</v>
      </c>
    </row>
    <row r="256" spans="37:41">
      <c r="AK256" t="s">
        <v>778</v>
      </c>
      <c r="AL256" t="s">
        <v>67</v>
      </c>
      <c r="AM256" t="s">
        <v>125</v>
      </c>
      <c r="AN256">
        <v>110</v>
      </c>
      <c r="AO256">
        <v>259</v>
      </c>
    </row>
    <row r="257" spans="37:41">
      <c r="AK257" t="s">
        <v>779</v>
      </c>
      <c r="AL257" t="s">
        <v>81</v>
      </c>
      <c r="AM257" t="s">
        <v>125</v>
      </c>
      <c r="AN257">
        <v>110</v>
      </c>
      <c r="AO257">
        <v>260</v>
      </c>
    </row>
    <row r="258" spans="37:41">
      <c r="AK258" t="s">
        <v>780</v>
      </c>
      <c r="AL258" t="s">
        <v>67</v>
      </c>
      <c r="AM258" t="s">
        <v>125</v>
      </c>
      <c r="AN258">
        <v>110</v>
      </c>
      <c r="AO258">
        <v>261</v>
      </c>
    </row>
    <row r="259" spans="37:41">
      <c r="AK259" t="s">
        <v>781</v>
      </c>
      <c r="AL259" t="s">
        <v>67</v>
      </c>
      <c r="AM259" t="s">
        <v>125</v>
      </c>
      <c r="AN259">
        <v>110</v>
      </c>
      <c r="AO259">
        <v>262</v>
      </c>
    </row>
    <row r="260" spans="37:41">
      <c r="AK260" t="s">
        <v>782</v>
      </c>
      <c r="AL260" t="s">
        <v>67</v>
      </c>
      <c r="AM260" t="s">
        <v>125</v>
      </c>
      <c r="AN260">
        <v>110</v>
      </c>
      <c r="AO260">
        <v>263</v>
      </c>
    </row>
    <row r="261" spans="37:41">
      <c r="AK261" t="s">
        <v>783</v>
      </c>
      <c r="AL261" t="s">
        <v>81</v>
      </c>
      <c r="AM261" t="s">
        <v>125</v>
      </c>
      <c r="AN261">
        <v>110</v>
      </c>
      <c r="AO261">
        <v>264</v>
      </c>
    </row>
    <row r="262" spans="37:41">
      <c r="AK262" t="s">
        <v>784</v>
      </c>
      <c r="AL262" t="s">
        <v>67</v>
      </c>
      <c r="AM262" t="s">
        <v>125</v>
      </c>
      <c r="AN262">
        <v>110</v>
      </c>
      <c r="AO262">
        <v>265</v>
      </c>
    </row>
    <row r="263" spans="37:41">
      <c r="AK263" t="s">
        <v>785</v>
      </c>
      <c r="AL263" t="s">
        <v>67</v>
      </c>
      <c r="AM263" t="s">
        <v>125</v>
      </c>
      <c r="AN263">
        <v>110</v>
      </c>
      <c r="AO263">
        <v>266</v>
      </c>
    </row>
    <row r="264" spans="37:41">
      <c r="AK264" t="s">
        <v>786</v>
      </c>
      <c r="AL264" t="s">
        <v>67</v>
      </c>
      <c r="AM264" t="s">
        <v>125</v>
      </c>
      <c r="AN264">
        <v>110</v>
      </c>
      <c r="AO264">
        <v>267</v>
      </c>
    </row>
    <row r="265" spans="37:41">
      <c r="AK265" t="s">
        <v>787</v>
      </c>
      <c r="AL265" t="s">
        <v>81</v>
      </c>
      <c r="AM265" t="s">
        <v>125</v>
      </c>
      <c r="AN265">
        <v>110</v>
      </c>
      <c r="AO265">
        <v>268</v>
      </c>
    </row>
    <row r="266" spans="37:41">
      <c r="AK266" t="s">
        <v>788</v>
      </c>
      <c r="AL266" t="s">
        <v>67</v>
      </c>
      <c r="AM266" t="s">
        <v>125</v>
      </c>
      <c r="AN266">
        <v>110</v>
      </c>
      <c r="AO266">
        <v>269</v>
      </c>
    </row>
    <row r="267" spans="37:41">
      <c r="AK267" t="s">
        <v>789</v>
      </c>
      <c r="AL267" t="s">
        <v>67</v>
      </c>
      <c r="AM267" t="s">
        <v>125</v>
      </c>
      <c r="AN267">
        <v>110</v>
      </c>
      <c r="AO267">
        <v>270</v>
      </c>
    </row>
    <row r="268" spans="37:41">
      <c r="AK268" t="s">
        <v>790</v>
      </c>
      <c r="AL268" t="s">
        <v>67</v>
      </c>
      <c r="AM268" t="s">
        <v>125</v>
      </c>
      <c r="AN268">
        <v>110</v>
      </c>
      <c r="AO268">
        <v>271</v>
      </c>
    </row>
    <row r="269" spans="37:41">
      <c r="AK269" t="s">
        <v>791</v>
      </c>
      <c r="AL269" t="s">
        <v>67</v>
      </c>
      <c r="AM269" t="s">
        <v>125</v>
      </c>
      <c r="AN269">
        <v>110</v>
      </c>
      <c r="AO269">
        <v>272</v>
      </c>
    </row>
    <row r="270" spans="37:41">
      <c r="AK270" t="s">
        <v>792</v>
      </c>
      <c r="AL270" t="s">
        <v>67</v>
      </c>
      <c r="AM270" t="s">
        <v>125</v>
      </c>
      <c r="AN270">
        <v>110</v>
      </c>
      <c r="AO270">
        <v>273</v>
      </c>
    </row>
    <row r="271" spans="37:41">
      <c r="AK271" t="s">
        <v>793</v>
      </c>
      <c r="AL271" t="s">
        <v>81</v>
      </c>
      <c r="AM271" t="s">
        <v>125</v>
      </c>
      <c r="AN271">
        <v>110</v>
      </c>
      <c r="AO271">
        <v>274</v>
      </c>
    </row>
    <row r="272" spans="37:41">
      <c r="AK272" t="s">
        <v>794</v>
      </c>
      <c r="AL272" t="s">
        <v>81</v>
      </c>
      <c r="AM272" t="s">
        <v>125</v>
      </c>
      <c r="AN272">
        <v>110</v>
      </c>
      <c r="AO272">
        <v>275</v>
      </c>
    </row>
    <row r="273" spans="37:41">
      <c r="AK273" t="s">
        <v>795</v>
      </c>
      <c r="AL273" t="s">
        <v>67</v>
      </c>
      <c r="AM273" t="s">
        <v>125</v>
      </c>
      <c r="AN273">
        <v>110</v>
      </c>
      <c r="AO273">
        <v>276</v>
      </c>
    </row>
    <row r="274" spans="37:41">
      <c r="AK274" t="s">
        <v>796</v>
      </c>
      <c r="AL274" t="s">
        <v>67</v>
      </c>
      <c r="AM274" t="s">
        <v>125</v>
      </c>
      <c r="AN274">
        <v>110</v>
      </c>
      <c r="AO274">
        <v>277</v>
      </c>
    </row>
    <row r="275" spans="37:41">
      <c r="AK275" t="s">
        <v>797</v>
      </c>
      <c r="AL275" t="s">
        <v>81</v>
      </c>
      <c r="AM275" t="s">
        <v>125</v>
      </c>
      <c r="AN275">
        <v>110</v>
      </c>
      <c r="AO275">
        <v>278</v>
      </c>
    </row>
    <row r="276" spans="37:41">
      <c r="AK276" t="s">
        <v>798</v>
      </c>
      <c r="AL276" t="s">
        <v>81</v>
      </c>
      <c r="AM276" t="s">
        <v>125</v>
      </c>
      <c r="AN276">
        <v>110</v>
      </c>
      <c r="AO276">
        <v>279</v>
      </c>
    </row>
    <row r="277" spans="37:41">
      <c r="AK277" t="s">
        <v>799</v>
      </c>
      <c r="AL277" t="s">
        <v>81</v>
      </c>
      <c r="AM277" t="s">
        <v>125</v>
      </c>
      <c r="AN277">
        <v>110</v>
      </c>
      <c r="AO277">
        <v>280</v>
      </c>
    </row>
    <row r="278" spans="37:41">
      <c r="AK278" t="s">
        <v>800</v>
      </c>
      <c r="AL278" t="s">
        <v>81</v>
      </c>
      <c r="AM278" t="s">
        <v>125</v>
      </c>
      <c r="AN278">
        <v>110</v>
      </c>
      <c r="AO278">
        <v>281</v>
      </c>
    </row>
    <row r="279" spans="37:41">
      <c r="AK279" t="s">
        <v>801</v>
      </c>
      <c r="AL279" t="s">
        <v>67</v>
      </c>
      <c r="AM279" t="s">
        <v>125</v>
      </c>
      <c r="AN279">
        <v>110</v>
      </c>
      <c r="AO279">
        <v>282</v>
      </c>
    </row>
    <row r="280" spans="37:41">
      <c r="AK280" t="s">
        <v>802</v>
      </c>
      <c r="AL280" t="s">
        <v>67</v>
      </c>
      <c r="AM280" t="s">
        <v>125</v>
      </c>
      <c r="AN280">
        <v>110</v>
      </c>
      <c r="AO280">
        <v>283</v>
      </c>
    </row>
    <row r="281" spans="37:41">
      <c r="AK281" t="s">
        <v>803</v>
      </c>
      <c r="AL281" t="s">
        <v>81</v>
      </c>
      <c r="AM281" t="s">
        <v>125</v>
      </c>
      <c r="AN281">
        <v>110</v>
      </c>
      <c r="AO281">
        <v>284</v>
      </c>
    </row>
    <row r="282" spans="37:41">
      <c r="AK282" t="s">
        <v>804</v>
      </c>
      <c r="AL282" t="s">
        <v>67</v>
      </c>
      <c r="AM282" t="s">
        <v>125</v>
      </c>
      <c r="AN282">
        <v>110</v>
      </c>
      <c r="AO282">
        <v>285</v>
      </c>
    </row>
    <row r="283" spans="37:41">
      <c r="AK283" t="s">
        <v>805</v>
      </c>
      <c r="AL283" t="s">
        <v>67</v>
      </c>
      <c r="AM283" t="s">
        <v>125</v>
      </c>
      <c r="AN283">
        <v>110</v>
      </c>
      <c r="AO283">
        <v>286</v>
      </c>
    </row>
    <row r="284" spans="37:41">
      <c r="AK284" t="s">
        <v>806</v>
      </c>
      <c r="AL284" t="s">
        <v>67</v>
      </c>
      <c r="AM284" t="s">
        <v>125</v>
      </c>
      <c r="AN284">
        <v>110</v>
      </c>
      <c r="AO284">
        <v>287</v>
      </c>
    </row>
    <row r="285" spans="37:41">
      <c r="AK285" t="s">
        <v>807</v>
      </c>
      <c r="AL285" t="s">
        <v>81</v>
      </c>
      <c r="AM285" t="s">
        <v>125</v>
      </c>
      <c r="AN285">
        <v>110</v>
      </c>
      <c r="AO285">
        <v>288</v>
      </c>
    </row>
    <row r="286" spans="37:41">
      <c r="AK286" t="s">
        <v>808</v>
      </c>
      <c r="AL286" t="s">
        <v>67</v>
      </c>
      <c r="AM286" t="s">
        <v>125</v>
      </c>
      <c r="AN286">
        <v>110</v>
      </c>
      <c r="AO286">
        <v>289</v>
      </c>
    </row>
    <row r="287" spans="37:41">
      <c r="AK287" t="s">
        <v>809</v>
      </c>
      <c r="AL287" t="s">
        <v>67</v>
      </c>
      <c r="AM287" t="s">
        <v>125</v>
      </c>
      <c r="AN287">
        <v>110</v>
      </c>
      <c r="AO287">
        <v>290</v>
      </c>
    </row>
    <row r="288" spans="37:41">
      <c r="AK288" t="s">
        <v>810</v>
      </c>
      <c r="AL288" t="s">
        <v>67</v>
      </c>
      <c r="AM288" t="s">
        <v>125</v>
      </c>
      <c r="AN288">
        <v>110</v>
      </c>
      <c r="AO288">
        <v>291</v>
      </c>
    </row>
    <row r="289" spans="37:41">
      <c r="AK289" t="s">
        <v>811</v>
      </c>
      <c r="AL289" t="s">
        <v>81</v>
      </c>
      <c r="AM289" t="s">
        <v>125</v>
      </c>
      <c r="AN289">
        <v>110</v>
      </c>
      <c r="AO289">
        <v>292</v>
      </c>
    </row>
    <row r="290" spans="37:41">
      <c r="AK290" t="s">
        <v>812</v>
      </c>
      <c r="AL290" t="s">
        <v>67</v>
      </c>
      <c r="AM290" t="s">
        <v>119</v>
      </c>
      <c r="AN290">
        <v>110</v>
      </c>
      <c r="AO290">
        <v>293</v>
      </c>
    </row>
    <row r="291" spans="37:41">
      <c r="AK291" t="s">
        <v>813</v>
      </c>
      <c r="AL291" t="s">
        <v>67</v>
      </c>
      <c r="AM291" t="s">
        <v>119</v>
      </c>
      <c r="AN291">
        <v>110</v>
      </c>
      <c r="AO291">
        <v>294</v>
      </c>
    </row>
    <row r="292" spans="37:41">
      <c r="AK292" t="s">
        <v>814</v>
      </c>
      <c r="AL292" t="s">
        <v>67</v>
      </c>
      <c r="AM292" t="s">
        <v>119</v>
      </c>
      <c r="AN292">
        <v>110</v>
      </c>
      <c r="AO292">
        <v>295</v>
      </c>
    </row>
    <row r="293" spans="37:41">
      <c r="AK293" t="s">
        <v>815</v>
      </c>
      <c r="AL293" t="s">
        <v>67</v>
      </c>
      <c r="AM293" t="s">
        <v>119</v>
      </c>
      <c r="AN293">
        <v>110</v>
      </c>
      <c r="AO293">
        <v>296</v>
      </c>
    </row>
    <row r="294" spans="37:41">
      <c r="AK294" t="s">
        <v>816</v>
      </c>
      <c r="AL294" t="s">
        <v>67</v>
      </c>
      <c r="AM294" t="s">
        <v>119</v>
      </c>
      <c r="AN294">
        <v>110</v>
      </c>
      <c r="AO294">
        <v>297</v>
      </c>
    </row>
    <row r="295" spans="37:41">
      <c r="AK295" t="s">
        <v>817</v>
      </c>
      <c r="AL295" t="s">
        <v>81</v>
      </c>
      <c r="AM295" t="s">
        <v>119</v>
      </c>
      <c r="AN295">
        <v>110</v>
      </c>
      <c r="AO295">
        <v>298</v>
      </c>
    </row>
    <row r="296" spans="37:41">
      <c r="AK296" t="s">
        <v>818</v>
      </c>
      <c r="AL296" t="s">
        <v>81</v>
      </c>
      <c r="AM296" t="s">
        <v>119</v>
      </c>
      <c r="AN296">
        <v>110</v>
      </c>
      <c r="AO296">
        <v>299</v>
      </c>
    </row>
    <row r="297" spans="37:41">
      <c r="AK297" t="s">
        <v>819</v>
      </c>
      <c r="AL297" t="s">
        <v>67</v>
      </c>
      <c r="AM297" t="s">
        <v>119</v>
      </c>
      <c r="AN297">
        <v>110</v>
      </c>
      <c r="AO297">
        <v>300</v>
      </c>
    </row>
    <row r="298" spans="37:41">
      <c r="AK298" t="s">
        <v>820</v>
      </c>
      <c r="AL298" t="s">
        <v>67</v>
      </c>
      <c r="AM298" t="s">
        <v>119</v>
      </c>
      <c r="AN298">
        <v>110</v>
      </c>
      <c r="AO298">
        <v>301</v>
      </c>
    </row>
    <row r="299" spans="37:41">
      <c r="AK299" t="s">
        <v>821</v>
      </c>
      <c r="AL299" t="s">
        <v>81</v>
      </c>
      <c r="AM299" t="s">
        <v>119</v>
      </c>
      <c r="AN299">
        <v>110</v>
      </c>
      <c r="AO299">
        <v>302</v>
      </c>
    </row>
    <row r="300" spans="37:41">
      <c r="AK300" t="s">
        <v>822</v>
      </c>
      <c r="AL300" t="s">
        <v>81</v>
      </c>
      <c r="AM300" t="s">
        <v>119</v>
      </c>
      <c r="AN300">
        <v>110</v>
      </c>
      <c r="AO300">
        <v>303</v>
      </c>
    </row>
    <row r="301" spans="37:41">
      <c r="AK301" t="s">
        <v>823</v>
      </c>
      <c r="AL301" t="s">
        <v>81</v>
      </c>
      <c r="AM301" t="s">
        <v>119</v>
      </c>
      <c r="AN301">
        <v>110</v>
      </c>
      <c r="AO301">
        <v>304</v>
      </c>
    </row>
    <row r="302" spans="37:41">
      <c r="AK302" t="s">
        <v>824</v>
      </c>
      <c r="AL302" t="s">
        <v>81</v>
      </c>
      <c r="AM302" t="s">
        <v>119</v>
      </c>
      <c r="AN302">
        <v>110</v>
      </c>
      <c r="AO302">
        <v>305</v>
      </c>
    </row>
    <row r="303" spans="37:41">
      <c r="AK303" t="s">
        <v>825</v>
      </c>
      <c r="AL303" t="s">
        <v>67</v>
      </c>
      <c r="AM303" t="s">
        <v>119</v>
      </c>
      <c r="AN303">
        <v>110</v>
      </c>
      <c r="AO303">
        <v>306</v>
      </c>
    </row>
    <row r="304" spans="37:41">
      <c r="AK304" t="s">
        <v>826</v>
      </c>
      <c r="AL304" t="s">
        <v>67</v>
      </c>
      <c r="AM304" t="s">
        <v>119</v>
      </c>
      <c r="AN304">
        <v>110</v>
      </c>
      <c r="AO304">
        <v>307</v>
      </c>
    </row>
    <row r="305" spans="37:41">
      <c r="AK305" t="s">
        <v>827</v>
      </c>
      <c r="AL305" t="s">
        <v>81</v>
      </c>
      <c r="AM305" t="s">
        <v>119</v>
      </c>
      <c r="AN305">
        <v>110</v>
      </c>
      <c r="AO305">
        <v>308</v>
      </c>
    </row>
    <row r="306" spans="37:41">
      <c r="AK306" t="s">
        <v>828</v>
      </c>
      <c r="AL306" t="s">
        <v>67</v>
      </c>
      <c r="AM306" t="s">
        <v>119</v>
      </c>
      <c r="AN306">
        <v>110</v>
      </c>
      <c r="AO306">
        <v>309</v>
      </c>
    </row>
    <row r="307" spans="37:41">
      <c r="AK307" t="s">
        <v>829</v>
      </c>
      <c r="AL307" t="s">
        <v>67</v>
      </c>
      <c r="AM307" t="s">
        <v>119</v>
      </c>
      <c r="AN307">
        <v>110</v>
      </c>
      <c r="AO307">
        <v>310</v>
      </c>
    </row>
    <row r="308" spans="37:41">
      <c r="AK308" t="s">
        <v>830</v>
      </c>
      <c r="AL308" t="s">
        <v>67</v>
      </c>
      <c r="AM308" t="s">
        <v>119</v>
      </c>
      <c r="AN308">
        <v>110</v>
      </c>
      <c r="AO308">
        <v>311</v>
      </c>
    </row>
    <row r="309" spans="37:41">
      <c r="AK309" t="s">
        <v>831</v>
      </c>
      <c r="AL309" t="s">
        <v>81</v>
      </c>
      <c r="AM309" t="s">
        <v>119</v>
      </c>
      <c r="AN309">
        <v>110</v>
      </c>
      <c r="AO309">
        <v>312</v>
      </c>
    </row>
    <row r="310" spans="37:41">
      <c r="AK310" t="s">
        <v>832</v>
      </c>
      <c r="AL310" t="s">
        <v>67</v>
      </c>
      <c r="AM310" t="s">
        <v>119</v>
      </c>
      <c r="AN310">
        <v>110</v>
      </c>
      <c r="AO310">
        <v>313</v>
      </c>
    </row>
    <row r="311" spans="37:41">
      <c r="AK311" t="s">
        <v>833</v>
      </c>
      <c r="AL311" t="s">
        <v>67</v>
      </c>
      <c r="AM311" t="s">
        <v>119</v>
      </c>
      <c r="AN311">
        <v>110</v>
      </c>
      <c r="AO311">
        <v>314</v>
      </c>
    </row>
    <row r="312" spans="37:41">
      <c r="AK312" t="s">
        <v>834</v>
      </c>
      <c r="AL312" t="s">
        <v>67</v>
      </c>
      <c r="AM312" t="s">
        <v>119</v>
      </c>
      <c r="AN312">
        <v>110</v>
      </c>
      <c r="AO312">
        <v>315</v>
      </c>
    </row>
    <row r="313" spans="37:41">
      <c r="AK313" t="s">
        <v>835</v>
      </c>
      <c r="AL313" t="s">
        <v>81</v>
      </c>
      <c r="AM313" t="s">
        <v>119</v>
      </c>
      <c r="AN313">
        <v>110</v>
      </c>
      <c r="AO313">
        <v>316</v>
      </c>
    </row>
    <row r="314" spans="37:41">
      <c r="AK314" t="s">
        <v>836</v>
      </c>
      <c r="AL314" t="s">
        <v>67</v>
      </c>
      <c r="AM314" t="s">
        <v>125</v>
      </c>
      <c r="AN314">
        <v>110</v>
      </c>
      <c r="AO314">
        <v>317</v>
      </c>
    </row>
    <row r="315" spans="37:41">
      <c r="AK315" t="s">
        <v>837</v>
      </c>
      <c r="AL315" t="s">
        <v>67</v>
      </c>
      <c r="AM315" t="s">
        <v>125</v>
      </c>
      <c r="AN315">
        <v>110</v>
      </c>
      <c r="AO315">
        <v>318</v>
      </c>
    </row>
    <row r="316" spans="37:41">
      <c r="AK316" t="s">
        <v>838</v>
      </c>
      <c r="AL316" t="s">
        <v>67</v>
      </c>
      <c r="AM316" t="s">
        <v>125</v>
      </c>
      <c r="AN316">
        <v>110</v>
      </c>
      <c r="AO316">
        <v>319</v>
      </c>
    </row>
    <row r="317" spans="37:41">
      <c r="AK317" t="s">
        <v>839</v>
      </c>
      <c r="AL317" t="s">
        <v>67</v>
      </c>
      <c r="AM317" t="s">
        <v>125</v>
      </c>
      <c r="AN317">
        <v>110</v>
      </c>
      <c r="AO317">
        <v>320</v>
      </c>
    </row>
    <row r="318" spans="37:41">
      <c r="AK318" t="s">
        <v>840</v>
      </c>
      <c r="AL318" t="s">
        <v>67</v>
      </c>
      <c r="AM318" t="s">
        <v>125</v>
      </c>
      <c r="AN318">
        <v>110</v>
      </c>
      <c r="AO318">
        <v>321</v>
      </c>
    </row>
    <row r="319" spans="37:41">
      <c r="AK319" t="s">
        <v>841</v>
      </c>
      <c r="AL319" t="s">
        <v>81</v>
      </c>
      <c r="AM319" t="s">
        <v>125</v>
      </c>
      <c r="AN319">
        <v>110</v>
      </c>
      <c r="AO319">
        <v>322</v>
      </c>
    </row>
    <row r="320" spans="37:41">
      <c r="AK320" t="s">
        <v>842</v>
      </c>
      <c r="AL320" t="s">
        <v>81</v>
      </c>
      <c r="AM320" t="s">
        <v>125</v>
      </c>
      <c r="AN320">
        <v>110</v>
      </c>
      <c r="AO320">
        <v>323</v>
      </c>
    </row>
    <row r="321" spans="37:41">
      <c r="AK321" t="s">
        <v>843</v>
      </c>
      <c r="AL321" t="s">
        <v>67</v>
      </c>
      <c r="AM321" t="s">
        <v>125</v>
      </c>
      <c r="AN321">
        <v>110</v>
      </c>
      <c r="AO321">
        <v>324</v>
      </c>
    </row>
    <row r="322" spans="37:41">
      <c r="AK322" t="s">
        <v>844</v>
      </c>
      <c r="AL322" t="s">
        <v>67</v>
      </c>
      <c r="AM322" t="s">
        <v>125</v>
      </c>
      <c r="AN322">
        <v>110</v>
      </c>
      <c r="AO322">
        <v>325</v>
      </c>
    </row>
    <row r="323" spans="37:41">
      <c r="AK323" t="s">
        <v>845</v>
      </c>
      <c r="AL323" t="s">
        <v>81</v>
      </c>
      <c r="AM323" t="s">
        <v>125</v>
      </c>
      <c r="AN323">
        <v>110</v>
      </c>
      <c r="AO323">
        <v>326</v>
      </c>
    </row>
    <row r="324" spans="37:41">
      <c r="AK324" t="s">
        <v>846</v>
      </c>
      <c r="AL324" t="s">
        <v>81</v>
      </c>
      <c r="AM324" t="s">
        <v>125</v>
      </c>
      <c r="AN324">
        <v>110</v>
      </c>
      <c r="AO324">
        <v>327</v>
      </c>
    </row>
    <row r="325" spans="37:41">
      <c r="AK325" t="s">
        <v>847</v>
      </c>
      <c r="AL325" t="s">
        <v>81</v>
      </c>
      <c r="AM325" t="s">
        <v>125</v>
      </c>
      <c r="AN325">
        <v>110</v>
      </c>
      <c r="AO325">
        <v>328</v>
      </c>
    </row>
    <row r="326" spans="37:41">
      <c r="AK326" t="s">
        <v>848</v>
      </c>
      <c r="AL326" t="s">
        <v>81</v>
      </c>
      <c r="AM326" t="s">
        <v>125</v>
      </c>
      <c r="AN326">
        <v>110</v>
      </c>
      <c r="AO326">
        <v>329</v>
      </c>
    </row>
    <row r="327" spans="37:41">
      <c r="AK327" t="s">
        <v>849</v>
      </c>
      <c r="AL327" t="s">
        <v>67</v>
      </c>
      <c r="AM327" t="s">
        <v>125</v>
      </c>
      <c r="AN327">
        <v>110</v>
      </c>
      <c r="AO327">
        <v>330</v>
      </c>
    </row>
    <row r="328" spans="37:41">
      <c r="AK328" t="s">
        <v>850</v>
      </c>
      <c r="AL328" t="s">
        <v>67</v>
      </c>
      <c r="AM328" t="s">
        <v>125</v>
      </c>
      <c r="AN328">
        <v>110</v>
      </c>
      <c r="AO328">
        <v>331</v>
      </c>
    </row>
    <row r="329" spans="37:41">
      <c r="AK329" t="s">
        <v>851</v>
      </c>
      <c r="AL329" t="s">
        <v>81</v>
      </c>
      <c r="AM329" t="s">
        <v>125</v>
      </c>
      <c r="AN329">
        <v>110</v>
      </c>
      <c r="AO329">
        <v>332</v>
      </c>
    </row>
    <row r="330" spans="37:41">
      <c r="AK330" t="s">
        <v>852</v>
      </c>
      <c r="AL330" t="s">
        <v>67</v>
      </c>
      <c r="AM330" t="s">
        <v>125</v>
      </c>
      <c r="AN330">
        <v>110</v>
      </c>
      <c r="AO330">
        <v>333</v>
      </c>
    </row>
    <row r="331" spans="37:41">
      <c r="AK331" t="s">
        <v>853</v>
      </c>
      <c r="AL331" t="s">
        <v>67</v>
      </c>
      <c r="AM331" t="s">
        <v>125</v>
      </c>
      <c r="AN331">
        <v>110</v>
      </c>
      <c r="AO331">
        <v>334</v>
      </c>
    </row>
    <row r="332" spans="37:41">
      <c r="AK332" t="s">
        <v>854</v>
      </c>
      <c r="AL332" t="s">
        <v>67</v>
      </c>
      <c r="AM332" t="s">
        <v>125</v>
      </c>
      <c r="AN332">
        <v>110</v>
      </c>
      <c r="AO332">
        <v>335</v>
      </c>
    </row>
    <row r="333" spans="37:41">
      <c r="AK333" t="s">
        <v>855</v>
      </c>
      <c r="AL333" t="s">
        <v>81</v>
      </c>
      <c r="AM333" t="s">
        <v>125</v>
      </c>
      <c r="AN333">
        <v>110</v>
      </c>
      <c r="AO333">
        <v>336</v>
      </c>
    </row>
    <row r="334" spans="37:41">
      <c r="AK334" t="s">
        <v>856</v>
      </c>
      <c r="AL334" t="s">
        <v>67</v>
      </c>
      <c r="AM334" t="s">
        <v>125</v>
      </c>
      <c r="AN334">
        <v>110</v>
      </c>
      <c r="AO334">
        <v>337</v>
      </c>
    </row>
    <row r="335" spans="37:41">
      <c r="AK335" t="s">
        <v>857</v>
      </c>
      <c r="AL335" t="s">
        <v>67</v>
      </c>
      <c r="AM335" t="s">
        <v>125</v>
      </c>
      <c r="AN335">
        <v>110</v>
      </c>
      <c r="AO335">
        <v>338</v>
      </c>
    </row>
    <row r="336" spans="37:41">
      <c r="AK336" t="s">
        <v>858</v>
      </c>
      <c r="AL336" t="s">
        <v>67</v>
      </c>
      <c r="AM336" t="s">
        <v>125</v>
      </c>
      <c r="AN336">
        <v>110</v>
      </c>
      <c r="AO336">
        <v>339</v>
      </c>
    </row>
    <row r="337" spans="37:41">
      <c r="AK337" t="s">
        <v>859</v>
      </c>
      <c r="AL337" t="s">
        <v>81</v>
      </c>
      <c r="AM337" t="s">
        <v>125</v>
      </c>
      <c r="AN337">
        <v>110</v>
      </c>
      <c r="AO337">
        <v>340</v>
      </c>
    </row>
    <row r="338" spans="37:41">
      <c r="AK338" t="s">
        <v>860</v>
      </c>
      <c r="AL338" t="s">
        <v>67</v>
      </c>
      <c r="AM338" t="s">
        <v>145</v>
      </c>
      <c r="AN338">
        <v>75</v>
      </c>
      <c r="AO338">
        <v>341</v>
      </c>
    </row>
    <row r="339" spans="37:41">
      <c r="AK339" t="s">
        <v>861</v>
      </c>
      <c r="AL339" t="s">
        <v>67</v>
      </c>
      <c r="AM339" t="s">
        <v>145</v>
      </c>
      <c r="AN339">
        <v>75</v>
      </c>
      <c r="AO339">
        <v>342</v>
      </c>
    </row>
    <row r="340" spans="37:41">
      <c r="AK340" t="s">
        <v>862</v>
      </c>
      <c r="AL340" t="s">
        <v>67</v>
      </c>
      <c r="AM340" t="s">
        <v>145</v>
      </c>
      <c r="AN340">
        <v>75</v>
      </c>
      <c r="AO340">
        <v>343</v>
      </c>
    </row>
    <row r="341" spans="37:41">
      <c r="AK341" t="s">
        <v>863</v>
      </c>
      <c r="AL341" t="s">
        <v>67</v>
      </c>
      <c r="AM341" t="s">
        <v>145</v>
      </c>
      <c r="AN341">
        <v>75</v>
      </c>
      <c r="AO341">
        <v>344</v>
      </c>
    </row>
    <row r="342" spans="37:41">
      <c r="AK342" t="s">
        <v>864</v>
      </c>
      <c r="AL342" t="s">
        <v>67</v>
      </c>
      <c r="AM342" t="s">
        <v>145</v>
      </c>
      <c r="AN342">
        <v>75</v>
      </c>
      <c r="AO342">
        <v>345</v>
      </c>
    </row>
    <row r="343" spans="37:41">
      <c r="AK343" t="s">
        <v>865</v>
      </c>
      <c r="AL343" t="s">
        <v>81</v>
      </c>
      <c r="AM343" t="s">
        <v>145</v>
      </c>
      <c r="AN343">
        <v>75</v>
      </c>
      <c r="AO343">
        <v>346</v>
      </c>
    </row>
    <row r="344" spans="37:41">
      <c r="AK344" t="s">
        <v>866</v>
      </c>
      <c r="AL344" t="s">
        <v>81</v>
      </c>
      <c r="AM344" t="s">
        <v>145</v>
      </c>
      <c r="AN344">
        <v>75</v>
      </c>
      <c r="AO344">
        <v>347</v>
      </c>
    </row>
    <row r="345" spans="37:41">
      <c r="AK345" t="s">
        <v>867</v>
      </c>
      <c r="AL345" t="s">
        <v>67</v>
      </c>
      <c r="AM345" t="s">
        <v>145</v>
      </c>
      <c r="AN345">
        <v>75</v>
      </c>
      <c r="AO345">
        <v>348</v>
      </c>
    </row>
    <row r="346" spans="37:41">
      <c r="AK346" t="s">
        <v>868</v>
      </c>
      <c r="AL346" t="s">
        <v>67</v>
      </c>
      <c r="AM346" t="s">
        <v>145</v>
      </c>
      <c r="AN346">
        <v>75</v>
      </c>
      <c r="AO346">
        <v>349</v>
      </c>
    </row>
    <row r="347" spans="37:41">
      <c r="AK347" t="s">
        <v>869</v>
      </c>
      <c r="AL347" t="s">
        <v>81</v>
      </c>
      <c r="AM347" t="s">
        <v>145</v>
      </c>
      <c r="AN347">
        <v>75</v>
      </c>
      <c r="AO347">
        <v>350</v>
      </c>
    </row>
    <row r="348" spans="37:41">
      <c r="AK348" t="s">
        <v>870</v>
      </c>
      <c r="AL348" t="s">
        <v>81</v>
      </c>
      <c r="AM348" t="s">
        <v>145</v>
      </c>
      <c r="AN348">
        <v>75</v>
      </c>
      <c r="AO348">
        <v>351</v>
      </c>
    </row>
    <row r="349" spans="37:41">
      <c r="AK349" t="s">
        <v>871</v>
      </c>
      <c r="AL349" t="s">
        <v>81</v>
      </c>
      <c r="AM349" t="s">
        <v>145</v>
      </c>
      <c r="AN349">
        <v>75</v>
      </c>
      <c r="AO349">
        <v>352</v>
      </c>
    </row>
    <row r="350" spans="37:41">
      <c r="AK350" t="s">
        <v>872</v>
      </c>
      <c r="AL350" t="s">
        <v>81</v>
      </c>
      <c r="AM350" t="s">
        <v>145</v>
      </c>
      <c r="AN350">
        <v>75</v>
      </c>
      <c r="AO350">
        <v>353</v>
      </c>
    </row>
    <row r="351" spans="37:41">
      <c r="AK351" t="s">
        <v>873</v>
      </c>
      <c r="AL351" t="s">
        <v>67</v>
      </c>
      <c r="AM351" t="s">
        <v>145</v>
      </c>
      <c r="AN351">
        <v>75</v>
      </c>
      <c r="AO351">
        <v>354</v>
      </c>
    </row>
    <row r="352" spans="37:41">
      <c r="AK352" t="s">
        <v>874</v>
      </c>
      <c r="AL352" t="s">
        <v>67</v>
      </c>
      <c r="AM352" t="s">
        <v>145</v>
      </c>
      <c r="AN352">
        <v>75</v>
      </c>
      <c r="AO352">
        <v>355</v>
      </c>
    </row>
    <row r="353" spans="37:41">
      <c r="AK353" t="s">
        <v>875</v>
      </c>
      <c r="AL353" t="s">
        <v>81</v>
      </c>
      <c r="AM353" t="s">
        <v>145</v>
      </c>
      <c r="AN353">
        <v>75</v>
      </c>
      <c r="AO353">
        <v>356</v>
      </c>
    </row>
    <row r="354" spans="37:41">
      <c r="AK354" t="s">
        <v>876</v>
      </c>
      <c r="AL354" t="s">
        <v>67</v>
      </c>
      <c r="AM354" t="s">
        <v>145</v>
      </c>
      <c r="AN354">
        <v>75</v>
      </c>
      <c r="AO354">
        <v>357</v>
      </c>
    </row>
    <row r="355" spans="37:41">
      <c r="AK355" t="s">
        <v>877</v>
      </c>
      <c r="AL355" t="s">
        <v>67</v>
      </c>
      <c r="AM355" t="s">
        <v>145</v>
      </c>
      <c r="AN355">
        <v>75</v>
      </c>
      <c r="AO355">
        <v>358</v>
      </c>
    </row>
    <row r="356" spans="37:41">
      <c r="AK356" t="s">
        <v>878</v>
      </c>
      <c r="AL356" t="s">
        <v>67</v>
      </c>
      <c r="AM356" t="s">
        <v>145</v>
      </c>
      <c r="AN356">
        <v>75</v>
      </c>
      <c r="AO356">
        <v>359</v>
      </c>
    </row>
    <row r="357" spans="37:41">
      <c r="AK357" t="s">
        <v>879</v>
      </c>
      <c r="AL357" t="s">
        <v>81</v>
      </c>
      <c r="AM357" t="s">
        <v>145</v>
      </c>
      <c r="AN357">
        <v>75</v>
      </c>
      <c r="AO357">
        <v>360</v>
      </c>
    </row>
    <row r="358" spans="37:41">
      <c r="AK358" t="s">
        <v>880</v>
      </c>
      <c r="AL358" t="s">
        <v>67</v>
      </c>
      <c r="AM358" t="s">
        <v>145</v>
      </c>
      <c r="AN358">
        <v>75</v>
      </c>
      <c r="AO358">
        <v>361</v>
      </c>
    </row>
    <row r="359" spans="37:41">
      <c r="AK359" t="s">
        <v>881</v>
      </c>
      <c r="AL359" t="s">
        <v>67</v>
      </c>
      <c r="AM359" t="s">
        <v>145</v>
      </c>
      <c r="AN359">
        <v>75</v>
      </c>
      <c r="AO359">
        <v>362</v>
      </c>
    </row>
    <row r="360" spans="37:41">
      <c r="AK360" t="s">
        <v>882</v>
      </c>
      <c r="AL360" t="s">
        <v>67</v>
      </c>
      <c r="AM360" t="s">
        <v>145</v>
      </c>
      <c r="AN360">
        <v>75</v>
      </c>
      <c r="AO360">
        <v>363</v>
      </c>
    </row>
    <row r="361" spans="37:41">
      <c r="AK361" t="s">
        <v>883</v>
      </c>
      <c r="AL361" t="s">
        <v>81</v>
      </c>
      <c r="AM361" t="s">
        <v>145</v>
      </c>
      <c r="AN361">
        <v>75</v>
      </c>
      <c r="AO361">
        <v>364</v>
      </c>
    </row>
    <row r="362" spans="37:41">
      <c r="AK362" t="s">
        <v>884</v>
      </c>
      <c r="AL362" t="s">
        <v>67</v>
      </c>
      <c r="AM362" t="s">
        <v>125</v>
      </c>
      <c r="AN362">
        <v>110</v>
      </c>
      <c r="AO362">
        <v>365</v>
      </c>
    </row>
    <row r="363" spans="37:41">
      <c r="AK363" t="s">
        <v>885</v>
      </c>
      <c r="AL363" t="s">
        <v>67</v>
      </c>
      <c r="AM363" t="s">
        <v>125</v>
      </c>
      <c r="AN363">
        <v>110</v>
      </c>
      <c r="AO363">
        <v>366</v>
      </c>
    </row>
    <row r="364" spans="37:41">
      <c r="AK364" t="s">
        <v>886</v>
      </c>
      <c r="AL364" t="s">
        <v>67</v>
      </c>
      <c r="AM364" t="s">
        <v>125</v>
      </c>
      <c r="AN364">
        <v>110</v>
      </c>
      <c r="AO364">
        <v>367</v>
      </c>
    </row>
    <row r="365" spans="37:41">
      <c r="AK365" t="s">
        <v>887</v>
      </c>
      <c r="AL365" t="s">
        <v>67</v>
      </c>
      <c r="AM365" t="s">
        <v>125</v>
      </c>
      <c r="AN365">
        <v>110</v>
      </c>
      <c r="AO365">
        <v>368</v>
      </c>
    </row>
    <row r="366" spans="37:41">
      <c r="AK366" t="s">
        <v>888</v>
      </c>
      <c r="AL366" t="s">
        <v>67</v>
      </c>
      <c r="AM366" t="s">
        <v>125</v>
      </c>
      <c r="AN366">
        <v>110</v>
      </c>
      <c r="AO366">
        <v>369</v>
      </c>
    </row>
    <row r="367" spans="37:41">
      <c r="AK367" t="s">
        <v>889</v>
      </c>
      <c r="AL367" t="s">
        <v>81</v>
      </c>
      <c r="AM367" t="s">
        <v>125</v>
      </c>
      <c r="AN367">
        <v>110</v>
      </c>
      <c r="AO367">
        <v>370</v>
      </c>
    </row>
    <row r="368" spans="37:41">
      <c r="AK368" t="s">
        <v>890</v>
      </c>
      <c r="AL368" t="s">
        <v>81</v>
      </c>
      <c r="AM368" t="s">
        <v>125</v>
      </c>
      <c r="AN368">
        <v>110</v>
      </c>
      <c r="AO368">
        <v>371</v>
      </c>
    </row>
    <row r="369" spans="37:41">
      <c r="AK369" t="s">
        <v>891</v>
      </c>
      <c r="AL369" t="s">
        <v>67</v>
      </c>
      <c r="AM369" t="s">
        <v>125</v>
      </c>
      <c r="AN369">
        <v>110</v>
      </c>
      <c r="AO369">
        <v>372</v>
      </c>
    </row>
    <row r="370" spans="37:41">
      <c r="AK370" t="s">
        <v>892</v>
      </c>
      <c r="AL370" t="s">
        <v>67</v>
      </c>
      <c r="AM370" t="s">
        <v>125</v>
      </c>
      <c r="AN370">
        <v>110</v>
      </c>
      <c r="AO370">
        <v>373</v>
      </c>
    </row>
    <row r="371" spans="37:41">
      <c r="AK371" t="s">
        <v>893</v>
      </c>
      <c r="AL371" t="s">
        <v>81</v>
      </c>
      <c r="AM371" t="s">
        <v>125</v>
      </c>
      <c r="AN371">
        <v>110</v>
      </c>
      <c r="AO371">
        <v>374</v>
      </c>
    </row>
    <row r="372" spans="37:41">
      <c r="AK372" t="s">
        <v>894</v>
      </c>
      <c r="AL372" t="s">
        <v>81</v>
      </c>
      <c r="AM372" t="s">
        <v>125</v>
      </c>
      <c r="AN372">
        <v>110</v>
      </c>
      <c r="AO372">
        <v>375</v>
      </c>
    </row>
    <row r="373" spans="37:41">
      <c r="AK373" t="s">
        <v>895</v>
      </c>
      <c r="AL373" t="s">
        <v>81</v>
      </c>
      <c r="AM373" t="s">
        <v>125</v>
      </c>
      <c r="AN373">
        <v>110</v>
      </c>
      <c r="AO373">
        <v>376</v>
      </c>
    </row>
    <row r="374" spans="37:41">
      <c r="AK374" t="s">
        <v>896</v>
      </c>
      <c r="AL374" t="s">
        <v>81</v>
      </c>
      <c r="AM374" t="s">
        <v>125</v>
      </c>
      <c r="AN374">
        <v>110</v>
      </c>
      <c r="AO374">
        <v>377</v>
      </c>
    </row>
    <row r="375" spans="37:41">
      <c r="AK375" t="s">
        <v>897</v>
      </c>
      <c r="AL375" t="s">
        <v>67</v>
      </c>
      <c r="AM375" t="s">
        <v>125</v>
      </c>
      <c r="AN375">
        <v>110</v>
      </c>
      <c r="AO375">
        <v>378</v>
      </c>
    </row>
    <row r="376" spans="37:41">
      <c r="AK376" t="s">
        <v>898</v>
      </c>
      <c r="AL376" t="s">
        <v>67</v>
      </c>
      <c r="AM376" t="s">
        <v>125</v>
      </c>
      <c r="AN376">
        <v>110</v>
      </c>
      <c r="AO376">
        <v>379</v>
      </c>
    </row>
    <row r="377" spans="37:41">
      <c r="AK377" t="s">
        <v>899</v>
      </c>
      <c r="AL377" t="s">
        <v>81</v>
      </c>
      <c r="AM377" t="s">
        <v>125</v>
      </c>
      <c r="AN377">
        <v>110</v>
      </c>
      <c r="AO377">
        <v>380</v>
      </c>
    </row>
    <row r="378" spans="37:41">
      <c r="AK378" t="s">
        <v>900</v>
      </c>
      <c r="AL378" t="s">
        <v>67</v>
      </c>
      <c r="AM378" t="s">
        <v>125</v>
      </c>
      <c r="AN378">
        <v>110</v>
      </c>
      <c r="AO378">
        <v>381</v>
      </c>
    </row>
    <row r="379" spans="37:41">
      <c r="AK379" t="s">
        <v>901</v>
      </c>
      <c r="AL379" t="s">
        <v>67</v>
      </c>
      <c r="AM379" t="s">
        <v>125</v>
      </c>
      <c r="AN379">
        <v>110</v>
      </c>
      <c r="AO379">
        <v>382</v>
      </c>
    </row>
    <row r="380" spans="37:41">
      <c r="AK380" t="s">
        <v>902</v>
      </c>
      <c r="AL380" t="s">
        <v>67</v>
      </c>
      <c r="AM380" t="s">
        <v>125</v>
      </c>
      <c r="AN380">
        <v>110</v>
      </c>
      <c r="AO380">
        <v>383</v>
      </c>
    </row>
    <row r="381" spans="37:41">
      <c r="AK381" t="s">
        <v>903</v>
      </c>
      <c r="AL381" t="s">
        <v>81</v>
      </c>
      <c r="AM381" t="s">
        <v>125</v>
      </c>
      <c r="AN381">
        <v>110</v>
      </c>
      <c r="AO381">
        <v>384</v>
      </c>
    </row>
    <row r="382" spans="37:41">
      <c r="AK382" t="s">
        <v>904</v>
      </c>
      <c r="AL382" t="s">
        <v>67</v>
      </c>
      <c r="AM382" t="s">
        <v>125</v>
      </c>
      <c r="AN382">
        <v>110</v>
      </c>
      <c r="AO382">
        <v>385</v>
      </c>
    </row>
    <row r="383" spans="37:41">
      <c r="AK383" t="s">
        <v>905</v>
      </c>
      <c r="AL383" t="s">
        <v>67</v>
      </c>
      <c r="AM383" t="s">
        <v>125</v>
      </c>
      <c r="AN383">
        <v>110</v>
      </c>
      <c r="AO383">
        <v>386</v>
      </c>
    </row>
    <row r="384" spans="37:41">
      <c r="AK384" t="s">
        <v>906</v>
      </c>
      <c r="AL384" t="s">
        <v>67</v>
      </c>
      <c r="AM384" t="s">
        <v>125</v>
      </c>
      <c r="AN384">
        <v>110</v>
      </c>
      <c r="AO384">
        <v>387</v>
      </c>
    </row>
    <row r="385" spans="37:41">
      <c r="AK385" t="s">
        <v>907</v>
      </c>
      <c r="AL385" t="s">
        <v>81</v>
      </c>
      <c r="AM385" t="s">
        <v>125</v>
      </c>
      <c r="AN385">
        <v>110</v>
      </c>
      <c r="AO385">
        <v>388</v>
      </c>
    </row>
    <row r="386" spans="37:41">
      <c r="AK386" t="s">
        <v>908</v>
      </c>
      <c r="AL386" t="s">
        <v>67</v>
      </c>
      <c r="AM386" t="s">
        <v>148</v>
      </c>
      <c r="AN386">
        <v>75</v>
      </c>
      <c r="AO386">
        <v>389</v>
      </c>
    </row>
    <row r="387" spans="37:41">
      <c r="AK387" t="s">
        <v>909</v>
      </c>
      <c r="AL387" t="s">
        <v>67</v>
      </c>
      <c r="AM387" t="s">
        <v>148</v>
      </c>
      <c r="AN387">
        <v>75</v>
      </c>
      <c r="AO387">
        <v>390</v>
      </c>
    </row>
    <row r="388" spans="37:41">
      <c r="AK388" t="s">
        <v>910</v>
      </c>
      <c r="AL388" t="s">
        <v>67</v>
      </c>
      <c r="AM388" t="s">
        <v>148</v>
      </c>
      <c r="AN388">
        <v>75</v>
      </c>
      <c r="AO388">
        <v>391</v>
      </c>
    </row>
    <row r="389" spans="37:41">
      <c r="AK389" t="s">
        <v>911</v>
      </c>
      <c r="AL389" t="s">
        <v>67</v>
      </c>
      <c r="AM389" t="s">
        <v>148</v>
      </c>
      <c r="AN389">
        <v>75</v>
      </c>
      <c r="AO389">
        <v>392</v>
      </c>
    </row>
    <row r="390" spans="37:41">
      <c r="AK390" t="s">
        <v>912</v>
      </c>
      <c r="AL390" t="s">
        <v>67</v>
      </c>
      <c r="AM390" t="s">
        <v>148</v>
      </c>
      <c r="AN390">
        <v>75</v>
      </c>
      <c r="AO390">
        <v>393</v>
      </c>
    </row>
    <row r="391" spans="37:41">
      <c r="AK391" t="s">
        <v>913</v>
      </c>
      <c r="AL391" t="s">
        <v>81</v>
      </c>
      <c r="AM391" t="s">
        <v>148</v>
      </c>
      <c r="AN391">
        <v>75</v>
      </c>
      <c r="AO391">
        <v>394</v>
      </c>
    </row>
    <row r="392" spans="37:41">
      <c r="AK392" t="s">
        <v>914</v>
      </c>
      <c r="AL392" t="s">
        <v>81</v>
      </c>
      <c r="AM392" t="s">
        <v>148</v>
      </c>
      <c r="AN392">
        <v>75</v>
      </c>
      <c r="AO392">
        <v>395</v>
      </c>
    </row>
    <row r="393" spans="37:41">
      <c r="AK393" t="s">
        <v>915</v>
      </c>
      <c r="AL393" t="s">
        <v>67</v>
      </c>
      <c r="AM393" t="s">
        <v>148</v>
      </c>
      <c r="AN393">
        <v>75</v>
      </c>
      <c r="AO393">
        <v>396</v>
      </c>
    </row>
    <row r="394" spans="37:41">
      <c r="AK394" t="s">
        <v>916</v>
      </c>
      <c r="AL394" t="s">
        <v>67</v>
      </c>
      <c r="AM394" t="s">
        <v>148</v>
      </c>
      <c r="AN394">
        <v>75</v>
      </c>
      <c r="AO394">
        <v>397</v>
      </c>
    </row>
    <row r="395" spans="37:41">
      <c r="AK395" t="s">
        <v>917</v>
      </c>
      <c r="AL395" t="s">
        <v>81</v>
      </c>
      <c r="AM395" t="s">
        <v>148</v>
      </c>
      <c r="AN395">
        <v>75</v>
      </c>
      <c r="AO395">
        <v>398</v>
      </c>
    </row>
    <row r="396" spans="37:41">
      <c r="AK396" t="s">
        <v>918</v>
      </c>
      <c r="AL396" t="s">
        <v>81</v>
      </c>
      <c r="AM396" t="s">
        <v>148</v>
      </c>
      <c r="AN396">
        <v>75</v>
      </c>
      <c r="AO396">
        <v>399</v>
      </c>
    </row>
    <row r="397" spans="37:41">
      <c r="AK397" t="s">
        <v>919</v>
      </c>
      <c r="AL397" t="s">
        <v>81</v>
      </c>
      <c r="AM397" t="s">
        <v>148</v>
      </c>
      <c r="AN397">
        <v>75</v>
      </c>
      <c r="AO397">
        <v>400</v>
      </c>
    </row>
    <row r="398" spans="37:41">
      <c r="AK398" t="s">
        <v>920</v>
      </c>
      <c r="AL398" t="s">
        <v>81</v>
      </c>
      <c r="AM398" t="s">
        <v>148</v>
      </c>
      <c r="AN398">
        <v>75</v>
      </c>
      <c r="AO398">
        <v>401</v>
      </c>
    </row>
    <row r="399" spans="37:41">
      <c r="AK399" t="s">
        <v>921</v>
      </c>
      <c r="AL399" t="s">
        <v>67</v>
      </c>
      <c r="AM399" t="s">
        <v>148</v>
      </c>
      <c r="AN399">
        <v>75</v>
      </c>
      <c r="AO399">
        <v>402</v>
      </c>
    </row>
    <row r="400" spans="37:41">
      <c r="AK400" t="s">
        <v>922</v>
      </c>
      <c r="AL400" t="s">
        <v>67</v>
      </c>
      <c r="AM400" t="s">
        <v>148</v>
      </c>
      <c r="AN400">
        <v>75</v>
      </c>
      <c r="AO400">
        <v>403</v>
      </c>
    </row>
    <row r="401" spans="37:41">
      <c r="AK401" t="s">
        <v>923</v>
      </c>
      <c r="AL401" t="s">
        <v>81</v>
      </c>
      <c r="AM401" t="s">
        <v>148</v>
      </c>
      <c r="AN401">
        <v>75</v>
      </c>
      <c r="AO401">
        <v>404</v>
      </c>
    </row>
    <row r="402" spans="37:41">
      <c r="AK402" t="s">
        <v>924</v>
      </c>
      <c r="AL402" t="s">
        <v>67</v>
      </c>
      <c r="AM402" t="s">
        <v>148</v>
      </c>
      <c r="AN402">
        <v>75</v>
      </c>
      <c r="AO402">
        <v>405</v>
      </c>
    </row>
    <row r="403" spans="37:41">
      <c r="AK403" t="s">
        <v>925</v>
      </c>
      <c r="AL403" t="s">
        <v>67</v>
      </c>
      <c r="AM403" t="s">
        <v>148</v>
      </c>
      <c r="AN403">
        <v>75</v>
      </c>
      <c r="AO403">
        <v>406</v>
      </c>
    </row>
    <row r="404" spans="37:41">
      <c r="AK404" t="s">
        <v>926</v>
      </c>
      <c r="AL404" t="s">
        <v>67</v>
      </c>
      <c r="AM404" t="s">
        <v>148</v>
      </c>
      <c r="AN404">
        <v>75</v>
      </c>
      <c r="AO404">
        <v>407</v>
      </c>
    </row>
    <row r="405" spans="37:41">
      <c r="AK405" t="s">
        <v>927</v>
      </c>
      <c r="AL405" t="s">
        <v>81</v>
      </c>
      <c r="AM405" t="s">
        <v>148</v>
      </c>
      <c r="AN405">
        <v>75</v>
      </c>
      <c r="AO405">
        <v>408</v>
      </c>
    </row>
    <row r="406" spans="37:41">
      <c r="AK406" t="s">
        <v>928</v>
      </c>
      <c r="AL406" t="s">
        <v>67</v>
      </c>
      <c r="AM406" t="s">
        <v>148</v>
      </c>
      <c r="AN406">
        <v>75</v>
      </c>
      <c r="AO406">
        <v>409</v>
      </c>
    </row>
    <row r="407" spans="37:41">
      <c r="AK407" t="s">
        <v>929</v>
      </c>
      <c r="AL407" t="s">
        <v>67</v>
      </c>
      <c r="AM407" t="s">
        <v>148</v>
      </c>
      <c r="AN407">
        <v>75</v>
      </c>
      <c r="AO407">
        <v>410</v>
      </c>
    </row>
    <row r="408" spans="37:41">
      <c r="AK408" t="s">
        <v>930</v>
      </c>
      <c r="AL408" t="s">
        <v>67</v>
      </c>
      <c r="AM408" t="s">
        <v>148</v>
      </c>
      <c r="AN408">
        <v>75</v>
      </c>
      <c r="AO408">
        <v>411</v>
      </c>
    </row>
    <row r="409" spans="37:41">
      <c r="AK409" t="s">
        <v>931</v>
      </c>
      <c r="AL409" t="s">
        <v>81</v>
      </c>
      <c r="AM409" t="s">
        <v>148</v>
      </c>
      <c r="AN409">
        <v>75</v>
      </c>
      <c r="AO409">
        <v>412</v>
      </c>
    </row>
    <row r="410" spans="37:41">
      <c r="AK410" t="s">
        <v>932</v>
      </c>
      <c r="AL410" t="s">
        <v>67</v>
      </c>
      <c r="AM410" t="s">
        <v>69</v>
      </c>
      <c r="AN410">
        <v>75</v>
      </c>
      <c r="AO410">
        <v>413</v>
      </c>
    </row>
    <row r="411" spans="37:41">
      <c r="AK411" t="s">
        <v>933</v>
      </c>
      <c r="AL411" t="s">
        <v>67</v>
      </c>
      <c r="AM411" t="s">
        <v>69</v>
      </c>
      <c r="AN411">
        <v>75</v>
      </c>
      <c r="AO411">
        <v>414</v>
      </c>
    </row>
    <row r="412" spans="37:41">
      <c r="AK412" t="s">
        <v>934</v>
      </c>
      <c r="AL412" t="s">
        <v>67</v>
      </c>
      <c r="AM412" t="s">
        <v>69</v>
      </c>
      <c r="AN412">
        <v>75</v>
      </c>
      <c r="AO412">
        <v>415</v>
      </c>
    </row>
    <row r="413" spans="37:41">
      <c r="AK413" t="s">
        <v>935</v>
      </c>
      <c r="AL413" t="s">
        <v>67</v>
      </c>
      <c r="AM413" t="s">
        <v>69</v>
      </c>
      <c r="AN413">
        <v>75</v>
      </c>
      <c r="AO413">
        <v>416</v>
      </c>
    </row>
    <row r="414" spans="37:41">
      <c r="AK414" t="s">
        <v>936</v>
      </c>
      <c r="AL414" t="s">
        <v>67</v>
      </c>
      <c r="AM414" t="s">
        <v>69</v>
      </c>
      <c r="AN414">
        <v>75</v>
      </c>
      <c r="AO414">
        <v>417</v>
      </c>
    </row>
    <row r="415" spans="37:41">
      <c r="AK415" t="s">
        <v>937</v>
      </c>
      <c r="AL415" t="s">
        <v>81</v>
      </c>
      <c r="AM415" t="s">
        <v>69</v>
      </c>
      <c r="AN415">
        <v>75</v>
      </c>
      <c r="AO415">
        <v>418</v>
      </c>
    </row>
    <row r="416" spans="37:41">
      <c r="AK416" t="s">
        <v>938</v>
      </c>
      <c r="AL416" t="s">
        <v>81</v>
      </c>
      <c r="AM416" t="s">
        <v>69</v>
      </c>
      <c r="AN416">
        <v>75</v>
      </c>
      <c r="AO416">
        <v>419</v>
      </c>
    </row>
    <row r="417" spans="37:41">
      <c r="AK417" t="s">
        <v>939</v>
      </c>
      <c r="AL417" t="s">
        <v>67</v>
      </c>
      <c r="AM417" t="s">
        <v>69</v>
      </c>
      <c r="AN417">
        <v>75</v>
      </c>
      <c r="AO417">
        <v>420</v>
      </c>
    </row>
    <row r="418" spans="37:41">
      <c r="AK418" t="s">
        <v>940</v>
      </c>
      <c r="AL418" t="s">
        <v>67</v>
      </c>
      <c r="AM418" t="s">
        <v>69</v>
      </c>
      <c r="AN418">
        <v>75</v>
      </c>
      <c r="AO418">
        <v>421</v>
      </c>
    </row>
    <row r="419" spans="37:41">
      <c r="AK419" t="s">
        <v>941</v>
      </c>
      <c r="AL419" t="s">
        <v>81</v>
      </c>
      <c r="AM419" t="s">
        <v>69</v>
      </c>
      <c r="AN419">
        <v>75</v>
      </c>
      <c r="AO419">
        <v>422</v>
      </c>
    </row>
    <row r="420" spans="37:41">
      <c r="AK420" t="s">
        <v>942</v>
      </c>
      <c r="AL420" t="s">
        <v>81</v>
      </c>
      <c r="AM420" t="s">
        <v>69</v>
      </c>
      <c r="AN420">
        <v>75</v>
      </c>
      <c r="AO420">
        <v>423</v>
      </c>
    </row>
    <row r="421" spans="37:41">
      <c r="AK421" t="s">
        <v>943</v>
      </c>
      <c r="AL421" t="s">
        <v>81</v>
      </c>
      <c r="AM421" t="s">
        <v>69</v>
      </c>
      <c r="AN421">
        <v>75</v>
      </c>
      <c r="AO421">
        <v>424</v>
      </c>
    </row>
    <row r="422" spans="37:41">
      <c r="AK422" t="s">
        <v>944</v>
      </c>
      <c r="AL422" t="s">
        <v>81</v>
      </c>
      <c r="AM422" t="s">
        <v>69</v>
      </c>
      <c r="AN422">
        <v>75</v>
      </c>
      <c r="AO422">
        <v>425</v>
      </c>
    </row>
    <row r="423" spans="37:41">
      <c r="AK423" t="s">
        <v>945</v>
      </c>
      <c r="AL423" t="s">
        <v>67</v>
      </c>
      <c r="AM423" t="s">
        <v>69</v>
      </c>
      <c r="AN423">
        <v>75</v>
      </c>
      <c r="AO423">
        <v>426</v>
      </c>
    </row>
    <row r="424" spans="37:41">
      <c r="AK424" t="s">
        <v>946</v>
      </c>
      <c r="AL424" t="s">
        <v>67</v>
      </c>
      <c r="AM424" t="s">
        <v>69</v>
      </c>
      <c r="AN424">
        <v>75</v>
      </c>
      <c r="AO424">
        <v>427</v>
      </c>
    </row>
    <row r="425" spans="37:41">
      <c r="AK425" t="s">
        <v>947</v>
      </c>
      <c r="AL425" t="s">
        <v>81</v>
      </c>
      <c r="AM425" t="s">
        <v>69</v>
      </c>
      <c r="AN425">
        <v>75</v>
      </c>
      <c r="AO425">
        <v>428</v>
      </c>
    </row>
    <row r="426" spans="37:41">
      <c r="AK426" t="s">
        <v>948</v>
      </c>
      <c r="AL426" t="s">
        <v>67</v>
      </c>
      <c r="AM426" t="s">
        <v>69</v>
      </c>
      <c r="AN426">
        <v>75</v>
      </c>
      <c r="AO426">
        <v>429</v>
      </c>
    </row>
    <row r="427" spans="37:41">
      <c r="AK427" t="s">
        <v>949</v>
      </c>
      <c r="AL427" t="s">
        <v>67</v>
      </c>
      <c r="AM427" t="s">
        <v>69</v>
      </c>
      <c r="AN427">
        <v>75</v>
      </c>
      <c r="AO427">
        <v>430</v>
      </c>
    </row>
    <row r="428" spans="37:41">
      <c r="AK428" t="s">
        <v>950</v>
      </c>
      <c r="AL428" t="s">
        <v>67</v>
      </c>
      <c r="AM428" t="s">
        <v>69</v>
      </c>
      <c r="AN428">
        <v>75</v>
      </c>
      <c r="AO428">
        <v>431</v>
      </c>
    </row>
    <row r="429" spans="37:41">
      <c r="AK429" t="s">
        <v>951</v>
      </c>
      <c r="AL429" t="s">
        <v>81</v>
      </c>
      <c r="AM429" t="s">
        <v>69</v>
      </c>
      <c r="AN429">
        <v>75</v>
      </c>
      <c r="AO429">
        <v>432</v>
      </c>
    </row>
    <row r="430" spans="37:41">
      <c r="AK430" t="s">
        <v>952</v>
      </c>
      <c r="AL430" t="s">
        <v>67</v>
      </c>
      <c r="AM430" t="s">
        <v>69</v>
      </c>
      <c r="AN430">
        <v>75</v>
      </c>
      <c r="AO430">
        <v>433</v>
      </c>
    </row>
    <row r="431" spans="37:41">
      <c r="AK431" t="s">
        <v>953</v>
      </c>
      <c r="AL431" t="s">
        <v>67</v>
      </c>
      <c r="AM431" t="s">
        <v>69</v>
      </c>
      <c r="AN431">
        <v>75</v>
      </c>
      <c r="AO431">
        <v>434</v>
      </c>
    </row>
    <row r="432" spans="37:41">
      <c r="AK432" t="s">
        <v>954</v>
      </c>
      <c r="AL432" t="s">
        <v>67</v>
      </c>
      <c r="AM432" t="s">
        <v>69</v>
      </c>
      <c r="AN432">
        <v>75</v>
      </c>
      <c r="AO432">
        <v>435</v>
      </c>
    </row>
    <row r="433" spans="37:41">
      <c r="AK433" t="s">
        <v>955</v>
      </c>
      <c r="AL433" t="s">
        <v>81</v>
      </c>
      <c r="AM433" t="s">
        <v>69</v>
      </c>
      <c r="AN433">
        <v>75</v>
      </c>
      <c r="AO433">
        <v>436</v>
      </c>
    </row>
    <row r="434" spans="37:41">
      <c r="AK434" t="s">
        <v>956</v>
      </c>
      <c r="AL434" t="s">
        <v>67</v>
      </c>
      <c r="AM434" t="s">
        <v>125</v>
      </c>
      <c r="AN434">
        <v>110</v>
      </c>
      <c r="AO434">
        <v>437</v>
      </c>
    </row>
    <row r="435" spans="37:41">
      <c r="AK435" t="s">
        <v>957</v>
      </c>
      <c r="AL435" t="s">
        <v>67</v>
      </c>
      <c r="AM435" t="s">
        <v>125</v>
      </c>
      <c r="AN435">
        <v>110</v>
      </c>
      <c r="AO435">
        <v>438</v>
      </c>
    </row>
    <row r="436" spans="37:41">
      <c r="AK436" t="s">
        <v>958</v>
      </c>
      <c r="AL436" t="s">
        <v>67</v>
      </c>
      <c r="AM436" t="s">
        <v>125</v>
      </c>
      <c r="AN436">
        <v>110</v>
      </c>
      <c r="AO436">
        <v>439</v>
      </c>
    </row>
    <row r="437" spans="37:41">
      <c r="AK437" t="s">
        <v>959</v>
      </c>
      <c r="AL437" t="s">
        <v>67</v>
      </c>
      <c r="AM437" t="s">
        <v>125</v>
      </c>
      <c r="AN437">
        <v>110</v>
      </c>
      <c r="AO437">
        <v>440</v>
      </c>
    </row>
    <row r="438" spans="37:41">
      <c r="AK438" t="s">
        <v>960</v>
      </c>
      <c r="AL438" t="s">
        <v>67</v>
      </c>
      <c r="AM438" t="s">
        <v>125</v>
      </c>
      <c r="AN438">
        <v>110</v>
      </c>
      <c r="AO438">
        <v>441</v>
      </c>
    </row>
    <row r="439" spans="37:41">
      <c r="AK439" t="s">
        <v>961</v>
      </c>
      <c r="AL439" t="s">
        <v>81</v>
      </c>
      <c r="AM439" t="s">
        <v>125</v>
      </c>
      <c r="AN439">
        <v>110</v>
      </c>
      <c r="AO439">
        <v>442</v>
      </c>
    </row>
    <row r="440" spans="37:41">
      <c r="AK440" t="s">
        <v>962</v>
      </c>
      <c r="AL440" t="s">
        <v>81</v>
      </c>
      <c r="AM440" t="s">
        <v>125</v>
      </c>
      <c r="AN440">
        <v>110</v>
      </c>
      <c r="AO440">
        <v>443</v>
      </c>
    </row>
    <row r="441" spans="37:41">
      <c r="AK441" t="s">
        <v>963</v>
      </c>
      <c r="AL441" t="s">
        <v>67</v>
      </c>
      <c r="AM441" t="s">
        <v>125</v>
      </c>
      <c r="AN441">
        <v>110</v>
      </c>
      <c r="AO441">
        <v>444</v>
      </c>
    </row>
    <row r="442" spans="37:41">
      <c r="AK442" t="s">
        <v>964</v>
      </c>
      <c r="AL442" t="s">
        <v>67</v>
      </c>
      <c r="AM442" t="s">
        <v>125</v>
      </c>
      <c r="AN442">
        <v>110</v>
      </c>
      <c r="AO442">
        <v>445</v>
      </c>
    </row>
    <row r="443" spans="37:41">
      <c r="AK443" t="s">
        <v>965</v>
      </c>
      <c r="AL443" t="s">
        <v>81</v>
      </c>
      <c r="AM443" t="s">
        <v>125</v>
      </c>
      <c r="AN443">
        <v>110</v>
      </c>
      <c r="AO443">
        <v>446</v>
      </c>
    </row>
    <row r="444" spans="37:41">
      <c r="AK444" t="s">
        <v>966</v>
      </c>
      <c r="AL444" t="s">
        <v>81</v>
      </c>
      <c r="AM444" t="s">
        <v>125</v>
      </c>
      <c r="AN444">
        <v>110</v>
      </c>
      <c r="AO444">
        <v>447</v>
      </c>
    </row>
    <row r="445" spans="37:41">
      <c r="AK445" t="s">
        <v>967</v>
      </c>
      <c r="AL445" t="s">
        <v>81</v>
      </c>
      <c r="AM445" t="s">
        <v>125</v>
      </c>
      <c r="AN445">
        <v>110</v>
      </c>
      <c r="AO445">
        <v>448</v>
      </c>
    </row>
    <row r="446" spans="37:41">
      <c r="AK446" t="s">
        <v>968</v>
      </c>
      <c r="AL446" t="s">
        <v>81</v>
      </c>
      <c r="AM446" t="s">
        <v>125</v>
      </c>
      <c r="AN446">
        <v>110</v>
      </c>
      <c r="AO446">
        <v>449</v>
      </c>
    </row>
    <row r="447" spans="37:41">
      <c r="AK447" t="s">
        <v>969</v>
      </c>
      <c r="AL447" t="s">
        <v>67</v>
      </c>
      <c r="AM447" t="s">
        <v>125</v>
      </c>
      <c r="AN447">
        <v>110</v>
      </c>
      <c r="AO447">
        <v>450</v>
      </c>
    </row>
    <row r="448" spans="37:41">
      <c r="AK448" t="s">
        <v>970</v>
      </c>
      <c r="AL448" t="s">
        <v>67</v>
      </c>
      <c r="AM448" t="s">
        <v>125</v>
      </c>
      <c r="AN448">
        <v>110</v>
      </c>
      <c r="AO448">
        <v>451</v>
      </c>
    </row>
    <row r="449" spans="37:41">
      <c r="AK449" t="s">
        <v>971</v>
      </c>
      <c r="AL449" t="s">
        <v>81</v>
      </c>
      <c r="AM449" t="s">
        <v>125</v>
      </c>
      <c r="AN449">
        <v>110</v>
      </c>
      <c r="AO449">
        <v>452</v>
      </c>
    </row>
    <row r="450" spans="37:41">
      <c r="AK450" t="s">
        <v>972</v>
      </c>
      <c r="AL450" t="s">
        <v>67</v>
      </c>
      <c r="AM450" t="s">
        <v>125</v>
      </c>
      <c r="AN450">
        <v>110</v>
      </c>
      <c r="AO450">
        <v>453</v>
      </c>
    </row>
    <row r="451" spans="37:41">
      <c r="AK451" t="s">
        <v>973</v>
      </c>
      <c r="AL451" t="s">
        <v>67</v>
      </c>
      <c r="AM451" t="s">
        <v>125</v>
      </c>
      <c r="AN451">
        <v>110</v>
      </c>
      <c r="AO451">
        <v>454</v>
      </c>
    </row>
    <row r="452" spans="37:41">
      <c r="AK452" t="s">
        <v>974</v>
      </c>
      <c r="AL452" t="s">
        <v>67</v>
      </c>
      <c r="AM452" t="s">
        <v>125</v>
      </c>
      <c r="AN452">
        <v>110</v>
      </c>
      <c r="AO452">
        <v>455</v>
      </c>
    </row>
    <row r="453" spans="37:41">
      <c r="AK453" t="s">
        <v>975</v>
      </c>
      <c r="AL453" t="s">
        <v>81</v>
      </c>
      <c r="AM453" t="s">
        <v>125</v>
      </c>
      <c r="AN453">
        <v>110</v>
      </c>
      <c r="AO453">
        <v>456</v>
      </c>
    </row>
    <row r="454" spans="37:41">
      <c r="AK454" t="s">
        <v>976</v>
      </c>
      <c r="AL454" t="s">
        <v>67</v>
      </c>
      <c r="AM454" t="s">
        <v>125</v>
      </c>
      <c r="AN454">
        <v>110</v>
      </c>
      <c r="AO454">
        <v>457</v>
      </c>
    </row>
    <row r="455" spans="37:41">
      <c r="AK455" t="s">
        <v>977</v>
      </c>
      <c r="AL455" t="s">
        <v>67</v>
      </c>
      <c r="AM455" t="s">
        <v>125</v>
      </c>
      <c r="AN455">
        <v>110</v>
      </c>
      <c r="AO455">
        <v>458</v>
      </c>
    </row>
    <row r="456" spans="37:41">
      <c r="AK456" t="s">
        <v>978</v>
      </c>
      <c r="AL456" t="s">
        <v>67</v>
      </c>
      <c r="AM456" t="s">
        <v>125</v>
      </c>
      <c r="AN456">
        <v>110</v>
      </c>
      <c r="AO456">
        <v>459</v>
      </c>
    </row>
    <row r="457" spans="37:41">
      <c r="AK457" t="s">
        <v>979</v>
      </c>
      <c r="AL457" t="s">
        <v>81</v>
      </c>
      <c r="AM457" t="s">
        <v>125</v>
      </c>
      <c r="AN457">
        <v>110</v>
      </c>
      <c r="AO457">
        <v>460</v>
      </c>
    </row>
    <row r="458" spans="37:41">
      <c r="AK458" t="s">
        <v>980</v>
      </c>
      <c r="AL458" t="s">
        <v>67</v>
      </c>
      <c r="AM458" t="s">
        <v>125</v>
      </c>
      <c r="AN458">
        <v>75</v>
      </c>
      <c r="AO458">
        <v>461</v>
      </c>
    </row>
    <row r="459" spans="37:41">
      <c r="AK459" t="s">
        <v>981</v>
      </c>
      <c r="AL459" t="s">
        <v>67</v>
      </c>
      <c r="AM459" t="s">
        <v>125</v>
      </c>
      <c r="AN459">
        <v>75</v>
      </c>
      <c r="AO459">
        <v>462</v>
      </c>
    </row>
    <row r="460" spans="37:41">
      <c r="AK460" t="s">
        <v>982</v>
      </c>
      <c r="AL460" t="s">
        <v>67</v>
      </c>
      <c r="AM460" t="s">
        <v>125</v>
      </c>
      <c r="AN460">
        <v>75</v>
      </c>
      <c r="AO460">
        <v>463</v>
      </c>
    </row>
    <row r="461" spans="37:41">
      <c r="AK461" t="s">
        <v>983</v>
      </c>
      <c r="AL461" t="s">
        <v>67</v>
      </c>
      <c r="AM461" t="s">
        <v>125</v>
      </c>
      <c r="AN461">
        <v>75</v>
      </c>
      <c r="AO461">
        <v>464</v>
      </c>
    </row>
    <row r="462" spans="37:41">
      <c r="AK462" t="s">
        <v>984</v>
      </c>
      <c r="AL462" t="s">
        <v>67</v>
      </c>
      <c r="AM462" t="s">
        <v>125</v>
      </c>
      <c r="AN462">
        <v>75</v>
      </c>
      <c r="AO462">
        <v>465</v>
      </c>
    </row>
    <row r="463" spans="37:41">
      <c r="AK463" t="s">
        <v>985</v>
      </c>
      <c r="AL463" t="s">
        <v>81</v>
      </c>
      <c r="AM463" t="s">
        <v>125</v>
      </c>
      <c r="AN463">
        <v>75</v>
      </c>
      <c r="AO463">
        <v>466</v>
      </c>
    </row>
    <row r="464" spans="37:41">
      <c r="AK464" t="s">
        <v>986</v>
      </c>
      <c r="AL464" t="s">
        <v>81</v>
      </c>
      <c r="AM464" t="s">
        <v>125</v>
      </c>
      <c r="AN464">
        <v>75</v>
      </c>
      <c r="AO464">
        <v>467</v>
      </c>
    </row>
    <row r="465" spans="37:41">
      <c r="AK465" t="s">
        <v>987</v>
      </c>
      <c r="AL465" t="s">
        <v>67</v>
      </c>
      <c r="AM465" t="s">
        <v>125</v>
      </c>
      <c r="AN465">
        <v>75</v>
      </c>
      <c r="AO465">
        <v>468</v>
      </c>
    </row>
    <row r="466" spans="37:41">
      <c r="AK466" t="s">
        <v>988</v>
      </c>
      <c r="AL466" t="s">
        <v>67</v>
      </c>
      <c r="AM466" t="s">
        <v>125</v>
      </c>
      <c r="AN466">
        <v>75</v>
      </c>
      <c r="AO466">
        <v>469</v>
      </c>
    </row>
    <row r="467" spans="37:41">
      <c r="AK467" t="s">
        <v>989</v>
      </c>
      <c r="AL467" t="s">
        <v>81</v>
      </c>
      <c r="AM467" t="s">
        <v>125</v>
      </c>
      <c r="AN467">
        <v>75</v>
      </c>
      <c r="AO467">
        <v>470</v>
      </c>
    </row>
    <row r="468" spans="37:41">
      <c r="AK468" t="s">
        <v>990</v>
      </c>
      <c r="AL468" t="s">
        <v>81</v>
      </c>
      <c r="AM468" t="s">
        <v>125</v>
      </c>
      <c r="AN468">
        <v>75</v>
      </c>
      <c r="AO468">
        <v>471</v>
      </c>
    </row>
    <row r="469" spans="37:41">
      <c r="AK469" t="s">
        <v>991</v>
      </c>
      <c r="AL469" t="s">
        <v>81</v>
      </c>
      <c r="AM469" t="s">
        <v>125</v>
      </c>
      <c r="AN469">
        <v>75</v>
      </c>
      <c r="AO469">
        <v>472</v>
      </c>
    </row>
    <row r="470" spans="37:41">
      <c r="AK470" t="s">
        <v>992</v>
      </c>
      <c r="AL470" t="s">
        <v>81</v>
      </c>
      <c r="AM470" t="s">
        <v>125</v>
      </c>
      <c r="AN470">
        <v>75</v>
      </c>
      <c r="AO470">
        <v>473</v>
      </c>
    </row>
    <row r="471" spans="37:41">
      <c r="AK471" t="s">
        <v>993</v>
      </c>
      <c r="AL471" t="s">
        <v>67</v>
      </c>
      <c r="AM471" t="s">
        <v>125</v>
      </c>
      <c r="AN471">
        <v>75</v>
      </c>
      <c r="AO471">
        <v>474</v>
      </c>
    </row>
    <row r="472" spans="37:41">
      <c r="AK472" t="s">
        <v>994</v>
      </c>
      <c r="AL472" t="s">
        <v>67</v>
      </c>
      <c r="AM472" t="s">
        <v>125</v>
      </c>
      <c r="AN472">
        <v>75</v>
      </c>
      <c r="AO472">
        <v>475</v>
      </c>
    </row>
    <row r="473" spans="37:41">
      <c r="AK473" t="s">
        <v>995</v>
      </c>
      <c r="AL473" t="s">
        <v>81</v>
      </c>
      <c r="AM473" t="s">
        <v>125</v>
      </c>
      <c r="AN473">
        <v>75</v>
      </c>
      <c r="AO473">
        <v>476</v>
      </c>
    </row>
    <row r="474" spans="37:41">
      <c r="AK474" t="s">
        <v>996</v>
      </c>
      <c r="AL474" t="s">
        <v>67</v>
      </c>
      <c r="AM474" t="s">
        <v>125</v>
      </c>
      <c r="AN474">
        <v>75</v>
      </c>
      <c r="AO474">
        <v>477</v>
      </c>
    </row>
    <row r="475" spans="37:41">
      <c r="AK475" t="s">
        <v>997</v>
      </c>
      <c r="AL475" t="s">
        <v>67</v>
      </c>
      <c r="AM475" t="s">
        <v>125</v>
      </c>
      <c r="AN475">
        <v>75</v>
      </c>
      <c r="AO475">
        <v>478</v>
      </c>
    </row>
    <row r="476" spans="37:41">
      <c r="AK476" t="s">
        <v>998</v>
      </c>
      <c r="AL476" t="s">
        <v>67</v>
      </c>
      <c r="AM476" t="s">
        <v>125</v>
      </c>
      <c r="AN476">
        <v>75</v>
      </c>
      <c r="AO476">
        <v>479</v>
      </c>
    </row>
    <row r="477" spans="37:41">
      <c r="AK477" t="s">
        <v>999</v>
      </c>
      <c r="AL477" t="s">
        <v>81</v>
      </c>
      <c r="AM477" t="s">
        <v>125</v>
      </c>
      <c r="AN477">
        <v>75</v>
      </c>
      <c r="AO477">
        <v>480</v>
      </c>
    </row>
    <row r="478" spans="37:41">
      <c r="AK478" t="s">
        <v>1000</v>
      </c>
      <c r="AL478" t="s">
        <v>67</v>
      </c>
      <c r="AM478" t="s">
        <v>125</v>
      </c>
      <c r="AN478">
        <v>75</v>
      </c>
      <c r="AO478">
        <v>481</v>
      </c>
    </row>
    <row r="479" spans="37:41">
      <c r="AK479" t="s">
        <v>1001</v>
      </c>
      <c r="AL479" t="s">
        <v>67</v>
      </c>
      <c r="AM479" t="s">
        <v>125</v>
      </c>
      <c r="AN479">
        <v>75</v>
      </c>
      <c r="AO479">
        <v>482</v>
      </c>
    </row>
    <row r="480" spans="37:41">
      <c r="AK480" t="s">
        <v>1002</v>
      </c>
      <c r="AL480" t="s">
        <v>67</v>
      </c>
      <c r="AM480" t="s">
        <v>125</v>
      </c>
      <c r="AN480">
        <v>75</v>
      </c>
      <c r="AO480">
        <v>483</v>
      </c>
    </row>
    <row r="481" spans="37:41">
      <c r="AK481" t="s">
        <v>1003</v>
      </c>
      <c r="AL481" t="s">
        <v>81</v>
      </c>
      <c r="AM481" t="s">
        <v>125</v>
      </c>
      <c r="AN481">
        <v>75</v>
      </c>
      <c r="AO481">
        <v>484</v>
      </c>
    </row>
    <row r="482" spans="37:41">
      <c r="AK482" t="s">
        <v>1004</v>
      </c>
      <c r="AL482" t="s">
        <v>67</v>
      </c>
      <c r="AM482" t="s">
        <v>125</v>
      </c>
      <c r="AN482">
        <v>110</v>
      </c>
      <c r="AO482">
        <v>485</v>
      </c>
    </row>
    <row r="483" spans="37:41">
      <c r="AK483" t="s">
        <v>1005</v>
      </c>
      <c r="AL483" t="s">
        <v>67</v>
      </c>
      <c r="AM483" t="s">
        <v>125</v>
      </c>
      <c r="AN483">
        <v>110</v>
      </c>
      <c r="AO483">
        <v>486</v>
      </c>
    </row>
    <row r="484" spans="37:41">
      <c r="AK484" t="s">
        <v>1006</v>
      </c>
      <c r="AL484" t="s">
        <v>67</v>
      </c>
      <c r="AM484" t="s">
        <v>125</v>
      </c>
      <c r="AN484">
        <v>110</v>
      </c>
      <c r="AO484">
        <v>487</v>
      </c>
    </row>
    <row r="485" spans="37:41">
      <c r="AK485" t="s">
        <v>1007</v>
      </c>
      <c r="AL485" t="s">
        <v>67</v>
      </c>
      <c r="AM485" t="s">
        <v>125</v>
      </c>
      <c r="AN485">
        <v>110</v>
      </c>
      <c r="AO485">
        <v>488</v>
      </c>
    </row>
    <row r="486" spans="37:41">
      <c r="AK486" t="s">
        <v>1008</v>
      </c>
      <c r="AL486" t="s">
        <v>67</v>
      </c>
      <c r="AM486" t="s">
        <v>125</v>
      </c>
      <c r="AN486">
        <v>110</v>
      </c>
      <c r="AO486">
        <v>489</v>
      </c>
    </row>
    <row r="487" spans="37:41">
      <c r="AK487" t="s">
        <v>1009</v>
      </c>
      <c r="AL487" t="s">
        <v>81</v>
      </c>
      <c r="AM487" t="s">
        <v>125</v>
      </c>
      <c r="AN487">
        <v>110</v>
      </c>
      <c r="AO487">
        <v>490</v>
      </c>
    </row>
    <row r="488" spans="37:41">
      <c r="AK488" t="s">
        <v>1010</v>
      </c>
      <c r="AL488" t="s">
        <v>81</v>
      </c>
      <c r="AM488" t="s">
        <v>125</v>
      </c>
      <c r="AN488">
        <v>110</v>
      </c>
      <c r="AO488">
        <v>491</v>
      </c>
    </row>
    <row r="489" spans="37:41">
      <c r="AK489" t="s">
        <v>1011</v>
      </c>
      <c r="AL489" t="s">
        <v>67</v>
      </c>
      <c r="AM489" t="s">
        <v>125</v>
      </c>
      <c r="AN489">
        <v>110</v>
      </c>
      <c r="AO489">
        <v>492</v>
      </c>
    </row>
    <row r="490" spans="37:41">
      <c r="AK490" t="s">
        <v>1012</v>
      </c>
      <c r="AL490" t="s">
        <v>67</v>
      </c>
      <c r="AM490" t="s">
        <v>125</v>
      </c>
      <c r="AN490">
        <v>110</v>
      </c>
      <c r="AO490">
        <v>493</v>
      </c>
    </row>
    <row r="491" spans="37:41">
      <c r="AK491" t="s">
        <v>1013</v>
      </c>
      <c r="AL491" t="s">
        <v>81</v>
      </c>
      <c r="AM491" t="s">
        <v>125</v>
      </c>
      <c r="AN491">
        <v>110</v>
      </c>
      <c r="AO491">
        <v>494</v>
      </c>
    </row>
    <row r="492" spans="37:41">
      <c r="AK492" t="s">
        <v>1014</v>
      </c>
      <c r="AL492" t="s">
        <v>81</v>
      </c>
      <c r="AM492" t="s">
        <v>125</v>
      </c>
      <c r="AN492">
        <v>110</v>
      </c>
      <c r="AO492">
        <v>495</v>
      </c>
    </row>
    <row r="493" spans="37:41">
      <c r="AK493" t="s">
        <v>1015</v>
      </c>
      <c r="AL493" t="s">
        <v>81</v>
      </c>
      <c r="AM493" t="s">
        <v>125</v>
      </c>
      <c r="AN493">
        <v>110</v>
      </c>
      <c r="AO493">
        <v>496</v>
      </c>
    </row>
    <row r="494" spans="37:41">
      <c r="AK494" t="s">
        <v>1016</v>
      </c>
      <c r="AL494" t="s">
        <v>81</v>
      </c>
      <c r="AM494" t="s">
        <v>125</v>
      </c>
      <c r="AN494">
        <v>110</v>
      </c>
      <c r="AO494">
        <v>497</v>
      </c>
    </row>
    <row r="495" spans="37:41">
      <c r="AK495" t="s">
        <v>1017</v>
      </c>
      <c r="AL495" t="s">
        <v>67</v>
      </c>
      <c r="AM495" t="s">
        <v>125</v>
      </c>
      <c r="AN495">
        <v>110</v>
      </c>
      <c r="AO495">
        <v>498</v>
      </c>
    </row>
    <row r="496" spans="37:41">
      <c r="AK496" t="s">
        <v>1018</v>
      </c>
      <c r="AL496" t="s">
        <v>67</v>
      </c>
      <c r="AM496" t="s">
        <v>125</v>
      </c>
      <c r="AN496">
        <v>110</v>
      </c>
      <c r="AO496">
        <v>499</v>
      </c>
    </row>
    <row r="497" spans="37:41">
      <c r="AK497" t="s">
        <v>1019</v>
      </c>
      <c r="AL497" t="s">
        <v>81</v>
      </c>
      <c r="AM497" t="s">
        <v>125</v>
      </c>
      <c r="AN497">
        <v>110</v>
      </c>
      <c r="AO497">
        <v>500</v>
      </c>
    </row>
    <row r="498" spans="37:41">
      <c r="AK498" t="s">
        <v>1020</v>
      </c>
      <c r="AL498" t="s">
        <v>67</v>
      </c>
      <c r="AM498" t="s">
        <v>125</v>
      </c>
      <c r="AN498">
        <v>110</v>
      </c>
      <c r="AO498">
        <v>501</v>
      </c>
    </row>
    <row r="499" spans="37:41">
      <c r="AK499" t="s">
        <v>1021</v>
      </c>
      <c r="AL499" t="s">
        <v>67</v>
      </c>
      <c r="AM499" t="s">
        <v>125</v>
      </c>
      <c r="AN499">
        <v>110</v>
      </c>
      <c r="AO499">
        <v>502</v>
      </c>
    </row>
    <row r="500" spans="37:41">
      <c r="AK500" t="s">
        <v>1022</v>
      </c>
      <c r="AL500" t="s">
        <v>67</v>
      </c>
      <c r="AM500" t="s">
        <v>125</v>
      </c>
      <c r="AN500">
        <v>110</v>
      </c>
      <c r="AO500">
        <v>503</v>
      </c>
    </row>
    <row r="501" spans="37:41">
      <c r="AK501" t="s">
        <v>1023</v>
      </c>
      <c r="AL501" t="s">
        <v>81</v>
      </c>
      <c r="AM501" t="s">
        <v>125</v>
      </c>
      <c r="AN501">
        <v>110</v>
      </c>
      <c r="AO501">
        <v>504</v>
      </c>
    </row>
    <row r="502" spans="37:41">
      <c r="AK502" t="s">
        <v>1024</v>
      </c>
      <c r="AL502" t="s">
        <v>67</v>
      </c>
      <c r="AM502" t="s">
        <v>125</v>
      </c>
      <c r="AN502">
        <v>110</v>
      </c>
      <c r="AO502">
        <v>505</v>
      </c>
    </row>
    <row r="503" spans="37:41">
      <c r="AK503" t="s">
        <v>1025</v>
      </c>
      <c r="AL503" t="s">
        <v>67</v>
      </c>
      <c r="AM503" t="s">
        <v>125</v>
      </c>
      <c r="AN503">
        <v>110</v>
      </c>
      <c r="AO503">
        <v>506</v>
      </c>
    </row>
    <row r="504" spans="37:41">
      <c r="AK504" t="s">
        <v>1026</v>
      </c>
      <c r="AL504" t="s">
        <v>67</v>
      </c>
      <c r="AM504" t="s">
        <v>125</v>
      </c>
      <c r="AN504">
        <v>110</v>
      </c>
      <c r="AO504">
        <v>507</v>
      </c>
    </row>
    <row r="505" spans="37:41">
      <c r="AK505" t="s">
        <v>1027</v>
      </c>
      <c r="AL505" t="s">
        <v>81</v>
      </c>
      <c r="AM505" t="s">
        <v>125</v>
      </c>
      <c r="AN505">
        <v>110</v>
      </c>
      <c r="AO505">
        <v>508</v>
      </c>
    </row>
    <row r="506" spans="37:41">
      <c r="AK506" t="s">
        <v>1028</v>
      </c>
      <c r="AL506" t="s">
        <v>67</v>
      </c>
      <c r="AM506" t="s">
        <v>125</v>
      </c>
      <c r="AN506">
        <v>110</v>
      </c>
      <c r="AO506">
        <v>509</v>
      </c>
    </row>
    <row r="507" spans="37:41">
      <c r="AK507" t="s">
        <v>1029</v>
      </c>
      <c r="AL507" t="s">
        <v>67</v>
      </c>
      <c r="AM507" t="s">
        <v>125</v>
      </c>
      <c r="AN507">
        <v>110</v>
      </c>
      <c r="AO507">
        <v>510</v>
      </c>
    </row>
    <row r="508" spans="37:41">
      <c r="AK508" t="s">
        <v>1030</v>
      </c>
      <c r="AL508" t="s">
        <v>67</v>
      </c>
      <c r="AM508" t="s">
        <v>125</v>
      </c>
      <c r="AN508">
        <v>110</v>
      </c>
      <c r="AO508">
        <v>511</v>
      </c>
    </row>
    <row r="509" spans="37:41">
      <c r="AK509" t="s">
        <v>1031</v>
      </c>
      <c r="AL509" t="s">
        <v>67</v>
      </c>
      <c r="AM509" t="s">
        <v>125</v>
      </c>
      <c r="AN509">
        <v>110</v>
      </c>
      <c r="AO509">
        <v>512</v>
      </c>
    </row>
    <row r="510" spans="37:41">
      <c r="AK510" t="s">
        <v>1032</v>
      </c>
      <c r="AL510" t="s">
        <v>67</v>
      </c>
      <c r="AM510" t="s">
        <v>125</v>
      </c>
      <c r="AN510">
        <v>110</v>
      </c>
      <c r="AO510">
        <v>513</v>
      </c>
    </row>
    <row r="511" spans="37:41">
      <c r="AK511" t="s">
        <v>1033</v>
      </c>
      <c r="AL511" t="s">
        <v>81</v>
      </c>
      <c r="AM511" t="s">
        <v>125</v>
      </c>
      <c r="AN511">
        <v>110</v>
      </c>
      <c r="AO511">
        <v>514</v>
      </c>
    </row>
    <row r="512" spans="37:41">
      <c r="AK512" t="s">
        <v>1034</v>
      </c>
      <c r="AL512" t="s">
        <v>81</v>
      </c>
      <c r="AM512" t="s">
        <v>125</v>
      </c>
      <c r="AN512">
        <v>110</v>
      </c>
      <c r="AO512">
        <v>515</v>
      </c>
    </row>
    <row r="513" spans="37:41">
      <c r="AK513" t="s">
        <v>1035</v>
      </c>
      <c r="AL513" t="s">
        <v>67</v>
      </c>
      <c r="AM513" t="s">
        <v>125</v>
      </c>
      <c r="AN513">
        <v>110</v>
      </c>
      <c r="AO513">
        <v>516</v>
      </c>
    </row>
    <row r="514" spans="37:41">
      <c r="AK514" t="s">
        <v>1036</v>
      </c>
      <c r="AL514" t="s">
        <v>67</v>
      </c>
      <c r="AM514" t="s">
        <v>125</v>
      </c>
      <c r="AN514">
        <v>110</v>
      </c>
      <c r="AO514">
        <v>517</v>
      </c>
    </row>
    <row r="515" spans="37:41">
      <c r="AK515" t="s">
        <v>1037</v>
      </c>
      <c r="AL515" t="s">
        <v>81</v>
      </c>
      <c r="AM515" t="s">
        <v>125</v>
      </c>
      <c r="AN515">
        <v>110</v>
      </c>
      <c r="AO515">
        <v>518</v>
      </c>
    </row>
    <row r="516" spans="37:41">
      <c r="AK516" t="s">
        <v>1038</v>
      </c>
      <c r="AL516" t="s">
        <v>81</v>
      </c>
      <c r="AM516" t="s">
        <v>125</v>
      </c>
      <c r="AN516">
        <v>110</v>
      </c>
      <c r="AO516">
        <v>519</v>
      </c>
    </row>
    <row r="517" spans="37:41">
      <c r="AK517" t="s">
        <v>1039</v>
      </c>
      <c r="AL517" t="s">
        <v>81</v>
      </c>
      <c r="AM517" t="s">
        <v>125</v>
      </c>
      <c r="AN517">
        <v>110</v>
      </c>
      <c r="AO517">
        <v>520</v>
      </c>
    </row>
    <row r="518" spans="37:41">
      <c r="AK518" t="s">
        <v>1040</v>
      </c>
      <c r="AL518" t="s">
        <v>81</v>
      </c>
      <c r="AM518" t="s">
        <v>125</v>
      </c>
      <c r="AN518">
        <v>110</v>
      </c>
      <c r="AO518">
        <v>521</v>
      </c>
    </row>
    <row r="519" spans="37:41">
      <c r="AK519" t="s">
        <v>1041</v>
      </c>
      <c r="AL519" t="s">
        <v>67</v>
      </c>
      <c r="AM519" t="s">
        <v>125</v>
      </c>
      <c r="AN519">
        <v>110</v>
      </c>
      <c r="AO519">
        <v>522</v>
      </c>
    </row>
    <row r="520" spans="37:41">
      <c r="AK520" t="s">
        <v>1042</v>
      </c>
      <c r="AL520" t="s">
        <v>67</v>
      </c>
      <c r="AM520" t="s">
        <v>125</v>
      </c>
      <c r="AN520">
        <v>110</v>
      </c>
      <c r="AO520">
        <v>523</v>
      </c>
    </row>
    <row r="521" spans="37:41">
      <c r="AK521" t="s">
        <v>1043</v>
      </c>
      <c r="AL521" t="s">
        <v>81</v>
      </c>
      <c r="AM521" t="s">
        <v>125</v>
      </c>
      <c r="AN521">
        <v>110</v>
      </c>
      <c r="AO521">
        <v>524</v>
      </c>
    </row>
    <row r="522" spans="37:41">
      <c r="AK522" t="s">
        <v>1044</v>
      </c>
      <c r="AL522" t="s">
        <v>67</v>
      </c>
      <c r="AM522" t="s">
        <v>125</v>
      </c>
      <c r="AN522">
        <v>110</v>
      </c>
      <c r="AO522">
        <v>525</v>
      </c>
    </row>
    <row r="523" spans="37:41">
      <c r="AK523" t="s">
        <v>1045</v>
      </c>
      <c r="AL523" t="s">
        <v>67</v>
      </c>
      <c r="AM523" t="s">
        <v>125</v>
      </c>
      <c r="AN523">
        <v>110</v>
      </c>
      <c r="AO523">
        <v>526</v>
      </c>
    </row>
    <row r="524" spans="37:41">
      <c r="AK524" t="s">
        <v>1046</v>
      </c>
      <c r="AL524" t="s">
        <v>67</v>
      </c>
      <c r="AM524" t="s">
        <v>125</v>
      </c>
      <c r="AN524">
        <v>110</v>
      </c>
      <c r="AO524">
        <v>527</v>
      </c>
    </row>
    <row r="525" spans="37:41">
      <c r="AK525" t="s">
        <v>1047</v>
      </c>
      <c r="AL525" t="s">
        <v>81</v>
      </c>
      <c r="AM525" t="s">
        <v>125</v>
      </c>
      <c r="AN525">
        <v>110</v>
      </c>
      <c r="AO525">
        <v>528</v>
      </c>
    </row>
    <row r="526" spans="37:41">
      <c r="AK526" t="s">
        <v>1048</v>
      </c>
      <c r="AL526" t="s">
        <v>67</v>
      </c>
      <c r="AM526" t="s">
        <v>125</v>
      </c>
      <c r="AN526">
        <v>110</v>
      </c>
      <c r="AO526">
        <v>529</v>
      </c>
    </row>
    <row r="527" spans="37:41">
      <c r="AK527" t="s">
        <v>1049</v>
      </c>
      <c r="AL527" t="s">
        <v>67</v>
      </c>
      <c r="AM527" t="s">
        <v>125</v>
      </c>
      <c r="AN527">
        <v>110</v>
      </c>
      <c r="AO527">
        <v>530</v>
      </c>
    </row>
    <row r="528" spans="37:41">
      <c r="AK528" t="s">
        <v>1050</v>
      </c>
      <c r="AL528" t="s">
        <v>67</v>
      </c>
      <c r="AM528" t="s">
        <v>125</v>
      </c>
      <c r="AN528">
        <v>110</v>
      </c>
      <c r="AO528">
        <v>531</v>
      </c>
    </row>
    <row r="529" spans="37:41">
      <c r="AK529" t="s">
        <v>1051</v>
      </c>
      <c r="AL529" t="s">
        <v>81</v>
      </c>
      <c r="AM529" t="s">
        <v>125</v>
      </c>
      <c r="AN529">
        <v>110</v>
      </c>
      <c r="AO529">
        <v>532</v>
      </c>
    </row>
    <row r="530" spans="37:41">
      <c r="AK530" t="s">
        <v>1052</v>
      </c>
      <c r="AL530" t="s">
        <v>67</v>
      </c>
      <c r="AM530" t="s">
        <v>132</v>
      </c>
      <c r="AN530">
        <v>75</v>
      </c>
      <c r="AO530">
        <v>533</v>
      </c>
    </row>
    <row r="531" spans="37:41">
      <c r="AK531" t="s">
        <v>1053</v>
      </c>
      <c r="AL531" t="s">
        <v>67</v>
      </c>
      <c r="AM531" t="s">
        <v>132</v>
      </c>
      <c r="AN531">
        <v>75</v>
      </c>
      <c r="AO531">
        <v>534</v>
      </c>
    </row>
    <row r="532" spans="37:41">
      <c r="AK532" t="s">
        <v>1054</v>
      </c>
      <c r="AL532" t="s">
        <v>67</v>
      </c>
      <c r="AM532" t="s">
        <v>132</v>
      </c>
      <c r="AN532">
        <v>75</v>
      </c>
      <c r="AO532">
        <v>535</v>
      </c>
    </row>
    <row r="533" spans="37:41">
      <c r="AK533" t="s">
        <v>1055</v>
      </c>
      <c r="AL533" t="s">
        <v>67</v>
      </c>
      <c r="AM533" t="s">
        <v>132</v>
      </c>
      <c r="AN533">
        <v>75</v>
      </c>
      <c r="AO533">
        <v>536</v>
      </c>
    </row>
    <row r="534" spans="37:41">
      <c r="AK534" t="s">
        <v>1056</v>
      </c>
      <c r="AL534" t="s">
        <v>67</v>
      </c>
      <c r="AM534" t="s">
        <v>132</v>
      </c>
      <c r="AN534">
        <v>75</v>
      </c>
      <c r="AO534">
        <v>537</v>
      </c>
    </row>
    <row r="535" spans="37:41">
      <c r="AK535" t="s">
        <v>1057</v>
      </c>
      <c r="AL535" t="s">
        <v>81</v>
      </c>
      <c r="AM535" t="s">
        <v>132</v>
      </c>
      <c r="AN535">
        <v>75</v>
      </c>
      <c r="AO535">
        <v>538</v>
      </c>
    </row>
    <row r="536" spans="37:41">
      <c r="AK536" t="s">
        <v>1058</v>
      </c>
      <c r="AL536" t="s">
        <v>81</v>
      </c>
      <c r="AM536" t="s">
        <v>132</v>
      </c>
      <c r="AN536">
        <v>75</v>
      </c>
      <c r="AO536">
        <v>539</v>
      </c>
    </row>
    <row r="537" spans="37:41">
      <c r="AK537" t="s">
        <v>1059</v>
      </c>
      <c r="AL537" t="s">
        <v>67</v>
      </c>
      <c r="AM537" t="s">
        <v>132</v>
      </c>
      <c r="AN537">
        <v>75</v>
      </c>
      <c r="AO537">
        <v>540</v>
      </c>
    </row>
    <row r="538" spans="37:41">
      <c r="AK538" t="s">
        <v>1060</v>
      </c>
      <c r="AL538" t="s">
        <v>67</v>
      </c>
      <c r="AM538" t="s">
        <v>132</v>
      </c>
      <c r="AN538">
        <v>75</v>
      </c>
      <c r="AO538">
        <v>541</v>
      </c>
    </row>
    <row r="539" spans="37:41">
      <c r="AK539" t="s">
        <v>1061</v>
      </c>
      <c r="AL539" t="s">
        <v>81</v>
      </c>
      <c r="AM539" t="s">
        <v>132</v>
      </c>
      <c r="AN539">
        <v>75</v>
      </c>
      <c r="AO539">
        <v>542</v>
      </c>
    </row>
    <row r="540" spans="37:41">
      <c r="AK540" t="s">
        <v>1062</v>
      </c>
      <c r="AL540" t="s">
        <v>81</v>
      </c>
      <c r="AM540" t="s">
        <v>132</v>
      </c>
      <c r="AN540">
        <v>75</v>
      </c>
      <c r="AO540">
        <v>543</v>
      </c>
    </row>
    <row r="541" spans="37:41">
      <c r="AK541" t="s">
        <v>1063</v>
      </c>
      <c r="AL541" t="s">
        <v>81</v>
      </c>
      <c r="AM541" t="s">
        <v>132</v>
      </c>
      <c r="AN541">
        <v>75</v>
      </c>
      <c r="AO541">
        <v>544</v>
      </c>
    </row>
    <row r="542" spans="37:41">
      <c r="AK542" t="s">
        <v>1064</v>
      </c>
      <c r="AL542" t="s">
        <v>81</v>
      </c>
      <c r="AM542" t="s">
        <v>132</v>
      </c>
      <c r="AN542">
        <v>75</v>
      </c>
      <c r="AO542">
        <v>545</v>
      </c>
    </row>
    <row r="543" spans="37:41">
      <c r="AK543" t="s">
        <v>1065</v>
      </c>
      <c r="AL543" t="s">
        <v>67</v>
      </c>
      <c r="AM543" t="s">
        <v>132</v>
      </c>
      <c r="AN543">
        <v>75</v>
      </c>
      <c r="AO543">
        <v>546</v>
      </c>
    </row>
    <row r="544" spans="37:41">
      <c r="AK544" t="s">
        <v>1066</v>
      </c>
      <c r="AL544" t="s">
        <v>67</v>
      </c>
      <c r="AM544" t="s">
        <v>132</v>
      </c>
      <c r="AN544">
        <v>75</v>
      </c>
      <c r="AO544">
        <v>547</v>
      </c>
    </row>
    <row r="545" spans="37:41">
      <c r="AK545" t="s">
        <v>1067</v>
      </c>
      <c r="AL545" t="s">
        <v>81</v>
      </c>
      <c r="AM545" t="s">
        <v>132</v>
      </c>
      <c r="AN545">
        <v>75</v>
      </c>
      <c r="AO545">
        <v>548</v>
      </c>
    </row>
    <row r="546" spans="37:41">
      <c r="AK546" t="s">
        <v>1068</v>
      </c>
      <c r="AL546" t="s">
        <v>67</v>
      </c>
      <c r="AM546" t="s">
        <v>132</v>
      </c>
      <c r="AN546">
        <v>75</v>
      </c>
      <c r="AO546">
        <v>549</v>
      </c>
    </row>
    <row r="547" spans="37:41">
      <c r="AK547" t="s">
        <v>1069</v>
      </c>
      <c r="AL547" t="s">
        <v>67</v>
      </c>
      <c r="AM547" t="s">
        <v>132</v>
      </c>
      <c r="AN547">
        <v>75</v>
      </c>
      <c r="AO547">
        <v>550</v>
      </c>
    </row>
    <row r="548" spans="37:41">
      <c r="AK548" t="s">
        <v>1070</v>
      </c>
      <c r="AL548" t="s">
        <v>67</v>
      </c>
      <c r="AM548" t="s">
        <v>132</v>
      </c>
      <c r="AN548">
        <v>75</v>
      </c>
      <c r="AO548">
        <v>551</v>
      </c>
    </row>
    <row r="549" spans="37:41">
      <c r="AK549" t="s">
        <v>1071</v>
      </c>
      <c r="AL549" t="s">
        <v>81</v>
      </c>
      <c r="AM549" t="s">
        <v>132</v>
      </c>
      <c r="AN549">
        <v>75</v>
      </c>
      <c r="AO549">
        <v>552</v>
      </c>
    </row>
    <row r="550" spans="37:41">
      <c r="AK550" t="s">
        <v>1072</v>
      </c>
      <c r="AL550" t="s">
        <v>67</v>
      </c>
      <c r="AM550" t="s">
        <v>132</v>
      </c>
      <c r="AN550">
        <v>75</v>
      </c>
      <c r="AO550">
        <v>553</v>
      </c>
    </row>
    <row r="551" spans="37:41">
      <c r="AK551" t="s">
        <v>1073</v>
      </c>
      <c r="AL551" t="s">
        <v>67</v>
      </c>
      <c r="AM551" t="s">
        <v>132</v>
      </c>
      <c r="AN551">
        <v>75</v>
      </c>
      <c r="AO551">
        <v>554</v>
      </c>
    </row>
    <row r="552" spans="37:41">
      <c r="AK552" t="s">
        <v>1074</v>
      </c>
      <c r="AL552" t="s">
        <v>67</v>
      </c>
      <c r="AM552" t="s">
        <v>132</v>
      </c>
      <c r="AN552">
        <v>75</v>
      </c>
      <c r="AO552">
        <v>555</v>
      </c>
    </row>
    <row r="553" spans="37:41">
      <c r="AK553" t="s">
        <v>1075</v>
      </c>
      <c r="AL553" t="s">
        <v>81</v>
      </c>
      <c r="AM553" t="s">
        <v>132</v>
      </c>
      <c r="AN553">
        <v>75</v>
      </c>
      <c r="AO553">
        <v>556</v>
      </c>
    </row>
    <row r="554" spans="37:41">
      <c r="AK554" t="s">
        <v>1076</v>
      </c>
      <c r="AL554" t="s">
        <v>67</v>
      </c>
      <c r="AM554" t="s">
        <v>125</v>
      </c>
      <c r="AN554">
        <v>110</v>
      </c>
      <c r="AO554">
        <v>557</v>
      </c>
    </row>
    <row r="555" spans="37:41">
      <c r="AK555" t="s">
        <v>1077</v>
      </c>
      <c r="AL555" t="s">
        <v>67</v>
      </c>
      <c r="AM555" t="s">
        <v>125</v>
      </c>
      <c r="AN555">
        <v>110</v>
      </c>
      <c r="AO555">
        <v>558</v>
      </c>
    </row>
    <row r="556" spans="37:41">
      <c r="AK556" t="s">
        <v>1078</v>
      </c>
      <c r="AL556" t="s">
        <v>67</v>
      </c>
      <c r="AM556" t="s">
        <v>125</v>
      </c>
      <c r="AN556">
        <v>110</v>
      </c>
      <c r="AO556">
        <v>559</v>
      </c>
    </row>
    <row r="557" spans="37:41">
      <c r="AK557" t="s">
        <v>1079</v>
      </c>
      <c r="AL557" t="s">
        <v>67</v>
      </c>
      <c r="AM557" t="s">
        <v>125</v>
      </c>
      <c r="AN557">
        <v>110</v>
      </c>
      <c r="AO557">
        <v>560</v>
      </c>
    </row>
    <row r="558" spans="37:41">
      <c r="AK558" t="s">
        <v>1080</v>
      </c>
      <c r="AL558" t="s">
        <v>67</v>
      </c>
      <c r="AM558" t="s">
        <v>125</v>
      </c>
      <c r="AN558">
        <v>110</v>
      </c>
      <c r="AO558">
        <v>561</v>
      </c>
    </row>
    <row r="559" spans="37:41">
      <c r="AK559" t="s">
        <v>1081</v>
      </c>
      <c r="AL559" t="s">
        <v>81</v>
      </c>
      <c r="AM559" t="s">
        <v>125</v>
      </c>
      <c r="AN559">
        <v>110</v>
      </c>
      <c r="AO559">
        <v>562</v>
      </c>
    </row>
    <row r="560" spans="37:41">
      <c r="AK560" t="s">
        <v>1082</v>
      </c>
      <c r="AL560" t="s">
        <v>81</v>
      </c>
      <c r="AM560" t="s">
        <v>125</v>
      </c>
      <c r="AN560">
        <v>110</v>
      </c>
      <c r="AO560">
        <v>563</v>
      </c>
    </row>
    <row r="561" spans="37:41">
      <c r="AK561" t="s">
        <v>1083</v>
      </c>
      <c r="AL561" t="s">
        <v>67</v>
      </c>
      <c r="AM561" t="s">
        <v>125</v>
      </c>
      <c r="AN561">
        <v>110</v>
      </c>
      <c r="AO561">
        <v>564</v>
      </c>
    </row>
    <row r="562" spans="37:41">
      <c r="AK562" t="s">
        <v>1084</v>
      </c>
      <c r="AL562" t="s">
        <v>67</v>
      </c>
      <c r="AM562" t="s">
        <v>125</v>
      </c>
      <c r="AN562">
        <v>110</v>
      </c>
      <c r="AO562">
        <v>565</v>
      </c>
    </row>
    <row r="563" spans="37:41">
      <c r="AK563" t="s">
        <v>1085</v>
      </c>
      <c r="AL563" t="s">
        <v>81</v>
      </c>
      <c r="AM563" t="s">
        <v>125</v>
      </c>
      <c r="AN563">
        <v>110</v>
      </c>
      <c r="AO563">
        <v>566</v>
      </c>
    </row>
    <row r="564" spans="37:41">
      <c r="AK564" t="s">
        <v>1086</v>
      </c>
      <c r="AL564" t="s">
        <v>81</v>
      </c>
      <c r="AM564" t="s">
        <v>125</v>
      </c>
      <c r="AN564">
        <v>110</v>
      </c>
      <c r="AO564">
        <v>567</v>
      </c>
    </row>
    <row r="565" spans="37:41">
      <c r="AK565" t="s">
        <v>1087</v>
      </c>
      <c r="AL565" t="s">
        <v>81</v>
      </c>
      <c r="AM565" t="s">
        <v>125</v>
      </c>
      <c r="AN565">
        <v>110</v>
      </c>
      <c r="AO565">
        <v>568</v>
      </c>
    </row>
    <row r="566" spans="37:41">
      <c r="AK566" t="s">
        <v>1088</v>
      </c>
      <c r="AL566" t="s">
        <v>81</v>
      </c>
      <c r="AM566" t="s">
        <v>125</v>
      </c>
      <c r="AN566">
        <v>110</v>
      </c>
      <c r="AO566">
        <v>569</v>
      </c>
    </row>
    <row r="567" spans="37:41">
      <c r="AK567" t="s">
        <v>1089</v>
      </c>
      <c r="AL567" t="s">
        <v>67</v>
      </c>
      <c r="AM567" t="s">
        <v>125</v>
      </c>
      <c r="AN567">
        <v>110</v>
      </c>
      <c r="AO567">
        <v>570</v>
      </c>
    </row>
    <row r="568" spans="37:41">
      <c r="AK568" t="s">
        <v>1090</v>
      </c>
      <c r="AL568" t="s">
        <v>67</v>
      </c>
      <c r="AM568" t="s">
        <v>125</v>
      </c>
      <c r="AN568">
        <v>110</v>
      </c>
      <c r="AO568">
        <v>571</v>
      </c>
    </row>
    <row r="569" spans="37:41">
      <c r="AK569" t="s">
        <v>1091</v>
      </c>
      <c r="AL569" t="s">
        <v>81</v>
      </c>
      <c r="AM569" t="s">
        <v>125</v>
      </c>
      <c r="AN569">
        <v>110</v>
      </c>
      <c r="AO569">
        <v>572</v>
      </c>
    </row>
    <row r="570" spans="37:41">
      <c r="AK570" t="s">
        <v>1092</v>
      </c>
      <c r="AL570" t="s">
        <v>67</v>
      </c>
      <c r="AM570" t="s">
        <v>125</v>
      </c>
      <c r="AN570">
        <v>110</v>
      </c>
      <c r="AO570">
        <v>573</v>
      </c>
    </row>
    <row r="571" spans="37:41">
      <c r="AK571" t="s">
        <v>1093</v>
      </c>
      <c r="AL571" t="s">
        <v>67</v>
      </c>
      <c r="AM571" t="s">
        <v>125</v>
      </c>
      <c r="AN571">
        <v>110</v>
      </c>
      <c r="AO571">
        <v>574</v>
      </c>
    </row>
    <row r="572" spans="37:41">
      <c r="AK572" t="s">
        <v>1094</v>
      </c>
      <c r="AL572" t="s">
        <v>67</v>
      </c>
      <c r="AM572" t="s">
        <v>125</v>
      </c>
      <c r="AN572">
        <v>110</v>
      </c>
      <c r="AO572">
        <v>575</v>
      </c>
    </row>
    <row r="573" spans="37:41">
      <c r="AK573" t="s">
        <v>1095</v>
      </c>
      <c r="AL573" t="s">
        <v>81</v>
      </c>
      <c r="AM573" t="s">
        <v>125</v>
      </c>
      <c r="AN573">
        <v>110</v>
      </c>
      <c r="AO573">
        <v>576</v>
      </c>
    </row>
    <row r="574" spans="37:41">
      <c r="AK574" t="s">
        <v>1096</v>
      </c>
      <c r="AL574" t="s">
        <v>67</v>
      </c>
      <c r="AM574" t="s">
        <v>125</v>
      </c>
      <c r="AN574">
        <v>110</v>
      </c>
      <c r="AO574">
        <v>577</v>
      </c>
    </row>
    <row r="575" spans="37:41">
      <c r="AK575" t="s">
        <v>1097</v>
      </c>
      <c r="AL575" t="s">
        <v>67</v>
      </c>
      <c r="AM575" t="s">
        <v>125</v>
      </c>
      <c r="AN575">
        <v>110</v>
      </c>
      <c r="AO575">
        <v>578</v>
      </c>
    </row>
    <row r="576" spans="37:41">
      <c r="AK576" t="s">
        <v>1098</v>
      </c>
      <c r="AL576" t="s">
        <v>67</v>
      </c>
      <c r="AM576" t="s">
        <v>125</v>
      </c>
      <c r="AN576">
        <v>110</v>
      </c>
      <c r="AO576">
        <v>579</v>
      </c>
    </row>
    <row r="577" spans="37:41">
      <c r="AK577" t="s">
        <v>1099</v>
      </c>
      <c r="AL577" t="s">
        <v>81</v>
      </c>
      <c r="AM577" t="s">
        <v>125</v>
      </c>
      <c r="AN577">
        <v>110</v>
      </c>
      <c r="AO577">
        <v>580</v>
      </c>
    </row>
    <row r="578" spans="37:41">
      <c r="AK578" t="s">
        <v>1100</v>
      </c>
      <c r="AL578" t="s">
        <v>67</v>
      </c>
      <c r="AM578" t="s">
        <v>157</v>
      </c>
      <c r="AN578">
        <v>75</v>
      </c>
      <c r="AO578">
        <v>581</v>
      </c>
    </row>
    <row r="579" spans="37:41">
      <c r="AK579" t="s">
        <v>1101</v>
      </c>
      <c r="AL579" t="s">
        <v>67</v>
      </c>
      <c r="AM579" t="s">
        <v>157</v>
      </c>
      <c r="AN579">
        <v>75</v>
      </c>
      <c r="AO579">
        <v>582</v>
      </c>
    </row>
    <row r="580" spans="37:41">
      <c r="AK580" t="s">
        <v>1102</v>
      </c>
      <c r="AL580" t="s">
        <v>67</v>
      </c>
      <c r="AM580" t="s">
        <v>157</v>
      </c>
      <c r="AN580">
        <v>75</v>
      </c>
      <c r="AO580">
        <v>583</v>
      </c>
    </row>
    <row r="581" spans="37:41">
      <c r="AK581" t="s">
        <v>1103</v>
      </c>
      <c r="AL581" t="s">
        <v>67</v>
      </c>
      <c r="AM581" t="s">
        <v>157</v>
      </c>
      <c r="AN581">
        <v>75</v>
      </c>
      <c r="AO581">
        <v>584</v>
      </c>
    </row>
    <row r="582" spans="37:41">
      <c r="AK582" t="s">
        <v>1104</v>
      </c>
      <c r="AL582" t="s">
        <v>67</v>
      </c>
      <c r="AM582" t="s">
        <v>157</v>
      </c>
      <c r="AN582">
        <v>75</v>
      </c>
      <c r="AO582">
        <v>585</v>
      </c>
    </row>
    <row r="583" spans="37:41">
      <c r="AK583" t="s">
        <v>1105</v>
      </c>
      <c r="AL583" t="s">
        <v>81</v>
      </c>
      <c r="AM583" t="s">
        <v>157</v>
      </c>
      <c r="AN583">
        <v>75</v>
      </c>
      <c r="AO583">
        <v>586</v>
      </c>
    </row>
    <row r="584" spans="37:41">
      <c r="AK584" t="s">
        <v>1106</v>
      </c>
      <c r="AL584" t="s">
        <v>81</v>
      </c>
      <c r="AM584" t="s">
        <v>157</v>
      </c>
      <c r="AN584">
        <v>75</v>
      </c>
      <c r="AO584">
        <v>587</v>
      </c>
    </row>
    <row r="585" spans="37:41">
      <c r="AK585" t="s">
        <v>1107</v>
      </c>
      <c r="AL585" t="s">
        <v>67</v>
      </c>
      <c r="AM585" t="s">
        <v>157</v>
      </c>
      <c r="AN585">
        <v>75</v>
      </c>
      <c r="AO585">
        <v>588</v>
      </c>
    </row>
    <row r="586" spans="37:41">
      <c r="AK586" t="s">
        <v>1108</v>
      </c>
      <c r="AL586" t="s">
        <v>67</v>
      </c>
      <c r="AM586" t="s">
        <v>157</v>
      </c>
      <c r="AN586">
        <v>75</v>
      </c>
      <c r="AO586">
        <v>589</v>
      </c>
    </row>
    <row r="587" spans="37:41">
      <c r="AK587" t="s">
        <v>1109</v>
      </c>
      <c r="AL587" t="s">
        <v>81</v>
      </c>
      <c r="AM587" t="s">
        <v>157</v>
      </c>
      <c r="AN587">
        <v>75</v>
      </c>
      <c r="AO587">
        <v>590</v>
      </c>
    </row>
    <row r="588" spans="37:41">
      <c r="AK588" t="s">
        <v>1110</v>
      </c>
      <c r="AL588" t="s">
        <v>81</v>
      </c>
      <c r="AM588" t="s">
        <v>157</v>
      </c>
      <c r="AN588">
        <v>75</v>
      </c>
      <c r="AO588">
        <v>591</v>
      </c>
    </row>
    <row r="589" spans="37:41">
      <c r="AK589" t="s">
        <v>1111</v>
      </c>
      <c r="AL589" t="s">
        <v>81</v>
      </c>
      <c r="AM589" t="s">
        <v>157</v>
      </c>
      <c r="AN589">
        <v>75</v>
      </c>
      <c r="AO589">
        <v>592</v>
      </c>
    </row>
    <row r="590" spans="37:41">
      <c r="AK590" t="s">
        <v>1112</v>
      </c>
      <c r="AL590" t="s">
        <v>81</v>
      </c>
      <c r="AM590" t="s">
        <v>157</v>
      </c>
      <c r="AN590">
        <v>75</v>
      </c>
      <c r="AO590">
        <v>593</v>
      </c>
    </row>
    <row r="591" spans="37:41">
      <c r="AK591" t="s">
        <v>1113</v>
      </c>
      <c r="AL591" t="s">
        <v>67</v>
      </c>
      <c r="AM591" t="s">
        <v>157</v>
      </c>
      <c r="AN591">
        <v>75</v>
      </c>
      <c r="AO591">
        <v>594</v>
      </c>
    </row>
    <row r="592" spans="37:41">
      <c r="AK592" t="s">
        <v>1114</v>
      </c>
      <c r="AL592" t="s">
        <v>67</v>
      </c>
      <c r="AM592" t="s">
        <v>157</v>
      </c>
      <c r="AN592">
        <v>75</v>
      </c>
      <c r="AO592">
        <v>595</v>
      </c>
    </row>
    <row r="593" spans="37:41">
      <c r="AK593" t="s">
        <v>1115</v>
      </c>
      <c r="AL593" t="s">
        <v>81</v>
      </c>
      <c r="AM593" t="s">
        <v>157</v>
      </c>
      <c r="AN593">
        <v>75</v>
      </c>
      <c r="AO593">
        <v>596</v>
      </c>
    </row>
    <row r="594" spans="37:41">
      <c r="AK594" t="s">
        <v>1116</v>
      </c>
      <c r="AL594" t="s">
        <v>67</v>
      </c>
      <c r="AM594" t="s">
        <v>157</v>
      </c>
      <c r="AN594">
        <v>75</v>
      </c>
      <c r="AO594">
        <v>597</v>
      </c>
    </row>
    <row r="595" spans="37:41">
      <c r="AK595" t="s">
        <v>1117</v>
      </c>
      <c r="AL595" t="s">
        <v>67</v>
      </c>
      <c r="AM595" t="s">
        <v>157</v>
      </c>
      <c r="AN595">
        <v>75</v>
      </c>
      <c r="AO595">
        <v>598</v>
      </c>
    </row>
    <row r="596" spans="37:41">
      <c r="AK596" t="s">
        <v>1118</v>
      </c>
      <c r="AL596" t="s">
        <v>67</v>
      </c>
      <c r="AM596" t="s">
        <v>157</v>
      </c>
      <c r="AN596">
        <v>75</v>
      </c>
      <c r="AO596">
        <v>599</v>
      </c>
    </row>
    <row r="597" spans="37:41">
      <c r="AK597" t="s">
        <v>1119</v>
      </c>
      <c r="AL597" t="s">
        <v>81</v>
      </c>
      <c r="AM597" t="s">
        <v>157</v>
      </c>
      <c r="AN597">
        <v>75</v>
      </c>
      <c r="AO597">
        <v>600</v>
      </c>
    </row>
    <row r="598" spans="37:41">
      <c r="AK598" t="s">
        <v>1120</v>
      </c>
      <c r="AL598" t="s">
        <v>67</v>
      </c>
      <c r="AM598" t="s">
        <v>157</v>
      </c>
      <c r="AN598">
        <v>75</v>
      </c>
      <c r="AO598">
        <v>601</v>
      </c>
    </row>
    <row r="599" spans="37:41">
      <c r="AK599" t="s">
        <v>1121</v>
      </c>
      <c r="AL599" t="s">
        <v>67</v>
      </c>
      <c r="AM599" t="s">
        <v>157</v>
      </c>
      <c r="AN599">
        <v>75</v>
      </c>
      <c r="AO599">
        <v>602</v>
      </c>
    </row>
    <row r="600" spans="37:41">
      <c r="AK600" t="s">
        <v>1122</v>
      </c>
      <c r="AL600" t="s">
        <v>67</v>
      </c>
      <c r="AM600" t="s">
        <v>157</v>
      </c>
      <c r="AN600">
        <v>75</v>
      </c>
      <c r="AO600">
        <v>603</v>
      </c>
    </row>
    <row r="601" spans="37:41">
      <c r="AK601" t="s">
        <v>1123</v>
      </c>
      <c r="AL601" t="s">
        <v>81</v>
      </c>
      <c r="AM601" t="s">
        <v>157</v>
      </c>
      <c r="AN601">
        <v>75</v>
      </c>
      <c r="AO601">
        <v>604</v>
      </c>
    </row>
    <row r="602" spans="37:41">
      <c r="AK602" t="s">
        <v>1124</v>
      </c>
      <c r="AL602" t="s">
        <v>67</v>
      </c>
      <c r="AM602" t="s">
        <v>135</v>
      </c>
      <c r="AN602">
        <v>110</v>
      </c>
      <c r="AO602">
        <v>605</v>
      </c>
    </row>
    <row r="603" spans="37:41">
      <c r="AK603" t="s">
        <v>1125</v>
      </c>
      <c r="AL603" t="s">
        <v>67</v>
      </c>
      <c r="AM603" t="s">
        <v>135</v>
      </c>
      <c r="AN603">
        <v>110</v>
      </c>
      <c r="AO603">
        <v>606</v>
      </c>
    </row>
    <row r="604" spans="37:41">
      <c r="AK604" t="s">
        <v>1126</v>
      </c>
      <c r="AL604" t="s">
        <v>67</v>
      </c>
      <c r="AM604" t="s">
        <v>135</v>
      </c>
      <c r="AN604">
        <v>110</v>
      </c>
      <c r="AO604">
        <v>607</v>
      </c>
    </row>
    <row r="605" spans="37:41">
      <c r="AK605" t="s">
        <v>1127</v>
      </c>
      <c r="AL605" t="s">
        <v>67</v>
      </c>
      <c r="AM605" t="s">
        <v>135</v>
      </c>
      <c r="AN605">
        <v>110</v>
      </c>
      <c r="AO605">
        <v>608</v>
      </c>
    </row>
    <row r="606" spans="37:41">
      <c r="AK606" t="s">
        <v>1128</v>
      </c>
      <c r="AL606" t="s">
        <v>67</v>
      </c>
      <c r="AM606" t="s">
        <v>135</v>
      </c>
      <c r="AN606">
        <v>110</v>
      </c>
      <c r="AO606">
        <v>609</v>
      </c>
    </row>
    <row r="607" spans="37:41">
      <c r="AK607" t="s">
        <v>1129</v>
      </c>
      <c r="AL607" t="s">
        <v>81</v>
      </c>
      <c r="AM607" t="s">
        <v>135</v>
      </c>
      <c r="AN607">
        <v>110</v>
      </c>
      <c r="AO607">
        <v>610</v>
      </c>
    </row>
    <row r="608" spans="37:41">
      <c r="AK608" t="s">
        <v>1130</v>
      </c>
      <c r="AL608" t="s">
        <v>81</v>
      </c>
      <c r="AM608" t="s">
        <v>135</v>
      </c>
      <c r="AN608">
        <v>110</v>
      </c>
      <c r="AO608">
        <v>611</v>
      </c>
    </row>
    <row r="609" spans="37:41">
      <c r="AK609" t="s">
        <v>1131</v>
      </c>
      <c r="AL609" t="s">
        <v>67</v>
      </c>
      <c r="AM609" t="s">
        <v>135</v>
      </c>
      <c r="AN609">
        <v>110</v>
      </c>
      <c r="AO609">
        <v>612</v>
      </c>
    </row>
    <row r="610" spans="37:41">
      <c r="AK610" t="s">
        <v>1132</v>
      </c>
      <c r="AL610" t="s">
        <v>67</v>
      </c>
      <c r="AM610" t="s">
        <v>135</v>
      </c>
      <c r="AN610">
        <v>110</v>
      </c>
      <c r="AO610">
        <v>613</v>
      </c>
    </row>
    <row r="611" spans="37:41">
      <c r="AK611" t="s">
        <v>1133</v>
      </c>
      <c r="AL611" t="s">
        <v>81</v>
      </c>
      <c r="AM611" t="s">
        <v>135</v>
      </c>
      <c r="AN611">
        <v>110</v>
      </c>
      <c r="AO611">
        <v>614</v>
      </c>
    </row>
    <row r="612" spans="37:41">
      <c r="AK612" t="s">
        <v>1134</v>
      </c>
      <c r="AL612" t="s">
        <v>81</v>
      </c>
      <c r="AM612" t="s">
        <v>135</v>
      </c>
      <c r="AN612">
        <v>110</v>
      </c>
      <c r="AO612">
        <v>615</v>
      </c>
    </row>
    <row r="613" spans="37:41">
      <c r="AK613" t="s">
        <v>1135</v>
      </c>
      <c r="AL613" t="s">
        <v>81</v>
      </c>
      <c r="AM613" t="s">
        <v>135</v>
      </c>
      <c r="AN613">
        <v>110</v>
      </c>
      <c r="AO613">
        <v>616</v>
      </c>
    </row>
    <row r="614" spans="37:41">
      <c r="AK614" t="s">
        <v>1136</v>
      </c>
      <c r="AL614" t="s">
        <v>81</v>
      </c>
      <c r="AM614" t="s">
        <v>135</v>
      </c>
      <c r="AN614">
        <v>110</v>
      </c>
      <c r="AO614">
        <v>617</v>
      </c>
    </row>
    <row r="615" spans="37:41">
      <c r="AK615" t="s">
        <v>1137</v>
      </c>
      <c r="AL615" t="s">
        <v>67</v>
      </c>
      <c r="AM615" t="s">
        <v>135</v>
      </c>
      <c r="AN615">
        <v>110</v>
      </c>
      <c r="AO615">
        <v>618</v>
      </c>
    </row>
    <row r="616" spans="37:41">
      <c r="AK616" t="s">
        <v>1138</v>
      </c>
      <c r="AL616" t="s">
        <v>67</v>
      </c>
      <c r="AM616" t="s">
        <v>135</v>
      </c>
      <c r="AN616">
        <v>110</v>
      </c>
      <c r="AO616">
        <v>619</v>
      </c>
    </row>
    <row r="617" spans="37:41">
      <c r="AK617" t="s">
        <v>1139</v>
      </c>
      <c r="AL617" t="s">
        <v>81</v>
      </c>
      <c r="AM617" t="s">
        <v>135</v>
      </c>
      <c r="AN617">
        <v>110</v>
      </c>
      <c r="AO617">
        <v>620</v>
      </c>
    </row>
    <row r="618" spans="37:41">
      <c r="AK618" t="s">
        <v>1140</v>
      </c>
      <c r="AL618" t="s">
        <v>67</v>
      </c>
      <c r="AM618" t="s">
        <v>135</v>
      </c>
      <c r="AN618">
        <v>110</v>
      </c>
      <c r="AO618">
        <v>621</v>
      </c>
    </row>
    <row r="619" spans="37:41">
      <c r="AK619" t="s">
        <v>1141</v>
      </c>
      <c r="AL619" t="s">
        <v>67</v>
      </c>
      <c r="AM619" t="s">
        <v>135</v>
      </c>
      <c r="AN619">
        <v>110</v>
      </c>
      <c r="AO619">
        <v>622</v>
      </c>
    </row>
    <row r="620" spans="37:41">
      <c r="AK620" t="s">
        <v>1142</v>
      </c>
      <c r="AL620" t="s">
        <v>67</v>
      </c>
      <c r="AM620" t="s">
        <v>135</v>
      </c>
      <c r="AN620">
        <v>110</v>
      </c>
      <c r="AO620">
        <v>623</v>
      </c>
    </row>
    <row r="621" spans="37:41">
      <c r="AK621" t="s">
        <v>1143</v>
      </c>
      <c r="AL621" t="s">
        <v>81</v>
      </c>
      <c r="AM621" t="s">
        <v>135</v>
      </c>
      <c r="AN621">
        <v>110</v>
      </c>
      <c r="AO621">
        <v>624</v>
      </c>
    </row>
    <row r="622" spans="37:41">
      <c r="AK622" t="s">
        <v>1144</v>
      </c>
      <c r="AL622" t="s">
        <v>67</v>
      </c>
      <c r="AM622" t="s">
        <v>135</v>
      </c>
      <c r="AN622">
        <v>110</v>
      </c>
      <c r="AO622">
        <v>625</v>
      </c>
    </row>
    <row r="623" spans="37:41">
      <c r="AK623" t="s">
        <v>1145</v>
      </c>
      <c r="AL623" t="s">
        <v>67</v>
      </c>
      <c r="AM623" t="s">
        <v>135</v>
      </c>
      <c r="AN623">
        <v>110</v>
      </c>
      <c r="AO623">
        <v>626</v>
      </c>
    </row>
    <row r="624" spans="37:41">
      <c r="AK624" t="s">
        <v>1146</v>
      </c>
      <c r="AL624" t="s">
        <v>67</v>
      </c>
      <c r="AM624" t="s">
        <v>135</v>
      </c>
      <c r="AN624">
        <v>110</v>
      </c>
      <c r="AO624">
        <v>627</v>
      </c>
    </row>
    <row r="625" spans="37:41">
      <c r="AK625" t="s">
        <v>1147</v>
      </c>
      <c r="AL625" t="s">
        <v>81</v>
      </c>
      <c r="AM625" t="s">
        <v>135</v>
      </c>
      <c r="AN625">
        <v>110</v>
      </c>
      <c r="AO625">
        <v>628</v>
      </c>
    </row>
    <row r="626" spans="37:41">
      <c r="AK626" t="s">
        <v>1148</v>
      </c>
      <c r="AL626" t="s">
        <v>67</v>
      </c>
      <c r="AM626" t="s">
        <v>125</v>
      </c>
      <c r="AN626">
        <v>110</v>
      </c>
      <c r="AO626">
        <v>629</v>
      </c>
    </row>
    <row r="627" spans="37:41">
      <c r="AK627" t="s">
        <v>1149</v>
      </c>
      <c r="AL627" t="s">
        <v>67</v>
      </c>
      <c r="AM627" t="s">
        <v>125</v>
      </c>
      <c r="AN627">
        <v>110</v>
      </c>
      <c r="AO627">
        <v>630</v>
      </c>
    </row>
    <row r="628" spans="37:41">
      <c r="AK628" t="s">
        <v>1150</v>
      </c>
      <c r="AL628" t="s">
        <v>67</v>
      </c>
      <c r="AM628" t="s">
        <v>125</v>
      </c>
      <c r="AN628">
        <v>110</v>
      </c>
      <c r="AO628">
        <v>631</v>
      </c>
    </row>
    <row r="629" spans="37:41">
      <c r="AK629" t="s">
        <v>1151</v>
      </c>
      <c r="AL629" t="s">
        <v>67</v>
      </c>
      <c r="AM629" t="s">
        <v>125</v>
      </c>
      <c r="AN629">
        <v>110</v>
      </c>
      <c r="AO629">
        <v>632</v>
      </c>
    </row>
    <row r="630" spans="37:41">
      <c r="AK630" t="s">
        <v>1152</v>
      </c>
      <c r="AL630" t="s">
        <v>67</v>
      </c>
      <c r="AM630" t="s">
        <v>125</v>
      </c>
      <c r="AN630">
        <v>110</v>
      </c>
      <c r="AO630">
        <v>633</v>
      </c>
    </row>
    <row r="631" spans="37:41">
      <c r="AK631" t="s">
        <v>1153</v>
      </c>
      <c r="AL631" t="s">
        <v>81</v>
      </c>
      <c r="AM631" t="s">
        <v>125</v>
      </c>
      <c r="AN631">
        <v>110</v>
      </c>
      <c r="AO631">
        <v>634</v>
      </c>
    </row>
    <row r="632" spans="37:41">
      <c r="AK632" t="s">
        <v>1154</v>
      </c>
      <c r="AL632" t="s">
        <v>81</v>
      </c>
      <c r="AM632" t="s">
        <v>125</v>
      </c>
      <c r="AN632">
        <v>110</v>
      </c>
      <c r="AO632">
        <v>635</v>
      </c>
    </row>
    <row r="633" spans="37:41">
      <c r="AK633" t="s">
        <v>1155</v>
      </c>
      <c r="AL633" t="s">
        <v>67</v>
      </c>
      <c r="AM633" t="s">
        <v>125</v>
      </c>
      <c r="AN633">
        <v>110</v>
      </c>
      <c r="AO633">
        <v>636</v>
      </c>
    </row>
    <row r="634" spans="37:41">
      <c r="AK634" t="s">
        <v>1156</v>
      </c>
      <c r="AL634" t="s">
        <v>67</v>
      </c>
      <c r="AM634" t="s">
        <v>125</v>
      </c>
      <c r="AN634">
        <v>110</v>
      </c>
      <c r="AO634">
        <v>637</v>
      </c>
    </row>
    <row r="635" spans="37:41">
      <c r="AK635" t="s">
        <v>1157</v>
      </c>
      <c r="AL635" t="s">
        <v>81</v>
      </c>
      <c r="AM635" t="s">
        <v>125</v>
      </c>
      <c r="AN635">
        <v>110</v>
      </c>
      <c r="AO635">
        <v>638</v>
      </c>
    </row>
    <row r="636" spans="37:41">
      <c r="AK636" t="s">
        <v>1158</v>
      </c>
      <c r="AL636" t="s">
        <v>81</v>
      </c>
      <c r="AM636" t="s">
        <v>125</v>
      </c>
      <c r="AN636">
        <v>110</v>
      </c>
      <c r="AO636">
        <v>639</v>
      </c>
    </row>
    <row r="637" spans="37:41">
      <c r="AK637" t="s">
        <v>1159</v>
      </c>
      <c r="AL637" t="s">
        <v>81</v>
      </c>
      <c r="AM637" t="s">
        <v>125</v>
      </c>
      <c r="AN637">
        <v>110</v>
      </c>
      <c r="AO637">
        <v>640</v>
      </c>
    </row>
    <row r="638" spans="37:41">
      <c r="AK638" t="s">
        <v>1160</v>
      </c>
      <c r="AL638" t="s">
        <v>81</v>
      </c>
      <c r="AM638" t="s">
        <v>125</v>
      </c>
      <c r="AN638">
        <v>110</v>
      </c>
      <c r="AO638">
        <v>641</v>
      </c>
    </row>
    <row r="639" spans="37:41">
      <c r="AK639" t="s">
        <v>1161</v>
      </c>
      <c r="AL639" t="s">
        <v>67</v>
      </c>
      <c r="AM639" t="s">
        <v>125</v>
      </c>
      <c r="AN639">
        <v>110</v>
      </c>
      <c r="AO639">
        <v>642</v>
      </c>
    </row>
    <row r="640" spans="37:41">
      <c r="AK640" t="s">
        <v>1162</v>
      </c>
      <c r="AL640" t="s">
        <v>67</v>
      </c>
      <c r="AM640" t="s">
        <v>125</v>
      </c>
      <c r="AN640">
        <v>110</v>
      </c>
      <c r="AO640">
        <v>643</v>
      </c>
    </row>
    <row r="641" spans="37:41">
      <c r="AK641" t="s">
        <v>1163</v>
      </c>
      <c r="AL641" t="s">
        <v>81</v>
      </c>
      <c r="AM641" t="s">
        <v>125</v>
      </c>
      <c r="AN641">
        <v>110</v>
      </c>
      <c r="AO641">
        <v>644</v>
      </c>
    </row>
    <row r="642" spans="37:41">
      <c r="AK642" t="s">
        <v>1164</v>
      </c>
      <c r="AL642" t="s">
        <v>67</v>
      </c>
      <c r="AM642" t="s">
        <v>125</v>
      </c>
      <c r="AN642">
        <v>110</v>
      </c>
      <c r="AO642">
        <v>645</v>
      </c>
    </row>
    <row r="643" spans="37:41">
      <c r="AK643" t="s">
        <v>1165</v>
      </c>
      <c r="AL643" t="s">
        <v>67</v>
      </c>
      <c r="AM643" t="s">
        <v>125</v>
      </c>
      <c r="AN643">
        <v>110</v>
      </c>
      <c r="AO643">
        <v>646</v>
      </c>
    </row>
    <row r="644" spans="37:41">
      <c r="AK644" t="s">
        <v>1166</v>
      </c>
      <c r="AL644" t="s">
        <v>67</v>
      </c>
      <c r="AM644" t="s">
        <v>125</v>
      </c>
      <c r="AN644">
        <v>110</v>
      </c>
      <c r="AO644">
        <v>647</v>
      </c>
    </row>
    <row r="645" spans="37:41">
      <c r="AK645" t="s">
        <v>1167</v>
      </c>
      <c r="AL645" t="s">
        <v>81</v>
      </c>
      <c r="AM645" t="s">
        <v>125</v>
      </c>
      <c r="AN645">
        <v>110</v>
      </c>
      <c r="AO645">
        <v>648</v>
      </c>
    </row>
    <row r="646" spans="37:41">
      <c r="AK646" t="s">
        <v>1168</v>
      </c>
      <c r="AL646" t="s">
        <v>67</v>
      </c>
      <c r="AM646" t="s">
        <v>125</v>
      </c>
      <c r="AN646">
        <v>110</v>
      </c>
      <c r="AO646">
        <v>649</v>
      </c>
    </row>
    <row r="647" spans="37:41">
      <c r="AK647" t="s">
        <v>1169</v>
      </c>
      <c r="AL647" t="s">
        <v>67</v>
      </c>
      <c r="AM647" t="s">
        <v>125</v>
      </c>
      <c r="AN647">
        <v>110</v>
      </c>
      <c r="AO647">
        <v>650</v>
      </c>
    </row>
    <row r="648" spans="37:41">
      <c r="AK648" t="s">
        <v>1170</v>
      </c>
      <c r="AL648" t="s">
        <v>67</v>
      </c>
      <c r="AM648" t="s">
        <v>125</v>
      </c>
      <c r="AN648">
        <v>110</v>
      </c>
      <c r="AO648">
        <v>651</v>
      </c>
    </row>
    <row r="649" spans="37:41">
      <c r="AK649" t="s">
        <v>1171</v>
      </c>
      <c r="AL649" t="s">
        <v>81</v>
      </c>
      <c r="AM649" t="s">
        <v>125</v>
      </c>
      <c r="AN649">
        <v>110</v>
      </c>
      <c r="AO649">
        <v>652</v>
      </c>
    </row>
    <row r="650" spans="37:41">
      <c r="AK650" t="s">
        <v>1172</v>
      </c>
      <c r="AL650" t="s">
        <v>67</v>
      </c>
      <c r="AM650" t="s">
        <v>135</v>
      </c>
      <c r="AN650">
        <v>75</v>
      </c>
      <c r="AO650">
        <v>653</v>
      </c>
    </row>
    <row r="651" spans="37:41">
      <c r="AK651" t="s">
        <v>1173</v>
      </c>
      <c r="AL651" t="s">
        <v>67</v>
      </c>
      <c r="AM651" t="s">
        <v>135</v>
      </c>
      <c r="AN651">
        <v>75</v>
      </c>
      <c r="AO651">
        <v>654</v>
      </c>
    </row>
    <row r="652" spans="37:41">
      <c r="AK652" t="s">
        <v>1174</v>
      </c>
      <c r="AL652" t="s">
        <v>67</v>
      </c>
      <c r="AM652" t="s">
        <v>135</v>
      </c>
      <c r="AN652">
        <v>75</v>
      </c>
      <c r="AO652">
        <v>655</v>
      </c>
    </row>
    <row r="653" spans="37:41">
      <c r="AK653" t="s">
        <v>1175</v>
      </c>
      <c r="AL653" t="s">
        <v>67</v>
      </c>
      <c r="AM653" t="s">
        <v>135</v>
      </c>
      <c r="AN653">
        <v>75</v>
      </c>
      <c r="AO653">
        <v>656</v>
      </c>
    </row>
    <row r="654" spans="37:41">
      <c r="AK654" t="s">
        <v>1176</v>
      </c>
      <c r="AL654" t="s">
        <v>67</v>
      </c>
      <c r="AM654" t="s">
        <v>135</v>
      </c>
      <c r="AN654">
        <v>75</v>
      </c>
      <c r="AO654">
        <v>657</v>
      </c>
    </row>
    <row r="655" spans="37:41">
      <c r="AK655" t="s">
        <v>1177</v>
      </c>
      <c r="AL655" t="s">
        <v>81</v>
      </c>
      <c r="AM655" t="s">
        <v>135</v>
      </c>
      <c r="AN655">
        <v>75</v>
      </c>
      <c r="AO655">
        <v>658</v>
      </c>
    </row>
    <row r="656" spans="37:41">
      <c r="AK656" t="s">
        <v>1178</v>
      </c>
      <c r="AL656" t="s">
        <v>81</v>
      </c>
      <c r="AM656" t="s">
        <v>135</v>
      </c>
      <c r="AN656">
        <v>75</v>
      </c>
      <c r="AO656">
        <v>659</v>
      </c>
    </row>
    <row r="657" spans="37:41">
      <c r="AK657" t="s">
        <v>1179</v>
      </c>
      <c r="AL657" t="s">
        <v>67</v>
      </c>
      <c r="AM657" t="s">
        <v>135</v>
      </c>
      <c r="AN657">
        <v>75</v>
      </c>
      <c r="AO657">
        <v>660</v>
      </c>
    </row>
    <row r="658" spans="37:41">
      <c r="AK658" t="s">
        <v>1180</v>
      </c>
      <c r="AL658" t="s">
        <v>67</v>
      </c>
      <c r="AM658" t="s">
        <v>135</v>
      </c>
      <c r="AN658">
        <v>75</v>
      </c>
      <c r="AO658">
        <v>661</v>
      </c>
    </row>
    <row r="659" spans="37:41">
      <c r="AK659" t="s">
        <v>1181</v>
      </c>
      <c r="AL659" t="s">
        <v>81</v>
      </c>
      <c r="AM659" t="s">
        <v>135</v>
      </c>
      <c r="AN659">
        <v>75</v>
      </c>
      <c r="AO659">
        <v>662</v>
      </c>
    </row>
    <row r="660" spans="37:41">
      <c r="AK660" t="s">
        <v>1182</v>
      </c>
      <c r="AL660" t="s">
        <v>81</v>
      </c>
      <c r="AM660" t="s">
        <v>135</v>
      </c>
      <c r="AN660">
        <v>75</v>
      </c>
      <c r="AO660">
        <v>663</v>
      </c>
    </row>
    <row r="661" spans="37:41">
      <c r="AK661" t="s">
        <v>1183</v>
      </c>
      <c r="AL661" t="s">
        <v>81</v>
      </c>
      <c r="AM661" t="s">
        <v>135</v>
      </c>
      <c r="AN661">
        <v>75</v>
      </c>
      <c r="AO661">
        <v>664</v>
      </c>
    </row>
    <row r="662" spans="37:41">
      <c r="AK662" t="s">
        <v>1184</v>
      </c>
      <c r="AL662" t="s">
        <v>81</v>
      </c>
      <c r="AM662" t="s">
        <v>135</v>
      </c>
      <c r="AN662">
        <v>75</v>
      </c>
      <c r="AO662">
        <v>665</v>
      </c>
    </row>
    <row r="663" spans="37:41">
      <c r="AK663" t="s">
        <v>1185</v>
      </c>
      <c r="AL663" t="s">
        <v>67</v>
      </c>
      <c r="AM663" t="s">
        <v>135</v>
      </c>
      <c r="AN663">
        <v>75</v>
      </c>
      <c r="AO663">
        <v>666</v>
      </c>
    </row>
    <row r="664" spans="37:41">
      <c r="AK664" t="s">
        <v>1186</v>
      </c>
      <c r="AL664" t="s">
        <v>67</v>
      </c>
      <c r="AM664" t="s">
        <v>135</v>
      </c>
      <c r="AN664">
        <v>75</v>
      </c>
      <c r="AO664">
        <v>667</v>
      </c>
    </row>
    <row r="665" spans="37:41">
      <c r="AK665" t="s">
        <v>1187</v>
      </c>
      <c r="AL665" t="s">
        <v>81</v>
      </c>
      <c r="AM665" t="s">
        <v>135</v>
      </c>
      <c r="AN665">
        <v>75</v>
      </c>
      <c r="AO665">
        <v>668</v>
      </c>
    </row>
    <row r="666" spans="37:41">
      <c r="AK666" t="s">
        <v>1188</v>
      </c>
      <c r="AL666" t="s">
        <v>67</v>
      </c>
      <c r="AM666" t="s">
        <v>135</v>
      </c>
      <c r="AN666">
        <v>75</v>
      </c>
      <c r="AO666">
        <v>669</v>
      </c>
    </row>
    <row r="667" spans="37:41">
      <c r="AK667" t="s">
        <v>1189</v>
      </c>
      <c r="AL667" t="s">
        <v>67</v>
      </c>
      <c r="AM667" t="s">
        <v>135</v>
      </c>
      <c r="AN667">
        <v>75</v>
      </c>
      <c r="AO667">
        <v>670</v>
      </c>
    </row>
    <row r="668" spans="37:41">
      <c r="AK668" t="s">
        <v>1190</v>
      </c>
      <c r="AL668" t="s">
        <v>67</v>
      </c>
      <c r="AM668" t="s">
        <v>135</v>
      </c>
      <c r="AN668">
        <v>75</v>
      </c>
      <c r="AO668">
        <v>671</v>
      </c>
    </row>
    <row r="669" spans="37:41">
      <c r="AK669" t="s">
        <v>1191</v>
      </c>
      <c r="AL669" t="s">
        <v>81</v>
      </c>
      <c r="AM669" t="s">
        <v>135</v>
      </c>
      <c r="AN669">
        <v>75</v>
      </c>
      <c r="AO669">
        <v>672</v>
      </c>
    </row>
    <row r="670" spans="37:41">
      <c r="AK670" t="s">
        <v>1192</v>
      </c>
      <c r="AL670" t="s">
        <v>67</v>
      </c>
      <c r="AM670" t="s">
        <v>135</v>
      </c>
      <c r="AN670">
        <v>75</v>
      </c>
      <c r="AO670">
        <v>673</v>
      </c>
    </row>
    <row r="671" spans="37:41">
      <c r="AK671" t="s">
        <v>1193</v>
      </c>
      <c r="AL671" t="s">
        <v>67</v>
      </c>
      <c r="AM671" t="s">
        <v>135</v>
      </c>
      <c r="AN671">
        <v>75</v>
      </c>
      <c r="AO671">
        <v>674</v>
      </c>
    </row>
    <row r="672" spans="37:41">
      <c r="AK672" t="s">
        <v>1194</v>
      </c>
      <c r="AL672" t="s">
        <v>67</v>
      </c>
      <c r="AM672" t="s">
        <v>135</v>
      </c>
      <c r="AN672">
        <v>75</v>
      </c>
      <c r="AO672">
        <v>675</v>
      </c>
    </row>
    <row r="673" spans="37:41">
      <c r="AK673" t="s">
        <v>1195</v>
      </c>
      <c r="AL673" t="s">
        <v>81</v>
      </c>
      <c r="AM673" t="s">
        <v>135</v>
      </c>
      <c r="AN673">
        <v>75</v>
      </c>
      <c r="AO673">
        <v>676</v>
      </c>
    </row>
    <row r="674" spans="37:41">
      <c r="AK674" t="s">
        <v>1196</v>
      </c>
      <c r="AL674" t="s">
        <v>67</v>
      </c>
      <c r="AM674" t="s">
        <v>162</v>
      </c>
      <c r="AN674">
        <v>110</v>
      </c>
      <c r="AO674">
        <v>677</v>
      </c>
    </row>
    <row r="675" spans="37:41">
      <c r="AK675" t="s">
        <v>1197</v>
      </c>
      <c r="AL675" t="s">
        <v>67</v>
      </c>
      <c r="AM675" t="s">
        <v>162</v>
      </c>
      <c r="AN675">
        <v>110</v>
      </c>
      <c r="AO675">
        <v>678</v>
      </c>
    </row>
    <row r="676" spans="37:41">
      <c r="AK676" t="s">
        <v>1198</v>
      </c>
      <c r="AL676" t="s">
        <v>67</v>
      </c>
      <c r="AM676" t="s">
        <v>162</v>
      </c>
      <c r="AN676">
        <v>110</v>
      </c>
      <c r="AO676">
        <v>679</v>
      </c>
    </row>
    <row r="677" spans="37:41">
      <c r="AK677" t="s">
        <v>1199</v>
      </c>
      <c r="AL677" t="s">
        <v>67</v>
      </c>
      <c r="AM677" t="s">
        <v>162</v>
      </c>
      <c r="AN677">
        <v>110</v>
      </c>
      <c r="AO677">
        <v>680</v>
      </c>
    </row>
    <row r="678" spans="37:41">
      <c r="AK678" t="s">
        <v>1200</v>
      </c>
      <c r="AL678" t="s">
        <v>67</v>
      </c>
      <c r="AM678" t="s">
        <v>162</v>
      </c>
      <c r="AN678">
        <v>110</v>
      </c>
      <c r="AO678">
        <v>681</v>
      </c>
    </row>
    <row r="679" spans="37:41">
      <c r="AK679" t="s">
        <v>1201</v>
      </c>
      <c r="AL679" t="s">
        <v>81</v>
      </c>
      <c r="AM679" t="s">
        <v>162</v>
      </c>
      <c r="AN679">
        <v>110</v>
      </c>
      <c r="AO679">
        <v>682</v>
      </c>
    </row>
    <row r="680" spans="37:41">
      <c r="AK680" t="s">
        <v>1202</v>
      </c>
      <c r="AL680" t="s">
        <v>81</v>
      </c>
      <c r="AM680" t="s">
        <v>162</v>
      </c>
      <c r="AN680">
        <v>110</v>
      </c>
      <c r="AO680">
        <v>683</v>
      </c>
    </row>
    <row r="681" spans="37:41">
      <c r="AK681" t="s">
        <v>1203</v>
      </c>
      <c r="AL681" t="s">
        <v>67</v>
      </c>
      <c r="AM681" t="s">
        <v>162</v>
      </c>
      <c r="AN681">
        <v>110</v>
      </c>
      <c r="AO681">
        <v>684</v>
      </c>
    </row>
    <row r="682" spans="37:41">
      <c r="AK682" t="s">
        <v>1204</v>
      </c>
      <c r="AL682" t="s">
        <v>67</v>
      </c>
      <c r="AM682" t="s">
        <v>162</v>
      </c>
      <c r="AN682">
        <v>110</v>
      </c>
      <c r="AO682">
        <v>685</v>
      </c>
    </row>
    <row r="683" spans="37:41">
      <c r="AK683" t="s">
        <v>1205</v>
      </c>
      <c r="AL683" t="s">
        <v>81</v>
      </c>
      <c r="AM683" t="s">
        <v>162</v>
      </c>
      <c r="AN683">
        <v>110</v>
      </c>
      <c r="AO683">
        <v>686</v>
      </c>
    </row>
    <row r="684" spans="37:41">
      <c r="AK684" t="s">
        <v>1206</v>
      </c>
      <c r="AL684" t="s">
        <v>81</v>
      </c>
      <c r="AM684" t="s">
        <v>162</v>
      </c>
      <c r="AN684">
        <v>110</v>
      </c>
      <c r="AO684">
        <v>687</v>
      </c>
    </row>
    <row r="685" spans="37:41">
      <c r="AK685" t="s">
        <v>1207</v>
      </c>
      <c r="AL685" t="s">
        <v>81</v>
      </c>
      <c r="AM685" t="s">
        <v>162</v>
      </c>
      <c r="AN685">
        <v>110</v>
      </c>
      <c r="AO685">
        <v>688</v>
      </c>
    </row>
    <row r="686" spans="37:41">
      <c r="AK686" t="s">
        <v>1208</v>
      </c>
      <c r="AL686" t="s">
        <v>81</v>
      </c>
      <c r="AM686" t="s">
        <v>162</v>
      </c>
      <c r="AN686">
        <v>110</v>
      </c>
      <c r="AO686">
        <v>689</v>
      </c>
    </row>
    <row r="687" spans="37:41">
      <c r="AK687" t="s">
        <v>1209</v>
      </c>
      <c r="AL687" t="s">
        <v>67</v>
      </c>
      <c r="AM687" t="s">
        <v>162</v>
      </c>
      <c r="AN687">
        <v>110</v>
      </c>
      <c r="AO687">
        <v>690</v>
      </c>
    </row>
    <row r="688" spans="37:41">
      <c r="AK688" t="s">
        <v>1210</v>
      </c>
      <c r="AL688" t="s">
        <v>67</v>
      </c>
      <c r="AM688" t="s">
        <v>162</v>
      </c>
      <c r="AN688">
        <v>110</v>
      </c>
      <c r="AO688">
        <v>691</v>
      </c>
    </row>
    <row r="689" spans="37:41">
      <c r="AK689" t="s">
        <v>1211</v>
      </c>
      <c r="AL689" t="s">
        <v>81</v>
      </c>
      <c r="AM689" t="s">
        <v>162</v>
      </c>
      <c r="AN689">
        <v>110</v>
      </c>
      <c r="AO689">
        <v>692</v>
      </c>
    </row>
    <row r="690" spans="37:41">
      <c r="AK690" t="s">
        <v>1212</v>
      </c>
      <c r="AL690" t="s">
        <v>67</v>
      </c>
      <c r="AM690" t="s">
        <v>162</v>
      </c>
      <c r="AN690">
        <v>110</v>
      </c>
      <c r="AO690">
        <v>693</v>
      </c>
    </row>
    <row r="691" spans="37:41">
      <c r="AK691" t="s">
        <v>1213</v>
      </c>
      <c r="AL691" t="s">
        <v>67</v>
      </c>
      <c r="AM691" t="s">
        <v>162</v>
      </c>
      <c r="AN691">
        <v>110</v>
      </c>
      <c r="AO691">
        <v>694</v>
      </c>
    </row>
    <row r="692" spans="37:41">
      <c r="AK692" t="s">
        <v>1214</v>
      </c>
      <c r="AL692" t="s">
        <v>67</v>
      </c>
      <c r="AM692" t="s">
        <v>162</v>
      </c>
      <c r="AN692">
        <v>110</v>
      </c>
      <c r="AO692">
        <v>695</v>
      </c>
    </row>
    <row r="693" spans="37:41">
      <c r="AK693" t="s">
        <v>1215</v>
      </c>
      <c r="AL693" t="s">
        <v>81</v>
      </c>
      <c r="AM693" t="s">
        <v>162</v>
      </c>
      <c r="AN693">
        <v>110</v>
      </c>
      <c r="AO693">
        <v>696</v>
      </c>
    </row>
    <row r="694" spans="37:41">
      <c r="AK694" t="s">
        <v>1216</v>
      </c>
      <c r="AL694" t="s">
        <v>67</v>
      </c>
      <c r="AM694" t="s">
        <v>162</v>
      </c>
      <c r="AN694">
        <v>110</v>
      </c>
      <c r="AO694">
        <v>697</v>
      </c>
    </row>
    <row r="695" spans="37:41">
      <c r="AK695" t="s">
        <v>1217</v>
      </c>
      <c r="AL695" t="s">
        <v>67</v>
      </c>
      <c r="AM695" t="s">
        <v>162</v>
      </c>
      <c r="AN695">
        <v>110</v>
      </c>
      <c r="AO695">
        <v>698</v>
      </c>
    </row>
    <row r="696" spans="37:41">
      <c r="AK696" t="s">
        <v>1218</v>
      </c>
      <c r="AL696" t="s">
        <v>67</v>
      </c>
      <c r="AM696" t="s">
        <v>162</v>
      </c>
      <c r="AN696">
        <v>110</v>
      </c>
      <c r="AO696">
        <v>699</v>
      </c>
    </row>
    <row r="697" spans="37:41">
      <c r="AK697" t="s">
        <v>1219</v>
      </c>
      <c r="AL697" t="s">
        <v>81</v>
      </c>
      <c r="AM697" t="s">
        <v>162</v>
      </c>
      <c r="AN697">
        <v>110</v>
      </c>
      <c r="AO697">
        <v>700</v>
      </c>
    </row>
    <row r="698" spans="37:41">
      <c r="AK698" t="s">
        <v>1220</v>
      </c>
      <c r="AL698" t="s">
        <v>67</v>
      </c>
      <c r="AM698" t="s">
        <v>164</v>
      </c>
      <c r="AN698">
        <v>75</v>
      </c>
      <c r="AO698">
        <v>701</v>
      </c>
    </row>
    <row r="699" spans="37:41">
      <c r="AK699" t="s">
        <v>1221</v>
      </c>
      <c r="AL699" t="s">
        <v>67</v>
      </c>
      <c r="AM699" t="s">
        <v>164</v>
      </c>
      <c r="AN699">
        <v>75</v>
      </c>
      <c r="AO699">
        <v>702</v>
      </c>
    </row>
    <row r="700" spans="37:41">
      <c r="AK700" t="s">
        <v>1222</v>
      </c>
      <c r="AL700" t="s">
        <v>67</v>
      </c>
      <c r="AM700" t="s">
        <v>164</v>
      </c>
      <c r="AN700">
        <v>75</v>
      </c>
      <c r="AO700">
        <v>703</v>
      </c>
    </row>
    <row r="701" spans="37:41">
      <c r="AK701" t="s">
        <v>1223</v>
      </c>
      <c r="AL701" t="s">
        <v>67</v>
      </c>
      <c r="AM701" t="s">
        <v>164</v>
      </c>
      <c r="AN701">
        <v>75</v>
      </c>
      <c r="AO701">
        <v>704</v>
      </c>
    </row>
    <row r="702" spans="37:41">
      <c r="AK702" t="s">
        <v>1224</v>
      </c>
      <c r="AL702" t="s">
        <v>67</v>
      </c>
      <c r="AM702" t="s">
        <v>164</v>
      </c>
      <c r="AN702">
        <v>75</v>
      </c>
      <c r="AO702">
        <v>705</v>
      </c>
    </row>
    <row r="703" spans="37:41">
      <c r="AK703" t="s">
        <v>1225</v>
      </c>
      <c r="AL703" t="s">
        <v>81</v>
      </c>
      <c r="AM703" t="s">
        <v>164</v>
      </c>
      <c r="AN703">
        <v>75</v>
      </c>
      <c r="AO703">
        <v>706</v>
      </c>
    </row>
    <row r="704" spans="37:41">
      <c r="AK704" t="s">
        <v>1226</v>
      </c>
      <c r="AL704" t="s">
        <v>81</v>
      </c>
      <c r="AM704" t="s">
        <v>164</v>
      </c>
      <c r="AN704">
        <v>75</v>
      </c>
      <c r="AO704">
        <v>707</v>
      </c>
    </row>
    <row r="705" spans="37:41">
      <c r="AK705" t="s">
        <v>1227</v>
      </c>
      <c r="AL705" t="s">
        <v>67</v>
      </c>
      <c r="AM705" t="s">
        <v>164</v>
      </c>
      <c r="AN705">
        <v>75</v>
      </c>
      <c r="AO705">
        <v>708</v>
      </c>
    </row>
    <row r="706" spans="37:41">
      <c r="AK706" t="s">
        <v>1228</v>
      </c>
      <c r="AL706" t="s">
        <v>67</v>
      </c>
      <c r="AM706" t="s">
        <v>164</v>
      </c>
      <c r="AN706">
        <v>75</v>
      </c>
      <c r="AO706">
        <v>709</v>
      </c>
    </row>
    <row r="707" spans="37:41">
      <c r="AK707" t="s">
        <v>1229</v>
      </c>
      <c r="AL707" t="s">
        <v>81</v>
      </c>
      <c r="AM707" t="s">
        <v>164</v>
      </c>
      <c r="AN707">
        <v>75</v>
      </c>
      <c r="AO707">
        <v>710</v>
      </c>
    </row>
    <row r="708" spans="37:41">
      <c r="AK708" t="s">
        <v>1230</v>
      </c>
      <c r="AL708" t="s">
        <v>81</v>
      </c>
      <c r="AM708" t="s">
        <v>164</v>
      </c>
      <c r="AN708">
        <v>75</v>
      </c>
      <c r="AO708">
        <v>711</v>
      </c>
    </row>
    <row r="709" spans="37:41">
      <c r="AK709" t="s">
        <v>1231</v>
      </c>
      <c r="AL709" t="s">
        <v>81</v>
      </c>
      <c r="AM709" t="s">
        <v>164</v>
      </c>
      <c r="AN709">
        <v>75</v>
      </c>
      <c r="AO709">
        <v>712</v>
      </c>
    </row>
    <row r="710" spans="37:41">
      <c r="AK710" t="s">
        <v>1232</v>
      </c>
      <c r="AL710" t="s">
        <v>81</v>
      </c>
      <c r="AM710" t="s">
        <v>164</v>
      </c>
      <c r="AN710">
        <v>75</v>
      </c>
      <c r="AO710">
        <v>713</v>
      </c>
    </row>
    <row r="711" spans="37:41">
      <c r="AK711" t="s">
        <v>1233</v>
      </c>
      <c r="AL711" t="s">
        <v>67</v>
      </c>
      <c r="AM711" t="s">
        <v>164</v>
      </c>
      <c r="AN711">
        <v>75</v>
      </c>
      <c r="AO711">
        <v>714</v>
      </c>
    </row>
    <row r="712" spans="37:41">
      <c r="AK712" t="s">
        <v>1234</v>
      </c>
      <c r="AL712" t="s">
        <v>67</v>
      </c>
      <c r="AM712" t="s">
        <v>164</v>
      </c>
      <c r="AN712">
        <v>75</v>
      </c>
      <c r="AO712">
        <v>715</v>
      </c>
    </row>
    <row r="713" spans="37:41">
      <c r="AK713" t="s">
        <v>1235</v>
      </c>
      <c r="AL713" t="s">
        <v>81</v>
      </c>
      <c r="AM713" t="s">
        <v>164</v>
      </c>
      <c r="AN713">
        <v>75</v>
      </c>
      <c r="AO713">
        <v>716</v>
      </c>
    </row>
    <row r="714" spans="37:41">
      <c r="AK714" t="s">
        <v>1236</v>
      </c>
      <c r="AL714" t="s">
        <v>67</v>
      </c>
      <c r="AM714" t="s">
        <v>164</v>
      </c>
      <c r="AN714">
        <v>75</v>
      </c>
      <c r="AO714">
        <v>717</v>
      </c>
    </row>
    <row r="715" spans="37:41">
      <c r="AK715" t="s">
        <v>1237</v>
      </c>
      <c r="AL715" t="s">
        <v>67</v>
      </c>
      <c r="AM715" t="s">
        <v>164</v>
      </c>
      <c r="AN715">
        <v>75</v>
      </c>
      <c r="AO715">
        <v>718</v>
      </c>
    </row>
    <row r="716" spans="37:41">
      <c r="AK716" t="s">
        <v>1238</v>
      </c>
      <c r="AL716" t="s">
        <v>67</v>
      </c>
      <c r="AM716" t="s">
        <v>164</v>
      </c>
      <c r="AN716">
        <v>75</v>
      </c>
      <c r="AO716">
        <v>719</v>
      </c>
    </row>
    <row r="717" spans="37:41">
      <c r="AK717" t="s">
        <v>1239</v>
      </c>
      <c r="AL717" t="s">
        <v>81</v>
      </c>
      <c r="AM717" t="s">
        <v>164</v>
      </c>
      <c r="AN717">
        <v>75</v>
      </c>
      <c r="AO717">
        <v>720</v>
      </c>
    </row>
    <row r="718" spans="37:41">
      <c r="AK718" t="s">
        <v>1240</v>
      </c>
      <c r="AL718" t="s">
        <v>67</v>
      </c>
      <c r="AM718" t="s">
        <v>164</v>
      </c>
      <c r="AN718">
        <v>75</v>
      </c>
      <c r="AO718">
        <v>721</v>
      </c>
    </row>
    <row r="719" spans="37:41">
      <c r="AK719" t="s">
        <v>1241</v>
      </c>
      <c r="AL719" t="s">
        <v>67</v>
      </c>
      <c r="AM719" t="s">
        <v>164</v>
      </c>
      <c r="AN719">
        <v>75</v>
      </c>
      <c r="AO719">
        <v>722</v>
      </c>
    </row>
    <row r="720" spans="37:41">
      <c r="AK720" t="s">
        <v>1242</v>
      </c>
      <c r="AL720" t="s">
        <v>67</v>
      </c>
      <c r="AM720" t="s">
        <v>164</v>
      </c>
      <c r="AN720">
        <v>75</v>
      </c>
      <c r="AO720">
        <v>723</v>
      </c>
    </row>
    <row r="721" spans="37:41">
      <c r="AK721" t="s">
        <v>1243</v>
      </c>
      <c r="AL721" t="s">
        <v>81</v>
      </c>
      <c r="AM721" t="s">
        <v>164</v>
      </c>
      <c r="AN721">
        <v>75</v>
      </c>
      <c r="AO721">
        <v>724</v>
      </c>
    </row>
    <row r="722" spans="37:41">
      <c r="AK722" t="s">
        <v>1244</v>
      </c>
      <c r="AL722" t="s">
        <v>67</v>
      </c>
      <c r="AM722" t="s">
        <v>164</v>
      </c>
      <c r="AN722">
        <v>75</v>
      </c>
      <c r="AO722">
        <v>725</v>
      </c>
    </row>
    <row r="723" spans="37:41">
      <c r="AK723" t="s">
        <v>1245</v>
      </c>
      <c r="AL723" t="s">
        <v>67</v>
      </c>
      <c r="AM723" t="s">
        <v>164</v>
      </c>
      <c r="AN723">
        <v>75</v>
      </c>
      <c r="AO723">
        <v>726</v>
      </c>
    </row>
    <row r="724" spans="37:41">
      <c r="AK724" t="s">
        <v>1246</v>
      </c>
      <c r="AL724" t="s">
        <v>67</v>
      </c>
      <c r="AM724" t="s">
        <v>164</v>
      </c>
      <c r="AN724">
        <v>75</v>
      </c>
      <c r="AO724">
        <v>727</v>
      </c>
    </row>
    <row r="725" spans="37:41">
      <c r="AK725" t="s">
        <v>1247</v>
      </c>
      <c r="AL725" t="s">
        <v>67</v>
      </c>
      <c r="AM725" t="s">
        <v>164</v>
      </c>
      <c r="AN725">
        <v>75</v>
      </c>
      <c r="AO725">
        <v>728</v>
      </c>
    </row>
    <row r="726" spans="37:41">
      <c r="AK726" t="s">
        <v>1248</v>
      </c>
      <c r="AL726" t="s">
        <v>67</v>
      </c>
      <c r="AM726" t="s">
        <v>164</v>
      </c>
      <c r="AN726">
        <v>75</v>
      </c>
      <c r="AO726">
        <v>729</v>
      </c>
    </row>
    <row r="727" spans="37:41">
      <c r="AK727" t="s">
        <v>1249</v>
      </c>
      <c r="AL727" t="s">
        <v>81</v>
      </c>
      <c r="AM727" t="s">
        <v>164</v>
      </c>
      <c r="AN727">
        <v>75</v>
      </c>
      <c r="AO727">
        <v>730</v>
      </c>
    </row>
    <row r="728" spans="37:41">
      <c r="AK728" t="s">
        <v>1250</v>
      </c>
      <c r="AL728" t="s">
        <v>81</v>
      </c>
      <c r="AM728" t="s">
        <v>164</v>
      </c>
      <c r="AN728">
        <v>75</v>
      </c>
      <c r="AO728">
        <v>731</v>
      </c>
    </row>
    <row r="729" spans="37:41">
      <c r="AK729" t="s">
        <v>1251</v>
      </c>
      <c r="AL729" t="s">
        <v>67</v>
      </c>
      <c r="AM729" t="s">
        <v>164</v>
      </c>
      <c r="AN729">
        <v>75</v>
      </c>
      <c r="AO729">
        <v>732</v>
      </c>
    </row>
    <row r="730" spans="37:41">
      <c r="AK730" t="s">
        <v>1252</v>
      </c>
      <c r="AL730" t="s">
        <v>67</v>
      </c>
      <c r="AM730" t="s">
        <v>164</v>
      </c>
      <c r="AN730">
        <v>75</v>
      </c>
      <c r="AO730">
        <v>733</v>
      </c>
    </row>
    <row r="731" spans="37:41">
      <c r="AK731" t="s">
        <v>1253</v>
      </c>
      <c r="AL731" t="s">
        <v>81</v>
      </c>
      <c r="AM731" t="s">
        <v>164</v>
      </c>
      <c r="AN731">
        <v>75</v>
      </c>
      <c r="AO731">
        <v>734</v>
      </c>
    </row>
    <row r="732" spans="37:41">
      <c r="AK732" t="s">
        <v>1254</v>
      </c>
      <c r="AL732" t="s">
        <v>81</v>
      </c>
      <c r="AM732" t="s">
        <v>164</v>
      </c>
      <c r="AN732">
        <v>75</v>
      </c>
      <c r="AO732">
        <v>735</v>
      </c>
    </row>
    <row r="733" spans="37:41">
      <c r="AK733" t="s">
        <v>1255</v>
      </c>
      <c r="AL733" t="s">
        <v>81</v>
      </c>
      <c r="AM733" t="s">
        <v>164</v>
      </c>
      <c r="AN733">
        <v>75</v>
      </c>
      <c r="AO733">
        <v>736</v>
      </c>
    </row>
    <row r="734" spans="37:41">
      <c r="AK734" t="s">
        <v>1256</v>
      </c>
      <c r="AL734" t="s">
        <v>81</v>
      </c>
      <c r="AM734" t="s">
        <v>164</v>
      </c>
      <c r="AN734">
        <v>75</v>
      </c>
      <c r="AO734">
        <v>737</v>
      </c>
    </row>
    <row r="735" spans="37:41">
      <c r="AK735" t="s">
        <v>1257</v>
      </c>
      <c r="AL735" t="s">
        <v>67</v>
      </c>
      <c r="AM735" t="s">
        <v>164</v>
      </c>
      <c r="AN735">
        <v>75</v>
      </c>
      <c r="AO735">
        <v>738</v>
      </c>
    </row>
    <row r="736" spans="37:41">
      <c r="AK736" t="s">
        <v>1258</v>
      </c>
      <c r="AL736" t="s">
        <v>67</v>
      </c>
      <c r="AM736" t="s">
        <v>164</v>
      </c>
      <c r="AN736">
        <v>75</v>
      </c>
      <c r="AO736">
        <v>739</v>
      </c>
    </row>
    <row r="737" spans="37:41">
      <c r="AK737" t="s">
        <v>1259</v>
      </c>
      <c r="AL737" t="s">
        <v>81</v>
      </c>
      <c r="AM737" t="s">
        <v>164</v>
      </c>
      <c r="AN737">
        <v>75</v>
      </c>
      <c r="AO737">
        <v>740</v>
      </c>
    </row>
    <row r="738" spans="37:41">
      <c r="AK738" t="s">
        <v>1260</v>
      </c>
      <c r="AL738" t="s">
        <v>67</v>
      </c>
      <c r="AM738" t="s">
        <v>164</v>
      </c>
      <c r="AN738">
        <v>75</v>
      </c>
      <c r="AO738">
        <v>741</v>
      </c>
    </row>
    <row r="739" spans="37:41">
      <c r="AK739" t="s">
        <v>1261</v>
      </c>
      <c r="AL739" t="s">
        <v>67</v>
      </c>
      <c r="AM739" t="s">
        <v>164</v>
      </c>
      <c r="AN739">
        <v>75</v>
      </c>
      <c r="AO739">
        <v>742</v>
      </c>
    </row>
    <row r="740" spans="37:41">
      <c r="AK740" t="s">
        <v>1262</v>
      </c>
      <c r="AL740" t="s">
        <v>67</v>
      </c>
      <c r="AM740" t="s">
        <v>164</v>
      </c>
      <c r="AN740">
        <v>75</v>
      </c>
      <c r="AO740">
        <v>743</v>
      </c>
    </row>
    <row r="741" spans="37:41">
      <c r="AK741" t="s">
        <v>1263</v>
      </c>
      <c r="AL741" t="s">
        <v>81</v>
      </c>
      <c r="AM741" t="s">
        <v>164</v>
      </c>
      <c r="AN741">
        <v>75</v>
      </c>
      <c r="AO741">
        <v>744</v>
      </c>
    </row>
    <row r="742" spans="37:41">
      <c r="AK742" t="s">
        <v>1264</v>
      </c>
      <c r="AL742" t="s">
        <v>67</v>
      </c>
      <c r="AM742" t="s">
        <v>164</v>
      </c>
      <c r="AN742">
        <v>75</v>
      </c>
      <c r="AO742">
        <v>745</v>
      </c>
    </row>
    <row r="743" spans="37:41">
      <c r="AK743" t="s">
        <v>1265</v>
      </c>
      <c r="AL743" t="s">
        <v>67</v>
      </c>
      <c r="AM743" t="s">
        <v>164</v>
      </c>
      <c r="AN743">
        <v>75</v>
      </c>
      <c r="AO743">
        <v>746</v>
      </c>
    </row>
    <row r="744" spans="37:41">
      <c r="AK744" t="s">
        <v>1266</v>
      </c>
      <c r="AL744" t="s">
        <v>67</v>
      </c>
      <c r="AM744" t="s">
        <v>164</v>
      </c>
      <c r="AN744">
        <v>75</v>
      </c>
      <c r="AO744">
        <v>747</v>
      </c>
    </row>
    <row r="745" spans="37:41">
      <c r="AK745" t="s">
        <v>1267</v>
      </c>
      <c r="AL745" t="s">
        <v>81</v>
      </c>
      <c r="AM745" t="s">
        <v>164</v>
      </c>
      <c r="AN745">
        <v>75</v>
      </c>
      <c r="AO745">
        <v>748</v>
      </c>
    </row>
    <row r="746" spans="37:41">
      <c r="AK746" t="s">
        <v>1268</v>
      </c>
      <c r="AL746" t="s">
        <v>67</v>
      </c>
      <c r="AM746" t="s">
        <v>164</v>
      </c>
      <c r="AN746">
        <v>75</v>
      </c>
      <c r="AO746">
        <v>749</v>
      </c>
    </row>
    <row r="747" spans="37:41">
      <c r="AK747" t="s">
        <v>1269</v>
      </c>
      <c r="AL747" t="s">
        <v>67</v>
      </c>
      <c r="AM747" t="s">
        <v>164</v>
      </c>
      <c r="AN747">
        <v>75</v>
      </c>
      <c r="AO747">
        <v>750</v>
      </c>
    </row>
    <row r="748" spans="37:41">
      <c r="AK748" t="s">
        <v>1270</v>
      </c>
      <c r="AL748" t="s">
        <v>67</v>
      </c>
      <c r="AM748" t="s">
        <v>164</v>
      </c>
      <c r="AN748">
        <v>75</v>
      </c>
      <c r="AO748">
        <v>751</v>
      </c>
    </row>
    <row r="749" spans="37:41">
      <c r="AK749" t="s">
        <v>1271</v>
      </c>
      <c r="AL749" t="s">
        <v>67</v>
      </c>
      <c r="AM749" t="s">
        <v>164</v>
      </c>
      <c r="AN749">
        <v>75</v>
      </c>
      <c r="AO749">
        <v>752</v>
      </c>
    </row>
    <row r="750" spans="37:41">
      <c r="AK750" t="s">
        <v>1272</v>
      </c>
      <c r="AL750" t="s">
        <v>67</v>
      </c>
      <c r="AM750" t="s">
        <v>164</v>
      </c>
      <c r="AN750">
        <v>75</v>
      </c>
      <c r="AO750">
        <v>753</v>
      </c>
    </row>
    <row r="751" spans="37:41">
      <c r="AK751" t="s">
        <v>1273</v>
      </c>
      <c r="AL751" t="s">
        <v>81</v>
      </c>
      <c r="AM751" t="s">
        <v>164</v>
      </c>
      <c r="AN751">
        <v>75</v>
      </c>
      <c r="AO751">
        <v>754</v>
      </c>
    </row>
    <row r="752" spans="37:41">
      <c r="AK752" t="s">
        <v>1274</v>
      </c>
      <c r="AL752" t="s">
        <v>81</v>
      </c>
      <c r="AM752" t="s">
        <v>164</v>
      </c>
      <c r="AN752">
        <v>75</v>
      </c>
      <c r="AO752">
        <v>755</v>
      </c>
    </row>
    <row r="753" spans="37:41">
      <c r="AK753" t="s">
        <v>1275</v>
      </c>
      <c r="AL753" t="s">
        <v>67</v>
      </c>
      <c r="AM753" t="s">
        <v>164</v>
      </c>
      <c r="AN753">
        <v>75</v>
      </c>
      <c r="AO753">
        <v>756</v>
      </c>
    </row>
    <row r="754" spans="37:41">
      <c r="AK754" t="s">
        <v>1276</v>
      </c>
      <c r="AL754" t="s">
        <v>67</v>
      </c>
      <c r="AM754" t="s">
        <v>164</v>
      </c>
      <c r="AN754">
        <v>75</v>
      </c>
      <c r="AO754">
        <v>757</v>
      </c>
    </row>
    <row r="755" spans="37:41">
      <c r="AK755" t="s">
        <v>1277</v>
      </c>
      <c r="AL755" t="s">
        <v>81</v>
      </c>
      <c r="AM755" t="s">
        <v>164</v>
      </c>
      <c r="AN755">
        <v>75</v>
      </c>
      <c r="AO755">
        <v>758</v>
      </c>
    </row>
    <row r="756" spans="37:41">
      <c r="AK756" t="s">
        <v>1278</v>
      </c>
      <c r="AL756" t="s">
        <v>81</v>
      </c>
      <c r="AM756" t="s">
        <v>164</v>
      </c>
      <c r="AN756">
        <v>75</v>
      </c>
      <c r="AO756">
        <v>759</v>
      </c>
    </row>
    <row r="757" spans="37:41">
      <c r="AK757" t="s">
        <v>1279</v>
      </c>
      <c r="AL757" t="s">
        <v>81</v>
      </c>
      <c r="AM757" t="s">
        <v>164</v>
      </c>
      <c r="AN757">
        <v>75</v>
      </c>
      <c r="AO757">
        <v>760</v>
      </c>
    </row>
    <row r="758" spans="37:41">
      <c r="AK758" t="s">
        <v>1280</v>
      </c>
      <c r="AL758" t="s">
        <v>81</v>
      </c>
      <c r="AM758" t="s">
        <v>164</v>
      </c>
      <c r="AN758">
        <v>75</v>
      </c>
      <c r="AO758">
        <v>761</v>
      </c>
    </row>
    <row r="759" spans="37:41">
      <c r="AK759" t="s">
        <v>1281</v>
      </c>
      <c r="AL759" t="s">
        <v>67</v>
      </c>
      <c r="AM759" t="s">
        <v>164</v>
      </c>
      <c r="AN759">
        <v>75</v>
      </c>
      <c r="AO759">
        <v>762</v>
      </c>
    </row>
    <row r="760" spans="37:41">
      <c r="AK760" t="s">
        <v>1282</v>
      </c>
      <c r="AL760" t="s">
        <v>67</v>
      </c>
      <c r="AM760" t="s">
        <v>164</v>
      </c>
      <c r="AN760">
        <v>75</v>
      </c>
      <c r="AO760">
        <v>763</v>
      </c>
    </row>
    <row r="761" spans="37:41">
      <c r="AK761" t="s">
        <v>1283</v>
      </c>
      <c r="AL761" t="s">
        <v>81</v>
      </c>
      <c r="AM761" t="s">
        <v>164</v>
      </c>
      <c r="AN761">
        <v>75</v>
      </c>
      <c r="AO761">
        <v>764</v>
      </c>
    </row>
    <row r="762" spans="37:41">
      <c r="AK762" t="s">
        <v>1284</v>
      </c>
      <c r="AL762" t="s">
        <v>67</v>
      </c>
      <c r="AM762" t="s">
        <v>164</v>
      </c>
      <c r="AN762">
        <v>75</v>
      </c>
      <c r="AO762">
        <v>765</v>
      </c>
    </row>
    <row r="763" spans="37:41">
      <c r="AK763" t="s">
        <v>1285</v>
      </c>
      <c r="AL763" t="s">
        <v>67</v>
      </c>
      <c r="AM763" t="s">
        <v>164</v>
      </c>
      <c r="AN763">
        <v>75</v>
      </c>
      <c r="AO763">
        <v>766</v>
      </c>
    </row>
    <row r="764" spans="37:41">
      <c r="AK764" t="s">
        <v>1286</v>
      </c>
      <c r="AL764" t="s">
        <v>67</v>
      </c>
      <c r="AM764" t="s">
        <v>164</v>
      </c>
      <c r="AN764">
        <v>75</v>
      </c>
      <c r="AO764">
        <v>767</v>
      </c>
    </row>
    <row r="765" spans="37:41">
      <c r="AK765" t="s">
        <v>1287</v>
      </c>
      <c r="AL765" t="s">
        <v>81</v>
      </c>
      <c r="AM765" t="s">
        <v>164</v>
      </c>
      <c r="AN765">
        <v>75</v>
      </c>
      <c r="AO765">
        <v>768</v>
      </c>
    </row>
    <row r="766" spans="37:41">
      <c r="AK766" t="s">
        <v>1288</v>
      </c>
      <c r="AL766" t="s">
        <v>67</v>
      </c>
      <c r="AM766" t="s">
        <v>164</v>
      </c>
      <c r="AN766">
        <v>75</v>
      </c>
      <c r="AO766">
        <v>769</v>
      </c>
    </row>
    <row r="767" spans="37:41">
      <c r="AK767" t="s">
        <v>1289</v>
      </c>
      <c r="AL767" t="s">
        <v>67</v>
      </c>
      <c r="AM767" t="s">
        <v>164</v>
      </c>
      <c r="AN767">
        <v>75</v>
      </c>
      <c r="AO767">
        <v>770</v>
      </c>
    </row>
    <row r="768" spans="37:41">
      <c r="AK768" t="s">
        <v>1290</v>
      </c>
      <c r="AL768" t="s">
        <v>67</v>
      </c>
      <c r="AM768" t="s">
        <v>164</v>
      </c>
      <c r="AN768">
        <v>75</v>
      </c>
      <c r="AO768">
        <v>771</v>
      </c>
    </row>
    <row r="769" spans="37:41">
      <c r="AK769" t="s">
        <v>1291</v>
      </c>
      <c r="AL769" t="s">
        <v>81</v>
      </c>
      <c r="AM769" t="s">
        <v>164</v>
      </c>
      <c r="AN769">
        <v>75</v>
      </c>
      <c r="AO769">
        <v>772</v>
      </c>
    </row>
    <row r="770" spans="37:41">
      <c r="AK770" t="s">
        <v>1292</v>
      </c>
      <c r="AL770" t="s">
        <v>67</v>
      </c>
      <c r="AM770" t="s">
        <v>164</v>
      </c>
      <c r="AN770">
        <v>75</v>
      </c>
      <c r="AO770">
        <v>773</v>
      </c>
    </row>
    <row r="771" spans="37:41">
      <c r="AK771" t="s">
        <v>1293</v>
      </c>
      <c r="AL771" t="s">
        <v>67</v>
      </c>
      <c r="AM771" t="s">
        <v>164</v>
      </c>
      <c r="AN771">
        <v>75</v>
      </c>
      <c r="AO771">
        <v>774</v>
      </c>
    </row>
    <row r="772" spans="37:41">
      <c r="AK772" t="s">
        <v>1294</v>
      </c>
      <c r="AL772" t="s">
        <v>67</v>
      </c>
      <c r="AM772" t="s">
        <v>164</v>
      </c>
      <c r="AN772">
        <v>75</v>
      </c>
      <c r="AO772">
        <v>775</v>
      </c>
    </row>
    <row r="773" spans="37:41">
      <c r="AK773" t="s">
        <v>1295</v>
      </c>
      <c r="AL773" t="s">
        <v>67</v>
      </c>
      <c r="AM773" t="s">
        <v>164</v>
      </c>
      <c r="AN773">
        <v>75</v>
      </c>
      <c r="AO773">
        <v>776</v>
      </c>
    </row>
    <row r="774" spans="37:41">
      <c r="AK774" t="s">
        <v>1296</v>
      </c>
      <c r="AL774" t="s">
        <v>67</v>
      </c>
      <c r="AM774" t="s">
        <v>164</v>
      </c>
      <c r="AN774">
        <v>75</v>
      </c>
      <c r="AO774">
        <v>777</v>
      </c>
    </row>
    <row r="775" spans="37:41">
      <c r="AK775" t="s">
        <v>1297</v>
      </c>
      <c r="AL775" t="s">
        <v>81</v>
      </c>
      <c r="AM775" t="s">
        <v>164</v>
      </c>
      <c r="AN775">
        <v>75</v>
      </c>
      <c r="AO775">
        <v>778</v>
      </c>
    </row>
    <row r="776" spans="37:41">
      <c r="AK776" t="s">
        <v>1298</v>
      </c>
      <c r="AL776" t="s">
        <v>81</v>
      </c>
      <c r="AM776" t="s">
        <v>164</v>
      </c>
      <c r="AN776">
        <v>75</v>
      </c>
      <c r="AO776">
        <v>779</v>
      </c>
    </row>
    <row r="777" spans="37:41">
      <c r="AK777" t="s">
        <v>1299</v>
      </c>
      <c r="AL777" t="s">
        <v>67</v>
      </c>
      <c r="AM777" t="s">
        <v>164</v>
      </c>
      <c r="AN777">
        <v>75</v>
      </c>
      <c r="AO777">
        <v>780</v>
      </c>
    </row>
    <row r="778" spans="37:41">
      <c r="AK778" t="s">
        <v>1300</v>
      </c>
      <c r="AL778" t="s">
        <v>67</v>
      </c>
      <c r="AM778" t="s">
        <v>164</v>
      </c>
      <c r="AN778">
        <v>75</v>
      </c>
      <c r="AO778">
        <v>781</v>
      </c>
    </row>
    <row r="779" spans="37:41">
      <c r="AK779" t="s">
        <v>1301</v>
      </c>
      <c r="AL779" t="s">
        <v>81</v>
      </c>
      <c r="AM779" t="s">
        <v>164</v>
      </c>
      <c r="AN779">
        <v>75</v>
      </c>
      <c r="AO779">
        <v>782</v>
      </c>
    </row>
    <row r="780" spans="37:41">
      <c r="AK780" t="s">
        <v>1302</v>
      </c>
      <c r="AL780" t="s">
        <v>81</v>
      </c>
      <c r="AM780" t="s">
        <v>164</v>
      </c>
      <c r="AN780">
        <v>75</v>
      </c>
      <c r="AO780">
        <v>783</v>
      </c>
    </row>
    <row r="781" spans="37:41">
      <c r="AK781" t="s">
        <v>1303</v>
      </c>
      <c r="AL781" t="s">
        <v>81</v>
      </c>
      <c r="AM781" t="s">
        <v>164</v>
      </c>
      <c r="AN781">
        <v>75</v>
      </c>
      <c r="AO781">
        <v>784</v>
      </c>
    </row>
    <row r="782" spans="37:41">
      <c r="AK782" t="s">
        <v>1304</v>
      </c>
      <c r="AL782" t="s">
        <v>81</v>
      </c>
      <c r="AM782" t="s">
        <v>164</v>
      </c>
      <c r="AN782">
        <v>75</v>
      </c>
      <c r="AO782">
        <v>785</v>
      </c>
    </row>
    <row r="783" spans="37:41">
      <c r="AK783" t="s">
        <v>1305</v>
      </c>
      <c r="AL783" t="s">
        <v>67</v>
      </c>
      <c r="AM783" t="s">
        <v>164</v>
      </c>
      <c r="AN783">
        <v>75</v>
      </c>
      <c r="AO783">
        <v>786</v>
      </c>
    </row>
    <row r="784" spans="37:41">
      <c r="AK784" t="s">
        <v>1306</v>
      </c>
      <c r="AL784" t="s">
        <v>67</v>
      </c>
      <c r="AM784" t="s">
        <v>164</v>
      </c>
      <c r="AN784">
        <v>75</v>
      </c>
      <c r="AO784">
        <v>787</v>
      </c>
    </row>
    <row r="785" spans="37:41">
      <c r="AK785" t="s">
        <v>1307</v>
      </c>
      <c r="AL785" t="s">
        <v>81</v>
      </c>
      <c r="AM785" t="s">
        <v>164</v>
      </c>
      <c r="AN785">
        <v>75</v>
      </c>
      <c r="AO785">
        <v>788</v>
      </c>
    </row>
    <row r="786" spans="37:41">
      <c r="AK786" t="s">
        <v>1308</v>
      </c>
      <c r="AL786" t="s">
        <v>67</v>
      </c>
      <c r="AM786" t="s">
        <v>164</v>
      </c>
      <c r="AN786">
        <v>75</v>
      </c>
      <c r="AO786">
        <v>789</v>
      </c>
    </row>
    <row r="787" spans="37:41">
      <c r="AK787" t="s">
        <v>1309</v>
      </c>
      <c r="AL787" t="s">
        <v>67</v>
      </c>
      <c r="AM787" t="s">
        <v>164</v>
      </c>
      <c r="AN787">
        <v>75</v>
      </c>
      <c r="AO787">
        <v>790</v>
      </c>
    </row>
    <row r="788" spans="37:41">
      <c r="AK788" t="s">
        <v>1310</v>
      </c>
      <c r="AL788" t="s">
        <v>67</v>
      </c>
      <c r="AM788" t="s">
        <v>164</v>
      </c>
      <c r="AN788">
        <v>75</v>
      </c>
      <c r="AO788">
        <v>791</v>
      </c>
    </row>
    <row r="789" spans="37:41">
      <c r="AK789" t="s">
        <v>1311</v>
      </c>
      <c r="AL789" t="s">
        <v>81</v>
      </c>
      <c r="AM789" t="s">
        <v>164</v>
      </c>
      <c r="AN789">
        <v>75</v>
      </c>
      <c r="AO789">
        <v>792</v>
      </c>
    </row>
    <row r="790" spans="37:41">
      <c r="AK790" t="s">
        <v>1312</v>
      </c>
      <c r="AL790" t="s">
        <v>67</v>
      </c>
      <c r="AM790" t="s">
        <v>164</v>
      </c>
      <c r="AN790">
        <v>75</v>
      </c>
      <c r="AO790">
        <v>793</v>
      </c>
    </row>
    <row r="791" spans="37:41">
      <c r="AK791" t="s">
        <v>1313</v>
      </c>
      <c r="AL791" t="s">
        <v>67</v>
      </c>
      <c r="AM791" t="s">
        <v>164</v>
      </c>
      <c r="AN791">
        <v>75</v>
      </c>
      <c r="AO791">
        <v>794</v>
      </c>
    </row>
    <row r="792" spans="37:41">
      <c r="AK792" t="s">
        <v>1314</v>
      </c>
      <c r="AL792" t="s">
        <v>67</v>
      </c>
      <c r="AM792" t="s">
        <v>164</v>
      </c>
      <c r="AN792">
        <v>75</v>
      </c>
      <c r="AO792">
        <v>795</v>
      </c>
    </row>
    <row r="793" spans="37:41">
      <c r="AK793" t="s">
        <v>1315</v>
      </c>
      <c r="AL793" t="s">
        <v>81</v>
      </c>
      <c r="AM793" t="s">
        <v>164</v>
      </c>
      <c r="AN793">
        <v>75</v>
      </c>
      <c r="AO793">
        <v>796</v>
      </c>
    </row>
    <row r="794" spans="37:41">
      <c r="AK794" t="s">
        <v>1316</v>
      </c>
      <c r="AL794" t="s">
        <v>67</v>
      </c>
      <c r="AM794" t="s">
        <v>129</v>
      </c>
      <c r="AN794">
        <v>75</v>
      </c>
      <c r="AO794">
        <v>797</v>
      </c>
    </row>
    <row r="795" spans="37:41">
      <c r="AK795" t="s">
        <v>1317</v>
      </c>
      <c r="AL795" t="s">
        <v>67</v>
      </c>
      <c r="AM795" t="s">
        <v>129</v>
      </c>
      <c r="AN795">
        <v>75</v>
      </c>
      <c r="AO795">
        <v>798</v>
      </c>
    </row>
    <row r="796" spans="37:41">
      <c r="AK796" t="s">
        <v>1318</v>
      </c>
      <c r="AL796" t="s">
        <v>67</v>
      </c>
      <c r="AM796" t="s">
        <v>129</v>
      </c>
      <c r="AN796">
        <v>75</v>
      </c>
      <c r="AO796">
        <v>799</v>
      </c>
    </row>
    <row r="797" spans="37:41">
      <c r="AK797" t="s">
        <v>1319</v>
      </c>
      <c r="AL797" t="s">
        <v>67</v>
      </c>
      <c r="AM797" t="s">
        <v>129</v>
      </c>
      <c r="AN797">
        <v>75</v>
      </c>
      <c r="AO797">
        <v>800</v>
      </c>
    </row>
    <row r="798" spans="37:41">
      <c r="AK798" t="s">
        <v>1320</v>
      </c>
      <c r="AL798" t="s">
        <v>67</v>
      </c>
      <c r="AM798" t="s">
        <v>129</v>
      </c>
      <c r="AN798">
        <v>75</v>
      </c>
      <c r="AO798">
        <v>801</v>
      </c>
    </row>
    <row r="799" spans="37:41">
      <c r="AK799" t="s">
        <v>1321</v>
      </c>
      <c r="AL799" t="s">
        <v>81</v>
      </c>
      <c r="AM799" t="s">
        <v>129</v>
      </c>
      <c r="AN799">
        <v>75</v>
      </c>
      <c r="AO799">
        <v>802</v>
      </c>
    </row>
    <row r="800" spans="37:41">
      <c r="AK800" t="s">
        <v>1322</v>
      </c>
      <c r="AL800" t="s">
        <v>81</v>
      </c>
      <c r="AM800" t="s">
        <v>129</v>
      </c>
      <c r="AN800">
        <v>75</v>
      </c>
      <c r="AO800">
        <v>803</v>
      </c>
    </row>
    <row r="801" spans="37:41">
      <c r="AK801" t="s">
        <v>1323</v>
      </c>
      <c r="AL801" t="s">
        <v>67</v>
      </c>
      <c r="AM801" t="s">
        <v>129</v>
      </c>
      <c r="AN801">
        <v>75</v>
      </c>
      <c r="AO801">
        <v>804</v>
      </c>
    </row>
    <row r="802" spans="37:41">
      <c r="AK802" t="s">
        <v>1324</v>
      </c>
      <c r="AL802" t="s">
        <v>67</v>
      </c>
      <c r="AM802" t="s">
        <v>129</v>
      </c>
      <c r="AN802">
        <v>75</v>
      </c>
      <c r="AO802">
        <v>805</v>
      </c>
    </row>
    <row r="803" spans="37:41">
      <c r="AK803" t="s">
        <v>1325</v>
      </c>
      <c r="AL803" t="s">
        <v>81</v>
      </c>
      <c r="AM803" t="s">
        <v>129</v>
      </c>
      <c r="AN803">
        <v>75</v>
      </c>
      <c r="AO803">
        <v>806</v>
      </c>
    </row>
    <row r="804" spans="37:41">
      <c r="AK804" t="s">
        <v>1326</v>
      </c>
      <c r="AL804" t="s">
        <v>81</v>
      </c>
      <c r="AM804" t="s">
        <v>129</v>
      </c>
      <c r="AN804">
        <v>75</v>
      </c>
      <c r="AO804">
        <v>807</v>
      </c>
    </row>
    <row r="805" spans="37:41">
      <c r="AK805" t="s">
        <v>1327</v>
      </c>
      <c r="AL805" t="s">
        <v>81</v>
      </c>
      <c r="AM805" t="s">
        <v>129</v>
      </c>
      <c r="AN805">
        <v>75</v>
      </c>
      <c r="AO805">
        <v>808</v>
      </c>
    </row>
    <row r="806" spans="37:41">
      <c r="AK806" t="s">
        <v>1328</v>
      </c>
      <c r="AL806" t="s">
        <v>81</v>
      </c>
      <c r="AM806" t="s">
        <v>129</v>
      </c>
      <c r="AN806">
        <v>75</v>
      </c>
      <c r="AO806">
        <v>809</v>
      </c>
    </row>
    <row r="807" spans="37:41">
      <c r="AK807" t="s">
        <v>1329</v>
      </c>
      <c r="AL807" t="s">
        <v>67</v>
      </c>
      <c r="AM807" t="s">
        <v>129</v>
      </c>
      <c r="AN807">
        <v>75</v>
      </c>
      <c r="AO807">
        <v>810</v>
      </c>
    </row>
    <row r="808" spans="37:41">
      <c r="AK808" t="s">
        <v>1330</v>
      </c>
      <c r="AL808" t="s">
        <v>67</v>
      </c>
      <c r="AM808" t="s">
        <v>129</v>
      </c>
      <c r="AN808">
        <v>75</v>
      </c>
      <c r="AO808">
        <v>811</v>
      </c>
    </row>
    <row r="809" spans="37:41">
      <c r="AK809" t="s">
        <v>1331</v>
      </c>
      <c r="AL809" t="s">
        <v>81</v>
      </c>
      <c r="AM809" t="s">
        <v>129</v>
      </c>
      <c r="AN809">
        <v>75</v>
      </c>
      <c r="AO809">
        <v>812</v>
      </c>
    </row>
    <row r="810" spans="37:41">
      <c r="AK810" t="s">
        <v>1332</v>
      </c>
      <c r="AL810" t="s">
        <v>67</v>
      </c>
      <c r="AM810" t="s">
        <v>129</v>
      </c>
      <c r="AN810">
        <v>75</v>
      </c>
      <c r="AO810">
        <v>813</v>
      </c>
    </row>
    <row r="811" spans="37:41">
      <c r="AK811" t="s">
        <v>1333</v>
      </c>
      <c r="AL811" t="s">
        <v>67</v>
      </c>
      <c r="AM811" t="s">
        <v>129</v>
      </c>
      <c r="AN811">
        <v>75</v>
      </c>
      <c r="AO811">
        <v>814</v>
      </c>
    </row>
    <row r="812" spans="37:41">
      <c r="AK812" t="s">
        <v>1334</v>
      </c>
      <c r="AL812" t="s">
        <v>67</v>
      </c>
      <c r="AM812" t="s">
        <v>129</v>
      </c>
      <c r="AN812">
        <v>75</v>
      </c>
      <c r="AO812">
        <v>815</v>
      </c>
    </row>
    <row r="813" spans="37:41">
      <c r="AK813" t="s">
        <v>1335</v>
      </c>
      <c r="AL813" t="s">
        <v>81</v>
      </c>
      <c r="AM813" t="s">
        <v>129</v>
      </c>
      <c r="AN813">
        <v>75</v>
      </c>
      <c r="AO813">
        <v>816</v>
      </c>
    </row>
    <row r="814" spans="37:41">
      <c r="AK814" t="s">
        <v>1336</v>
      </c>
      <c r="AL814" t="s">
        <v>67</v>
      </c>
      <c r="AM814" t="s">
        <v>129</v>
      </c>
      <c r="AN814">
        <v>75</v>
      </c>
      <c r="AO814">
        <v>817</v>
      </c>
    </row>
    <row r="815" spans="37:41">
      <c r="AK815" t="s">
        <v>1337</v>
      </c>
      <c r="AL815" t="s">
        <v>67</v>
      </c>
      <c r="AM815" t="s">
        <v>129</v>
      </c>
      <c r="AN815">
        <v>75</v>
      </c>
      <c r="AO815">
        <v>818</v>
      </c>
    </row>
    <row r="816" spans="37:41">
      <c r="AK816" t="s">
        <v>1338</v>
      </c>
      <c r="AL816" t="s">
        <v>67</v>
      </c>
      <c r="AM816" t="s">
        <v>129</v>
      </c>
      <c r="AN816">
        <v>75</v>
      </c>
      <c r="AO816">
        <v>819</v>
      </c>
    </row>
    <row r="817" spans="37:41">
      <c r="AK817" t="s">
        <v>1339</v>
      </c>
      <c r="AL817" t="s">
        <v>81</v>
      </c>
      <c r="AM817" t="s">
        <v>129</v>
      </c>
      <c r="AN817">
        <v>75</v>
      </c>
      <c r="AO817">
        <v>820</v>
      </c>
    </row>
    <row r="818" spans="37:41">
      <c r="AK818" t="s">
        <v>1340</v>
      </c>
      <c r="AL818" t="s">
        <v>67</v>
      </c>
      <c r="AM818" t="s">
        <v>170</v>
      </c>
      <c r="AN818">
        <v>160</v>
      </c>
      <c r="AO818">
        <v>821</v>
      </c>
    </row>
    <row r="819" spans="37:41">
      <c r="AK819" t="s">
        <v>1341</v>
      </c>
      <c r="AL819" t="s">
        <v>67</v>
      </c>
      <c r="AM819" t="s">
        <v>170</v>
      </c>
      <c r="AN819">
        <v>160</v>
      </c>
      <c r="AO819">
        <v>822</v>
      </c>
    </row>
    <row r="820" spans="37:41">
      <c r="AK820" t="s">
        <v>1342</v>
      </c>
      <c r="AL820" t="s">
        <v>67</v>
      </c>
      <c r="AM820" t="s">
        <v>170</v>
      </c>
      <c r="AN820">
        <v>160</v>
      </c>
      <c r="AO820">
        <v>823</v>
      </c>
    </row>
    <row r="821" spans="37:41">
      <c r="AK821" t="s">
        <v>1343</v>
      </c>
      <c r="AL821" t="s">
        <v>67</v>
      </c>
      <c r="AM821" t="s">
        <v>170</v>
      </c>
      <c r="AN821">
        <v>160</v>
      </c>
      <c r="AO821">
        <v>824</v>
      </c>
    </row>
    <row r="822" spans="37:41">
      <c r="AK822" t="s">
        <v>1344</v>
      </c>
      <c r="AL822" t="s">
        <v>67</v>
      </c>
      <c r="AM822" t="s">
        <v>170</v>
      </c>
      <c r="AN822">
        <v>160</v>
      </c>
      <c r="AO822">
        <v>825</v>
      </c>
    </row>
    <row r="823" spans="37:41">
      <c r="AK823" t="s">
        <v>1345</v>
      </c>
      <c r="AL823" t="s">
        <v>81</v>
      </c>
      <c r="AM823" t="s">
        <v>170</v>
      </c>
      <c r="AN823">
        <v>160</v>
      </c>
      <c r="AO823">
        <v>826</v>
      </c>
    </row>
    <row r="824" spans="37:41">
      <c r="AK824" t="s">
        <v>1346</v>
      </c>
      <c r="AL824" t="s">
        <v>81</v>
      </c>
      <c r="AM824" t="s">
        <v>170</v>
      </c>
      <c r="AN824">
        <v>160</v>
      </c>
      <c r="AO824">
        <v>827</v>
      </c>
    </row>
    <row r="825" spans="37:41">
      <c r="AK825" t="s">
        <v>1347</v>
      </c>
      <c r="AL825" t="s">
        <v>67</v>
      </c>
      <c r="AM825" t="s">
        <v>170</v>
      </c>
      <c r="AN825">
        <v>160</v>
      </c>
      <c r="AO825">
        <v>828</v>
      </c>
    </row>
    <row r="826" spans="37:41">
      <c r="AK826" t="s">
        <v>1348</v>
      </c>
      <c r="AL826" t="s">
        <v>67</v>
      </c>
      <c r="AM826" t="s">
        <v>170</v>
      </c>
      <c r="AN826">
        <v>160</v>
      </c>
      <c r="AO826">
        <v>829</v>
      </c>
    </row>
    <row r="827" spans="37:41">
      <c r="AK827" t="s">
        <v>1349</v>
      </c>
      <c r="AL827" t="s">
        <v>81</v>
      </c>
      <c r="AM827" t="s">
        <v>170</v>
      </c>
      <c r="AN827">
        <v>160</v>
      </c>
      <c r="AO827">
        <v>830</v>
      </c>
    </row>
    <row r="828" spans="37:41">
      <c r="AK828" t="s">
        <v>1350</v>
      </c>
      <c r="AL828" t="s">
        <v>81</v>
      </c>
      <c r="AM828" t="s">
        <v>170</v>
      </c>
      <c r="AN828">
        <v>160</v>
      </c>
      <c r="AO828">
        <v>831</v>
      </c>
    </row>
    <row r="829" spans="37:41">
      <c r="AK829" t="s">
        <v>1351</v>
      </c>
      <c r="AL829" t="s">
        <v>81</v>
      </c>
      <c r="AM829" t="s">
        <v>170</v>
      </c>
      <c r="AN829">
        <v>160</v>
      </c>
      <c r="AO829">
        <v>832</v>
      </c>
    </row>
    <row r="830" spans="37:41">
      <c r="AK830" t="s">
        <v>1352</v>
      </c>
      <c r="AL830" t="s">
        <v>81</v>
      </c>
      <c r="AM830" t="s">
        <v>170</v>
      </c>
      <c r="AN830">
        <v>160</v>
      </c>
      <c r="AO830">
        <v>833</v>
      </c>
    </row>
    <row r="831" spans="37:41">
      <c r="AK831" t="s">
        <v>1353</v>
      </c>
      <c r="AL831" t="s">
        <v>67</v>
      </c>
      <c r="AM831" t="s">
        <v>170</v>
      </c>
      <c r="AN831">
        <v>160</v>
      </c>
      <c r="AO831">
        <v>834</v>
      </c>
    </row>
    <row r="832" spans="37:41">
      <c r="AK832" t="s">
        <v>1354</v>
      </c>
      <c r="AL832" t="s">
        <v>67</v>
      </c>
      <c r="AM832" t="s">
        <v>170</v>
      </c>
      <c r="AN832">
        <v>160</v>
      </c>
      <c r="AO832">
        <v>835</v>
      </c>
    </row>
    <row r="833" spans="37:41">
      <c r="AK833" t="s">
        <v>1355</v>
      </c>
      <c r="AL833" t="s">
        <v>81</v>
      </c>
      <c r="AM833" t="s">
        <v>170</v>
      </c>
      <c r="AN833">
        <v>160</v>
      </c>
      <c r="AO833">
        <v>836</v>
      </c>
    </row>
    <row r="834" spans="37:41">
      <c r="AK834" t="s">
        <v>1356</v>
      </c>
      <c r="AL834" t="s">
        <v>67</v>
      </c>
      <c r="AM834" t="s">
        <v>170</v>
      </c>
      <c r="AN834">
        <v>160</v>
      </c>
      <c r="AO834">
        <v>837</v>
      </c>
    </row>
    <row r="835" spans="37:41">
      <c r="AK835" t="s">
        <v>1357</v>
      </c>
      <c r="AL835" t="s">
        <v>67</v>
      </c>
      <c r="AM835" t="s">
        <v>170</v>
      </c>
      <c r="AN835">
        <v>160</v>
      </c>
      <c r="AO835">
        <v>838</v>
      </c>
    </row>
    <row r="836" spans="37:41">
      <c r="AK836" t="s">
        <v>1358</v>
      </c>
      <c r="AL836" t="s">
        <v>67</v>
      </c>
      <c r="AM836" t="s">
        <v>170</v>
      </c>
      <c r="AN836">
        <v>160</v>
      </c>
      <c r="AO836">
        <v>839</v>
      </c>
    </row>
    <row r="837" spans="37:41">
      <c r="AK837" t="s">
        <v>1359</v>
      </c>
      <c r="AL837" t="s">
        <v>81</v>
      </c>
      <c r="AM837" t="s">
        <v>170</v>
      </c>
      <c r="AN837">
        <v>160</v>
      </c>
      <c r="AO837">
        <v>840</v>
      </c>
    </row>
    <row r="838" spans="37:41">
      <c r="AK838" t="s">
        <v>1360</v>
      </c>
      <c r="AL838" t="s">
        <v>67</v>
      </c>
      <c r="AM838" t="s">
        <v>170</v>
      </c>
      <c r="AN838">
        <v>160</v>
      </c>
      <c r="AO838">
        <v>841</v>
      </c>
    </row>
    <row r="839" spans="37:41">
      <c r="AK839" t="s">
        <v>1361</v>
      </c>
      <c r="AL839" t="s">
        <v>67</v>
      </c>
      <c r="AM839" t="s">
        <v>170</v>
      </c>
      <c r="AN839">
        <v>160</v>
      </c>
      <c r="AO839">
        <v>842</v>
      </c>
    </row>
    <row r="840" spans="37:41">
      <c r="AK840" t="s">
        <v>1362</v>
      </c>
      <c r="AL840" t="s">
        <v>67</v>
      </c>
      <c r="AM840" t="s">
        <v>170</v>
      </c>
      <c r="AN840">
        <v>160</v>
      </c>
      <c r="AO840">
        <v>843</v>
      </c>
    </row>
    <row r="841" spans="37:41">
      <c r="AK841" t="s">
        <v>1363</v>
      </c>
      <c r="AL841" t="s">
        <v>81</v>
      </c>
      <c r="AM841" t="s">
        <v>170</v>
      </c>
      <c r="AN841">
        <v>160</v>
      </c>
      <c r="AO841">
        <v>844</v>
      </c>
    </row>
    <row r="842" spans="37:41">
      <c r="AK842" t="s">
        <v>1364</v>
      </c>
      <c r="AL842" t="s">
        <v>67</v>
      </c>
      <c r="AM842" t="s">
        <v>170</v>
      </c>
      <c r="AN842">
        <v>160</v>
      </c>
      <c r="AO842">
        <v>845</v>
      </c>
    </row>
    <row r="843" spans="37:41">
      <c r="AK843" t="s">
        <v>1365</v>
      </c>
      <c r="AL843" t="s">
        <v>67</v>
      </c>
      <c r="AM843" t="s">
        <v>170</v>
      </c>
      <c r="AN843">
        <v>160</v>
      </c>
      <c r="AO843">
        <v>846</v>
      </c>
    </row>
    <row r="844" spans="37:41">
      <c r="AK844" t="s">
        <v>1366</v>
      </c>
      <c r="AL844" t="s">
        <v>67</v>
      </c>
      <c r="AM844" t="s">
        <v>170</v>
      </c>
      <c r="AN844">
        <v>160</v>
      </c>
      <c r="AO844">
        <v>847</v>
      </c>
    </row>
    <row r="845" spans="37:41">
      <c r="AK845" t="s">
        <v>1367</v>
      </c>
      <c r="AL845" t="s">
        <v>67</v>
      </c>
      <c r="AM845" t="s">
        <v>170</v>
      </c>
      <c r="AN845">
        <v>160</v>
      </c>
      <c r="AO845">
        <v>848</v>
      </c>
    </row>
    <row r="846" spans="37:41">
      <c r="AK846" t="s">
        <v>1368</v>
      </c>
      <c r="AL846" t="s">
        <v>67</v>
      </c>
      <c r="AM846" t="s">
        <v>170</v>
      </c>
      <c r="AN846">
        <v>160</v>
      </c>
      <c r="AO846">
        <v>849</v>
      </c>
    </row>
    <row r="847" spans="37:41">
      <c r="AK847" t="s">
        <v>1369</v>
      </c>
      <c r="AL847" t="s">
        <v>81</v>
      </c>
      <c r="AM847" t="s">
        <v>170</v>
      </c>
      <c r="AN847">
        <v>160</v>
      </c>
      <c r="AO847">
        <v>850</v>
      </c>
    </row>
    <row r="848" spans="37:41">
      <c r="AK848" t="s">
        <v>1370</v>
      </c>
      <c r="AL848" t="s">
        <v>81</v>
      </c>
      <c r="AM848" t="s">
        <v>170</v>
      </c>
      <c r="AN848">
        <v>160</v>
      </c>
      <c r="AO848">
        <v>851</v>
      </c>
    </row>
    <row r="849" spans="37:41">
      <c r="AK849" t="s">
        <v>1371</v>
      </c>
      <c r="AL849" t="s">
        <v>67</v>
      </c>
      <c r="AM849" t="s">
        <v>170</v>
      </c>
      <c r="AN849">
        <v>160</v>
      </c>
      <c r="AO849">
        <v>852</v>
      </c>
    </row>
    <row r="850" spans="37:41">
      <c r="AK850" t="s">
        <v>1372</v>
      </c>
      <c r="AL850" t="s">
        <v>67</v>
      </c>
      <c r="AM850" t="s">
        <v>170</v>
      </c>
      <c r="AN850">
        <v>160</v>
      </c>
      <c r="AO850">
        <v>853</v>
      </c>
    </row>
    <row r="851" spans="37:41">
      <c r="AK851" t="s">
        <v>1373</v>
      </c>
      <c r="AL851" t="s">
        <v>81</v>
      </c>
      <c r="AM851" t="s">
        <v>170</v>
      </c>
      <c r="AN851">
        <v>160</v>
      </c>
      <c r="AO851">
        <v>854</v>
      </c>
    </row>
    <row r="852" spans="37:41">
      <c r="AK852" t="s">
        <v>1374</v>
      </c>
      <c r="AL852" t="s">
        <v>81</v>
      </c>
      <c r="AM852" t="s">
        <v>170</v>
      </c>
      <c r="AN852">
        <v>160</v>
      </c>
      <c r="AO852">
        <v>855</v>
      </c>
    </row>
    <row r="853" spans="37:41">
      <c r="AK853" t="s">
        <v>1375</v>
      </c>
      <c r="AL853" t="s">
        <v>81</v>
      </c>
      <c r="AM853" t="s">
        <v>170</v>
      </c>
      <c r="AN853">
        <v>160</v>
      </c>
      <c r="AO853">
        <v>856</v>
      </c>
    </row>
    <row r="854" spans="37:41">
      <c r="AK854" t="s">
        <v>1376</v>
      </c>
      <c r="AL854" t="s">
        <v>81</v>
      </c>
      <c r="AM854" t="s">
        <v>170</v>
      </c>
      <c r="AN854">
        <v>160</v>
      </c>
      <c r="AO854">
        <v>857</v>
      </c>
    </row>
    <row r="855" spans="37:41">
      <c r="AK855" t="s">
        <v>1377</v>
      </c>
      <c r="AL855" t="s">
        <v>67</v>
      </c>
      <c r="AM855" t="s">
        <v>170</v>
      </c>
      <c r="AN855">
        <v>160</v>
      </c>
      <c r="AO855">
        <v>858</v>
      </c>
    </row>
    <row r="856" spans="37:41">
      <c r="AK856" t="s">
        <v>1378</v>
      </c>
      <c r="AL856" t="s">
        <v>67</v>
      </c>
      <c r="AM856" t="s">
        <v>170</v>
      </c>
      <c r="AN856">
        <v>160</v>
      </c>
      <c r="AO856">
        <v>859</v>
      </c>
    </row>
    <row r="857" spans="37:41">
      <c r="AK857" t="s">
        <v>1379</v>
      </c>
      <c r="AL857" t="s">
        <v>81</v>
      </c>
      <c r="AM857" t="s">
        <v>170</v>
      </c>
      <c r="AN857">
        <v>160</v>
      </c>
      <c r="AO857">
        <v>860</v>
      </c>
    </row>
    <row r="858" spans="37:41">
      <c r="AK858" t="s">
        <v>1380</v>
      </c>
      <c r="AL858" t="s">
        <v>67</v>
      </c>
      <c r="AM858" t="s">
        <v>170</v>
      </c>
      <c r="AN858">
        <v>160</v>
      </c>
      <c r="AO858">
        <v>861</v>
      </c>
    </row>
    <row r="859" spans="37:41">
      <c r="AK859" t="s">
        <v>1381</v>
      </c>
      <c r="AL859" t="s">
        <v>67</v>
      </c>
      <c r="AM859" t="s">
        <v>170</v>
      </c>
      <c r="AN859">
        <v>160</v>
      </c>
      <c r="AO859">
        <v>862</v>
      </c>
    </row>
    <row r="860" spans="37:41">
      <c r="AK860" t="s">
        <v>1382</v>
      </c>
      <c r="AL860" t="s">
        <v>67</v>
      </c>
      <c r="AM860" t="s">
        <v>170</v>
      </c>
      <c r="AN860">
        <v>160</v>
      </c>
      <c r="AO860">
        <v>863</v>
      </c>
    </row>
    <row r="861" spans="37:41">
      <c r="AK861" t="s">
        <v>1383</v>
      </c>
      <c r="AL861" t="s">
        <v>81</v>
      </c>
      <c r="AM861" t="s">
        <v>170</v>
      </c>
      <c r="AN861">
        <v>160</v>
      </c>
      <c r="AO861">
        <v>864</v>
      </c>
    </row>
    <row r="862" spans="37:41">
      <c r="AK862" t="s">
        <v>1384</v>
      </c>
      <c r="AL862" t="s">
        <v>67</v>
      </c>
      <c r="AM862" t="s">
        <v>170</v>
      </c>
      <c r="AN862">
        <v>160</v>
      </c>
      <c r="AO862">
        <v>865</v>
      </c>
    </row>
    <row r="863" spans="37:41">
      <c r="AK863" t="s">
        <v>1385</v>
      </c>
      <c r="AL863" t="s">
        <v>67</v>
      </c>
      <c r="AM863" t="s">
        <v>170</v>
      </c>
      <c r="AN863">
        <v>160</v>
      </c>
      <c r="AO863">
        <v>866</v>
      </c>
    </row>
    <row r="864" spans="37:41">
      <c r="AK864" t="s">
        <v>1386</v>
      </c>
      <c r="AL864" t="s">
        <v>67</v>
      </c>
      <c r="AM864" t="s">
        <v>170</v>
      </c>
      <c r="AN864">
        <v>160</v>
      </c>
      <c r="AO864">
        <v>867</v>
      </c>
    </row>
    <row r="865" spans="37:41">
      <c r="AK865" t="s">
        <v>1387</v>
      </c>
      <c r="AL865" t="s">
        <v>81</v>
      </c>
      <c r="AM865" t="s">
        <v>170</v>
      </c>
      <c r="AN865">
        <v>160</v>
      </c>
      <c r="AO865">
        <v>868</v>
      </c>
    </row>
    <row r="866" spans="37:41">
      <c r="AK866" t="s">
        <v>1388</v>
      </c>
      <c r="AL866" t="s">
        <v>67</v>
      </c>
      <c r="AM866" t="s">
        <v>174</v>
      </c>
      <c r="AN866">
        <v>160</v>
      </c>
      <c r="AO866">
        <v>869</v>
      </c>
    </row>
    <row r="867" spans="37:41">
      <c r="AK867" t="s">
        <v>1389</v>
      </c>
      <c r="AL867" t="s">
        <v>67</v>
      </c>
      <c r="AM867" t="s">
        <v>174</v>
      </c>
      <c r="AN867">
        <v>160</v>
      </c>
      <c r="AO867">
        <v>870</v>
      </c>
    </row>
    <row r="868" spans="37:41">
      <c r="AK868" t="s">
        <v>1390</v>
      </c>
      <c r="AL868" t="s">
        <v>67</v>
      </c>
      <c r="AM868" t="s">
        <v>174</v>
      </c>
      <c r="AN868">
        <v>160</v>
      </c>
      <c r="AO868">
        <v>871</v>
      </c>
    </row>
    <row r="869" spans="37:41">
      <c r="AK869" t="s">
        <v>1391</v>
      </c>
      <c r="AL869" t="s">
        <v>67</v>
      </c>
      <c r="AM869" t="s">
        <v>174</v>
      </c>
      <c r="AN869">
        <v>160</v>
      </c>
      <c r="AO869">
        <v>872</v>
      </c>
    </row>
    <row r="870" spans="37:41">
      <c r="AK870" t="s">
        <v>1392</v>
      </c>
      <c r="AL870" t="s">
        <v>67</v>
      </c>
      <c r="AM870" t="s">
        <v>174</v>
      </c>
      <c r="AN870">
        <v>160</v>
      </c>
      <c r="AO870">
        <v>873</v>
      </c>
    </row>
    <row r="871" spans="37:41">
      <c r="AK871" t="s">
        <v>1393</v>
      </c>
      <c r="AL871" t="s">
        <v>81</v>
      </c>
      <c r="AM871" t="s">
        <v>174</v>
      </c>
      <c r="AN871">
        <v>160</v>
      </c>
      <c r="AO871">
        <v>874</v>
      </c>
    </row>
    <row r="872" spans="37:41">
      <c r="AK872" t="s">
        <v>1394</v>
      </c>
      <c r="AL872" t="s">
        <v>81</v>
      </c>
      <c r="AM872" t="s">
        <v>174</v>
      </c>
      <c r="AN872">
        <v>160</v>
      </c>
      <c r="AO872">
        <v>875</v>
      </c>
    </row>
    <row r="873" spans="37:41">
      <c r="AK873" t="s">
        <v>1395</v>
      </c>
      <c r="AL873" t="s">
        <v>67</v>
      </c>
      <c r="AM873" t="s">
        <v>174</v>
      </c>
      <c r="AN873">
        <v>160</v>
      </c>
      <c r="AO873">
        <v>876</v>
      </c>
    </row>
    <row r="874" spans="37:41">
      <c r="AK874" t="s">
        <v>1396</v>
      </c>
      <c r="AL874" t="s">
        <v>67</v>
      </c>
      <c r="AM874" t="s">
        <v>174</v>
      </c>
      <c r="AN874">
        <v>160</v>
      </c>
      <c r="AO874">
        <v>877</v>
      </c>
    </row>
    <row r="875" spans="37:41">
      <c r="AK875" t="s">
        <v>1397</v>
      </c>
      <c r="AL875" t="s">
        <v>81</v>
      </c>
      <c r="AM875" t="s">
        <v>174</v>
      </c>
      <c r="AN875">
        <v>160</v>
      </c>
      <c r="AO875">
        <v>878</v>
      </c>
    </row>
    <row r="876" spans="37:41">
      <c r="AK876" t="s">
        <v>1398</v>
      </c>
      <c r="AL876" t="s">
        <v>81</v>
      </c>
      <c r="AM876" t="s">
        <v>174</v>
      </c>
      <c r="AN876">
        <v>160</v>
      </c>
      <c r="AO876">
        <v>879</v>
      </c>
    </row>
    <row r="877" spans="37:41">
      <c r="AK877" t="s">
        <v>1399</v>
      </c>
      <c r="AL877" t="s">
        <v>81</v>
      </c>
      <c r="AM877" t="s">
        <v>174</v>
      </c>
      <c r="AN877">
        <v>160</v>
      </c>
      <c r="AO877">
        <v>880</v>
      </c>
    </row>
    <row r="878" spans="37:41">
      <c r="AK878" t="s">
        <v>1400</v>
      </c>
      <c r="AL878" t="s">
        <v>81</v>
      </c>
      <c r="AM878" t="s">
        <v>174</v>
      </c>
      <c r="AN878">
        <v>160</v>
      </c>
      <c r="AO878">
        <v>881</v>
      </c>
    </row>
    <row r="879" spans="37:41">
      <c r="AK879" t="s">
        <v>1401</v>
      </c>
      <c r="AL879" t="s">
        <v>67</v>
      </c>
      <c r="AM879" t="s">
        <v>174</v>
      </c>
      <c r="AN879">
        <v>160</v>
      </c>
      <c r="AO879">
        <v>882</v>
      </c>
    </row>
    <row r="880" spans="37:41">
      <c r="AK880" t="s">
        <v>1402</v>
      </c>
      <c r="AL880" t="s">
        <v>67</v>
      </c>
      <c r="AM880" t="s">
        <v>174</v>
      </c>
      <c r="AN880">
        <v>160</v>
      </c>
      <c r="AO880">
        <v>883</v>
      </c>
    </row>
    <row r="881" spans="37:41">
      <c r="AK881" t="s">
        <v>1403</v>
      </c>
      <c r="AL881" t="s">
        <v>81</v>
      </c>
      <c r="AM881" t="s">
        <v>174</v>
      </c>
      <c r="AN881">
        <v>160</v>
      </c>
      <c r="AO881">
        <v>884</v>
      </c>
    </row>
    <row r="882" spans="37:41">
      <c r="AK882" t="s">
        <v>1404</v>
      </c>
      <c r="AL882" t="s">
        <v>67</v>
      </c>
      <c r="AM882" t="s">
        <v>174</v>
      </c>
      <c r="AN882">
        <v>160</v>
      </c>
      <c r="AO882">
        <v>885</v>
      </c>
    </row>
    <row r="883" spans="37:41">
      <c r="AK883" t="s">
        <v>1405</v>
      </c>
      <c r="AL883" t="s">
        <v>67</v>
      </c>
      <c r="AM883" t="s">
        <v>174</v>
      </c>
      <c r="AN883">
        <v>160</v>
      </c>
      <c r="AO883">
        <v>886</v>
      </c>
    </row>
    <row r="884" spans="37:41">
      <c r="AK884" t="s">
        <v>1406</v>
      </c>
      <c r="AL884" t="s">
        <v>67</v>
      </c>
      <c r="AM884" t="s">
        <v>174</v>
      </c>
      <c r="AN884">
        <v>160</v>
      </c>
      <c r="AO884">
        <v>887</v>
      </c>
    </row>
    <row r="885" spans="37:41">
      <c r="AK885" t="s">
        <v>1407</v>
      </c>
      <c r="AL885" t="s">
        <v>81</v>
      </c>
      <c r="AM885" t="s">
        <v>174</v>
      </c>
      <c r="AN885">
        <v>160</v>
      </c>
      <c r="AO885">
        <v>888</v>
      </c>
    </row>
    <row r="886" spans="37:41">
      <c r="AK886" t="s">
        <v>1408</v>
      </c>
      <c r="AL886" t="s">
        <v>67</v>
      </c>
      <c r="AM886" t="s">
        <v>174</v>
      </c>
      <c r="AN886">
        <v>160</v>
      </c>
      <c r="AO886">
        <v>889</v>
      </c>
    </row>
    <row r="887" spans="37:41">
      <c r="AK887" t="s">
        <v>1409</v>
      </c>
      <c r="AL887" t="s">
        <v>67</v>
      </c>
      <c r="AM887" t="s">
        <v>174</v>
      </c>
      <c r="AN887">
        <v>160</v>
      </c>
      <c r="AO887">
        <v>890</v>
      </c>
    </row>
    <row r="888" spans="37:41">
      <c r="AK888" t="s">
        <v>1410</v>
      </c>
      <c r="AL888" t="s">
        <v>67</v>
      </c>
      <c r="AM888" t="s">
        <v>174</v>
      </c>
      <c r="AN888">
        <v>160</v>
      </c>
      <c r="AO888">
        <v>891</v>
      </c>
    </row>
    <row r="889" spans="37:41">
      <c r="AK889" t="s">
        <v>1411</v>
      </c>
      <c r="AL889" t="s">
        <v>81</v>
      </c>
      <c r="AM889" t="s">
        <v>174</v>
      </c>
      <c r="AN889">
        <v>160</v>
      </c>
      <c r="AO889">
        <v>892</v>
      </c>
    </row>
    <row r="890" spans="37:41">
      <c r="AK890" t="s">
        <v>1412</v>
      </c>
      <c r="AL890" t="s">
        <v>67</v>
      </c>
      <c r="AM890" t="s">
        <v>170</v>
      </c>
      <c r="AN890">
        <v>160</v>
      </c>
      <c r="AO890">
        <v>893</v>
      </c>
    </row>
    <row r="891" spans="37:41">
      <c r="AK891" t="s">
        <v>1413</v>
      </c>
      <c r="AL891" t="s">
        <v>67</v>
      </c>
      <c r="AM891" t="s">
        <v>170</v>
      </c>
      <c r="AN891">
        <v>160</v>
      </c>
      <c r="AO891">
        <v>894</v>
      </c>
    </row>
    <row r="892" spans="37:41">
      <c r="AK892" t="s">
        <v>1414</v>
      </c>
      <c r="AL892" t="s">
        <v>67</v>
      </c>
      <c r="AM892" t="s">
        <v>170</v>
      </c>
      <c r="AN892">
        <v>160</v>
      </c>
      <c r="AO892">
        <v>895</v>
      </c>
    </row>
    <row r="893" spans="37:41">
      <c r="AK893" t="s">
        <v>1415</v>
      </c>
      <c r="AL893" t="s">
        <v>67</v>
      </c>
      <c r="AM893" t="s">
        <v>170</v>
      </c>
      <c r="AN893">
        <v>160</v>
      </c>
      <c r="AO893">
        <v>896</v>
      </c>
    </row>
    <row r="894" spans="37:41">
      <c r="AK894" t="s">
        <v>1416</v>
      </c>
      <c r="AL894" t="s">
        <v>67</v>
      </c>
      <c r="AM894" t="s">
        <v>170</v>
      </c>
      <c r="AN894">
        <v>160</v>
      </c>
      <c r="AO894">
        <v>897</v>
      </c>
    </row>
    <row r="895" spans="37:41">
      <c r="AK895" t="s">
        <v>1417</v>
      </c>
      <c r="AL895" t="s">
        <v>81</v>
      </c>
      <c r="AM895" t="s">
        <v>170</v>
      </c>
      <c r="AN895">
        <v>160</v>
      </c>
      <c r="AO895">
        <v>898</v>
      </c>
    </row>
    <row r="896" spans="37:41">
      <c r="AK896" t="s">
        <v>1418</v>
      </c>
      <c r="AL896" t="s">
        <v>81</v>
      </c>
      <c r="AM896" t="s">
        <v>170</v>
      </c>
      <c r="AN896">
        <v>160</v>
      </c>
      <c r="AO896">
        <v>899</v>
      </c>
    </row>
    <row r="897" spans="37:41">
      <c r="AK897" t="s">
        <v>1419</v>
      </c>
      <c r="AL897" t="s">
        <v>67</v>
      </c>
      <c r="AM897" t="s">
        <v>170</v>
      </c>
      <c r="AN897">
        <v>160</v>
      </c>
      <c r="AO897">
        <v>900</v>
      </c>
    </row>
    <row r="898" spans="37:41">
      <c r="AK898" t="s">
        <v>1420</v>
      </c>
      <c r="AL898" t="s">
        <v>67</v>
      </c>
      <c r="AM898" t="s">
        <v>170</v>
      </c>
      <c r="AN898">
        <v>160</v>
      </c>
      <c r="AO898">
        <v>901</v>
      </c>
    </row>
    <row r="899" spans="37:41">
      <c r="AK899" t="s">
        <v>1421</v>
      </c>
      <c r="AL899" t="s">
        <v>81</v>
      </c>
      <c r="AM899" t="s">
        <v>170</v>
      </c>
      <c r="AN899">
        <v>160</v>
      </c>
      <c r="AO899">
        <v>902</v>
      </c>
    </row>
    <row r="900" spans="37:41">
      <c r="AK900" t="s">
        <v>1422</v>
      </c>
      <c r="AL900" t="s">
        <v>81</v>
      </c>
      <c r="AM900" t="s">
        <v>170</v>
      </c>
      <c r="AN900">
        <v>160</v>
      </c>
      <c r="AO900">
        <v>903</v>
      </c>
    </row>
    <row r="901" spans="37:41">
      <c r="AK901" t="s">
        <v>1423</v>
      </c>
      <c r="AL901" t="s">
        <v>81</v>
      </c>
      <c r="AM901" t="s">
        <v>170</v>
      </c>
      <c r="AN901">
        <v>160</v>
      </c>
      <c r="AO901">
        <v>904</v>
      </c>
    </row>
    <row r="902" spans="37:41">
      <c r="AK902" t="s">
        <v>1424</v>
      </c>
      <c r="AL902" t="s">
        <v>81</v>
      </c>
      <c r="AM902" t="s">
        <v>170</v>
      </c>
      <c r="AN902">
        <v>160</v>
      </c>
      <c r="AO902">
        <v>905</v>
      </c>
    </row>
    <row r="903" spans="37:41">
      <c r="AK903" t="s">
        <v>1425</v>
      </c>
      <c r="AL903" t="s">
        <v>67</v>
      </c>
      <c r="AM903" t="s">
        <v>170</v>
      </c>
      <c r="AN903">
        <v>160</v>
      </c>
      <c r="AO903">
        <v>906</v>
      </c>
    </row>
    <row r="904" spans="37:41">
      <c r="AK904" t="s">
        <v>1426</v>
      </c>
      <c r="AL904" t="s">
        <v>67</v>
      </c>
      <c r="AM904" t="s">
        <v>170</v>
      </c>
      <c r="AN904">
        <v>160</v>
      </c>
      <c r="AO904">
        <v>907</v>
      </c>
    </row>
    <row r="905" spans="37:41">
      <c r="AK905" t="s">
        <v>1427</v>
      </c>
      <c r="AL905" t="s">
        <v>81</v>
      </c>
      <c r="AM905" t="s">
        <v>170</v>
      </c>
      <c r="AN905">
        <v>160</v>
      </c>
      <c r="AO905">
        <v>908</v>
      </c>
    </row>
    <row r="906" spans="37:41">
      <c r="AK906" t="s">
        <v>1428</v>
      </c>
      <c r="AL906" t="s">
        <v>67</v>
      </c>
      <c r="AM906" t="s">
        <v>170</v>
      </c>
      <c r="AN906">
        <v>160</v>
      </c>
      <c r="AO906">
        <v>909</v>
      </c>
    </row>
    <row r="907" spans="37:41">
      <c r="AK907" t="s">
        <v>1429</v>
      </c>
      <c r="AL907" t="s">
        <v>67</v>
      </c>
      <c r="AM907" t="s">
        <v>170</v>
      </c>
      <c r="AN907">
        <v>160</v>
      </c>
      <c r="AO907">
        <v>910</v>
      </c>
    </row>
    <row r="908" spans="37:41">
      <c r="AK908" t="s">
        <v>1430</v>
      </c>
      <c r="AL908" t="s">
        <v>67</v>
      </c>
      <c r="AM908" t="s">
        <v>170</v>
      </c>
      <c r="AN908">
        <v>160</v>
      </c>
      <c r="AO908">
        <v>911</v>
      </c>
    </row>
    <row r="909" spans="37:41">
      <c r="AK909" t="s">
        <v>1431</v>
      </c>
      <c r="AL909" t="s">
        <v>81</v>
      </c>
      <c r="AM909" t="s">
        <v>170</v>
      </c>
      <c r="AN909">
        <v>160</v>
      </c>
      <c r="AO909">
        <v>912</v>
      </c>
    </row>
    <row r="910" spans="37:41">
      <c r="AK910" t="s">
        <v>1432</v>
      </c>
      <c r="AL910" t="s">
        <v>67</v>
      </c>
      <c r="AM910" t="s">
        <v>170</v>
      </c>
      <c r="AN910">
        <v>160</v>
      </c>
      <c r="AO910">
        <v>913</v>
      </c>
    </row>
    <row r="911" spans="37:41">
      <c r="AK911" t="s">
        <v>1433</v>
      </c>
      <c r="AL911" t="s">
        <v>67</v>
      </c>
      <c r="AM911" t="s">
        <v>170</v>
      </c>
      <c r="AN911">
        <v>160</v>
      </c>
      <c r="AO911">
        <v>914</v>
      </c>
    </row>
    <row r="912" spans="37:41">
      <c r="AK912" t="s">
        <v>1434</v>
      </c>
      <c r="AL912" t="s">
        <v>67</v>
      </c>
      <c r="AM912" t="s">
        <v>170</v>
      </c>
      <c r="AN912">
        <v>160</v>
      </c>
      <c r="AO912">
        <v>915</v>
      </c>
    </row>
    <row r="913" spans="37:41">
      <c r="AK913" t="s">
        <v>1435</v>
      </c>
      <c r="AL913" t="s">
        <v>81</v>
      </c>
      <c r="AM913" t="s">
        <v>170</v>
      </c>
      <c r="AN913">
        <v>160</v>
      </c>
      <c r="AO913">
        <v>916</v>
      </c>
    </row>
    <row r="914" spans="37:41">
      <c r="AK914" t="s">
        <v>1436</v>
      </c>
      <c r="AL914" t="s">
        <v>67</v>
      </c>
      <c r="AM914" t="s">
        <v>170</v>
      </c>
      <c r="AN914">
        <v>160</v>
      </c>
      <c r="AO914">
        <v>917</v>
      </c>
    </row>
    <row r="915" spans="37:41">
      <c r="AK915" t="s">
        <v>1437</v>
      </c>
      <c r="AL915" t="s">
        <v>67</v>
      </c>
      <c r="AM915" t="s">
        <v>170</v>
      </c>
      <c r="AN915">
        <v>160</v>
      </c>
      <c r="AO915">
        <v>918</v>
      </c>
    </row>
    <row r="916" spans="37:41">
      <c r="AK916" t="s">
        <v>1438</v>
      </c>
      <c r="AL916" t="s">
        <v>67</v>
      </c>
      <c r="AM916" t="s">
        <v>170</v>
      </c>
      <c r="AN916">
        <v>160</v>
      </c>
      <c r="AO916">
        <v>919</v>
      </c>
    </row>
    <row r="917" spans="37:41">
      <c r="AK917" t="s">
        <v>1439</v>
      </c>
      <c r="AL917" t="s">
        <v>67</v>
      </c>
      <c r="AM917" t="s">
        <v>170</v>
      </c>
      <c r="AN917">
        <v>160</v>
      </c>
      <c r="AO917">
        <v>920</v>
      </c>
    </row>
    <row r="918" spans="37:41">
      <c r="AK918" t="s">
        <v>1440</v>
      </c>
      <c r="AL918" t="s">
        <v>67</v>
      </c>
      <c r="AM918" t="s">
        <v>170</v>
      </c>
      <c r="AN918">
        <v>160</v>
      </c>
      <c r="AO918">
        <v>921</v>
      </c>
    </row>
    <row r="919" spans="37:41">
      <c r="AK919" t="s">
        <v>1441</v>
      </c>
      <c r="AL919" t="s">
        <v>81</v>
      </c>
      <c r="AM919" t="s">
        <v>170</v>
      </c>
      <c r="AN919">
        <v>160</v>
      </c>
      <c r="AO919">
        <v>922</v>
      </c>
    </row>
    <row r="920" spans="37:41">
      <c r="AK920" t="s">
        <v>1442</v>
      </c>
      <c r="AL920" t="s">
        <v>81</v>
      </c>
      <c r="AM920" t="s">
        <v>170</v>
      </c>
      <c r="AN920">
        <v>160</v>
      </c>
      <c r="AO920">
        <v>923</v>
      </c>
    </row>
    <row r="921" spans="37:41">
      <c r="AK921" t="s">
        <v>1443</v>
      </c>
      <c r="AL921" t="s">
        <v>67</v>
      </c>
      <c r="AM921" t="s">
        <v>170</v>
      </c>
      <c r="AN921">
        <v>160</v>
      </c>
      <c r="AO921">
        <v>924</v>
      </c>
    </row>
    <row r="922" spans="37:41">
      <c r="AK922" t="s">
        <v>1444</v>
      </c>
      <c r="AL922" t="s">
        <v>67</v>
      </c>
      <c r="AM922" t="s">
        <v>170</v>
      </c>
      <c r="AN922">
        <v>160</v>
      </c>
      <c r="AO922">
        <v>925</v>
      </c>
    </row>
    <row r="923" spans="37:41">
      <c r="AK923" t="s">
        <v>1445</v>
      </c>
      <c r="AL923" t="s">
        <v>81</v>
      </c>
      <c r="AM923" t="s">
        <v>170</v>
      </c>
      <c r="AN923">
        <v>160</v>
      </c>
      <c r="AO923">
        <v>926</v>
      </c>
    </row>
    <row r="924" spans="37:41">
      <c r="AK924" t="s">
        <v>1446</v>
      </c>
      <c r="AL924" t="s">
        <v>81</v>
      </c>
      <c r="AM924" t="s">
        <v>170</v>
      </c>
      <c r="AN924">
        <v>160</v>
      </c>
      <c r="AO924">
        <v>927</v>
      </c>
    </row>
    <row r="925" spans="37:41">
      <c r="AK925" t="s">
        <v>1447</v>
      </c>
      <c r="AL925" t="s">
        <v>81</v>
      </c>
      <c r="AM925" t="s">
        <v>170</v>
      </c>
      <c r="AN925">
        <v>160</v>
      </c>
      <c r="AO925">
        <v>928</v>
      </c>
    </row>
    <row r="926" spans="37:41">
      <c r="AK926" t="s">
        <v>1448</v>
      </c>
      <c r="AL926" t="s">
        <v>81</v>
      </c>
      <c r="AM926" t="s">
        <v>170</v>
      </c>
      <c r="AN926">
        <v>160</v>
      </c>
      <c r="AO926">
        <v>929</v>
      </c>
    </row>
    <row r="927" spans="37:41">
      <c r="AK927" t="s">
        <v>1449</v>
      </c>
      <c r="AL927" t="s">
        <v>67</v>
      </c>
      <c r="AM927" t="s">
        <v>170</v>
      </c>
      <c r="AN927">
        <v>160</v>
      </c>
      <c r="AO927">
        <v>930</v>
      </c>
    </row>
    <row r="928" spans="37:41">
      <c r="AK928" t="s">
        <v>1450</v>
      </c>
      <c r="AL928" t="s">
        <v>67</v>
      </c>
      <c r="AM928" t="s">
        <v>170</v>
      </c>
      <c r="AN928">
        <v>160</v>
      </c>
      <c r="AO928">
        <v>931</v>
      </c>
    </row>
    <row r="929" spans="37:41">
      <c r="AK929" t="s">
        <v>1451</v>
      </c>
      <c r="AL929" t="s">
        <v>81</v>
      </c>
      <c r="AM929" t="s">
        <v>170</v>
      </c>
      <c r="AN929">
        <v>160</v>
      </c>
      <c r="AO929">
        <v>932</v>
      </c>
    </row>
    <row r="930" spans="37:41">
      <c r="AK930" t="s">
        <v>1452</v>
      </c>
      <c r="AL930" t="s">
        <v>67</v>
      </c>
      <c r="AM930" t="s">
        <v>170</v>
      </c>
      <c r="AN930">
        <v>160</v>
      </c>
      <c r="AO930">
        <v>933</v>
      </c>
    </row>
    <row r="931" spans="37:41">
      <c r="AK931" t="s">
        <v>1453</v>
      </c>
      <c r="AL931" t="s">
        <v>67</v>
      </c>
      <c r="AM931" t="s">
        <v>170</v>
      </c>
      <c r="AN931">
        <v>160</v>
      </c>
      <c r="AO931">
        <v>934</v>
      </c>
    </row>
    <row r="932" spans="37:41">
      <c r="AK932" t="s">
        <v>1454</v>
      </c>
      <c r="AL932" t="s">
        <v>67</v>
      </c>
      <c r="AM932" t="s">
        <v>170</v>
      </c>
      <c r="AN932">
        <v>160</v>
      </c>
      <c r="AO932">
        <v>935</v>
      </c>
    </row>
    <row r="933" spans="37:41">
      <c r="AK933" t="s">
        <v>1455</v>
      </c>
      <c r="AL933" t="s">
        <v>81</v>
      </c>
      <c r="AM933" t="s">
        <v>170</v>
      </c>
      <c r="AN933">
        <v>160</v>
      </c>
      <c r="AO933">
        <v>936</v>
      </c>
    </row>
    <row r="934" spans="37:41">
      <c r="AK934" t="s">
        <v>1456</v>
      </c>
      <c r="AL934" t="s">
        <v>67</v>
      </c>
      <c r="AM934" t="s">
        <v>170</v>
      </c>
      <c r="AN934">
        <v>160</v>
      </c>
      <c r="AO934">
        <v>937</v>
      </c>
    </row>
    <row r="935" spans="37:41">
      <c r="AK935" t="s">
        <v>1457</v>
      </c>
      <c r="AL935" t="s">
        <v>67</v>
      </c>
      <c r="AM935" t="s">
        <v>170</v>
      </c>
      <c r="AN935">
        <v>160</v>
      </c>
      <c r="AO935">
        <v>938</v>
      </c>
    </row>
    <row r="936" spans="37:41">
      <c r="AK936" t="s">
        <v>1458</v>
      </c>
      <c r="AL936" t="s">
        <v>67</v>
      </c>
      <c r="AM936" t="s">
        <v>170</v>
      </c>
      <c r="AN936">
        <v>160</v>
      </c>
      <c r="AO936">
        <v>939</v>
      </c>
    </row>
    <row r="937" spans="37:41">
      <c r="AK937" t="s">
        <v>1459</v>
      </c>
      <c r="AL937" t="s">
        <v>81</v>
      </c>
      <c r="AM937" t="s">
        <v>170</v>
      </c>
      <c r="AN937">
        <v>160</v>
      </c>
      <c r="AO937">
        <v>940</v>
      </c>
    </row>
    <row r="938" spans="37:41">
      <c r="AK938" t="s">
        <v>1460</v>
      </c>
      <c r="AL938" t="s">
        <v>67</v>
      </c>
      <c r="AM938" t="s">
        <v>170</v>
      </c>
      <c r="AN938">
        <v>160</v>
      </c>
      <c r="AO938">
        <v>941</v>
      </c>
    </row>
    <row r="939" spans="37:41">
      <c r="AK939" t="s">
        <v>1461</v>
      </c>
      <c r="AL939" t="s">
        <v>67</v>
      </c>
      <c r="AM939" t="s">
        <v>170</v>
      </c>
      <c r="AN939">
        <v>160</v>
      </c>
      <c r="AO939">
        <v>942</v>
      </c>
    </row>
    <row r="940" spans="37:41">
      <c r="AK940" t="s">
        <v>1462</v>
      </c>
      <c r="AL940" t="s">
        <v>67</v>
      </c>
      <c r="AM940" t="s">
        <v>170</v>
      </c>
      <c r="AN940">
        <v>160</v>
      </c>
      <c r="AO940">
        <v>943</v>
      </c>
    </row>
    <row r="941" spans="37:41">
      <c r="AK941" t="s">
        <v>1463</v>
      </c>
      <c r="AL941" t="s">
        <v>67</v>
      </c>
      <c r="AM941" t="s">
        <v>170</v>
      </c>
      <c r="AN941">
        <v>160</v>
      </c>
      <c r="AO941">
        <v>944</v>
      </c>
    </row>
    <row r="942" spans="37:41">
      <c r="AK942" t="s">
        <v>1464</v>
      </c>
      <c r="AL942" t="s">
        <v>67</v>
      </c>
      <c r="AM942" t="s">
        <v>170</v>
      </c>
      <c r="AN942">
        <v>160</v>
      </c>
      <c r="AO942">
        <v>945</v>
      </c>
    </row>
    <row r="943" spans="37:41">
      <c r="AK943" t="s">
        <v>1465</v>
      </c>
      <c r="AL943" t="s">
        <v>81</v>
      </c>
      <c r="AM943" t="s">
        <v>170</v>
      </c>
      <c r="AN943">
        <v>160</v>
      </c>
      <c r="AO943">
        <v>946</v>
      </c>
    </row>
    <row r="944" spans="37:41">
      <c r="AK944" t="s">
        <v>1466</v>
      </c>
      <c r="AL944" t="s">
        <v>81</v>
      </c>
      <c r="AM944" t="s">
        <v>170</v>
      </c>
      <c r="AN944">
        <v>160</v>
      </c>
      <c r="AO944">
        <v>947</v>
      </c>
    </row>
    <row r="945" spans="37:41">
      <c r="AK945" t="s">
        <v>1467</v>
      </c>
      <c r="AL945" t="s">
        <v>67</v>
      </c>
      <c r="AM945" t="s">
        <v>170</v>
      </c>
      <c r="AN945">
        <v>160</v>
      </c>
      <c r="AO945">
        <v>948</v>
      </c>
    </row>
    <row r="946" spans="37:41">
      <c r="AK946" t="s">
        <v>1468</v>
      </c>
      <c r="AL946" t="s">
        <v>67</v>
      </c>
      <c r="AM946" t="s">
        <v>170</v>
      </c>
      <c r="AN946">
        <v>160</v>
      </c>
      <c r="AO946">
        <v>949</v>
      </c>
    </row>
    <row r="947" spans="37:41">
      <c r="AK947" t="s">
        <v>1469</v>
      </c>
      <c r="AL947" t="s">
        <v>81</v>
      </c>
      <c r="AM947" t="s">
        <v>170</v>
      </c>
      <c r="AN947">
        <v>160</v>
      </c>
      <c r="AO947">
        <v>950</v>
      </c>
    </row>
    <row r="948" spans="37:41">
      <c r="AK948" t="s">
        <v>1470</v>
      </c>
      <c r="AL948" t="s">
        <v>81</v>
      </c>
      <c r="AM948" t="s">
        <v>170</v>
      </c>
      <c r="AN948">
        <v>160</v>
      </c>
      <c r="AO948">
        <v>951</v>
      </c>
    </row>
    <row r="949" spans="37:41">
      <c r="AK949" t="s">
        <v>1471</v>
      </c>
      <c r="AL949" t="s">
        <v>81</v>
      </c>
      <c r="AM949" t="s">
        <v>170</v>
      </c>
      <c r="AN949">
        <v>160</v>
      </c>
      <c r="AO949">
        <v>952</v>
      </c>
    </row>
    <row r="950" spans="37:41">
      <c r="AK950" t="s">
        <v>1472</v>
      </c>
      <c r="AL950" t="s">
        <v>81</v>
      </c>
      <c r="AM950" t="s">
        <v>170</v>
      </c>
      <c r="AN950">
        <v>160</v>
      </c>
      <c r="AO950">
        <v>953</v>
      </c>
    </row>
    <row r="951" spans="37:41">
      <c r="AK951" t="s">
        <v>1473</v>
      </c>
      <c r="AL951" t="s">
        <v>67</v>
      </c>
      <c r="AM951" t="s">
        <v>170</v>
      </c>
      <c r="AN951">
        <v>160</v>
      </c>
      <c r="AO951">
        <v>954</v>
      </c>
    </row>
    <row r="952" spans="37:41">
      <c r="AK952" t="s">
        <v>1474</v>
      </c>
      <c r="AL952" t="s">
        <v>67</v>
      </c>
      <c r="AM952" t="s">
        <v>170</v>
      </c>
      <c r="AN952">
        <v>160</v>
      </c>
      <c r="AO952">
        <v>955</v>
      </c>
    </row>
    <row r="953" spans="37:41">
      <c r="AK953" t="s">
        <v>1475</v>
      </c>
      <c r="AL953" t="s">
        <v>81</v>
      </c>
      <c r="AM953" t="s">
        <v>170</v>
      </c>
      <c r="AN953">
        <v>160</v>
      </c>
      <c r="AO953">
        <v>956</v>
      </c>
    </row>
    <row r="954" spans="37:41">
      <c r="AK954" t="s">
        <v>1476</v>
      </c>
      <c r="AL954" t="s">
        <v>67</v>
      </c>
      <c r="AM954" t="s">
        <v>170</v>
      </c>
      <c r="AN954">
        <v>160</v>
      </c>
      <c r="AO954">
        <v>957</v>
      </c>
    </row>
    <row r="955" spans="37:41">
      <c r="AK955" t="s">
        <v>1477</v>
      </c>
      <c r="AL955" t="s">
        <v>67</v>
      </c>
      <c r="AM955" t="s">
        <v>170</v>
      </c>
      <c r="AN955">
        <v>160</v>
      </c>
      <c r="AO955">
        <v>958</v>
      </c>
    </row>
    <row r="956" spans="37:41">
      <c r="AK956" t="s">
        <v>1478</v>
      </c>
      <c r="AL956" t="s">
        <v>67</v>
      </c>
      <c r="AM956" t="s">
        <v>170</v>
      </c>
      <c r="AN956">
        <v>160</v>
      </c>
      <c r="AO956">
        <v>959</v>
      </c>
    </row>
    <row r="957" spans="37:41">
      <c r="AK957" t="s">
        <v>1479</v>
      </c>
      <c r="AL957" t="s">
        <v>81</v>
      </c>
      <c r="AM957" t="s">
        <v>170</v>
      </c>
      <c r="AN957">
        <v>160</v>
      </c>
      <c r="AO957">
        <v>960</v>
      </c>
    </row>
    <row r="958" spans="37:41">
      <c r="AK958" t="s">
        <v>1480</v>
      </c>
      <c r="AL958" t="s">
        <v>67</v>
      </c>
      <c r="AM958" t="s">
        <v>170</v>
      </c>
      <c r="AN958">
        <v>160</v>
      </c>
      <c r="AO958">
        <v>961</v>
      </c>
    </row>
    <row r="959" spans="37:41">
      <c r="AK959" t="s">
        <v>1481</v>
      </c>
      <c r="AL959" t="s">
        <v>67</v>
      </c>
      <c r="AM959" t="s">
        <v>170</v>
      </c>
      <c r="AN959">
        <v>160</v>
      </c>
      <c r="AO959">
        <v>962</v>
      </c>
    </row>
    <row r="960" spans="37:41">
      <c r="AK960" t="s">
        <v>1482</v>
      </c>
      <c r="AL960" t="s">
        <v>67</v>
      </c>
      <c r="AM960" t="s">
        <v>170</v>
      </c>
      <c r="AN960">
        <v>160</v>
      </c>
      <c r="AO960">
        <v>963</v>
      </c>
    </row>
    <row r="961" spans="37:41">
      <c r="AK961" t="s">
        <v>1483</v>
      </c>
      <c r="AL961" t="s">
        <v>81</v>
      </c>
      <c r="AM961" t="s">
        <v>170</v>
      </c>
      <c r="AN961">
        <v>160</v>
      </c>
      <c r="AO961">
        <v>964</v>
      </c>
    </row>
    <row r="962" spans="37:41">
      <c r="AK962" t="s">
        <v>1484</v>
      </c>
      <c r="AL962" t="s">
        <v>67</v>
      </c>
      <c r="AN962">
        <v>160</v>
      </c>
      <c r="AO962">
        <v>965</v>
      </c>
    </row>
    <row r="963" spans="37:41">
      <c r="AK963" t="s">
        <v>1485</v>
      </c>
      <c r="AL963" t="s">
        <v>67</v>
      </c>
      <c r="AN963">
        <v>160</v>
      </c>
      <c r="AO963">
        <v>966</v>
      </c>
    </row>
    <row r="964" spans="37:41">
      <c r="AK964" t="s">
        <v>1486</v>
      </c>
      <c r="AL964" t="s">
        <v>67</v>
      </c>
      <c r="AN964">
        <v>160</v>
      </c>
      <c r="AO964">
        <v>967</v>
      </c>
    </row>
    <row r="965" spans="37:41">
      <c r="AK965" t="s">
        <v>1487</v>
      </c>
      <c r="AL965" t="s">
        <v>67</v>
      </c>
      <c r="AN965">
        <v>160</v>
      </c>
      <c r="AO965">
        <v>968</v>
      </c>
    </row>
    <row r="966" spans="37:41">
      <c r="AK966" t="s">
        <v>1488</v>
      </c>
      <c r="AL966" t="s">
        <v>67</v>
      </c>
      <c r="AN966">
        <v>160</v>
      </c>
      <c r="AO966">
        <v>969</v>
      </c>
    </row>
    <row r="967" spans="37:41">
      <c r="AK967" t="s">
        <v>1489</v>
      </c>
      <c r="AL967" t="s">
        <v>81</v>
      </c>
      <c r="AN967">
        <v>160</v>
      </c>
      <c r="AO967">
        <v>970</v>
      </c>
    </row>
    <row r="968" spans="37:41">
      <c r="AK968" t="s">
        <v>1490</v>
      </c>
      <c r="AL968" t="s">
        <v>81</v>
      </c>
      <c r="AN968">
        <v>160</v>
      </c>
      <c r="AO968">
        <v>971</v>
      </c>
    </row>
    <row r="969" spans="37:41">
      <c r="AK969" t="s">
        <v>1491</v>
      </c>
      <c r="AL969" t="s">
        <v>67</v>
      </c>
      <c r="AN969">
        <v>160</v>
      </c>
      <c r="AO969">
        <v>972</v>
      </c>
    </row>
    <row r="970" spans="37:41">
      <c r="AK970" t="s">
        <v>1492</v>
      </c>
      <c r="AL970" t="s">
        <v>67</v>
      </c>
      <c r="AN970">
        <v>160</v>
      </c>
      <c r="AO970">
        <v>973</v>
      </c>
    </row>
    <row r="971" spans="37:41">
      <c r="AK971" t="s">
        <v>1493</v>
      </c>
      <c r="AL971" t="s">
        <v>81</v>
      </c>
      <c r="AN971">
        <v>160</v>
      </c>
      <c r="AO971">
        <v>974</v>
      </c>
    </row>
    <row r="972" spans="37:41">
      <c r="AK972" t="s">
        <v>1494</v>
      </c>
      <c r="AL972" t="s">
        <v>81</v>
      </c>
      <c r="AN972">
        <v>160</v>
      </c>
      <c r="AO972">
        <v>975</v>
      </c>
    </row>
    <row r="973" spans="37:41">
      <c r="AK973" t="s">
        <v>1495</v>
      </c>
      <c r="AL973" t="s">
        <v>81</v>
      </c>
      <c r="AN973">
        <v>160</v>
      </c>
      <c r="AO973">
        <v>976</v>
      </c>
    </row>
    <row r="974" spans="37:41">
      <c r="AK974" t="s">
        <v>1496</v>
      </c>
      <c r="AL974" t="s">
        <v>81</v>
      </c>
      <c r="AN974">
        <v>160</v>
      </c>
      <c r="AO974">
        <v>977</v>
      </c>
    </row>
    <row r="975" spans="37:41">
      <c r="AK975" t="s">
        <v>1497</v>
      </c>
      <c r="AL975" t="s">
        <v>67</v>
      </c>
      <c r="AN975">
        <v>160</v>
      </c>
      <c r="AO975">
        <v>978</v>
      </c>
    </row>
    <row r="976" spans="37:41">
      <c r="AK976" t="s">
        <v>1498</v>
      </c>
      <c r="AL976" t="s">
        <v>67</v>
      </c>
      <c r="AN976">
        <v>160</v>
      </c>
      <c r="AO976">
        <v>979</v>
      </c>
    </row>
    <row r="977" spans="37:41">
      <c r="AK977" t="s">
        <v>1499</v>
      </c>
      <c r="AL977" t="s">
        <v>81</v>
      </c>
      <c r="AN977">
        <v>160</v>
      </c>
      <c r="AO977">
        <v>980</v>
      </c>
    </row>
    <row r="978" spans="37:41">
      <c r="AK978" t="s">
        <v>1500</v>
      </c>
      <c r="AL978" t="s">
        <v>67</v>
      </c>
      <c r="AN978">
        <v>160</v>
      </c>
      <c r="AO978">
        <v>981</v>
      </c>
    </row>
    <row r="979" spans="37:41">
      <c r="AK979" t="s">
        <v>1501</v>
      </c>
      <c r="AL979" t="s">
        <v>67</v>
      </c>
      <c r="AN979">
        <v>160</v>
      </c>
      <c r="AO979">
        <v>982</v>
      </c>
    </row>
    <row r="980" spans="37:41">
      <c r="AK980" t="s">
        <v>1502</v>
      </c>
      <c r="AL980" t="s">
        <v>67</v>
      </c>
      <c r="AN980">
        <v>160</v>
      </c>
      <c r="AO980">
        <v>983</v>
      </c>
    </row>
    <row r="981" spans="37:41">
      <c r="AK981" t="s">
        <v>1503</v>
      </c>
      <c r="AL981" t="s">
        <v>81</v>
      </c>
      <c r="AN981">
        <v>160</v>
      </c>
      <c r="AO981">
        <v>984</v>
      </c>
    </row>
    <row r="982" spans="37:41">
      <c r="AK982" t="s">
        <v>1504</v>
      </c>
      <c r="AL982" t="s">
        <v>67</v>
      </c>
      <c r="AN982">
        <v>160</v>
      </c>
      <c r="AO982">
        <v>985</v>
      </c>
    </row>
    <row r="983" spans="37:41">
      <c r="AK983" t="s">
        <v>1505</v>
      </c>
      <c r="AL983" t="s">
        <v>67</v>
      </c>
      <c r="AN983">
        <v>160</v>
      </c>
      <c r="AO983">
        <v>986</v>
      </c>
    </row>
    <row r="984" spans="37:41">
      <c r="AK984" t="s">
        <v>1506</v>
      </c>
      <c r="AL984" t="s">
        <v>67</v>
      </c>
      <c r="AN984">
        <v>160</v>
      </c>
      <c r="AO984">
        <v>987</v>
      </c>
    </row>
    <row r="985" spans="37:41">
      <c r="AK985" t="s">
        <v>1507</v>
      </c>
      <c r="AL985" t="s">
        <v>81</v>
      </c>
      <c r="AN985">
        <v>160</v>
      </c>
      <c r="AO985">
        <v>988</v>
      </c>
    </row>
    <row r="986" spans="37:41">
      <c r="AK986" t="s">
        <v>1508</v>
      </c>
      <c r="AL986" t="s">
        <v>67</v>
      </c>
      <c r="AM986" t="s">
        <v>180</v>
      </c>
      <c r="AN986">
        <v>75</v>
      </c>
      <c r="AO986">
        <v>989</v>
      </c>
    </row>
    <row r="987" spans="37:41">
      <c r="AK987" t="s">
        <v>1509</v>
      </c>
      <c r="AL987" t="s">
        <v>67</v>
      </c>
      <c r="AM987" t="s">
        <v>180</v>
      </c>
      <c r="AN987">
        <v>75</v>
      </c>
      <c r="AO987">
        <v>990</v>
      </c>
    </row>
    <row r="988" spans="37:41">
      <c r="AK988" t="s">
        <v>1510</v>
      </c>
      <c r="AL988" t="s">
        <v>67</v>
      </c>
      <c r="AM988" t="s">
        <v>180</v>
      </c>
      <c r="AN988">
        <v>75</v>
      </c>
      <c r="AO988">
        <v>991</v>
      </c>
    </row>
    <row r="989" spans="37:41">
      <c r="AK989" t="s">
        <v>1511</v>
      </c>
      <c r="AL989" t="s">
        <v>67</v>
      </c>
      <c r="AM989" t="s">
        <v>180</v>
      </c>
      <c r="AN989">
        <v>75</v>
      </c>
      <c r="AO989">
        <v>992</v>
      </c>
    </row>
    <row r="990" spans="37:41">
      <c r="AK990" t="s">
        <v>1512</v>
      </c>
      <c r="AL990" t="s">
        <v>67</v>
      </c>
      <c r="AM990" t="s">
        <v>180</v>
      </c>
      <c r="AN990">
        <v>75</v>
      </c>
      <c r="AO990">
        <v>993</v>
      </c>
    </row>
    <row r="991" spans="37:41">
      <c r="AK991" t="s">
        <v>1513</v>
      </c>
      <c r="AL991" t="s">
        <v>81</v>
      </c>
      <c r="AM991" t="s">
        <v>180</v>
      </c>
      <c r="AN991">
        <v>75</v>
      </c>
      <c r="AO991">
        <v>994</v>
      </c>
    </row>
    <row r="992" spans="37:41">
      <c r="AK992" t="s">
        <v>1514</v>
      </c>
      <c r="AL992" t="s">
        <v>81</v>
      </c>
      <c r="AM992" t="s">
        <v>180</v>
      </c>
      <c r="AN992">
        <v>75</v>
      </c>
      <c r="AO992">
        <v>995</v>
      </c>
    </row>
    <row r="993" spans="37:41">
      <c r="AK993" t="s">
        <v>1515</v>
      </c>
      <c r="AL993" t="s">
        <v>67</v>
      </c>
      <c r="AM993" t="s">
        <v>180</v>
      </c>
      <c r="AN993">
        <v>75</v>
      </c>
      <c r="AO993">
        <v>996</v>
      </c>
    </row>
    <row r="994" spans="37:41">
      <c r="AK994" t="s">
        <v>1516</v>
      </c>
      <c r="AL994" t="s">
        <v>67</v>
      </c>
      <c r="AM994" t="s">
        <v>180</v>
      </c>
      <c r="AN994">
        <v>75</v>
      </c>
      <c r="AO994">
        <v>997</v>
      </c>
    </row>
    <row r="995" spans="37:41">
      <c r="AK995" t="s">
        <v>1517</v>
      </c>
      <c r="AL995" t="s">
        <v>81</v>
      </c>
      <c r="AM995" t="s">
        <v>180</v>
      </c>
      <c r="AN995">
        <v>75</v>
      </c>
      <c r="AO995">
        <v>998</v>
      </c>
    </row>
    <row r="996" spans="37:41">
      <c r="AK996" t="s">
        <v>1518</v>
      </c>
      <c r="AL996" t="s">
        <v>81</v>
      </c>
      <c r="AM996" t="s">
        <v>180</v>
      </c>
      <c r="AN996">
        <v>75</v>
      </c>
      <c r="AO996">
        <v>999</v>
      </c>
    </row>
    <row r="997" spans="37:41">
      <c r="AK997" t="s">
        <v>1519</v>
      </c>
      <c r="AL997" t="s">
        <v>81</v>
      </c>
      <c r="AM997" t="s">
        <v>180</v>
      </c>
      <c r="AN997">
        <v>75</v>
      </c>
      <c r="AO997">
        <v>1000</v>
      </c>
    </row>
    <row r="998" spans="37:41">
      <c r="AK998" t="s">
        <v>1520</v>
      </c>
      <c r="AL998" t="s">
        <v>81</v>
      </c>
      <c r="AM998" t="s">
        <v>180</v>
      </c>
      <c r="AN998">
        <v>75</v>
      </c>
      <c r="AO998">
        <v>1001</v>
      </c>
    </row>
    <row r="999" spans="37:41">
      <c r="AK999" t="s">
        <v>1521</v>
      </c>
      <c r="AL999" t="s">
        <v>67</v>
      </c>
      <c r="AM999" t="s">
        <v>180</v>
      </c>
      <c r="AN999">
        <v>75</v>
      </c>
      <c r="AO999">
        <v>1002</v>
      </c>
    </row>
    <row r="1000" spans="37:41">
      <c r="AK1000" t="s">
        <v>1522</v>
      </c>
      <c r="AL1000" t="s">
        <v>67</v>
      </c>
      <c r="AM1000" t="s">
        <v>180</v>
      </c>
      <c r="AN1000">
        <v>75</v>
      </c>
      <c r="AO1000">
        <v>1003</v>
      </c>
    </row>
    <row r="1001" spans="37:41">
      <c r="AK1001" t="s">
        <v>1523</v>
      </c>
      <c r="AL1001" t="s">
        <v>81</v>
      </c>
      <c r="AM1001" t="s">
        <v>180</v>
      </c>
      <c r="AN1001">
        <v>75</v>
      </c>
      <c r="AO1001">
        <v>1004</v>
      </c>
    </row>
    <row r="1002" spans="37:41">
      <c r="AK1002" t="s">
        <v>1524</v>
      </c>
      <c r="AL1002" t="s">
        <v>67</v>
      </c>
      <c r="AM1002" t="s">
        <v>180</v>
      </c>
      <c r="AN1002">
        <v>75</v>
      </c>
      <c r="AO1002">
        <v>1005</v>
      </c>
    </row>
    <row r="1003" spans="37:41">
      <c r="AK1003" t="s">
        <v>1525</v>
      </c>
      <c r="AL1003" t="s">
        <v>67</v>
      </c>
      <c r="AM1003" t="s">
        <v>180</v>
      </c>
      <c r="AN1003">
        <v>75</v>
      </c>
      <c r="AO1003">
        <v>1006</v>
      </c>
    </row>
    <row r="1004" spans="37:41">
      <c r="AK1004" t="s">
        <v>1526</v>
      </c>
      <c r="AL1004" t="s">
        <v>67</v>
      </c>
      <c r="AM1004" t="s">
        <v>180</v>
      </c>
      <c r="AN1004">
        <v>75</v>
      </c>
      <c r="AO1004">
        <v>1007</v>
      </c>
    </row>
    <row r="1005" spans="37:41">
      <c r="AK1005" t="s">
        <v>1527</v>
      </c>
      <c r="AL1005" t="s">
        <v>81</v>
      </c>
      <c r="AM1005" t="s">
        <v>180</v>
      </c>
      <c r="AN1005">
        <v>75</v>
      </c>
      <c r="AO1005">
        <v>1008</v>
      </c>
    </row>
    <row r="1006" spans="37:41">
      <c r="AK1006" t="s">
        <v>1528</v>
      </c>
      <c r="AL1006" t="s">
        <v>67</v>
      </c>
      <c r="AM1006" t="s">
        <v>180</v>
      </c>
      <c r="AN1006">
        <v>75</v>
      </c>
      <c r="AO1006">
        <v>1009</v>
      </c>
    </row>
    <row r="1007" spans="37:41">
      <c r="AK1007" t="s">
        <v>1529</v>
      </c>
      <c r="AL1007" t="s">
        <v>67</v>
      </c>
      <c r="AM1007" t="s">
        <v>180</v>
      </c>
      <c r="AN1007">
        <v>75</v>
      </c>
      <c r="AO1007">
        <v>1010</v>
      </c>
    </row>
    <row r="1008" spans="37:41">
      <c r="AK1008" t="s">
        <v>1530</v>
      </c>
      <c r="AL1008" t="s">
        <v>67</v>
      </c>
      <c r="AM1008" t="s">
        <v>180</v>
      </c>
      <c r="AN1008">
        <v>75</v>
      </c>
      <c r="AO1008">
        <v>1011</v>
      </c>
    </row>
    <row r="1009" spans="37:41">
      <c r="AK1009" t="s">
        <v>1531</v>
      </c>
      <c r="AL1009" t="s">
        <v>81</v>
      </c>
      <c r="AM1009" t="s">
        <v>180</v>
      </c>
      <c r="AN1009">
        <v>75</v>
      </c>
      <c r="AO1009">
        <v>1012</v>
      </c>
    </row>
    <row r="1010" spans="37:41">
      <c r="AK1010" t="s">
        <v>1532</v>
      </c>
      <c r="AL1010" t="s">
        <v>67</v>
      </c>
      <c r="AM1010" t="s">
        <v>119</v>
      </c>
      <c r="AN1010">
        <v>75</v>
      </c>
      <c r="AO1010">
        <v>1013</v>
      </c>
    </row>
    <row r="1011" spans="37:41">
      <c r="AK1011" t="s">
        <v>1533</v>
      </c>
      <c r="AL1011" t="s">
        <v>67</v>
      </c>
      <c r="AM1011" t="s">
        <v>119</v>
      </c>
      <c r="AN1011">
        <v>75</v>
      </c>
      <c r="AO1011">
        <v>1014</v>
      </c>
    </row>
    <row r="1012" spans="37:41">
      <c r="AK1012" t="s">
        <v>1534</v>
      </c>
      <c r="AL1012" t="s">
        <v>67</v>
      </c>
      <c r="AM1012" t="s">
        <v>119</v>
      </c>
      <c r="AN1012">
        <v>75</v>
      </c>
      <c r="AO1012">
        <v>1015</v>
      </c>
    </row>
    <row r="1013" spans="37:41">
      <c r="AK1013" t="s">
        <v>1535</v>
      </c>
      <c r="AL1013" t="s">
        <v>67</v>
      </c>
      <c r="AM1013" t="s">
        <v>119</v>
      </c>
      <c r="AN1013">
        <v>75</v>
      </c>
      <c r="AO1013">
        <v>1016</v>
      </c>
    </row>
    <row r="1014" spans="37:41">
      <c r="AK1014" t="s">
        <v>1536</v>
      </c>
      <c r="AL1014" t="s">
        <v>67</v>
      </c>
      <c r="AM1014" t="s">
        <v>119</v>
      </c>
      <c r="AN1014">
        <v>75</v>
      </c>
      <c r="AO1014">
        <v>1017</v>
      </c>
    </row>
    <row r="1015" spans="37:41">
      <c r="AK1015" t="s">
        <v>1537</v>
      </c>
      <c r="AL1015" t="s">
        <v>81</v>
      </c>
      <c r="AM1015" t="s">
        <v>119</v>
      </c>
      <c r="AN1015">
        <v>75</v>
      </c>
      <c r="AO1015">
        <v>1018</v>
      </c>
    </row>
    <row r="1016" spans="37:41">
      <c r="AK1016" t="s">
        <v>1538</v>
      </c>
      <c r="AL1016" t="s">
        <v>81</v>
      </c>
      <c r="AM1016" t="s">
        <v>119</v>
      </c>
      <c r="AN1016">
        <v>75</v>
      </c>
      <c r="AO1016">
        <v>1019</v>
      </c>
    </row>
    <row r="1017" spans="37:41">
      <c r="AK1017" t="s">
        <v>1539</v>
      </c>
      <c r="AL1017" t="s">
        <v>67</v>
      </c>
      <c r="AM1017" t="s">
        <v>119</v>
      </c>
      <c r="AN1017">
        <v>75</v>
      </c>
      <c r="AO1017">
        <v>1020</v>
      </c>
    </row>
    <row r="1018" spans="37:41">
      <c r="AK1018" t="s">
        <v>1540</v>
      </c>
      <c r="AL1018" t="s">
        <v>67</v>
      </c>
      <c r="AM1018" t="s">
        <v>119</v>
      </c>
      <c r="AN1018">
        <v>75</v>
      </c>
      <c r="AO1018">
        <v>1021</v>
      </c>
    </row>
    <row r="1019" spans="37:41">
      <c r="AK1019" t="s">
        <v>1541</v>
      </c>
      <c r="AL1019" t="s">
        <v>81</v>
      </c>
      <c r="AM1019" t="s">
        <v>119</v>
      </c>
      <c r="AN1019">
        <v>75</v>
      </c>
      <c r="AO1019">
        <v>1022</v>
      </c>
    </row>
    <row r="1020" spans="37:41">
      <c r="AK1020" t="s">
        <v>1542</v>
      </c>
      <c r="AL1020" t="s">
        <v>81</v>
      </c>
      <c r="AM1020" t="s">
        <v>119</v>
      </c>
      <c r="AN1020">
        <v>75</v>
      </c>
      <c r="AO1020">
        <v>1023</v>
      </c>
    </row>
    <row r="1021" spans="37:41">
      <c r="AK1021" t="s">
        <v>1543</v>
      </c>
      <c r="AL1021" t="s">
        <v>81</v>
      </c>
      <c r="AM1021" t="s">
        <v>119</v>
      </c>
      <c r="AN1021">
        <v>75</v>
      </c>
      <c r="AO1021">
        <v>1024</v>
      </c>
    </row>
    <row r="1022" spans="37:41">
      <c r="AK1022" t="s">
        <v>1544</v>
      </c>
      <c r="AL1022" t="s">
        <v>81</v>
      </c>
      <c r="AM1022" t="s">
        <v>119</v>
      </c>
      <c r="AN1022">
        <v>75</v>
      </c>
      <c r="AO1022">
        <v>1025</v>
      </c>
    </row>
    <row r="1023" spans="37:41">
      <c r="AK1023" t="s">
        <v>1545</v>
      </c>
      <c r="AL1023" t="s">
        <v>67</v>
      </c>
      <c r="AM1023" t="s">
        <v>119</v>
      </c>
      <c r="AN1023">
        <v>75</v>
      </c>
      <c r="AO1023">
        <v>1026</v>
      </c>
    </row>
    <row r="1024" spans="37:41">
      <c r="AK1024" t="s">
        <v>1546</v>
      </c>
      <c r="AL1024" t="s">
        <v>67</v>
      </c>
      <c r="AM1024" t="s">
        <v>119</v>
      </c>
      <c r="AN1024">
        <v>75</v>
      </c>
      <c r="AO1024">
        <v>1027</v>
      </c>
    </row>
    <row r="1025" spans="37:41">
      <c r="AK1025" t="s">
        <v>1547</v>
      </c>
      <c r="AL1025" t="s">
        <v>81</v>
      </c>
      <c r="AM1025" t="s">
        <v>119</v>
      </c>
      <c r="AN1025">
        <v>75</v>
      </c>
      <c r="AO1025">
        <v>1028</v>
      </c>
    </row>
    <row r="1026" spans="37:41">
      <c r="AK1026" t="s">
        <v>1548</v>
      </c>
      <c r="AL1026" t="s">
        <v>67</v>
      </c>
      <c r="AM1026" t="s">
        <v>119</v>
      </c>
      <c r="AN1026">
        <v>75</v>
      </c>
      <c r="AO1026">
        <v>1029</v>
      </c>
    </row>
    <row r="1027" spans="37:41">
      <c r="AK1027" t="s">
        <v>1549</v>
      </c>
      <c r="AL1027" t="s">
        <v>67</v>
      </c>
      <c r="AM1027" t="s">
        <v>119</v>
      </c>
      <c r="AN1027">
        <v>75</v>
      </c>
      <c r="AO1027">
        <v>1030</v>
      </c>
    </row>
    <row r="1028" spans="37:41">
      <c r="AK1028" t="s">
        <v>1550</v>
      </c>
      <c r="AL1028" t="s">
        <v>67</v>
      </c>
      <c r="AM1028" t="s">
        <v>119</v>
      </c>
      <c r="AN1028">
        <v>75</v>
      </c>
      <c r="AO1028">
        <v>1031</v>
      </c>
    </row>
    <row r="1029" spans="37:41">
      <c r="AK1029" t="s">
        <v>1551</v>
      </c>
      <c r="AL1029" t="s">
        <v>81</v>
      </c>
      <c r="AM1029" t="s">
        <v>119</v>
      </c>
      <c r="AN1029">
        <v>75</v>
      </c>
      <c r="AO1029">
        <v>1032</v>
      </c>
    </row>
    <row r="1030" spans="37:41">
      <c r="AK1030" t="s">
        <v>1552</v>
      </c>
      <c r="AL1030" t="s">
        <v>67</v>
      </c>
      <c r="AM1030" t="s">
        <v>119</v>
      </c>
      <c r="AN1030">
        <v>75</v>
      </c>
      <c r="AO1030">
        <v>1033</v>
      </c>
    </row>
    <row r="1031" spans="37:41">
      <c r="AK1031" t="s">
        <v>1553</v>
      </c>
      <c r="AL1031" t="s">
        <v>67</v>
      </c>
      <c r="AM1031" t="s">
        <v>119</v>
      </c>
      <c r="AN1031">
        <v>75</v>
      </c>
      <c r="AO1031">
        <v>1034</v>
      </c>
    </row>
    <row r="1032" spans="37:41">
      <c r="AK1032" t="s">
        <v>1554</v>
      </c>
      <c r="AL1032" t="s">
        <v>67</v>
      </c>
      <c r="AM1032" t="s">
        <v>119</v>
      </c>
      <c r="AN1032">
        <v>75</v>
      </c>
      <c r="AO1032">
        <v>1035</v>
      </c>
    </row>
    <row r="1033" spans="37:41">
      <c r="AK1033" t="s">
        <v>1555</v>
      </c>
      <c r="AL1033" t="s">
        <v>81</v>
      </c>
      <c r="AM1033" t="s">
        <v>119</v>
      </c>
      <c r="AN1033">
        <v>75</v>
      </c>
      <c r="AO1033">
        <v>1036</v>
      </c>
    </row>
    <row r="1034" spans="37:41">
      <c r="AK1034" t="s">
        <v>1556</v>
      </c>
      <c r="AL1034" t="s">
        <v>67</v>
      </c>
      <c r="AM1034" t="s">
        <v>125</v>
      </c>
      <c r="AN1034">
        <v>110</v>
      </c>
      <c r="AO1034">
        <v>1037</v>
      </c>
    </row>
    <row r="1035" spans="37:41">
      <c r="AK1035" t="s">
        <v>1557</v>
      </c>
      <c r="AL1035" t="s">
        <v>67</v>
      </c>
      <c r="AM1035" t="s">
        <v>125</v>
      </c>
      <c r="AN1035">
        <v>110</v>
      </c>
      <c r="AO1035">
        <v>1038</v>
      </c>
    </row>
    <row r="1036" spans="37:41">
      <c r="AK1036" t="s">
        <v>1558</v>
      </c>
      <c r="AL1036" t="s">
        <v>67</v>
      </c>
      <c r="AM1036" t="s">
        <v>125</v>
      </c>
      <c r="AN1036">
        <v>110</v>
      </c>
      <c r="AO1036">
        <v>1039</v>
      </c>
    </row>
    <row r="1037" spans="37:41">
      <c r="AK1037" t="s">
        <v>1559</v>
      </c>
      <c r="AL1037" t="s">
        <v>67</v>
      </c>
      <c r="AM1037" t="s">
        <v>125</v>
      </c>
      <c r="AN1037">
        <v>110</v>
      </c>
      <c r="AO1037">
        <v>1040</v>
      </c>
    </row>
    <row r="1038" spans="37:41">
      <c r="AK1038" t="s">
        <v>1560</v>
      </c>
      <c r="AL1038" t="s">
        <v>67</v>
      </c>
      <c r="AM1038" t="s">
        <v>125</v>
      </c>
      <c r="AN1038">
        <v>110</v>
      </c>
      <c r="AO1038">
        <v>1041</v>
      </c>
    </row>
    <row r="1039" spans="37:41">
      <c r="AK1039" t="s">
        <v>1561</v>
      </c>
      <c r="AL1039" t="s">
        <v>81</v>
      </c>
      <c r="AM1039" t="s">
        <v>125</v>
      </c>
      <c r="AN1039">
        <v>110</v>
      </c>
      <c r="AO1039">
        <v>1042</v>
      </c>
    </row>
    <row r="1040" spans="37:41">
      <c r="AK1040" t="s">
        <v>1562</v>
      </c>
      <c r="AL1040" t="s">
        <v>81</v>
      </c>
      <c r="AM1040" t="s">
        <v>125</v>
      </c>
      <c r="AN1040">
        <v>110</v>
      </c>
      <c r="AO1040">
        <v>1043</v>
      </c>
    </row>
    <row r="1041" spans="37:41">
      <c r="AK1041" t="s">
        <v>1563</v>
      </c>
      <c r="AL1041" t="s">
        <v>67</v>
      </c>
      <c r="AM1041" t="s">
        <v>125</v>
      </c>
      <c r="AN1041">
        <v>110</v>
      </c>
      <c r="AO1041">
        <v>1044</v>
      </c>
    </row>
    <row r="1042" spans="37:41">
      <c r="AK1042" t="s">
        <v>1564</v>
      </c>
      <c r="AL1042" t="s">
        <v>67</v>
      </c>
      <c r="AM1042" t="s">
        <v>125</v>
      </c>
      <c r="AN1042">
        <v>110</v>
      </c>
      <c r="AO1042">
        <v>1045</v>
      </c>
    </row>
    <row r="1043" spans="37:41">
      <c r="AK1043" t="s">
        <v>1565</v>
      </c>
      <c r="AL1043" t="s">
        <v>81</v>
      </c>
      <c r="AM1043" t="s">
        <v>125</v>
      </c>
      <c r="AN1043">
        <v>110</v>
      </c>
      <c r="AO1043">
        <v>1046</v>
      </c>
    </row>
    <row r="1044" spans="37:41">
      <c r="AK1044" t="s">
        <v>1566</v>
      </c>
      <c r="AL1044" t="s">
        <v>81</v>
      </c>
      <c r="AM1044" t="s">
        <v>125</v>
      </c>
      <c r="AN1044">
        <v>110</v>
      </c>
      <c r="AO1044">
        <v>1047</v>
      </c>
    </row>
    <row r="1045" spans="37:41">
      <c r="AK1045" t="s">
        <v>1567</v>
      </c>
      <c r="AL1045" t="s">
        <v>81</v>
      </c>
      <c r="AM1045" t="s">
        <v>125</v>
      </c>
      <c r="AN1045">
        <v>110</v>
      </c>
      <c r="AO1045">
        <v>1048</v>
      </c>
    </row>
    <row r="1046" spans="37:41">
      <c r="AK1046" t="s">
        <v>1568</v>
      </c>
      <c r="AL1046" t="s">
        <v>81</v>
      </c>
      <c r="AM1046" t="s">
        <v>125</v>
      </c>
      <c r="AN1046">
        <v>110</v>
      </c>
      <c r="AO1046">
        <v>1049</v>
      </c>
    </row>
    <row r="1047" spans="37:41">
      <c r="AK1047" t="s">
        <v>1569</v>
      </c>
      <c r="AL1047" t="s">
        <v>67</v>
      </c>
      <c r="AM1047" t="s">
        <v>125</v>
      </c>
      <c r="AN1047">
        <v>110</v>
      </c>
      <c r="AO1047">
        <v>1050</v>
      </c>
    </row>
    <row r="1048" spans="37:41">
      <c r="AK1048" t="s">
        <v>1570</v>
      </c>
      <c r="AL1048" t="s">
        <v>67</v>
      </c>
      <c r="AM1048" t="s">
        <v>125</v>
      </c>
      <c r="AN1048">
        <v>110</v>
      </c>
      <c r="AO1048">
        <v>1051</v>
      </c>
    </row>
    <row r="1049" spans="37:41">
      <c r="AK1049" t="s">
        <v>1571</v>
      </c>
      <c r="AL1049" t="s">
        <v>81</v>
      </c>
      <c r="AM1049" t="s">
        <v>125</v>
      </c>
      <c r="AN1049">
        <v>110</v>
      </c>
      <c r="AO1049">
        <v>1052</v>
      </c>
    </row>
    <row r="1050" spans="37:41">
      <c r="AK1050" t="s">
        <v>1572</v>
      </c>
      <c r="AL1050" t="s">
        <v>67</v>
      </c>
      <c r="AM1050" t="s">
        <v>125</v>
      </c>
      <c r="AN1050">
        <v>110</v>
      </c>
      <c r="AO1050">
        <v>1053</v>
      </c>
    </row>
    <row r="1051" spans="37:41">
      <c r="AK1051" t="s">
        <v>1573</v>
      </c>
      <c r="AL1051" t="s">
        <v>67</v>
      </c>
      <c r="AM1051" t="s">
        <v>125</v>
      </c>
      <c r="AN1051">
        <v>110</v>
      </c>
      <c r="AO1051">
        <v>1054</v>
      </c>
    </row>
    <row r="1052" spans="37:41">
      <c r="AK1052" t="s">
        <v>1574</v>
      </c>
      <c r="AL1052" t="s">
        <v>67</v>
      </c>
      <c r="AM1052" t="s">
        <v>125</v>
      </c>
      <c r="AN1052">
        <v>110</v>
      </c>
      <c r="AO1052">
        <v>1055</v>
      </c>
    </row>
    <row r="1053" spans="37:41">
      <c r="AK1053" t="s">
        <v>1575</v>
      </c>
      <c r="AL1053" t="s">
        <v>81</v>
      </c>
      <c r="AM1053" t="s">
        <v>125</v>
      </c>
      <c r="AN1053">
        <v>110</v>
      </c>
      <c r="AO1053">
        <v>1056</v>
      </c>
    </row>
    <row r="1054" spans="37:41">
      <c r="AK1054" t="s">
        <v>1576</v>
      </c>
      <c r="AL1054" t="s">
        <v>67</v>
      </c>
      <c r="AM1054" t="s">
        <v>125</v>
      </c>
      <c r="AN1054">
        <v>110</v>
      </c>
      <c r="AO1054">
        <v>1057</v>
      </c>
    </row>
    <row r="1055" spans="37:41">
      <c r="AK1055" t="s">
        <v>1577</v>
      </c>
      <c r="AL1055" t="s">
        <v>67</v>
      </c>
      <c r="AM1055" t="s">
        <v>125</v>
      </c>
      <c r="AN1055">
        <v>110</v>
      </c>
      <c r="AO1055">
        <v>1058</v>
      </c>
    </row>
    <row r="1056" spans="37:41">
      <c r="AK1056" t="s">
        <v>1578</v>
      </c>
      <c r="AL1056" t="s">
        <v>67</v>
      </c>
      <c r="AM1056" t="s">
        <v>125</v>
      </c>
      <c r="AN1056">
        <v>110</v>
      </c>
      <c r="AO1056">
        <v>1059</v>
      </c>
    </row>
    <row r="1057" spans="37:41">
      <c r="AK1057" t="s">
        <v>1579</v>
      </c>
      <c r="AL1057" t="s">
        <v>81</v>
      </c>
      <c r="AM1057" t="s">
        <v>125</v>
      </c>
      <c r="AN1057">
        <v>110</v>
      </c>
      <c r="AO1057">
        <v>1060</v>
      </c>
    </row>
    <row r="1058" spans="37:41">
      <c r="AK1058" t="s">
        <v>1580</v>
      </c>
      <c r="AL1058" t="s">
        <v>67</v>
      </c>
      <c r="AM1058" t="s">
        <v>180</v>
      </c>
      <c r="AN1058">
        <v>75</v>
      </c>
      <c r="AO1058">
        <v>1061</v>
      </c>
    </row>
    <row r="1059" spans="37:41">
      <c r="AK1059" t="s">
        <v>1581</v>
      </c>
      <c r="AL1059" t="s">
        <v>67</v>
      </c>
      <c r="AM1059" t="s">
        <v>180</v>
      </c>
      <c r="AN1059">
        <v>75</v>
      </c>
      <c r="AO1059">
        <v>1062</v>
      </c>
    </row>
    <row r="1060" spans="37:41">
      <c r="AK1060" t="s">
        <v>1582</v>
      </c>
      <c r="AL1060" t="s">
        <v>67</v>
      </c>
      <c r="AM1060" t="s">
        <v>180</v>
      </c>
      <c r="AN1060">
        <v>75</v>
      </c>
      <c r="AO1060">
        <v>1063</v>
      </c>
    </row>
    <row r="1061" spans="37:41">
      <c r="AK1061" t="s">
        <v>1583</v>
      </c>
      <c r="AL1061" t="s">
        <v>67</v>
      </c>
      <c r="AM1061" t="s">
        <v>180</v>
      </c>
      <c r="AN1061">
        <v>75</v>
      </c>
      <c r="AO1061">
        <v>1064</v>
      </c>
    </row>
    <row r="1062" spans="37:41">
      <c r="AK1062" t="s">
        <v>1584</v>
      </c>
      <c r="AL1062" t="s">
        <v>67</v>
      </c>
      <c r="AM1062" t="s">
        <v>180</v>
      </c>
      <c r="AN1062">
        <v>75</v>
      </c>
      <c r="AO1062">
        <v>1065</v>
      </c>
    </row>
    <row r="1063" spans="37:41">
      <c r="AK1063" t="s">
        <v>1585</v>
      </c>
      <c r="AL1063" t="s">
        <v>81</v>
      </c>
      <c r="AM1063" t="s">
        <v>180</v>
      </c>
      <c r="AN1063">
        <v>75</v>
      </c>
      <c r="AO1063">
        <v>1066</v>
      </c>
    </row>
    <row r="1064" spans="37:41">
      <c r="AK1064" t="s">
        <v>1586</v>
      </c>
      <c r="AL1064" t="s">
        <v>81</v>
      </c>
      <c r="AM1064" t="s">
        <v>180</v>
      </c>
      <c r="AN1064">
        <v>75</v>
      </c>
      <c r="AO1064">
        <v>1067</v>
      </c>
    </row>
    <row r="1065" spans="37:41">
      <c r="AK1065" t="s">
        <v>1587</v>
      </c>
      <c r="AL1065" t="s">
        <v>67</v>
      </c>
      <c r="AM1065" t="s">
        <v>180</v>
      </c>
      <c r="AN1065">
        <v>75</v>
      </c>
      <c r="AO1065">
        <v>1068</v>
      </c>
    </row>
    <row r="1066" spans="37:41">
      <c r="AK1066" t="s">
        <v>1588</v>
      </c>
      <c r="AL1066" t="s">
        <v>67</v>
      </c>
      <c r="AM1066" t="s">
        <v>180</v>
      </c>
      <c r="AN1066">
        <v>75</v>
      </c>
      <c r="AO1066">
        <v>1069</v>
      </c>
    </row>
    <row r="1067" spans="37:41">
      <c r="AK1067" t="s">
        <v>1589</v>
      </c>
      <c r="AL1067" t="s">
        <v>81</v>
      </c>
      <c r="AM1067" t="s">
        <v>180</v>
      </c>
      <c r="AN1067">
        <v>75</v>
      </c>
      <c r="AO1067">
        <v>1070</v>
      </c>
    </row>
    <row r="1068" spans="37:41">
      <c r="AK1068" t="s">
        <v>1590</v>
      </c>
      <c r="AL1068" t="s">
        <v>81</v>
      </c>
      <c r="AM1068" t="s">
        <v>180</v>
      </c>
      <c r="AN1068">
        <v>75</v>
      </c>
      <c r="AO1068">
        <v>1071</v>
      </c>
    </row>
    <row r="1069" spans="37:41">
      <c r="AK1069" t="s">
        <v>1591</v>
      </c>
      <c r="AL1069" t="s">
        <v>81</v>
      </c>
      <c r="AM1069" t="s">
        <v>180</v>
      </c>
      <c r="AN1069">
        <v>75</v>
      </c>
      <c r="AO1069">
        <v>1072</v>
      </c>
    </row>
    <row r="1070" spans="37:41">
      <c r="AK1070" t="s">
        <v>1592</v>
      </c>
      <c r="AL1070" t="s">
        <v>81</v>
      </c>
      <c r="AM1070" t="s">
        <v>180</v>
      </c>
      <c r="AN1070">
        <v>75</v>
      </c>
      <c r="AO1070">
        <v>1073</v>
      </c>
    </row>
    <row r="1071" spans="37:41">
      <c r="AK1071" t="s">
        <v>1593</v>
      </c>
      <c r="AL1071" t="s">
        <v>67</v>
      </c>
      <c r="AM1071" t="s">
        <v>180</v>
      </c>
      <c r="AN1071">
        <v>75</v>
      </c>
      <c r="AO1071">
        <v>1074</v>
      </c>
    </row>
    <row r="1072" spans="37:41">
      <c r="AK1072" t="s">
        <v>1594</v>
      </c>
      <c r="AL1072" t="s">
        <v>67</v>
      </c>
      <c r="AM1072" t="s">
        <v>180</v>
      </c>
      <c r="AN1072">
        <v>75</v>
      </c>
      <c r="AO1072">
        <v>1075</v>
      </c>
    </row>
    <row r="1073" spans="37:41">
      <c r="AK1073" t="s">
        <v>1595</v>
      </c>
      <c r="AL1073" t="s">
        <v>81</v>
      </c>
      <c r="AM1073" t="s">
        <v>180</v>
      </c>
      <c r="AN1073">
        <v>75</v>
      </c>
      <c r="AO1073">
        <v>1076</v>
      </c>
    </row>
    <row r="1074" spans="37:41">
      <c r="AK1074" t="s">
        <v>1596</v>
      </c>
      <c r="AL1074" t="s">
        <v>67</v>
      </c>
      <c r="AM1074" t="s">
        <v>180</v>
      </c>
      <c r="AN1074">
        <v>75</v>
      </c>
      <c r="AO1074">
        <v>1077</v>
      </c>
    </row>
    <row r="1075" spans="37:41">
      <c r="AK1075" t="s">
        <v>1597</v>
      </c>
      <c r="AL1075" t="s">
        <v>67</v>
      </c>
      <c r="AM1075" t="s">
        <v>180</v>
      </c>
      <c r="AN1075">
        <v>75</v>
      </c>
      <c r="AO1075">
        <v>1078</v>
      </c>
    </row>
    <row r="1076" spans="37:41">
      <c r="AK1076" t="s">
        <v>1598</v>
      </c>
      <c r="AL1076" t="s">
        <v>67</v>
      </c>
      <c r="AM1076" t="s">
        <v>180</v>
      </c>
      <c r="AN1076">
        <v>75</v>
      </c>
      <c r="AO1076">
        <v>1079</v>
      </c>
    </row>
    <row r="1077" spans="37:41">
      <c r="AK1077" t="s">
        <v>1599</v>
      </c>
      <c r="AL1077" t="s">
        <v>81</v>
      </c>
      <c r="AM1077" t="s">
        <v>180</v>
      </c>
      <c r="AN1077">
        <v>75</v>
      </c>
      <c r="AO1077">
        <v>1080</v>
      </c>
    </row>
    <row r="1078" spans="37:41">
      <c r="AK1078" t="s">
        <v>1600</v>
      </c>
      <c r="AL1078" t="s">
        <v>67</v>
      </c>
      <c r="AM1078" t="s">
        <v>180</v>
      </c>
      <c r="AN1078">
        <v>75</v>
      </c>
      <c r="AO1078">
        <v>1081</v>
      </c>
    </row>
    <row r="1079" spans="37:41">
      <c r="AK1079" t="s">
        <v>1601</v>
      </c>
      <c r="AL1079" t="s">
        <v>67</v>
      </c>
      <c r="AM1079" t="s">
        <v>180</v>
      </c>
      <c r="AN1079">
        <v>75</v>
      </c>
      <c r="AO1079">
        <v>1082</v>
      </c>
    </row>
    <row r="1080" spans="37:41">
      <c r="AK1080" t="s">
        <v>1602</v>
      </c>
      <c r="AL1080" t="s">
        <v>67</v>
      </c>
      <c r="AM1080" t="s">
        <v>180</v>
      </c>
      <c r="AN1080">
        <v>75</v>
      </c>
      <c r="AO1080">
        <v>1083</v>
      </c>
    </row>
    <row r="1081" spans="37:41">
      <c r="AK1081" t="s">
        <v>1603</v>
      </c>
      <c r="AL1081" t="s">
        <v>81</v>
      </c>
      <c r="AM1081" t="s">
        <v>180</v>
      </c>
      <c r="AN1081">
        <v>75</v>
      </c>
      <c r="AO1081">
        <v>1084</v>
      </c>
    </row>
    <row r="1082" spans="37:41">
      <c r="AK1082" t="s">
        <v>1604</v>
      </c>
      <c r="AL1082" t="s">
        <v>67</v>
      </c>
      <c r="AM1082" t="s">
        <v>125</v>
      </c>
      <c r="AN1082">
        <v>110</v>
      </c>
      <c r="AO1082">
        <v>1085</v>
      </c>
    </row>
    <row r="1083" spans="37:41">
      <c r="AK1083" t="s">
        <v>1605</v>
      </c>
      <c r="AL1083" t="s">
        <v>67</v>
      </c>
      <c r="AM1083" t="s">
        <v>125</v>
      </c>
      <c r="AN1083">
        <v>110</v>
      </c>
      <c r="AO1083">
        <v>1086</v>
      </c>
    </row>
    <row r="1084" spans="37:41">
      <c r="AK1084" t="s">
        <v>1606</v>
      </c>
      <c r="AL1084" t="s">
        <v>67</v>
      </c>
      <c r="AM1084" t="s">
        <v>125</v>
      </c>
      <c r="AN1084">
        <v>110</v>
      </c>
      <c r="AO1084">
        <v>1087</v>
      </c>
    </row>
    <row r="1085" spans="37:41">
      <c r="AK1085" t="s">
        <v>1607</v>
      </c>
      <c r="AL1085" t="s">
        <v>67</v>
      </c>
      <c r="AM1085" t="s">
        <v>125</v>
      </c>
      <c r="AN1085">
        <v>110</v>
      </c>
      <c r="AO1085">
        <v>1088</v>
      </c>
    </row>
    <row r="1086" spans="37:41">
      <c r="AK1086" t="s">
        <v>1608</v>
      </c>
      <c r="AL1086" t="s">
        <v>67</v>
      </c>
      <c r="AM1086" t="s">
        <v>125</v>
      </c>
      <c r="AN1086">
        <v>110</v>
      </c>
      <c r="AO1086">
        <v>1089</v>
      </c>
    </row>
    <row r="1087" spans="37:41">
      <c r="AK1087" t="s">
        <v>1609</v>
      </c>
      <c r="AL1087" t="s">
        <v>81</v>
      </c>
      <c r="AM1087" t="s">
        <v>125</v>
      </c>
      <c r="AN1087">
        <v>110</v>
      </c>
      <c r="AO1087">
        <v>1090</v>
      </c>
    </row>
    <row r="1088" spans="37:41">
      <c r="AK1088" t="s">
        <v>1610</v>
      </c>
      <c r="AL1088" t="s">
        <v>81</v>
      </c>
      <c r="AM1088" t="s">
        <v>125</v>
      </c>
      <c r="AN1088">
        <v>110</v>
      </c>
      <c r="AO1088">
        <v>1091</v>
      </c>
    </row>
    <row r="1089" spans="37:41">
      <c r="AK1089" t="s">
        <v>1611</v>
      </c>
      <c r="AL1089" t="s">
        <v>67</v>
      </c>
      <c r="AM1089" t="s">
        <v>125</v>
      </c>
      <c r="AN1089">
        <v>110</v>
      </c>
      <c r="AO1089">
        <v>1092</v>
      </c>
    </row>
    <row r="1090" spans="37:41">
      <c r="AK1090" t="s">
        <v>1612</v>
      </c>
      <c r="AL1090" t="s">
        <v>67</v>
      </c>
      <c r="AM1090" t="s">
        <v>125</v>
      </c>
      <c r="AN1090">
        <v>110</v>
      </c>
      <c r="AO1090">
        <v>1093</v>
      </c>
    </row>
    <row r="1091" spans="37:41">
      <c r="AK1091" t="s">
        <v>1613</v>
      </c>
      <c r="AL1091" t="s">
        <v>81</v>
      </c>
      <c r="AM1091" t="s">
        <v>125</v>
      </c>
      <c r="AN1091">
        <v>110</v>
      </c>
      <c r="AO1091">
        <v>1094</v>
      </c>
    </row>
    <row r="1092" spans="37:41">
      <c r="AK1092" t="s">
        <v>1614</v>
      </c>
      <c r="AL1092" t="s">
        <v>81</v>
      </c>
      <c r="AM1092" t="s">
        <v>125</v>
      </c>
      <c r="AN1092">
        <v>110</v>
      </c>
      <c r="AO1092">
        <v>1095</v>
      </c>
    </row>
    <row r="1093" spans="37:41">
      <c r="AK1093" t="s">
        <v>1615</v>
      </c>
      <c r="AL1093" t="s">
        <v>81</v>
      </c>
      <c r="AM1093" t="s">
        <v>125</v>
      </c>
      <c r="AN1093">
        <v>110</v>
      </c>
      <c r="AO1093">
        <v>1096</v>
      </c>
    </row>
    <row r="1094" spans="37:41">
      <c r="AK1094" t="s">
        <v>1616</v>
      </c>
      <c r="AL1094" t="s">
        <v>81</v>
      </c>
      <c r="AM1094" t="s">
        <v>125</v>
      </c>
      <c r="AN1094">
        <v>110</v>
      </c>
      <c r="AO1094">
        <v>1097</v>
      </c>
    </row>
    <row r="1095" spans="37:41">
      <c r="AK1095" t="s">
        <v>1617</v>
      </c>
      <c r="AL1095" t="s">
        <v>67</v>
      </c>
      <c r="AM1095" t="s">
        <v>125</v>
      </c>
      <c r="AN1095">
        <v>110</v>
      </c>
      <c r="AO1095">
        <v>1098</v>
      </c>
    </row>
    <row r="1096" spans="37:41">
      <c r="AK1096" t="s">
        <v>1618</v>
      </c>
      <c r="AL1096" t="s">
        <v>67</v>
      </c>
      <c r="AM1096" t="s">
        <v>125</v>
      </c>
      <c r="AN1096">
        <v>110</v>
      </c>
      <c r="AO1096">
        <v>1099</v>
      </c>
    </row>
    <row r="1097" spans="37:41">
      <c r="AK1097" t="s">
        <v>1619</v>
      </c>
      <c r="AL1097" t="s">
        <v>81</v>
      </c>
      <c r="AM1097" t="s">
        <v>125</v>
      </c>
      <c r="AN1097">
        <v>110</v>
      </c>
      <c r="AO1097">
        <v>1100</v>
      </c>
    </row>
    <row r="1098" spans="37:41">
      <c r="AK1098" t="s">
        <v>1620</v>
      </c>
      <c r="AL1098" t="s">
        <v>67</v>
      </c>
      <c r="AM1098" t="s">
        <v>125</v>
      </c>
      <c r="AN1098">
        <v>110</v>
      </c>
      <c r="AO1098">
        <v>1101</v>
      </c>
    </row>
    <row r="1099" spans="37:41">
      <c r="AK1099" t="s">
        <v>1621</v>
      </c>
      <c r="AL1099" t="s">
        <v>67</v>
      </c>
      <c r="AM1099" t="s">
        <v>125</v>
      </c>
      <c r="AN1099">
        <v>110</v>
      </c>
      <c r="AO1099">
        <v>1102</v>
      </c>
    </row>
    <row r="1100" spans="37:41">
      <c r="AK1100" t="s">
        <v>1622</v>
      </c>
      <c r="AL1100" t="s">
        <v>67</v>
      </c>
      <c r="AM1100" t="s">
        <v>125</v>
      </c>
      <c r="AN1100">
        <v>110</v>
      </c>
      <c r="AO1100">
        <v>1103</v>
      </c>
    </row>
    <row r="1101" spans="37:41">
      <c r="AK1101" t="s">
        <v>1623</v>
      </c>
      <c r="AL1101" t="s">
        <v>81</v>
      </c>
      <c r="AM1101" t="s">
        <v>125</v>
      </c>
      <c r="AN1101">
        <v>110</v>
      </c>
      <c r="AO1101">
        <v>1104</v>
      </c>
    </row>
    <row r="1102" spans="37:41">
      <c r="AK1102" t="s">
        <v>1624</v>
      </c>
      <c r="AL1102" t="s">
        <v>67</v>
      </c>
      <c r="AM1102" t="s">
        <v>125</v>
      </c>
      <c r="AN1102">
        <v>110</v>
      </c>
      <c r="AO1102">
        <v>1105</v>
      </c>
    </row>
    <row r="1103" spans="37:41">
      <c r="AK1103" t="s">
        <v>1625</v>
      </c>
      <c r="AL1103" t="s">
        <v>67</v>
      </c>
      <c r="AM1103" t="s">
        <v>125</v>
      </c>
      <c r="AN1103">
        <v>110</v>
      </c>
      <c r="AO1103">
        <v>1106</v>
      </c>
    </row>
    <row r="1104" spans="37:41">
      <c r="AK1104" t="s">
        <v>1626</v>
      </c>
      <c r="AL1104" t="s">
        <v>67</v>
      </c>
      <c r="AM1104" t="s">
        <v>125</v>
      </c>
      <c r="AN1104">
        <v>110</v>
      </c>
      <c r="AO1104">
        <v>1107</v>
      </c>
    </row>
    <row r="1105" spans="37:41">
      <c r="AK1105" t="s">
        <v>1627</v>
      </c>
      <c r="AL1105" t="s">
        <v>81</v>
      </c>
      <c r="AM1105" t="s">
        <v>125</v>
      </c>
      <c r="AN1105">
        <v>110</v>
      </c>
      <c r="AO1105">
        <v>1108</v>
      </c>
    </row>
    <row r="1106" spans="37:41">
      <c r="AK1106" t="s">
        <v>1628</v>
      </c>
      <c r="AL1106" t="s">
        <v>67</v>
      </c>
      <c r="AM1106" t="s">
        <v>129</v>
      </c>
      <c r="AN1106">
        <v>75</v>
      </c>
      <c r="AO1106">
        <v>1109</v>
      </c>
    </row>
    <row r="1107" spans="37:41">
      <c r="AK1107" t="s">
        <v>1629</v>
      </c>
      <c r="AL1107" t="s">
        <v>67</v>
      </c>
      <c r="AM1107" t="s">
        <v>129</v>
      </c>
      <c r="AN1107">
        <v>75</v>
      </c>
      <c r="AO1107">
        <v>1110</v>
      </c>
    </row>
    <row r="1108" spans="37:41">
      <c r="AK1108" t="s">
        <v>1630</v>
      </c>
      <c r="AL1108" t="s">
        <v>67</v>
      </c>
      <c r="AM1108" t="s">
        <v>129</v>
      </c>
      <c r="AN1108">
        <v>75</v>
      </c>
      <c r="AO1108">
        <v>1111</v>
      </c>
    </row>
    <row r="1109" spans="37:41">
      <c r="AK1109" t="s">
        <v>1631</v>
      </c>
      <c r="AL1109" t="s">
        <v>67</v>
      </c>
      <c r="AM1109" t="s">
        <v>129</v>
      </c>
      <c r="AN1109">
        <v>75</v>
      </c>
      <c r="AO1109">
        <v>1112</v>
      </c>
    </row>
    <row r="1110" spans="37:41">
      <c r="AK1110" t="s">
        <v>1632</v>
      </c>
      <c r="AL1110" t="s">
        <v>67</v>
      </c>
      <c r="AM1110" t="s">
        <v>129</v>
      </c>
      <c r="AN1110">
        <v>75</v>
      </c>
      <c r="AO1110">
        <v>1113</v>
      </c>
    </row>
    <row r="1111" spans="37:41">
      <c r="AK1111" t="s">
        <v>1633</v>
      </c>
      <c r="AL1111" t="s">
        <v>81</v>
      </c>
      <c r="AM1111" t="s">
        <v>129</v>
      </c>
      <c r="AN1111">
        <v>75</v>
      </c>
      <c r="AO1111">
        <v>1114</v>
      </c>
    </row>
    <row r="1112" spans="37:41">
      <c r="AK1112" t="s">
        <v>1634</v>
      </c>
      <c r="AL1112" t="s">
        <v>81</v>
      </c>
      <c r="AM1112" t="s">
        <v>129</v>
      </c>
      <c r="AN1112">
        <v>75</v>
      </c>
      <c r="AO1112">
        <v>1115</v>
      </c>
    </row>
    <row r="1113" spans="37:41">
      <c r="AK1113" t="s">
        <v>1635</v>
      </c>
      <c r="AL1113" t="s">
        <v>67</v>
      </c>
      <c r="AM1113" t="s">
        <v>129</v>
      </c>
      <c r="AN1113">
        <v>75</v>
      </c>
      <c r="AO1113">
        <v>1116</v>
      </c>
    </row>
    <row r="1114" spans="37:41">
      <c r="AK1114" t="s">
        <v>1636</v>
      </c>
      <c r="AL1114" t="s">
        <v>67</v>
      </c>
      <c r="AM1114" t="s">
        <v>129</v>
      </c>
      <c r="AN1114">
        <v>75</v>
      </c>
      <c r="AO1114">
        <v>1117</v>
      </c>
    </row>
    <row r="1115" spans="37:41">
      <c r="AK1115" t="s">
        <v>1637</v>
      </c>
      <c r="AL1115" t="s">
        <v>81</v>
      </c>
      <c r="AM1115" t="s">
        <v>129</v>
      </c>
      <c r="AN1115">
        <v>75</v>
      </c>
      <c r="AO1115">
        <v>1118</v>
      </c>
    </row>
    <row r="1116" spans="37:41">
      <c r="AK1116" t="s">
        <v>1638</v>
      </c>
      <c r="AL1116" t="s">
        <v>81</v>
      </c>
      <c r="AM1116" t="s">
        <v>129</v>
      </c>
      <c r="AN1116">
        <v>75</v>
      </c>
      <c r="AO1116">
        <v>1119</v>
      </c>
    </row>
    <row r="1117" spans="37:41">
      <c r="AK1117" t="s">
        <v>1639</v>
      </c>
      <c r="AL1117" t="s">
        <v>81</v>
      </c>
      <c r="AM1117" t="s">
        <v>129</v>
      </c>
      <c r="AN1117">
        <v>75</v>
      </c>
      <c r="AO1117">
        <v>1120</v>
      </c>
    </row>
    <row r="1118" spans="37:41">
      <c r="AK1118" t="s">
        <v>1640</v>
      </c>
      <c r="AL1118" t="s">
        <v>81</v>
      </c>
      <c r="AM1118" t="s">
        <v>129</v>
      </c>
      <c r="AN1118">
        <v>75</v>
      </c>
      <c r="AO1118">
        <v>1121</v>
      </c>
    </row>
    <row r="1119" spans="37:41">
      <c r="AK1119" t="s">
        <v>1641</v>
      </c>
      <c r="AL1119" t="s">
        <v>67</v>
      </c>
      <c r="AM1119" t="s">
        <v>129</v>
      </c>
      <c r="AN1119">
        <v>75</v>
      </c>
      <c r="AO1119">
        <v>1122</v>
      </c>
    </row>
    <row r="1120" spans="37:41">
      <c r="AK1120" t="s">
        <v>1642</v>
      </c>
      <c r="AL1120" t="s">
        <v>67</v>
      </c>
      <c r="AM1120" t="s">
        <v>129</v>
      </c>
      <c r="AN1120">
        <v>75</v>
      </c>
      <c r="AO1120">
        <v>1123</v>
      </c>
    </row>
    <row r="1121" spans="37:41">
      <c r="AK1121" t="s">
        <v>1643</v>
      </c>
      <c r="AL1121" t="s">
        <v>81</v>
      </c>
      <c r="AM1121" t="s">
        <v>129</v>
      </c>
      <c r="AN1121">
        <v>75</v>
      </c>
      <c r="AO1121">
        <v>1124</v>
      </c>
    </row>
    <row r="1122" spans="37:41">
      <c r="AK1122" t="s">
        <v>1644</v>
      </c>
      <c r="AL1122" t="s">
        <v>67</v>
      </c>
      <c r="AM1122" t="s">
        <v>129</v>
      </c>
      <c r="AN1122">
        <v>75</v>
      </c>
      <c r="AO1122">
        <v>1125</v>
      </c>
    </row>
    <row r="1123" spans="37:41">
      <c r="AK1123" t="s">
        <v>1645</v>
      </c>
      <c r="AL1123" t="s">
        <v>67</v>
      </c>
      <c r="AM1123" t="s">
        <v>129</v>
      </c>
      <c r="AN1123">
        <v>75</v>
      </c>
      <c r="AO1123">
        <v>1126</v>
      </c>
    </row>
    <row r="1124" spans="37:41">
      <c r="AK1124" t="s">
        <v>1646</v>
      </c>
      <c r="AL1124" t="s">
        <v>67</v>
      </c>
      <c r="AM1124" t="s">
        <v>129</v>
      </c>
      <c r="AN1124">
        <v>75</v>
      </c>
      <c r="AO1124">
        <v>1127</v>
      </c>
    </row>
    <row r="1125" spans="37:41">
      <c r="AK1125" t="s">
        <v>1647</v>
      </c>
      <c r="AL1125" t="s">
        <v>81</v>
      </c>
      <c r="AM1125" t="s">
        <v>129</v>
      </c>
      <c r="AN1125">
        <v>75</v>
      </c>
      <c r="AO1125">
        <v>1128</v>
      </c>
    </row>
    <row r="1126" spans="37:41">
      <c r="AK1126" t="s">
        <v>1648</v>
      </c>
      <c r="AL1126" t="s">
        <v>67</v>
      </c>
      <c r="AM1126" t="s">
        <v>129</v>
      </c>
      <c r="AN1126">
        <v>75</v>
      </c>
      <c r="AO1126">
        <v>1129</v>
      </c>
    </row>
    <row r="1127" spans="37:41">
      <c r="AK1127" t="s">
        <v>1649</v>
      </c>
      <c r="AL1127" t="s">
        <v>67</v>
      </c>
      <c r="AM1127" t="s">
        <v>129</v>
      </c>
      <c r="AN1127">
        <v>75</v>
      </c>
      <c r="AO1127">
        <v>1130</v>
      </c>
    </row>
    <row r="1128" spans="37:41">
      <c r="AK1128" t="s">
        <v>1650</v>
      </c>
      <c r="AL1128" t="s">
        <v>67</v>
      </c>
      <c r="AM1128" t="s">
        <v>129</v>
      </c>
      <c r="AN1128">
        <v>75</v>
      </c>
      <c r="AO1128">
        <v>1131</v>
      </c>
    </row>
    <row r="1129" spans="37:41">
      <c r="AK1129" t="s">
        <v>1651</v>
      </c>
      <c r="AL1129" t="s">
        <v>81</v>
      </c>
      <c r="AM1129" t="s">
        <v>129</v>
      </c>
      <c r="AN1129">
        <v>75</v>
      </c>
      <c r="AO1129">
        <v>1132</v>
      </c>
    </row>
    <row r="1130" spans="37:41">
      <c r="AK1130" t="s">
        <v>1652</v>
      </c>
      <c r="AL1130" t="s">
        <v>67</v>
      </c>
      <c r="AM1130" t="s">
        <v>119</v>
      </c>
      <c r="AN1130">
        <v>75</v>
      </c>
      <c r="AO1130">
        <v>1133</v>
      </c>
    </row>
    <row r="1131" spans="37:41">
      <c r="AK1131" t="s">
        <v>1653</v>
      </c>
      <c r="AL1131" t="s">
        <v>67</v>
      </c>
      <c r="AM1131" t="s">
        <v>119</v>
      </c>
      <c r="AN1131">
        <v>75</v>
      </c>
      <c r="AO1131">
        <v>1134</v>
      </c>
    </row>
    <row r="1132" spans="37:41">
      <c r="AK1132" t="s">
        <v>1654</v>
      </c>
      <c r="AL1132" t="s">
        <v>67</v>
      </c>
      <c r="AM1132" t="s">
        <v>119</v>
      </c>
      <c r="AN1132">
        <v>75</v>
      </c>
      <c r="AO1132">
        <v>1135</v>
      </c>
    </row>
    <row r="1133" spans="37:41">
      <c r="AK1133" t="s">
        <v>1655</v>
      </c>
      <c r="AL1133" t="s">
        <v>67</v>
      </c>
      <c r="AM1133" t="s">
        <v>119</v>
      </c>
      <c r="AN1133">
        <v>75</v>
      </c>
      <c r="AO1133">
        <v>1136</v>
      </c>
    </row>
    <row r="1134" spans="37:41">
      <c r="AK1134" t="s">
        <v>1656</v>
      </c>
      <c r="AL1134" t="s">
        <v>67</v>
      </c>
      <c r="AM1134" t="s">
        <v>119</v>
      </c>
      <c r="AN1134">
        <v>75</v>
      </c>
      <c r="AO1134">
        <v>1137</v>
      </c>
    </row>
    <row r="1135" spans="37:41">
      <c r="AK1135" t="s">
        <v>1657</v>
      </c>
      <c r="AL1135" t="s">
        <v>81</v>
      </c>
      <c r="AM1135" t="s">
        <v>119</v>
      </c>
      <c r="AN1135">
        <v>75</v>
      </c>
      <c r="AO1135">
        <v>1138</v>
      </c>
    </row>
    <row r="1136" spans="37:41">
      <c r="AK1136" t="s">
        <v>1658</v>
      </c>
      <c r="AL1136" t="s">
        <v>81</v>
      </c>
      <c r="AM1136" t="s">
        <v>119</v>
      </c>
      <c r="AN1136">
        <v>75</v>
      </c>
      <c r="AO1136">
        <v>1139</v>
      </c>
    </row>
    <row r="1137" spans="37:41">
      <c r="AK1137" t="s">
        <v>1659</v>
      </c>
      <c r="AL1137" t="s">
        <v>67</v>
      </c>
      <c r="AM1137" t="s">
        <v>119</v>
      </c>
      <c r="AN1137">
        <v>75</v>
      </c>
      <c r="AO1137">
        <v>1140</v>
      </c>
    </row>
    <row r="1138" spans="37:41">
      <c r="AK1138" t="s">
        <v>1660</v>
      </c>
      <c r="AL1138" t="s">
        <v>67</v>
      </c>
      <c r="AM1138" t="s">
        <v>119</v>
      </c>
      <c r="AN1138">
        <v>75</v>
      </c>
      <c r="AO1138">
        <v>1141</v>
      </c>
    </row>
    <row r="1139" spans="37:41">
      <c r="AK1139" t="s">
        <v>1661</v>
      </c>
      <c r="AL1139" t="s">
        <v>81</v>
      </c>
      <c r="AM1139" t="s">
        <v>119</v>
      </c>
      <c r="AN1139">
        <v>75</v>
      </c>
      <c r="AO1139">
        <v>1142</v>
      </c>
    </row>
    <row r="1140" spans="37:41">
      <c r="AK1140" t="s">
        <v>1662</v>
      </c>
      <c r="AL1140" t="s">
        <v>81</v>
      </c>
      <c r="AM1140" t="s">
        <v>119</v>
      </c>
      <c r="AN1140">
        <v>75</v>
      </c>
      <c r="AO1140">
        <v>1143</v>
      </c>
    </row>
    <row r="1141" spans="37:41">
      <c r="AK1141" t="s">
        <v>1663</v>
      </c>
      <c r="AL1141" t="s">
        <v>81</v>
      </c>
      <c r="AM1141" t="s">
        <v>119</v>
      </c>
      <c r="AN1141">
        <v>75</v>
      </c>
      <c r="AO1141">
        <v>1144</v>
      </c>
    </row>
    <row r="1142" spans="37:41">
      <c r="AK1142" t="s">
        <v>1664</v>
      </c>
      <c r="AL1142" t="s">
        <v>81</v>
      </c>
      <c r="AM1142" t="s">
        <v>119</v>
      </c>
      <c r="AN1142">
        <v>75</v>
      </c>
      <c r="AO1142">
        <v>1145</v>
      </c>
    </row>
    <row r="1143" spans="37:41">
      <c r="AK1143" t="s">
        <v>1665</v>
      </c>
      <c r="AL1143" t="s">
        <v>67</v>
      </c>
      <c r="AM1143" t="s">
        <v>119</v>
      </c>
      <c r="AN1143">
        <v>75</v>
      </c>
      <c r="AO1143">
        <v>1146</v>
      </c>
    </row>
    <row r="1144" spans="37:41">
      <c r="AK1144" t="s">
        <v>1666</v>
      </c>
      <c r="AL1144" t="s">
        <v>67</v>
      </c>
      <c r="AM1144" t="s">
        <v>119</v>
      </c>
      <c r="AN1144">
        <v>75</v>
      </c>
      <c r="AO1144">
        <v>1147</v>
      </c>
    </row>
    <row r="1145" spans="37:41">
      <c r="AK1145" t="s">
        <v>1667</v>
      </c>
      <c r="AL1145" t="s">
        <v>81</v>
      </c>
      <c r="AM1145" t="s">
        <v>119</v>
      </c>
      <c r="AN1145">
        <v>75</v>
      </c>
      <c r="AO1145">
        <v>1148</v>
      </c>
    </row>
    <row r="1146" spans="37:41">
      <c r="AK1146" t="s">
        <v>1668</v>
      </c>
      <c r="AL1146" t="s">
        <v>67</v>
      </c>
      <c r="AM1146" t="s">
        <v>119</v>
      </c>
      <c r="AN1146">
        <v>75</v>
      </c>
      <c r="AO1146">
        <v>1149</v>
      </c>
    </row>
    <row r="1147" spans="37:41">
      <c r="AK1147" t="s">
        <v>1669</v>
      </c>
      <c r="AL1147" t="s">
        <v>67</v>
      </c>
      <c r="AM1147" t="s">
        <v>119</v>
      </c>
      <c r="AN1147">
        <v>75</v>
      </c>
      <c r="AO1147">
        <v>1150</v>
      </c>
    </row>
    <row r="1148" spans="37:41">
      <c r="AK1148" t="s">
        <v>1670</v>
      </c>
      <c r="AL1148" t="s">
        <v>67</v>
      </c>
      <c r="AM1148" t="s">
        <v>119</v>
      </c>
      <c r="AN1148">
        <v>75</v>
      </c>
      <c r="AO1148">
        <v>1151</v>
      </c>
    </row>
    <row r="1149" spans="37:41">
      <c r="AK1149" t="s">
        <v>1671</v>
      </c>
      <c r="AL1149" t="s">
        <v>81</v>
      </c>
      <c r="AM1149" t="s">
        <v>119</v>
      </c>
      <c r="AN1149">
        <v>75</v>
      </c>
      <c r="AO1149">
        <v>1152</v>
      </c>
    </row>
    <row r="1150" spans="37:41">
      <c r="AK1150" t="s">
        <v>1672</v>
      </c>
      <c r="AL1150" t="s">
        <v>67</v>
      </c>
      <c r="AM1150" t="s">
        <v>119</v>
      </c>
      <c r="AN1150">
        <v>75</v>
      </c>
      <c r="AO1150">
        <v>1153</v>
      </c>
    </row>
    <row r="1151" spans="37:41">
      <c r="AK1151" t="s">
        <v>1673</v>
      </c>
      <c r="AL1151" t="s">
        <v>67</v>
      </c>
      <c r="AM1151" t="s">
        <v>119</v>
      </c>
      <c r="AN1151">
        <v>75</v>
      </c>
      <c r="AO1151">
        <v>1154</v>
      </c>
    </row>
    <row r="1152" spans="37:41">
      <c r="AK1152" t="s">
        <v>1674</v>
      </c>
      <c r="AL1152" t="s">
        <v>67</v>
      </c>
      <c r="AM1152" t="s">
        <v>119</v>
      </c>
      <c r="AN1152">
        <v>75</v>
      </c>
      <c r="AO1152">
        <v>1155</v>
      </c>
    </row>
    <row r="1153" spans="37:41">
      <c r="AK1153" t="s">
        <v>1675</v>
      </c>
      <c r="AL1153" t="s">
        <v>81</v>
      </c>
      <c r="AM1153" t="s">
        <v>119</v>
      </c>
      <c r="AN1153">
        <v>75</v>
      </c>
      <c r="AO1153">
        <v>1156</v>
      </c>
    </row>
    <row r="1154" spans="37:41">
      <c r="AK1154" t="s">
        <v>1676</v>
      </c>
      <c r="AL1154" t="s">
        <v>67</v>
      </c>
      <c r="AM1154" t="s">
        <v>188</v>
      </c>
      <c r="AN1154">
        <v>75</v>
      </c>
      <c r="AO1154">
        <v>1157</v>
      </c>
    </row>
    <row r="1155" spans="37:41">
      <c r="AK1155" t="s">
        <v>1677</v>
      </c>
      <c r="AL1155" t="s">
        <v>67</v>
      </c>
      <c r="AM1155" t="s">
        <v>188</v>
      </c>
      <c r="AN1155">
        <v>75</v>
      </c>
      <c r="AO1155">
        <v>1158</v>
      </c>
    </row>
    <row r="1156" spans="37:41">
      <c r="AK1156" t="s">
        <v>1678</v>
      </c>
      <c r="AL1156" t="s">
        <v>67</v>
      </c>
      <c r="AM1156" t="s">
        <v>188</v>
      </c>
      <c r="AN1156">
        <v>75</v>
      </c>
      <c r="AO1156">
        <v>1159</v>
      </c>
    </row>
    <row r="1157" spans="37:41">
      <c r="AK1157" t="s">
        <v>1679</v>
      </c>
      <c r="AL1157" t="s">
        <v>67</v>
      </c>
      <c r="AM1157" t="s">
        <v>188</v>
      </c>
      <c r="AN1157">
        <v>75</v>
      </c>
      <c r="AO1157">
        <v>1160</v>
      </c>
    </row>
    <row r="1158" spans="37:41">
      <c r="AK1158" t="s">
        <v>1680</v>
      </c>
      <c r="AL1158" t="s">
        <v>67</v>
      </c>
      <c r="AM1158" t="s">
        <v>188</v>
      </c>
      <c r="AN1158">
        <v>75</v>
      </c>
      <c r="AO1158">
        <v>1161</v>
      </c>
    </row>
    <row r="1159" spans="37:41">
      <c r="AK1159" t="s">
        <v>1681</v>
      </c>
      <c r="AL1159" t="s">
        <v>81</v>
      </c>
      <c r="AM1159" t="s">
        <v>188</v>
      </c>
      <c r="AN1159">
        <v>75</v>
      </c>
      <c r="AO1159">
        <v>1162</v>
      </c>
    </row>
    <row r="1160" spans="37:41">
      <c r="AK1160" t="s">
        <v>1682</v>
      </c>
      <c r="AL1160" t="s">
        <v>81</v>
      </c>
      <c r="AM1160" t="s">
        <v>188</v>
      </c>
      <c r="AN1160">
        <v>75</v>
      </c>
      <c r="AO1160">
        <v>1163</v>
      </c>
    </row>
    <row r="1161" spans="37:41">
      <c r="AK1161" t="s">
        <v>1683</v>
      </c>
      <c r="AL1161" t="s">
        <v>67</v>
      </c>
      <c r="AM1161" t="s">
        <v>188</v>
      </c>
      <c r="AN1161">
        <v>75</v>
      </c>
      <c r="AO1161">
        <v>1164</v>
      </c>
    </row>
    <row r="1162" spans="37:41">
      <c r="AK1162" t="s">
        <v>1684</v>
      </c>
      <c r="AL1162" t="s">
        <v>67</v>
      </c>
      <c r="AM1162" t="s">
        <v>188</v>
      </c>
      <c r="AN1162">
        <v>75</v>
      </c>
      <c r="AO1162">
        <v>1165</v>
      </c>
    </row>
    <row r="1163" spans="37:41">
      <c r="AK1163" t="s">
        <v>1685</v>
      </c>
      <c r="AL1163" t="s">
        <v>81</v>
      </c>
      <c r="AM1163" t="s">
        <v>188</v>
      </c>
      <c r="AN1163">
        <v>75</v>
      </c>
      <c r="AO1163">
        <v>1166</v>
      </c>
    </row>
    <row r="1164" spans="37:41">
      <c r="AK1164" t="s">
        <v>1686</v>
      </c>
      <c r="AL1164" t="s">
        <v>81</v>
      </c>
      <c r="AM1164" t="s">
        <v>188</v>
      </c>
      <c r="AN1164">
        <v>75</v>
      </c>
      <c r="AO1164">
        <v>1167</v>
      </c>
    </row>
    <row r="1165" spans="37:41">
      <c r="AK1165" t="s">
        <v>1687</v>
      </c>
      <c r="AL1165" t="s">
        <v>81</v>
      </c>
      <c r="AM1165" t="s">
        <v>188</v>
      </c>
      <c r="AN1165">
        <v>75</v>
      </c>
      <c r="AO1165">
        <v>1168</v>
      </c>
    </row>
    <row r="1166" spans="37:41">
      <c r="AK1166" t="s">
        <v>1688</v>
      </c>
      <c r="AL1166" t="s">
        <v>81</v>
      </c>
      <c r="AM1166" t="s">
        <v>188</v>
      </c>
      <c r="AN1166">
        <v>75</v>
      </c>
      <c r="AO1166">
        <v>1169</v>
      </c>
    </row>
    <row r="1167" spans="37:41">
      <c r="AK1167" t="s">
        <v>1689</v>
      </c>
      <c r="AL1167" t="s">
        <v>67</v>
      </c>
      <c r="AM1167" t="s">
        <v>188</v>
      </c>
      <c r="AN1167">
        <v>75</v>
      </c>
      <c r="AO1167">
        <v>1170</v>
      </c>
    </row>
    <row r="1168" spans="37:41">
      <c r="AK1168" t="s">
        <v>1690</v>
      </c>
      <c r="AL1168" t="s">
        <v>67</v>
      </c>
      <c r="AM1168" t="s">
        <v>188</v>
      </c>
      <c r="AN1168">
        <v>75</v>
      </c>
      <c r="AO1168">
        <v>1171</v>
      </c>
    </row>
    <row r="1169" spans="37:41">
      <c r="AK1169" t="s">
        <v>1691</v>
      </c>
      <c r="AL1169" t="s">
        <v>81</v>
      </c>
      <c r="AM1169" t="s">
        <v>188</v>
      </c>
      <c r="AN1169">
        <v>75</v>
      </c>
      <c r="AO1169">
        <v>1172</v>
      </c>
    </row>
    <row r="1170" spans="37:41">
      <c r="AK1170" t="s">
        <v>1692</v>
      </c>
      <c r="AL1170" t="s">
        <v>67</v>
      </c>
      <c r="AM1170" t="s">
        <v>188</v>
      </c>
      <c r="AN1170">
        <v>75</v>
      </c>
      <c r="AO1170">
        <v>1173</v>
      </c>
    </row>
    <row r="1171" spans="37:41">
      <c r="AK1171" t="s">
        <v>1693</v>
      </c>
      <c r="AL1171" t="s">
        <v>67</v>
      </c>
      <c r="AM1171" t="s">
        <v>188</v>
      </c>
      <c r="AN1171">
        <v>75</v>
      </c>
      <c r="AO1171">
        <v>1174</v>
      </c>
    </row>
    <row r="1172" spans="37:41">
      <c r="AK1172" t="s">
        <v>1694</v>
      </c>
      <c r="AL1172" t="s">
        <v>67</v>
      </c>
      <c r="AM1172" t="s">
        <v>188</v>
      </c>
      <c r="AN1172">
        <v>75</v>
      </c>
      <c r="AO1172">
        <v>1175</v>
      </c>
    </row>
    <row r="1173" spans="37:41">
      <c r="AK1173" t="s">
        <v>1695</v>
      </c>
      <c r="AL1173" t="s">
        <v>81</v>
      </c>
      <c r="AM1173" t="s">
        <v>188</v>
      </c>
      <c r="AN1173">
        <v>75</v>
      </c>
      <c r="AO1173">
        <v>1176</v>
      </c>
    </row>
    <row r="1174" spans="37:41">
      <c r="AK1174" t="s">
        <v>1696</v>
      </c>
      <c r="AL1174" t="s">
        <v>67</v>
      </c>
      <c r="AM1174" t="s">
        <v>188</v>
      </c>
      <c r="AN1174">
        <v>75</v>
      </c>
      <c r="AO1174">
        <v>1177</v>
      </c>
    </row>
    <row r="1175" spans="37:41">
      <c r="AK1175" t="s">
        <v>1697</v>
      </c>
      <c r="AL1175" t="s">
        <v>67</v>
      </c>
      <c r="AM1175" t="s">
        <v>188</v>
      </c>
      <c r="AN1175">
        <v>75</v>
      </c>
      <c r="AO1175">
        <v>1178</v>
      </c>
    </row>
    <row r="1176" spans="37:41">
      <c r="AK1176" t="s">
        <v>1698</v>
      </c>
      <c r="AL1176" t="s">
        <v>67</v>
      </c>
      <c r="AM1176" t="s">
        <v>188</v>
      </c>
      <c r="AN1176">
        <v>75</v>
      </c>
      <c r="AO1176">
        <v>1179</v>
      </c>
    </row>
    <row r="1177" spans="37:41">
      <c r="AK1177" t="s">
        <v>1699</v>
      </c>
      <c r="AL1177" t="s">
        <v>81</v>
      </c>
      <c r="AM1177" t="s">
        <v>188</v>
      </c>
      <c r="AN1177">
        <v>75</v>
      </c>
      <c r="AO1177">
        <v>1180</v>
      </c>
    </row>
    <row r="1178" spans="37:41">
      <c r="AK1178" t="s">
        <v>1700</v>
      </c>
      <c r="AL1178" t="s">
        <v>67</v>
      </c>
      <c r="AM1178" t="s">
        <v>125</v>
      </c>
      <c r="AN1178">
        <v>110</v>
      </c>
      <c r="AO1178">
        <v>1181</v>
      </c>
    </row>
    <row r="1179" spans="37:41">
      <c r="AK1179" t="s">
        <v>1701</v>
      </c>
      <c r="AL1179" t="s">
        <v>67</v>
      </c>
      <c r="AM1179" t="s">
        <v>125</v>
      </c>
      <c r="AN1179">
        <v>110</v>
      </c>
      <c r="AO1179">
        <v>1182</v>
      </c>
    </row>
    <row r="1180" spans="37:41">
      <c r="AK1180" t="s">
        <v>1702</v>
      </c>
      <c r="AL1180" t="s">
        <v>67</v>
      </c>
      <c r="AM1180" t="s">
        <v>125</v>
      </c>
      <c r="AN1180">
        <v>110</v>
      </c>
      <c r="AO1180">
        <v>1183</v>
      </c>
    </row>
    <row r="1181" spans="37:41">
      <c r="AK1181" t="s">
        <v>1703</v>
      </c>
      <c r="AL1181" t="s">
        <v>67</v>
      </c>
      <c r="AM1181" t="s">
        <v>125</v>
      </c>
      <c r="AN1181">
        <v>110</v>
      </c>
      <c r="AO1181">
        <v>1184</v>
      </c>
    </row>
    <row r="1182" spans="37:41">
      <c r="AK1182" t="s">
        <v>1704</v>
      </c>
      <c r="AL1182" t="s">
        <v>67</v>
      </c>
      <c r="AM1182" t="s">
        <v>125</v>
      </c>
      <c r="AN1182">
        <v>110</v>
      </c>
      <c r="AO1182">
        <v>1185</v>
      </c>
    </row>
    <row r="1183" spans="37:41">
      <c r="AK1183" t="s">
        <v>1705</v>
      </c>
      <c r="AL1183" t="s">
        <v>81</v>
      </c>
      <c r="AM1183" t="s">
        <v>125</v>
      </c>
      <c r="AN1183">
        <v>110</v>
      </c>
      <c r="AO1183">
        <v>1186</v>
      </c>
    </row>
    <row r="1184" spans="37:41">
      <c r="AK1184" t="s">
        <v>1706</v>
      </c>
      <c r="AL1184" t="s">
        <v>81</v>
      </c>
      <c r="AM1184" t="s">
        <v>125</v>
      </c>
      <c r="AN1184">
        <v>110</v>
      </c>
      <c r="AO1184">
        <v>1187</v>
      </c>
    </row>
    <row r="1185" spans="37:41">
      <c r="AK1185" t="s">
        <v>1707</v>
      </c>
      <c r="AL1185" t="s">
        <v>67</v>
      </c>
      <c r="AM1185" t="s">
        <v>125</v>
      </c>
      <c r="AN1185">
        <v>110</v>
      </c>
      <c r="AO1185">
        <v>1188</v>
      </c>
    </row>
    <row r="1186" spans="37:41">
      <c r="AK1186" t="s">
        <v>1708</v>
      </c>
      <c r="AL1186" t="s">
        <v>67</v>
      </c>
      <c r="AM1186" t="s">
        <v>125</v>
      </c>
      <c r="AN1186">
        <v>110</v>
      </c>
      <c r="AO1186">
        <v>1189</v>
      </c>
    </row>
    <row r="1187" spans="37:41">
      <c r="AK1187" t="s">
        <v>1709</v>
      </c>
      <c r="AL1187" t="s">
        <v>81</v>
      </c>
      <c r="AM1187" t="s">
        <v>125</v>
      </c>
      <c r="AN1187">
        <v>110</v>
      </c>
      <c r="AO1187">
        <v>1190</v>
      </c>
    </row>
    <row r="1188" spans="37:41">
      <c r="AK1188" t="s">
        <v>1710</v>
      </c>
      <c r="AL1188" t="s">
        <v>81</v>
      </c>
      <c r="AM1188" t="s">
        <v>125</v>
      </c>
      <c r="AN1188">
        <v>110</v>
      </c>
      <c r="AO1188">
        <v>1191</v>
      </c>
    </row>
    <row r="1189" spans="37:41">
      <c r="AK1189" t="s">
        <v>1711</v>
      </c>
      <c r="AL1189" t="s">
        <v>81</v>
      </c>
      <c r="AM1189" t="s">
        <v>125</v>
      </c>
      <c r="AN1189">
        <v>110</v>
      </c>
      <c r="AO1189">
        <v>1192</v>
      </c>
    </row>
    <row r="1190" spans="37:41">
      <c r="AK1190" t="s">
        <v>1712</v>
      </c>
      <c r="AL1190" t="s">
        <v>81</v>
      </c>
      <c r="AM1190" t="s">
        <v>125</v>
      </c>
      <c r="AN1190">
        <v>110</v>
      </c>
      <c r="AO1190">
        <v>1193</v>
      </c>
    </row>
    <row r="1191" spans="37:41">
      <c r="AK1191" t="s">
        <v>1713</v>
      </c>
      <c r="AL1191" t="s">
        <v>67</v>
      </c>
      <c r="AM1191" t="s">
        <v>125</v>
      </c>
      <c r="AN1191">
        <v>110</v>
      </c>
      <c r="AO1191">
        <v>1194</v>
      </c>
    </row>
    <row r="1192" spans="37:41">
      <c r="AK1192" t="s">
        <v>1714</v>
      </c>
      <c r="AL1192" t="s">
        <v>67</v>
      </c>
      <c r="AM1192" t="s">
        <v>125</v>
      </c>
      <c r="AN1192">
        <v>110</v>
      </c>
      <c r="AO1192">
        <v>1195</v>
      </c>
    </row>
    <row r="1193" spans="37:41">
      <c r="AK1193" t="s">
        <v>1715</v>
      </c>
      <c r="AL1193" t="s">
        <v>81</v>
      </c>
      <c r="AM1193" t="s">
        <v>125</v>
      </c>
      <c r="AN1193">
        <v>110</v>
      </c>
      <c r="AO1193">
        <v>1196</v>
      </c>
    </row>
    <row r="1194" spans="37:41">
      <c r="AK1194" t="s">
        <v>1716</v>
      </c>
      <c r="AL1194" t="s">
        <v>67</v>
      </c>
      <c r="AM1194" t="s">
        <v>125</v>
      </c>
      <c r="AN1194">
        <v>110</v>
      </c>
      <c r="AO1194">
        <v>1197</v>
      </c>
    </row>
    <row r="1195" spans="37:41">
      <c r="AK1195" t="s">
        <v>1717</v>
      </c>
      <c r="AL1195" t="s">
        <v>67</v>
      </c>
      <c r="AM1195" t="s">
        <v>125</v>
      </c>
      <c r="AN1195">
        <v>110</v>
      </c>
      <c r="AO1195">
        <v>1198</v>
      </c>
    </row>
    <row r="1196" spans="37:41">
      <c r="AK1196" t="s">
        <v>1718</v>
      </c>
      <c r="AL1196" t="s">
        <v>67</v>
      </c>
      <c r="AM1196" t="s">
        <v>125</v>
      </c>
      <c r="AN1196">
        <v>110</v>
      </c>
      <c r="AO1196">
        <v>1199</v>
      </c>
    </row>
    <row r="1197" spans="37:41">
      <c r="AK1197" t="s">
        <v>1719</v>
      </c>
      <c r="AL1197" t="s">
        <v>81</v>
      </c>
      <c r="AM1197" t="s">
        <v>125</v>
      </c>
      <c r="AN1197">
        <v>110</v>
      </c>
      <c r="AO1197">
        <v>1200</v>
      </c>
    </row>
    <row r="1198" spans="37:41">
      <c r="AK1198" t="s">
        <v>1720</v>
      </c>
      <c r="AL1198" t="s">
        <v>67</v>
      </c>
      <c r="AM1198" t="s">
        <v>125</v>
      </c>
      <c r="AN1198">
        <v>110</v>
      </c>
      <c r="AO1198">
        <v>1201</v>
      </c>
    </row>
    <row r="1199" spans="37:41">
      <c r="AK1199" t="s">
        <v>1721</v>
      </c>
      <c r="AL1199" t="s">
        <v>67</v>
      </c>
      <c r="AM1199" t="s">
        <v>125</v>
      </c>
      <c r="AN1199">
        <v>110</v>
      </c>
      <c r="AO1199">
        <v>1202</v>
      </c>
    </row>
    <row r="1200" spans="37:41">
      <c r="AK1200" t="s">
        <v>1722</v>
      </c>
      <c r="AL1200" t="s">
        <v>67</v>
      </c>
      <c r="AM1200" t="s">
        <v>125</v>
      </c>
      <c r="AN1200">
        <v>110</v>
      </c>
      <c r="AO1200">
        <v>1203</v>
      </c>
    </row>
    <row r="1201" spans="37:41">
      <c r="AK1201" t="s">
        <v>1723</v>
      </c>
      <c r="AL1201" t="s">
        <v>81</v>
      </c>
      <c r="AM1201" t="s">
        <v>125</v>
      </c>
      <c r="AN1201">
        <v>110</v>
      </c>
      <c r="AO1201">
        <v>1204</v>
      </c>
    </row>
  </sheetData>
  <mergeCells count="2">
    <mergeCell ref="A1:Z1"/>
    <mergeCell ref="A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00_Dashboard</vt:lpstr>
      <vt:lpstr>01_Estado_Actual</vt:lpstr>
      <vt:lpstr>02_Para_Programar</vt:lpstr>
      <vt:lpstr>03_Planificacion</vt:lpstr>
      <vt:lpstr>04_Orden_Diaria</vt:lpstr>
      <vt:lpstr>05_Parte_Diario</vt:lpstr>
      <vt:lpstr>06_Control_Semanal</vt:lpstr>
      <vt:lpstr>07_Base_Tecnica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Gustavo Regalado</cp:lastModifiedBy>
  <dcterms:created xsi:type="dcterms:W3CDTF">2026-09-30T17:33:54Z</dcterms:created>
  <dcterms:modified xsi:type="dcterms:W3CDTF">2026-10-01T18:31:05Z</dcterms:modified>
</cp:coreProperties>
</file>