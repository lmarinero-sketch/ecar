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1 - ECAR CONSTRUCCIONES\2- PROYECTOS_OBRAS\Valdiviezo &amp; D\Loteo Roque\2.4. CRONOGRAMAS\"/>
    </mc:Choice>
  </mc:AlternateContent>
  <xr:revisionPtr revIDLastSave="0" documentId="13_ncr:1_{FC9B33E3-484E-4B96-8C24-8F019A5CD548}" xr6:coauthVersionLast="47" xr6:coauthVersionMax="47" xr10:uidLastSave="{00000000-0000-0000-0000-000000000000}"/>
  <bookViews>
    <workbookView xWindow="-28920" yWindow="-1425" windowWidth="29040" windowHeight="15840" firstSheet="3" activeTab="4" xr2:uid="{00000000-000D-0000-FFFF-FFFF00000000}"/>
  </bookViews>
  <sheets>
    <sheet name="Distribucion Contrato" sheetId="8" r:id="rId1"/>
    <sheet name="Resumen" sheetId="1" r:id="rId2"/>
    <sheet name="Configuracion" sheetId="2" r:id="rId3"/>
    <sheet name="Sectores" sheetId="11" r:id="rId4"/>
    <sheet name="Presupuesto Base" sheetId="3" r:id="rId5"/>
    <sheet name="Medicion" sheetId="4" r:id="rId6"/>
    <sheet name="Certificado" sheetId="5" r:id="rId7"/>
    <sheet name="Conexiones" sheetId="6" r:id="rId8"/>
    <sheet name="Criterios Medicion" sheetId="7" r:id="rId9"/>
    <sheet name="Historial Certificados" sheetId="9" r:id="rId10"/>
    <sheet name="Historial Detalle" sheetId="10" r:id="rId11"/>
  </sheets>
  <definedNames>
    <definedName name="_xlnm._FilterDatabase" localSheetId="5" hidden="1">Medicion!$A$5:$R$511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1" l="1"/>
  <c r="D42" i="11" s="1"/>
  <c r="D43" i="11" s="1"/>
  <c r="D44" i="11" s="1"/>
  <c r="D45" i="11" s="1"/>
  <c r="D47" i="11" s="1"/>
  <c r="D48" i="11" s="1"/>
  <c r="D50" i="11" s="1"/>
  <c r="D51" i="11" s="1"/>
  <c r="D52" i="11" s="1"/>
  <c r="D54" i="11" s="1"/>
  <c r="D55" i="11" s="1"/>
  <c r="D57" i="11" s="1"/>
  <c r="D59" i="11" s="1"/>
  <c r="D39" i="11"/>
  <c r="D29" i="11"/>
  <c r="D30" i="11" s="1"/>
  <c r="D32" i="11" s="1"/>
  <c r="D33" i="11" s="1"/>
  <c r="D34" i="11" s="1"/>
  <c r="D35" i="11" s="1"/>
  <c r="D36" i="11" s="1"/>
  <c r="D28" i="11"/>
  <c r="D5" i="11"/>
  <c r="D6" i="11" s="1"/>
  <c r="D7" i="11" s="1"/>
  <c r="D8" i="11" s="1"/>
  <c r="D10" i="11" s="1"/>
  <c r="D11" i="11" s="1"/>
  <c r="D12" i="11" s="1"/>
  <c r="D13" i="11" s="1"/>
  <c r="D15" i="11" s="1"/>
  <c r="D16" i="11" s="1"/>
  <c r="D17" i="11" s="1"/>
  <c r="G59" i="11"/>
  <c r="G57" i="11"/>
  <c r="G55" i="11"/>
  <c r="G54" i="11"/>
  <c r="G52" i="11"/>
  <c r="G51" i="11"/>
  <c r="G50" i="11"/>
  <c r="G48" i="11"/>
  <c r="G47" i="11"/>
  <c r="G45" i="11"/>
  <c r="G44" i="11"/>
  <c r="G43" i="11"/>
  <c r="G42" i="11"/>
  <c r="G40" i="11"/>
  <c r="G39" i="11"/>
  <c r="G38" i="11"/>
  <c r="G36" i="11"/>
  <c r="G35" i="11"/>
  <c r="G34" i="11"/>
  <c r="G33" i="11"/>
  <c r="G32" i="11"/>
  <c r="G30" i="11"/>
  <c r="G29" i="11"/>
  <c r="G28" i="11"/>
  <c r="G26" i="11"/>
  <c r="G25" i="11"/>
  <c r="G24" i="11"/>
  <c r="G23" i="11"/>
  <c r="G19" i="11"/>
  <c r="G20" i="11"/>
  <c r="G21" i="11"/>
  <c r="G17" i="11"/>
  <c r="G16" i="11"/>
  <c r="G15" i="11"/>
  <c r="G10" i="11"/>
  <c r="G11" i="11"/>
  <c r="G13" i="11"/>
  <c r="G12" i="11"/>
  <c r="G6" i="11"/>
  <c r="G7" i="11"/>
  <c r="G8" i="11"/>
  <c r="G4" i="11"/>
  <c r="G5" i="11"/>
  <c r="C77" i="4"/>
  <c r="C76" i="4"/>
  <c r="C75" i="4"/>
  <c r="C74" i="4"/>
  <c r="L69" i="4"/>
  <c r="M69" i="4" s="1"/>
  <c r="H69" i="4"/>
  <c r="I69" i="4"/>
  <c r="C69" i="4"/>
  <c r="C59" i="4"/>
  <c r="L59" i="4"/>
  <c r="M59" i="4" s="1"/>
  <c r="H59" i="4"/>
  <c r="I59" i="4"/>
  <c r="L48" i="4"/>
  <c r="M48" i="4" s="1"/>
  <c r="H48" i="4"/>
  <c r="I48" i="4"/>
  <c r="C48" i="4"/>
  <c r="L37" i="4"/>
  <c r="M37" i="4" s="1"/>
  <c r="H37" i="4"/>
  <c r="I37" i="4"/>
  <c r="C37" i="4"/>
  <c r="L26" i="4"/>
  <c r="M26" i="4" s="1"/>
  <c r="H26" i="4"/>
  <c r="I26" i="4"/>
  <c r="C26" i="4"/>
  <c r="L15" i="4"/>
  <c r="M15" i="4" s="1"/>
  <c r="H15" i="4"/>
  <c r="I15" i="4"/>
  <c r="C15" i="4"/>
  <c r="C73" i="4"/>
  <c r="C72" i="4"/>
  <c r="C71" i="4"/>
  <c r="C70" i="4"/>
  <c r="C68" i="4"/>
  <c r="C67" i="4"/>
  <c r="C66" i="4"/>
  <c r="C65" i="4"/>
  <c r="C64" i="4"/>
  <c r="C63" i="4"/>
  <c r="C62" i="4"/>
  <c r="C61" i="4"/>
  <c r="C60" i="4"/>
  <c r="C58" i="4"/>
  <c r="C57" i="4"/>
  <c r="C56" i="4"/>
  <c r="C55" i="4"/>
  <c r="C54" i="4"/>
  <c r="C53" i="4"/>
  <c r="C52" i="4"/>
  <c r="C51" i="4"/>
  <c r="C50" i="4"/>
  <c r="C49" i="4"/>
  <c r="C47" i="4"/>
  <c r="C46" i="4"/>
  <c r="C45" i="4"/>
  <c r="C44" i="4"/>
  <c r="C43" i="4"/>
  <c r="C42" i="4"/>
  <c r="C41" i="4"/>
  <c r="C40" i="4"/>
  <c r="C39" i="4"/>
  <c r="C38" i="4"/>
  <c r="C36" i="4"/>
  <c r="C35" i="4"/>
  <c r="C34" i="4"/>
  <c r="C33" i="4"/>
  <c r="C32" i="4"/>
  <c r="C31" i="4"/>
  <c r="C30" i="4"/>
  <c r="C29" i="4"/>
  <c r="C28" i="4"/>
  <c r="C17" i="4"/>
  <c r="C18" i="4"/>
  <c r="C19" i="4"/>
  <c r="C20" i="4"/>
  <c r="C21" i="4"/>
  <c r="C22" i="4"/>
  <c r="C23" i="4"/>
  <c r="C24" i="4"/>
  <c r="C25" i="4"/>
  <c r="C27" i="4"/>
  <c r="C7" i="4"/>
  <c r="C8" i="4"/>
  <c r="C9" i="4"/>
  <c r="C10" i="4"/>
  <c r="C11" i="4"/>
  <c r="C12" i="4"/>
  <c r="C13" i="4"/>
  <c r="C14" i="4"/>
  <c r="C16" i="4"/>
  <c r="C6" i="4"/>
  <c r="H437" i="10"/>
  <c r="E437" i="10"/>
  <c r="D437" i="10"/>
  <c r="C437" i="10"/>
  <c r="B437" i="10"/>
  <c r="I437" i="10" s="1"/>
  <c r="E436" i="10"/>
  <c r="D436" i="10"/>
  <c r="C436" i="10"/>
  <c r="B436" i="10"/>
  <c r="I436" i="10" s="1"/>
  <c r="E435" i="10"/>
  <c r="D435" i="10"/>
  <c r="C435" i="10"/>
  <c r="B435" i="10"/>
  <c r="I435" i="10" s="1"/>
  <c r="I434" i="10"/>
  <c r="H434" i="10"/>
  <c r="E434" i="10"/>
  <c r="D434" i="10"/>
  <c r="C434" i="10"/>
  <c r="B434" i="10"/>
  <c r="H433" i="10"/>
  <c r="E433" i="10"/>
  <c r="D433" i="10"/>
  <c r="C433" i="10"/>
  <c r="B433" i="10"/>
  <c r="I433" i="10" s="1"/>
  <c r="I432" i="10"/>
  <c r="E432" i="10"/>
  <c r="D432" i="10"/>
  <c r="C432" i="10"/>
  <c r="B432" i="10"/>
  <c r="H432" i="10" s="1"/>
  <c r="E431" i="10"/>
  <c r="D431" i="10"/>
  <c r="C431" i="10"/>
  <c r="B431" i="10"/>
  <c r="I431" i="10" s="1"/>
  <c r="I430" i="10"/>
  <c r="H430" i="10"/>
  <c r="E430" i="10"/>
  <c r="D430" i="10"/>
  <c r="C430" i="10"/>
  <c r="B430" i="10"/>
  <c r="I429" i="10"/>
  <c r="H429" i="10"/>
  <c r="E429" i="10"/>
  <c r="D429" i="10"/>
  <c r="C429" i="10"/>
  <c r="B429" i="10"/>
  <c r="E428" i="10"/>
  <c r="D428" i="10"/>
  <c r="C428" i="10"/>
  <c r="B428" i="10"/>
  <c r="I428" i="10" s="1"/>
  <c r="E427" i="10"/>
  <c r="D427" i="10"/>
  <c r="C427" i="10"/>
  <c r="B427" i="10"/>
  <c r="H427" i="10" s="1"/>
  <c r="I426" i="10"/>
  <c r="H426" i="10"/>
  <c r="E426" i="10"/>
  <c r="D426" i="10"/>
  <c r="C426" i="10"/>
  <c r="B426" i="10"/>
  <c r="E425" i="10"/>
  <c r="D425" i="10"/>
  <c r="C425" i="10"/>
  <c r="B425" i="10"/>
  <c r="I425" i="10" s="1"/>
  <c r="E424" i="10"/>
  <c r="D424" i="10"/>
  <c r="C424" i="10"/>
  <c r="B424" i="10"/>
  <c r="H424" i="10" s="1"/>
  <c r="E423" i="10"/>
  <c r="D423" i="10"/>
  <c r="C423" i="10"/>
  <c r="B423" i="10"/>
  <c r="I423" i="10" s="1"/>
  <c r="E422" i="10"/>
  <c r="D422" i="10"/>
  <c r="C422" i="10"/>
  <c r="B422" i="10"/>
  <c r="I422" i="10" s="1"/>
  <c r="I421" i="10"/>
  <c r="H421" i="10"/>
  <c r="E421" i="10"/>
  <c r="D421" i="10"/>
  <c r="C421" i="10"/>
  <c r="B421" i="10"/>
  <c r="H420" i="10"/>
  <c r="E420" i="10"/>
  <c r="D420" i="10"/>
  <c r="C420" i="10"/>
  <c r="B420" i="10"/>
  <c r="I420" i="10" s="1"/>
  <c r="I419" i="10"/>
  <c r="E419" i="10"/>
  <c r="D419" i="10"/>
  <c r="C419" i="10"/>
  <c r="B419" i="10"/>
  <c r="H419" i="10" s="1"/>
  <c r="I418" i="10"/>
  <c r="H418" i="10"/>
  <c r="E418" i="10"/>
  <c r="D418" i="10"/>
  <c r="C418" i="10"/>
  <c r="B418" i="10"/>
  <c r="E417" i="10"/>
  <c r="D417" i="10"/>
  <c r="C417" i="10"/>
  <c r="B417" i="10"/>
  <c r="I417" i="10" s="1"/>
  <c r="I416" i="10"/>
  <c r="E416" i="10"/>
  <c r="D416" i="10"/>
  <c r="C416" i="10"/>
  <c r="B416" i="10"/>
  <c r="H416" i="10" s="1"/>
  <c r="I415" i="10"/>
  <c r="E415" i="10"/>
  <c r="D415" i="10"/>
  <c r="C415" i="10"/>
  <c r="B415" i="10"/>
  <c r="H415" i="10" s="1"/>
  <c r="I414" i="10"/>
  <c r="E414" i="10"/>
  <c r="D414" i="10"/>
  <c r="C414" i="10"/>
  <c r="B414" i="10"/>
  <c r="H414" i="10" s="1"/>
  <c r="I413" i="10"/>
  <c r="H413" i="10"/>
  <c r="E413" i="10"/>
  <c r="D413" i="10"/>
  <c r="C413" i="10"/>
  <c r="B413" i="10"/>
  <c r="E412" i="10"/>
  <c r="D412" i="10"/>
  <c r="C412" i="10"/>
  <c r="B412" i="10"/>
  <c r="E411" i="10"/>
  <c r="D411" i="10"/>
  <c r="C411" i="10"/>
  <c r="B411" i="10"/>
  <c r="I410" i="10"/>
  <c r="H410" i="10"/>
  <c r="E410" i="10"/>
  <c r="D410" i="10"/>
  <c r="C410" i="10"/>
  <c r="B410" i="10"/>
  <c r="E409" i="10"/>
  <c r="D409" i="10"/>
  <c r="C409" i="10"/>
  <c r="B409" i="10"/>
  <c r="E408" i="10"/>
  <c r="D408" i="10"/>
  <c r="C408" i="10"/>
  <c r="B408" i="10"/>
  <c r="E407" i="10"/>
  <c r="D407" i="10"/>
  <c r="C407" i="10"/>
  <c r="B407" i="10"/>
  <c r="E406" i="10"/>
  <c r="D406" i="10"/>
  <c r="C406" i="10"/>
  <c r="B406" i="10"/>
  <c r="I405" i="10"/>
  <c r="H405" i="10"/>
  <c r="E405" i="10"/>
  <c r="D405" i="10"/>
  <c r="C405" i="10"/>
  <c r="B405" i="10"/>
  <c r="H404" i="10"/>
  <c r="E404" i="10"/>
  <c r="D404" i="10"/>
  <c r="C404" i="10"/>
  <c r="B404" i="10"/>
  <c r="I404" i="10" s="1"/>
  <c r="I403" i="10"/>
  <c r="E403" i="10"/>
  <c r="D403" i="10"/>
  <c r="C403" i="10"/>
  <c r="B403" i="10"/>
  <c r="H403" i="10" s="1"/>
  <c r="I402" i="10"/>
  <c r="H402" i="10"/>
  <c r="E402" i="10"/>
  <c r="D402" i="10"/>
  <c r="C402" i="10"/>
  <c r="B402" i="10"/>
  <c r="E401" i="10"/>
  <c r="D401" i="10"/>
  <c r="C401" i="10"/>
  <c r="B401" i="10"/>
  <c r="I400" i="10"/>
  <c r="E400" i="10"/>
  <c r="D400" i="10"/>
  <c r="C400" i="10"/>
  <c r="B400" i="10"/>
  <c r="H400" i="10" s="1"/>
  <c r="I399" i="10"/>
  <c r="E399" i="10"/>
  <c r="D399" i="10"/>
  <c r="C399" i="10"/>
  <c r="B399" i="10"/>
  <c r="H399" i="10" s="1"/>
  <c r="I398" i="10"/>
  <c r="E398" i="10"/>
  <c r="D398" i="10"/>
  <c r="C398" i="10"/>
  <c r="B398" i="10"/>
  <c r="H398" i="10" s="1"/>
  <c r="I397" i="10"/>
  <c r="H397" i="10"/>
  <c r="E397" i="10"/>
  <c r="D397" i="10"/>
  <c r="C397" i="10"/>
  <c r="B397" i="10"/>
  <c r="E396" i="10"/>
  <c r="D396" i="10"/>
  <c r="C396" i="10"/>
  <c r="B396" i="10"/>
  <c r="I396" i="10" s="1"/>
  <c r="E395" i="10"/>
  <c r="D395" i="10"/>
  <c r="C395" i="10"/>
  <c r="B395" i="10"/>
  <c r="I394" i="10"/>
  <c r="H394" i="10"/>
  <c r="E394" i="10"/>
  <c r="D394" i="10"/>
  <c r="C394" i="10"/>
  <c r="B394" i="10"/>
  <c r="E393" i="10"/>
  <c r="D393" i="10"/>
  <c r="C393" i="10"/>
  <c r="B393" i="10"/>
  <c r="I392" i="10"/>
  <c r="E392" i="10"/>
  <c r="D392" i="10"/>
  <c r="C392" i="10"/>
  <c r="B392" i="10"/>
  <c r="H392" i="10" s="1"/>
  <c r="H391" i="10"/>
  <c r="E391" i="10"/>
  <c r="D391" i="10"/>
  <c r="C391" i="10"/>
  <c r="B391" i="10"/>
  <c r="I391" i="10" s="1"/>
  <c r="E390" i="10"/>
  <c r="D390" i="10"/>
  <c r="C390" i="10"/>
  <c r="B390" i="10"/>
  <c r="H390" i="10" s="1"/>
  <c r="E389" i="10"/>
  <c r="D389" i="10"/>
  <c r="C389" i="10"/>
  <c r="B389" i="10"/>
  <c r="I389" i="10" s="1"/>
  <c r="E388" i="10"/>
  <c r="D388" i="10"/>
  <c r="C388" i="10"/>
  <c r="B388" i="10"/>
  <c r="H387" i="10"/>
  <c r="E387" i="10"/>
  <c r="D387" i="10"/>
  <c r="C387" i="10"/>
  <c r="B387" i="10"/>
  <c r="I387" i="10" s="1"/>
  <c r="I386" i="10"/>
  <c r="H386" i="10"/>
  <c r="E386" i="10"/>
  <c r="D386" i="10"/>
  <c r="C386" i="10"/>
  <c r="B386" i="10"/>
  <c r="E385" i="10"/>
  <c r="D385" i="10"/>
  <c r="C385" i="10"/>
  <c r="B385" i="10"/>
  <c r="I385" i="10" s="1"/>
  <c r="E384" i="10"/>
  <c r="D384" i="10"/>
  <c r="C384" i="10"/>
  <c r="B384" i="10"/>
  <c r="H384" i="10" s="1"/>
  <c r="I383" i="10"/>
  <c r="E383" i="10"/>
  <c r="D383" i="10"/>
  <c r="C383" i="10"/>
  <c r="B383" i="10"/>
  <c r="H383" i="10" s="1"/>
  <c r="H382" i="10"/>
  <c r="E382" i="10"/>
  <c r="D382" i="10"/>
  <c r="C382" i="10"/>
  <c r="B382" i="10"/>
  <c r="I382" i="10" s="1"/>
  <c r="I381" i="10"/>
  <c r="E381" i="10"/>
  <c r="D381" i="10"/>
  <c r="C381" i="10"/>
  <c r="B381" i="10"/>
  <c r="H381" i="10" s="1"/>
  <c r="I380" i="10"/>
  <c r="H380" i="10"/>
  <c r="E380" i="10"/>
  <c r="D380" i="10"/>
  <c r="C380" i="10"/>
  <c r="B380" i="10"/>
  <c r="I379" i="10"/>
  <c r="H379" i="10"/>
  <c r="E379" i="10"/>
  <c r="D379" i="10"/>
  <c r="C379" i="10"/>
  <c r="B379" i="10"/>
  <c r="I378" i="10"/>
  <c r="H378" i="10"/>
  <c r="E378" i="10"/>
  <c r="D378" i="10"/>
  <c r="C378" i="10"/>
  <c r="B378" i="10"/>
  <c r="E377" i="10"/>
  <c r="D377" i="10"/>
  <c r="C377" i="10"/>
  <c r="B377" i="10"/>
  <c r="I376" i="10"/>
  <c r="E376" i="10"/>
  <c r="D376" i="10"/>
  <c r="C376" i="10"/>
  <c r="B376" i="10"/>
  <c r="H376" i="10" s="1"/>
  <c r="H375" i="10"/>
  <c r="E375" i="10"/>
  <c r="D375" i="10"/>
  <c r="C375" i="10"/>
  <c r="B375" i="10"/>
  <c r="I375" i="10" s="1"/>
  <c r="I374" i="10"/>
  <c r="H374" i="10"/>
  <c r="E374" i="10"/>
  <c r="D374" i="10"/>
  <c r="C374" i="10"/>
  <c r="B374" i="10"/>
  <c r="E373" i="10"/>
  <c r="D373" i="10"/>
  <c r="C373" i="10"/>
  <c r="B373" i="10"/>
  <c r="I373" i="10" s="1"/>
  <c r="E372" i="10"/>
  <c r="D372" i="10"/>
  <c r="C372" i="10"/>
  <c r="B372" i="10"/>
  <c r="H372" i="10" s="1"/>
  <c r="I371" i="10"/>
  <c r="H371" i="10"/>
  <c r="E371" i="10"/>
  <c r="D371" i="10"/>
  <c r="C371" i="10"/>
  <c r="B371" i="10"/>
  <c r="I370" i="10"/>
  <c r="E370" i="10"/>
  <c r="D370" i="10"/>
  <c r="C370" i="10"/>
  <c r="B370" i="10"/>
  <c r="H370" i="10" s="1"/>
  <c r="E369" i="10"/>
  <c r="D369" i="10"/>
  <c r="C369" i="10"/>
  <c r="B369" i="10"/>
  <c r="I368" i="10"/>
  <c r="H368" i="10"/>
  <c r="E368" i="10"/>
  <c r="D368" i="10"/>
  <c r="C368" i="10"/>
  <c r="B368" i="10"/>
  <c r="H367" i="10"/>
  <c r="E367" i="10"/>
  <c r="D367" i="10"/>
  <c r="C367" i="10"/>
  <c r="B367" i="10"/>
  <c r="I367" i="10" s="1"/>
  <c r="I366" i="10"/>
  <c r="H366" i="10"/>
  <c r="E366" i="10"/>
  <c r="D366" i="10"/>
  <c r="C366" i="10"/>
  <c r="B366" i="10"/>
  <c r="E365" i="10"/>
  <c r="D365" i="10"/>
  <c r="C365" i="10"/>
  <c r="B365" i="10"/>
  <c r="I364" i="10"/>
  <c r="E364" i="10"/>
  <c r="D364" i="10"/>
  <c r="C364" i="10"/>
  <c r="B364" i="10"/>
  <c r="H364" i="10" s="1"/>
  <c r="I363" i="10"/>
  <c r="H363" i="10"/>
  <c r="E363" i="10"/>
  <c r="D363" i="10"/>
  <c r="C363" i="10"/>
  <c r="B363" i="10"/>
  <c r="E362" i="10"/>
  <c r="D362" i="10"/>
  <c r="C362" i="10"/>
  <c r="B362" i="10"/>
  <c r="I361" i="10"/>
  <c r="H361" i="10"/>
  <c r="E361" i="10"/>
  <c r="D361" i="10"/>
  <c r="C361" i="10"/>
  <c r="B361" i="10"/>
  <c r="E360" i="10"/>
  <c r="D360" i="10"/>
  <c r="C360" i="10"/>
  <c r="B360" i="10"/>
  <c r="H359" i="10"/>
  <c r="E359" i="10"/>
  <c r="D359" i="10"/>
  <c r="C359" i="10"/>
  <c r="B359" i="10"/>
  <c r="I359" i="10" s="1"/>
  <c r="I358" i="10"/>
  <c r="H358" i="10"/>
  <c r="E358" i="10"/>
  <c r="D358" i="10"/>
  <c r="C358" i="10"/>
  <c r="B358" i="10"/>
  <c r="H357" i="10"/>
  <c r="E357" i="10"/>
  <c r="D357" i="10"/>
  <c r="C357" i="10"/>
  <c r="B357" i="10"/>
  <c r="I357" i="10" s="1"/>
  <c r="E356" i="10"/>
  <c r="D356" i="10"/>
  <c r="C356" i="10"/>
  <c r="B356" i="10"/>
  <c r="I355" i="10"/>
  <c r="H355" i="10"/>
  <c r="E355" i="10"/>
  <c r="D355" i="10"/>
  <c r="C355" i="10"/>
  <c r="B355" i="10"/>
  <c r="H354" i="10"/>
  <c r="E354" i="10"/>
  <c r="D354" i="10"/>
  <c r="C354" i="10"/>
  <c r="B354" i="10"/>
  <c r="I354" i="10" s="1"/>
  <c r="E353" i="10"/>
  <c r="D353" i="10"/>
  <c r="C353" i="10"/>
  <c r="B353" i="10"/>
  <c r="I352" i="10"/>
  <c r="E352" i="10"/>
  <c r="D352" i="10"/>
  <c r="C352" i="10"/>
  <c r="B352" i="10"/>
  <c r="H352" i="10" s="1"/>
  <c r="E351" i="10"/>
  <c r="D351" i="10"/>
  <c r="C351" i="10"/>
  <c r="B351" i="10"/>
  <c r="I351" i="10" s="1"/>
  <c r="I350" i="10"/>
  <c r="H350" i="10"/>
  <c r="E350" i="10"/>
  <c r="D350" i="10"/>
  <c r="C350" i="10"/>
  <c r="B350" i="10"/>
  <c r="E349" i="10"/>
  <c r="D349" i="10"/>
  <c r="C349" i="10"/>
  <c r="B349" i="10"/>
  <c r="I348" i="10"/>
  <c r="E348" i="10"/>
  <c r="D348" i="10"/>
  <c r="C348" i="10"/>
  <c r="B348" i="10"/>
  <c r="H348" i="10" s="1"/>
  <c r="I347" i="10"/>
  <c r="H347" i="10"/>
  <c r="E347" i="10"/>
  <c r="D347" i="10"/>
  <c r="C347" i="10"/>
  <c r="B347" i="10"/>
  <c r="H346" i="10"/>
  <c r="E346" i="10"/>
  <c r="D346" i="10"/>
  <c r="C346" i="10"/>
  <c r="B346" i="10"/>
  <c r="I346" i="10" s="1"/>
  <c r="E345" i="10"/>
  <c r="D345" i="10"/>
  <c r="C345" i="10"/>
  <c r="B345" i="10"/>
  <c r="I344" i="10"/>
  <c r="E344" i="10"/>
  <c r="D344" i="10"/>
  <c r="C344" i="10"/>
  <c r="B344" i="10"/>
  <c r="H344" i="10" s="1"/>
  <c r="E343" i="10"/>
  <c r="D343" i="10"/>
  <c r="C343" i="10"/>
  <c r="B343" i="10"/>
  <c r="I342" i="10"/>
  <c r="H342" i="10"/>
  <c r="E342" i="10"/>
  <c r="D342" i="10"/>
  <c r="C342" i="10"/>
  <c r="B342" i="10"/>
  <c r="H341" i="10"/>
  <c r="E341" i="10"/>
  <c r="D341" i="10"/>
  <c r="C341" i="10"/>
  <c r="B341" i="10"/>
  <c r="I341" i="10" s="1"/>
  <c r="I340" i="10"/>
  <c r="E340" i="10"/>
  <c r="D340" i="10"/>
  <c r="C340" i="10"/>
  <c r="B340" i="10"/>
  <c r="H340" i="10" s="1"/>
  <c r="I339" i="10"/>
  <c r="H339" i="10"/>
  <c r="E339" i="10"/>
  <c r="D339" i="10"/>
  <c r="C339" i="10"/>
  <c r="B339" i="10"/>
  <c r="H338" i="10"/>
  <c r="E338" i="10"/>
  <c r="D338" i="10"/>
  <c r="C338" i="10"/>
  <c r="B338" i="10"/>
  <c r="I338" i="10" s="1"/>
  <c r="E337" i="10"/>
  <c r="D337" i="10"/>
  <c r="C337" i="10"/>
  <c r="B337" i="10"/>
  <c r="I336" i="10"/>
  <c r="E336" i="10"/>
  <c r="D336" i="10"/>
  <c r="C336" i="10"/>
  <c r="B336" i="10"/>
  <c r="H336" i="10" s="1"/>
  <c r="E335" i="10"/>
  <c r="D335" i="10"/>
  <c r="C335" i="10"/>
  <c r="B335" i="10"/>
  <c r="I335" i="10" s="1"/>
  <c r="I334" i="10"/>
  <c r="H334" i="10"/>
  <c r="E334" i="10"/>
  <c r="D334" i="10"/>
  <c r="C334" i="10"/>
  <c r="B334" i="10"/>
  <c r="H333" i="10"/>
  <c r="E333" i="10"/>
  <c r="D333" i="10"/>
  <c r="C333" i="10"/>
  <c r="B333" i="10"/>
  <c r="I333" i="10" s="1"/>
  <c r="E332" i="10"/>
  <c r="D332" i="10"/>
  <c r="C332" i="10"/>
  <c r="B332" i="10"/>
  <c r="I331" i="10"/>
  <c r="H331" i="10"/>
  <c r="E331" i="10"/>
  <c r="D331" i="10"/>
  <c r="C331" i="10"/>
  <c r="B331" i="10"/>
  <c r="H330" i="10"/>
  <c r="E330" i="10"/>
  <c r="D330" i="10"/>
  <c r="C330" i="10"/>
  <c r="B330" i="10"/>
  <c r="I330" i="10" s="1"/>
  <c r="E329" i="10"/>
  <c r="D329" i="10"/>
  <c r="C329" i="10"/>
  <c r="B329" i="10"/>
  <c r="I328" i="10"/>
  <c r="E328" i="10"/>
  <c r="D328" i="10"/>
  <c r="C328" i="10"/>
  <c r="B328" i="10"/>
  <c r="H328" i="10" s="1"/>
  <c r="I327" i="10"/>
  <c r="E327" i="10"/>
  <c r="D327" i="10"/>
  <c r="C327" i="10"/>
  <c r="B327" i="10"/>
  <c r="H327" i="10" s="1"/>
  <c r="I326" i="10"/>
  <c r="H326" i="10"/>
  <c r="E326" i="10"/>
  <c r="D326" i="10"/>
  <c r="C326" i="10"/>
  <c r="B326" i="10"/>
  <c r="H325" i="10"/>
  <c r="E325" i="10"/>
  <c r="D325" i="10"/>
  <c r="C325" i="10"/>
  <c r="B325" i="10"/>
  <c r="I325" i="10" s="1"/>
  <c r="H324" i="10"/>
  <c r="E324" i="10"/>
  <c r="D324" i="10"/>
  <c r="C324" i="10"/>
  <c r="B324" i="10"/>
  <c r="I324" i="10" s="1"/>
  <c r="I323" i="10"/>
  <c r="H323" i="10"/>
  <c r="E323" i="10"/>
  <c r="D323" i="10"/>
  <c r="C323" i="10"/>
  <c r="B323" i="10"/>
  <c r="H322" i="10"/>
  <c r="E322" i="10"/>
  <c r="D322" i="10"/>
  <c r="C322" i="10"/>
  <c r="B322" i="10"/>
  <c r="I322" i="10" s="1"/>
  <c r="I321" i="10"/>
  <c r="E321" i="10"/>
  <c r="D321" i="10"/>
  <c r="C321" i="10"/>
  <c r="B321" i="10"/>
  <c r="H321" i="10" s="1"/>
  <c r="E320" i="10"/>
  <c r="D320" i="10"/>
  <c r="C320" i="10"/>
  <c r="B320" i="10"/>
  <c r="E319" i="10"/>
  <c r="D319" i="10"/>
  <c r="C319" i="10"/>
  <c r="B319" i="10"/>
  <c r="H319" i="10" s="1"/>
  <c r="I318" i="10"/>
  <c r="E318" i="10"/>
  <c r="D318" i="10"/>
  <c r="C318" i="10"/>
  <c r="B318" i="10"/>
  <c r="H318" i="10" s="1"/>
  <c r="I317" i="10"/>
  <c r="H317" i="10"/>
  <c r="E317" i="10"/>
  <c r="D317" i="10"/>
  <c r="C317" i="10"/>
  <c r="B317" i="10"/>
  <c r="I316" i="10"/>
  <c r="H316" i="10"/>
  <c r="E316" i="10"/>
  <c r="D316" i="10"/>
  <c r="C316" i="10"/>
  <c r="B316" i="10"/>
  <c r="E315" i="10"/>
  <c r="D315" i="10"/>
  <c r="C315" i="10"/>
  <c r="B315" i="10"/>
  <c r="I315" i="10" s="1"/>
  <c r="I314" i="10"/>
  <c r="H314" i="10"/>
  <c r="E314" i="10"/>
  <c r="D314" i="10"/>
  <c r="C314" i="10"/>
  <c r="B314" i="10"/>
  <c r="H313" i="10"/>
  <c r="E313" i="10"/>
  <c r="D313" i="10"/>
  <c r="C313" i="10"/>
  <c r="B313" i="10"/>
  <c r="I313" i="10" s="1"/>
  <c r="E312" i="10"/>
  <c r="D312" i="10"/>
  <c r="C312" i="10"/>
  <c r="B312" i="10"/>
  <c r="E311" i="10"/>
  <c r="D311" i="10"/>
  <c r="C311" i="10"/>
  <c r="B311" i="10"/>
  <c r="E310" i="10"/>
  <c r="D310" i="10"/>
  <c r="C310" i="10"/>
  <c r="B310" i="10"/>
  <c r="I310" i="10" s="1"/>
  <c r="I309" i="10"/>
  <c r="H309" i="10"/>
  <c r="E309" i="10"/>
  <c r="D309" i="10"/>
  <c r="C309" i="10"/>
  <c r="B309" i="10"/>
  <c r="I308" i="10"/>
  <c r="E308" i="10"/>
  <c r="D308" i="10"/>
  <c r="C308" i="10"/>
  <c r="B308" i="10"/>
  <c r="H308" i="10" s="1"/>
  <c r="E307" i="10"/>
  <c r="D307" i="10"/>
  <c r="C307" i="10"/>
  <c r="B307" i="10"/>
  <c r="I307" i="10" s="1"/>
  <c r="I306" i="10"/>
  <c r="H306" i="10"/>
  <c r="E306" i="10"/>
  <c r="D306" i="10"/>
  <c r="C306" i="10"/>
  <c r="B306" i="10"/>
  <c r="H305" i="10"/>
  <c r="E305" i="10"/>
  <c r="D305" i="10"/>
  <c r="C305" i="10"/>
  <c r="B305" i="10"/>
  <c r="I305" i="10" s="1"/>
  <c r="E304" i="10"/>
  <c r="D304" i="10"/>
  <c r="C304" i="10"/>
  <c r="B304" i="10"/>
  <c r="I303" i="10"/>
  <c r="E303" i="10"/>
  <c r="D303" i="10"/>
  <c r="C303" i="10"/>
  <c r="B303" i="10"/>
  <c r="H303" i="10" s="1"/>
  <c r="I302" i="10"/>
  <c r="H302" i="10"/>
  <c r="E302" i="10"/>
  <c r="D302" i="10"/>
  <c r="C302" i="10"/>
  <c r="B302" i="10"/>
  <c r="E301" i="10"/>
  <c r="D301" i="10"/>
  <c r="C301" i="10"/>
  <c r="B301" i="10"/>
  <c r="I301" i="10" s="1"/>
  <c r="I300" i="10"/>
  <c r="H300" i="10"/>
  <c r="E300" i="10"/>
  <c r="D300" i="10"/>
  <c r="C300" i="10"/>
  <c r="B300" i="10"/>
  <c r="H299" i="10"/>
  <c r="E299" i="10"/>
  <c r="D299" i="10"/>
  <c r="C299" i="10"/>
  <c r="B299" i="10"/>
  <c r="I299" i="10" s="1"/>
  <c r="I298" i="10"/>
  <c r="H298" i="10"/>
  <c r="E298" i="10"/>
  <c r="D298" i="10"/>
  <c r="C298" i="10"/>
  <c r="B298" i="10"/>
  <c r="H297" i="10"/>
  <c r="E297" i="10"/>
  <c r="D297" i="10"/>
  <c r="C297" i="10"/>
  <c r="B297" i="10"/>
  <c r="I297" i="10" s="1"/>
  <c r="E296" i="10"/>
  <c r="D296" i="10"/>
  <c r="C296" i="10"/>
  <c r="B296" i="10"/>
  <c r="I295" i="10"/>
  <c r="E295" i="10"/>
  <c r="D295" i="10"/>
  <c r="C295" i="10"/>
  <c r="B295" i="10"/>
  <c r="H295" i="10" s="1"/>
  <c r="E294" i="10"/>
  <c r="D294" i="10"/>
  <c r="C294" i="10"/>
  <c r="B294" i="10"/>
  <c r="I294" i="10" s="1"/>
  <c r="I293" i="10"/>
  <c r="E293" i="10"/>
  <c r="D293" i="10"/>
  <c r="C293" i="10"/>
  <c r="B293" i="10"/>
  <c r="H293" i="10" s="1"/>
  <c r="E292" i="10"/>
  <c r="D292" i="10"/>
  <c r="C292" i="10"/>
  <c r="B292" i="10"/>
  <c r="I291" i="10"/>
  <c r="H291" i="10"/>
  <c r="E291" i="10"/>
  <c r="D291" i="10"/>
  <c r="C291" i="10"/>
  <c r="B291" i="10"/>
  <c r="I290" i="10"/>
  <c r="H290" i="10"/>
  <c r="E290" i="10"/>
  <c r="D290" i="10"/>
  <c r="C290" i="10"/>
  <c r="B290" i="10"/>
  <c r="E289" i="10"/>
  <c r="D289" i="10"/>
  <c r="C289" i="10"/>
  <c r="B289" i="10"/>
  <c r="I289" i="10" s="1"/>
  <c r="I288" i="10"/>
  <c r="E288" i="10"/>
  <c r="D288" i="10"/>
  <c r="C288" i="10"/>
  <c r="B288" i="10"/>
  <c r="H288" i="10" s="1"/>
  <c r="I287" i="10"/>
  <c r="H287" i="10"/>
  <c r="E287" i="10"/>
  <c r="D287" i="10"/>
  <c r="C287" i="10"/>
  <c r="B287" i="10"/>
  <c r="E286" i="10"/>
  <c r="D286" i="10"/>
  <c r="C286" i="10"/>
  <c r="B286" i="10"/>
  <c r="I286" i="10" s="1"/>
  <c r="I285" i="10"/>
  <c r="H285" i="10"/>
  <c r="E285" i="10"/>
  <c r="D285" i="10"/>
  <c r="C285" i="10"/>
  <c r="B285" i="10"/>
  <c r="E284" i="10"/>
  <c r="D284" i="10"/>
  <c r="C284" i="10"/>
  <c r="B284" i="10"/>
  <c r="I284" i="10" s="1"/>
  <c r="H283" i="10"/>
  <c r="E283" i="10"/>
  <c r="D283" i="10"/>
  <c r="C283" i="10"/>
  <c r="B283" i="10"/>
  <c r="I283" i="10" s="1"/>
  <c r="I282" i="10"/>
  <c r="H282" i="10"/>
  <c r="E282" i="10"/>
  <c r="D282" i="10"/>
  <c r="C282" i="10"/>
  <c r="B282" i="10"/>
  <c r="H281" i="10"/>
  <c r="E281" i="10"/>
  <c r="D281" i="10"/>
  <c r="C281" i="10"/>
  <c r="B281" i="10"/>
  <c r="I281" i="10" s="1"/>
  <c r="I280" i="10"/>
  <c r="E280" i="10"/>
  <c r="D280" i="10"/>
  <c r="C280" i="10"/>
  <c r="B280" i="10"/>
  <c r="H280" i="10" s="1"/>
  <c r="E279" i="10"/>
  <c r="D279" i="10"/>
  <c r="C279" i="10"/>
  <c r="B279" i="10"/>
  <c r="I278" i="10"/>
  <c r="H278" i="10"/>
  <c r="E278" i="10"/>
  <c r="D278" i="10"/>
  <c r="C278" i="10"/>
  <c r="B278" i="10"/>
  <c r="I277" i="10"/>
  <c r="H277" i="10"/>
  <c r="E277" i="10"/>
  <c r="D277" i="10"/>
  <c r="C277" i="10"/>
  <c r="B277" i="10"/>
  <c r="E276" i="10"/>
  <c r="D276" i="10"/>
  <c r="C276" i="10"/>
  <c r="B276" i="10"/>
  <c r="I276" i="10" s="1"/>
  <c r="E275" i="10"/>
  <c r="D275" i="10"/>
  <c r="C275" i="10"/>
  <c r="B275" i="10"/>
  <c r="H275" i="10" s="1"/>
  <c r="I274" i="10"/>
  <c r="H274" i="10"/>
  <c r="E274" i="10"/>
  <c r="D274" i="10"/>
  <c r="C274" i="10"/>
  <c r="B274" i="10"/>
  <c r="H273" i="10"/>
  <c r="E273" i="10"/>
  <c r="D273" i="10"/>
  <c r="C273" i="10"/>
  <c r="B273" i="10"/>
  <c r="I273" i="10" s="1"/>
  <c r="E272" i="10"/>
  <c r="D272" i="10"/>
  <c r="C272" i="10"/>
  <c r="B272" i="10"/>
  <c r="I271" i="10"/>
  <c r="H271" i="10"/>
  <c r="E271" i="10"/>
  <c r="D271" i="10"/>
  <c r="C271" i="10"/>
  <c r="B271" i="10"/>
  <c r="I270" i="10"/>
  <c r="H270" i="10"/>
  <c r="E270" i="10"/>
  <c r="D270" i="10"/>
  <c r="C270" i="10"/>
  <c r="B270" i="10"/>
  <c r="E269" i="10"/>
  <c r="D269" i="10"/>
  <c r="C269" i="10"/>
  <c r="B269" i="10"/>
  <c r="E268" i="10"/>
  <c r="D268" i="10"/>
  <c r="C268" i="10"/>
  <c r="B268" i="10"/>
  <c r="I268" i="10" s="1"/>
  <c r="H267" i="10"/>
  <c r="E267" i="10"/>
  <c r="D267" i="10"/>
  <c r="C267" i="10"/>
  <c r="B267" i="10"/>
  <c r="I267" i="10" s="1"/>
  <c r="I266" i="10"/>
  <c r="H266" i="10"/>
  <c r="E266" i="10"/>
  <c r="D266" i="10"/>
  <c r="C266" i="10"/>
  <c r="B266" i="10"/>
  <c r="E265" i="10"/>
  <c r="D265" i="10"/>
  <c r="C265" i="10"/>
  <c r="B265" i="10"/>
  <c r="I264" i="10"/>
  <c r="E264" i="10"/>
  <c r="D264" i="10"/>
  <c r="C264" i="10"/>
  <c r="B264" i="10"/>
  <c r="H264" i="10" s="1"/>
  <c r="I263" i="10"/>
  <c r="H263" i="10"/>
  <c r="E263" i="10"/>
  <c r="D263" i="10"/>
  <c r="C263" i="10"/>
  <c r="B263" i="10"/>
  <c r="E262" i="10"/>
  <c r="D262" i="10"/>
  <c r="C262" i="10"/>
  <c r="B262" i="10"/>
  <c r="I261" i="10"/>
  <c r="H261" i="10"/>
  <c r="E261" i="10"/>
  <c r="D261" i="10"/>
  <c r="C261" i="10"/>
  <c r="B261" i="10"/>
  <c r="I260" i="10"/>
  <c r="H260" i="10"/>
  <c r="E260" i="10"/>
  <c r="D260" i="10"/>
  <c r="C260" i="10"/>
  <c r="B260" i="10"/>
  <c r="E259" i="10"/>
  <c r="D259" i="10"/>
  <c r="C259" i="10"/>
  <c r="B259" i="10"/>
  <c r="I259" i="10" s="1"/>
  <c r="I258" i="10"/>
  <c r="H258" i="10"/>
  <c r="E258" i="10"/>
  <c r="D258" i="10"/>
  <c r="C258" i="10"/>
  <c r="B258" i="10"/>
  <c r="E257" i="10"/>
  <c r="D257" i="10"/>
  <c r="C257" i="10"/>
  <c r="B257" i="10"/>
  <c r="I257" i="10" s="1"/>
  <c r="I256" i="10"/>
  <c r="E256" i="10"/>
  <c r="D256" i="10"/>
  <c r="C256" i="10"/>
  <c r="B256" i="10"/>
  <c r="H256" i="10" s="1"/>
  <c r="E255" i="10"/>
  <c r="D255" i="10"/>
  <c r="C255" i="10"/>
  <c r="B255" i="10"/>
  <c r="H254" i="10"/>
  <c r="E254" i="10"/>
  <c r="D254" i="10"/>
  <c r="C254" i="10"/>
  <c r="B254" i="10"/>
  <c r="I254" i="10" s="1"/>
  <c r="H253" i="10"/>
  <c r="E253" i="10"/>
  <c r="D253" i="10"/>
  <c r="C253" i="10"/>
  <c r="B253" i="10"/>
  <c r="I253" i="10" s="1"/>
  <c r="E252" i="10"/>
  <c r="D252" i="10"/>
  <c r="C252" i="10"/>
  <c r="B252" i="10"/>
  <c r="H251" i="10"/>
  <c r="E251" i="10"/>
  <c r="D251" i="10"/>
  <c r="C251" i="10"/>
  <c r="B251" i="10"/>
  <c r="I251" i="10" s="1"/>
  <c r="I250" i="10"/>
  <c r="H250" i="10"/>
  <c r="E250" i="10"/>
  <c r="D250" i="10"/>
  <c r="C250" i="10"/>
  <c r="B250" i="10"/>
  <c r="H249" i="10"/>
  <c r="E249" i="10"/>
  <c r="D249" i="10"/>
  <c r="C249" i="10"/>
  <c r="B249" i="10"/>
  <c r="I249" i="10" s="1"/>
  <c r="E248" i="10"/>
  <c r="D248" i="10"/>
  <c r="C248" i="10"/>
  <c r="B248" i="10"/>
  <c r="E247" i="10"/>
  <c r="D247" i="10"/>
  <c r="C247" i="10"/>
  <c r="B247" i="10"/>
  <c r="I247" i="10" s="1"/>
  <c r="I246" i="10"/>
  <c r="H246" i="10"/>
  <c r="E246" i="10"/>
  <c r="D246" i="10"/>
  <c r="C246" i="10"/>
  <c r="B246" i="10"/>
  <c r="H245" i="10"/>
  <c r="E245" i="10"/>
  <c r="D245" i="10"/>
  <c r="C245" i="10"/>
  <c r="B245" i="10"/>
  <c r="I245" i="10" s="1"/>
  <c r="E244" i="10"/>
  <c r="D244" i="10"/>
  <c r="C244" i="10"/>
  <c r="B244" i="10"/>
  <c r="I244" i="10" s="1"/>
  <c r="E243" i="10"/>
  <c r="D243" i="10"/>
  <c r="C243" i="10"/>
  <c r="B243" i="10"/>
  <c r="E242" i="10"/>
  <c r="D242" i="10"/>
  <c r="C242" i="10"/>
  <c r="B242" i="10"/>
  <c r="H241" i="10"/>
  <c r="E241" i="10"/>
  <c r="D241" i="10"/>
  <c r="C241" i="10"/>
  <c r="B241" i="10"/>
  <c r="I241" i="10" s="1"/>
  <c r="I240" i="10"/>
  <c r="H240" i="10"/>
  <c r="E240" i="10"/>
  <c r="D240" i="10"/>
  <c r="C240" i="10"/>
  <c r="B240" i="10"/>
  <c r="I239" i="10"/>
  <c r="H239" i="10"/>
  <c r="E239" i="10"/>
  <c r="D239" i="10"/>
  <c r="C239" i="10"/>
  <c r="B239" i="10"/>
  <c r="I238" i="10"/>
  <c r="H238" i="10"/>
  <c r="E238" i="10"/>
  <c r="D238" i="10"/>
  <c r="C238" i="10"/>
  <c r="B238" i="10"/>
  <c r="H237" i="10"/>
  <c r="E237" i="10"/>
  <c r="D237" i="10"/>
  <c r="C237" i="10"/>
  <c r="B237" i="10"/>
  <c r="I237" i="10" s="1"/>
  <c r="E236" i="10"/>
  <c r="D236" i="10"/>
  <c r="C236" i="10"/>
  <c r="B236" i="10"/>
  <c r="I236" i="10" s="1"/>
  <c r="I235" i="10"/>
  <c r="E235" i="10"/>
  <c r="D235" i="10"/>
  <c r="C235" i="10"/>
  <c r="B235" i="10"/>
  <c r="H235" i="10" s="1"/>
  <c r="H234" i="10"/>
  <c r="E234" i="10"/>
  <c r="D234" i="10"/>
  <c r="C234" i="10"/>
  <c r="B234" i="10"/>
  <c r="I234" i="10" s="1"/>
  <c r="I233" i="10"/>
  <c r="E233" i="10"/>
  <c r="D233" i="10"/>
  <c r="C233" i="10"/>
  <c r="B233" i="10"/>
  <c r="H233" i="10" s="1"/>
  <c r="E232" i="10"/>
  <c r="D232" i="10"/>
  <c r="C232" i="10"/>
  <c r="B232" i="10"/>
  <c r="I232" i="10" s="1"/>
  <c r="H231" i="10"/>
  <c r="E231" i="10"/>
  <c r="D231" i="10"/>
  <c r="C231" i="10"/>
  <c r="B231" i="10"/>
  <c r="I231" i="10" s="1"/>
  <c r="I230" i="10"/>
  <c r="H230" i="10"/>
  <c r="E230" i="10"/>
  <c r="D230" i="10"/>
  <c r="C230" i="10"/>
  <c r="B230" i="10"/>
  <c r="H229" i="10"/>
  <c r="E229" i="10"/>
  <c r="D229" i="10"/>
  <c r="C229" i="10"/>
  <c r="B229" i="10"/>
  <c r="I229" i="10" s="1"/>
  <c r="E228" i="10"/>
  <c r="D228" i="10"/>
  <c r="C228" i="10"/>
  <c r="B228" i="10"/>
  <c r="E227" i="10"/>
  <c r="D227" i="10"/>
  <c r="C227" i="10"/>
  <c r="B227" i="10"/>
  <c r="H227" i="10" s="1"/>
  <c r="I226" i="10"/>
  <c r="H226" i="10"/>
  <c r="E226" i="10"/>
  <c r="D226" i="10"/>
  <c r="C226" i="10"/>
  <c r="B226" i="10"/>
  <c r="I225" i="10"/>
  <c r="E225" i="10"/>
  <c r="D225" i="10"/>
  <c r="C225" i="10"/>
  <c r="B225" i="10"/>
  <c r="H225" i="10" s="1"/>
  <c r="I224" i="10"/>
  <c r="H224" i="10"/>
  <c r="E224" i="10"/>
  <c r="D224" i="10"/>
  <c r="C224" i="10"/>
  <c r="B224" i="10"/>
  <c r="E223" i="10"/>
  <c r="D223" i="10"/>
  <c r="C223" i="10"/>
  <c r="B223" i="10"/>
  <c r="I222" i="10"/>
  <c r="H222" i="10"/>
  <c r="E222" i="10"/>
  <c r="D222" i="10"/>
  <c r="C222" i="10"/>
  <c r="B222" i="10"/>
  <c r="H221" i="10"/>
  <c r="E221" i="10"/>
  <c r="D221" i="10"/>
  <c r="C221" i="10"/>
  <c r="B221" i="10"/>
  <c r="I221" i="10" s="1"/>
  <c r="E220" i="10"/>
  <c r="D220" i="10"/>
  <c r="C220" i="10"/>
  <c r="B220" i="10"/>
  <c r="I219" i="10"/>
  <c r="E219" i="10"/>
  <c r="D219" i="10"/>
  <c r="C219" i="10"/>
  <c r="B219" i="10"/>
  <c r="H219" i="10" s="1"/>
  <c r="E218" i="10"/>
  <c r="D218" i="10"/>
  <c r="C218" i="10"/>
  <c r="B218" i="10"/>
  <c r="I218" i="10" s="1"/>
  <c r="E217" i="10"/>
  <c r="D217" i="10"/>
  <c r="C217" i="10"/>
  <c r="B217" i="10"/>
  <c r="I216" i="10"/>
  <c r="E216" i="10"/>
  <c r="D216" i="10"/>
  <c r="C216" i="10"/>
  <c r="B216" i="10"/>
  <c r="H216" i="10" s="1"/>
  <c r="I215" i="10"/>
  <c r="H215" i="10"/>
  <c r="E215" i="10"/>
  <c r="D215" i="10"/>
  <c r="C215" i="10"/>
  <c r="B215" i="10"/>
  <c r="I214" i="10"/>
  <c r="H214" i="10"/>
  <c r="E214" i="10"/>
  <c r="D214" i="10"/>
  <c r="C214" i="10"/>
  <c r="B214" i="10"/>
  <c r="E213" i="10"/>
  <c r="D213" i="10"/>
  <c r="C213" i="10"/>
  <c r="B213" i="10"/>
  <c r="E212" i="10"/>
  <c r="D212" i="10"/>
  <c r="C212" i="10"/>
  <c r="B212" i="10"/>
  <c r="I211" i="10"/>
  <c r="H211" i="10"/>
  <c r="E211" i="10"/>
  <c r="D211" i="10"/>
  <c r="C211" i="10"/>
  <c r="B211" i="10"/>
  <c r="I210" i="10"/>
  <c r="H210" i="10"/>
  <c r="E210" i="10"/>
  <c r="D210" i="10"/>
  <c r="C210" i="10"/>
  <c r="B210" i="10"/>
  <c r="E209" i="10"/>
  <c r="D209" i="10"/>
  <c r="C209" i="10"/>
  <c r="B209" i="10"/>
  <c r="I208" i="10"/>
  <c r="H208" i="10"/>
  <c r="E208" i="10"/>
  <c r="D208" i="10"/>
  <c r="C208" i="10"/>
  <c r="B208" i="10"/>
  <c r="E207" i="10"/>
  <c r="D207" i="10"/>
  <c r="C207" i="10"/>
  <c r="B207" i="10"/>
  <c r="H207" i="10" s="1"/>
  <c r="I206" i="10"/>
  <c r="H206" i="10"/>
  <c r="E206" i="10"/>
  <c r="D206" i="10"/>
  <c r="C206" i="10"/>
  <c r="B206" i="10"/>
  <c r="E205" i="10"/>
  <c r="D205" i="10"/>
  <c r="C205" i="10"/>
  <c r="B205" i="10"/>
  <c r="E204" i="10"/>
  <c r="D204" i="10"/>
  <c r="C204" i="10"/>
  <c r="B204" i="10"/>
  <c r="H204" i="10" s="1"/>
  <c r="I203" i="10"/>
  <c r="H203" i="10"/>
  <c r="E203" i="10"/>
  <c r="D203" i="10"/>
  <c r="C203" i="10"/>
  <c r="B203" i="10"/>
  <c r="E202" i="10"/>
  <c r="D202" i="10"/>
  <c r="C202" i="10"/>
  <c r="B202" i="10"/>
  <c r="E201" i="10"/>
  <c r="D201" i="10"/>
  <c r="C201" i="10"/>
  <c r="B201" i="10"/>
  <c r="I200" i="10"/>
  <c r="E200" i="10"/>
  <c r="D200" i="10"/>
  <c r="C200" i="10"/>
  <c r="B200" i="10"/>
  <c r="H200" i="10" s="1"/>
  <c r="I199" i="10"/>
  <c r="H199" i="10"/>
  <c r="E199" i="10"/>
  <c r="D199" i="10"/>
  <c r="C199" i="10"/>
  <c r="B199" i="10"/>
  <c r="I198" i="10"/>
  <c r="H198" i="10"/>
  <c r="E198" i="10"/>
  <c r="D198" i="10"/>
  <c r="C198" i="10"/>
  <c r="B198" i="10"/>
  <c r="E197" i="10"/>
  <c r="D197" i="10"/>
  <c r="C197" i="10"/>
  <c r="B197" i="10"/>
  <c r="E196" i="10"/>
  <c r="D196" i="10"/>
  <c r="C196" i="10"/>
  <c r="B196" i="10"/>
  <c r="H195" i="10"/>
  <c r="E195" i="10"/>
  <c r="D195" i="10"/>
  <c r="C195" i="10"/>
  <c r="B195" i="10"/>
  <c r="I195" i="10" s="1"/>
  <c r="E194" i="10"/>
  <c r="D194" i="10"/>
  <c r="C194" i="10"/>
  <c r="B194" i="10"/>
  <c r="I193" i="10"/>
  <c r="H193" i="10"/>
  <c r="E193" i="10"/>
  <c r="D193" i="10"/>
  <c r="C193" i="10"/>
  <c r="B193" i="10"/>
  <c r="H192" i="10"/>
  <c r="E192" i="10"/>
  <c r="D192" i="10"/>
  <c r="C192" i="10"/>
  <c r="B192" i="10"/>
  <c r="I192" i="10" s="1"/>
  <c r="I191" i="10"/>
  <c r="H191" i="10"/>
  <c r="E191" i="10"/>
  <c r="D191" i="10"/>
  <c r="C191" i="10"/>
  <c r="B191" i="10"/>
  <c r="I190" i="10"/>
  <c r="H190" i="10"/>
  <c r="E190" i="10"/>
  <c r="D190" i="10"/>
  <c r="C190" i="10"/>
  <c r="B190" i="10"/>
  <c r="H189" i="10"/>
  <c r="E189" i="10"/>
  <c r="D189" i="10"/>
  <c r="C189" i="10"/>
  <c r="B189" i="10"/>
  <c r="I189" i="10" s="1"/>
  <c r="E188" i="10"/>
  <c r="D188" i="10"/>
  <c r="C188" i="10"/>
  <c r="B188" i="10"/>
  <c r="I187" i="10"/>
  <c r="H187" i="10"/>
  <c r="E187" i="10"/>
  <c r="D187" i="10"/>
  <c r="C187" i="10"/>
  <c r="B187" i="10"/>
  <c r="E186" i="10"/>
  <c r="D186" i="10"/>
  <c r="C186" i="10"/>
  <c r="B186" i="10"/>
  <c r="H186" i="10" s="1"/>
  <c r="H185" i="10"/>
  <c r="E185" i="10"/>
  <c r="D185" i="10"/>
  <c r="C185" i="10"/>
  <c r="B185" i="10"/>
  <c r="I185" i="10" s="1"/>
  <c r="I184" i="10"/>
  <c r="H184" i="10"/>
  <c r="E184" i="10"/>
  <c r="D184" i="10"/>
  <c r="C184" i="10"/>
  <c r="B184" i="10"/>
  <c r="E183" i="10"/>
  <c r="D183" i="10"/>
  <c r="C183" i="10"/>
  <c r="B183" i="10"/>
  <c r="I182" i="10"/>
  <c r="H182" i="10"/>
  <c r="E182" i="10"/>
  <c r="D182" i="10"/>
  <c r="C182" i="10"/>
  <c r="B182" i="10"/>
  <c r="H181" i="10"/>
  <c r="E181" i="10"/>
  <c r="D181" i="10"/>
  <c r="C181" i="10"/>
  <c r="B181" i="10"/>
  <c r="I181" i="10" s="1"/>
  <c r="I180" i="10"/>
  <c r="E180" i="10"/>
  <c r="D180" i="10"/>
  <c r="C180" i="10"/>
  <c r="B180" i="10"/>
  <c r="H180" i="10" s="1"/>
  <c r="E179" i="10"/>
  <c r="D179" i="10"/>
  <c r="C179" i="10"/>
  <c r="B179" i="10"/>
  <c r="H178" i="10"/>
  <c r="E178" i="10"/>
  <c r="D178" i="10"/>
  <c r="C178" i="10"/>
  <c r="B178" i="10"/>
  <c r="I178" i="10" s="1"/>
  <c r="H177" i="10"/>
  <c r="E177" i="10"/>
  <c r="D177" i="10"/>
  <c r="C177" i="10"/>
  <c r="B177" i="10"/>
  <c r="I177" i="10" s="1"/>
  <c r="E176" i="10"/>
  <c r="D176" i="10"/>
  <c r="C176" i="10"/>
  <c r="B176" i="10"/>
  <c r="I176" i="10" s="1"/>
  <c r="I175" i="10"/>
  <c r="H175" i="10"/>
  <c r="E175" i="10"/>
  <c r="D175" i="10"/>
  <c r="C175" i="10"/>
  <c r="B175" i="10"/>
  <c r="I174" i="10"/>
  <c r="H174" i="10"/>
  <c r="E174" i="10"/>
  <c r="D174" i="10"/>
  <c r="C174" i="10"/>
  <c r="B174" i="10"/>
  <c r="H173" i="10"/>
  <c r="E173" i="10"/>
  <c r="D173" i="10"/>
  <c r="C173" i="10"/>
  <c r="B173" i="10"/>
  <c r="I173" i="10" s="1"/>
  <c r="E172" i="10"/>
  <c r="D172" i="10"/>
  <c r="C172" i="10"/>
  <c r="B172" i="10"/>
  <c r="H172" i="10" s="1"/>
  <c r="H171" i="10"/>
  <c r="E171" i="10"/>
  <c r="D171" i="10"/>
  <c r="C171" i="10"/>
  <c r="B171" i="10"/>
  <c r="I171" i="10" s="1"/>
  <c r="H170" i="10"/>
  <c r="E170" i="10"/>
  <c r="D170" i="10"/>
  <c r="C170" i="10"/>
  <c r="B170" i="10"/>
  <c r="I170" i="10" s="1"/>
  <c r="E169" i="10"/>
  <c r="D169" i="10"/>
  <c r="C169" i="10"/>
  <c r="B169" i="10"/>
  <c r="H168" i="10"/>
  <c r="E168" i="10"/>
  <c r="D168" i="10"/>
  <c r="C168" i="10"/>
  <c r="B168" i="10"/>
  <c r="I168" i="10" s="1"/>
  <c r="I167" i="10"/>
  <c r="H167" i="10"/>
  <c r="E167" i="10"/>
  <c r="D167" i="10"/>
  <c r="C167" i="10"/>
  <c r="B167" i="10"/>
  <c r="H166" i="10"/>
  <c r="E166" i="10"/>
  <c r="D166" i="10"/>
  <c r="C166" i="10"/>
  <c r="B166" i="10"/>
  <c r="I166" i="10" s="1"/>
  <c r="I165" i="10"/>
  <c r="E165" i="10"/>
  <c r="D165" i="10"/>
  <c r="C165" i="10"/>
  <c r="B165" i="10"/>
  <c r="H165" i="10" s="1"/>
  <c r="I164" i="10"/>
  <c r="H164" i="10"/>
  <c r="E164" i="10"/>
  <c r="D164" i="10"/>
  <c r="C164" i="10"/>
  <c r="B164" i="10"/>
  <c r="I163" i="10"/>
  <c r="E163" i="10"/>
  <c r="D163" i="10"/>
  <c r="C163" i="10"/>
  <c r="B163" i="10"/>
  <c r="H163" i="10" s="1"/>
  <c r="I162" i="10"/>
  <c r="H162" i="10"/>
  <c r="E162" i="10"/>
  <c r="D162" i="10"/>
  <c r="C162" i="10"/>
  <c r="B162" i="10"/>
  <c r="E161" i="10"/>
  <c r="D161" i="10"/>
  <c r="C161" i="10"/>
  <c r="B161" i="10"/>
  <c r="E160" i="10"/>
  <c r="D160" i="10"/>
  <c r="C160" i="10"/>
  <c r="B160" i="10"/>
  <c r="H160" i="10" s="1"/>
  <c r="I159" i="10"/>
  <c r="H159" i="10"/>
  <c r="E159" i="10"/>
  <c r="D159" i="10"/>
  <c r="C159" i="10"/>
  <c r="B159" i="10"/>
  <c r="H158" i="10"/>
  <c r="E158" i="10"/>
  <c r="D158" i="10"/>
  <c r="C158" i="10"/>
  <c r="B158" i="10"/>
  <c r="I158" i="10" s="1"/>
  <c r="E157" i="10"/>
  <c r="D157" i="10"/>
  <c r="C157" i="10"/>
  <c r="B157" i="10"/>
  <c r="E156" i="10"/>
  <c r="D156" i="10"/>
  <c r="C156" i="10"/>
  <c r="B156" i="10"/>
  <c r="E155" i="10"/>
  <c r="D155" i="10"/>
  <c r="C155" i="10"/>
  <c r="B155" i="10"/>
  <c r="I154" i="10"/>
  <c r="H154" i="10"/>
  <c r="E154" i="10"/>
  <c r="D154" i="10"/>
  <c r="C154" i="10"/>
  <c r="B154" i="10"/>
  <c r="H153" i="10"/>
  <c r="E153" i="10"/>
  <c r="D153" i="10"/>
  <c r="C153" i="10"/>
  <c r="B153" i="10"/>
  <c r="I153" i="10" s="1"/>
  <c r="I152" i="10"/>
  <c r="E152" i="10"/>
  <c r="D152" i="10"/>
  <c r="C152" i="10"/>
  <c r="B152" i="10"/>
  <c r="H152" i="10" s="1"/>
  <c r="I151" i="10"/>
  <c r="H151" i="10"/>
  <c r="E151" i="10"/>
  <c r="D151" i="10"/>
  <c r="C151" i="10"/>
  <c r="B151" i="10"/>
  <c r="H150" i="10"/>
  <c r="E150" i="10"/>
  <c r="D150" i="10"/>
  <c r="C150" i="10"/>
  <c r="B150" i="10"/>
  <c r="I150" i="10" s="1"/>
  <c r="E149" i="10"/>
  <c r="D149" i="10"/>
  <c r="C149" i="10"/>
  <c r="B149" i="10"/>
  <c r="I148" i="10"/>
  <c r="H148" i="10"/>
  <c r="E148" i="10"/>
  <c r="D148" i="10"/>
  <c r="C148" i="10"/>
  <c r="B148" i="10"/>
  <c r="H147" i="10"/>
  <c r="E147" i="10"/>
  <c r="D147" i="10"/>
  <c r="C147" i="10"/>
  <c r="B147" i="10"/>
  <c r="I147" i="10" s="1"/>
  <c r="I146" i="10"/>
  <c r="E146" i="10"/>
  <c r="D146" i="10"/>
  <c r="C146" i="10"/>
  <c r="B146" i="10"/>
  <c r="H146" i="10" s="1"/>
  <c r="I145" i="10"/>
  <c r="H145" i="10"/>
  <c r="E145" i="10"/>
  <c r="D145" i="10"/>
  <c r="C145" i="10"/>
  <c r="B145" i="10"/>
  <c r="I144" i="10"/>
  <c r="H144" i="10"/>
  <c r="E144" i="10"/>
  <c r="D144" i="10"/>
  <c r="C144" i="10"/>
  <c r="B144" i="10"/>
  <c r="I143" i="10"/>
  <c r="H143" i="10"/>
  <c r="E143" i="10"/>
  <c r="D143" i="10"/>
  <c r="C143" i="10"/>
  <c r="B143" i="10"/>
  <c r="E142" i="10"/>
  <c r="D142" i="10"/>
  <c r="C142" i="10"/>
  <c r="B142" i="10"/>
  <c r="I142" i="10" s="1"/>
  <c r="I141" i="10"/>
  <c r="E141" i="10"/>
  <c r="D141" i="10"/>
  <c r="C141" i="10"/>
  <c r="B141" i="10"/>
  <c r="H141" i="10" s="1"/>
  <c r="I140" i="10"/>
  <c r="H140" i="10"/>
  <c r="E140" i="10"/>
  <c r="D140" i="10"/>
  <c r="C140" i="10"/>
  <c r="B140" i="10"/>
  <c r="I139" i="10"/>
  <c r="H139" i="10"/>
  <c r="E139" i="10"/>
  <c r="D139" i="10"/>
  <c r="C139" i="10"/>
  <c r="B139" i="10"/>
  <c r="I138" i="10"/>
  <c r="H138" i="10"/>
  <c r="E138" i="10"/>
  <c r="D138" i="10"/>
  <c r="C138" i="10"/>
  <c r="B138" i="10"/>
  <c r="I137" i="10"/>
  <c r="H137" i="10"/>
  <c r="E137" i="10"/>
  <c r="D137" i="10"/>
  <c r="C137" i="10"/>
  <c r="B137" i="10"/>
  <c r="E136" i="10"/>
  <c r="D136" i="10"/>
  <c r="C136" i="10"/>
  <c r="B136" i="10"/>
  <c r="I136" i="10" s="1"/>
  <c r="I135" i="10"/>
  <c r="E135" i="10"/>
  <c r="D135" i="10"/>
  <c r="C135" i="10"/>
  <c r="B135" i="10"/>
  <c r="H135" i="10" s="1"/>
  <c r="E134" i="10"/>
  <c r="D134" i="10"/>
  <c r="C134" i="10"/>
  <c r="B134" i="10"/>
  <c r="I134" i="10" s="1"/>
  <c r="E133" i="10"/>
  <c r="D133" i="10"/>
  <c r="C133" i="10"/>
  <c r="B133" i="10"/>
  <c r="E132" i="10"/>
  <c r="D132" i="10"/>
  <c r="C132" i="10"/>
  <c r="B132" i="10"/>
  <c r="E131" i="10"/>
  <c r="D131" i="10"/>
  <c r="C131" i="10"/>
  <c r="B131" i="10"/>
  <c r="E130" i="10"/>
  <c r="D130" i="10"/>
  <c r="C130" i="10"/>
  <c r="B130" i="10"/>
  <c r="I129" i="10"/>
  <c r="H129" i="10"/>
  <c r="E129" i="10"/>
  <c r="D129" i="10"/>
  <c r="C129" i="10"/>
  <c r="B129" i="10"/>
  <c r="H128" i="10"/>
  <c r="E128" i="10"/>
  <c r="D128" i="10"/>
  <c r="C128" i="10"/>
  <c r="B128" i="10"/>
  <c r="I128" i="10" s="1"/>
  <c r="I127" i="10"/>
  <c r="E127" i="10"/>
  <c r="D127" i="10"/>
  <c r="C127" i="10"/>
  <c r="B127" i="10"/>
  <c r="H127" i="10" s="1"/>
  <c r="H126" i="10"/>
  <c r="E126" i="10"/>
  <c r="D126" i="10"/>
  <c r="C126" i="10"/>
  <c r="B126" i="10"/>
  <c r="I126" i="10" s="1"/>
  <c r="I125" i="10"/>
  <c r="E125" i="10"/>
  <c r="D125" i="10"/>
  <c r="C125" i="10"/>
  <c r="B125" i="10"/>
  <c r="H125" i="10" s="1"/>
  <c r="I124" i="10"/>
  <c r="H124" i="10"/>
  <c r="E124" i="10"/>
  <c r="D124" i="10"/>
  <c r="C124" i="10"/>
  <c r="B124" i="10"/>
  <c r="I123" i="10"/>
  <c r="H123" i="10"/>
  <c r="E123" i="10"/>
  <c r="D123" i="10"/>
  <c r="C123" i="10"/>
  <c r="B123" i="10"/>
  <c r="I122" i="10"/>
  <c r="H122" i="10"/>
  <c r="E122" i="10"/>
  <c r="D122" i="10"/>
  <c r="C122" i="10"/>
  <c r="B122" i="10"/>
  <c r="I121" i="10"/>
  <c r="H121" i="10"/>
  <c r="E121" i="10"/>
  <c r="D121" i="10"/>
  <c r="C121" i="10"/>
  <c r="B121" i="10"/>
  <c r="E120" i="10"/>
  <c r="D120" i="10"/>
  <c r="C120" i="10"/>
  <c r="B120" i="10"/>
  <c r="I120" i="10" s="1"/>
  <c r="I119" i="10"/>
  <c r="E119" i="10"/>
  <c r="D119" i="10"/>
  <c r="C119" i="10"/>
  <c r="B119" i="10"/>
  <c r="H119" i="10" s="1"/>
  <c r="E118" i="10"/>
  <c r="D118" i="10"/>
  <c r="C118" i="10"/>
  <c r="B118" i="10"/>
  <c r="I118" i="10" s="1"/>
  <c r="E117" i="10"/>
  <c r="D117" i="10"/>
  <c r="C117" i="10"/>
  <c r="B117" i="10"/>
  <c r="E116" i="10"/>
  <c r="D116" i="10"/>
  <c r="C116" i="10"/>
  <c r="B116" i="10"/>
  <c r="I116" i="10" s="1"/>
  <c r="E115" i="10"/>
  <c r="D115" i="10"/>
  <c r="C115" i="10"/>
  <c r="B115" i="10"/>
  <c r="E114" i="10"/>
  <c r="D114" i="10"/>
  <c r="C114" i="10"/>
  <c r="B114" i="10"/>
  <c r="I114" i="10" s="1"/>
  <c r="I113" i="10"/>
  <c r="H113" i="10"/>
  <c r="E113" i="10"/>
  <c r="D113" i="10"/>
  <c r="C113" i="10"/>
  <c r="B113" i="10"/>
  <c r="E112" i="10"/>
  <c r="D112" i="10"/>
  <c r="C112" i="10"/>
  <c r="B112" i="10"/>
  <c r="I112" i="10" s="1"/>
  <c r="I111" i="10"/>
  <c r="E111" i="10"/>
  <c r="D111" i="10"/>
  <c r="C111" i="10"/>
  <c r="B111" i="10"/>
  <c r="H111" i="10" s="1"/>
  <c r="E110" i="10"/>
  <c r="D110" i="10"/>
  <c r="C110" i="10"/>
  <c r="B110" i="10"/>
  <c r="I109" i="10"/>
  <c r="E109" i="10"/>
  <c r="D109" i="10"/>
  <c r="C109" i="10"/>
  <c r="B109" i="10"/>
  <c r="H109" i="10" s="1"/>
  <c r="I108" i="10"/>
  <c r="H108" i="10"/>
  <c r="E108" i="10"/>
  <c r="D108" i="10"/>
  <c r="C108" i="10"/>
  <c r="B108" i="10"/>
  <c r="I107" i="10"/>
  <c r="H107" i="10"/>
  <c r="E107" i="10"/>
  <c r="D107" i="10"/>
  <c r="C107" i="10"/>
  <c r="B107" i="10"/>
  <c r="H106" i="10"/>
  <c r="E106" i="10"/>
  <c r="D106" i="10"/>
  <c r="C106" i="10"/>
  <c r="B106" i="10"/>
  <c r="I106" i="10" s="1"/>
  <c r="I105" i="10"/>
  <c r="H105" i="10"/>
  <c r="E105" i="10"/>
  <c r="D105" i="10"/>
  <c r="C105" i="10"/>
  <c r="B105" i="10"/>
  <c r="E104" i="10"/>
  <c r="D104" i="10"/>
  <c r="C104" i="10"/>
  <c r="B104" i="10"/>
  <c r="I103" i="10"/>
  <c r="E103" i="10"/>
  <c r="D103" i="10"/>
  <c r="C103" i="10"/>
  <c r="B103" i="10"/>
  <c r="H103" i="10" s="1"/>
  <c r="H102" i="10"/>
  <c r="E102" i="10"/>
  <c r="D102" i="10"/>
  <c r="C102" i="10"/>
  <c r="B102" i="10"/>
  <c r="I102" i="10" s="1"/>
  <c r="E101" i="10"/>
  <c r="D101" i="10"/>
  <c r="C101" i="10"/>
  <c r="B101" i="10"/>
  <c r="H101" i="10" s="1"/>
  <c r="E100" i="10"/>
  <c r="D100" i="10"/>
  <c r="C100" i="10"/>
  <c r="B100" i="10"/>
  <c r="I99" i="10"/>
  <c r="H99" i="10"/>
  <c r="E99" i="10"/>
  <c r="D99" i="10"/>
  <c r="C99" i="10"/>
  <c r="B99" i="10"/>
  <c r="E98" i="10"/>
  <c r="D98" i="10"/>
  <c r="C98" i="10"/>
  <c r="B98" i="10"/>
  <c r="I97" i="10"/>
  <c r="H97" i="10"/>
  <c r="E97" i="10"/>
  <c r="D97" i="10"/>
  <c r="C97" i="10"/>
  <c r="B97" i="10"/>
  <c r="H96" i="10"/>
  <c r="E96" i="10"/>
  <c r="D96" i="10"/>
  <c r="C96" i="10"/>
  <c r="B96" i="10"/>
  <c r="I96" i="10" s="1"/>
  <c r="I95" i="10"/>
  <c r="E95" i="10"/>
  <c r="D95" i="10"/>
  <c r="C95" i="10"/>
  <c r="B95" i="10"/>
  <c r="H95" i="10" s="1"/>
  <c r="E94" i="10"/>
  <c r="D94" i="10"/>
  <c r="C94" i="10"/>
  <c r="B94" i="10"/>
  <c r="I94" i="10" s="1"/>
  <c r="I93" i="10"/>
  <c r="E93" i="10"/>
  <c r="D93" i="10"/>
  <c r="C93" i="10"/>
  <c r="B93" i="10"/>
  <c r="H93" i="10" s="1"/>
  <c r="I92" i="10"/>
  <c r="H92" i="10"/>
  <c r="E92" i="10"/>
  <c r="D92" i="10"/>
  <c r="C92" i="10"/>
  <c r="B92" i="10"/>
  <c r="E91" i="10"/>
  <c r="D91" i="10"/>
  <c r="C91" i="10"/>
  <c r="B91" i="10"/>
  <c r="I91" i="10" s="1"/>
  <c r="I90" i="10"/>
  <c r="H90" i="10"/>
  <c r="E90" i="10"/>
  <c r="D90" i="10"/>
  <c r="C90" i="10"/>
  <c r="B90" i="10"/>
  <c r="I89" i="10"/>
  <c r="H89" i="10"/>
  <c r="E89" i="10"/>
  <c r="D89" i="10"/>
  <c r="C89" i="10"/>
  <c r="B89" i="10"/>
  <c r="E88" i="10"/>
  <c r="D88" i="10"/>
  <c r="C88" i="10"/>
  <c r="B88" i="10"/>
  <c r="I88" i="10" s="1"/>
  <c r="I87" i="10"/>
  <c r="E87" i="10"/>
  <c r="D87" i="10"/>
  <c r="C87" i="10"/>
  <c r="B87" i="10"/>
  <c r="H87" i="10" s="1"/>
  <c r="H86" i="10"/>
  <c r="E86" i="10"/>
  <c r="D86" i="10"/>
  <c r="C86" i="10"/>
  <c r="B86" i="10"/>
  <c r="I86" i="10" s="1"/>
  <c r="E85" i="10"/>
  <c r="D85" i="10"/>
  <c r="C85" i="10"/>
  <c r="B85" i="10"/>
  <c r="H85" i="10" s="1"/>
  <c r="E84" i="10"/>
  <c r="D84" i="10"/>
  <c r="C84" i="10"/>
  <c r="B84" i="10"/>
  <c r="I84" i="10" s="1"/>
  <c r="H83" i="10"/>
  <c r="E83" i="10"/>
  <c r="D83" i="10"/>
  <c r="C83" i="10"/>
  <c r="B83" i="10"/>
  <c r="I83" i="10" s="1"/>
  <c r="I82" i="10"/>
  <c r="H82" i="10"/>
  <c r="E82" i="10"/>
  <c r="D82" i="10"/>
  <c r="C82" i="10"/>
  <c r="B82" i="10"/>
  <c r="I81" i="10"/>
  <c r="H81" i="10"/>
  <c r="E81" i="10"/>
  <c r="D81" i="10"/>
  <c r="C81" i="10"/>
  <c r="B81" i="10"/>
  <c r="H80" i="10"/>
  <c r="E80" i="10"/>
  <c r="D80" i="10"/>
  <c r="C80" i="10"/>
  <c r="B80" i="10"/>
  <c r="I80" i="10" s="1"/>
  <c r="I79" i="10"/>
  <c r="E79" i="10"/>
  <c r="D79" i="10"/>
  <c r="C79" i="10"/>
  <c r="B79" i="10"/>
  <c r="H79" i="10" s="1"/>
  <c r="E78" i="10"/>
  <c r="D78" i="10"/>
  <c r="C78" i="10"/>
  <c r="B78" i="10"/>
  <c r="I77" i="10"/>
  <c r="E77" i="10"/>
  <c r="D77" i="10"/>
  <c r="C77" i="10"/>
  <c r="B77" i="10"/>
  <c r="H77" i="10" s="1"/>
  <c r="I76" i="10"/>
  <c r="E76" i="10"/>
  <c r="D76" i="10"/>
  <c r="C76" i="10"/>
  <c r="B76" i="10"/>
  <c r="H76" i="10" s="1"/>
  <c r="E75" i="10"/>
  <c r="D75" i="10"/>
  <c r="C75" i="10"/>
  <c r="B75" i="10"/>
  <c r="I75" i="10" s="1"/>
  <c r="E74" i="10"/>
  <c r="D74" i="10"/>
  <c r="C74" i="10"/>
  <c r="B74" i="10"/>
  <c r="I74" i="10" s="1"/>
  <c r="I73" i="10"/>
  <c r="H73" i="10"/>
  <c r="E73" i="10"/>
  <c r="D73" i="10"/>
  <c r="C73" i="10"/>
  <c r="B73" i="10"/>
  <c r="H72" i="10"/>
  <c r="E72" i="10"/>
  <c r="D72" i="10"/>
  <c r="C72" i="10"/>
  <c r="B72" i="10"/>
  <c r="I72" i="10" s="1"/>
  <c r="I71" i="10"/>
  <c r="E71" i="10"/>
  <c r="D71" i="10"/>
  <c r="C71" i="10"/>
  <c r="B71" i="10"/>
  <c r="H71" i="10" s="1"/>
  <c r="E70" i="10"/>
  <c r="D70" i="10"/>
  <c r="C70" i="10"/>
  <c r="B70" i="10"/>
  <c r="I70" i="10" s="1"/>
  <c r="I69" i="10"/>
  <c r="E69" i="10"/>
  <c r="D69" i="10"/>
  <c r="C69" i="10"/>
  <c r="B69" i="10"/>
  <c r="H69" i="10" s="1"/>
  <c r="I68" i="10"/>
  <c r="H68" i="10"/>
  <c r="E68" i="10"/>
  <c r="D68" i="10"/>
  <c r="C68" i="10"/>
  <c r="B68" i="10"/>
  <c r="I67" i="10"/>
  <c r="H67" i="10"/>
  <c r="E67" i="10"/>
  <c r="D67" i="10"/>
  <c r="C67" i="10"/>
  <c r="B67" i="10"/>
  <c r="I66" i="10"/>
  <c r="H66" i="10"/>
  <c r="E66" i="10"/>
  <c r="D66" i="10"/>
  <c r="C66" i="10"/>
  <c r="B66" i="10"/>
  <c r="I65" i="10"/>
  <c r="H65" i="10"/>
  <c r="E65" i="10"/>
  <c r="D65" i="10"/>
  <c r="C65" i="10"/>
  <c r="B65" i="10"/>
  <c r="H64" i="10"/>
  <c r="E64" i="10"/>
  <c r="D64" i="10"/>
  <c r="C64" i="10"/>
  <c r="B64" i="10"/>
  <c r="I64" i="10" s="1"/>
  <c r="I63" i="10"/>
  <c r="E63" i="10"/>
  <c r="D63" i="10"/>
  <c r="C63" i="10"/>
  <c r="B63" i="10"/>
  <c r="H63" i="10" s="1"/>
  <c r="H62" i="10"/>
  <c r="E62" i="10"/>
  <c r="D62" i="10"/>
  <c r="C62" i="10"/>
  <c r="B62" i="10"/>
  <c r="I62" i="10" s="1"/>
  <c r="E61" i="10"/>
  <c r="D61" i="10"/>
  <c r="C61" i="10"/>
  <c r="B61" i="10"/>
  <c r="E60" i="10"/>
  <c r="D60" i="10"/>
  <c r="C60" i="10"/>
  <c r="B60" i="10"/>
  <c r="I60" i="10" s="1"/>
  <c r="I59" i="10"/>
  <c r="H59" i="10"/>
  <c r="E59" i="10"/>
  <c r="D59" i="10"/>
  <c r="C59" i="10"/>
  <c r="B59" i="10"/>
  <c r="I58" i="10"/>
  <c r="H58" i="10"/>
  <c r="E58" i="10"/>
  <c r="D58" i="10"/>
  <c r="C58" i="10"/>
  <c r="B58" i="10"/>
  <c r="E57" i="10"/>
  <c r="D57" i="10"/>
  <c r="C57" i="10"/>
  <c r="B57" i="10"/>
  <c r="I57" i="10" s="1"/>
  <c r="E56" i="10"/>
  <c r="D56" i="10"/>
  <c r="C56" i="10"/>
  <c r="B56" i="10"/>
  <c r="I55" i="10"/>
  <c r="H55" i="10"/>
  <c r="E55" i="10"/>
  <c r="D55" i="10"/>
  <c r="C55" i="10"/>
  <c r="B55" i="10"/>
  <c r="I54" i="10"/>
  <c r="H54" i="10"/>
  <c r="E54" i="10"/>
  <c r="D54" i="10"/>
  <c r="C54" i="10"/>
  <c r="B54" i="10"/>
  <c r="E53" i="10"/>
  <c r="D53" i="10"/>
  <c r="C53" i="10"/>
  <c r="B53" i="10"/>
  <c r="I53" i="10" s="1"/>
  <c r="E52" i="10"/>
  <c r="D52" i="10"/>
  <c r="C52" i="10"/>
  <c r="B52" i="10"/>
  <c r="I51" i="10"/>
  <c r="H51" i="10"/>
  <c r="E51" i="10"/>
  <c r="D51" i="10"/>
  <c r="C51" i="10"/>
  <c r="B51" i="10"/>
  <c r="I50" i="10"/>
  <c r="H50" i="10"/>
  <c r="E50" i="10"/>
  <c r="D50" i="10"/>
  <c r="C50" i="10"/>
  <c r="B50" i="10"/>
  <c r="E49" i="10"/>
  <c r="D49" i="10"/>
  <c r="C49" i="10"/>
  <c r="B49" i="10"/>
  <c r="I49" i="10" s="1"/>
  <c r="E48" i="10"/>
  <c r="D48" i="10"/>
  <c r="C48" i="10"/>
  <c r="B48" i="10"/>
  <c r="I47" i="10"/>
  <c r="H47" i="10"/>
  <c r="E47" i="10"/>
  <c r="D47" i="10"/>
  <c r="C47" i="10"/>
  <c r="B47" i="10"/>
  <c r="I46" i="10"/>
  <c r="H46" i="10"/>
  <c r="E46" i="10"/>
  <c r="D46" i="10"/>
  <c r="C46" i="10"/>
  <c r="B46" i="10"/>
  <c r="E45" i="10"/>
  <c r="D45" i="10"/>
  <c r="C45" i="10"/>
  <c r="B45" i="10"/>
  <c r="I45" i="10" s="1"/>
  <c r="E44" i="10"/>
  <c r="D44" i="10"/>
  <c r="C44" i="10"/>
  <c r="B44" i="10"/>
  <c r="I43" i="10"/>
  <c r="H43" i="10"/>
  <c r="E43" i="10"/>
  <c r="D43" i="10"/>
  <c r="C43" i="10"/>
  <c r="B43" i="10"/>
  <c r="I42" i="10"/>
  <c r="H42" i="10"/>
  <c r="E42" i="10"/>
  <c r="D42" i="10"/>
  <c r="C42" i="10"/>
  <c r="B42" i="10"/>
  <c r="H41" i="10"/>
  <c r="E41" i="10"/>
  <c r="D41" i="10"/>
  <c r="C41" i="10"/>
  <c r="B41" i="10"/>
  <c r="I41" i="10" s="1"/>
  <c r="E40" i="10"/>
  <c r="D40" i="10"/>
  <c r="C40" i="10"/>
  <c r="B40" i="10"/>
  <c r="I39" i="10"/>
  <c r="H39" i="10"/>
  <c r="E39" i="10"/>
  <c r="D39" i="10"/>
  <c r="C39" i="10"/>
  <c r="B39" i="10"/>
  <c r="I38" i="10"/>
  <c r="H38" i="10"/>
  <c r="E38" i="10"/>
  <c r="D38" i="10"/>
  <c r="C38" i="10"/>
  <c r="B38" i="10"/>
  <c r="E37" i="10"/>
  <c r="D37" i="10"/>
  <c r="C37" i="10"/>
  <c r="B37" i="10"/>
  <c r="I36" i="10"/>
  <c r="E36" i="10"/>
  <c r="D36" i="10"/>
  <c r="C36" i="10"/>
  <c r="B36" i="10"/>
  <c r="H36" i="10" s="1"/>
  <c r="E35" i="10"/>
  <c r="D35" i="10"/>
  <c r="C35" i="10"/>
  <c r="B35" i="10"/>
  <c r="I35" i="10" s="1"/>
  <c r="I34" i="10"/>
  <c r="H34" i="10"/>
  <c r="E34" i="10"/>
  <c r="D34" i="10"/>
  <c r="C34" i="10"/>
  <c r="B34" i="10"/>
  <c r="E33" i="10"/>
  <c r="D33" i="10"/>
  <c r="C33" i="10"/>
  <c r="B33" i="10"/>
  <c r="I33" i="10" s="1"/>
  <c r="I32" i="10"/>
  <c r="E32" i="10"/>
  <c r="D32" i="10"/>
  <c r="C32" i="10"/>
  <c r="B32" i="10"/>
  <c r="H32" i="10" s="1"/>
  <c r="E31" i="10"/>
  <c r="D31" i="10"/>
  <c r="C31" i="10"/>
  <c r="B31" i="10"/>
  <c r="I31" i="10" s="1"/>
  <c r="I30" i="10"/>
  <c r="H30" i="10"/>
  <c r="E30" i="10"/>
  <c r="D30" i="10"/>
  <c r="C30" i="10"/>
  <c r="B30" i="10"/>
  <c r="E29" i="10"/>
  <c r="D29" i="10"/>
  <c r="C29" i="10"/>
  <c r="B29" i="10"/>
  <c r="I29" i="10" s="1"/>
  <c r="I28" i="10"/>
  <c r="E28" i="10"/>
  <c r="D28" i="10"/>
  <c r="C28" i="10"/>
  <c r="B28" i="10"/>
  <c r="H28" i="10" s="1"/>
  <c r="E27" i="10"/>
  <c r="D27" i="10"/>
  <c r="C27" i="10"/>
  <c r="B27" i="10"/>
  <c r="I27" i="10" s="1"/>
  <c r="I26" i="10"/>
  <c r="H26" i="10"/>
  <c r="E26" i="10"/>
  <c r="D26" i="10"/>
  <c r="C26" i="10"/>
  <c r="B26" i="10"/>
  <c r="H25" i="10"/>
  <c r="E25" i="10"/>
  <c r="D25" i="10"/>
  <c r="C25" i="10"/>
  <c r="B25" i="10"/>
  <c r="I25" i="10" s="1"/>
  <c r="I24" i="10"/>
  <c r="E24" i="10"/>
  <c r="D24" i="10"/>
  <c r="C24" i="10"/>
  <c r="B24" i="10"/>
  <c r="H24" i="10" s="1"/>
  <c r="I23" i="10"/>
  <c r="H23" i="10"/>
  <c r="E23" i="10"/>
  <c r="D23" i="10"/>
  <c r="C23" i="10"/>
  <c r="B23" i="10"/>
  <c r="I22" i="10"/>
  <c r="H22" i="10"/>
  <c r="E22" i="10"/>
  <c r="D22" i="10"/>
  <c r="C22" i="10"/>
  <c r="B22" i="10"/>
  <c r="H21" i="10"/>
  <c r="E21" i="10"/>
  <c r="D21" i="10"/>
  <c r="C21" i="10"/>
  <c r="B21" i="10"/>
  <c r="I21" i="10" s="1"/>
  <c r="E20" i="10"/>
  <c r="D20" i="10"/>
  <c r="C20" i="10"/>
  <c r="B20" i="10"/>
  <c r="H20" i="10" s="1"/>
  <c r="I19" i="10"/>
  <c r="H19" i="10"/>
  <c r="E19" i="10"/>
  <c r="D19" i="10"/>
  <c r="C19" i="10"/>
  <c r="B19" i="10"/>
  <c r="I18" i="10"/>
  <c r="H18" i="10"/>
  <c r="E18" i="10"/>
  <c r="D18" i="10"/>
  <c r="C18" i="10"/>
  <c r="B18" i="10"/>
  <c r="H17" i="10"/>
  <c r="E17" i="10"/>
  <c r="D17" i="10"/>
  <c r="C17" i="10"/>
  <c r="B17" i="10"/>
  <c r="I17" i="10" s="1"/>
  <c r="E16" i="10"/>
  <c r="D16" i="10"/>
  <c r="C16" i="10"/>
  <c r="B16" i="10"/>
  <c r="H16" i="10" s="1"/>
  <c r="I15" i="10"/>
  <c r="H15" i="10"/>
  <c r="E15" i="10"/>
  <c r="D15" i="10"/>
  <c r="C15" i="10"/>
  <c r="B15" i="10"/>
  <c r="I14" i="10"/>
  <c r="H14" i="10"/>
  <c r="E14" i="10"/>
  <c r="D14" i="10"/>
  <c r="C14" i="10"/>
  <c r="B14" i="10"/>
  <c r="H13" i="10"/>
  <c r="E13" i="10"/>
  <c r="D13" i="10"/>
  <c r="C13" i="10"/>
  <c r="B13" i="10"/>
  <c r="I13" i="10" s="1"/>
  <c r="E12" i="10"/>
  <c r="D12" i="10"/>
  <c r="C12" i="10"/>
  <c r="B12" i="10"/>
  <c r="H12" i="10" s="1"/>
  <c r="I11" i="10"/>
  <c r="H11" i="10"/>
  <c r="E11" i="10"/>
  <c r="D11" i="10"/>
  <c r="C11" i="10"/>
  <c r="B11" i="10"/>
  <c r="I10" i="10"/>
  <c r="H10" i="10"/>
  <c r="E10" i="10"/>
  <c r="D10" i="10"/>
  <c r="C10" i="10"/>
  <c r="B10" i="10"/>
  <c r="H9" i="10"/>
  <c r="E9" i="10"/>
  <c r="D9" i="10"/>
  <c r="C9" i="10"/>
  <c r="B9" i="10"/>
  <c r="I9" i="10" s="1"/>
  <c r="I8" i="10"/>
  <c r="E8" i="10"/>
  <c r="D8" i="10"/>
  <c r="C8" i="10"/>
  <c r="B8" i="10"/>
  <c r="H8" i="10" s="1"/>
  <c r="I7" i="10"/>
  <c r="E7" i="10"/>
  <c r="D7" i="10"/>
  <c r="C7" i="10"/>
  <c r="B7" i="10"/>
  <c r="H7" i="10" s="1"/>
  <c r="I6" i="10"/>
  <c r="H6" i="10"/>
  <c r="E6" i="10"/>
  <c r="D6" i="10"/>
  <c r="C6" i="10"/>
  <c r="B6" i="10"/>
  <c r="B33" i="9"/>
  <c r="B32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I6" i="5" s="1"/>
  <c r="B7" i="8"/>
  <c r="B8" i="8" s="1"/>
  <c r="B6" i="8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D27" i="5"/>
  <c r="C27" i="5"/>
  <c r="B27" i="5"/>
  <c r="A27" i="5"/>
  <c r="H27" i="5" s="1"/>
  <c r="D26" i="5"/>
  <c r="C26" i="5"/>
  <c r="B26" i="5"/>
  <c r="A26" i="5"/>
  <c r="H26" i="5" s="1"/>
  <c r="D25" i="5"/>
  <c r="C25" i="5"/>
  <c r="B25" i="5"/>
  <c r="A25" i="5"/>
  <c r="D24" i="5"/>
  <c r="C24" i="5"/>
  <c r="B24" i="5"/>
  <c r="A24" i="5"/>
  <c r="G24" i="5" s="1"/>
  <c r="H23" i="5"/>
  <c r="G23" i="5"/>
  <c r="D23" i="5"/>
  <c r="C23" i="5"/>
  <c r="B23" i="5"/>
  <c r="A23" i="5"/>
  <c r="G22" i="5"/>
  <c r="D22" i="5"/>
  <c r="C22" i="5"/>
  <c r="B22" i="5"/>
  <c r="A22" i="5"/>
  <c r="H22" i="5" s="1"/>
  <c r="H21" i="5"/>
  <c r="G21" i="5"/>
  <c r="D21" i="5"/>
  <c r="C21" i="5"/>
  <c r="B21" i="5"/>
  <c r="A21" i="5"/>
  <c r="G20" i="5"/>
  <c r="D20" i="5"/>
  <c r="C20" i="5"/>
  <c r="B20" i="5"/>
  <c r="A20" i="5"/>
  <c r="H20" i="5" s="1"/>
  <c r="D19" i="5"/>
  <c r="C19" i="5"/>
  <c r="B19" i="5"/>
  <c r="A19" i="5"/>
  <c r="H19" i="5" s="1"/>
  <c r="D18" i="5"/>
  <c r="C18" i="5"/>
  <c r="B18" i="5"/>
  <c r="A18" i="5"/>
  <c r="H18" i="5" s="1"/>
  <c r="D17" i="5"/>
  <c r="C17" i="5"/>
  <c r="B17" i="5"/>
  <c r="A17" i="5"/>
  <c r="D16" i="5"/>
  <c r="C16" i="5"/>
  <c r="B16" i="5"/>
  <c r="A16" i="5"/>
  <c r="G16" i="5" s="1"/>
  <c r="H15" i="5"/>
  <c r="G15" i="5"/>
  <c r="D15" i="5"/>
  <c r="C15" i="5"/>
  <c r="B15" i="5"/>
  <c r="A15" i="5"/>
  <c r="G14" i="5"/>
  <c r="D14" i="5"/>
  <c r="C14" i="5"/>
  <c r="B14" i="5"/>
  <c r="A14" i="5"/>
  <c r="H14" i="5" s="1"/>
  <c r="H13" i="5"/>
  <c r="G13" i="5"/>
  <c r="D13" i="5"/>
  <c r="C13" i="5"/>
  <c r="B13" i="5"/>
  <c r="A13" i="5"/>
  <c r="G12" i="5"/>
  <c r="D12" i="5"/>
  <c r="C12" i="5"/>
  <c r="B12" i="5"/>
  <c r="A12" i="5"/>
  <c r="H12" i="5" s="1"/>
  <c r="D11" i="5"/>
  <c r="C11" i="5"/>
  <c r="B11" i="5"/>
  <c r="A11" i="5"/>
  <c r="H11" i="5" s="1"/>
  <c r="D10" i="5"/>
  <c r="C10" i="5"/>
  <c r="B10" i="5"/>
  <c r="A10" i="5"/>
  <c r="H10" i="5" s="1"/>
  <c r="B7" i="5"/>
  <c r="E6" i="5"/>
  <c r="B6" i="5"/>
  <c r="E5" i="5"/>
  <c r="B5" i="5"/>
  <c r="I4" i="5"/>
  <c r="E4" i="5"/>
  <c r="R511" i="4"/>
  <c r="Q511" i="4"/>
  <c r="L511" i="4"/>
  <c r="M511" i="4" s="1"/>
  <c r="I511" i="4"/>
  <c r="H511" i="4"/>
  <c r="R510" i="4"/>
  <c r="Q510" i="4"/>
  <c r="L510" i="4"/>
  <c r="M510" i="4" s="1"/>
  <c r="I510" i="4"/>
  <c r="H510" i="4"/>
  <c r="R509" i="4"/>
  <c r="Q509" i="4"/>
  <c r="L509" i="4"/>
  <c r="M509" i="4" s="1"/>
  <c r="I509" i="4"/>
  <c r="H509" i="4"/>
  <c r="R508" i="4"/>
  <c r="Q508" i="4"/>
  <c r="L508" i="4"/>
  <c r="M508" i="4" s="1"/>
  <c r="I508" i="4"/>
  <c r="H508" i="4"/>
  <c r="R507" i="4"/>
  <c r="Q507" i="4"/>
  <c r="L507" i="4"/>
  <c r="M507" i="4" s="1"/>
  <c r="I507" i="4"/>
  <c r="H507" i="4"/>
  <c r="R506" i="4"/>
  <c r="Q506" i="4"/>
  <c r="L506" i="4"/>
  <c r="M506" i="4" s="1"/>
  <c r="I506" i="4"/>
  <c r="H506" i="4"/>
  <c r="R505" i="4"/>
  <c r="Q505" i="4"/>
  <c r="L505" i="4"/>
  <c r="M505" i="4" s="1"/>
  <c r="I505" i="4"/>
  <c r="H505" i="4"/>
  <c r="R504" i="4"/>
  <c r="Q504" i="4"/>
  <c r="L504" i="4"/>
  <c r="M504" i="4" s="1"/>
  <c r="I504" i="4"/>
  <c r="H504" i="4"/>
  <c r="R503" i="4"/>
  <c r="Q503" i="4"/>
  <c r="L503" i="4"/>
  <c r="M503" i="4" s="1"/>
  <c r="I503" i="4"/>
  <c r="H503" i="4"/>
  <c r="R502" i="4"/>
  <c r="Q502" i="4"/>
  <c r="L502" i="4"/>
  <c r="M502" i="4" s="1"/>
  <c r="I502" i="4"/>
  <c r="H502" i="4"/>
  <c r="R501" i="4"/>
  <c r="Q501" i="4"/>
  <c r="L501" i="4"/>
  <c r="M501" i="4" s="1"/>
  <c r="I501" i="4"/>
  <c r="H501" i="4"/>
  <c r="R500" i="4"/>
  <c r="Q500" i="4"/>
  <c r="L500" i="4"/>
  <c r="M500" i="4" s="1"/>
  <c r="I500" i="4"/>
  <c r="H500" i="4"/>
  <c r="R499" i="4"/>
  <c r="Q499" i="4"/>
  <c r="L499" i="4"/>
  <c r="M499" i="4" s="1"/>
  <c r="I499" i="4"/>
  <c r="H499" i="4"/>
  <c r="R498" i="4"/>
  <c r="Q498" i="4"/>
  <c r="L498" i="4"/>
  <c r="M498" i="4" s="1"/>
  <c r="I498" i="4"/>
  <c r="H498" i="4"/>
  <c r="R497" i="4"/>
  <c r="Q497" i="4"/>
  <c r="L497" i="4"/>
  <c r="M497" i="4" s="1"/>
  <c r="I497" i="4"/>
  <c r="H497" i="4"/>
  <c r="R496" i="4"/>
  <c r="Q496" i="4"/>
  <c r="L496" i="4"/>
  <c r="M496" i="4" s="1"/>
  <c r="I496" i="4"/>
  <c r="H496" i="4"/>
  <c r="R495" i="4"/>
  <c r="Q495" i="4"/>
  <c r="L495" i="4"/>
  <c r="M495" i="4" s="1"/>
  <c r="I495" i="4"/>
  <c r="H495" i="4"/>
  <c r="R494" i="4"/>
  <c r="Q494" i="4"/>
  <c r="L494" i="4"/>
  <c r="M494" i="4" s="1"/>
  <c r="I494" i="4"/>
  <c r="H494" i="4"/>
  <c r="R493" i="4"/>
  <c r="Q493" i="4"/>
  <c r="L493" i="4"/>
  <c r="M493" i="4" s="1"/>
  <c r="I493" i="4"/>
  <c r="H493" i="4"/>
  <c r="R492" i="4"/>
  <c r="Q492" i="4"/>
  <c r="L492" i="4"/>
  <c r="M492" i="4" s="1"/>
  <c r="I492" i="4"/>
  <c r="H492" i="4"/>
  <c r="R491" i="4"/>
  <c r="Q491" i="4"/>
  <c r="L491" i="4"/>
  <c r="M491" i="4" s="1"/>
  <c r="I491" i="4"/>
  <c r="H491" i="4"/>
  <c r="R490" i="4"/>
  <c r="Q490" i="4"/>
  <c r="L490" i="4"/>
  <c r="M490" i="4" s="1"/>
  <c r="I490" i="4"/>
  <c r="H490" i="4"/>
  <c r="R489" i="4"/>
  <c r="Q489" i="4"/>
  <c r="L489" i="4"/>
  <c r="M489" i="4" s="1"/>
  <c r="I489" i="4"/>
  <c r="H489" i="4"/>
  <c r="R488" i="4"/>
  <c r="Q488" i="4"/>
  <c r="L488" i="4"/>
  <c r="M488" i="4" s="1"/>
  <c r="I488" i="4"/>
  <c r="H488" i="4"/>
  <c r="R487" i="4"/>
  <c r="Q487" i="4"/>
  <c r="L487" i="4"/>
  <c r="M487" i="4" s="1"/>
  <c r="I487" i="4"/>
  <c r="H487" i="4"/>
  <c r="R486" i="4"/>
  <c r="Q486" i="4"/>
  <c r="L486" i="4"/>
  <c r="M486" i="4" s="1"/>
  <c r="I486" i="4"/>
  <c r="H486" i="4"/>
  <c r="R485" i="4"/>
  <c r="Q485" i="4"/>
  <c r="L485" i="4"/>
  <c r="M485" i="4" s="1"/>
  <c r="I485" i="4"/>
  <c r="H485" i="4"/>
  <c r="R484" i="4"/>
  <c r="Q484" i="4"/>
  <c r="L484" i="4"/>
  <c r="M484" i="4" s="1"/>
  <c r="I484" i="4"/>
  <c r="H484" i="4"/>
  <c r="R483" i="4"/>
  <c r="Q483" i="4"/>
  <c r="L483" i="4"/>
  <c r="M483" i="4" s="1"/>
  <c r="I483" i="4"/>
  <c r="H483" i="4"/>
  <c r="R482" i="4"/>
  <c r="Q482" i="4"/>
  <c r="L482" i="4"/>
  <c r="M482" i="4" s="1"/>
  <c r="I482" i="4"/>
  <c r="H482" i="4"/>
  <c r="R481" i="4"/>
  <c r="Q481" i="4"/>
  <c r="L481" i="4"/>
  <c r="M481" i="4" s="1"/>
  <c r="I481" i="4"/>
  <c r="H481" i="4"/>
  <c r="R480" i="4"/>
  <c r="Q480" i="4"/>
  <c r="L480" i="4"/>
  <c r="M480" i="4" s="1"/>
  <c r="I480" i="4"/>
  <c r="H480" i="4"/>
  <c r="R479" i="4"/>
  <c r="Q479" i="4"/>
  <c r="L479" i="4"/>
  <c r="M479" i="4" s="1"/>
  <c r="I479" i="4"/>
  <c r="H479" i="4"/>
  <c r="R478" i="4"/>
  <c r="Q478" i="4"/>
  <c r="L478" i="4"/>
  <c r="M478" i="4" s="1"/>
  <c r="I478" i="4"/>
  <c r="H478" i="4"/>
  <c r="R477" i="4"/>
  <c r="Q477" i="4"/>
  <c r="L477" i="4"/>
  <c r="M477" i="4" s="1"/>
  <c r="I477" i="4"/>
  <c r="H477" i="4"/>
  <c r="R476" i="4"/>
  <c r="Q476" i="4"/>
  <c r="L476" i="4"/>
  <c r="M476" i="4" s="1"/>
  <c r="I476" i="4"/>
  <c r="H476" i="4"/>
  <c r="R475" i="4"/>
  <c r="Q475" i="4"/>
  <c r="L475" i="4"/>
  <c r="M475" i="4" s="1"/>
  <c r="I475" i="4"/>
  <c r="H475" i="4"/>
  <c r="R474" i="4"/>
  <c r="Q474" i="4"/>
  <c r="L474" i="4"/>
  <c r="M474" i="4" s="1"/>
  <c r="I474" i="4"/>
  <c r="H474" i="4"/>
  <c r="R473" i="4"/>
  <c r="Q473" i="4"/>
  <c r="L473" i="4"/>
  <c r="M473" i="4" s="1"/>
  <c r="I473" i="4"/>
  <c r="H473" i="4"/>
  <c r="R472" i="4"/>
  <c r="Q472" i="4"/>
  <c r="L472" i="4"/>
  <c r="M472" i="4" s="1"/>
  <c r="I472" i="4"/>
  <c r="H472" i="4"/>
  <c r="R471" i="4"/>
  <c r="Q471" i="4"/>
  <c r="L471" i="4"/>
  <c r="M471" i="4" s="1"/>
  <c r="I471" i="4"/>
  <c r="H471" i="4"/>
  <c r="R470" i="4"/>
  <c r="Q470" i="4"/>
  <c r="L470" i="4"/>
  <c r="M470" i="4" s="1"/>
  <c r="I470" i="4"/>
  <c r="H470" i="4"/>
  <c r="R469" i="4"/>
  <c r="Q469" i="4"/>
  <c r="L469" i="4"/>
  <c r="M469" i="4" s="1"/>
  <c r="I469" i="4"/>
  <c r="H469" i="4"/>
  <c r="R468" i="4"/>
  <c r="Q468" i="4"/>
  <c r="L468" i="4"/>
  <c r="M468" i="4" s="1"/>
  <c r="I468" i="4"/>
  <c r="H468" i="4"/>
  <c r="R467" i="4"/>
  <c r="Q467" i="4"/>
  <c r="L467" i="4"/>
  <c r="M467" i="4" s="1"/>
  <c r="I467" i="4"/>
  <c r="H467" i="4"/>
  <c r="R466" i="4"/>
  <c r="Q466" i="4"/>
  <c r="L466" i="4"/>
  <c r="M466" i="4" s="1"/>
  <c r="I466" i="4"/>
  <c r="H466" i="4"/>
  <c r="R465" i="4"/>
  <c r="Q465" i="4"/>
  <c r="L465" i="4"/>
  <c r="M465" i="4" s="1"/>
  <c r="I465" i="4"/>
  <c r="H465" i="4"/>
  <c r="R464" i="4"/>
  <c r="Q464" i="4"/>
  <c r="L464" i="4"/>
  <c r="M464" i="4" s="1"/>
  <c r="I464" i="4"/>
  <c r="H464" i="4"/>
  <c r="R463" i="4"/>
  <c r="Q463" i="4"/>
  <c r="L463" i="4"/>
  <c r="M463" i="4" s="1"/>
  <c r="I463" i="4"/>
  <c r="H463" i="4"/>
  <c r="R462" i="4"/>
  <c r="Q462" i="4"/>
  <c r="L462" i="4"/>
  <c r="M462" i="4" s="1"/>
  <c r="I462" i="4"/>
  <c r="H462" i="4"/>
  <c r="R461" i="4"/>
  <c r="Q461" i="4"/>
  <c r="L461" i="4"/>
  <c r="M461" i="4" s="1"/>
  <c r="I461" i="4"/>
  <c r="H461" i="4"/>
  <c r="R460" i="4"/>
  <c r="Q460" i="4"/>
  <c r="L460" i="4"/>
  <c r="M460" i="4" s="1"/>
  <c r="I460" i="4"/>
  <c r="H460" i="4"/>
  <c r="R459" i="4"/>
  <c r="Q459" i="4"/>
  <c r="L459" i="4"/>
  <c r="M459" i="4" s="1"/>
  <c r="I459" i="4"/>
  <c r="H459" i="4"/>
  <c r="R458" i="4"/>
  <c r="Q458" i="4"/>
  <c r="L458" i="4"/>
  <c r="M458" i="4" s="1"/>
  <c r="I458" i="4"/>
  <c r="H458" i="4"/>
  <c r="R457" i="4"/>
  <c r="Q457" i="4"/>
  <c r="L457" i="4"/>
  <c r="M457" i="4" s="1"/>
  <c r="I457" i="4"/>
  <c r="H457" i="4"/>
  <c r="R456" i="4"/>
  <c r="Q456" i="4"/>
  <c r="L456" i="4"/>
  <c r="M456" i="4" s="1"/>
  <c r="I456" i="4"/>
  <c r="H456" i="4"/>
  <c r="R455" i="4"/>
  <c r="Q455" i="4"/>
  <c r="L455" i="4"/>
  <c r="M455" i="4" s="1"/>
  <c r="I455" i="4"/>
  <c r="H455" i="4"/>
  <c r="R454" i="4"/>
  <c r="Q454" i="4"/>
  <c r="L454" i="4"/>
  <c r="M454" i="4" s="1"/>
  <c r="I454" i="4"/>
  <c r="H454" i="4"/>
  <c r="R453" i="4"/>
  <c r="Q453" i="4"/>
  <c r="L453" i="4"/>
  <c r="M453" i="4" s="1"/>
  <c r="I453" i="4"/>
  <c r="H453" i="4"/>
  <c r="R452" i="4"/>
  <c r="Q452" i="4"/>
  <c r="L452" i="4"/>
  <c r="M452" i="4" s="1"/>
  <c r="I452" i="4"/>
  <c r="H452" i="4"/>
  <c r="R451" i="4"/>
  <c r="Q451" i="4"/>
  <c r="L451" i="4"/>
  <c r="M451" i="4" s="1"/>
  <c r="I451" i="4"/>
  <c r="H451" i="4"/>
  <c r="R450" i="4"/>
  <c r="Q450" i="4"/>
  <c r="L450" i="4"/>
  <c r="M450" i="4" s="1"/>
  <c r="I450" i="4"/>
  <c r="H450" i="4"/>
  <c r="R449" i="4"/>
  <c r="Q449" i="4"/>
  <c r="L449" i="4"/>
  <c r="M449" i="4" s="1"/>
  <c r="I449" i="4"/>
  <c r="H449" i="4"/>
  <c r="R448" i="4"/>
  <c r="Q448" i="4"/>
  <c r="L448" i="4"/>
  <c r="M448" i="4" s="1"/>
  <c r="I448" i="4"/>
  <c r="H448" i="4"/>
  <c r="R447" i="4"/>
  <c r="Q447" i="4"/>
  <c r="L447" i="4"/>
  <c r="M447" i="4" s="1"/>
  <c r="I447" i="4"/>
  <c r="H447" i="4"/>
  <c r="R446" i="4"/>
  <c r="Q446" i="4"/>
  <c r="L446" i="4"/>
  <c r="M446" i="4" s="1"/>
  <c r="I446" i="4"/>
  <c r="H446" i="4"/>
  <c r="R445" i="4"/>
  <c r="Q445" i="4"/>
  <c r="L445" i="4"/>
  <c r="M445" i="4" s="1"/>
  <c r="I445" i="4"/>
  <c r="H445" i="4"/>
  <c r="R444" i="4"/>
  <c r="Q444" i="4"/>
  <c r="L444" i="4"/>
  <c r="M444" i="4" s="1"/>
  <c r="I444" i="4"/>
  <c r="H444" i="4"/>
  <c r="R443" i="4"/>
  <c r="Q443" i="4"/>
  <c r="L443" i="4"/>
  <c r="M443" i="4" s="1"/>
  <c r="I443" i="4"/>
  <c r="H443" i="4"/>
  <c r="R442" i="4"/>
  <c r="Q442" i="4"/>
  <c r="L442" i="4"/>
  <c r="M442" i="4" s="1"/>
  <c r="I442" i="4"/>
  <c r="H442" i="4"/>
  <c r="R441" i="4"/>
  <c r="Q441" i="4"/>
  <c r="L441" i="4"/>
  <c r="M441" i="4" s="1"/>
  <c r="I441" i="4"/>
  <c r="H441" i="4"/>
  <c r="R440" i="4"/>
  <c r="Q440" i="4"/>
  <c r="L440" i="4"/>
  <c r="M440" i="4" s="1"/>
  <c r="I440" i="4"/>
  <c r="H440" i="4"/>
  <c r="R439" i="4"/>
  <c r="Q439" i="4"/>
  <c r="L439" i="4"/>
  <c r="M439" i="4" s="1"/>
  <c r="I439" i="4"/>
  <c r="H439" i="4"/>
  <c r="R438" i="4"/>
  <c r="Q438" i="4"/>
  <c r="L438" i="4"/>
  <c r="M438" i="4" s="1"/>
  <c r="I438" i="4"/>
  <c r="H438" i="4"/>
  <c r="R437" i="4"/>
  <c r="Q437" i="4"/>
  <c r="L437" i="4"/>
  <c r="M437" i="4" s="1"/>
  <c r="I437" i="4"/>
  <c r="H437" i="4"/>
  <c r="R436" i="4"/>
  <c r="Q436" i="4"/>
  <c r="L436" i="4"/>
  <c r="M436" i="4" s="1"/>
  <c r="I436" i="4"/>
  <c r="H436" i="4"/>
  <c r="R435" i="4"/>
  <c r="Q435" i="4"/>
  <c r="L435" i="4"/>
  <c r="M435" i="4" s="1"/>
  <c r="I435" i="4"/>
  <c r="H435" i="4"/>
  <c r="R434" i="4"/>
  <c r="Q434" i="4"/>
  <c r="L434" i="4"/>
  <c r="M434" i="4" s="1"/>
  <c r="I434" i="4"/>
  <c r="H434" i="4"/>
  <c r="R433" i="4"/>
  <c r="Q433" i="4"/>
  <c r="L433" i="4"/>
  <c r="M433" i="4" s="1"/>
  <c r="I433" i="4"/>
  <c r="H433" i="4"/>
  <c r="R432" i="4"/>
  <c r="Q432" i="4"/>
  <c r="L432" i="4"/>
  <c r="M432" i="4" s="1"/>
  <c r="I432" i="4"/>
  <c r="H432" i="4"/>
  <c r="R431" i="4"/>
  <c r="Q431" i="4"/>
  <c r="L431" i="4"/>
  <c r="M431" i="4" s="1"/>
  <c r="I431" i="4"/>
  <c r="H431" i="4"/>
  <c r="R430" i="4"/>
  <c r="Q430" i="4"/>
  <c r="L430" i="4"/>
  <c r="M430" i="4" s="1"/>
  <c r="I430" i="4"/>
  <c r="H430" i="4"/>
  <c r="R429" i="4"/>
  <c r="Q429" i="4"/>
  <c r="L429" i="4"/>
  <c r="M429" i="4" s="1"/>
  <c r="I429" i="4"/>
  <c r="H429" i="4"/>
  <c r="R428" i="4"/>
  <c r="Q428" i="4"/>
  <c r="L428" i="4"/>
  <c r="M428" i="4" s="1"/>
  <c r="I428" i="4"/>
  <c r="H428" i="4"/>
  <c r="R427" i="4"/>
  <c r="Q427" i="4"/>
  <c r="L427" i="4"/>
  <c r="M427" i="4" s="1"/>
  <c r="I427" i="4"/>
  <c r="H427" i="4"/>
  <c r="R426" i="4"/>
  <c r="Q426" i="4"/>
  <c r="L426" i="4"/>
  <c r="M426" i="4" s="1"/>
  <c r="I426" i="4"/>
  <c r="H426" i="4"/>
  <c r="R425" i="4"/>
  <c r="Q425" i="4"/>
  <c r="L425" i="4"/>
  <c r="M425" i="4" s="1"/>
  <c r="I425" i="4"/>
  <c r="H425" i="4"/>
  <c r="R424" i="4"/>
  <c r="Q424" i="4"/>
  <c r="L424" i="4"/>
  <c r="M424" i="4" s="1"/>
  <c r="I424" i="4"/>
  <c r="H424" i="4"/>
  <c r="R423" i="4"/>
  <c r="Q423" i="4"/>
  <c r="L423" i="4"/>
  <c r="M423" i="4" s="1"/>
  <c r="I423" i="4"/>
  <c r="H423" i="4"/>
  <c r="R422" i="4"/>
  <c r="Q422" i="4"/>
  <c r="L422" i="4"/>
  <c r="M422" i="4" s="1"/>
  <c r="I422" i="4"/>
  <c r="H422" i="4"/>
  <c r="R421" i="4"/>
  <c r="Q421" i="4"/>
  <c r="L421" i="4"/>
  <c r="M421" i="4" s="1"/>
  <c r="I421" i="4"/>
  <c r="H421" i="4"/>
  <c r="R420" i="4"/>
  <c r="Q420" i="4"/>
  <c r="L420" i="4"/>
  <c r="M420" i="4" s="1"/>
  <c r="I420" i="4"/>
  <c r="H420" i="4"/>
  <c r="R419" i="4"/>
  <c r="Q419" i="4"/>
  <c r="L419" i="4"/>
  <c r="M419" i="4" s="1"/>
  <c r="I419" i="4"/>
  <c r="H419" i="4"/>
  <c r="R418" i="4"/>
  <c r="Q418" i="4"/>
  <c r="L418" i="4"/>
  <c r="M418" i="4" s="1"/>
  <c r="I418" i="4"/>
  <c r="H418" i="4"/>
  <c r="R417" i="4"/>
  <c r="Q417" i="4"/>
  <c r="L417" i="4"/>
  <c r="M417" i="4" s="1"/>
  <c r="I417" i="4"/>
  <c r="H417" i="4"/>
  <c r="R416" i="4"/>
  <c r="Q416" i="4"/>
  <c r="L416" i="4"/>
  <c r="M416" i="4" s="1"/>
  <c r="I416" i="4"/>
  <c r="H416" i="4"/>
  <c r="R415" i="4"/>
  <c r="Q415" i="4"/>
  <c r="L415" i="4"/>
  <c r="M415" i="4" s="1"/>
  <c r="I415" i="4"/>
  <c r="H415" i="4"/>
  <c r="R414" i="4"/>
  <c r="Q414" i="4"/>
  <c r="L414" i="4"/>
  <c r="M414" i="4" s="1"/>
  <c r="I414" i="4"/>
  <c r="H414" i="4"/>
  <c r="R413" i="4"/>
  <c r="Q413" i="4"/>
  <c r="L413" i="4"/>
  <c r="M413" i="4" s="1"/>
  <c r="I413" i="4"/>
  <c r="H413" i="4"/>
  <c r="R412" i="4"/>
  <c r="Q412" i="4"/>
  <c r="L412" i="4"/>
  <c r="M412" i="4" s="1"/>
  <c r="I412" i="4"/>
  <c r="H412" i="4"/>
  <c r="R411" i="4"/>
  <c r="Q411" i="4"/>
  <c r="L411" i="4"/>
  <c r="M411" i="4" s="1"/>
  <c r="I411" i="4"/>
  <c r="H411" i="4"/>
  <c r="R410" i="4"/>
  <c r="Q410" i="4"/>
  <c r="L410" i="4"/>
  <c r="M410" i="4" s="1"/>
  <c r="I410" i="4"/>
  <c r="H410" i="4"/>
  <c r="R409" i="4"/>
  <c r="Q409" i="4"/>
  <c r="L409" i="4"/>
  <c r="M409" i="4" s="1"/>
  <c r="I409" i="4"/>
  <c r="H409" i="4"/>
  <c r="R408" i="4"/>
  <c r="Q408" i="4"/>
  <c r="L408" i="4"/>
  <c r="M408" i="4" s="1"/>
  <c r="I408" i="4"/>
  <c r="H408" i="4"/>
  <c r="R407" i="4"/>
  <c r="Q407" i="4"/>
  <c r="L407" i="4"/>
  <c r="M407" i="4" s="1"/>
  <c r="I407" i="4"/>
  <c r="H407" i="4"/>
  <c r="R406" i="4"/>
  <c r="Q406" i="4"/>
  <c r="L406" i="4"/>
  <c r="M406" i="4" s="1"/>
  <c r="I406" i="4"/>
  <c r="H406" i="4"/>
  <c r="R405" i="4"/>
  <c r="Q405" i="4"/>
  <c r="L405" i="4"/>
  <c r="M405" i="4" s="1"/>
  <c r="I405" i="4"/>
  <c r="H405" i="4"/>
  <c r="R404" i="4"/>
  <c r="Q404" i="4"/>
  <c r="L404" i="4"/>
  <c r="M404" i="4" s="1"/>
  <c r="I404" i="4"/>
  <c r="H404" i="4"/>
  <c r="R403" i="4"/>
  <c r="Q403" i="4"/>
  <c r="L403" i="4"/>
  <c r="M403" i="4" s="1"/>
  <c r="I403" i="4"/>
  <c r="H403" i="4"/>
  <c r="R402" i="4"/>
  <c r="Q402" i="4"/>
  <c r="L402" i="4"/>
  <c r="M402" i="4" s="1"/>
  <c r="I402" i="4"/>
  <c r="H402" i="4"/>
  <c r="R401" i="4"/>
  <c r="Q401" i="4"/>
  <c r="L401" i="4"/>
  <c r="M401" i="4" s="1"/>
  <c r="I401" i="4"/>
  <c r="H401" i="4"/>
  <c r="R400" i="4"/>
  <c r="Q400" i="4"/>
  <c r="L400" i="4"/>
  <c r="M400" i="4" s="1"/>
  <c r="I400" i="4"/>
  <c r="H400" i="4"/>
  <c r="R399" i="4"/>
  <c r="Q399" i="4"/>
  <c r="L399" i="4"/>
  <c r="M399" i="4" s="1"/>
  <c r="I399" i="4"/>
  <c r="H399" i="4"/>
  <c r="R398" i="4"/>
  <c r="Q398" i="4"/>
  <c r="L398" i="4"/>
  <c r="M398" i="4" s="1"/>
  <c r="I398" i="4"/>
  <c r="H398" i="4"/>
  <c r="R397" i="4"/>
  <c r="Q397" i="4"/>
  <c r="L397" i="4"/>
  <c r="M397" i="4" s="1"/>
  <c r="I397" i="4"/>
  <c r="H397" i="4"/>
  <c r="R396" i="4"/>
  <c r="Q396" i="4"/>
  <c r="L396" i="4"/>
  <c r="M396" i="4" s="1"/>
  <c r="I396" i="4"/>
  <c r="H396" i="4"/>
  <c r="R395" i="4"/>
  <c r="Q395" i="4"/>
  <c r="L395" i="4"/>
  <c r="M395" i="4" s="1"/>
  <c r="I395" i="4"/>
  <c r="H395" i="4"/>
  <c r="R394" i="4"/>
  <c r="Q394" i="4"/>
  <c r="L394" i="4"/>
  <c r="M394" i="4" s="1"/>
  <c r="I394" i="4"/>
  <c r="H394" i="4"/>
  <c r="R393" i="4"/>
  <c r="Q393" i="4"/>
  <c r="L393" i="4"/>
  <c r="M393" i="4" s="1"/>
  <c r="I393" i="4"/>
  <c r="H393" i="4"/>
  <c r="R392" i="4"/>
  <c r="Q392" i="4"/>
  <c r="L392" i="4"/>
  <c r="M392" i="4" s="1"/>
  <c r="I392" i="4"/>
  <c r="H392" i="4"/>
  <c r="R391" i="4"/>
  <c r="Q391" i="4"/>
  <c r="L391" i="4"/>
  <c r="M391" i="4" s="1"/>
  <c r="I391" i="4"/>
  <c r="H391" i="4"/>
  <c r="R390" i="4"/>
  <c r="Q390" i="4"/>
  <c r="L390" i="4"/>
  <c r="M390" i="4" s="1"/>
  <c r="I390" i="4"/>
  <c r="H390" i="4"/>
  <c r="R389" i="4"/>
  <c r="Q389" i="4"/>
  <c r="L389" i="4"/>
  <c r="M389" i="4" s="1"/>
  <c r="I389" i="4"/>
  <c r="H389" i="4"/>
  <c r="R388" i="4"/>
  <c r="Q388" i="4"/>
  <c r="L388" i="4"/>
  <c r="M388" i="4" s="1"/>
  <c r="I388" i="4"/>
  <c r="H388" i="4"/>
  <c r="R387" i="4"/>
  <c r="Q387" i="4"/>
  <c r="L387" i="4"/>
  <c r="M387" i="4" s="1"/>
  <c r="I387" i="4"/>
  <c r="H387" i="4"/>
  <c r="R386" i="4"/>
  <c r="Q386" i="4"/>
  <c r="L386" i="4"/>
  <c r="M386" i="4" s="1"/>
  <c r="I386" i="4"/>
  <c r="H386" i="4"/>
  <c r="R385" i="4"/>
  <c r="Q385" i="4"/>
  <c r="L385" i="4"/>
  <c r="M385" i="4" s="1"/>
  <c r="I385" i="4"/>
  <c r="H385" i="4"/>
  <c r="R384" i="4"/>
  <c r="Q384" i="4"/>
  <c r="L384" i="4"/>
  <c r="M384" i="4" s="1"/>
  <c r="I384" i="4"/>
  <c r="H384" i="4"/>
  <c r="R383" i="4"/>
  <c r="Q383" i="4"/>
  <c r="L383" i="4"/>
  <c r="M383" i="4" s="1"/>
  <c r="I383" i="4"/>
  <c r="H383" i="4"/>
  <c r="R382" i="4"/>
  <c r="Q382" i="4"/>
  <c r="L382" i="4"/>
  <c r="M382" i="4" s="1"/>
  <c r="I382" i="4"/>
  <c r="H382" i="4"/>
  <c r="R381" i="4"/>
  <c r="Q381" i="4"/>
  <c r="L381" i="4"/>
  <c r="M381" i="4" s="1"/>
  <c r="I381" i="4"/>
  <c r="H381" i="4"/>
  <c r="R380" i="4"/>
  <c r="Q380" i="4"/>
  <c r="L380" i="4"/>
  <c r="M380" i="4" s="1"/>
  <c r="I380" i="4"/>
  <c r="H380" i="4"/>
  <c r="R379" i="4"/>
  <c r="Q379" i="4"/>
  <c r="L379" i="4"/>
  <c r="M379" i="4" s="1"/>
  <c r="I379" i="4"/>
  <c r="H379" i="4"/>
  <c r="R378" i="4"/>
  <c r="Q378" i="4"/>
  <c r="L378" i="4"/>
  <c r="M378" i="4" s="1"/>
  <c r="I378" i="4"/>
  <c r="H378" i="4"/>
  <c r="R377" i="4"/>
  <c r="Q377" i="4"/>
  <c r="L377" i="4"/>
  <c r="M377" i="4" s="1"/>
  <c r="I377" i="4"/>
  <c r="H377" i="4"/>
  <c r="R376" i="4"/>
  <c r="Q376" i="4"/>
  <c r="L376" i="4"/>
  <c r="M376" i="4" s="1"/>
  <c r="I376" i="4"/>
  <c r="H376" i="4"/>
  <c r="R375" i="4"/>
  <c r="Q375" i="4"/>
  <c r="L375" i="4"/>
  <c r="M375" i="4" s="1"/>
  <c r="I375" i="4"/>
  <c r="H375" i="4"/>
  <c r="R374" i="4"/>
  <c r="Q374" i="4"/>
  <c r="L374" i="4"/>
  <c r="M374" i="4" s="1"/>
  <c r="I374" i="4"/>
  <c r="H374" i="4"/>
  <c r="R373" i="4"/>
  <c r="Q373" i="4"/>
  <c r="L373" i="4"/>
  <c r="M373" i="4" s="1"/>
  <c r="I373" i="4"/>
  <c r="H373" i="4"/>
  <c r="R372" i="4"/>
  <c r="Q372" i="4"/>
  <c r="L372" i="4"/>
  <c r="M372" i="4" s="1"/>
  <c r="I372" i="4"/>
  <c r="H372" i="4"/>
  <c r="R371" i="4"/>
  <c r="Q371" i="4"/>
  <c r="L371" i="4"/>
  <c r="M371" i="4" s="1"/>
  <c r="I371" i="4"/>
  <c r="H371" i="4"/>
  <c r="R370" i="4"/>
  <c r="Q370" i="4"/>
  <c r="L370" i="4"/>
  <c r="M370" i="4" s="1"/>
  <c r="I370" i="4"/>
  <c r="H370" i="4"/>
  <c r="R369" i="4"/>
  <c r="Q369" i="4"/>
  <c r="L369" i="4"/>
  <c r="M369" i="4" s="1"/>
  <c r="I369" i="4"/>
  <c r="H369" i="4"/>
  <c r="R368" i="4"/>
  <c r="Q368" i="4"/>
  <c r="L368" i="4"/>
  <c r="M368" i="4" s="1"/>
  <c r="I368" i="4"/>
  <c r="H368" i="4"/>
  <c r="R367" i="4"/>
  <c r="Q367" i="4"/>
  <c r="L367" i="4"/>
  <c r="M367" i="4" s="1"/>
  <c r="I367" i="4"/>
  <c r="H367" i="4"/>
  <c r="R366" i="4"/>
  <c r="Q366" i="4"/>
  <c r="L366" i="4"/>
  <c r="M366" i="4" s="1"/>
  <c r="I366" i="4"/>
  <c r="H366" i="4"/>
  <c r="R365" i="4"/>
  <c r="Q365" i="4"/>
  <c r="L365" i="4"/>
  <c r="M365" i="4" s="1"/>
  <c r="I365" i="4"/>
  <c r="H365" i="4"/>
  <c r="R364" i="4"/>
  <c r="Q364" i="4"/>
  <c r="L364" i="4"/>
  <c r="M364" i="4" s="1"/>
  <c r="I364" i="4"/>
  <c r="H364" i="4"/>
  <c r="R363" i="4"/>
  <c r="Q363" i="4"/>
  <c r="L363" i="4"/>
  <c r="M363" i="4" s="1"/>
  <c r="I363" i="4"/>
  <c r="H363" i="4"/>
  <c r="R362" i="4"/>
  <c r="Q362" i="4"/>
  <c r="L362" i="4"/>
  <c r="M362" i="4" s="1"/>
  <c r="I362" i="4"/>
  <c r="H362" i="4"/>
  <c r="R361" i="4"/>
  <c r="Q361" i="4"/>
  <c r="L361" i="4"/>
  <c r="M361" i="4" s="1"/>
  <c r="I361" i="4"/>
  <c r="H361" i="4"/>
  <c r="R360" i="4"/>
  <c r="Q360" i="4"/>
  <c r="L360" i="4"/>
  <c r="M360" i="4" s="1"/>
  <c r="I360" i="4"/>
  <c r="H360" i="4"/>
  <c r="R359" i="4"/>
  <c r="Q359" i="4"/>
  <c r="L359" i="4"/>
  <c r="M359" i="4" s="1"/>
  <c r="I359" i="4"/>
  <c r="H359" i="4"/>
  <c r="R358" i="4"/>
  <c r="Q358" i="4"/>
  <c r="L358" i="4"/>
  <c r="M358" i="4" s="1"/>
  <c r="I358" i="4"/>
  <c r="H358" i="4"/>
  <c r="R357" i="4"/>
  <c r="Q357" i="4"/>
  <c r="L357" i="4"/>
  <c r="M357" i="4" s="1"/>
  <c r="I357" i="4"/>
  <c r="H357" i="4"/>
  <c r="R356" i="4"/>
  <c r="Q356" i="4"/>
  <c r="L356" i="4"/>
  <c r="M356" i="4" s="1"/>
  <c r="I356" i="4"/>
  <c r="H356" i="4"/>
  <c r="R355" i="4"/>
  <c r="Q355" i="4"/>
  <c r="L355" i="4"/>
  <c r="M355" i="4" s="1"/>
  <c r="I355" i="4"/>
  <c r="H355" i="4"/>
  <c r="R354" i="4"/>
  <c r="Q354" i="4"/>
  <c r="L354" i="4"/>
  <c r="M354" i="4" s="1"/>
  <c r="I354" i="4"/>
  <c r="H354" i="4"/>
  <c r="R353" i="4"/>
  <c r="Q353" i="4"/>
  <c r="L353" i="4"/>
  <c r="M353" i="4" s="1"/>
  <c r="I353" i="4"/>
  <c r="H353" i="4"/>
  <c r="R352" i="4"/>
  <c r="Q352" i="4"/>
  <c r="L352" i="4"/>
  <c r="M352" i="4" s="1"/>
  <c r="I352" i="4"/>
  <c r="H352" i="4"/>
  <c r="R351" i="4"/>
  <c r="Q351" i="4"/>
  <c r="L351" i="4"/>
  <c r="M351" i="4" s="1"/>
  <c r="I351" i="4"/>
  <c r="H351" i="4"/>
  <c r="R350" i="4"/>
  <c r="Q350" i="4"/>
  <c r="L350" i="4"/>
  <c r="M350" i="4" s="1"/>
  <c r="I350" i="4"/>
  <c r="H350" i="4"/>
  <c r="R349" i="4"/>
  <c r="Q349" i="4"/>
  <c r="L349" i="4"/>
  <c r="M349" i="4" s="1"/>
  <c r="I349" i="4"/>
  <c r="H349" i="4"/>
  <c r="R348" i="4"/>
  <c r="Q348" i="4"/>
  <c r="L348" i="4"/>
  <c r="M348" i="4" s="1"/>
  <c r="I348" i="4"/>
  <c r="H348" i="4"/>
  <c r="R347" i="4"/>
  <c r="Q347" i="4"/>
  <c r="L347" i="4"/>
  <c r="M347" i="4" s="1"/>
  <c r="I347" i="4"/>
  <c r="H347" i="4"/>
  <c r="R346" i="4"/>
  <c r="Q346" i="4"/>
  <c r="L346" i="4"/>
  <c r="M346" i="4" s="1"/>
  <c r="I346" i="4"/>
  <c r="H346" i="4"/>
  <c r="R345" i="4"/>
  <c r="Q345" i="4"/>
  <c r="L345" i="4"/>
  <c r="M345" i="4" s="1"/>
  <c r="I345" i="4"/>
  <c r="H345" i="4"/>
  <c r="R344" i="4"/>
  <c r="Q344" i="4"/>
  <c r="L344" i="4"/>
  <c r="M344" i="4" s="1"/>
  <c r="I344" i="4"/>
  <c r="H344" i="4"/>
  <c r="R343" i="4"/>
  <c r="Q343" i="4"/>
  <c r="L343" i="4"/>
  <c r="M343" i="4" s="1"/>
  <c r="I343" i="4"/>
  <c r="H343" i="4"/>
  <c r="R342" i="4"/>
  <c r="Q342" i="4"/>
  <c r="L342" i="4"/>
  <c r="M342" i="4" s="1"/>
  <c r="I342" i="4"/>
  <c r="H342" i="4"/>
  <c r="R341" i="4"/>
  <c r="Q341" i="4"/>
  <c r="L341" i="4"/>
  <c r="M341" i="4" s="1"/>
  <c r="I341" i="4"/>
  <c r="H341" i="4"/>
  <c r="R340" i="4"/>
  <c r="Q340" i="4"/>
  <c r="L340" i="4"/>
  <c r="M340" i="4" s="1"/>
  <c r="I340" i="4"/>
  <c r="H340" i="4"/>
  <c r="R339" i="4"/>
  <c r="Q339" i="4"/>
  <c r="L339" i="4"/>
  <c r="M339" i="4" s="1"/>
  <c r="I339" i="4"/>
  <c r="H339" i="4"/>
  <c r="R338" i="4"/>
  <c r="Q338" i="4"/>
  <c r="L338" i="4"/>
  <c r="M338" i="4" s="1"/>
  <c r="I338" i="4"/>
  <c r="H338" i="4"/>
  <c r="R337" i="4"/>
  <c r="Q337" i="4"/>
  <c r="L337" i="4"/>
  <c r="M337" i="4" s="1"/>
  <c r="I337" i="4"/>
  <c r="H337" i="4"/>
  <c r="R336" i="4"/>
  <c r="Q336" i="4"/>
  <c r="L336" i="4"/>
  <c r="M336" i="4" s="1"/>
  <c r="I336" i="4"/>
  <c r="H336" i="4"/>
  <c r="R335" i="4"/>
  <c r="Q335" i="4"/>
  <c r="L335" i="4"/>
  <c r="M335" i="4" s="1"/>
  <c r="I335" i="4"/>
  <c r="H335" i="4"/>
  <c r="R334" i="4"/>
  <c r="Q334" i="4"/>
  <c r="L334" i="4"/>
  <c r="M334" i="4" s="1"/>
  <c r="I334" i="4"/>
  <c r="H334" i="4"/>
  <c r="R333" i="4"/>
  <c r="Q333" i="4"/>
  <c r="L333" i="4"/>
  <c r="M333" i="4" s="1"/>
  <c r="I333" i="4"/>
  <c r="H333" i="4"/>
  <c r="R332" i="4"/>
  <c r="Q332" i="4"/>
  <c r="L332" i="4"/>
  <c r="M332" i="4" s="1"/>
  <c r="I332" i="4"/>
  <c r="H332" i="4"/>
  <c r="R331" i="4"/>
  <c r="Q331" i="4"/>
  <c r="L331" i="4"/>
  <c r="M331" i="4" s="1"/>
  <c r="I331" i="4"/>
  <c r="H331" i="4"/>
  <c r="R330" i="4"/>
  <c r="Q330" i="4"/>
  <c r="L330" i="4"/>
  <c r="M330" i="4" s="1"/>
  <c r="I330" i="4"/>
  <c r="H330" i="4"/>
  <c r="R329" i="4"/>
  <c r="Q329" i="4"/>
  <c r="L329" i="4"/>
  <c r="M329" i="4" s="1"/>
  <c r="I329" i="4"/>
  <c r="H329" i="4"/>
  <c r="R328" i="4"/>
  <c r="Q328" i="4"/>
  <c r="L328" i="4"/>
  <c r="M328" i="4" s="1"/>
  <c r="I328" i="4"/>
  <c r="H328" i="4"/>
  <c r="R327" i="4"/>
  <c r="Q327" i="4"/>
  <c r="L327" i="4"/>
  <c r="M327" i="4" s="1"/>
  <c r="I327" i="4"/>
  <c r="H327" i="4"/>
  <c r="R326" i="4"/>
  <c r="Q326" i="4"/>
  <c r="L326" i="4"/>
  <c r="M326" i="4" s="1"/>
  <c r="I326" i="4"/>
  <c r="H326" i="4"/>
  <c r="R325" i="4"/>
  <c r="Q325" i="4"/>
  <c r="L325" i="4"/>
  <c r="M325" i="4" s="1"/>
  <c r="I325" i="4"/>
  <c r="H325" i="4"/>
  <c r="R324" i="4"/>
  <c r="Q324" i="4"/>
  <c r="L324" i="4"/>
  <c r="M324" i="4" s="1"/>
  <c r="I324" i="4"/>
  <c r="H324" i="4"/>
  <c r="R323" i="4"/>
  <c r="Q323" i="4"/>
  <c r="L323" i="4"/>
  <c r="M323" i="4" s="1"/>
  <c r="I323" i="4"/>
  <c r="H323" i="4"/>
  <c r="R322" i="4"/>
  <c r="Q322" i="4"/>
  <c r="L322" i="4"/>
  <c r="M322" i="4" s="1"/>
  <c r="I322" i="4"/>
  <c r="H322" i="4"/>
  <c r="R321" i="4"/>
  <c r="Q321" i="4"/>
  <c r="L321" i="4"/>
  <c r="M321" i="4" s="1"/>
  <c r="I321" i="4"/>
  <c r="H321" i="4"/>
  <c r="R320" i="4"/>
  <c r="Q320" i="4"/>
  <c r="L320" i="4"/>
  <c r="M320" i="4" s="1"/>
  <c r="I320" i="4"/>
  <c r="H320" i="4"/>
  <c r="R319" i="4"/>
  <c r="Q319" i="4"/>
  <c r="L319" i="4"/>
  <c r="M319" i="4" s="1"/>
  <c r="I319" i="4"/>
  <c r="H319" i="4"/>
  <c r="R318" i="4"/>
  <c r="Q318" i="4"/>
  <c r="L318" i="4"/>
  <c r="M318" i="4" s="1"/>
  <c r="I318" i="4"/>
  <c r="H318" i="4"/>
  <c r="R317" i="4"/>
  <c r="Q317" i="4"/>
  <c r="L317" i="4"/>
  <c r="M317" i="4" s="1"/>
  <c r="I317" i="4"/>
  <c r="H317" i="4"/>
  <c r="R316" i="4"/>
  <c r="Q316" i="4"/>
  <c r="L316" i="4"/>
  <c r="M316" i="4" s="1"/>
  <c r="I316" i="4"/>
  <c r="H316" i="4"/>
  <c r="R315" i="4"/>
  <c r="Q315" i="4"/>
  <c r="L315" i="4"/>
  <c r="M315" i="4" s="1"/>
  <c r="I315" i="4"/>
  <c r="H315" i="4"/>
  <c r="R314" i="4"/>
  <c r="Q314" i="4"/>
  <c r="L314" i="4"/>
  <c r="M314" i="4" s="1"/>
  <c r="I314" i="4"/>
  <c r="H314" i="4"/>
  <c r="R313" i="4"/>
  <c r="Q313" i="4"/>
  <c r="L313" i="4"/>
  <c r="M313" i="4" s="1"/>
  <c r="I313" i="4"/>
  <c r="H313" i="4"/>
  <c r="R312" i="4"/>
  <c r="Q312" i="4"/>
  <c r="L312" i="4"/>
  <c r="M312" i="4" s="1"/>
  <c r="I312" i="4"/>
  <c r="H312" i="4"/>
  <c r="R311" i="4"/>
  <c r="Q311" i="4"/>
  <c r="L311" i="4"/>
  <c r="M311" i="4" s="1"/>
  <c r="I311" i="4"/>
  <c r="H311" i="4"/>
  <c r="R310" i="4"/>
  <c r="Q310" i="4"/>
  <c r="L310" i="4"/>
  <c r="M310" i="4" s="1"/>
  <c r="I310" i="4"/>
  <c r="H310" i="4"/>
  <c r="R309" i="4"/>
  <c r="Q309" i="4"/>
  <c r="L309" i="4"/>
  <c r="M309" i="4" s="1"/>
  <c r="I309" i="4"/>
  <c r="H309" i="4"/>
  <c r="R308" i="4"/>
  <c r="Q308" i="4"/>
  <c r="L308" i="4"/>
  <c r="M308" i="4" s="1"/>
  <c r="I308" i="4"/>
  <c r="H308" i="4"/>
  <c r="R307" i="4"/>
  <c r="Q307" i="4"/>
  <c r="L307" i="4"/>
  <c r="M307" i="4" s="1"/>
  <c r="I307" i="4"/>
  <c r="H307" i="4"/>
  <c r="R306" i="4"/>
  <c r="Q306" i="4"/>
  <c r="L306" i="4"/>
  <c r="M306" i="4" s="1"/>
  <c r="I306" i="4"/>
  <c r="H306" i="4"/>
  <c r="R305" i="4"/>
  <c r="Q305" i="4"/>
  <c r="L305" i="4"/>
  <c r="M305" i="4" s="1"/>
  <c r="I305" i="4"/>
  <c r="H305" i="4"/>
  <c r="R304" i="4"/>
  <c r="Q304" i="4"/>
  <c r="L304" i="4"/>
  <c r="M304" i="4" s="1"/>
  <c r="I304" i="4"/>
  <c r="H304" i="4"/>
  <c r="R303" i="4"/>
  <c r="Q303" i="4"/>
  <c r="L303" i="4"/>
  <c r="M303" i="4" s="1"/>
  <c r="I303" i="4"/>
  <c r="H303" i="4"/>
  <c r="R302" i="4"/>
  <c r="Q302" i="4"/>
  <c r="L302" i="4"/>
  <c r="M302" i="4" s="1"/>
  <c r="I302" i="4"/>
  <c r="H302" i="4"/>
  <c r="R301" i="4"/>
  <c r="Q301" i="4"/>
  <c r="L301" i="4"/>
  <c r="M301" i="4" s="1"/>
  <c r="I301" i="4"/>
  <c r="H301" i="4"/>
  <c r="R300" i="4"/>
  <c r="Q300" i="4"/>
  <c r="L300" i="4"/>
  <c r="M300" i="4" s="1"/>
  <c r="I300" i="4"/>
  <c r="H300" i="4"/>
  <c r="R299" i="4"/>
  <c r="Q299" i="4"/>
  <c r="L299" i="4"/>
  <c r="M299" i="4" s="1"/>
  <c r="I299" i="4"/>
  <c r="H299" i="4"/>
  <c r="R298" i="4"/>
  <c r="Q298" i="4"/>
  <c r="L298" i="4"/>
  <c r="M298" i="4" s="1"/>
  <c r="I298" i="4"/>
  <c r="H298" i="4"/>
  <c r="R297" i="4"/>
  <c r="Q297" i="4"/>
  <c r="L297" i="4"/>
  <c r="M297" i="4" s="1"/>
  <c r="I297" i="4"/>
  <c r="H297" i="4"/>
  <c r="R296" i="4"/>
  <c r="Q296" i="4"/>
  <c r="L296" i="4"/>
  <c r="M296" i="4" s="1"/>
  <c r="I296" i="4"/>
  <c r="H296" i="4"/>
  <c r="R295" i="4"/>
  <c r="Q295" i="4"/>
  <c r="L295" i="4"/>
  <c r="M295" i="4" s="1"/>
  <c r="I295" i="4"/>
  <c r="H295" i="4"/>
  <c r="R294" i="4"/>
  <c r="Q294" i="4"/>
  <c r="L294" i="4"/>
  <c r="M294" i="4" s="1"/>
  <c r="I294" i="4"/>
  <c r="H294" i="4"/>
  <c r="R293" i="4"/>
  <c r="Q293" i="4"/>
  <c r="L293" i="4"/>
  <c r="M293" i="4" s="1"/>
  <c r="I293" i="4"/>
  <c r="H293" i="4"/>
  <c r="R292" i="4"/>
  <c r="Q292" i="4"/>
  <c r="L292" i="4"/>
  <c r="M292" i="4" s="1"/>
  <c r="I292" i="4"/>
  <c r="H292" i="4"/>
  <c r="R291" i="4"/>
  <c r="Q291" i="4"/>
  <c r="L291" i="4"/>
  <c r="M291" i="4" s="1"/>
  <c r="I291" i="4"/>
  <c r="H291" i="4"/>
  <c r="R290" i="4"/>
  <c r="Q290" i="4"/>
  <c r="L290" i="4"/>
  <c r="M290" i="4" s="1"/>
  <c r="I290" i="4"/>
  <c r="H290" i="4"/>
  <c r="R289" i="4"/>
  <c r="Q289" i="4"/>
  <c r="L289" i="4"/>
  <c r="M289" i="4" s="1"/>
  <c r="I289" i="4"/>
  <c r="H289" i="4"/>
  <c r="R288" i="4"/>
  <c r="Q288" i="4"/>
  <c r="L288" i="4"/>
  <c r="M288" i="4" s="1"/>
  <c r="I288" i="4"/>
  <c r="H288" i="4"/>
  <c r="R287" i="4"/>
  <c r="Q287" i="4"/>
  <c r="L287" i="4"/>
  <c r="M287" i="4" s="1"/>
  <c r="I287" i="4"/>
  <c r="H287" i="4"/>
  <c r="R286" i="4"/>
  <c r="Q286" i="4"/>
  <c r="L286" i="4"/>
  <c r="M286" i="4" s="1"/>
  <c r="I286" i="4"/>
  <c r="H286" i="4"/>
  <c r="R285" i="4"/>
  <c r="Q285" i="4"/>
  <c r="L285" i="4"/>
  <c r="M285" i="4" s="1"/>
  <c r="I285" i="4"/>
  <c r="H285" i="4"/>
  <c r="R284" i="4"/>
  <c r="Q284" i="4"/>
  <c r="L284" i="4"/>
  <c r="M284" i="4" s="1"/>
  <c r="I284" i="4"/>
  <c r="H284" i="4"/>
  <c r="R283" i="4"/>
  <c r="Q283" i="4"/>
  <c r="L283" i="4"/>
  <c r="M283" i="4" s="1"/>
  <c r="I283" i="4"/>
  <c r="H283" i="4"/>
  <c r="R282" i="4"/>
  <c r="Q282" i="4"/>
  <c r="L282" i="4"/>
  <c r="M282" i="4" s="1"/>
  <c r="I282" i="4"/>
  <c r="H282" i="4"/>
  <c r="R281" i="4"/>
  <c r="Q281" i="4"/>
  <c r="L281" i="4"/>
  <c r="M281" i="4" s="1"/>
  <c r="I281" i="4"/>
  <c r="H281" i="4"/>
  <c r="R280" i="4"/>
  <c r="Q280" i="4"/>
  <c r="L280" i="4"/>
  <c r="M280" i="4" s="1"/>
  <c r="I280" i="4"/>
  <c r="H280" i="4"/>
  <c r="R279" i="4"/>
  <c r="Q279" i="4"/>
  <c r="L279" i="4"/>
  <c r="M279" i="4" s="1"/>
  <c r="I279" i="4"/>
  <c r="H279" i="4"/>
  <c r="R278" i="4"/>
  <c r="Q278" i="4"/>
  <c r="L278" i="4"/>
  <c r="M278" i="4" s="1"/>
  <c r="I278" i="4"/>
  <c r="H278" i="4"/>
  <c r="R277" i="4"/>
  <c r="Q277" i="4"/>
  <c r="L277" i="4"/>
  <c r="M277" i="4" s="1"/>
  <c r="I277" i="4"/>
  <c r="H277" i="4"/>
  <c r="R276" i="4"/>
  <c r="Q276" i="4"/>
  <c r="L276" i="4"/>
  <c r="M276" i="4" s="1"/>
  <c r="I276" i="4"/>
  <c r="H276" i="4"/>
  <c r="R275" i="4"/>
  <c r="Q275" i="4"/>
  <c r="L275" i="4"/>
  <c r="M275" i="4" s="1"/>
  <c r="I275" i="4"/>
  <c r="H275" i="4"/>
  <c r="R274" i="4"/>
  <c r="Q274" i="4"/>
  <c r="L274" i="4"/>
  <c r="M274" i="4" s="1"/>
  <c r="I274" i="4"/>
  <c r="H274" i="4"/>
  <c r="R273" i="4"/>
  <c r="Q273" i="4"/>
  <c r="L273" i="4"/>
  <c r="M273" i="4" s="1"/>
  <c r="I273" i="4"/>
  <c r="H273" i="4"/>
  <c r="R272" i="4"/>
  <c r="Q272" i="4"/>
  <c r="L272" i="4"/>
  <c r="M272" i="4" s="1"/>
  <c r="I272" i="4"/>
  <c r="H272" i="4"/>
  <c r="R271" i="4"/>
  <c r="Q271" i="4"/>
  <c r="L271" i="4"/>
  <c r="M271" i="4" s="1"/>
  <c r="I271" i="4"/>
  <c r="H271" i="4"/>
  <c r="R270" i="4"/>
  <c r="Q270" i="4"/>
  <c r="L270" i="4"/>
  <c r="M270" i="4" s="1"/>
  <c r="I270" i="4"/>
  <c r="H270" i="4"/>
  <c r="R269" i="4"/>
  <c r="Q269" i="4"/>
  <c r="L269" i="4"/>
  <c r="M269" i="4" s="1"/>
  <c r="I269" i="4"/>
  <c r="H269" i="4"/>
  <c r="R268" i="4"/>
  <c r="Q268" i="4"/>
  <c r="L268" i="4"/>
  <c r="M268" i="4" s="1"/>
  <c r="I268" i="4"/>
  <c r="H268" i="4"/>
  <c r="R267" i="4"/>
  <c r="Q267" i="4"/>
  <c r="L267" i="4"/>
  <c r="M267" i="4" s="1"/>
  <c r="I267" i="4"/>
  <c r="H267" i="4"/>
  <c r="R266" i="4"/>
  <c r="Q266" i="4"/>
  <c r="L266" i="4"/>
  <c r="M266" i="4" s="1"/>
  <c r="I266" i="4"/>
  <c r="H266" i="4"/>
  <c r="R265" i="4"/>
  <c r="Q265" i="4"/>
  <c r="L265" i="4"/>
  <c r="M265" i="4" s="1"/>
  <c r="I265" i="4"/>
  <c r="H265" i="4"/>
  <c r="R264" i="4"/>
  <c r="Q264" i="4"/>
  <c r="L264" i="4"/>
  <c r="M264" i="4" s="1"/>
  <c r="I264" i="4"/>
  <c r="H264" i="4"/>
  <c r="R263" i="4"/>
  <c r="Q263" i="4"/>
  <c r="L263" i="4"/>
  <c r="M263" i="4" s="1"/>
  <c r="I263" i="4"/>
  <c r="H263" i="4"/>
  <c r="R262" i="4"/>
  <c r="Q262" i="4"/>
  <c r="L262" i="4"/>
  <c r="M262" i="4" s="1"/>
  <c r="I262" i="4"/>
  <c r="H262" i="4"/>
  <c r="R261" i="4"/>
  <c r="Q261" i="4"/>
  <c r="L261" i="4"/>
  <c r="M261" i="4" s="1"/>
  <c r="I261" i="4"/>
  <c r="H261" i="4"/>
  <c r="R260" i="4"/>
  <c r="Q260" i="4"/>
  <c r="L260" i="4"/>
  <c r="M260" i="4" s="1"/>
  <c r="I260" i="4"/>
  <c r="H260" i="4"/>
  <c r="R259" i="4"/>
  <c r="Q259" i="4"/>
  <c r="L259" i="4"/>
  <c r="M259" i="4" s="1"/>
  <c r="I259" i="4"/>
  <c r="H259" i="4"/>
  <c r="R258" i="4"/>
  <c r="Q258" i="4"/>
  <c r="L258" i="4"/>
  <c r="M258" i="4" s="1"/>
  <c r="I258" i="4"/>
  <c r="H258" i="4"/>
  <c r="R257" i="4"/>
  <c r="Q257" i="4"/>
  <c r="L257" i="4"/>
  <c r="M257" i="4" s="1"/>
  <c r="I257" i="4"/>
  <c r="H257" i="4"/>
  <c r="R256" i="4"/>
  <c r="Q256" i="4"/>
  <c r="L256" i="4"/>
  <c r="M256" i="4" s="1"/>
  <c r="I256" i="4"/>
  <c r="H256" i="4"/>
  <c r="R255" i="4"/>
  <c r="Q255" i="4"/>
  <c r="L255" i="4"/>
  <c r="M255" i="4" s="1"/>
  <c r="I255" i="4"/>
  <c r="H255" i="4"/>
  <c r="R254" i="4"/>
  <c r="Q254" i="4"/>
  <c r="L254" i="4"/>
  <c r="M254" i="4" s="1"/>
  <c r="I254" i="4"/>
  <c r="H254" i="4"/>
  <c r="R253" i="4"/>
  <c r="Q253" i="4"/>
  <c r="L253" i="4"/>
  <c r="M253" i="4" s="1"/>
  <c r="I253" i="4"/>
  <c r="H253" i="4"/>
  <c r="R252" i="4"/>
  <c r="Q252" i="4"/>
  <c r="L252" i="4"/>
  <c r="M252" i="4" s="1"/>
  <c r="I252" i="4"/>
  <c r="H252" i="4"/>
  <c r="R251" i="4"/>
  <c r="Q251" i="4"/>
  <c r="L251" i="4"/>
  <c r="M251" i="4" s="1"/>
  <c r="I251" i="4"/>
  <c r="H251" i="4"/>
  <c r="R250" i="4"/>
  <c r="Q250" i="4"/>
  <c r="L250" i="4"/>
  <c r="M250" i="4" s="1"/>
  <c r="I250" i="4"/>
  <c r="H250" i="4"/>
  <c r="R249" i="4"/>
  <c r="Q249" i="4"/>
  <c r="L249" i="4"/>
  <c r="M249" i="4" s="1"/>
  <c r="I249" i="4"/>
  <c r="H249" i="4"/>
  <c r="R248" i="4"/>
  <c r="Q248" i="4"/>
  <c r="L248" i="4"/>
  <c r="M248" i="4" s="1"/>
  <c r="I248" i="4"/>
  <c r="H248" i="4"/>
  <c r="R247" i="4"/>
  <c r="Q247" i="4"/>
  <c r="L247" i="4"/>
  <c r="M247" i="4" s="1"/>
  <c r="I247" i="4"/>
  <c r="H247" i="4"/>
  <c r="R246" i="4"/>
  <c r="Q246" i="4"/>
  <c r="L246" i="4"/>
  <c r="M246" i="4" s="1"/>
  <c r="I246" i="4"/>
  <c r="H246" i="4"/>
  <c r="R245" i="4"/>
  <c r="Q245" i="4"/>
  <c r="L245" i="4"/>
  <c r="M245" i="4" s="1"/>
  <c r="I245" i="4"/>
  <c r="H245" i="4"/>
  <c r="R244" i="4"/>
  <c r="Q244" i="4"/>
  <c r="L244" i="4"/>
  <c r="M244" i="4" s="1"/>
  <c r="I244" i="4"/>
  <c r="H244" i="4"/>
  <c r="R243" i="4"/>
  <c r="Q243" i="4"/>
  <c r="L243" i="4"/>
  <c r="M243" i="4" s="1"/>
  <c r="I243" i="4"/>
  <c r="H243" i="4"/>
  <c r="R242" i="4"/>
  <c r="Q242" i="4"/>
  <c r="L242" i="4"/>
  <c r="M242" i="4" s="1"/>
  <c r="I242" i="4"/>
  <c r="H242" i="4"/>
  <c r="R241" i="4"/>
  <c r="Q241" i="4"/>
  <c r="L241" i="4"/>
  <c r="M241" i="4" s="1"/>
  <c r="I241" i="4"/>
  <c r="H241" i="4"/>
  <c r="R240" i="4"/>
  <c r="Q240" i="4"/>
  <c r="L240" i="4"/>
  <c r="M240" i="4" s="1"/>
  <c r="I240" i="4"/>
  <c r="H240" i="4"/>
  <c r="R239" i="4"/>
  <c r="Q239" i="4"/>
  <c r="L239" i="4"/>
  <c r="M239" i="4" s="1"/>
  <c r="I239" i="4"/>
  <c r="H239" i="4"/>
  <c r="R238" i="4"/>
  <c r="Q238" i="4"/>
  <c r="L238" i="4"/>
  <c r="M238" i="4" s="1"/>
  <c r="I238" i="4"/>
  <c r="H238" i="4"/>
  <c r="R237" i="4"/>
  <c r="Q237" i="4"/>
  <c r="L237" i="4"/>
  <c r="M237" i="4" s="1"/>
  <c r="I237" i="4"/>
  <c r="H237" i="4"/>
  <c r="R236" i="4"/>
  <c r="Q236" i="4"/>
  <c r="L236" i="4"/>
  <c r="M236" i="4" s="1"/>
  <c r="I236" i="4"/>
  <c r="H236" i="4"/>
  <c r="R235" i="4"/>
  <c r="Q235" i="4"/>
  <c r="L235" i="4"/>
  <c r="M235" i="4" s="1"/>
  <c r="I235" i="4"/>
  <c r="H235" i="4"/>
  <c r="R234" i="4"/>
  <c r="Q234" i="4"/>
  <c r="L234" i="4"/>
  <c r="M234" i="4" s="1"/>
  <c r="I234" i="4"/>
  <c r="H234" i="4"/>
  <c r="R233" i="4"/>
  <c r="Q233" i="4"/>
  <c r="L233" i="4"/>
  <c r="M233" i="4" s="1"/>
  <c r="I233" i="4"/>
  <c r="H233" i="4"/>
  <c r="R232" i="4"/>
  <c r="Q232" i="4"/>
  <c r="L232" i="4"/>
  <c r="M232" i="4" s="1"/>
  <c r="I232" i="4"/>
  <c r="H232" i="4"/>
  <c r="R231" i="4"/>
  <c r="Q231" i="4"/>
  <c r="L231" i="4"/>
  <c r="M231" i="4" s="1"/>
  <c r="I231" i="4"/>
  <c r="H231" i="4"/>
  <c r="R230" i="4"/>
  <c r="Q230" i="4"/>
  <c r="L230" i="4"/>
  <c r="M230" i="4" s="1"/>
  <c r="I230" i="4"/>
  <c r="H230" i="4"/>
  <c r="R229" i="4"/>
  <c r="Q229" i="4"/>
  <c r="L229" i="4"/>
  <c r="M229" i="4" s="1"/>
  <c r="I229" i="4"/>
  <c r="H229" i="4"/>
  <c r="R228" i="4"/>
  <c r="Q228" i="4"/>
  <c r="L228" i="4"/>
  <c r="M228" i="4" s="1"/>
  <c r="I228" i="4"/>
  <c r="H228" i="4"/>
  <c r="R227" i="4"/>
  <c r="Q227" i="4"/>
  <c r="L227" i="4"/>
  <c r="M227" i="4" s="1"/>
  <c r="I227" i="4"/>
  <c r="H227" i="4"/>
  <c r="R226" i="4"/>
  <c r="Q226" i="4"/>
  <c r="L226" i="4"/>
  <c r="M226" i="4" s="1"/>
  <c r="I226" i="4"/>
  <c r="H226" i="4"/>
  <c r="R225" i="4"/>
  <c r="Q225" i="4"/>
  <c r="L225" i="4"/>
  <c r="M225" i="4" s="1"/>
  <c r="I225" i="4"/>
  <c r="H225" i="4"/>
  <c r="R224" i="4"/>
  <c r="Q224" i="4"/>
  <c r="L224" i="4"/>
  <c r="M224" i="4" s="1"/>
  <c r="I224" i="4"/>
  <c r="H224" i="4"/>
  <c r="R223" i="4"/>
  <c r="Q223" i="4"/>
  <c r="L223" i="4"/>
  <c r="M223" i="4" s="1"/>
  <c r="I223" i="4"/>
  <c r="H223" i="4"/>
  <c r="R222" i="4"/>
  <c r="Q222" i="4"/>
  <c r="L222" i="4"/>
  <c r="M222" i="4" s="1"/>
  <c r="I222" i="4"/>
  <c r="H222" i="4"/>
  <c r="R221" i="4"/>
  <c r="Q221" i="4"/>
  <c r="L221" i="4"/>
  <c r="M221" i="4" s="1"/>
  <c r="I221" i="4"/>
  <c r="H221" i="4"/>
  <c r="R220" i="4"/>
  <c r="Q220" i="4"/>
  <c r="L220" i="4"/>
  <c r="M220" i="4" s="1"/>
  <c r="I220" i="4"/>
  <c r="H220" i="4"/>
  <c r="R219" i="4"/>
  <c r="Q219" i="4"/>
  <c r="L219" i="4"/>
  <c r="M219" i="4" s="1"/>
  <c r="I219" i="4"/>
  <c r="H219" i="4"/>
  <c r="R218" i="4"/>
  <c r="Q218" i="4"/>
  <c r="L218" i="4"/>
  <c r="M218" i="4" s="1"/>
  <c r="I218" i="4"/>
  <c r="H218" i="4"/>
  <c r="R217" i="4"/>
  <c r="Q217" i="4"/>
  <c r="L217" i="4"/>
  <c r="M217" i="4" s="1"/>
  <c r="I217" i="4"/>
  <c r="H217" i="4"/>
  <c r="R216" i="4"/>
  <c r="Q216" i="4"/>
  <c r="L216" i="4"/>
  <c r="M216" i="4" s="1"/>
  <c r="I216" i="4"/>
  <c r="H216" i="4"/>
  <c r="R215" i="4"/>
  <c r="Q215" i="4"/>
  <c r="L215" i="4"/>
  <c r="M215" i="4" s="1"/>
  <c r="I215" i="4"/>
  <c r="H215" i="4"/>
  <c r="R214" i="4"/>
  <c r="Q214" i="4"/>
  <c r="L214" i="4"/>
  <c r="M214" i="4" s="1"/>
  <c r="I214" i="4"/>
  <c r="H214" i="4"/>
  <c r="R213" i="4"/>
  <c r="Q213" i="4"/>
  <c r="L213" i="4"/>
  <c r="M213" i="4" s="1"/>
  <c r="I213" i="4"/>
  <c r="H213" i="4"/>
  <c r="R212" i="4"/>
  <c r="Q212" i="4"/>
  <c r="L212" i="4"/>
  <c r="M212" i="4" s="1"/>
  <c r="I212" i="4"/>
  <c r="H212" i="4"/>
  <c r="R211" i="4"/>
  <c r="Q211" i="4"/>
  <c r="L211" i="4"/>
  <c r="M211" i="4" s="1"/>
  <c r="I211" i="4"/>
  <c r="H211" i="4"/>
  <c r="R210" i="4"/>
  <c r="Q210" i="4"/>
  <c r="L210" i="4"/>
  <c r="M210" i="4" s="1"/>
  <c r="I210" i="4"/>
  <c r="H210" i="4"/>
  <c r="R209" i="4"/>
  <c r="Q209" i="4"/>
  <c r="L209" i="4"/>
  <c r="M209" i="4" s="1"/>
  <c r="I209" i="4"/>
  <c r="H209" i="4"/>
  <c r="R208" i="4"/>
  <c r="Q208" i="4"/>
  <c r="L208" i="4"/>
  <c r="M208" i="4" s="1"/>
  <c r="I208" i="4"/>
  <c r="H208" i="4"/>
  <c r="R207" i="4"/>
  <c r="Q207" i="4"/>
  <c r="L207" i="4"/>
  <c r="M207" i="4" s="1"/>
  <c r="I207" i="4"/>
  <c r="H207" i="4"/>
  <c r="R206" i="4"/>
  <c r="Q206" i="4"/>
  <c r="L206" i="4"/>
  <c r="M206" i="4" s="1"/>
  <c r="I206" i="4"/>
  <c r="H206" i="4"/>
  <c r="R205" i="4"/>
  <c r="Q205" i="4"/>
  <c r="L205" i="4"/>
  <c r="M205" i="4" s="1"/>
  <c r="I205" i="4"/>
  <c r="H205" i="4"/>
  <c r="R204" i="4"/>
  <c r="Q204" i="4"/>
  <c r="L204" i="4"/>
  <c r="M204" i="4" s="1"/>
  <c r="I204" i="4"/>
  <c r="H204" i="4"/>
  <c r="R203" i="4"/>
  <c r="Q203" i="4"/>
  <c r="L203" i="4"/>
  <c r="M203" i="4" s="1"/>
  <c r="I203" i="4"/>
  <c r="H203" i="4"/>
  <c r="R202" i="4"/>
  <c r="Q202" i="4"/>
  <c r="L202" i="4"/>
  <c r="M202" i="4" s="1"/>
  <c r="I202" i="4"/>
  <c r="H202" i="4"/>
  <c r="R201" i="4"/>
  <c r="Q201" i="4"/>
  <c r="L201" i="4"/>
  <c r="M201" i="4" s="1"/>
  <c r="I201" i="4"/>
  <c r="H201" i="4"/>
  <c r="R200" i="4"/>
  <c r="Q200" i="4"/>
  <c r="L200" i="4"/>
  <c r="M200" i="4" s="1"/>
  <c r="I200" i="4"/>
  <c r="H200" i="4"/>
  <c r="R199" i="4"/>
  <c r="Q199" i="4"/>
  <c r="L199" i="4"/>
  <c r="M199" i="4" s="1"/>
  <c r="I199" i="4"/>
  <c r="H199" i="4"/>
  <c r="R198" i="4"/>
  <c r="Q198" i="4"/>
  <c r="L198" i="4"/>
  <c r="M198" i="4" s="1"/>
  <c r="I198" i="4"/>
  <c r="H198" i="4"/>
  <c r="R197" i="4"/>
  <c r="Q197" i="4"/>
  <c r="L197" i="4"/>
  <c r="M197" i="4" s="1"/>
  <c r="I197" i="4"/>
  <c r="H197" i="4"/>
  <c r="R196" i="4"/>
  <c r="Q196" i="4"/>
  <c r="L196" i="4"/>
  <c r="M196" i="4" s="1"/>
  <c r="I196" i="4"/>
  <c r="H196" i="4"/>
  <c r="R195" i="4"/>
  <c r="Q195" i="4"/>
  <c r="L195" i="4"/>
  <c r="M195" i="4" s="1"/>
  <c r="I195" i="4"/>
  <c r="H195" i="4"/>
  <c r="R194" i="4"/>
  <c r="Q194" i="4"/>
  <c r="L194" i="4"/>
  <c r="M194" i="4" s="1"/>
  <c r="I194" i="4"/>
  <c r="H194" i="4"/>
  <c r="R193" i="4"/>
  <c r="Q193" i="4"/>
  <c r="L193" i="4"/>
  <c r="M193" i="4" s="1"/>
  <c r="I193" i="4"/>
  <c r="H193" i="4"/>
  <c r="R192" i="4"/>
  <c r="Q192" i="4"/>
  <c r="L192" i="4"/>
  <c r="M192" i="4" s="1"/>
  <c r="I192" i="4"/>
  <c r="H192" i="4"/>
  <c r="R191" i="4"/>
  <c r="Q191" i="4"/>
  <c r="L191" i="4"/>
  <c r="M191" i="4" s="1"/>
  <c r="I191" i="4"/>
  <c r="H191" i="4"/>
  <c r="R190" i="4"/>
  <c r="Q190" i="4"/>
  <c r="L190" i="4"/>
  <c r="M190" i="4" s="1"/>
  <c r="I190" i="4"/>
  <c r="H190" i="4"/>
  <c r="R189" i="4"/>
  <c r="Q189" i="4"/>
  <c r="L189" i="4"/>
  <c r="M189" i="4" s="1"/>
  <c r="I189" i="4"/>
  <c r="H189" i="4"/>
  <c r="R188" i="4"/>
  <c r="Q188" i="4"/>
  <c r="L188" i="4"/>
  <c r="M188" i="4" s="1"/>
  <c r="I188" i="4"/>
  <c r="H188" i="4"/>
  <c r="R187" i="4"/>
  <c r="Q187" i="4"/>
  <c r="L187" i="4"/>
  <c r="M187" i="4" s="1"/>
  <c r="I187" i="4"/>
  <c r="H187" i="4"/>
  <c r="R186" i="4"/>
  <c r="Q186" i="4"/>
  <c r="L186" i="4"/>
  <c r="M186" i="4" s="1"/>
  <c r="I186" i="4"/>
  <c r="H186" i="4"/>
  <c r="R185" i="4"/>
  <c r="Q185" i="4"/>
  <c r="L185" i="4"/>
  <c r="M185" i="4" s="1"/>
  <c r="I185" i="4"/>
  <c r="H185" i="4"/>
  <c r="R184" i="4"/>
  <c r="Q184" i="4"/>
  <c r="L184" i="4"/>
  <c r="M184" i="4" s="1"/>
  <c r="I184" i="4"/>
  <c r="H184" i="4"/>
  <c r="R183" i="4"/>
  <c r="Q183" i="4"/>
  <c r="L183" i="4"/>
  <c r="M183" i="4" s="1"/>
  <c r="I183" i="4"/>
  <c r="H183" i="4"/>
  <c r="R182" i="4"/>
  <c r="Q182" i="4"/>
  <c r="L182" i="4"/>
  <c r="M182" i="4" s="1"/>
  <c r="I182" i="4"/>
  <c r="H182" i="4"/>
  <c r="R181" i="4"/>
  <c r="Q181" i="4"/>
  <c r="L181" i="4"/>
  <c r="M181" i="4" s="1"/>
  <c r="I181" i="4"/>
  <c r="H181" i="4"/>
  <c r="R180" i="4"/>
  <c r="Q180" i="4"/>
  <c r="L180" i="4"/>
  <c r="M180" i="4" s="1"/>
  <c r="I180" i="4"/>
  <c r="H180" i="4"/>
  <c r="R179" i="4"/>
  <c r="Q179" i="4"/>
  <c r="L179" i="4"/>
  <c r="M179" i="4" s="1"/>
  <c r="I179" i="4"/>
  <c r="H179" i="4"/>
  <c r="R178" i="4"/>
  <c r="Q178" i="4"/>
  <c r="L178" i="4"/>
  <c r="M178" i="4" s="1"/>
  <c r="I178" i="4"/>
  <c r="H178" i="4"/>
  <c r="R177" i="4"/>
  <c r="Q177" i="4"/>
  <c r="L177" i="4"/>
  <c r="M177" i="4" s="1"/>
  <c r="I177" i="4"/>
  <c r="H177" i="4"/>
  <c r="R176" i="4"/>
  <c r="Q176" i="4"/>
  <c r="L176" i="4"/>
  <c r="M176" i="4" s="1"/>
  <c r="I176" i="4"/>
  <c r="H176" i="4"/>
  <c r="R175" i="4"/>
  <c r="Q175" i="4"/>
  <c r="L175" i="4"/>
  <c r="M175" i="4" s="1"/>
  <c r="I175" i="4"/>
  <c r="H175" i="4"/>
  <c r="R174" i="4"/>
  <c r="Q174" i="4"/>
  <c r="L174" i="4"/>
  <c r="M174" i="4" s="1"/>
  <c r="I174" i="4"/>
  <c r="H174" i="4"/>
  <c r="R173" i="4"/>
  <c r="Q173" i="4"/>
  <c r="L173" i="4"/>
  <c r="M173" i="4" s="1"/>
  <c r="I173" i="4"/>
  <c r="H173" i="4"/>
  <c r="R172" i="4"/>
  <c r="Q172" i="4"/>
  <c r="L172" i="4"/>
  <c r="M172" i="4" s="1"/>
  <c r="I172" i="4"/>
  <c r="H172" i="4"/>
  <c r="R171" i="4"/>
  <c r="Q171" i="4"/>
  <c r="L171" i="4"/>
  <c r="M171" i="4" s="1"/>
  <c r="I171" i="4"/>
  <c r="H171" i="4"/>
  <c r="R170" i="4"/>
  <c r="Q170" i="4"/>
  <c r="L170" i="4"/>
  <c r="M170" i="4" s="1"/>
  <c r="I170" i="4"/>
  <c r="H170" i="4"/>
  <c r="R169" i="4"/>
  <c r="Q169" i="4"/>
  <c r="L169" i="4"/>
  <c r="M169" i="4" s="1"/>
  <c r="I169" i="4"/>
  <c r="H169" i="4"/>
  <c r="R168" i="4"/>
  <c r="Q168" i="4"/>
  <c r="L168" i="4"/>
  <c r="M168" i="4" s="1"/>
  <c r="I168" i="4"/>
  <c r="H168" i="4"/>
  <c r="R167" i="4"/>
  <c r="Q167" i="4"/>
  <c r="L167" i="4"/>
  <c r="M167" i="4" s="1"/>
  <c r="I167" i="4"/>
  <c r="H167" i="4"/>
  <c r="R166" i="4"/>
  <c r="Q166" i="4"/>
  <c r="L166" i="4"/>
  <c r="M166" i="4" s="1"/>
  <c r="I166" i="4"/>
  <c r="H166" i="4"/>
  <c r="R165" i="4"/>
  <c r="Q165" i="4"/>
  <c r="L165" i="4"/>
  <c r="M165" i="4" s="1"/>
  <c r="I165" i="4"/>
  <c r="H165" i="4"/>
  <c r="R164" i="4"/>
  <c r="Q164" i="4"/>
  <c r="L164" i="4"/>
  <c r="M164" i="4" s="1"/>
  <c r="I164" i="4"/>
  <c r="H164" i="4"/>
  <c r="R163" i="4"/>
  <c r="Q163" i="4"/>
  <c r="L163" i="4"/>
  <c r="M163" i="4" s="1"/>
  <c r="I163" i="4"/>
  <c r="H163" i="4"/>
  <c r="R162" i="4"/>
  <c r="Q162" i="4"/>
  <c r="L162" i="4"/>
  <c r="M162" i="4" s="1"/>
  <c r="I162" i="4"/>
  <c r="H162" i="4"/>
  <c r="R161" i="4"/>
  <c r="Q161" i="4"/>
  <c r="L161" i="4"/>
  <c r="M161" i="4" s="1"/>
  <c r="I161" i="4"/>
  <c r="H161" i="4"/>
  <c r="R160" i="4"/>
  <c r="Q160" i="4"/>
  <c r="L160" i="4"/>
  <c r="M160" i="4" s="1"/>
  <c r="I160" i="4"/>
  <c r="H160" i="4"/>
  <c r="R159" i="4"/>
  <c r="Q159" i="4"/>
  <c r="L159" i="4"/>
  <c r="M159" i="4" s="1"/>
  <c r="I159" i="4"/>
  <c r="H159" i="4"/>
  <c r="R158" i="4"/>
  <c r="Q158" i="4"/>
  <c r="L158" i="4"/>
  <c r="M158" i="4" s="1"/>
  <c r="I158" i="4"/>
  <c r="H158" i="4"/>
  <c r="R157" i="4"/>
  <c r="Q157" i="4"/>
  <c r="L157" i="4"/>
  <c r="M157" i="4" s="1"/>
  <c r="I157" i="4"/>
  <c r="H157" i="4"/>
  <c r="R156" i="4"/>
  <c r="Q156" i="4"/>
  <c r="L156" i="4"/>
  <c r="M156" i="4" s="1"/>
  <c r="I156" i="4"/>
  <c r="H156" i="4"/>
  <c r="R155" i="4"/>
  <c r="Q155" i="4"/>
  <c r="L155" i="4"/>
  <c r="M155" i="4" s="1"/>
  <c r="I155" i="4"/>
  <c r="H155" i="4"/>
  <c r="R154" i="4"/>
  <c r="Q154" i="4"/>
  <c r="L154" i="4"/>
  <c r="M154" i="4" s="1"/>
  <c r="I154" i="4"/>
  <c r="H154" i="4"/>
  <c r="R153" i="4"/>
  <c r="Q153" i="4"/>
  <c r="L153" i="4"/>
  <c r="M153" i="4" s="1"/>
  <c r="I153" i="4"/>
  <c r="H153" i="4"/>
  <c r="R152" i="4"/>
  <c r="Q152" i="4"/>
  <c r="L152" i="4"/>
  <c r="M152" i="4" s="1"/>
  <c r="I152" i="4"/>
  <c r="H152" i="4"/>
  <c r="R151" i="4"/>
  <c r="Q151" i="4"/>
  <c r="L151" i="4"/>
  <c r="M151" i="4" s="1"/>
  <c r="I151" i="4"/>
  <c r="H151" i="4"/>
  <c r="R150" i="4"/>
  <c r="Q150" i="4"/>
  <c r="L150" i="4"/>
  <c r="M150" i="4" s="1"/>
  <c r="I150" i="4"/>
  <c r="H150" i="4"/>
  <c r="R149" i="4"/>
  <c r="Q149" i="4"/>
  <c r="L149" i="4"/>
  <c r="M149" i="4" s="1"/>
  <c r="I149" i="4"/>
  <c r="H149" i="4"/>
  <c r="R148" i="4"/>
  <c r="Q148" i="4"/>
  <c r="L148" i="4"/>
  <c r="M148" i="4" s="1"/>
  <c r="I148" i="4"/>
  <c r="H148" i="4"/>
  <c r="R147" i="4"/>
  <c r="Q147" i="4"/>
  <c r="L147" i="4"/>
  <c r="M147" i="4" s="1"/>
  <c r="I147" i="4"/>
  <c r="H147" i="4"/>
  <c r="R146" i="4"/>
  <c r="Q146" i="4"/>
  <c r="L146" i="4"/>
  <c r="M146" i="4" s="1"/>
  <c r="I146" i="4"/>
  <c r="H146" i="4"/>
  <c r="R145" i="4"/>
  <c r="Q145" i="4"/>
  <c r="L145" i="4"/>
  <c r="M145" i="4" s="1"/>
  <c r="I145" i="4"/>
  <c r="H145" i="4"/>
  <c r="R144" i="4"/>
  <c r="Q144" i="4"/>
  <c r="L144" i="4"/>
  <c r="M144" i="4" s="1"/>
  <c r="I144" i="4"/>
  <c r="H144" i="4"/>
  <c r="R143" i="4"/>
  <c r="Q143" i="4"/>
  <c r="L143" i="4"/>
  <c r="M143" i="4" s="1"/>
  <c r="I143" i="4"/>
  <c r="H143" i="4"/>
  <c r="R142" i="4"/>
  <c r="Q142" i="4"/>
  <c r="L142" i="4"/>
  <c r="M142" i="4" s="1"/>
  <c r="I142" i="4"/>
  <c r="H142" i="4"/>
  <c r="R141" i="4"/>
  <c r="Q141" i="4"/>
  <c r="L141" i="4"/>
  <c r="M141" i="4" s="1"/>
  <c r="I141" i="4"/>
  <c r="H141" i="4"/>
  <c r="R140" i="4"/>
  <c r="Q140" i="4"/>
  <c r="L140" i="4"/>
  <c r="M140" i="4" s="1"/>
  <c r="I140" i="4"/>
  <c r="H140" i="4"/>
  <c r="R139" i="4"/>
  <c r="Q139" i="4"/>
  <c r="L139" i="4"/>
  <c r="M139" i="4" s="1"/>
  <c r="I139" i="4"/>
  <c r="H139" i="4"/>
  <c r="R138" i="4"/>
  <c r="Q138" i="4"/>
  <c r="L138" i="4"/>
  <c r="M138" i="4" s="1"/>
  <c r="I138" i="4"/>
  <c r="H138" i="4"/>
  <c r="R137" i="4"/>
  <c r="Q137" i="4"/>
  <c r="L137" i="4"/>
  <c r="M137" i="4" s="1"/>
  <c r="I137" i="4"/>
  <c r="H137" i="4"/>
  <c r="R136" i="4"/>
  <c r="Q136" i="4"/>
  <c r="L136" i="4"/>
  <c r="M136" i="4" s="1"/>
  <c r="I136" i="4"/>
  <c r="H136" i="4"/>
  <c r="R135" i="4"/>
  <c r="Q135" i="4"/>
  <c r="L135" i="4"/>
  <c r="M135" i="4" s="1"/>
  <c r="I135" i="4"/>
  <c r="H135" i="4"/>
  <c r="R134" i="4"/>
  <c r="Q134" i="4"/>
  <c r="L134" i="4"/>
  <c r="M134" i="4" s="1"/>
  <c r="I134" i="4"/>
  <c r="H134" i="4"/>
  <c r="R133" i="4"/>
  <c r="Q133" i="4"/>
  <c r="L133" i="4"/>
  <c r="M133" i="4" s="1"/>
  <c r="I133" i="4"/>
  <c r="H133" i="4"/>
  <c r="R132" i="4"/>
  <c r="Q132" i="4"/>
  <c r="L132" i="4"/>
  <c r="M132" i="4" s="1"/>
  <c r="I132" i="4"/>
  <c r="H132" i="4"/>
  <c r="R131" i="4"/>
  <c r="Q131" i="4"/>
  <c r="L131" i="4"/>
  <c r="M131" i="4" s="1"/>
  <c r="I131" i="4"/>
  <c r="H131" i="4"/>
  <c r="R130" i="4"/>
  <c r="Q130" i="4"/>
  <c r="L130" i="4"/>
  <c r="M130" i="4" s="1"/>
  <c r="I130" i="4"/>
  <c r="H130" i="4"/>
  <c r="R129" i="4"/>
  <c r="Q129" i="4"/>
  <c r="L129" i="4"/>
  <c r="M129" i="4" s="1"/>
  <c r="I129" i="4"/>
  <c r="H129" i="4"/>
  <c r="R128" i="4"/>
  <c r="Q128" i="4"/>
  <c r="L128" i="4"/>
  <c r="M128" i="4" s="1"/>
  <c r="I128" i="4"/>
  <c r="H128" i="4"/>
  <c r="R127" i="4"/>
  <c r="Q127" i="4"/>
  <c r="L127" i="4"/>
  <c r="M127" i="4" s="1"/>
  <c r="I127" i="4"/>
  <c r="H127" i="4"/>
  <c r="R126" i="4"/>
  <c r="Q126" i="4"/>
  <c r="L126" i="4"/>
  <c r="M126" i="4" s="1"/>
  <c r="I126" i="4"/>
  <c r="H126" i="4"/>
  <c r="R125" i="4"/>
  <c r="Q125" i="4"/>
  <c r="L125" i="4"/>
  <c r="M125" i="4" s="1"/>
  <c r="I125" i="4"/>
  <c r="H125" i="4"/>
  <c r="R124" i="4"/>
  <c r="Q124" i="4"/>
  <c r="L124" i="4"/>
  <c r="M124" i="4" s="1"/>
  <c r="I124" i="4"/>
  <c r="H124" i="4"/>
  <c r="R123" i="4"/>
  <c r="Q123" i="4"/>
  <c r="L123" i="4"/>
  <c r="M123" i="4" s="1"/>
  <c r="I123" i="4"/>
  <c r="H123" i="4"/>
  <c r="R122" i="4"/>
  <c r="Q122" i="4"/>
  <c r="L122" i="4"/>
  <c r="M122" i="4" s="1"/>
  <c r="I122" i="4"/>
  <c r="H122" i="4"/>
  <c r="R121" i="4"/>
  <c r="Q121" i="4"/>
  <c r="L121" i="4"/>
  <c r="M121" i="4" s="1"/>
  <c r="I121" i="4"/>
  <c r="H121" i="4"/>
  <c r="R120" i="4"/>
  <c r="Q120" i="4"/>
  <c r="L120" i="4"/>
  <c r="M120" i="4" s="1"/>
  <c r="I120" i="4"/>
  <c r="H120" i="4"/>
  <c r="R119" i="4"/>
  <c r="Q119" i="4"/>
  <c r="L119" i="4"/>
  <c r="M119" i="4" s="1"/>
  <c r="I119" i="4"/>
  <c r="H119" i="4"/>
  <c r="R118" i="4"/>
  <c r="Q118" i="4"/>
  <c r="L118" i="4"/>
  <c r="M118" i="4" s="1"/>
  <c r="I118" i="4"/>
  <c r="H118" i="4"/>
  <c r="R117" i="4"/>
  <c r="Q117" i="4"/>
  <c r="L117" i="4"/>
  <c r="M117" i="4" s="1"/>
  <c r="I117" i="4"/>
  <c r="H117" i="4"/>
  <c r="R116" i="4"/>
  <c r="Q116" i="4"/>
  <c r="L116" i="4"/>
  <c r="M116" i="4" s="1"/>
  <c r="I116" i="4"/>
  <c r="H116" i="4"/>
  <c r="R115" i="4"/>
  <c r="Q115" i="4"/>
  <c r="L115" i="4"/>
  <c r="M115" i="4" s="1"/>
  <c r="I115" i="4"/>
  <c r="H115" i="4"/>
  <c r="R114" i="4"/>
  <c r="Q114" i="4"/>
  <c r="L114" i="4"/>
  <c r="M114" i="4" s="1"/>
  <c r="I114" i="4"/>
  <c r="H114" i="4"/>
  <c r="R113" i="4"/>
  <c r="Q113" i="4"/>
  <c r="L113" i="4"/>
  <c r="M113" i="4" s="1"/>
  <c r="I113" i="4"/>
  <c r="H113" i="4"/>
  <c r="R112" i="4"/>
  <c r="Q112" i="4"/>
  <c r="L112" i="4"/>
  <c r="M112" i="4" s="1"/>
  <c r="I112" i="4"/>
  <c r="H112" i="4"/>
  <c r="R111" i="4"/>
  <c r="Q111" i="4"/>
  <c r="L111" i="4"/>
  <c r="M111" i="4" s="1"/>
  <c r="I111" i="4"/>
  <c r="H111" i="4"/>
  <c r="R110" i="4"/>
  <c r="Q110" i="4"/>
  <c r="L110" i="4"/>
  <c r="M110" i="4" s="1"/>
  <c r="I110" i="4"/>
  <c r="H110" i="4"/>
  <c r="R109" i="4"/>
  <c r="Q109" i="4"/>
  <c r="L109" i="4"/>
  <c r="M109" i="4" s="1"/>
  <c r="I109" i="4"/>
  <c r="H109" i="4"/>
  <c r="R108" i="4"/>
  <c r="Q108" i="4"/>
  <c r="L108" i="4"/>
  <c r="M108" i="4" s="1"/>
  <c r="I108" i="4"/>
  <c r="H108" i="4"/>
  <c r="R107" i="4"/>
  <c r="Q107" i="4"/>
  <c r="L107" i="4"/>
  <c r="M107" i="4" s="1"/>
  <c r="I107" i="4"/>
  <c r="H107" i="4"/>
  <c r="R106" i="4"/>
  <c r="Q106" i="4"/>
  <c r="L106" i="4"/>
  <c r="M106" i="4" s="1"/>
  <c r="I106" i="4"/>
  <c r="H106" i="4"/>
  <c r="R105" i="4"/>
  <c r="Q105" i="4"/>
  <c r="L105" i="4"/>
  <c r="M105" i="4" s="1"/>
  <c r="I105" i="4"/>
  <c r="H105" i="4"/>
  <c r="R104" i="4"/>
  <c r="Q104" i="4"/>
  <c r="L104" i="4"/>
  <c r="M104" i="4" s="1"/>
  <c r="I104" i="4"/>
  <c r="H104" i="4"/>
  <c r="R103" i="4"/>
  <c r="Q103" i="4"/>
  <c r="L103" i="4"/>
  <c r="M103" i="4" s="1"/>
  <c r="I103" i="4"/>
  <c r="H103" i="4"/>
  <c r="R102" i="4"/>
  <c r="Q102" i="4"/>
  <c r="L102" i="4"/>
  <c r="M102" i="4" s="1"/>
  <c r="I102" i="4"/>
  <c r="H102" i="4"/>
  <c r="R101" i="4"/>
  <c r="Q101" i="4"/>
  <c r="L101" i="4"/>
  <c r="M101" i="4" s="1"/>
  <c r="I101" i="4"/>
  <c r="H101" i="4"/>
  <c r="R100" i="4"/>
  <c r="Q100" i="4"/>
  <c r="L100" i="4"/>
  <c r="M100" i="4" s="1"/>
  <c r="I100" i="4"/>
  <c r="H100" i="4"/>
  <c r="R99" i="4"/>
  <c r="Q99" i="4"/>
  <c r="L99" i="4"/>
  <c r="M99" i="4" s="1"/>
  <c r="I99" i="4"/>
  <c r="H99" i="4"/>
  <c r="R98" i="4"/>
  <c r="Q98" i="4"/>
  <c r="L98" i="4"/>
  <c r="M98" i="4" s="1"/>
  <c r="I98" i="4"/>
  <c r="H98" i="4"/>
  <c r="R97" i="4"/>
  <c r="Q97" i="4"/>
  <c r="L97" i="4"/>
  <c r="M97" i="4" s="1"/>
  <c r="I97" i="4"/>
  <c r="H97" i="4"/>
  <c r="R96" i="4"/>
  <c r="Q96" i="4"/>
  <c r="L96" i="4"/>
  <c r="M96" i="4" s="1"/>
  <c r="I96" i="4"/>
  <c r="H96" i="4"/>
  <c r="R95" i="4"/>
  <c r="Q95" i="4"/>
  <c r="L95" i="4"/>
  <c r="M95" i="4" s="1"/>
  <c r="I95" i="4"/>
  <c r="H95" i="4"/>
  <c r="R94" i="4"/>
  <c r="Q94" i="4"/>
  <c r="L94" i="4"/>
  <c r="M94" i="4" s="1"/>
  <c r="I94" i="4"/>
  <c r="H94" i="4"/>
  <c r="R93" i="4"/>
  <c r="Q93" i="4"/>
  <c r="L93" i="4"/>
  <c r="M93" i="4" s="1"/>
  <c r="I93" i="4"/>
  <c r="H93" i="4"/>
  <c r="R92" i="4"/>
  <c r="Q92" i="4"/>
  <c r="L92" i="4"/>
  <c r="M92" i="4" s="1"/>
  <c r="I92" i="4"/>
  <c r="H92" i="4"/>
  <c r="R91" i="4"/>
  <c r="Q91" i="4"/>
  <c r="L91" i="4"/>
  <c r="M91" i="4" s="1"/>
  <c r="I91" i="4"/>
  <c r="H91" i="4"/>
  <c r="R90" i="4"/>
  <c r="Q90" i="4"/>
  <c r="L90" i="4"/>
  <c r="M90" i="4" s="1"/>
  <c r="I90" i="4"/>
  <c r="H90" i="4"/>
  <c r="R89" i="4"/>
  <c r="Q89" i="4"/>
  <c r="L89" i="4"/>
  <c r="M89" i="4" s="1"/>
  <c r="I89" i="4"/>
  <c r="H89" i="4"/>
  <c r="R88" i="4"/>
  <c r="Q88" i="4"/>
  <c r="L88" i="4"/>
  <c r="M88" i="4" s="1"/>
  <c r="I88" i="4"/>
  <c r="H88" i="4"/>
  <c r="R87" i="4"/>
  <c r="Q87" i="4"/>
  <c r="L87" i="4"/>
  <c r="M87" i="4" s="1"/>
  <c r="I87" i="4"/>
  <c r="H87" i="4"/>
  <c r="R86" i="4"/>
  <c r="Q86" i="4"/>
  <c r="L86" i="4"/>
  <c r="M86" i="4" s="1"/>
  <c r="I86" i="4"/>
  <c r="H86" i="4"/>
  <c r="R85" i="4"/>
  <c r="Q85" i="4"/>
  <c r="L85" i="4"/>
  <c r="M85" i="4" s="1"/>
  <c r="I85" i="4"/>
  <c r="H85" i="4"/>
  <c r="R84" i="4"/>
  <c r="Q84" i="4"/>
  <c r="L84" i="4"/>
  <c r="M84" i="4" s="1"/>
  <c r="I84" i="4"/>
  <c r="H84" i="4"/>
  <c r="R83" i="4"/>
  <c r="Q83" i="4"/>
  <c r="L83" i="4"/>
  <c r="M83" i="4" s="1"/>
  <c r="I83" i="4"/>
  <c r="H83" i="4"/>
  <c r="R82" i="4"/>
  <c r="Q82" i="4"/>
  <c r="L82" i="4"/>
  <c r="M82" i="4" s="1"/>
  <c r="I82" i="4"/>
  <c r="H82" i="4"/>
  <c r="R81" i="4"/>
  <c r="Q81" i="4"/>
  <c r="L81" i="4"/>
  <c r="M81" i="4" s="1"/>
  <c r="I81" i="4"/>
  <c r="H81" i="4"/>
  <c r="R80" i="4"/>
  <c r="Q80" i="4"/>
  <c r="L80" i="4"/>
  <c r="M80" i="4" s="1"/>
  <c r="I80" i="4"/>
  <c r="H80" i="4"/>
  <c r="R79" i="4"/>
  <c r="Q79" i="4"/>
  <c r="L79" i="4"/>
  <c r="M79" i="4" s="1"/>
  <c r="I79" i="4"/>
  <c r="H79" i="4"/>
  <c r="R78" i="4"/>
  <c r="Q78" i="4"/>
  <c r="L78" i="4"/>
  <c r="M78" i="4" s="1"/>
  <c r="I78" i="4"/>
  <c r="H78" i="4"/>
  <c r="R77" i="4"/>
  <c r="Q77" i="4"/>
  <c r="L77" i="4"/>
  <c r="M77" i="4" s="1"/>
  <c r="I77" i="4"/>
  <c r="H77" i="4"/>
  <c r="Q76" i="4"/>
  <c r="R76" i="4" s="1"/>
  <c r="L76" i="4"/>
  <c r="M76" i="4" s="1"/>
  <c r="I76" i="4"/>
  <c r="H76" i="4"/>
  <c r="Q75" i="4"/>
  <c r="R75" i="4" s="1"/>
  <c r="L75" i="4"/>
  <c r="M75" i="4" s="1"/>
  <c r="I75" i="4"/>
  <c r="H75" i="4"/>
  <c r="R74" i="4"/>
  <c r="Q74" i="4"/>
  <c r="L74" i="4"/>
  <c r="M74" i="4" s="1"/>
  <c r="I74" i="4"/>
  <c r="H74" i="4"/>
  <c r="Q73" i="4"/>
  <c r="R73" i="4" s="1"/>
  <c r="L73" i="4"/>
  <c r="M73" i="4" s="1"/>
  <c r="I73" i="4"/>
  <c r="H73" i="4"/>
  <c r="Q72" i="4"/>
  <c r="R72" i="4" s="1"/>
  <c r="L72" i="4"/>
  <c r="M72" i="4" s="1"/>
  <c r="I72" i="4"/>
  <c r="H72" i="4"/>
  <c r="Q71" i="4"/>
  <c r="R71" i="4" s="1"/>
  <c r="L71" i="4"/>
  <c r="M71" i="4" s="1"/>
  <c r="I71" i="4"/>
  <c r="H71" i="4"/>
  <c r="Q70" i="4"/>
  <c r="R70" i="4" s="1"/>
  <c r="L70" i="4"/>
  <c r="M70" i="4" s="1"/>
  <c r="I70" i="4"/>
  <c r="H70" i="4"/>
  <c r="Q68" i="4"/>
  <c r="R68" i="4" s="1"/>
  <c r="L68" i="4"/>
  <c r="M68" i="4" s="1"/>
  <c r="I68" i="4"/>
  <c r="H68" i="4"/>
  <c r="Q67" i="4"/>
  <c r="R67" i="4" s="1"/>
  <c r="L67" i="4"/>
  <c r="M67" i="4" s="1"/>
  <c r="I67" i="4"/>
  <c r="H67" i="4"/>
  <c r="Q66" i="4"/>
  <c r="R66" i="4" s="1"/>
  <c r="L66" i="4"/>
  <c r="M66" i="4" s="1"/>
  <c r="I66" i="4"/>
  <c r="H66" i="4"/>
  <c r="Q65" i="4"/>
  <c r="R65" i="4" s="1"/>
  <c r="L65" i="4"/>
  <c r="M65" i="4" s="1"/>
  <c r="I65" i="4"/>
  <c r="H65" i="4"/>
  <c r="Q64" i="4"/>
  <c r="R64" i="4" s="1"/>
  <c r="L64" i="4"/>
  <c r="M64" i="4" s="1"/>
  <c r="I64" i="4"/>
  <c r="H64" i="4"/>
  <c r="Q63" i="4"/>
  <c r="R63" i="4" s="1"/>
  <c r="L63" i="4"/>
  <c r="M63" i="4" s="1"/>
  <c r="I63" i="4"/>
  <c r="H63" i="4"/>
  <c r="Q62" i="4"/>
  <c r="R62" i="4" s="1"/>
  <c r="L62" i="4"/>
  <c r="M62" i="4" s="1"/>
  <c r="I62" i="4"/>
  <c r="H62" i="4"/>
  <c r="Q61" i="4"/>
  <c r="R61" i="4" s="1"/>
  <c r="L61" i="4"/>
  <c r="M61" i="4" s="1"/>
  <c r="I61" i="4"/>
  <c r="H61" i="4"/>
  <c r="Q60" i="4"/>
  <c r="R60" i="4" s="1"/>
  <c r="L60" i="4"/>
  <c r="M60" i="4" s="1"/>
  <c r="I60" i="4"/>
  <c r="H60" i="4"/>
  <c r="Q58" i="4"/>
  <c r="R58" i="4" s="1"/>
  <c r="L58" i="4"/>
  <c r="M58" i="4" s="1"/>
  <c r="I58" i="4"/>
  <c r="H58" i="4"/>
  <c r="Q57" i="4"/>
  <c r="R57" i="4" s="1"/>
  <c r="L57" i="4"/>
  <c r="M57" i="4" s="1"/>
  <c r="I57" i="4"/>
  <c r="H57" i="4"/>
  <c r="Q56" i="4"/>
  <c r="R56" i="4" s="1"/>
  <c r="L56" i="4"/>
  <c r="M56" i="4" s="1"/>
  <c r="I56" i="4"/>
  <c r="H56" i="4"/>
  <c r="Q55" i="4"/>
  <c r="R55" i="4" s="1"/>
  <c r="L55" i="4"/>
  <c r="M55" i="4" s="1"/>
  <c r="I55" i="4"/>
  <c r="H55" i="4"/>
  <c r="Q54" i="4"/>
  <c r="R54" i="4" s="1"/>
  <c r="L54" i="4"/>
  <c r="M54" i="4" s="1"/>
  <c r="I54" i="4"/>
  <c r="H54" i="4"/>
  <c r="Q53" i="4"/>
  <c r="R53" i="4" s="1"/>
  <c r="L53" i="4"/>
  <c r="M53" i="4" s="1"/>
  <c r="I53" i="4"/>
  <c r="H53" i="4"/>
  <c r="Q52" i="4"/>
  <c r="R52" i="4" s="1"/>
  <c r="L52" i="4"/>
  <c r="M52" i="4" s="1"/>
  <c r="I52" i="4"/>
  <c r="H52" i="4"/>
  <c r="Q51" i="4"/>
  <c r="R51" i="4" s="1"/>
  <c r="L51" i="4"/>
  <c r="M51" i="4" s="1"/>
  <c r="I51" i="4"/>
  <c r="H51" i="4"/>
  <c r="Q50" i="4"/>
  <c r="R50" i="4" s="1"/>
  <c r="L50" i="4"/>
  <c r="M50" i="4" s="1"/>
  <c r="I50" i="4"/>
  <c r="H50" i="4"/>
  <c r="Q49" i="4"/>
  <c r="R49" i="4" s="1"/>
  <c r="L49" i="4"/>
  <c r="M49" i="4" s="1"/>
  <c r="I49" i="4"/>
  <c r="H49" i="4"/>
  <c r="Q47" i="4"/>
  <c r="R47" i="4" s="1"/>
  <c r="L47" i="4"/>
  <c r="M47" i="4" s="1"/>
  <c r="I47" i="4"/>
  <c r="H47" i="4"/>
  <c r="Q46" i="4"/>
  <c r="R46" i="4" s="1"/>
  <c r="L46" i="4"/>
  <c r="M46" i="4" s="1"/>
  <c r="I46" i="4"/>
  <c r="H46" i="4"/>
  <c r="Q45" i="4"/>
  <c r="R45" i="4" s="1"/>
  <c r="L45" i="4"/>
  <c r="M45" i="4" s="1"/>
  <c r="I45" i="4"/>
  <c r="H45" i="4"/>
  <c r="Q44" i="4"/>
  <c r="R44" i="4" s="1"/>
  <c r="L44" i="4"/>
  <c r="M44" i="4" s="1"/>
  <c r="I44" i="4"/>
  <c r="H44" i="4"/>
  <c r="Q43" i="4"/>
  <c r="R43" i="4" s="1"/>
  <c r="L43" i="4"/>
  <c r="M43" i="4" s="1"/>
  <c r="I43" i="4"/>
  <c r="H43" i="4"/>
  <c r="Q42" i="4"/>
  <c r="R42" i="4" s="1"/>
  <c r="L42" i="4"/>
  <c r="M42" i="4" s="1"/>
  <c r="I42" i="4"/>
  <c r="H42" i="4"/>
  <c r="Q41" i="4"/>
  <c r="R41" i="4" s="1"/>
  <c r="L41" i="4"/>
  <c r="M41" i="4" s="1"/>
  <c r="I41" i="4"/>
  <c r="H41" i="4"/>
  <c r="Q40" i="4"/>
  <c r="R40" i="4" s="1"/>
  <c r="L40" i="4"/>
  <c r="M40" i="4" s="1"/>
  <c r="I40" i="4"/>
  <c r="H40" i="4"/>
  <c r="Q39" i="4"/>
  <c r="R39" i="4" s="1"/>
  <c r="L39" i="4"/>
  <c r="M39" i="4" s="1"/>
  <c r="I39" i="4"/>
  <c r="H39" i="4"/>
  <c r="Q38" i="4"/>
  <c r="R38" i="4" s="1"/>
  <c r="L38" i="4"/>
  <c r="M38" i="4" s="1"/>
  <c r="I38" i="4"/>
  <c r="H38" i="4"/>
  <c r="Q36" i="4"/>
  <c r="R36" i="4" s="1"/>
  <c r="L36" i="4"/>
  <c r="M36" i="4" s="1"/>
  <c r="I36" i="4"/>
  <c r="H36" i="4"/>
  <c r="Q35" i="4"/>
  <c r="R35" i="4" s="1"/>
  <c r="L35" i="4"/>
  <c r="M35" i="4" s="1"/>
  <c r="I35" i="4"/>
  <c r="H35" i="4"/>
  <c r="Q34" i="4"/>
  <c r="R34" i="4" s="1"/>
  <c r="L34" i="4"/>
  <c r="M34" i="4" s="1"/>
  <c r="I34" i="4"/>
  <c r="H34" i="4"/>
  <c r="Q33" i="4"/>
  <c r="R33" i="4" s="1"/>
  <c r="L33" i="4"/>
  <c r="M33" i="4" s="1"/>
  <c r="I33" i="4"/>
  <c r="H33" i="4"/>
  <c r="Q32" i="4"/>
  <c r="R32" i="4" s="1"/>
  <c r="L32" i="4"/>
  <c r="M32" i="4" s="1"/>
  <c r="I32" i="4"/>
  <c r="H32" i="4"/>
  <c r="Q31" i="4"/>
  <c r="R31" i="4" s="1"/>
  <c r="L31" i="4"/>
  <c r="M31" i="4" s="1"/>
  <c r="I31" i="4"/>
  <c r="H31" i="4"/>
  <c r="Q30" i="4"/>
  <c r="R30" i="4" s="1"/>
  <c r="L30" i="4"/>
  <c r="M30" i="4" s="1"/>
  <c r="I30" i="4"/>
  <c r="H30" i="4"/>
  <c r="Q29" i="4"/>
  <c r="R29" i="4" s="1"/>
  <c r="L29" i="4"/>
  <c r="M29" i="4" s="1"/>
  <c r="I29" i="4"/>
  <c r="H29" i="4"/>
  <c r="Q28" i="4"/>
  <c r="R28" i="4" s="1"/>
  <c r="L28" i="4"/>
  <c r="M28" i="4" s="1"/>
  <c r="I28" i="4"/>
  <c r="H28" i="4"/>
  <c r="Q27" i="4"/>
  <c r="R27" i="4" s="1"/>
  <c r="L27" i="4"/>
  <c r="M27" i="4" s="1"/>
  <c r="I27" i="4"/>
  <c r="H27" i="4"/>
  <c r="Q25" i="4"/>
  <c r="R25" i="4" s="1"/>
  <c r="L25" i="4"/>
  <c r="M25" i="4" s="1"/>
  <c r="I25" i="4"/>
  <c r="H25" i="4"/>
  <c r="Q24" i="4"/>
  <c r="R24" i="4" s="1"/>
  <c r="L24" i="4"/>
  <c r="M24" i="4" s="1"/>
  <c r="I24" i="4"/>
  <c r="H24" i="4"/>
  <c r="Q23" i="4"/>
  <c r="R23" i="4" s="1"/>
  <c r="L23" i="4"/>
  <c r="M23" i="4" s="1"/>
  <c r="I23" i="4"/>
  <c r="H23" i="4"/>
  <c r="Q22" i="4"/>
  <c r="R22" i="4" s="1"/>
  <c r="L22" i="4"/>
  <c r="M22" i="4" s="1"/>
  <c r="I22" i="4"/>
  <c r="H22" i="4"/>
  <c r="Q21" i="4"/>
  <c r="R21" i="4" s="1"/>
  <c r="L21" i="4"/>
  <c r="M21" i="4" s="1"/>
  <c r="I21" i="4"/>
  <c r="H21" i="4"/>
  <c r="Q20" i="4"/>
  <c r="R20" i="4" s="1"/>
  <c r="L20" i="4"/>
  <c r="M20" i="4" s="1"/>
  <c r="I20" i="4"/>
  <c r="H20" i="4"/>
  <c r="Q19" i="4"/>
  <c r="R19" i="4" s="1"/>
  <c r="L19" i="4"/>
  <c r="M19" i="4" s="1"/>
  <c r="I19" i="4"/>
  <c r="H19" i="4"/>
  <c r="Q18" i="4"/>
  <c r="R18" i="4" s="1"/>
  <c r="L18" i="4"/>
  <c r="M18" i="4" s="1"/>
  <c r="I18" i="4"/>
  <c r="H18" i="4"/>
  <c r="Q17" i="4"/>
  <c r="R17" i="4" s="1"/>
  <c r="L17" i="4"/>
  <c r="M17" i="4" s="1"/>
  <c r="I17" i="4"/>
  <c r="H17" i="4"/>
  <c r="Q16" i="4"/>
  <c r="R16" i="4" s="1"/>
  <c r="L16" i="4"/>
  <c r="M16" i="4" s="1"/>
  <c r="I16" i="4"/>
  <c r="H16" i="4"/>
  <c r="Q14" i="4"/>
  <c r="R14" i="4" s="1"/>
  <c r="L14" i="4"/>
  <c r="M14" i="4" s="1"/>
  <c r="I14" i="4"/>
  <c r="H14" i="4"/>
  <c r="Q13" i="4"/>
  <c r="R13" i="4" s="1"/>
  <c r="L13" i="4"/>
  <c r="M13" i="4" s="1"/>
  <c r="I13" i="4"/>
  <c r="H13" i="4"/>
  <c r="Q12" i="4"/>
  <c r="R12" i="4" s="1"/>
  <c r="L12" i="4"/>
  <c r="M12" i="4" s="1"/>
  <c r="I12" i="4"/>
  <c r="H12" i="4"/>
  <c r="Q11" i="4"/>
  <c r="R11" i="4" s="1"/>
  <c r="L11" i="4"/>
  <c r="M11" i="4" s="1"/>
  <c r="I11" i="4"/>
  <c r="H11" i="4"/>
  <c r="Q10" i="4"/>
  <c r="R10" i="4" s="1"/>
  <c r="L10" i="4"/>
  <c r="M10" i="4" s="1"/>
  <c r="I10" i="4"/>
  <c r="H10" i="4"/>
  <c r="Q9" i="4"/>
  <c r="R9" i="4" s="1"/>
  <c r="L9" i="4"/>
  <c r="M9" i="4" s="1"/>
  <c r="I9" i="4"/>
  <c r="H9" i="4"/>
  <c r="Q8" i="4"/>
  <c r="R8" i="4" s="1"/>
  <c r="L8" i="4"/>
  <c r="M8" i="4" s="1"/>
  <c r="I8" i="4"/>
  <c r="H8" i="4"/>
  <c r="Q7" i="4"/>
  <c r="R7" i="4" s="1"/>
  <c r="L7" i="4"/>
  <c r="M7" i="4" s="1"/>
  <c r="I7" i="4"/>
  <c r="H7" i="4"/>
  <c r="Q6" i="4"/>
  <c r="R6" i="4" s="1"/>
  <c r="L6" i="4"/>
  <c r="M6" i="4" s="1"/>
  <c r="I6" i="4"/>
  <c r="H6" i="4"/>
  <c r="B29" i="3"/>
  <c r="C29" i="3" s="1"/>
  <c r="G25" i="3"/>
  <c r="E7" i="1" s="1"/>
  <c r="B17" i="2"/>
  <c r="B20" i="2" s="1"/>
  <c r="B14" i="2"/>
  <c r="C7" i="8" s="1"/>
  <c r="B12" i="2"/>
  <c r="B13" i="2" s="1"/>
  <c r="B23" i="1"/>
  <c r="B22" i="1"/>
  <c r="B11" i="1"/>
  <c r="B10" i="1"/>
  <c r="E9" i="1"/>
  <c r="B9" i="1"/>
  <c r="B6" i="1"/>
  <c r="P316" i="10" l="1"/>
  <c r="J141" i="10"/>
  <c r="O141" i="10" s="1"/>
  <c r="J250" i="10"/>
  <c r="O250" i="10" s="1"/>
  <c r="P263" i="10"/>
  <c r="P397" i="10"/>
  <c r="P433" i="10"/>
  <c r="J419" i="10"/>
  <c r="O419" i="10" s="1"/>
  <c r="P308" i="10"/>
  <c r="P370" i="10"/>
  <c r="P89" i="10"/>
  <c r="P42" i="10"/>
  <c r="P14" i="10"/>
  <c r="O15" i="5"/>
  <c r="J376" i="10"/>
  <c r="O376" i="10" s="1"/>
  <c r="P394" i="10"/>
  <c r="P21" i="10"/>
  <c r="P162" i="10"/>
  <c r="J177" i="10"/>
  <c r="O177" i="10" s="1"/>
  <c r="P178" i="10"/>
  <c r="P239" i="10"/>
  <c r="P299" i="10"/>
  <c r="P378" i="10"/>
  <c r="J400" i="10"/>
  <c r="O400" i="10" s="1"/>
  <c r="P146" i="10"/>
  <c r="P221" i="10"/>
  <c r="J256" i="10"/>
  <c r="O256" i="10" s="1"/>
  <c r="P25" i="10"/>
  <c r="J77" i="10"/>
  <c r="O77" i="10" s="1"/>
  <c r="J86" i="10"/>
  <c r="O86" i="10" s="1"/>
  <c r="J93" i="10"/>
  <c r="O93" i="10" s="1"/>
  <c r="J273" i="10"/>
  <c r="O273" i="10" s="1"/>
  <c r="J281" i="10"/>
  <c r="O281" i="10" s="1"/>
  <c r="J288" i="10"/>
  <c r="O288" i="10" s="1"/>
  <c r="P17" i="10"/>
  <c r="P166" i="10"/>
  <c r="P90" i="10"/>
  <c r="P145" i="10"/>
  <c r="J352" i="10"/>
  <c r="O352" i="10" s="1"/>
  <c r="J152" i="10"/>
  <c r="O152" i="10" s="1"/>
  <c r="J165" i="10"/>
  <c r="O165" i="10" s="1"/>
  <c r="P245" i="10"/>
  <c r="P198" i="10"/>
  <c r="P297" i="10"/>
  <c r="P338" i="10"/>
  <c r="P6" i="10"/>
  <c r="J8" i="10"/>
  <c r="O8" i="10" s="1"/>
  <c r="J128" i="10"/>
  <c r="O128" i="10" s="1"/>
  <c r="P171" i="10"/>
  <c r="P193" i="10"/>
  <c r="P270" i="10"/>
  <c r="J326" i="10"/>
  <c r="O326" i="10" s="1"/>
  <c r="P334" i="10"/>
  <c r="J342" i="10"/>
  <c r="O342" i="10" s="1"/>
  <c r="P371" i="10"/>
  <c r="J28" i="10"/>
  <c r="O28" i="10" s="1"/>
  <c r="P54" i="10"/>
  <c r="O14" i="5"/>
  <c r="P18" i="10"/>
  <c r="J32" i="10"/>
  <c r="O32" i="10" s="1"/>
  <c r="P189" i="10"/>
  <c r="P368" i="10"/>
  <c r="P148" i="10"/>
  <c r="P287" i="10"/>
  <c r="J348" i="10"/>
  <c r="O348" i="10" s="1"/>
  <c r="P361" i="10"/>
  <c r="J24" i="10"/>
  <c r="O24" i="10" s="1"/>
  <c r="P80" i="10"/>
  <c r="P99" i="10"/>
  <c r="P121" i="10"/>
  <c r="P137" i="10"/>
  <c r="P143" i="10"/>
  <c r="P144" i="10"/>
  <c r="P150" i="10"/>
  <c r="J210" i="10"/>
  <c r="O210" i="10" s="1"/>
  <c r="P216" i="10"/>
  <c r="P249" i="10"/>
  <c r="O23" i="5"/>
  <c r="P23" i="10"/>
  <c r="P83" i="10"/>
  <c r="P96" i="10"/>
  <c r="P219" i="10"/>
  <c r="J382" i="10"/>
  <c r="O382" i="10" s="1"/>
  <c r="P174" i="10"/>
  <c r="P177" i="10"/>
  <c r="J69" i="10"/>
  <c r="O69" i="10" s="1"/>
  <c r="J109" i="10"/>
  <c r="O109" i="10" s="1"/>
  <c r="P185" i="10"/>
  <c r="J264" i="10"/>
  <c r="O264" i="10" s="1"/>
  <c r="P354" i="10"/>
  <c r="P379" i="10"/>
  <c r="P65" i="10"/>
  <c r="J105" i="10"/>
  <c r="O105" i="10" s="1"/>
  <c r="J146" i="10"/>
  <c r="O146" i="10" s="1"/>
  <c r="P159" i="10"/>
  <c r="P164" i="10"/>
  <c r="P168" i="10"/>
  <c r="P190" i="10"/>
  <c r="P298" i="10"/>
  <c r="P322" i="10"/>
  <c r="P325" i="10"/>
  <c r="P346" i="10"/>
  <c r="J371" i="10"/>
  <c r="O371" i="10" s="1"/>
  <c r="P9" i="10"/>
  <c r="J30" i="10"/>
  <c r="O30" i="10" s="1"/>
  <c r="P66" i="10"/>
  <c r="J80" i="10"/>
  <c r="O80" i="10" s="1"/>
  <c r="P86" i="10"/>
  <c r="J125" i="10"/>
  <c r="O125" i="10" s="1"/>
  <c r="P147" i="10"/>
  <c r="J162" i="10"/>
  <c r="O162" i="10" s="1"/>
  <c r="P222" i="10"/>
  <c r="P237" i="10"/>
  <c r="P380" i="10"/>
  <c r="P413" i="10"/>
  <c r="P418" i="10"/>
  <c r="J421" i="10"/>
  <c r="O421" i="10" s="1"/>
  <c r="P426" i="10"/>
  <c r="J145" i="10"/>
  <c r="O145" i="10" s="1"/>
  <c r="J287" i="10"/>
  <c r="O287" i="10" s="1"/>
  <c r="P34" i="10"/>
  <c r="J83" i="10"/>
  <c r="O83" i="10" s="1"/>
  <c r="P151" i="10"/>
  <c r="J216" i="10"/>
  <c r="O216" i="10" s="1"/>
  <c r="J280" i="10"/>
  <c r="O280" i="10" s="1"/>
  <c r="P290" i="10"/>
  <c r="P309" i="10"/>
  <c r="J163" i="10"/>
  <c r="O163" i="10" s="1"/>
  <c r="P254" i="10"/>
  <c r="J364" i="10"/>
  <c r="O364" i="10" s="1"/>
  <c r="J416" i="10"/>
  <c r="O416" i="10" s="1"/>
  <c r="P10" i="10"/>
  <c r="J36" i="10"/>
  <c r="O36" i="10" s="1"/>
  <c r="P68" i="10"/>
  <c r="P105" i="10"/>
  <c r="P126" i="10"/>
  <c r="P260" i="10"/>
  <c r="P277" i="10"/>
  <c r="J309" i="10"/>
  <c r="O309" i="10" s="1"/>
  <c r="P313" i="10"/>
  <c r="J316" i="10"/>
  <c r="O316" i="10" s="1"/>
  <c r="P350" i="10"/>
  <c r="P363" i="10"/>
  <c r="J375" i="10"/>
  <c r="O375" i="10" s="1"/>
  <c r="P402" i="10"/>
  <c r="P405" i="10"/>
  <c r="P13" i="10"/>
  <c r="P19" i="10"/>
  <c r="P67" i="10"/>
  <c r="P81" i="10"/>
  <c r="J108" i="10"/>
  <c r="O108" i="10" s="1"/>
  <c r="J123" i="10"/>
  <c r="O123" i="10" s="1"/>
  <c r="J251" i="10"/>
  <c r="O251" i="10" s="1"/>
  <c r="J328" i="10"/>
  <c r="O328" i="10" s="1"/>
  <c r="J336" i="10"/>
  <c r="O336" i="10" s="1"/>
  <c r="J340" i="10"/>
  <c r="O340" i="10" s="1"/>
  <c r="P342" i="10"/>
  <c r="J403" i="10"/>
  <c r="O403" i="10" s="1"/>
  <c r="J429" i="10"/>
  <c r="O429" i="10" s="1"/>
  <c r="P22" i="10"/>
  <c r="J38" i="10"/>
  <c r="O38" i="10" s="1"/>
  <c r="P47" i="10"/>
  <c r="P122" i="10"/>
  <c r="P138" i="10"/>
  <c r="J181" i="10"/>
  <c r="O181" i="10" s="1"/>
  <c r="P229" i="10"/>
  <c r="P273" i="10"/>
  <c r="P282" i="10"/>
  <c r="J295" i="10"/>
  <c r="O295" i="10" s="1"/>
  <c r="P302" i="10"/>
  <c r="P330" i="10"/>
  <c r="J344" i="10"/>
  <c r="O344" i="10" s="1"/>
  <c r="J370" i="10"/>
  <c r="O370" i="10" s="1"/>
  <c r="D7" i="8"/>
  <c r="E7" i="8" s="1"/>
  <c r="B21" i="2"/>
  <c r="F7" i="8" s="1"/>
  <c r="C6" i="8"/>
  <c r="C8" i="8" s="1"/>
  <c r="B18" i="2"/>
  <c r="I14" i="5"/>
  <c r="J14" i="5" s="1"/>
  <c r="H17" i="5"/>
  <c r="G17" i="5"/>
  <c r="I23" i="5"/>
  <c r="J23" i="5" s="1"/>
  <c r="I22" i="5"/>
  <c r="J22" i="5" s="1"/>
  <c r="H25" i="5"/>
  <c r="G25" i="5"/>
  <c r="O22" i="5"/>
  <c r="P7" i="10"/>
  <c r="J7" i="10"/>
  <c r="O7" i="10" s="1"/>
  <c r="I12" i="5"/>
  <c r="J12" i="5" s="1"/>
  <c r="H16" i="5"/>
  <c r="O16" i="5" s="1"/>
  <c r="I15" i="5"/>
  <c r="J15" i="5" s="1"/>
  <c r="I20" i="5"/>
  <c r="J20" i="5" s="1"/>
  <c r="H24" i="5"/>
  <c r="I24" i="5" s="1"/>
  <c r="J24" i="5" s="1"/>
  <c r="O13" i="5"/>
  <c r="O21" i="5"/>
  <c r="J26" i="10"/>
  <c r="O26" i="10" s="1"/>
  <c r="I40" i="10"/>
  <c r="H40" i="10"/>
  <c r="J50" i="10"/>
  <c r="O50" i="10" s="1"/>
  <c r="I56" i="10"/>
  <c r="H56" i="10"/>
  <c r="J72" i="10"/>
  <c r="O72" i="10" s="1"/>
  <c r="P72" i="10"/>
  <c r="O12" i="5"/>
  <c r="O20" i="5"/>
  <c r="J9" i="10"/>
  <c r="O9" i="10" s="1"/>
  <c r="I44" i="10"/>
  <c r="H44" i="10"/>
  <c r="I110" i="10"/>
  <c r="H110" i="10"/>
  <c r="G11" i="5"/>
  <c r="I13" i="5"/>
  <c r="J13" i="5" s="1"/>
  <c r="G19" i="5"/>
  <c r="I21" i="5"/>
  <c r="J21" i="5" s="1"/>
  <c r="G27" i="5"/>
  <c r="J11" i="10"/>
  <c r="O11" i="10" s="1"/>
  <c r="J13" i="10"/>
  <c r="O13" i="10" s="1"/>
  <c r="P24" i="10"/>
  <c r="J34" i="10"/>
  <c r="O34" i="10" s="1"/>
  <c r="J58" i="10"/>
  <c r="O58" i="10" s="1"/>
  <c r="H61" i="10"/>
  <c r="I61" i="10"/>
  <c r="J102" i="10"/>
  <c r="O102" i="10" s="1"/>
  <c r="P102" i="10"/>
  <c r="G10" i="5"/>
  <c r="G18" i="5"/>
  <c r="G26" i="5"/>
  <c r="J6" i="10"/>
  <c r="O6" i="10" s="1"/>
  <c r="J15" i="10"/>
  <c r="O15" i="10" s="1"/>
  <c r="J17" i="10"/>
  <c r="O17" i="10" s="1"/>
  <c r="P28" i="10"/>
  <c r="P39" i="10"/>
  <c r="J46" i="10"/>
  <c r="O46" i="10" s="1"/>
  <c r="P50" i="10"/>
  <c r="I52" i="10"/>
  <c r="H52" i="10"/>
  <c r="P62" i="10"/>
  <c r="J62" i="10"/>
  <c r="O62" i="10" s="1"/>
  <c r="J76" i="10"/>
  <c r="O76" i="10" s="1"/>
  <c r="P76" i="10"/>
  <c r="P82" i="10"/>
  <c r="J82" i="10"/>
  <c r="O82" i="10" s="1"/>
  <c r="J10" i="10"/>
  <c r="O10" i="10" s="1"/>
  <c r="J19" i="10"/>
  <c r="O19" i="10" s="1"/>
  <c r="J21" i="10"/>
  <c r="O21" i="10" s="1"/>
  <c r="H27" i="10"/>
  <c r="P32" i="10"/>
  <c r="I100" i="10"/>
  <c r="H100" i="10"/>
  <c r="I12" i="10"/>
  <c r="P12" i="10" s="1"/>
  <c r="J14" i="10"/>
  <c r="O14" i="10" s="1"/>
  <c r="J23" i="10"/>
  <c r="O23" i="10" s="1"/>
  <c r="J25" i="10"/>
  <c r="O25" i="10" s="1"/>
  <c r="H29" i="10"/>
  <c r="H31" i="10"/>
  <c r="P36" i="10"/>
  <c r="P38" i="10"/>
  <c r="J54" i="10"/>
  <c r="O54" i="10" s="1"/>
  <c r="P55" i="10"/>
  <c r="P58" i="10"/>
  <c r="P8" i="10"/>
  <c r="P11" i="10"/>
  <c r="I16" i="10"/>
  <c r="P16" i="10" s="1"/>
  <c r="J18" i="10"/>
  <c r="O18" i="10" s="1"/>
  <c r="P26" i="10"/>
  <c r="H33" i="10"/>
  <c r="H35" i="10"/>
  <c r="J42" i="10"/>
  <c r="O42" i="10" s="1"/>
  <c r="P46" i="10"/>
  <c r="I48" i="10"/>
  <c r="H48" i="10"/>
  <c r="P15" i="10"/>
  <c r="I20" i="10"/>
  <c r="J20" i="10" s="1"/>
  <c r="O20" i="10" s="1"/>
  <c r="J22" i="10"/>
  <c r="O22" i="10" s="1"/>
  <c r="P30" i="10"/>
  <c r="I37" i="10"/>
  <c r="H37" i="10"/>
  <c r="J41" i="10"/>
  <c r="O41" i="10" s="1"/>
  <c r="J73" i="10"/>
  <c r="O73" i="10" s="1"/>
  <c r="P73" i="10"/>
  <c r="J113" i="10"/>
  <c r="O113" i="10" s="1"/>
  <c r="P113" i="10"/>
  <c r="J124" i="10"/>
  <c r="O124" i="10" s="1"/>
  <c r="J39" i="10"/>
  <c r="O39" i="10" s="1"/>
  <c r="H45" i="10"/>
  <c r="J47" i="10"/>
  <c r="O47" i="10" s="1"/>
  <c r="H53" i="10"/>
  <c r="J55" i="10"/>
  <c r="O55" i="10" s="1"/>
  <c r="H60" i="10"/>
  <c r="J67" i="10"/>
  <c r="O67" i="10" s="1"/>
  <c r="J71" i="10"/>
  <c r="O71" i="10" s="1"/>
  <c r="P71" i="10"/>
  <c r="H75" i="10"/>
  <c r="I85" i="10"/>
  <c r="J85" i="10" s="1"/>
  <c r="O85" i="10" s="1"/>
  <c r="J87" i="10"/>
  <c r="O87" i="10" s="1"/>
  <c r="P87" i="10"/>
  <c r="P106" i="10"/>
  <c r="H117" i="10"/>
  <c r="I117" i="10"/>
  <c r="I130" i="10"/>
  <c r="H130" i="10"/>
  <c r="J135" i="10"/>
  <c r="O135" i="10" s="1"/>
  <c r="P135" i="10"/>
  <c r="P59" i="10"/>
  <c r="J64" i="10"/>
  <c r="O64" i="10" s="1"/>
  <c r="P69" i="10"/>
  <c r="H70" i="10"/>
  <c r="H88" i="10"/>
  <c r="J107" i="10"/>
  <c r="O107" i="10" s="1"/>
  <c r="J119" i="10"/>
  <c r="O119" i="10" s="1"/>
  <c r="P119" i="10"/>
  <c r="H120" i="10"/>
  <c r="I131" i="10"/>
  <c r="H131" i="10"/>
  <c r="I132" i="10"/>
  <c r="H132" i="10"/>
  <c r="H133" i="10"/>
  <c r="I133" i="10"/>
  <c r="I155" i="10"/>
  <c r="H155" i="10"/>
  <c r="H157" i="10"/>
  <c r="I157" i="10"/>
  <c r="P43" i="10"/>
  <c r="P51" i="10"/>
  <c r="J92" i="10"/>
  <c r="O92" i="10" s="1"/>
  <c r="I98" i="10"/>
  <c r="H98" i="10"/>
  <c r="J106" i="10"/>
  <c r="O106" i="10" s="1"/>
  <c r="P108" i="10"/>
  <c r="H114" i="10"/>
  <c r="I78" i="10"/>
  <c r="H78" i="10"/>
  <c r="J81" i="10"/>
  <c r="O81" i="10" s="1"/>
  <c r="J95" i="10"/>
  <c r="O95" i="10" s="1"/>
  <c r="P95" i="10"/>
  <c r="P124" i="10"/>
  <c r="J126" i="10"/>
  <c r="O126" i="10" s="1"/>
  <c r="P128" i="10"/>
  <c r="P139" i="10"/>
  <c r="I217" i="10"/>
  <c r="H217" i="10"/>
  <c r="P41" i="10"/>
  <c r="J43" i="10"/>
  <c r="O43" i="10" s="1"/>
  <c r="H49" i="10"/>
  <c r="J51" i="10"/>
  <c r="O51" i="10" s="1"/>
  <c r="H57" i="10"/>
  <c r="J59" i="10"/>
  <c r="O59" i="10" s="1"/>
  <c r="J66" i="10"/>
  <c r="O66" i="10" s="1"/>
  <c r="J68" i="10"/>
  <c r="O68" i="10" s="1"/>
  <c r="H74" i="10"/>
  <c r="J90" i="10"/>
  <c r="O90" i="10" s="1"/>
  <c r="H91" i="10"/>
  <c r="J96" i="10"/>
  <c r="O96" i="10" s="1"/>
  <c r="J99" i="10"/>
  <c r="O99" i="10" s="1"/>
  <c r="J103" i="10"/>
  <c r="O103" i="10" s="1"/>
  <c r="P103" i="10"/>
  <c r="H116" i="10"/>
  <c r="J129" i="10"/>
  <c r="O129" i="10" s="1"/>
  <c r="P129" i="10"/>
  <c r="J65" i="10"/>
  <c r="O65" i="10" s="1"/>
  <c r="H84" i="10"/>
  <c r="P92" i="10"/>
  <c r="H94" i="10"/>
  <c r="J97" i="10"/>
  <c r="O97" i="10" s="1"/>
  <c r="P97" i="10"/>
  <c r="P107" i="10"/>
  <c r="H112" i="10"/>
  <c r="H118" i="10"/>
  <c r="J122" i="10"/>
  <c r="O122" i="10" s="1"/>
  <c r="H134" i="10"/>
  <c r="I156" i="10"/>
  <c r="H156" i="10"/>
  <c r="J63" i="10"/>
  <c r="O63" i="10" s="1"/>
  <c r="P63" i="10"/>
  <c r="P64" i="10"/>
  <c r="J79" i="10"/>
  <c r="O79" i="10" s="1"/>
  <c r="P79" i="10"/>
  <c r="P93" i="10"/>
  <c r="I101" i="10"/>
  <c r="J101" i="10" s="1"/>
  <c r="O101" i="10" s="1"/>
  <c r="I104" i="10"/>
  <c r="H104" i="10"/>
  <c r="I115" i="10"/>
  <c r="H115" i="10"/>
  <c r="P123" i="10"/>
  <c r="H149" i="10"/>
  <c r="I149" i="10"/>
  <c r="J111" i="10"/>
  <c r="O111" i="10" s="1"/>
  <c r="P111" i="10"/>
  <c r="H136" i="10"/>
  <c r="J139" i="10"/>
  <c r="O139" i="10" s="1"/>
  <c r="P140" i="10"/>
  <c r="J147" i="10"/>
  <c r="O147" i="10" s="1"/>
  <c r="P77" i="10"/>
  <c r="J89" i="10"/>
  <c r="O89" i="10" s="1"/>
  <c r="P109" i="10"/>
  <c r="J121" i="10"/>
  <c r="O121" i="10" s="1"/>
  <c r="P141" i="10"/>
  <c r="H142" i="10"/>
  <c r="J151" i="10"/>
  <c r="O151" i="10" s="1"/>
  <c r="J144" i="10"/>
  <c r="O144" i="10" s="1"/>
  <c r="J153" i="10"/>
  <c r="O153" i="10" s="1"/>
  <c r="P153" i="10"/>
  <c r="J154" i="10"/>
  <c r="O154" i="10" s="1"/>
  <c r="P154" i="10"/>
  <c r="J127" i="10"/>
  <c r="O127" i="10" s="1"/>
  <c r="P127" i="10"/>
  <c r="J138" i="10"/>
  <c r="O138" i="10" s="1"/>
  <c r="J140" i="10"/>
  <c r="O140" i="10" s="1"/>
  <c r="J148" i="10"/>
  <c r="O148" i="10" s="1"/>
  <c r="P158" i="10"/>
  <c r="J158" i="10"/>
  <c r="O158" i="10" s="1"/>
  <c r="I169" i="10"/>
  <c r="H169" i="10"/>
  <c r="P125" i="10"/>
  <c r="J137" i="10"/>
  <c r="O137" i="10" s="1"/>
  <c r="P170" i="10"/>
  <c r="J170" i="10"/>
  <c r="O170" i="10" s="1"/>
  <c r="J173" i="10"/>
  <c r="O173" i="10" s="1"/>
  <c r="P173" i="10"/>
  <c r="I179" i="10"/>
  <c r="H179" i="10"/>
  <c r="J150" i="10"/>
  <c r="O150" i="10" s="1"/>
  <c r="I161" i="10"/>
  <c r="H161" i="10"/>
  <c r="P163" i="10"/>
  <c r="P152" i="10"/>
  <c r="I160" i="10"/>
  <c r="J160" i="10" s="1"/>
  <c r="O160" i="10" s="1"/>
  <c r="P165" i="10"/>
  <c r="J175" i="10"/>
  <c r="O175" i="10" s="1"/>
  <c r="H188" i="10"/>
  <c r="I188" i="10"/>
  <c r="J191" i="10"/>
  <c r="O191" i="10" s="1"/>
  <c r="P191" i="10"/>
  <c r="I201" i="10"/>
  <c r="H201" i="10"/>
  <c r="I205" i="10"/>
  <c r="H205" i="10"/>
  <c r="P224" i="10"/>
  <c r="J224" i="10"/>
  <c r="O224" i="10" s="1"/>
  <c r="P180" i="10"/>
  <c r="J182" i="10"/>
  <c r="O182" i="10" s="1"/>
  <c r="P182" i="10"/>
  <c r="I197" i="10"/>
  <c r="H197" i="10"/>
  <c r="P200" i="10"/>
  <c r="J200" i="10"/>
  <c r="O200" i="10" s="1"/>
  <c r="P231" i="10"/>
  <c r="J231" i="10"/>
  <c r="O231" i="10" s="1"/>
  <c r="J166" i="10"/>
  <c r="O166" i="10" s="1"/>
  <c r="J168" i="10"/>
  <c r="O168" i="10" s="1"/>
  <c r="J178" i="10"/>
  <c r="O178" i="10" s="1"/>
  <c r="J185" i="10"/>
  <c r="O185" i="10" s="1"/>
  <c r="I186" i="10"/>
  <c r="J186" i="10" s="1"/>
  <c r="O186" i="10" s="1"/>
  <c r="P192" i="10"/>
  <c r="P195" i="10"/>
  <c r="J195" i="10"/>
  <c r="O195" i="10" s="1"/>
  <c r="P203" i="10"/>
  <c r="J203" i="10"/>
  <c r="O203" i="10" s="1"/>
  <c r="J143" i="10"/>
  <c r="O143" i="10" s="1"/>
  <c r="J159" i="10"/>
  <c r="O159" i="10" s="1"/>
  <c r="J164" i="10"/>
  <c r="O164" i="10" s="1"/>
  <c r="J171" i="10"/>
  <c r="O171" i="10" s="1"/>
  <c r="H176" i="10"/>
  <c r="J187" i="10"/>
  <c r="O187" i="10" s="1"/>
  <c r="P187" i="10"/>
  <c r="J192" i="10"/>
  <c r="O192" i="10" s="1"/>
  <c r="H196" i="10"/>
  <c r="I196" i="10"/>
  <c r="J206" i="10"/>
  <c r="O206" i="10" s="1"/>
  <c r="P206" i="10"/>
  <c r="I209" i="10"/>
  <c r="H209" i="10"/>
  <c r="I213" i="10"/>
  <c r="H213" i="10"/>
  <c r="P181" i="10"/>
  <c r="J167" i="10"/>
  <c r="O167" i="10" s="1"/>
  <c r="P167" i="10"/>
  <c r="I172" i="10"/>
  <c r="J172" i="10" s="1"/>
  <c r="O172" i="10" s="1"/>
  <c r="P175" i="10"/>
  <c r="J211" i="10"/>
  <c r="O211" i="10" s="1"/>
  <c r="P211" i="10"/>
  <c r="P226" i="10"/>
  <c r="J226" i="10"/>
  <c r="O226" i="10" s="1"/>
  <c r="I183" i="10"/>
  <c r="H183" i="10"/>
  <c r="J184" i="10"/>
  <c r="O184" i="10" s="1"/>
  <c r="P184" i="10"/>
  <c r="J189" i="10"/>
  <c r="O189" i="10" s="1"/>
  <c r="I194" i="10"/>
  <c r="H194" i="10"/>
  <c r="J199" i="10"/>
  <c r="O199" i="10" s="1"/>
  <c r="P199" i="10"/>
  <c r="P210" i="10"/>
  <c r="I220" i="10"/>
  <c r="H220" i="10"/>
  <c r="P291" i="10"/>
  <c r="J291" i="10"/>
  <c r="O291" i="10" s="1"/>
  <c r="J215" i="10"/>
  <c r="O215" i="10" s="1"/>
  <c r="J230" i="10"/>
  <c r="O230" i="10" s="1"/>
  <c r="P230" i="10"/>
  <c r="J234" i="10"/>
  <c r="O234" i="10" s="1"/>
  <c r="P241" i="10"/>
  <c r="J241" i="10"/>
  <c r="O241" i="10" s="1"/>
  <c r="I243" i="10"/>
  <c r="H243" i="10"/>
  <c r="J253" i="10"/>
  <c r="O253" i="10" s="1"/>
  <c r="P253" i="10"/>
  <c r="P261" i="10"/>
  <c r="J261" i="10"/>
  <c r="O261" i="10" s="1"/>
  <c r="I223" i="10"/>
  <c r="H223" i="10"/>
  <c r="I228" i="10"/>
  <c r="H228" i="10"/>
  <c r="J238" i="10"/>
  <c r="O238" i="10" s="1"/>
  <c r="P240" i="10"/>
  <c r="J174" i="10"/>
  <c r="O174" i="10" s="1"/>
  <c r="I207" i="10"/>
  <c r="J207" i="10" s="1"/>
  <c r="O207" i="10" s="1"/>
  <c r="J225" i="10"/>
  <c r="O225" i="10" s="1"/>
  <c r="P225" i="10"/>
  <c r="J233" i="10"/>
  <c r="O233" i="10" s="1"/>
  <c r="P234" i="10"/>
  <c r="H242" i="10"/>
  <c r="I242" i="10"/>
  <c r="H332" i="10"/>
  <c r="I332" i="10"/>
  <c r="I202" i="10"/>
  <c r="H202" i="10"/>
  <c r="I204" i="10"/>
  <c r="J204" i="10" s="1"/>
  <c r="O204" i="10" s="1"/>
  <c r="J208" i="10"/>
  <c r="O208" i="10" s="1"/>
  <c r="P208" i="10"/>
  <c r="P235" i="10"/>
  <c r="J235" i="10"/>
  <c r="O235" i="10" s="1"/>
  <c r="P238" i="10"/>
  <c r="J240" i="10"/>
  <c r="O240" i="10" s="1"/>
  <c r="J246" i="10"/>
  <c r="O246" i="10" s="1"/>
  <c r="P246" i="10"/>
  <c r="H248" i="10"/>
  <c r="I248" i="10"/>
  <c r="I265" i="10"/>
  <c r="H265" i="10"/>
  <c r="H311" i="10"/>
  <c r="I311" i="10"/>
  <c r="P215" i="10"/>
  <c r="H218" i="10"/>
  <c r="P233" i="10"/>
  <c r="J306" i="10"/>
  <c r="O306" i="10" s="1"/>
  <c r="P306" i="10"/>
  <c r="J180" i="10"/>
  <c r="O180" i="10" s="1"/>
  <c r="J193" i="10"/>
  <c r="O193" i="10" s="1"/>
  <c r="H212" i="10"/>
  <c r="I212" i="10"/>
  <c r="J214" i="10"/>
  <c r="O214" i="10" s="1"/>
  <c r="P214" i="10"/>
  <c r="J221" i="10"/>
  <c r="O221" i="10" s="1"/>
  <c r="P258" i="10"/>
  <c r="H272" i="10"/>
  <c r="I272" i="10"/>
  <c r="J293" i="10"/>
  <c r="O293" i="10" s="1"/>
  <c r="P293" i="10"/>
  <c r="I252" i="10"/>
  <c r="H252" i="10"/>
  <c r="H268" i="10"/>
  <c r="J274" i="10"/>
  <c r="O274" i="10" s="1"/>
  <c r="I275" i="10"/>
  <c r="J275" i="10" s="1"/>
  <c r="O275" i="10" s="1"/>
  <c r="P278" i="10"/>
  <c r="J278" i="10"/>
  <c r="O278" i="10" s="1"/>
  <c r="P281" i="10"/>
  <c r="P285" i="10"/>
  <c r="P305" i="10"/>
  <c r="J219" i="10"/>
  <c r="O219" i="10" s="1"/>
  <c r="H232" i="10"/>
  <c r="H247" i="10"/>
  <c r="P251" i="10"/>
  <c r="J267" i="10"/>
  <c r="O267" i="10" s="1"/>
  <c r="I292" i="10"/>
  <c r="H292" i="10"/>
  <c r="P318" i="10"/>
  <c r="J318" i="10"/>
  <c r="O318" i="10" s="1"/>
  <c r="I360" i="10"/>
  <c r="H360" i="10"/>
  <c r="J198" i="10"/>
  <c r="O198" i="10" s="1"/>
  <c r="I227" i="10"/>
  <c r="J227" i="10" s="1"/>
  <c r="O227" i="10" s="1"/>
  <c r="J229" i="10"/>
  <c r="O229" i="10" s="1"/>
  <c r="J245" i="10"/>
  <c r="O245" i="10" s="1"/>
  <c r="J254" i="10"/>
  <c r="O254" i="10" s="1"/>
  <c r="I320" i="10"/>
  <c r="H320" i="10"/>
  <c r="J237" i="10"/>
  <c r="O237" i="10" s="1"/>
  <c r="P267" i="10"/>
  <c r="P271" i="10"/>
  <c r="P274" i="10"/>
  <c r="I279" i="10"/>
  <c r="H279" i="10"/>
  <c r="P250" i="10"/>
  <c r="I262" i="10"/>
  <c r="H262" i="10"/>
  <c r="I269" i="10"/>
  <c r="H269" i="10"/>
  <c r="P300" i="10"/>
  <c r="J300" i="10"/>
  <c r="O300" i="10" s="1"/>
  <c r="P327" i="10"/>
  <c r="J327" i="10"/>
  <c r="O327" i="10" s="1"/>
  <c r="J190" i="10"/>
  <c r="O190" i="10" s="1"/>
  <c r="J222" i="10"/>
  <c r="O222" i="10" s="1"/>
  <c r="J239" i="10"/>
  <c r="O239" i="10" s="1"/>
  <c r="J249" i="10"/>
  <c r="O249" i="10" s="1"/>
  <c r="I255" i="10"/>
  <c r="H255" i="10"/>
  <c r="H257" i="10"/>
  <c r="J260" i="10"/>
  <c r="O260" i="10" s="1"/>
  <c r="J266" i="10"/>
  <c r="O266" i="10" s="1"/>
  <c r="P266" i="10"/>
  <c r="J271" i="10"/>
  <c r="O271" i="10" s="1"/>
  <c r="J308" i="10"/>
  <c r="O308" i="10" s="1"/>
  <c r="H284" i="10"/>
  <c r="J285" i="10"/>
  <c r="O285" i="10" s="1"/>
  <c r="P288" i="10"/>
  <c r="J297" i="10"/>
  <c r="O297" i="10" s="1"/>
  <c r="J302" i="10"/>
  <c r="O302" i="10" s="1"/>
  <c r="I304" i="10"/>
  <c r="H304" i="10"/>
  <c r="H310" i="10"/>
  <c r="J317" i="10"/>
  <c r="O317" i="10" s="1"/>
  <c r="J321" i="10"/>
  <c r="O321" i="10" s="1"/>
  <c r="J339" i="10"/>
  <c r="O339" i="10" s="1"/>
  <c r="P339" i="10"/>
  <c r="I349" i="10"/>
  <c r="H349" i="10"/>
  <c r="P264" i="10"/>
  <c r="P283" i="10"/>
  <c r="J290" i="10"/>
  <c r="O290" i="10" s="1"/>
  <c r="J313" i="10"/>
  <c r="O313" i="10" s="1"/>
  <c r="H315" i="10"/>
  <c r="P347" i="10"/>
  <c r="J305" i="10"/>
  <c r="O305" i="10" s="1"/>
  <c r="I312" i="10"/>
  <c r="H312" i="10"/>
  <c r="P333" i="10"/>
  <c r="J333" i="10"/>
  <c r="O333" i="10" s="1"/>
  <c r="H236" i="10"/>
  <c r="H244" i="10"/>
  <c r="H259" i="10"/>
  <c r="J263" i="10"/>
  <c r="O263" i="10" s="1"/>
  <c r="J270" i="10"/>
  <c r="O270" i="10" s="1"/>
  <c r="H276" i="10"/>
  <c r="J277" i="10"/>
  <c r="O277" i="10" s="1"/>
  <c r="P280" i="10"/>
  <c r="H286" i="10"/>
  <c r="H289" i="10"/>
  <c r="P295" i="10"/>
  <c r="H301" i="10"/>
  <c r="J303" i="10"/>
  <c r="O303" i="10" s="1"/>
  <c r="I319" i="10"/>
  <c r="P319" i="10" s="1"/>
  <c r="P256" i="10"/>
  <c r="J282" i="10"/>
  <c r="O282" i="10" s="1"/>
  <c r="J283" i="10"/>
  <c r="O283" i="10" s="1"/>
  <c r="H294" i="10"/>
  <c r="J299" i="10"/>
  <c r="O299" i="10" s="1"/>
  <c r="H307" i="10"/>
  <c r="P317" i="10"/>
  <c r="J258" i="10"/>
  <c r="O258" i="10" s="1"/>
  <c r="J298" i="10"/>
  <c r="O298" i="10" s="1"/>
  <c r="P303" i="10"/>
  <c r="P341" i="10"/>
  <c r="I296" i="10"/>
  <c r="H296" i="10"/>
  <c r="J323" i="10"/>
  <c r="O323" i="10" s="1"/>
  <c r="P323" i="10"/>
  <c r="J341" i="10"/>
  <c r="O341" i="10" s="1"/>
  <c r="I343" i="10"/>
  <c r="H343" i="10"/>
  <c r="P367" i="10"/>
  <c r="J367" i="10"/>
  <c r="O367" i="10" s="1"/>
  <c r="P326" i="10"/>
  <c r="J331" i="10"/>
  <c r="O331" i="10" s="1"/>
  <c r="J350" i="10"/>
  <c r="O350" i="10" s="1"/>
  <c r="P352" i="10"/>
  <c r="J363" i="10"/>
  <c r="O363" i="10" s="1"/>
  <c r="J322" i="10"/>
  <c r="O322" i="10" s="1"/>
  <c r="P324" i="10"/>
  <c r="J325" i="10"/>
  <c r="O325" i="10" s="1"/>
  <c r="P344" i="10"/>
  <c r="J414" i="10"/>
  <c r="O414" i="10" s="1"/>
  <c r="P414" i="10"/>
  <c r="P314" i="10"/>
  <c r="J334" i="10"/>
  <c r="O334" i="10" s="1"/>
  <c r="P336" i="10"/>
  <c r="H351" i="10"/>
  <c r="I353" i="10"/>
  <c r="H353" i="10"/>
  <c r="J354" i="10"/>
  <c r="O354" i="10" s="1"/>
  <c r="I356" i="10"/>
  <c r="H356" i="10"/>
  <c r="J357" i="10"/>
  <c r="O357" i="10" s="1"/>
  <c r="P358" i="10"/>
  <c r="I362" i="10"/>
  <c r="H362" i="10"/>
  <c r="I365" i="10"/>
  <c r="H365" i="10"/>
  <c r="H408" i="10"/>
  <c r="I408" i="10"/>
  <c r="P328" i="10"/>
  <c r="I345" i="10"/>
  <c r="H345" i="10"/>
  <c r="J346" i="10"/>
  <c r="O346" i="10" s="1"/>
  <c r="J359" i="10"/>
  <c r="O359" i="10" s="1"/>
  <c r="P359" i="10"/>
  <c r="I369" i="10"/>
  <c r="H369" i="10"/>
  <c r="P375" i="10"/>
  <c r="I388" i="10"/>
  <c r="H388" i="10"/>
  <c r="J314" i="10"/>
  <c r="O314" i="10" s="1"/>
  <c r="H335" i="10"/>
  <c r="I337" i="10"/>
  <c r="H337" i="10"/>
  <c r="J338" i="10"/>
  <c r="O338" i="10" s="1"/>
  <c r="P348" i="10"/>
  <c r="P357" i="10"/>
  <c r="P321" i="10"/>
  <c r="J324" i="10"/>
  <c r="O324" i="10" s="1"/>
  <c r="I329" i="10"/>
  <c r="H329" i="10"/>
  <c r="J330" i="10"/>
  <c r="O330" i="10" s="1"/>
  <c r="P331" i="10"/>
  <c r="P340" i="10"/>
  <c r="J347" i="10"/>
  <c r="O347" i="10" s="1"/>
  <c r="J361" i="10"/>
  <c r="O361" i="10" s="1"/>
  <c r="H373" i="10"/>
  <c r="P376" i="10"/>
  <c r="H385" i="10"/>
  <c r="H396" i="10"/>
  <c r="I401" i="10"/>
  <c r="H401" i="10"/>
  <c r="P364" i="10"/>
  <c r="J381" i="10"/>
  <c r="O381" i="10" s="1"/>
  <c r="P381" i="10"/>
  <c r="J386" i="10"/>
  <c r="O386" i="10" s="1"/>
  <c r="P386" i="10"/>
  <c r="P404" i="10"/>
  <c r="J404" i="10"/>
  <c r="O404" i="10" s="1"/>
  <c r="I407" i="10"/>
  <c r="H407" i="10"/>
  <c r="I412" i="10"/>
  <c r="H412" i="10"/>
  <c r="P355" i="10"/>
  <c r="P366" i="10"/>
  <c r="J383" i="10"/>
  <c r="O383" i="10" s="1"/>
  <c r="P383" i="10"/>
  <c r="J399" i="10"/>
  <c r="O399" i="10" s="1"/>
  <c r="P399" i="10"/>
  <c r="I377" i="10"/>
  <c r="H377" i="10"/>
  <c r="P387" i="10"/>
  <c r="P391" i="10"/>
  <c r="J391" i="10"/>
  <c r="O391" i="10" s="1"/>
  <c r="P398" i="10"/>
  <c r="J398" i="10"/>
  <c r="O398" i="10" s="1"/>
  <c r="I406" i="10"/>
  <c r="H406" i="10"/>
  <c r="H411" i="10"/>
  <c r="I411" i="10"/>
  <c r="J355" i="10"/>
  <c r="O355" i="10" s="1"/>
  <c r="J368" i="10"/>
  <c r="O368" i="10" s="1"/>
  <c r="J380" i="10"/>
  <c r="O380" i="10" s="1"/>
  <c r="J387" i="10"/>
  <c r="O387" i="10" s="1"/>
  <c r="I390" i="10"/>
  <c r="P390" i="10" s="1"/>
  <c r="H395" i="10"/>
  <c r="I395" i="10"/>
  <c r="J358" i="10"/>
  <c r="O358" i="10" s="1"/>
  <c r="I372" i="10"/>
  <c r="J372" i="10" s="1"/>
  <c r="O372" i="10" s="1"/>
  <c r="P374" i="10"/>
  <c r="H389" i="10"/>
  <c r="I393" i="10"/>
  <c r="H393" i="10"/>
  <c r="I409" i="10"/>
  <c r="H409" i="10"/>
  <c r="P415" i="10"/>
  <c r="J415" i="10"/>
  <c r="O415" i="10" s="1"/>
  <c r="P382" i="10"/>
  <c r="P392" i="10"/>
  <c r="J392" i="10"/>
  <c r="O392" i="10" s="1"/>
  <c r="J366" i="10"/>
  <c r="O366" i="10" s="1"/>
  <c r="J374" i="10"/>
  <c r="O374" i="10" s="1"/>
  <c r="I384" i="10"/>
  <c r="J384" i="10" s="1"/>
  <c r="O384" i="10" s="1"/>
  <c r="J410" i="10"/>
  <c r="O410" i="10" s="1"/>
  <c r="H423" i="10"/>
  <c r="H425" i="10"/>
  <c r="P429" i="10"/>
  <c r="H431" i="10"/>
  <c r="P400" i="10"/>
  <c r="P419" i="10"/>
  <c r="P420" i="10"/>
  <c r="I427" i="10"/>
  <c r="J427" i="10" s="1"/>
  <c r="O427" i="10" s="1"/>
  <c r="J397" i="10"/>
  <c r="O397" i="10" s="1"/>
  <c r="J418" i="10"/>
  <c r="O418" i="10" s="1"/>
  <c r="J394" i="10"/>
  <c r="O394" i="10" s="1"/>
  <c r="J405" i="10"/>
  <c r="O405" i="10" s="1"/>
  <c r="J420" i="10"/>
  <c r="O420" i="10" s="1"/>
  <c r="H422" i="10"/>
  <c r="J426" i="10"/>
  <c r="O426" i="10" s="1"/>
  <c r="J433" i="10"/>
  <c r="O433" i="10" s="1"/>
  <c r="P403" i="10"/>
  <c r="P416" i="10"/>
  <c r="I424" i="10"/>
  <c r="J424" i="10" s="1"/>
  <c r="O424" i="10" s="1"/>
  <c r="H428" i="10"/>
  <c r="J432" i="10"/>
  <c r="O432" i="10" s="1"/>
  <c r="P432" i="10"/>
  <c r="J378" i="10"/>
  <c r="O378" i="10" s="1"/>
  <c r="J379" i="10"/>
  <c r="O379" i="10" s="1"/>
  <c r="J402" i="10"/>
  <c r="O402" i="10" s="1"/>
  <c r="P410" i="10"/>
  <c r="J413" i="10"/>
  <c r="O413" i="10" s="1"/>
  <c r="H417" i="10"/>
  <c r="P421" i="10"/>
  <c r="P430" i="10"/>
  <c r="P437" i="10"/>
  <c r="J430" i="10"/>
  <c r="O430" i="10" s="1"/>
  <c r="H436" i="10"/>
  <c r="H435" i="10"/>
  <c r="J437" i="10"/>
  <c r="O437" i="10" s="1"/>
  <c r="P434" i="10"/>
  <c r="J434" i="10"/>
  <c r="O434" i="10" s="1"/>
  <c r="P204" i="10" l="1"/>
  <c r="P372" i="10"/>
  <c r="P275" i="10"/>
  <c r="J12" i="10"/>
  <c r="O12" i="10" s="1"/>
  <c r="P85" i="10"/>
  <c r="P384" i="10"/>
  <c r="P424" i="10"/>
  <c r="P269" i="10"/>
  <c r="J269" i="10"/>
  <c r="O269" i="10" s="1"/>
  <c r="P332" i="10"/>
  <c r="J332" i="10"/>
  <c r="O332" i="10" s="1"/>
  <c r="P149" i="10"/>
  <c r="J149" i="10"/>
  <c r="O149" i="10" s="1"/>
  <c r="J132" i="10"/>
  <c r="O132" i="10" s="1"/>
  <c r="P132" i="10"/>
  <c r="I10" i="5"/>
  <c r="J10" i="5" s="1"/>
  <c r="O10" i="5"/>
  <c r="P423" i="10"/>
  <c r="J423" i="10"/>
  <c r="O423" i="10" s="1"/>
  <c r="P411" i="10"/>
  <c r="J411" i="10"/>
  <c r="O411" i="10" s="1"/>
  <c r="J407" i="10"/>
  <c r="O407" i="10" s="1"/>
  <c r="P407" i="10"/>
  <c r="J390" i="10"/>
  <c r="O390" i="10" s="1"/>
  <c r="P356" i="10"/>
  <c r="J356" i="10"/>
  <c r="O356" i="10" s="1"/>
  <c r="J319" i="10"/>
  <c r="O319" i="10" s="1"/>
  <c r="J236" i="10"/>
  <c r="O236" i="10" s="1"/>
  <c r="P236" i="10"/>
  <c r="P207" i="10"/>
  <c r="P160" i="10"/>
  <c r="J161" i="10"/>
  <c r="O161" i="10" s="1"/>
  <c r="P161" i="10"/>
  <c r="P134" i="10"/>
  <c r="J134" i="10"/>
  <c r="O134" i="10" s="1"/>
  <c r="J53" i="10"/>
  <c r="O53" i="10" s="1"/>
  <c r="P53" i="10"/>
  <c r="I27" i="5"/>
  <c r="J27" i="5" s="1"/>
  <c r="O27" i="5"/>
  <c r="J417" i="10"/>
  <c r="O417" i="10" s="1"/>
  <c r="P417" i="10"/>
  <c r="P335" i="10"/>
  <c r="J335" i="10"/>
  <c r="O335" i="10" s="1"/>
  <c r="P172" i="10"/>
  <c r="P389" i="10"/>
  <c r="J389" i="10"/>
  <c r="O389" i="10" s="1"/>
  <c r="J385" i="10"/>
  <c r="O385" i="10" s="1"/>
  <c r="P385" i="10"/>
  <c r="P408" i="10"/>
  <c r="J408" i="10"/>
  <c r="O408" i="10" s="1"/>
  <c r="P315" i="10"/>
  <c r="J315" i="10"/>
  <c r="O315" i="10" s="1"/>
  <c r="P262" i="10"/>
  <c r="J262" i="10"/>
  <c r="O262" i="10" s="1"/>
  <c r="J360" i="10"/>
  <c r="O360" i="10" s="1"/>
  <c r="P360" i="10"/>
  <c r="P272" i="10"/>
  <c r="J272" i="10"/>
  <c r="O272" i="10" s="1"/>
  <c r="P212" i="10"/>
  <c r="J212" i="10"/>
  <c r="O212" i="10" s="1"/>
  <c r="P218" i="10"/>
  <c r="J218" i="10"/>
  <c r="O218" i="10" s="1"/>
  <c r="P248" i="10"/>
  <c r="J248" i="10"/>
  <c r="O248" i="10" s="1"/>
  <c r="P242" i="10"/>
  <c r="J242" i="10"/>
  <c r="O242" i="10" s="1"/>
  <c r="J197" i="10"/>
  <c r="O197" i="10" s="1"/>
  <c r="P197" i="10"/>
  <c r="J169" i="10"/>
  <c r="O169" i="10" s="1"/>
  <c r="P169" i="10"/>
  <c r="J94" i="10"/>
  <c r="O94" i="10" s="1"/>
  <c r="P94" i="10"/>
  <c r="J116" i="10"/>
  <c r="O116" i="10" s="1"/>
  <c r="P116" i="10"/>
  <c r="J74" i="10"/>
  <c r="O74" i="10" s="1"/>
  <c r="P74" i="10"/>
  <c r="P78" i="10"/>
  <c r="J78" i="10"/>
  <c r="O78" i="10" s="1"/>
  <c r="P157" i="10"/>
  <c r="J157" i="10"/>
  <c r="O157" i="10" s="1"/>
  <c r="J131" i="10"/>
  <c r="O131" i="10" s="1"/>
  <c r="P131" i="10"/>
  <c r="P101" i="10"/>
  <c r="P117" i="10"/>
  <c r="J117" i="10"/>
  <c r="O117" i="10" s="1"/>
  <c r="P75" i="10"/>
  <c r="J75" i="10"/>
  <c r="O75" i="10" s="1"/>
  <c r="P40" i="10"/>
  <c r="J40" i="10"/>
  <c r="O40" i="10" s="1"/>
  <c r="J244" i="10"/>
  <c r="O244" i="10" s="1"/>
  <c r="P244" i="10"/>
  <c r="P98" i="10"/>
  <c r="J98" i="10"/>
  <c r="O98" i="10" s="1"/>
  <c r="P48" i="10"/>
  <c r="J48" i="10"/>
  <c r="O48" i="10" s="1"/>
  <c r="P406" i="10"/>
  <c r="J406" i="10"/>
  <c r="O406" i="10" s="1"/>
  <c r="P329" i="10"/>
  <c r="J329" i="10"/>
  <c r="O329" i="10" s="1"/>
  <c r="P388" i="10"/>
  <c r="J388" i="10"/>
  <c r="O388" i="10" s="1"/>
  <c r="J365" i="10"/>
  <c r="O365" i="10" s="1"/>
  <c r="P365" i="10"/>
  <c r="J307" i="10"/>
  <c r="O307" i="10" s="1"/>
  <c r="P307" i="10"/>
  <c r="J349" i="10"/>
  <c r="O349" i="10" s="1"/>
  <c r="P349" i="10"/>
  <c r="P310" i="10"/>
  <c r="J310" i="10"/>
  <c r="O310" i="10" s="1"/>
  <c r="P227" i="10"/>
  <c r="P186" i="10"/>
  <c r="P115" i="10"/>
  <c r="J115" i="10"/>
  <c r="O115" i="10" s="1"/>
  <c r="J217" i="10"/>
  <c r="O217" i="10" s="1"/>
  <c r="P217" i="10"/>
  <c r="J155" i="10"/>
  <c r="O155" i="10" s="1"/>
  <c r="P155" i="10"/>
  <c r="P88" i="10"/>
  <c r="J88" i="10"/>
  <c r="O88" i="10" s="1"/>
  <c r="J45" i="10"/>
  <c r="O45" i="10" s="1"/>
  <c r="P45" i="10"/>
  <c r="J27" i="10"/>
  <c r="O27" i="10" s="1"/>
  <c r="P27" i="10"/>
  <c r="I19" i="5"/>
  <c r="J19" i="5" s="1"/>
  <c r="O19" i="5"/>
  <c r="P44" i="10"/>
  <c r="J44" i="10"/>
  <c r="O44" i="10" s="1"/>
  <c r="O24" i="5"/>
  <c r="B34" i="9"/>
  <c r="D6" i="8"/>
  <c r="F7" i="5"/>
  <c r="F23" i="3"/>
  <c r="F19" i="3"/>
  <c r="F15" i="3"/>
  <c r="F11" i="3"/>
  <c r="F7" i="3"/>
  <c r="B17" i="1"/>
  <c r="F14" i="3"/>
  <c r="F10" i="3"/>
  <c r="F21" i="3"/>
  <c r="F18" i="3"/>
  <c r="B21" i="1"/>
  <c r="F22" i="3"/>
  <c r="F9" i="3"/>
  <c r="B7" i="1"/>
  <c r="B20" i="1"/>
  <c r="N32" i="5"/>
  <c r="B28" i="3"/>
  <c r="F17" i="3"/>
  <c r="B19" i="2"/>
  <c r="F13" i="3"/>
  <c r="F24" i="3"/>
  <c r="F20" i="3"/>
  <c r="F16" i="3"/>
  <c r="F12" i="3"/>
  <c r="F8" i="3"/>
  <c r="B19" i="1"/>
  <c r="B18" i="1"/>
  <c r="P243" i="10"/>
  <c r="J243" i="10"/>
  <c r="O243" i="10" s="1"/>
  <c r="J209" i="10"/>
  <c r="O209" i="10" s="1"/>
  <c r="P209" i="10"/>
  <c r="J428" i="10"/>
  <c r="O428" i="10" s="1"/>
  <c r="P428" i="10"/>
  <c r="P427" i="10"/>
  <c r="J422" i="10"/>
  <c r="O422" i="10" s="1"/>
  <c r="P422" i="10"/>
  <c r="P377" i="10"/>
  <c r="J377" i="10"/>
  <c r="O377" i="10" s="1"/>
  <c r="P353" i="10"/>
  <c r="J353" i="10"/>
  <c r="O353" i="10" s="1"/>
  <c r="J276" i="10"/>
  <c r="O276" i="10" s="1"/>
  <c r="P276" i="10"/>
  <c r="J284" i="10"/>
  <c r="O284" i="10" s="1"/>
  <c r="P284" i="10"/>
  <c r="P268" i="10"/>
  <c r="J268" i="10"/>
  <c r="O268" i="10" s="1"/>
  <c r="J205" i="10"/>
  <c r="O205" i="10" s="1"/>
  <c r="P205" i="10"/>
  <c r="P188" i="10"/>
  <c r="J188" i="10"/>
  <c r="O188" i="10" s="1"/>
  <c r="J136" i="10"/>
  <c r="O136" i="10" s="1"/>
  <c r="P136" i="10"/>
  <c r="P118" i="10"/>
  <c r="J118" i="10"/>
  <c r="O118" i="10" s="1"/>
  <c r="P84" i="10"/>
  <c r="J84" i="10"/>
  <c r="O84" i="10" s="1"/>
  <c r="P114" i="10"/>
  <c r="J114" i="10"/>
  <c r="O114" i="10" s="1"/>
  <c r="J120" i="10"/>
  <c r="O120" i="10" s="1"/>
  <c r="P120" i="10"/>
  <c r="J70" i="10"/>
  <c r="O70" i="10" s="1"/>
  <c r="P70" i="10"/>
  <c r="J16" i="10"/>
  <c r="O16" i="10" s="1"/>
  <c r="J100" i="10"/>
  <c r="O100" i="10" s="1"/>
  <c r="P100" i="10"/>
  <c r="I16" i="5"/>
  <c r="J16" i="5" s="1"/>
  <c r="J436" i="10"/>
  <c r="O436" i="10" s="1"/>
  <c r="P436" i="10"/>
  <c r="P292" i="10"/>
  <c r="J292" i="10"/>
  <c r="O292" i="10" s="1"/>
  <c r="J49" i="10"/>
  <c r="O49" i="10" s="1"/>
  <c r="P49" i="10"/>
  <c r="P52" i="10"/>
  <c r="J52" i="10"/>
  <c r="O52" i="10" s="1"/>
  <c r="J409" i="10"/>
  <c r="O409" i="10" s="1"/>
  <c r="P409" i="10"/>
  <c r="P401" i="10"/>
  <c r="J401" i="10"/>
  <c r="O401" i="10" s="1"/>
  <c r="J373" i="10"/>
  <c r="O373" i="10" s="1"/>
  <c r="P373" i="10"/>
  <c r="P345" i="10"/>
  <c r="J345" i="10"/>
  <c r="O345" i="10" s="1"/>
  <c r="P362" i="10"/>
  <c r="J362" i="10"/>
  <c r="O362" i="10" s="1"/>
  <c r="J343" i="10"/>
  <c r="O343" i="10" s="1"/>
  <c r="P343" i="10"/>
  <c r="P296" i="10"/>
  <c r="J296" i="10"/>
  <c r="O296" i="10" s="1"/>
  <c r="J294" i="10"/>
  <c r="O294" i="10" s="1"/>
  <c r="P294" i="10"/>
  <c r="J301" i="10"/>
  <c r="O301" i="10" s="1"/>
  <c r="P301" i="10"/>
  <c r="P312" i="10"/>
  <c r="J312" i="10"/>
  <c r="O312" i="10" s="1"/>
  <c r="P304" i="10"/>
  <c r="J304" i="10"/>
  <c r="O304" i="10" s="1"/>
  <c r="P257" i="10"/>
  <c r="J257" i="10"/>
  <c r="O257" i="10" s="1"/>
  <c r="J279" i="10"/>
  <c r="O279" i="10" s="1"/>
  <c r="P279" i="10"/>
  <c r="P202" i="10"/>
  <c r="J202" i="10"/>
  <c r="O202" i="10" s="1"/>
  <c r="P228" i="10"/>
  <c r="J228" i="10"/>
  <c r="O228" i="10" s="1"/>
  <c r="P176" i="10"/>
  <c r="J176" i="10"/>
  <c r="O176" i="10" s="1"/>
  <c r="P179" i="10"/>
  <c r="J179" i="10"/>
  <c r="O179" i="10" s="1"/>
  <c r="J104" i="10"/>
  <c r="O104" i="10" s="1"/>
  <c r="P104" i="10"/>
  <c r="P112" i="10"/>
  <c r="J112" i="10"/>
  <c r="O112" i="10" s="1"/>
  <c r="J31" i="10"/>
  <c r="O31" i="10" s="1"/>
  <c r="P31" i="10"/>
  <c r="P61" i="10"/>
  <c r="J61" i="10"/>
  <c r="O61" i="10" s="1"/>
  <c r="I11" i="5"/>
  <c r="J11" i="5" s="1"/>
  <c r="O11" i="5"/>
  <c r="P56" i="10"/>
  <c r="J56" i="10"/>
  <c r="O56" i="10" s="1"/>
  <c r="P425" i="10"/>
  <c r="J425" i="10"/>
  <c r="O425" i="10" s="1"/>
  <c r="J286" i="10"/>
  <c r="O286" i="10" s="1"/>
  <c r="P286" i="10"/>
  <c r="J435" i="10"/>
  <c r="O435" i="10" s="1"/>
  <c r="P435" i="10"/>
  <c r="P431" i="10"/>
  <c r="J431" i="10"/>
  <c r="O431" i="10" s="1"/>
  <c r="P337" i="10"/>
  <c r="J337" i="10"/>
  <c r="O337" i="10" s="1"/>
  <c r="J351" i="10"/>
  <c r="O351" i="10" s="1"/>
  <c r="P351" i="10"/>
  <c r="P255" i="10"/>
  <c r="J255" i="10"/>
  <c r="O255" i="10" s="1"/>
  <c r="P320" i="10"/>
  <c r="J320" i="10"/>
  <c r="O320" i="10" s="1"/>
  <c r="P247" i="10"/>
  <c r="J247" i="10"/>
  <c r="O247" i="10" s="1"/>
  <c r="P252" i="10"/>
  <c r="J252" i="10"/>
  <c r="O252" i="10" s="1"/>
  <c r="P311" i="10"/>
  <c r="J311" i="10"/>
  <c r="O311" i="10" s="1"/>
  <c r="J213" i="10"/>
  <c r="O213" i="10" s="1"/>
  <c r="P213" i="10"/>
  <c r="P196" i="10"/>
  <c r="J196" i="10"/>
  <c r="O196" i="10" s="1"/>
  <c r="J201" i="10"/>
  <c r="O201" i="10" s="1"/>
  <c r="P201" i="10"/>
  <c r="J142" i="10"/>
  <c r="O142" i="10" s="1"/>
  <c r="P142" i="10"/>
  <c r="J57" i="10"/>
  <c r="O57" i="10" s="1"/>
  <c r="P57" i="10"/>
  <c r="P35" i="10"/>
  <c r="J35" i="10"/>
  <c r="O35" i="10" s="1"/>
  <c r="J29" i="10"/>
  <c r="O29" i="10" s="1"/>
  <c r="P29" i="10"/>
  <c r="I26" i="5"/>
  <c r="J26" i="5" s="1"/>
  <c r="O26" i="5"/>
  <c r="J110" i="10"/>
  <c r="O110" i="10" s="1"/>
  <c r="P110" i="10"/>
  <c r="P20" i="10"/>
  <c r="N6" i="9" s="1"/>
  <c r="I5" i="5" s="1"/>
  <c r="O25" i="5"/>
  <c r="I25" i="5"/>
  <c r="J25" i="5" s="1"/>
  <c r="P393" i="10"/>
  <c r="J393" i="10"/>
  <c r="O393" i="10" s="1"/>
  <c r="P395" i="10"/>
  <c r="J395" i="10"/>
  <c r="O395" i="10" s="1"/>
  <c r="J412" i="10"/>
  <c r="O412" i="10" s="1"/>
  <c r="P412" i="10"/>
  <c r="J396" i="10"/>
  <c r="O396" i="10" s="1"/>
  <c r="P396" i="10"/>
  <c r="P369" i="10"/>
  <c r="J369" i="10"/>
  <c r="O369" i="10" s="1"/>
  <c r="J289" i="10"/>
  <c r="O289" i="10" s="1"/>
  <c r="P289" i="10"/>
  <c r="J259" i="10"/>
  <c r="O259" i="10" s="1"/>
  <c r="P259" i="10"/>
  <c r="J232" i="10"/>
  <c r="O232" i="10" s="1"/>
  <c r="P232" i="10"/>
  <c r="J265" i="10"/>
  <c r="O265" i="10" s="1"/>
  <c r="P265" i="10"/>
  <c r="J223" i="10"/>
  <c r="O223" i="10" s="1"/>
  <c r="P223" i="10"/>
  <c r="P220" i="10"/>
  <c r="J220" i="10"/>
  <c r="O220" i="10" s="1"/>
  <c r="P194" i="10"/>
  <c r="J194" i="10"/>
  <c r="O194" i="10" s="1"/>
  <c r="J183" i="10"/>
  <c r="O183" i="10" s="1"/>
  <c r="P183" i="10"/>
  <c r="P156" i="10"/>
  <c r="J156" i="10"/>
  <c r="O156" i="10" s="1"/>
  <c r="J91" i="10"/>
  <c r="O91" i="10" s="1"/>
  <c r="P91" i="10"/>
  <c r="P133" i="10"/>
  <c r="J133" i="10"/>
  <c r="O133" i="10" s="1"/>
  <c r="J130" i="10"/>
  <c r="O130" i="10" s="1"/>
  <c r="P130" i="10"/>
  <c r="P60" i="10"/>
  <c r="J60" i="10"/>
  <c r="O60" i="10" s="1"/>
  <c r="P37" i="10"/>
  <c r="J37" i="10"/>
  <c r="O37" i="10" s="1"/>
  <c r="J33" i="10"/>
  <c r="O33" i="10" s="1"/>
  <c r="P33" i="10"/>
  <c r="I18" i="5"/>
  <c r="J18" i="5" s="1"/>
  <c r="O18" i="5"/>
  <c r="O17" i="5"/>
  <c r="I17" i="5"/>
  <c r="J17" i="5" s="1"/>
  <c r="N20" i="9" l="1"/>
  <c r="N26" i="9"/>
  <c r="N25" i="9"/>
  <c r="N27" i="9"/>
  <c r="N7" i="9"/>
  <c r="N29" i="9"/>
  <c r="N19" i="9"/>
  <c r="N16" i="9"/>
  <c r="N22" i="9"/>
  <c r="N8" i="9"/>
  <c r="N28" i="9"/>
  <c r="N11" i="9"/>
  <c r="N14" i="9"/>
  <c r="N24" i="9"/>
  <c r="N17" i="9"/>
  <c r="N18" i="9"/>
  <c r="N12" i="9"/>
  <c r="G404" i="10"/>
  <c r="G422" i="10"/>
  <c r="G386" i="10"/>
  <c r="G368" i="10"/>
  <c r="G332" i="10"/>
  <c r="G278" i="10"/>
  <c r="G314" i="10"/>
  <c r="G242" i="10"/>
  <c r="G296" i="10"/>
  <c r="G350" i="10"/>
  <c r="G260" i="10"/>
  <c r="G224" i="10"/>
  <c r="G206" i="10"/>
  <c r="G170" i="10"/>
  <c r="G188" i="10"/>
  <c r="G152" i="10"/>
  <c r="G116" i="10"/>
  <c r="G134" i="10"/>
  <c r="G62" i="10"/>
  <c r="G80" i="10"/>
  <c r="G44" i="10"/>
  <c r="G26" i="10"/>
  <c r="G98" i="10"/>
  <c r="G8" i="10"/>
  <c r="F12" i="5"/>
  <c r="E9" i="3"/>
  <c r="G402" i="10"/>
  <c r="G420" i="10"/>
  <c r="G366" i="10"/>
  <c r="G294" i="10"/>
  <c r="G330" i="10"/>
  <c r="G384" i="10"/>
  <c r="G348" i="10"/>
  <c r="G312" i="10"/>
  <c r="G258" i="10"/>
  <c r="G240" i="10"/>
  <c r="G186" i="10"/>
  <c r="G222" i="10"/>
  <c r="G204" i="10"/>
  <c r="G276" i="10"/>
  <c r="G132" i="10"/>
  <c r="G78" i="10"/>
  <c r="G168" i="10"/>
  <c r="G150" i="10"/>
  <c r="G96" i="10"/>
  <c r="G42" i="10"/>
  <c r="G114" i="10"/>
  <c r="G24" i="10"/>
  <c r="G6" i="10"/>
  <c r="F10" i="5"/>
  <c r="G60" i="10"/>
  <c r="E7" i="3"/>
  <c r="F25" i="3"/>
  <c r="C28" i="3" s="1"/>
  <c r="G391" i="10"/>
  <c r="G373" i="10"/>
  <c r="G427" i="10"/>
  <c r="G409" i="10"/>
  <c r="G355" i="10"/>
  <c r="G319" i="10"/>
  <c r="G247" i="10"/>
  <c r="G337" i="10"/>
  <c r="G265" i="10"/>
  <c r="G211" i="10"/>
  <c r="G301" i="10"/>
  <c r="G283" i="10"/>
  <c r="G229" i="10"/>
  <c r="G193" i="10"/>
  <c r="G157" i="10"/>
  <c r="G139" i="10"/>
  <c r="G175" i="10"/>
  <c r="G121" i="10"/>
  <c r="G67" i="10"/>
  <c r="G31" i="10"/>
  <c r="G103" i="10"/>
  <c r="G85" i="10"/>
  <c r="F17" i="5"/>
  <c r="G49" i="10"/>
  <c r="G13" i="10"/>
  <c r="E14" i="3"/>
  <c r="N21" i="9"/>
  <c r="G421" i="10"/>
  <c r="G385" i="10"/>
  <c r="G403" i="10"/>
  <c r="G331" i="10"/>
  <c r="G367" i="10"/>
  <c r="G349" i="10"/>
  <c r="G295" i="10"/>
  <c r="G313" i="10"/>
  <c r="G241" i="10"/>
  <c r="G277" i="10"/>
  <c r="G187" i="10"/>
  <c r="G259" i="10"/>
  <c r="G223" i="10"/>
  <c r="G205" i="10"/>
  <c r="G169" i="10"/>
  <c r="G151" i="10"/>
  <c r="G133" i="10"/>
  <c r="G7" i="10"/>
  <c r="G97" i="10"/>
  <c r="G79" i="10"/>
  <c r="G61" i="10"/>
  <c r="G115" i="10"/>
  <c r="G43" i="10"/>
  <c r="G25" i="10"/>
  <c r="F11" i="5"/>
  <c r="E8" i="3"/>
  <c r="G426" i="10"/>
  <c r="G390" i="10"/>
  <c r="G408" i="10"/>
  <c r="G372" i="10"/>
  <c r="G336" i="10"/>
  <c r="G318" i="10"/>
  <c r="G354" i="10"/>
  <c r="G300" i="10"/>
  <c r="G282" i="10"/>
  <c r="G246" i="10"/>
  <c r="G228" i="10"/>
  <c r="G210" i="10"/>
  <c r="G264" i="10"/>
  <c r="G156" i="10"/>
  <c r="G84" i="10"/>
  <c r="G102" i="10"/>
  <c r="G174" i="10"/>
  <c r="G192" i="10"/>
  <c r="G138" i="10"/>
  <c r="G48" i="10"/>
  <c r="G66" i="10"/>
  <c r="G120" i="10"/>
  <c r="G12" i="10"/>
  <c r="F16" i="5"/>
  <c r="G30" i="10"/>
  <c r="E13" i="3"/>
  <c r="G399" i="10"/>
  <c r="G435" i="10"/>
  <c r="G417" i="10"/>
  <c r="G363" i="10"/>
  <c r="G381" i="10"/>
  <c r="G327" i="10"/>
  <c r="G255" i="10"/>
  <c r="G345" i="10"/>
  <c r="G291" i="10"/>
  <c r="G309" i="10"/>
  <c r="G219" i="10"/>
  <c r="G273" i="10"/>
  <c r="G237" i="10"/>
  <c r="G201" i="10"/>
  <c r="G165" i="10"/>
  <c r="G183" i="10"/>
  <c r="G111" i="10"/>
  <c r="G93" i="10"/>
  <c r="G147" i="10"/>
  <c r="G39" i="10"/>
  <c r="G129" i="10"/>
  <c r="G57" i="10"/>
  <c r="F25" i="5"/>
  <c r="G75" i="10"/>
  <c r="G21" i="10"/>
  <c r="E22" i="3"/>
  <c r="G388" i="10"/>
  <c r="G424" i="10"/>
  <c r="G370" i="10"/>
  <c r="G352" i="10"/>
  <c r="G406" i="10"/>
  <c r="G334" i="10"/>
  <c r="G316" i="10"/>
  <c r="G298" i="10"/>
  <c r="G226" i="10"/>
  <c r="G262" i="10"/>
  <c r="G280" i="10"/>
  <c r="G208" i="10"/>
  <c r="G244" i="10"/>
  <c r="G190" i="10"/>
  <c r="G100" i="10"/>
  <c r="G172" i="10"/>
  <c r="G118" i="10"/>
  <c r="G154" i="10"/>
  <c r="G136" i="10"/>
  <c r="G82" i="10"/>
  <c r="G46" i="10"/>
  <c r="G64" i="10"/>
  <c r="G10" i="10"/>
  <c r="G28" i="10"/>
  <c r="F14" i="5"/>
  <c r="E11" i="3"/>
  <c r="G407" i="10"/>
  <c r="G425" i="10"/>
  <c r="G389" i="10"/>
  <c r="G371" i="10"/>
  <c r="G335" i="10"/>
  <c r="G263" i="10"/>
  <c r="G281" i="10"/>
  <c r="G353" i="10"/>
  <c r="G227" i="10"/>
  <c r="G299" i="10"/>
  <c r="G191" i="10"/>
  <c r="G245" i="10"/>
  <c r="G317" i="10"/>
  <c r="G209" i="10"/>
  <c r="G173" i="10"/>
  <c r="G137" i="10"/>
  <c r="G155" i="10"/>
  <c r="G119" i="10"/>
  <c r="G101" i="10"/>
  <c r="G47" i="10"/>
  <c r="G65" i="10"/>
  <c r="G83" i="10"/>
  <c r="G11" i="10"/>
  <c r="F15" i="5"/>
  <c r="G29" i="10"/>
  <c r="E12" i="3"/>
  <c r="F6" i="8"/>
  <c r="F8" i="8" s="1"/>
  <c r="E6" i="1" s="1"/>
  <c r="B8" i="1"/>
  <c r="G410" i="10"/>
  <c r="G428" i="10"/>
  <c r="G392" i="10"/>
  <c r="G374" i="10"/>
  <c r="G302" i="10"/>
  <c r="G338" i="10"/>
  <c r="G356" i="10"/>
  <c r="G248" i="10"/>
  <c r="G320" i="10"/>
  <c r="G266" i="10"/>
  <c r="G284" i="10"/>
  <c r="G194" i="10"/>
  <c r="G176" i="10"/>
  <c r="G212" i="10"/>
  <c r="G140" i="10"/>
  <c r="G68" i="10"/>
  <c r="G86" i="10"/>
  <c r="G230" i="10"/>
  <c r="G122" i="10"/>
  <c r="G158" i="10"/>
  <c r="G104" i="10"/>
  <c r="G50" i="10"/>
  <c r="G14" i="10"/>
  <c r="F18" i="5"/>
  <c r="G32" i="10"/>
  <c r="E15" i="3"/>
  <c r="D8" i="8"/>
  <c r="E6" i="8"/>
  <c r="E8" i="8" s="1"/>
  <c r="N10" i="9"/>
  <c r="N13" i="9"/>
  <c r="N23" i="9"/>
  <c r="G411" i="10"/>
  <c r="G429" i="10"/>
  <c r="G393" i="10"/>
  <c r="G375" i="10"/>
  <c r="G339" i="10"/>
  <c r="G303" i="10"/>
  <c r="G321" i="10"/>
  <c r="G357" i="10"/>
  <c r="G285" i="10"/>
  <c r="G195" i="10"/>
  <c r="G213" i="10"/>
  <c r="G249" i="10"/>
  <c r="G231" i="10"/>
  <c r="G267" i="10"/>
  <c r="G159" i="10"/>
  <c r="G177" i="10"/>
  <c r="G141" i="10"/>
  <c r="G123" i="10"/>
  <c r="G105" i="10"/>
  <c r="G87" i="10"/>
  <c r="G69" i="10"/>
  <c r="G15" i="10"/>
  <c r="G51" i="10"/>
  <c r="G33" i="10"/>
  <c r="F19" i="5"/>
  <c r="E16" i="3"/>
  <c r="G394" i="10"/>
  <c r="G430" i="10"/>
  <c r="G412" i="10"/>
  <c r="G376" i="10"/>
  <c r="G358" i="10"/>
  <c r="G340" i="10"/>
  <c r="G322" i="10"/>
  <c r="G304" i="10"/>
  <c r="G268" i="10"/>
  <c r="G286" i="10"/>
  <c r="G214" i="10"/>
  <c r="G250" i="10"/>
  <c r="G196" i="10"/>
  <c r="G232" i="10"/>
  <c r="G124" i="10"/>
  <c r="G142" i="10"/>
  <c r="G70" i="10"/>
  <c r="G178" i="10"/>
  <c r="G160" i="10"/>
  <c r="G106" i="10"/>
  <c r="G88" i="10"/>
  <c r="G52" i="10"/>
  <c r="G16" i="10"/>
  <c r="G34" i="10"/>
  <c r="F20" i="5"/>
  <c r="E17" i="3"/>
  <c r="G431" i="10"/>
  <c r="G413" i="10"/>
  <c r="G395" i="10"/>
  <c r="G359" i="10"/>
  <c r="G377" i="10"/>
  <c r="G341" i="10"/>
  <c r="G323" i="10"/>
  <c r="G287" i="10"/>
  <c r="G251" i="10"/>
  <c r="G269" i="10"/>
  <c r="G305" i="10"/>
  <c r="G179" i="10"/>
  <c r="G197" i="10"/>
  <c r="G233" i="10"/>
  <c r="G215" i="10"/>
  <c r="G161" i="10"/>
  <c r="G143" i="10"/>
  <c r="G107" i="10"/>
  <c r="G125" i="10"/>
  <c r="G71" i="10"/>
  <c r="G89" i="10"/>
  <c r="G35" i="10"/>
  <c r="G53" i="10"/>
  <c r="G17" i="10"/>
  <c r="F21" i="5"/>
  <c r="E18" i="3"/>
  <c r="G396" i="10"/>
  <c r="G432" i="10"/>
  <c r="G414" i="10"/>
  <c r="G378" i="10"/>
  <c r="G360" i="10"/>
  <c r="G324" i="10"/>
  <c r="G342" i="10"/>
  <c r="G306" i="10"/>
  <c r="G288" i="10"/>
  <c r="G234" i="10"/>
  <c r="G252" i="10"/>
  <c r="G270" i="10"/>
  <c r="G216" i="10"/>
  <c r="G198" i="10"/>
  <c r="G180" i="10"/>
  <c r="G108" i="10"/>
  <c r="G126" i="10"/>
  <c r="G162" i="10"/>
  <c r="G144" i="10"/>
  <c r="G54" i="10"/>
  <c r="G90" i="10"/>
  <c r="G72" i="10"/>
  <c r="G36" i="10"/>
  <c r="G18" i="10"/>
  <c r="E19" i="3"/>
  <c r="F22" i="5"/>
  <c r="N9" i="9"/>
  <c r="G415" i="10"/>
  <c r="G433" i="10"/>
  <c r="G397" i="10"/>
  <c r="G343" i="10"/>
  <c r="G379" i="10"/>
  <c r="G361" i="10"/>
  <c r="G271" i="10"/>
  <c r="G325" i="10"/>
  <c r="G307" i="10"/>
  <c r="G235" i="10"/>
  <c r="G289" i="10"/>
  <c r="G253" i="10"/>
  <c r="G199" i="10"/>
  <c r="G217" i="10"/>
  <c r="G163" i="10"/>
  <c r="G109" i="10"/>
  <c r="G181" i="10"/>
  <c r="G145" i="10"/>
  <c r="G127" i="10"/>
  <c r="G91" i="10"/>
  <c r="G73" i="10"/>
  <c r="G55" i="10"/>
  <c r="G19" i="10"/>
  <c r="F23" i="5"/>
  <c r="G37" i="10"/>
  <c r="E20" i="3"/>
  <c r="G434" i="10"/>
  <c r="G416" i="10"/>
  <c r="G344" i="10"/>
  <c r="G380" i="10"/>
  <c r="G362" i="10"/>
  <c r="G326" i="10"/>
  <c r="G398" i="10"/>
  <c r="G218" i="10"/>
  <c r="G272" i="10"/>
  <c r="G308" i="10"/>
  <c r="G290" i="10"/>
  <c r="G200" i="10"/>
  <c r="G254" i="10"/>
  <c r="G182" i="10"/>
  <c r="G164" i="10"/>
  <c r="G236" i="10"/>
  <c r="G92" i="10"/>
  <c r="G146" i="10"/>
  <c r="G110" i="10"/>
  <c r="G128" i="10"/>
  <c r="G56" i="10"/>
  <c r="G74" i="10"/>
  <c r="G38" i="10"/>
  <c r="G20" i="10"/>
  <c r="F24" i="5"/>
  <c r="E21" i="3"/>
  <c r="G418" i="10"/>
  <c r="G400" i="10"/>
  <c r="G382" i="10"/>
  <c r="G436" i="10"/>
  <c r="G328" i="10"/>
  <c r="G310" i="10"/>
  <c r="G346" i="10"/>
  <c r="G292" i="10"/>
  <c r="G364" i="10"/>
  <c r="G256" i="10"/>
  <c r="G220" i="10"/>
  <c r="G274" i="10"/>
  <c r="G148" i="10"/>
  <c r="G184" i="10"/>
  <c r="G238" i="10"/>
  <c r="G76" i="10"/>
  <c r="G202" i="10"/>
  <c r="G94" i="10"/>
  <c r="G166" i="10"/>
  <c r="G112" i="10"/>
  <c r="G130" i="10"/>
  <c r="G58" i="10"/>
  <c r="G22" i="10"/>
  <c r="G40" i="10"/>
  <c r="F26" i="5"/>
  <c r="E23" i="3"/>
  <c r="N15" i="9"/>
  <c r="G437" i="10"/>
  <c r="G383" i="10"/>
  <c r="G419" i="10"/>
  <c r="G401" i="10"/>
  <c r="G347" i="10"/>
  <c r="G365" i="10"/>
  <c r="G311" i="10"/>
  <c r="G329" i="10"/>
  <c r="G275" i="10"/>
  <c r="G203" i="10"/>
  <c r="G293" i="10"/>
  <c r="G257" i="10"/>
  <c r="G239" i="10"/>
  <c r="G221" i="10"/>
  <c r="G167" i="10"/>
  <c r="G149" i="10"/>
  <c r="G185" i="10"/>
  <c r="G95" i="10"/>
  <c r="G113" i="10"/>
  <c r="G131" i="10"/>
  <c r="G77" i="10"/>
  <c r="G23" i="10"/>
  <c r="G59" i="10"/>
  <c r="G41" i="10"/>
  <c r="F27" i="5"/>
  <c r="E24" i="3"/>
  <c r="G423" i="10"/>
  <c r="G387" i="10"/>
  <c r="G351" i="10"/>
  <c r="G369" i="10"/>
  <c r="G405" i="10"/>
  <c r="G279" i="10"/>
  <c r="G243" i="10"/>
  <c r="G333" i="10"/>
  <c r="G315" i="10"/>
  <c r="G225" i="10"/>
  <c r="G171" i="10"/>
  <c r="G297" i="10"/>
  <c r="G189" i="10"/>
  <c r="G261" i="10"/>
  <c r="G207" i="10"/>
  <c r="G153" i="10"/>
  <c r="G135" i="10"/>
  <c r="G117" i="10"/>
  <c r="G63" i="10"/>
  <c r="G81" i="10"/>
  <c r="G99" i="10"/>
  <c r="G27" i="10"/>
  <c r="G9" i="10"/>
  <c r="G45" i="10"/>
  <c r="F13" i="5"/>
  <c r="E10" i="3"/>
  <c r="F406" i="10" l="1"/>
  <c r="K406" i="10" s="1"/>
  <c r="F424" i="10"/>
  <c r="K424" i="10" s="1"/>
  <c r="L424" i="10" s="1"/>
  <c r="F370" i="10"/>
  <c r="K370" i="10" s="1"/>
  <c r="L370" i="10" s="1"/>
  <c r="F334" i="10"/>
  <c r="K334" i="10" s="1"/>
  <c r="L334" i="10" s="1"/>
  <c r="F388" i="10"/>
  <c r="K388" i="10" s="1"/>
  <c r="L388" i="10" s="1"/>
  <c r="F352" i="10"/>
  <c r="K352" i="10" s="1"/>
  <c r="F262" i="10"/>
  <c r="K262" i="10" s="1"/>
  <c r="F316" i="10"/>
  <c r="K316" i="10" s="1"/>
  <c r="L316" i="10" s="1"/>
  <c r="F298" i="10"/>
  <c r="K298" i="10" s="1"/>
  <c r="F226" i="10"/>
  <c r="K226" i="10" s="1"/>
  <c r="F244" i="10"/>
  <c r="K244" i="10" s="1"/>
  <c r="L244" i="10" s="1"/>
  <c r="F208" i="10"/>
  <c r="K208" i="10" s="1"/>
  <c r="L208" i="10" s="1"/>
  <c r="F190" i="10"/>
  <c r="K190" i="10" s="1"/>
  <c r="L190" i="10" s="1"/>
  <c r="F172" i="10"/>
  <c r="K172" i="10" s="1"/>
  <c r="L172" i="10" s="1"/>
  <c r="F154" i="10"/>
  <c r="K154" i="10" s="1"/>
  <c r="L154" i="10" s="1"/>
  <c r="F280" i="10"/>
  <c r="K280" i="10" s="1"/>
  <c r="L280" i="10" s="1"/>
  <c r="F64" i="10"/>
  <c r="K64" i="10" s="1"/>
  <c r="F136" i="10"/>
  <c r="K136" i="10" s="1"/>
  <c r="L136" i="10" s="1"/>
  <c r="F82" i="10"/>
  <c r="K82" i="10" s="1"/>
  <c r="L82" i="10" s="1"/>
  <c r="F46" i="10"/>
  <c r="K46" i="10" s="1"/>
  <c r="L46" i="10" s="1"/>
  <c r="F118" i="10"/>
  <c r="K118" i="10" s="1"/>
  <c r="L118" i="10" s="1"/>
  <c r="F100" i="10"/>
  <c r="K100" i="10" s="1"/>
  <c r="L100" i="10" s="1"/>
  <c r="F10" i="10"/>
  <c r="K10" i="10" s="1"/>
  <c r="L10" i="10" s="1"/>
  <c r="F28" i="10"/>
  <c r="K28" i="10" s="1"/>
  <c r="L28" i="10" s="1"/>
  <c r="E14" i="5"/>
  <c r="K14" i="5" s="1"/>
  <c r="F423" i="10"/>
  <c r="K423" i="10" s="1"/>
  <c r="L423" i="10" s="1"/>
  <c r="F405" i="10"/>
  <c r="K405" i="10" s="1"/>
  <c r="L405" i="10" s="1"/>
  <c r="F351" i="10"/>
  <c r="K351" i="10" s="1"/>
  <c r="L351" i="10" s="1"/>
  <c r="F387" i="10"/>
  <c r="K387" i="10" s="1"/>
  <c r="L387" i="10" s="1"/>
  <c r="F333" i="10"/>
  <c r="K333" i="10" s="1"/>
  <c r="L333" i="10" s="1"/>
  <c r="F369" i="10"/>
  <c r="K369" i="10" s="1"/>
  <c r="L369" i="10" s="1"/>
  <c r="F297" i="10"/>
  <c r="K297" i="10" s="1"/>
  <c r="F261" i="10"/>
  <c r="K261" i="10" s="1"/>
  <c r="L261" i="10" s="1"/>
  <c r="F225" i="10"/>
  <c r="K225" i="10" s="1"/>
  <c r="L225" i="10" s="1"/>
  <c r="F189" i="10"/>
  <c r="K189" i="10" s="1"/>
  <c r="L189" i="10" s="1"/>
  <c r="F243" i="10"/>
  <c r="K243" i="10" s="1"/>
  <c r="L243" i="10" s="1"/>
  <c r="F315" i="10"/>
  <c r="K315" i="10" s="1"/>
  <c r="L315" i="10" s="1"/>
  <c r="F279" i="10"/>
  <c r="K279" i="10" s="1"/>
  <c r="L279" i="10" s="1"/>
  <c r="F99" i="10"/>
  <c r="K99" i="10" s="1"/>
  <c r="F117" i="10"/>
  <c r="K117" i="10" s="1"/>
  <c r="F207" i="10"/>
  <c r="K207" i="10" s="1"/>
  <c r="L207" i="10" s="1"/>
  <c r="F171" i="10"/>
  <c r="K171" i="10" s="1"/>
  <c r="F153" i="10"/>
  <c r="K153" i="10" s="1"/>
  <c r="L153" i="10" s="1"/>
  <c r="F45" i="10"/>
  <c r="K45" i="10" s="1"/>
  <c r="F135" i="10"/>
  <c r="K135" i="10" s="1"/>
  <c r="L135" i="10" s="1"/>
  <c r="F63" i="10"/>
  <c r="K63" i="10" s="1"/>
  <c r="L63" i="10" s="1"/>
  <c r="F81" i="10"/>
  <c r="K81" i="10" s="1"/>
  <c r="L81" i="10" s="1"/>
  <c r="F9" i="10"/>
  <c r="K9" i="10" s="1"/>
  <c r="F27" i="10"/>
  <c r="K27" i="10" s="1"/>
  <c r="L27" i="10" s="1"/>
  <c r="E13" i="5"/>
  <c r="K13" i="5" s="1"/>
  <c r="L13" i="5" s="1"/>
  <c r="F409" i="10"/>
  <c r="K409" i="10" s="1"/>
  <c r="L409" i="10" s="1"/>
  <c r="F427" i="10"/>
  <c r="K427" i="10" s="1"/>
  <c r="L427" i="10" s="1"/>
  <c r="F391" i="10"/>
  <c r="K391" i="10" s="1"/>
  <c r="L391" i="10" s="1"/>
  <c r="F373" i="10"/>
  <c r="K373" i="10" s="1"/>
  <c r="L373" i="10" s="1"/>
  <c r="F301" i="10"/>
  <c r="K301" i="10" s="1"/>
  <c r="L301" i="10" s="1"/>
  <c r="F355" i="10"/>
  <c r="K355" i="10" s="1"/>
  <c r="L355" i="10" s="1"/>
  <c r="F337" i="10"/>
  <c r="K337" i="10" s="1"/>
  <c r="L337" i="10" s="1"/>
  <c r="F319" i="10"/>
  <c r="K319" i="10" s="1"/>
  <c r="L319" i="10" s="1"/>
  <c r="F283" i="10"/>
  <c r="K283" i="10" s="1"/>
  <c r="L283" i="10" s="1"/>
  <c r="F193" i="10"/>
  <c r="K193" i="10" s="1"/>
  <c r="L193" i="10" s="1"/>
  <c r="F265" i="10"/>
  <c r="K265" i="10" s="1"/>
  <c r="L265" i="10" s="1"/>
  <c r="F211" i="10"/>
  <c r="K211" i="10" s="1"/>
  <c r="L211" i="10" s="1"/>
  <c r="F229" i="10"/>
  <c r="K229" i="10" s="1"/>
  <c r="L229" i="10" s="1"/>
  <c r="F247" i="10"/>
  <c r="K247" i="10" s="1"/>
  <c r="L247" i="10" s="1"/>
  <c r="F175" i="10"/>
  <c r="K175" i="10" s="1"/>
  <c r="L175" i="10" s="1"/>
  <c r="F139" i="10"/>
  <c r="K139" i="10" s="1"/>
  <c r="F67" i="10"/>
  <c r="K67" i="10" s="1"/>
  <c r="L67" i="10" s="1"/>
  <c r="F85" i="10"/>
  <c r="K85" i="10" s="1"/>
  <c r="L85" i="10" s="1"/>
  <c r="F157" i="10"/>
  <c r="K157" i="10" s="1"/>
  <c r="L157" i="10" s="1"/>
  <c r="F49" i="10"/>
  <c r="K49" i="10" s="1"/>
  <c r="L49" i="10" s="1"/>
  <c r="F121" i="10"/>
  <c r="K121" i="10" s="1"/>
  <c r="F103" i="10"/>
  <c r="K103" i="10" s="1"/>
  <c r="L103" i="10" s="1"/>
  <c r="F13" i="10"/>
  <c r="K13" i="10" s="1"/>
  <c r="F31" i="10"/>
  <c r="K31" i="10" s="1"/>
  <c r="E17" i="5"/>
  <c r="K17" i="5" s="1"/>
  <c r="L17" i="5" s="1"/>
  <c r="F433" i="10"/>
  <c r="K433" i="10" s="1"/>
  <c r="L433" i="10" s="1"/>
  <c r="F415" i="10"/>
  <c r="K415" i="10" s="1"/>
  <c r="F397" i="10"/>
  <c r="K397" i="10" s="1"/>
  <c r="F361" i="10"/>
  <c r="K361" i="10" s="1"/>
  <c r="L361" i="10" s="1"/>
  <c r="F343" i="10"/>
  <c r="K343" i="10" s="1"/>
  <c r="L343" i="10" s="1"/>
  <c r="F379" i="10"/>
  <c r="K379" i="10" s="1"/>
  <c r="L379" i="10" s="1"/>
  <c r="F271" i="10"/>
  <c r="K271" i="10" s="1"/>
  <c r="L271" i="10" s="1"/>
  <c r="F325" i="10"/>
  <c r="K325" i="10" s="1"/>
  <c r="L325" i="10" s="1"/>
  <c r="F217" i="10"/>
  <c r="K217" i="10" s="1"/>
  <c r="L217" i="10" s="1"/>
  <c r="F307" i="10"/>
  <c r="K307" i="10" s="1"/>
  <c r="F289" i="10"/>
  <c r="K289" i="10" s="1"/>
  <c r="F253" i="10"/>
  <c r="K253" i="10" s="1"/>
  <c r="L253" i="10" s="1"/>
  <c r="F235" i="10"/>
  <c r="K235" i="10" s="1"/>
  <c r="L235" i="10" s="1"/>
  <c r="F199" i="10"/>
  <c r="K199" i="10" s="1"/>
  <c r="L199" i="10" s="1"/>
  <c r="F163" i="10"/>
  <c r="K163" i="10" s="1"/>
  <c r="L163" i="10" s="1"/>
  <c r="F181" i="10"/>
  <c r="K181" i="10" s="1"/>
  <c r="L181" i="10" s="1"/>
  <c r="F145" i="10"/>
  <c r="K145" i="10" s="1"/>
  <c r="L145" i="10" s="1"/>
  <c r="F91" i="10"/>
  <c r="K91" i="10" s="1"/>
  <c r="F109" i="10"/>
  <c r="K109" i="10" s="1"/>
  <c r="F127" i="10"/>
  <c r="K127" i="10" s="1"/>
  <c r="L127" i="10" s="1"/>
  <c r="F73" i="10"/>
  <c r="K73" i="10" s="1"/>
  <c r="L73" i="10" s="1"/>
  <c r="F55" i="10"/>
  <c r="K55" i="10" s="1"/>
  <c r="L55" i="10" s="1"/>
  <c r="E23" i="5"/>
  <c r="K23" i="5" s="1"/>
  <c r="L23" i="5" s="1"/>
  <c r="F37" i="10"/>
  <c r="K37" i="10" s="1"/>
  <c r="L37" i="10" s="1"/>
  <c r="F19" i="10"/>
  <c r="K19" i="10" s="1"/>
  <c r="L19" i="10" s="1"/>
  <c r="F428" i="10"/>
  <c r="K428" i="10" s="1"/>
  <c r="F374" i="10"/>
  <c r="K374" i="10" s="1"/>
  <c r="L374" i="10" s="1"/>
  <c r="F392" i="10"/>
  <c r="K392" i="10" s="1"/>
  <c r="L392" i="10" s="1"/>
  <c r="F338" i="10"/>
  <c r="K338" i="10" s="1"/>
  <c r="L338" i="10" s="1"/>
  <c r="F410" i="10"/>
  <c r="K410" i="10" s="1"/>
  <c r="F356" i="10"/>
  <c r="K356" i="10" s="1"/>
  <c r="L356" i="10" s="1"/>
  <c r="F302" i="10"/>
  <c r="K302" i="10" s="1"/>
  <c r="L302" i="10" s="1"/>
  <c r="F320" i="10"/>
  <c r="K320" i="10" s="1"/>
  <c r="L320" i="10" s="1"/>
  <c r="F248" i="10"/>
  <c r="K248" i="10" s="1"/>
  <c r="F194" i="10"/>
  <c r="K194" i="10" s="1"/>
  <c r="F230" i="10"/>
  <c r="K230" i="10" s="1"/>
  <c r="L230" i="10" s="1"/>
  <c r="F266" i="10"/>
  <c r="K266" i="10" s="1"/>
  <c r="L266" i="10" s="1"/>
  <c r="F284" i="10"/>
  <c r="K284" i="10" s="1"/>
  <c r="L284" i="10" s="1"/>
  <c r="F158" i="10"/>
  <c r="K158" i="10" s="1"/>
  <c r="L158" i="10" s="1"/>
  <c r="F212" i="10"/>
  <c r="K212" i="10" s="1"/>
  <c r="L212" i="10" s="1"/>
  <c r="F176" i="10"/>
  <c r="K176" i="10" s="1"/>
  <c r="L176" i="10" s="1"/>
  <c r="F140" i="10"/>
  <c r="K140" i="10" s="1"/>
  <c r="L140" i="10" s="1"/>
  <c r="F14" i="10"/>
  <c r="K14" i="10" s="1"/>
  <c r="F122" i="10"/>
  <c r="K122" i="10" s="1"/>
  <c r="L122" i="10" s="1"/>
  <c r="F104" i="10"/>
  <c r="K104" i="10" s="1"/>
  <c r="L104" i="10" s="1"/>
  <c r="F86" i="10"/>
  <c r="K86" i="10" s="1"/>
  <c r="L86" i="10" s="1"/>
  <c r="F68" i="10"/>
  <c r="K68" i="10" s="1"/>
  <c r="L68" i="10" s="1"/>
  <c r="F50" i="10"/>
  <c r="K50" i="10" s="1"/>
  <c r="L50" i="10" s="1"/>
  <c r="E18" i="5"/>
  <c r="K18" i="5" s="1"/>
  <c r="L18" i="5" s="1"/>
  <c r="F32" i="10"/>
  <c r="K32" i="10" s="1"/>
  <c r="F417" i="10"/>
  <c r="K417" i="10" s="1"/>
  <c r="L417" i="10" s="1"/>
  <c r="F381" i="10"/>
  <c r="K381" i="10" s="1"/>
  <c r="L381" i="10" s="1"/>
  <c r="F435" i="10"/>
  <c r="K435" i="10" s="1"/>
  <c r="L435" i="10" s="1"/>
  <c r="F399" i="10"/>
  <c r="K399" i="10" s="1"/>
  <c r="L399" i="10" s="1"/>
  <c r="F327" i="10"/>
  <c r="K327" i="10" s="1"/>
  <c r="L327" i="10" s="1"/>
  <c r="F363" i="10"/>
  <c r="K363" i="10" s="1"/>
  <c r="F309" i="10"/>
  <c r="K309" i="10" s="1"/>
  <c r="F345" i="10"/>
  <c r="K345" i="10" s="1"/>
  <c r="L345" i="10" s="1"/>
  <c r="F291" i="10"/>
  <c r="K291" i="10" s="1"/>
  <c r="L291" i="10" s="1"/>
  <c r="F255" i="10"/>
  <c r="K255" i="10" s="1"/>
  <c r="L255" i="10" s="1"/>
  <c r="F273" i="10"/>
  <c r="K273" i="10" s="1"/>
  <c r="F201" i="10"/>
  <c r="K201" i="10" s="1"/>
  <c r="L201" i="10" s="1"/>
  <c r="F237" i="10"/>
  <c r="K237" i="10" s="1"/>
  <c r="L237" i="10" s="1"/>
  <c r="F147" i="10"/>
  <c r="K147" i="10" s="1"/>
  <c r="F219" i="10"/>
  <c r="K219" i="10" s="1"/>
  <c r="F75" i="10"/>
  <c r="K75" i="10" s="1"/>
  <c r="L75" i="10" s="1"/>
  <c r="F165" i="10"/>
  <c r="K165" i="10" s="1"/>
  <c r="L165" i="10" s="1"/>
  <c r="F93" i="10"/>
  <c r="K93" i="10" s="1"/>
  <c r="L93" i="10" s="1"/>
  <c r="F183" i="10"/>
  <c r="K183" i="10" s="1"/>
  <c r="L183" i="10" s="1"/>
  <c r="F129" i="10"/>
  <c r="K129" i="10" s="1"/>
  <c r="L129" i="10" s="1"/>
  <c r="F111" i="10"/>
  <c r="K111" i="10" s="1"/>
  <c r="L111" i="10" s="1"/>
  <c r="F57" i="10"/>
  <c r="K57" i="10" s="1"/>
  <c r="F39" i="10"/>
  <c r="K39" i="10" s="1"/>
  <c r="E25" i="5"/>
  <c r="K25" i="5" s="1"/>
  <c r="L25" i="5" s="1"/>
  <c r="F21" i="10"/>
  <c r="K21" i="10" s="1"/>
  <c r="L21" i="10" s="1"/>
  <c r="F437" i="10"/>
  <c r="K437" i="10" s="1"/>
  <c r="F401" i="10"/>
  <c r="K401" i="10" s="1"/>
  <c r="F419" i="10"/>
  <c r="K419" i="10" s="1"/>
  <c r="F383" i="10"/>
  <c r="K383" i="10" s="1"/>
  <c r="L383" i="10" s="1"/>
  <c r="F365" i="10"/>
  <c r="K365" i="10" s="1"/>
  <c r="L365" i="10" s="1"/>
  <c r="F347" i="10"/>
  <c r="K347" i="10" s="1"/>
  <c r="L347" i="10" s="1"/>
  <c r="F293" i="10"/>
  <c r="K293" i="10" s="1"/>
  <c r="L293" i="10" s="1"/>
  <c r="F329" i="10"/>
  <c r="K329" i="10" s="1"/>
  <c r="L329" i="10" s="1"/>
  <c r="F257" i="10"/>
  <c r="K257" i="10" s="1"/>
  <c r="F311" i="10"/>
  <c r="K311" i="10" s="1"/>
  <c r="F275" i="10"/>
  <c r="K275" i="10" s="1"/>
  <c r="L275" i="10" s="1"/>
  <c r="F203" i="10"/>
  <c r="K203" i="10" s="1"/>
  <c r="L203" i="10" s="1"/>
  <c r="F239" i="10"/>
  <c r="K239" i="10" s="1"/>
  <c r="F221" i="10"/>
  <c r="K221" i="10" s="1"/>
  <c r="L221" i="10" s="1"/>
  <c r="F131" i="10"/>
  <c r="K131" i="10" s="1"/>
  <c r="L131" i="10" s="1"/>
  <c r="F167" i="10"/>
  <c r="K167" i="10" s="1"/>
  <c r="L167" i="10" s="1"/>
  <c r="F149" i="10"/>
  <c r="K149" i="10" s="1"/>
  <c r="F77" i="10"/>
  <c r="K77" i="10" s="1"/>
  <c r="L77" i="10" s="1"/>
  <c r="F113" i="10"/>
  <c r="K113" i="10" s="1"/>
  <c r="L113" i="10" s="1"/>
  <c r="F185" i="10"/>
  <c r="K185" i="10" s="1"/>
  <c r="L185" i="10" s="1"/>
  <c r="F95" i="10"/>
  <c r="K95" i="10" s="1"/>
  <c r="L95" i="10" s="1"/>
  <c r="F41" i="10"/>
  <c r="K41" i="10" s="1"/>
  <c r="L41" i="10" s="1"/>
  <c r="F59" i="10"/>
  <c r="K59" i="10" s="1"/>
  <c r="L59" i="10" s="1"/>
  <c r="F23" i="10"/>
  <c r="K23" i="10" s="1"/>
  <c r="L23" i="10" s="1"/>
  <c r="E27" i="5"/>
  <c r="K27" i="5" s="1"/>
  <c r="F393" i="10"/>
  <c r="K393" i="10" s="1"/>
  <c r="F429" i="10"/>
  <c r="K429" i="10" s="1"/>
  <c r="F357" i="10"/>
  <c r="K357" i="10" s="1"/>
  <c r="L357" i="10" s="1"/>
  <c r="F375" i="10"/>
  <c r="K375" i="10" s="1"/>
  <c r="F411" i="10"/>
  <c r="K411" i="10" s="1"/>
  <c r="F321" i="10"/>
  <c r="K321" i="10" s="1"/>
  <c r="L321" i="10" s="1"/>
  <c r="F285" i="10"/>
  <c r="K285" i="10" s="1"/>
  <c r="L285" i="10" s="1"/>
  <c r="F303" i="10"/>
  <c r="K303" i="10" s="1"/>
  <c r="L303" i="10" s="1"/>
  <c r="F249" i="10"/>
  <c r="K249" i="10" s="1"/>
  <c r="F231" i="10"/>
  <c r="K231" i="10" s="1"/>
  <c r="L231" i="10" s="1"/>
  <c r="F267" i="10"/>
  <c r="K267" i="10" s="1"/>
  <c r="L267" i="10" s="1"/>
  <c r="F213" i="10"/>
  <c r="K213" i="10" s="1"/>
  <c r="F177" i="10"/>
  <c r="K177" i="10" s="1"/>
  <c r="F339" i="10"/>
  <c r="K339" i="10" s="1"/>
  <c r="L339" i="10" s="1"/>
  <c r="F123" i="10"/>
  <c r="K123" i="10" s="1"/>
  <c r="L123" i="10" s="1"/>
  <c r="F141" i="10"/>
  <c r="K141" i="10" s="1"/>
  <c r="L141" i="10" s="1"/>
  <c r="F69" i="10"/>
  <c r="K69" i="10" s="1"/>
  <c r="F159" i="10"/>
  <c r="K159" i="10" s="1"/>
  <c r="L159" i="10" s="1"/>
  <c r="F195" i="10"/>
  <c r="K195" i="10" s="1"/>
  <c r="L195" i="10" s="1"/>
  <c r="F105" i="10"/>
  <c r="K105" i="10" s="1"/>
  <c r="F87" i="10"/>
  <c r="K87" i="10" s="1"/>
  <c r="L87" i="10" s="1"/>
  <c r="F51" i="10"/>
  <c r="K51" i="10" s="1"/>
  <c r="L51" i="10" s="1"/>
  <c r="F33" i="10"/>
  <c r="K33" i="10" s="1"/>
  <c r="L33" i="10" s="1"/>
  <c r="F15" i="10"/>
  <c r="K15" i="10" s="1"/>
  <c r="L15" i="10" s="1"/>
  <c r="E19" i="5"/>
  <c r="K19" i="5" s="1"/>
  <c r="L19" i="5" s="1"/>
  <c r="L410" i="10"/>
  <c r="F430" i="10"/>
  <c r="K430" i="10" s="1"/>
  <c r="F412" i="10"/>
  <c r="K412" i="10" s="1"/>
  <c r="F376" i="10"/>
  <c r="K376" i="10" s="1"/>
  <c r="L376" i="10" s="1"/>
  <c r="F394" i="10"/>
  <c r="K394" i="10" s="1"/>
  <c r="L394" i="10" s="1"/>
  <c r="F286" i="10"/>
  <c r="K286" i="10" s="1"/>
  <c r="L286" i="10" s="1"/>
  <c r="F358" i="10"/>
  <c r="K358" i="10" s="1"/>
  <c r="F340" i="10"/>
  <c r="K340" i="10" s="1"/>
  <c r="L340" i="10" s="1"/>
  <c r="F322" i="10"/>
  <c r="K322" i="10" s="1"/>
  <c r="L322" i="10" s="1"/>
  <c r="F304" i="10"/>
  <c r="K304" i="10" s="1"/>
  <c r="F268" i="10"/>
  <c r="K268" i="10" s="1"/>
  <c r="F196" i="10"/>
  <c r="K196" i="10" s="1"/>
  <c r="L196" i="10" s="1"/>
  <c r="F178" i="10"/>
  <c r="K178" i="10" s="1"/>
  <c r="L178" i="10" s="1"/>
  <c r="F214" i="10"/>
  <c r="K214" i="10" s="1"/>
  <c r="F250" i="10"/>
  <c r="K250" i="10" s="1"/>
  <c r="L250" i="10" s="1"/>
  <c r="F232" i="10"/>
  <c r="K232" i="10" s="1"/>
  <c r="L232" i="10" s="1"/>
  <c r="F124" i="10"/>
  <c r="K124" i="10" s="1"/>
  <c r="F160" i="10"/>
  <c r="K160" i="10" s="1"/>
  <c r="F142" i="10"/>
  <c r="K142" i="10" s="1"/>
  <c r="F106" i="10"/>
  <c r="K106" i="10" s="1"/>
  <c r="L106" i="10" s="1"/>
  <c r="F34" i="10"/>
  <c r="K34" i="10" s="1"/>
  <c r="L34" i="10" s="1"/>
  <c r="F70" i="10"/>
  <c r="K70" i="10" s="1"/>
  <c r="L70" i="10" s="1"/>
  <c r="F88" i="10"/>
  <c r="K88" i="10" s="1"/>
  <c r="L88" i="10" s="1"/>
  <c r="F52" i="10"/>
  <c r="K52" i="10" s="1"/>
  <c r="L52" i="10" s="1"/>
  <c r="F16" i="10"/>
  <c r="K16" i="10" s="1"/>
  <c r="L16" i="10" s="1"/>
  <c r="E20" i="5"/>
  <c r="K20" i="5" s="1"/>
  <c r="F390" i="10"/>
  <c r="K390" i="10" s="1"/>
  <c r="L390" i="10" s="1"/>
  <c r="F372" i="10"/>
  <c r="K372" i="10" s="1"/>
  <c r="F426" i="10"/>
  <c r="K426" i="10" s="1"/>
  <c r="L426" i="10" s="1"/>
  <c r="F408" i="10"/>
  <c r="K408" i="10" s="1"/>
  <c r="L408" i="10" s="1"/>
  <c r="F354" i="10"/>
  <c r="K354" i="10" s="1"/>
  <c r="L354" i="10" s="1"/>
  <c r="F318" i="10"/>
  <c r="K318" i="10" s="1"/>
  <c r="L318" i="10" s="1"/>
  <c r="F336" i="10"/>
  <c r="K336" i="10" s="1"/>
  <c r="F300" i="10"/>
  <c r="K300" i="10" s="1"/>
  <c r="L300" i="10" s="1"/>
  <c r="F264" i="10"/>
  <c r="K264" i="10" s="1"/>
  <c r="L264" i="10" s="1"/>
  <c r="F210" i="10"/>
  <c r="K210" i="10" s="1"/>
  <c r="L210" i="10" s="1"/>
  <c r="F246" i="10"/>
  <c r="K246" i="10" s="1"/>
  <c r="F192" i="10"/>
  <c r="K192" i="10" s="1"/>
  <c r="L192" i="10" s="1"/>
  <c r="F228" i="10"/>
  <c r="K228" i="10" s="1"/>
  <c r="F282" i="10"/>
  <c r="K282" i="10" s="1"/>
  <c r="L282" i="10" s="1"/>
  <c r="F174" i="10"/>
  <c r="K174" i="10" s="1"/>
  <c r="L174" i="10" s="1"/>
  <c r="F156" i="10"/>
  <c r="K156" i="10" s="1"/>
  <c r="F138" i="10"/>
  <c r="K138" i="10" s="1"/>
  <c r="L138" i="10" s="1"/>
  <c r="F102" i="10"/>
  <c r="K102" i="10" s="1"/>
  <c r="L102" i="10" s="1"/>
  <c r="F30" i="10"/>
  <c r="K30" i="10" s="1"/>
  <c r="F84" i="10"/>
  <c r="K84" i="10" s="1"/>
  <c r="L84" i="10" s="1"/>
  <c r="F66" i="10"/>
  <c r="K66" i="10" s="1"/>
  <c r="L66" i="10" s="1"/>
  <c r="F120" i="10"/>
  <c r="K120" i="10" s="1"/>
  <c r="L120" i="10" s="1"/>
  <c r="F12" i="10"/>
  <c r="K12" i="10" s="1"/>
  <c r="E16" i="5"/>
  <c r="K16" i="5" s="1"/>
  <c r="F48" i="10"/>
  <c r="K48" i="10" s="1"/>
  <c r="F384" i="10"/>
  <c r="K384" i="10" s="1"/>
  <c r="L384" i="10" s="1"/>
  <c r="F420" i="10"/>
  <c r="K420" i="10" s="1"/>
  <c r="L420" i="10" s="1"/>
  <c r="F402" i="10"/>
  <c r="K402" i="10" s="1"/>
  <c r="L402" i="10" s="1"/>
  <c r="F330" i="10"/>
  <c r="K330" i="10" s="1"/>
  <c r="F366" i="10"/>
  <c r="K366" i="10" s="1"/>
  <c r="F294" i="10"/>
  <c r="K294" i="10" s="1"/>
  <c r="F312" i="10"/>
  <c r="K312" i="10" s="1"/>
  <c r="F348" i="10"/>
  <c r="K348" i="10" s="1"/>
  <c r="F240" i="10"/>
  <c r="K240" i="10" s="1"/>
  <c r="L240" i="10" s="1"/>
  <c r="F258" i="10"/>
  <c r="K258" i="10" s="1"/>
  <c r="L258" i="10" s="1"/>
  <c r="F276" i="10"/>
  <c r="K276" i="10" s="1"/>
  <c r="L276" i="10" s="1"/>
  <c r="F222" i="10"/>
  <c r="K222" i="10" s="1"/>
  <c r="L222" i="10" s="1"/>
  <c r="F204" i="10"/>
  <c r="K204" i="10" s="1"/>
  <c r="F186" i="10"/>
  <c r="K186" i="10" s="1"/>
  <c r="L186" i="10" s="1"/>
  <c r="F150" i="10"/>
  <c r="K150" i="10" s="1"/>
  <c r="F168" i="10"/>
  <c r="K168" i="10" s="1"/>
  <c r="F60" i="10"/>
  <c r="K60" i="10" s="1"/>
  <c r="L60" i="10" s="1"/>
  <c r="F132" i="10"/>
  <c r="K132" i="10" s="1"/>
  <c r="L132" i="10" s="1"/>
  <c r="F6" i="10"/>
  <c r="K6" i="10" s="1"/>
  <c r="L6" i="10" s="1"/>
  <c r="F96" i="10"/>
  <c r="K96" i="10" s="1"/>
  <c r="F42" i="10"/>
  <c r="K42" i="10" s="1"/>
  <c r="L42" i="10" s="1"/>
  <c r="F114" i="10"/>
  <c r="K114" i="10" s="1"/>
  <c r="F24" i="10"/>
  <c r="K24" i="10" s="1"/>
  <c r="F78" i="10"/>
  <c r="K78" i="10" s="1"/>
  <c r="E10" i="5"/>
  <c r="K10" i="5" s="1"/>
  <c r="L10" i="5" s="1"/>
  <c r="F425" i="10"/>
  <c r="K425" i="10" s="1"/>
  <c r="L425" i="10" s="1"/>
  <c r="F407" i="10"/>
  <c r="K407" i="10" s="1"/>
  <c r="L407" i="10" s="1"/>
  <c r="F389" i="10"/>
  <c r="K389" i="10" s="1"/>
  <c r="F335" i="10"/>
  <c r="K335" i="10" s="1"/>
  <c r="L335" i="10" s="1"/>
  <c r="F371" i="10"/>
  <c r="K371" i="10" s="1"/>
  <c r="L371" i="10" s="1"/>
  <c r="F353" i="10"/>
  <c r="K353" i="10" s="1"/>
  <c r="L353" i="10" s="1"/>
  <c r="F317" i="10"/>
  <c r="K317" i="10" s="1"/>
  <c r="F281" i="10"/>
  <c r="K281" i="10" s="1"/>
  <c r="L281" i="10" s="1"/>
  <c r="F299" i="10"/>
  <c r="K299" i="10" s="1"/>
  <c r="F263" i="10"/>
  <c r="K263" i="10" s="1"/>
  <c r="F227" i="10"/>
  <c r="K227" i="10" s="1"/>
  <c r="F155" i="10"/>
  <c r="K155" i="10" s="1"/>
  <c r="L155" i="10" s="1"/>
  <c r="F209" i="10"/>
  <c r="K209" i="10" s="1"/>
  <c r="L209" i="10" s="1"/>
  <c r="F245" i="10"/>
  <c r="K245" i="10" s="1"/>
  <c r="L245" i="10" s="1"/>
  <c r="F173" i="10"/>
  <c r="K173" i="10" s="1"/>
  <c r="F83" i="10"/>
  <c r="K83" i="10" s="1"/>
  <c r="L83" i="10" s="1"/>
  <c r="F101" i="10"/>
  <c r="K101" i="10" s="1"/>
  <c r="F191" i="10"/>
  <c r="K191" i="10" s="1"/>
  <c r="F137" i="10"/>
  <c r="K137" i="10" s="1"/>
  <c r="F119" i="10"/>
  <c r="K119" i="10" s="1"/>
  <c r="L119" i="10" s="1"/>
  <c r="F47" i="10"/>
  <c r="K47" i="10" s="1"/>
  <c r="L47" i="10" s="1"/>
  <c r="F65" i="10"/>
  <c r="K65" i="10" s="1"/>
  <c r="F11" i="10"/>
  <c r="K11" i="10" s="1"/>
  <c r="E15" i="5"/>
  <c r="K15" i="5" s="1"/>
  <c r="L15" i="5" s="1"/>
  <c r="F29" i="10"/>
  <c r="K29" i="10" s="1"/>
  <c r="L29" i="10" s="1"/>
  <c r="F421" i="10"/>
  <c r="K421" i="10" s="1"/>
  <c r="L421" i="10" s="1"/>
  <c r="F403" i="10"/>
  <c r="K403" i="10" s="1"/>
  <c r="F367" i="10"/>
  <c r="K367" i="10" s="1"/>
  <c r="F349" i="10"/>
  <c r="K349" i="10" s="1"/>
  <c r="L349" i="10" s="1"/>
  <c r="F385" i="10"/>
  <c r="K385" i="10" s="1"/>
  <c r="L385" i="10" s="1"/>
  <c r="F331" i="10"/>
  <c r="K331" i="10" s="1"/>
  <c r="F241" i="10"/>
  <c r="K241" i="10" s="1"/>
  <c r="L241" i="10" s="1"/>
  <c r="F313" i="10"/>
  <c r="K313" i="10" s="1"/>
  <c r="F295" i="10"/>
  <c r="K295" i="10" s="1"/>
  <c r="L295" i="10" s="1"/>
  <c r="F259" i="10"/>
  <c r="K259" i="10" s="1"/>
  <c r="F277" i="10"/>
  <c r="K277" i="10" s="1"/>
  <c r="L277" i="10" s="1"/>
  <c r="F223" i="10"/>
  <c r="K223" i="10" s="1"/>
  <c r="L223" i="10" s="1"/>
  <c r="F169" i="10"/>
  <c r="K169" i="10" s="1"/>
  <c r="L169" i="10" s="1"/>
  <c r="F205" i="10"/>
  <c r="K205" i="10" s="1"/>
  <c r="F187" i="10"/>
  <c r="K187" i="10" s="1"/>
  <c r="L187" i="10" s="1"/>
  <c r="F115" i="10"/>
  <c r="K115" i="10" s="1"/>
  <c r="L115" i="10" s="1"/>
  <c r="F133" i="10"/>
  <c r="K133" i="10" s="1"/>
  <c r="F61" i="10"/>
  <c r="K61" i="10" s="1"/>
  <c r="F97" i="10"/>
  <c r="K97" i="10" s="1"/>
  <c r="L97" i="10" s="1"/>
  <c r="F151" i="10"/>
  <c r="K151" i="10" s="1"/>
  <c r="F79" i="10"/>
  <c r="K79" i="10" s="1"/>
  <c r="L79" i="10" s="1"/>
  <c r="F43" i="10"/>
  <c r="K43" i="10" s="1"/>
  <c r="F7" i="10"/>
  <c r="K7" i="10" s="1"/>
  <c r="F25" i="10"/>
  <c r="K25" i="10" s="1"/>
  <c r="L25" i="10" s="1"/>
  <c r="E11" i="5"/>
  <c r="K11" i="5" s="1"/>
  <c r="F422" i="10"/>
  <c r="K422" i="10" s="1"/>
  <c r="L422" i="10" s="1"/>
  <c r="F404" i="10"/>
  <c r="K404" i="10" s="1"/>
  <c r="L404" i="10" s="1"/>
  <c r="F350" i="10"/>
  <c r="K350" i="10" s="1"/>
  <c r="F368" i="10"/>
  <c r="K368" i="10" s="1"/>
  <c r="L368" i="10" s="1"/>
  <c r="F386" i="10"/>
  <c r="K386" i="10" s="1"/>
  <c r="F278" i="10"/>
  <c r="K278" i="10" s="1"/>
  <c r="L278" i="10" s="1"/>
  <c r="F332" i="10"/>
  <c r="K332" i="10" s="1"/>
  <c r="F314" i="10"/>
  <c r="K314" i="10" s="1"/>
  <c r="L314" i="10" s="1"/>
  <c r="F242" i="10"/>
  <c r="K242" i="10" s="1"/>
  <c r="L242" i="10" s="1"/>
  <c r="F296" i="10"/>
  <c r="K296" i="10" s="1"/>
  <c r="L296" i="10" s="1"/>
  <c r="F224" i="10"/>
  <c r="K224" i="10" s="1"/>
  <c r="F206" i="10"/>
  <c r="K206" i="10" s="1"/>
  <c r="F260" i="10"/>
  <c r="K260" i="10" s="1"/>
  <c r="L260" i="10" s="1"/>
  <c r="F170" i="10"/>
  <c r="K170" i="10" s="1"/>
  <c r="F188" i="10"/>
  <c r="K188" i="10" s="1"/>
  <c r="F152" i="10"/>
  <c r="K152" i="10" s="1"/>
  <c r="L152" i="10" s="1"/>
  <c r="F98" i="10"/>
  <c r="K98" i="10" s="1"/>
  <c r="L98" i="10" s="1"/>
  <c r="F62" i="10"/>
  <c r="K62" i="10" s="1"/>
  <c r="L62" i="10" s="1"/>
  <c r="F80" i="10"/>
  <c r="K80" i="10" s="1"/>
  <c r="F134" i="10"/>
  <c r="K134" i="10" s="1"/>
  <c r="L134" i="10" s="1"/>
  <c r="F116" i="10"/>
  <c r="K116" i="10" s="1"/>
  <c r="L116" i="10" s="1"/>
  <c r="F26" i="10"/>
  <c r="K26" i="10" s="1"/>
  <c r="F44" i="10"/>
  <c r="K44" i="10" s="1"/>
  <c r="F8" i="10"/>
  <c r="K8" i="10" s="1"/>
  <c r="L8" i="10" s="1"/>
  <c r="E12" i="5"/>
  <c r="K12" i="5" s="1"/>
  <c r="L12" i="5" s="1"/>
  <c r="F398" i="10"/>
  <c r="K398" i="10" s="1"/>
  <c r="F434" i="10"/>
  <c r="K434" i="10" s="1"/>
  <c r="L434" i="10" s="1"/>
  <c r="F416" i="10"/>
  <c r="K416" i="10" s="1"/>
  <c r="L416" i="10" s="1"/>
  <c r="F380" i="10"/>
  <c r="K380" i="10" s="1"/>
  <c r="F362" i="10"/>
  <c r="K362" i="10" s="1"/>
  <c r="F326" i="10"/>
  <c r="K326" i="10" s="1"/>
  <c r="F344" i="10"/>
  <c r="K344" i="10" s="1"/>
  <c r="L344" i="10" s="1"/>
  <c r="F254" i="10"/>
  <c r="K254" i="10" s="1"/>
  <c r="F218" i="10"/>
  <c r="K218" i="10" s="1"/>
  <c r="L218" i="10" s="1"/>
  <c r="F272" i="10"/>
  <c r="K272" i="10" s="1"/>
  <c r="L272" i="10" s="1"/>
  <c r="F308" i="10"/>
  <c r="K308" i="10" s="1"/>
  <c r="L308" i="10" s="1"/>
  <c r="F182" i="10"/>
  <c r="K182" i="10" s="1"/>
  <c r="F290" i="10"/>
  <c r="K290" i="10" s="1"/>
  <c r="F200" i="10"/>
  <c r="K200" i="10" s="1"/>
  <c r="L200" i="10" s="1"/>
  <c r="F146" i="10"/>
  <c r="K146" i="10" s="1"/>
  <c r="F236" i="10"/>
  <c r="K236" i="10" s="1"/>
  <c r="F164" i="10"/>
  <c r="K164" i="10" s="1"/>
  <c r="L164" i="10" s="1"/>
  <c r="F128" i="10"/>
  <c r="K128" i="10" s="1"/>
  <c r="L128" i="10" s="1"/>
  <c r="F110" i="10"/>
  <c r="K110" i="10" s="1"/>
  <c r="L110" i="10" s="1"/>
  <c r="F38" i="10"/>
  <c r="K38" i="10" s="1"/>
  <c r="F74" i="10"/>
  <c r="K74" i="10" s="1"/>
  <c r="F20" i="10"/>
  <c r="K20" i="10" s="1"/>
  <c r="L20" i="10" s="1"/>
  <c r="F56" i="10"/>
  <c r="K56" i="10" s="1"/>
  <c r="L56" i="10" s="1"/>
  <c r="E24" i="5"/>
  <c r="K24" i="5" s="1"/>
  <c r="F92" i="10"/>
  <c r="K92" i="10" s="1"/>
  <c r="L92" i="10" s="1"/>
  <c r="F436" i="10"/>
  <c r="K436" i="10" s="1"/>
  <c r="L436" i="10" s="1"/>
  <c r="F382" i="10"/>
  <c r="K382" i="10" s="1"/>
  <c r="F418" i="10"/>
  <c r="K418" i="10" s="1"/>
  <c r="F400" i="10"/>
  <c r="K400" i="10" s="1"/>
  <c r="L400" i="10" s="1"/>
  <c r="F364" i="10"/>
  <c r="K364" i="10" s="1"/>
  <c r="F346" i="10"/>
  <c r="K346" i="10" s="1"/>
  <c r="L346" i="10" s="1"/>
  <c r="F310" i="10"/>
  <c r="K310" i="10" s="1"/>
  <c r="F274" i="10"/>
  <c r="K274" i="10" s="1"/>
  <c r="F292" i="10"/>
  <c r="K292" i="10" s="1"/>
  <c r="F202" i="10"/>
  <c r="K202" i="10" s="1"/>
  <c r="L202" i="10" s="1"/>
  <c r="F328" i="10"/>
  <c r="K328" i="10" s="1"/>
  <c r="F238" i="10"/>
  <c r="K238" i="10" s="1"/>
  <c r="L238" i="10" s="1"/>
  <c r="F256" i="10"/>
  <c r="K256" i="10" s="1"/>
  <c r="F220" i="10"/>
  <c r="K220" i="10" s="1"/>
  <c r="F166" i="10"/>
  <c r="K166" i="10" s="1"/>
  <c r="L166" i="10" s="1"/>
  <c r="F184" i="10"/>
  <c r="K184" i="10" s="1"/>
  <c r="F148" i="10"/>
  <c r="K148" i="10" s="1"/>
  <c r="F76" i="10"/>
  <c r="K76" i="10" s="1"/>
  <c r="F112" i="10"/>
  <c r="K112" i="10" s="1"/>
  <c r="F22" i="10"/>
  <c r="K22" i="10" s="1"/>
  <c r="L22" i="10" s="1"/>
  <c r="F130" i="10"/>
  <c r="K130" i="10" s="1"/>
  <c r="L130" i="10" s="1"/>
  <c r="F94" i="10"/>
  <c r="K94" i="10" s="1"/>
  <c r="L94" i="10" s="1"/>
  <c r="F58" i="10"/>
  <c r="K58" i="10" s="1"/>
  <c r="F40" i="10"/>
  <c r="K40" i="10" s="1"/>
  <c r="E26" i="5"/>
  <c r="K26" i="5" s="1"/>
  <c r="L26" i="5" s="1"/>
  <c r="F414" i="10"/>
  <c r="K414" i="10" s="1"/>
  <c r="F432" i="10"/>
  <c r="K432" i="10" s="1"/>
  <c r="F342" i="10"/>
  <c r="K342" i="10" s="1"/>
  <c r="L342" i="10" s="1"/>
  <c r="F378" i="10"/>
  <c r="K378" i="10" s="1"/>
  <c r="L378" i="10" s="1"/>
  <c r="F396" i="10"/>
  <c r="K396" i="10" s="1"/>
  <c r="L396" i="10" s="1"/>
  <c r="F270" i="10"/>
  <c r="K270" i="10" s="1"/>
  <c r="F360" i="10"/>
  <c r="K360" i="10" s="1"/>
  <c r="F324" i="10"/>
  <c r="K324" i="10" s="1"/>
  <c r="F306" i="10"/>
  <c r="K306" i="10" s="1"/>
  <c r="F288" i="10"/>
  <c r="K288" i="10" s="1"/>
  <c r="F234" i="10"/>
  <c r="K234" i="10" s="1"/>
  <c r="L234" i="10" s="1"/>
  <c r="F252" i="10"/>
  <c r="K252" i="10" s="1"/>
  <c r="L252" i="10" s="1"/>
  <c r="F180" i="10"/>
  <c r="K180" i="10" s="1"/>
  <c r="F216" i="10"/>
  <c r="K216" i="10" s="1"/>
  <c r="L216" i="10" s="1"/>
  <c r="F198" i="10"/>
  <c r="K198" i="10" s="1"/>
  <c r="F162" i="10"/>
  <c r="K162" i="10" s="1"/>
  <c r="F144" i="10"/>
  <c r="K144" i="10" s="1"/>
  <c r="F108" i="10"/>
  <c r="K108" i="10" s="1"/>
  <c r="F54" i="10"/>
  <c r="K54" i="10" s="1"/>
  <c r="L54" i="10" s="1"/>
  <c r="F126" i="10"/>
  <c r="K126" i="10" s="1"/>
  <c r="L126" i="10" s="1"/>
  <c r="F18" i="10"/>
  <c r="K18" i="10" s="1"/>
  <c r="L18" i="10" s="1"/>
  <c r="F90" i="10"/>
  <c r="K90" i="10" s="1"/>
  <c r="F72" i="10"/>
  <c r="K72" i="10" s="1"/>
  <c r="E22" i="5"/>
  <c r="K22" i="5" s="1"/>
  <c r="L22" i="5" s="1"/>
  <c r="F36" i="10"/>
  <c r="K36" i="10" s="1"/>
  <c r="F431" i="10"/>
  <c r="K431" i="10" s="1"/>
  <c r="L431" i="10" s="1"/>
  <c r="F377" i="10"/>
  <c r="K377" i="10" s="1"/>
  <c r="L377" i="10" s="1"/>
  <c r="F413" i="10"/>
  <c r="K413" i="10" s="1"/>
  <c r="L413" i="10" s="1"/>
  <c r="F359" i="10"/>
  <c r="K359" i="10" s="1"/>
  <c r="L359" i="10" s="1"/>
  <c r="F395" i="10"/>
  <c r="K395" i="10" s="1"/>
  <c r="L395" i="10" s="1"/>
  <c r="F341" i="10"/>
  <c r="K341" i="10" s="1"/>
  <c r="L341" i="10" s="1"/>
  <c r="F323" i="10"/>
  <c r="K323" i="10" s="1"/>
  <c r="L323" i="10" s="1"/>
  <c r="F251" i="10"/>
  <c r="K251" i="10" s="1"/>
  <c r="F233" i="10"/>
  <c r="K233" i="10" s="1"/>
  <c r="F305" i="10"/>
  <c r="K305" i="10" s="1"/>
  <c r="F287" i="10"/>
  <c r="K287" i="10" s="1"/>
  <c r="F197" i="10"/>
  <c r="K197" i="10" s="1"/>
  <c r="L197" i="10" s="1"/>
  <c r="F269" i="10"/>
  <c r="K269" i="10" s="1"/>
  <c r="L269" i="10" s="1"/>
  <c r="F215" i="10"/>
  <c r="K215" i="10" s="1"/>
  <c r="L215" i="10" s="1"/>
  <c r="F179" i="10"/>
  <c r="K179" i="10" s="1"/>
  <c r="F107" i="10"/>
  <c r="K107" i="10" s="1"/>
  <c r="L107" i="10" s="1"/>
  <c r="F125" i="10"/>
  <c r="K125" i="10" s="1"/>
  <c r="L125" i="10" s="1"/>
  <c r="F161" i="10"/>
  <c r="K161" i="10" s="1"/>
  <c r="F143" i="10"/>
  <c r="K143" i="10" s="1"/>
  <c r="F53" i="10"/>
  <c r="K53" i="10" s="1"/>
  <c r="L53" i="10" s="1"/>
  <c r="F71" i="10"/>
  <c r="K71" i="10" s="1"/>
  <c r="F89" i="10"/>
  <c r="K89" i="10" s="1"/>
  <c r="F35" i="10"/>
  <c r="K35" i="10" s="1"/>
  <c r="F17" i="10"/>
  <c r="K17" i="10" s="1"/>
  <c r="E21" i="5"/>
  <c r="K21" i="5" s="1"/>
  <c r="L61" i="10" l="1"/>
  <c r="M61" i="10" s="1"/>
  <c r="N61" i="10" s="1"/>
  <c r="L311" i="10"/>
  <c r="M311" i="10" s="1"/>
  <c r="N311" i="10" s="1"/>
  <c r="L9" i="10"/>
  <c r="M9" i="10" s="1"/>
  <c r="N9" i="10" s="1"/>
  <c r="L11" i="5"/>
  <c r="M11" i="5" s="1"/>
  <c r="N11" i="5" s="1"/>
  <c r="L105" i="10"/>
  <c r="M105" i="10" s="1"/>
  <c r="N105" i="10" s="1"/>
  <c r="L213" i="10"/>
  <c r="M213" i="10" s="1"/>
  <c r="N213" i="10" s="1"/>
  <c r="L375" i="10"/>
  <c r="M375" i="10" s="1"/>
  <c r="N375" i="10" s="1"/>
  <c r="L27" i="5"/>
  <c r="M27" i="5" s="1"/>
  <c r="N27" i="5" s="1"/>
  <c r="L149" i="10"/>
  <c r="M149" i="10" s="1"/>
  <c r="N149" i="10" s="1"/>
  <c r="L437" i="10"/>
  <c r="M437" i="10" s="1"/>
  <c r="N437" i="10" s="1"/>
  <c r="L109" i="10"/>
  <c r="M109" i="10" s="1"/>
  <c r="N109" i="10" s="1"/>
  <c r="L289" i="10"/>
  <c r="M289" i="10" s="1"/>
  <c r="N289" i="10" s="1"/>
  <c r="M81" i="10"/>
  <c r="N81" i="10" s="1"/>
  <c r="L99" i="10"/>
  <c r="M99" i="10" s="1"/>
  <c r="N99" i="10" s="1"/>
  <c r="M369" i="10"/>
  <c r="N369" i="10" s="1"/>
  <c r="M136" i="10"/>
  <c r="N136" i="10" s="1"/>
  <c r="L226" i="10"/>
  <c r="M226" i="10" s="1"/>
  <c r="N226" i="10" s="1"/>
  <c r="M424" i="10"/>
  <c r="N424" i="10" s="1"/>
  <c r="L147" i="10"/>
  <c r="M147" i="10" s="1"/>
  <c r="N147" i="10" s="1"/>
  <c r="L58" i="10"/>
  <c r="M58" i="10" s="1"/>
  <c r="N58" i="10" s="1"/>
  <c r="G10" i="9"/>
  <c r="G15" i="9"/>
  <c r="G25" i="9"/>
  <c r="L348" i="10"/>
  <c r="L30" i="10"/>
  <c r="M30" i="10" s="1"/>
  <c r="N30" i="10" s="1"/>
  <c r="L246" i="10"/>
  <c r="M246" i="10" s="1"/>
  <c r="N246" i="10" s="1"/>
  <c r="M426" i="10"/>
  <c r="N426" i="10" s="1"/>
  <c r="L257" i="10"/>
  <c r="M257" i="10" s="1"/>
  <c r="N257" i="10" s="1"/>
  <c r="L91" i="10"/>
  <c r="M91" i="10" s="1"/>
  <c r="N91" i="10" s="1"/>
  <c r="L307" i="10"/>
  <c r="M307" i="10" s="1"/>
  <c r="N307" i="10" s="1"/>
  <c r="L31" i="10"/>
  <c r="M31" i="10" s="1"/>
  <c r="N31" i="10" s="1"/>
  <c r="L139" i="10"/>
  <c r="M139" i="10" s="1"/>
  <c r="N139" i="10" s="1"/>
  <c r="M319" i="10"/>
  <c r="N319" i="10" s="1"/>
  <c r="L14" i="5"/>
  <c r="M14" i="5" s="1"/>
  <c r="N14" i="5" s="1"/>
  <c r="L64" i="10"/>
  <c r="M64" i="10" s="1"/>
  <c r="N64" i="10" s="1"/>
  <c r="L298" i="10"/>
  <c r="M298" i="10" s="1"/>
  <c r="N298" i="10" s="1"/>
  <c r="L406" i="10"/>
  <c r="M406" i="10" s="1"/>
  <c r="N406" i="10" s="1"/>
  <c r="L363" i="10"/>
  <c r="M363" i="10" s="1"/>
  <c r="N363" i="10" s="1"/>
  <c r="L143" i="10"/>
  <c r="M143" i="10" s="1"/>
  <c r="N143" i="10" s="1"/>
  <c r="L287" i="10"/>
  <c r="M287" i="10" s="1"/>
  <c r="N287" i="10" s="1"/>
  <c r="M413" i="10"/>
  <c r="N413" i="10" s="1"/>
  <c r="L108" i="10"/>
  <c r="M108" i="10" s="1"/>
  <c r="N108" i="10" s="1"/>
  <c r="L288" i="10"/>
  <c r="M288" i="10" s="1"/>
  <c r="N288" i="10" s="1"/>
  <c r="L432" i="10"/>
  <c r="M432" i="10" s="1"/>
  <c r="N432" i="10" s="1"/>
  <c r="L168" i="10"/>
  <c r="G7" i="9"/>
  <c r="L24" i="10"/>
  <c r="M24" i="10" s="1"/>
  <c r="G14" i="9"/>
  <c r="L150" i="10"/>
  <c r="M150" i="10" s="1"/>
  <c r="G23" i="9"/>
  <c r="L312" i="10"/>
  <c r="M312" i="10" s="1"/>
  <c r="M102" i="10"/>
  <c r="N102" i="10" s="1"/>
  <c r="M210" i="10"/>
  <c r="N210" i="10" s="1"/>
  <c r="L372" i="10"/>
  <c r="M372" i="10" s="1"/>
  <c r="N372" i="10" s="1"/>
  <c r="L142" i="10"/>
  <c r="M142" i="10" s="1"/>
  <c r="N142" i="10" s="1"/>
  <c r="L268" i="10"/>
  <c r="M268" i="10" s="1"/>
  <c r="N268" i="10" s="1"/>
  <c r="L412" i="10"/>
  <c r="M412" i="10" s="1"/>
  <c r="N412" i="10" s="1"/>
  <c r="L415" i="10"/>
  <c r="M415" i="10" s="1"/>
  <c r="N415" i="10" s="1"/>
  <c r="L13" i="10"/>
  <c r="M13" i="10" s="1"/>
  <c r="N13" i="10" s="1"/>
  <c r="M175" i="10"/>
  <c r="N175" i="10" s="1"/>
  <c r="M337" i="10"/>
  <c r="N337" i="10" s="1"/>
  <c r="L184" i="10"/>
  <c r="M184" i="10" s="1"/>
  <c r="N184" i="10" s="1"/>
  <c r="L403" i="10"/>
  <c r="M403" i="10" s="1"/>
  <c r="N403" i="10" s="1"/>
  <c r="L173" i="10"/>
  <c r="M173" i="10" s="1"/>
  <c r="N173" i="10" s="1"/>
  <c r="M87" i="10"/>
  <c r="N87" i="10" s="1"/>
  <c r="M77" i="10"/>
  <c r="N77" i="10" s="1"/>
  <c r="L24" i="5"/>
  <c r="M24" i="5" s="1"/>
  <c r="N24" i="5" s="1"/>
  <c r="M295" i="10"/>
  <c r="N295" i="10" s="1"/>
  <c r="L80" i="10"/>
  <c r="M80" i="10" s="1"/>
  <c r="N80" i="10" s="1"/>
  <c r="L350" i="10"/>
  <c r="M350" i="10" s="1"/>
  <c r="N350" i="10" s="1"/>
  <c r="M377" i="10"/>
  <c r="N377" i="10" s="1"/>
  <c r="L36" i="10"/>
  <c r="M36" i="10" s="1"/>
  <c r="N36" i="10" s="1"/>
  <c r="L414" i="10"/>
  <c r="M414" i="10" s="1"/>
  <c r="N414" i="10" s="1"/>
  <c r="L74" i="10"/>
  <c r="M74" i="10" s="1"/>
  <c r="N74" i="10" s="1"/>
  <c r="L43" i="10"/>
  <c r="M43" i="10" s="1"/>
  <c r="N43" i="10" s="1"/>
  <c r="L205" i="10"/>
  <c r="M205" i="10" s="1"/>
  <c r="N205" i="10" s="1"/>
  <c r="L331" i="10"/>
  <c r="M331" i="10" s="1"/>
  <c r="N331" i="10" s="1"/>
  <c r="L137" i="10"/>
  <c r="M137" i="10" s="1"/>
  <c r="N137" i="10" s="1"/>
  <c r="L227" i="10"/>
  <c r="M227" i="10" s="1"/>
  <c r="N227" i="10" s="1"/>
  <c r="L389" i="10"/>
  <c r="M389" i="10" s="1"/>
  <c r="N389" i="10" s="1"/>
  <c r="L20" i="5"/>
  <c r="M20" i="5" s="1"/>
  <c r="N20" i="5" s="1"/>
  <c r="L160" i="10"/>
  <c r="M160" i="10" s="1"/>
  <c r="N160" i="10" s="1"/>
  <c r="L304" i="10"/>
  <c r="M304" i="10" s="1"/>
  <c r="N304" i="10" s="1"/>
  <c r="L430" i="10"/>
  <c r="M430" i="10" s="1"/>
  <c r="N430" i="10" s="1"/>
  <c r="M19" i="5"/>
  <c r="N19" i="5" s="1"/>
  <c r="L69" i="10"/>
  <c r="M69" i="10" s="1"/>
  <c r="N69" i="10" s="1"/>
  <c r="L249" i="10"/>
  <c r="M249" i="10" s="1"/>
  <c r="N249" i="10" s="1"/>
  <c r="L393" i="10"/>
  <c r="M393" i="10" s="1"/>
  <c r="N393" i="10" s="1"/>
  <c r="M41" i="10"/>
  <c r="N41" i="10" s="1"/>
  <c r="M221" i="10"/>
  <c r="N221" i="10" s="1"/>
  <c r="M347" i="10"/>
  <c r="N347" i="10" s="1"/>
  <c r="L40" i="10"/>
  <c r="M40" i="10" s="1"/>
  <c r="N40" i="10" s="1"/>
  <c r="L274" i="10"/>
  <c r="M274" i="10" s="1"/>
  <c r="N274" i="10" s="1"/>
  <c r="L401" i="10"/>
  <c r="M401" i="10" s="1"/>
  <c r="N401" i="10" s="1"/>
  <c r="M421" i="10"/>
  <c r="N421" i="10" s="1"/>
  <c r="M56" i="10"/>
  <c r="N56" i="10" s="1"/>
  <c r="L224" i="10"/>
  <c r="M224" i="10" s="1"/>
  <c r="N224" i="10" s="1"/>
  <c r="L305" i="10"/>
  <c r="M305" i="10" s="1"/>
  <c r="N305" i="10" s="1"/>
  <c r="L112" i="10"/>
  <c r="M112" i="10" s="1"/>
  <c r="N112" i="10" s="1"/>
  <c r="L328" i="10"/>
  <c r="M328" i="10" s="1"/>
  <c r="N328" i="10" s="1"/>
  <c r="L418" i="10"/>
  <c r="M418" i="10" s="1"/>
  <c r="N418" i="10" s="1"/>
  <c r="L38" i="10"/>
  <c r="M38" i="10" s="1"/>
  <c r="N38" i="10" s="1"/>
  <c r="L182" i="10"/>
  <c r="M182" i="10" s="1"/>
  <c r="N182" i="10" s="1"/>
  <c r="L380" i="10"/>
  <c r="M380" i="10" s="1"/>
  <c r="N380" i="10" s="1"/>
  <c r="L191" i="10"/>
  <c r="M191" i="10" s="1"/>
  <c r="N191" i="10" s="1"/>
  <c r="L263" i="10"/>
  <c r="M263" i="10" s="1"/>
  <c r="N263" i="10" s="1"/>
  <c r="M407" i="10"/>
  <c r="N407" i="10" s="1"/>
  <c r="L177" i="10"/>
  <c r="M177" i="10" s="1"/>
  <c r="N177" i="10" s="1"/>
  <c r="L144" i="10"/>
  <c r="M144" i="10" s="1"/>
  <c r="N144" i="10" s="1"/>
  <c r="L397" i="10"/>
  <c r="M397" i="10" s="1"/>
  <c r="N397" i="10" s="1"/>
  <c r="L117" i="10"/>
  <c r="M117" i="10" s="1"/>
  <c r="N117" i="10" s="1"/>
  <c r="L14" i="10"/>
  <c r="M14" i="10" s="1"/>
  <c r="N14" i="10" s="1"/>
  <c r="L194" i="10"/>
  <c r="M194" i="10" s="1"/>
  <c r="N194" i="10" s="1"/>
  <c r="M374" i="10"/>
  <c r="N374" i="10" s="1"/>
  <c r="L310" i="10"/>
  <c r="M310" i="10" s="1"/>
  <c r="N310" i="10" s="1"/>
  <c r="L297" i="10"/>
  <c r="M297" i="10" s="1"/>
  <c r="N297" i="10" s="1"/>
  <c r="L17" i="10"/>
  <c r="M17" i="10" s="1"/>
  <c r="N17" i="10" s="1"/>
  <c r="L251" i="10"/>
  <c r="M251" i="10" s="1"/>
  <c r="N251" i="10" s="1"/>
  <c r="L72" i="10"/>
  <c r="M72" i="10" s="1"/>
  <c r="N72" i="10" s="1"/>
  <c r="L198" i="10"/>
  <c r="M198" i="10" s="1"/>
  <c r="N198" i="10" s="1"/>
  <c r="L360" i="10"/>
  <c r="M360" i="10" s="1"/>
  <c r="N360" i="10" s="1"/>
  <c r="L76" i="10"/>
  <c r="M76" i="10" s="1"/>
  <c r="N76" i="10" s="1"/>
  <c r="M202" i="10"/>
  <c r="N202" i="10" s="1"/>
  <c r="L382" i="10"/>
  <c r="M382" i="10" s="1"/>
  <c r="N382" i="10" s="1"/>
  <c r="L188" i="10"/>
  <c r="L332" i="10"/>
  <c r="M332" i="10" s="1"/>
  <c r="N332" i="10" s="1"/>
  <c r="L78" i="10"/>
  <c r="G11" i="9"/>
  <c r="L96" i="10"/>
  <c r="M222" i="10"/>
  <c r="G18" i="9"/>
  <c r="G24" i="9"/>
  <c r="L330" i="10"/>
  <c r="L259" i="10"/>
  <c r="M259" i="10" s="1"/>
  <c r="N259" i="10" s="1"/>
  <c r="L12" i="10"/>
  <c r="M12" i="10" s="1"/>
  <c r="N12" i="10" s="1"/>
  <c r="M174" i="10"/>
  <c r="N174" i="10" s="1"/>
  <c r="L336" i="10"/>
  <c r="M336" i="10" s="1"/>
  <c r="N336" i="10" s="1"/>
  <c r="L32" i="10"/>
  <c r="M32" i="10" s="1"/>
  <c r="N32" i="10" s="1"/>
  <c r="M140" i="10"/>
  <c r="N140" i="10" s="1"/>
  <c r="L248" i="10"/>
  <c r="M248" i="10" s="1"/>
  <c r="N248" i="10" s="1"/>
  <c r="L428" i="10"/>
  <c r="M428" i="10" s="1"/>
  <c r="N428" i="10" s="1"/>
  <c r="L146" i="10"/>
  <c r="M146" i="10" s="1"/>
  <c r="N146" i="10" s="1"/>
  <c r="L317" i="10"/>
  <c r="M317" i="10" s="1"/>
  <c r="N317" i="10" s="1"/>
  <c r="L411" i="10"/>
  <c r="M411" i="10" s="1"/>
  <c r="N411" i="10" s="1"/>
  <c r="M166" i="10"/>
  <c r="N166" i="10" s="1"/>
  <c r="L236" i="10"/>
  <c r="M236" i="10" s="1"/>
  <c r="N236" i="10" s="1"/>
  <c r="M344" i="10"/>
  <c r="N344" i="10" s="1"/>
  <c r="M107" i="10"/>
  <c r="N107" i="10" s="1"/>
  <c r="L306" i="10"/>
  <c r="M306" i="10" s="1"/>
  <c r="N306" i="10" s="1"/>
  <c r="L133" i="10"/>
  <c r="M133" i="10" s="1"/>
  <c r="N133" i="10" s="1"/>
  <c r="L35" i="10"/>
  <c r="M35" i="10" s="1"/>
  <c r="N35" i="10" s="1"/>
  <c r="L179" i="10"/>
  <c r="M179" i="10" s="1"/>
  <c r="N179" i="10" s="1"/>
  <c r="M323" i="10"/>
  <c r="N323" i="10" s="1"/>
  <c r="L290" i="10"/>
  <c r="M290" i="10" s="1"/>
  <c r="N290" i="10" s="1"/>
  <c r="L90" i="10"/>
  <c r="M90" i="10" s="1"/>
  <c r="N90" i="10" s="1"/>
  <c r="M216" i="10"/>
  <c r="N216" i="10" s="1"/>
  <c r="L270" i="10"/>
  <c r="M270" i="10" s="1"/>
  <c r="N270" i="10" s="1"/>
  <c r="L170" i="10"/>
  <c r="M170" i="10" s="1"/>
  <c r="N170" i="10" s="1"/>
  <c r="M278" i="10"/>
  <c r="N278" i="10" s="1"/>
  <c r="L57" i="10"/>
  <c r="M57" i="10" s="1"/>
  <c r="N57" i="10" s="1"/>
  <c r="L254" i="10"/>
  <c r="M254" i="10" s="1"/>
  <c r="N254" i="10" s="1"/>
  <c r="L11" i="10"/>
  <c r="M11" i="10" s="1"/>
  <c r="N11" i="10" s="1"/>
  <c r="M88" i="10"/>
  <c r="N88" i="10" s="1"/>
  <c r="M250" i="10"/>
  <c r="N250" i="10" s="1"/>
  <c r="L358" i="10"/>
  <c r="M358" i="10" s="1"/>
  <c r="N358" i="10" s="1"/>
  <c r="L44" i="10"/>
  <c r="M44" i="10" s="1"/>
  <c r="N44" i="10" s="1"/>
  <c r="L26" i="10"/>
  <c r="M26" i="10" s="1"/>
  <c r="N26" i="10" s="1"/>
  <c r="L39" i="10"/>
  <c r="M39" i="10" s="1"/>
  <c r="N39" i="10" s="1"/>
  <c r="L219" i="10"/>
  <c r="M219" i="10" s="1"/>
  <c r="N219" i="10" s="1"/>
  <c r="L309" i="10"/>
  <c r="M309" i="10" s="1"/>
  <c r="N309" i="10" s="1"/>
  <c r="L161" i="10"/>
  <c r="M161" i="10" s="1"/>
  <c r="N161" i="10" s="1"/>
  <c r="M125" i="10"/>
  <c r="N125" i="10" s="1"/>
  <c r="M431" i="10"/>
  <c r="N431" i="10" s="1"/>
  <c r="M22" i="5"/>
  <c r="N22" i="5" s="1"/>
  <c r="M26" i="5"/>
  <c r="N26" i="5" s="1"/>
  <c r="M436" i="10"/>
  <c r="N436" i="10" s="1"/>
  <c r="M20" i="10"/>
  <c r="N20" i="10" s="1"/>
  <c r="M200" i="10"/>
  <c r="N200" i="10" s="1"/>
  <c r="M116" i="10"/>
  <c r="N116" i="10" s="1"/>
  <c r="M260" i="10"/>
  <c r="N260" i="10" s="1"/>
  <c r="M25" i="10"/>
  <c r="N25" i="10" s="1"/>
  <c r="M115" i="10"/>
  <c r="N115" i="10" s="1"/>
  <c r="M29" i="10"/>
  <c r="N29" i="10" s="1"/>
  <c r="M425" i="10"/>
  <c r="N425" i="10" s="1"/>
  <c r="G12" i="9"/>
  <c r="M186" i="10"/>
  <c r="G16" i="9"/>
  <c r="G22" i="9"/>
  <c r="M138" i="10"/>
  <c r="N138" i="10" s="1"/>
  <c r="M264" i="10"/>
  <c r="N264" i="10" s="1"/>
  <c r="M390" i="10"/>
  <c r="N390" i="10" s="1"/>
  <c r="M16" i="10"/>
  <c r="N16" i="10" s="1"/>
  <c r="M322" i="10"/>
  <c r="N322" i="10" s="1"/>
  <c r="M195" i="10"/>
  <c r="N195" i="10" s="1"/>
  <c r="M267" i="10"/>
  <c r="N267" i="10" s="1"/>
  <c r="M357" i="10"/>
  <c r="N357" i="10" s="1"/>
  <c r="M23" i="10"/>
  <c r="N23" i="10" s="1"/>
  <c r="M167" i="10"/>
  <c r="N167" i="10" s="1"/>
  <c r="M329" i="10"/>
  <c r="N329" i="10" s="1"/>
  <c r="M111" i="10"/>
  <c r="N111" i="10" s="1"/>
  <c r="M237" i="10"/>
  <c r="N237" i="10" s="1"/>
  <c r="M327" i="10"/>
  <c r="N327" i="10" s="1"/>
  <c r="M18" i="5"/>
  <c r="N18" i="5" s="1"/>
  <c r="M176" i="10"/>
  <c r="N176" i="10" s="1"/>
  <c r="M320" i="10"/>
  <c r="N320" i="10" s="1"/>
  <c r="M19" i="10"/>
  <c r="N19" i="10" s="1"/>
  <c r="M145" i="10"/>
  <c r="N145" i="10" s="1"/>
  <c r="M217" i="10"/>
  <c r="N217" i="10" s="1"/>
  <c r="M433" i="10"/>
  <c r="N433" i="10" s="1"/>
  <c r="M103" i="10"/>
  <c r="N103" i="10" s="1"/>
  <c r="M247" i="10"/>
  <c r="N247" i="10" s="1"/>
  <c r="M355" i="10"/>
  <c r="N355" i="10" s="1"/>
  <c r="M63" i="10"/>
  <c r="N63" i="10" s="1"/>
  <c r="M279" i="10"/>
  <c r="N279" i="10" s="1"/>
  <c r="M333" i="10"/>
  <c r="N333" i="10" s="1"/>
  <c r="M28" i="10"/>
  <c r="N28" i="10" s="1"/>
  <c r="M280" i="10"/>
  <c r="N280" i="10" s="1"/>
  <c r="M316" i="10"/>
  <c r="N316" i="10" s="1"/>
  <c r="M134" i="10"/>
  <c r="N134" i="10" s="1"/>
  <c r="M368" i="10"/>
  <c r="N368" i="10" s="1"/>
  <c r="M187" i="10"/>
  <c r="N187" i="10" s="1"/>
  <c r="M241" i="10"/>
  <c r="N241" i="10" s="1"/>
  <c r="M15" i="5"/>
  <c r="N15" i="5" s="1"/>
  <c r="M83" i="10"/>
  <c r="N83" i="10" s="1"/>
  <c r="M281" i="10"/>
  <c r="N281" i="10" s="1"/>
  <c r="M42" i="10"/>
  <c r="G8" i="9"/>
  <c r="G17" i="9"/>
  <c r="G26" i="9"/>
  <c r="M300" i="10"/>
  <c r="N300" i="10" s="1"/>
  <c r="L326" i="10"/>
  <c r="M326" i="10" s="1"/>
  <c r="N326" i="10" s="1"/>
  <c r="M52" i="10"/>
  <c r="N52" i="10" s="1"/>
  <c r="M232" i="10"/>
  <c r="N232" i="10" s="1"/>
  <c r="M340" i="10"/>
  <c r="N340" i="10" s="1"/>
  <c r="L324" i="10"/>
  <c r="M324" i="10" s="1"/>
  <c r="N324" i="10" s="1"/>
  <c r="L156" i="10"/>
  <c r="M156" i="10" s="1"/>
  <c r="N156" i="10" s="1"/>
  <c r="L366" i="10"/>
  <c r="M366" i="10" s="1"/>
  <c r="M159" i="10"/>
  <c r="N159" i="10" s="1"/>
  <c r="M231" i="10"/>
  <c r="N231" i="10" s="1"/>
  <c r="M59" i="10"/>
  <c r="N59" i="10" s="1"/>
  <c r="M131" i="10"/>
  <c r="N131" i="10" s="1"/>
  <c r="M293" i="10"/>
  <c r="N293" i="10" s="1"/>
  <c r="M129" i="10"/>
  <c r="N129" i="10" s="1"/>
  <c r="M201" i="10"/>
  <c r="N201" i="10" s="1"/>
  <c r="M399" i="10"/>
  <c r="N399" i="10" s="1"/>
  <c r="M50" i="10"/>
  <c r="N50" i="10" s="1"/>
  <c r="M212" i="10"/>
  <c r="N212" i="10" s="1"/>
  <c r="M302" i="10"/>
  <c r="N302" i="10" s="1"/>
  <c r="M37" i="10"/>
  <c r="N37" i="10" s="1"/>
  <c r="M181" i="10"/>
  <c r="N181" i="10" s="1"/>
  <c r="M325" i="10"/>
  <c r="N325" i="10" s="1"/>
  <c r="M229" i="10"/>
  <c r="N229" i="10" s="1"/>
  <c r="M301" i="10"/>
  <c r="N301" i="10" s="1"/>
  <c r="M135" i="10"/>
  <c r="N135" i="10" s="1"/>
  <c r="M315" i="10"/>
  <c r="N315" i="10" s="1"/>
  <c r="M387" i="10"/>
  <c r="N387" i="10" s="1"/>
  <c r="M10" i="10"/>
  <c r="N10" i="10" s="1"/>
  <c r="M154" i="10"/>
  <c r="N154" i="10" s="1"/>
  <c r="M435" i="10"/>
  <c r="N435" i="10" s="1"/>
  <c r="M356" i="10"/>
  <c r="N356" i="10" s="1"/>
  <c r="M163" i="10"/>
  <c r="N163" i="10" s="1"/>
  <c r="M215" i="10"/>
  <c r="N215" i="10" s="1"/>
  <c r="M341" i="10"/>
  <c r="N341" i="10" s="1"/>
  <c r="M18" i="10"/>
  <c r="N18" i="10" s="1"/>
  <c r="M396" i="10"/>
  <c r="N396" i="10" s="1"/>
  <c r="M94" i="10"/>
  <c r="N94" i="10" s="1"/>
  <c r="M346" i="10"/>
  <c r="N346" i="10" s="1"/>
  <c r="M110" i="10"/>
  <c r="N110" i="10" s="1"/>
  <c r="M308" i="10"/>
  <c r="N308" i="10" s="1"/>
  <c r="M416" i="10"/>
  <c r="N416" i="10" s="1"/>
  <c r="M62" i="10"/>
  <c r="N62" i="10" s="1"/>
  <c r="M296" i="10"/>
  <c r="N296" i="10" s="1"/>
  <c r="M404" i="10"/>
  <c r="N404" i="10" s="1"/>
  <c r="M79" i="10"/>
  <c r="N79" i="10" s="1"/>
  <c r="M169" i="10"/>
  <c r="N169" i="10" s="1"/>
  <c r="M385" i="10"/>
  <c r="N385" i="10" s="1"/>
  <c r="M245" i="10"/>
  <c r="N245" i="10" s="1"/>
  <c r="M353" i="10"/>
  <c r="N353" i="10" s="1"/>
  <c r="L162" i="10"/>
  <c r="M162" i="10" s="1"/>
  <c r="N162" i="10" s="1"/>
  <c r="M6" i="10"/>
  <c r="G6" i="9"/>
  <c r="M276" i="10"/>
  <c r="G21" i="9"/>
  <c r="M402" i="10"/>
  <c r="G28" i="9"/>
  <c r="M120" i="10"/>
  <c r="N120" i="10" s="1"/>
  <c r="M282" i="10"/>
  <c r="N282" i="10" s="1"/>
  <c r="M318" i="10"/>
  <c r="N318" i="10" s="1"/>
  <c r="L124" i="10"/>
  <c r="M124" i="10" s="1"/>
  <c r="N124" i="10" s="1"/>
  <c r="M70" i="10"/>
  <c r="N70" i="10" s="1"/>
  <c r="M286" i="10"/>
  <c r="N286" i="10" s="1"/>
  <c r="L21" i="5"/>
  <c r="M21" i="5" s="1"/>
  <c r="N21" i="5" s="1"/>
  <c r="L292" i="10"/>
  <c r="M292" i="10" s="1"/>
  <c r="N292" i="10" s="1"/>
  <c r="L65" i="10"/>
  <c r="M65" i="10" s="1"/>
  <c r="N65" i="10" s="1"/>
  <c r="M15" i="10"/>
  <c r="N15" i="10" s="1"/>
  <c r="M141" i="10"/>
  <c r="N141" i="10" s="1"/>
  <c r="M303" i="10"/>
  <c r="N303" i="10" s="1"/>
  <c r="L233" i="10"/>
  <c r="M233" i="10" s="1"/>
  <c r="N233" i="10" s="1"/>
  <c r="M95" i="10"/>
  <c r="N95" i="10" s="1"/>
  <c r="M365" i="10"/>
  <c r="N365" i="10" s="1"/>
  <c r="M93" i="10"/>
  <c r="N93" i="10" s="1"/>
  <c r="M255" i="10"/>
  <c r="N255" i="10" s="1"/>
  <c r="M381" i="10"/>
  <c r="N381" i="10" s="1"/>
  <c r="M86" i="10"/>
  <c r="N86" i="10" s="1"/>
  <c r="M284" i="10"/>
  <c r="N284" i="10" s="1"/>
  <c r="M410" i="10"/>
  <c r="N410" i="10" s="1"/>
  <c r="M55" i="10"/>
  <c r="N55" i="10" s="1"/>
  <c r="M199" i="10"/>
  <c r="N199" i="10" s="1"/>
  <c r="M379" i="10"/>
  <c r="N379" i="10" s="1"/>
  <c r="L204" i="10"/>
  <c r="M157" i="10"/>
  <c r="N157" i="10" s="1"/>
  <c r="M265" i="10"/>
  <c r="N265" i="10" s="1"/>
  <c r="M391" i="10"/>
  <c r="N391" i="10" s="1"/>
  <c r="M153" i="10"/>
  <c r="N153" i="10" s="1"/>
  <c r="M189" i="10"/>
  <c r="N189" i="10" s="1"/>
  <c r="M405" i="10"/>
  <c r="N405" i="10" s="1"/>
  <c r="M118" i="10"/>
  <c r="N118" i="10" s="1"/>
  <c r="M190" i="10"/>
  <c r="N190" i="10" s="1"/>
  <c r="M388" i="10"/>
  <c r="N388" i="10" s="1"/>
  <c r="L214" i="10"/>
  <c r="M214" i="10" s="1"/>
  <c r="N214" i="10" s="1"/>
  <c r="L239" i="10"/>
  <c r="M239" i="10" s="1"/>
  <c r="N239" i="10" s="1"/>
  <c r="M68" i="10"/>
  <c r="N68" i="10" s="1"/>
  <c r="M23" i="5"/>
  <c r="N23" i="5" s="1"/>
  <c r="M49" i="10"/>
  <c r="N49" i="10" s="1"/>
  <c r="M373" i="10"/>
  <c r="N373" i="10" s="1"/>
  <c r="M243" i="10"/>
  <c r="N243" i="10" s="1"/>
  <c r="M351" i="10"/>
  <c r="N351" i="10" s="1"/>
  <c r="M100" i="10"/>
  <c r="N100" i="10" s="1"/>
  <c r="M172" i="10"/>
  <c r="N172" i="10" s="1"/>
  <c r="M395" i="10"/>
  <c r="N395" i="10" s="1"/>
  <c r="M126" i="10"/>
  <c r="N126" i="10" s="1"/>
  <c r="M378" i="10"/>
  <c r="N378" i="10" s="1"/>
  <c r="M128" i="10"/>
  <c r="N128" i="10" s="1"/>
  <c r="M272" i="10"/>
  <c r="N272" i="10" s="1"/>
  <c r="M434" i="10"/>
  <c r="N434" i="10" s="1"/>
  <c r="M12" i="5"/>
  <c r="N12" i="5" s="1"/>
  <c r="M98" i="10"/>
  <c r="N98" i="10" s="1"/>
  <c r="M242" i="10"/>
  <c r="N242" i="10" s="1"/>
  <c r="M422" i="10"/>
  <c r="N422" i="10" s="1"/>
  <c r="M223" i="10"/>
  <c r="N223" i="10" s="1"/>
  <c r="M349" i="10"/>
  <c r="N349" i="10" s="1"/>
  <c r="L16" i="5"/>
  <c r="M16" i="5" s="1"/>
  <c r="N16" i="5" s="1"/>
  <c r="M47" i="10"/>
  <c r="N47" i="10" s="1"/>
  <c r="M209" i="10"/>
  <c r="N209" i="10" s="1"/>
  <c r="M371" i="10"/>
  <c r="N371" i="10" s="1"/>
  <c r="L386" i="10"/>
  <c r="M132" i="10"/>
  <c r="G13" i="9"/>
  <c r="M258" i="10"/>
  <c r="G20" i="9"/>
  <c r="M420" i="10"/>
  <c r="G29" i="9"/>
  <c r="M66" i="10"/>
  <c r="N66" i="10" s="1"/>
  <c r="M354" i="10"/>
  <c r="N354" i="10" s="1"/>
  <c r="L89" i="10"/>
  <c r="M89" i="10" s="1"/>
  <c r="N89" i="10" s="1"/>
  <c r="M34" i="10"/>
  <c r="N34" i="10" s="1"/>
  <c r="M178" i="10"/>
  <c r="N178" i="10" s="1"/>
  <c r="M394" i="10"/>
  <c r="N394" i="10" s="1"/>
  <c r="L313" i="10"/>
  <c r="M313" i="10" s="1"/>
  <c r="N313" i="10" s="1"/>
  <c r="L180" i="10"/>
  <c r="M180" i="10" s="1"/>
  <c r="N180" i="10" s="1"/>
  <c r="L228" i="10"/>
  <c r="M228" i="10" s="1"/>
  <c r="N228" i="10" s="1"/>
  <c r="L429" i="10"/>
  <c r="M429" i="10" s="1"/>
  <c r="N429" i="10" s="1"/>
  <c r="M33" i="10"/>
  <c r="N33" i="10" s="1"/>
  <c r="M123" i="10"/>
  <c r="N123" i="10" s="1"/>
  <c r="M285" i="10"/>
  <c r="N285" i="10" s="1"/>
  <c r="M185" i="10"/>
  <c r="N185" i="10" s="1"/>
  <c r="M203" i="10"/>
  <c r="N203" i="10" s="1"/>
  <c r="M383" i="10"/>
  <c r="N383" i="10" s="1"/>
  <c r="L45" i="10"/>
  <c r="M45" i="10" s="1"/>
  <c r="N45" i="10" s="1"/>
  <c r="L294" i="10"/>
  <c r="M21" i="10"/>
  <c r="N21" i="10" s="1"/>
  <c r="M165" i="10"/>
  <c r="N165" i="10" s="1"/>
  <c r="M291" i="10"/>
  <c r="N291" i="10" s="1"/>
  <c r="M417" i="10"/>
  <c r="N417" i="10" s="1"/>
  <c r="M104" i="10"/>
  <c r="N104" i="10" s="1"/>
  <c r="M266" i="10"/>
  <c r="N266" i="10" s="1"/>
  <c r="M338" i="10"/>
  <c r="N338" i="10" s="1"/>
  <c r="M73" i="10"/>
  <c r="N73" i="10" s="1"/>
  <c r="M235" i="10"/>
  <c r="N235" i="10" s="1"/>
  <c r="M343" i="10"/>
  <c r="N343" i="10" s="1"/>
  <c r="L121" i="10"/>
  <c r="M121" i="10" s="1"/>
  <c r="N121" i="10" s="1"/>
  <c r="M85" i="10"/>
  <c r="N85" i="10" s="1"/>
  <c r="M193" i="10"/>
  <c r="N193" i="10" s="1"/>
  <c r="M427" i="10"/>
  <c r="N427" i="10" s="1"/>
  <c r="M13" i="5"/>
  <c r="N13" i="5" s="1"/>
  <c r="M225" i="10"/>
  <c r="N225" i="10" s="1"/>
  <c r="M423" i="10"/>
  <c r="N423" i="10" s="1"/>
  <c r="L273" i="10"/>
  <c r="M273" i="10" s="1"/>
  <c r="N273" i="10" s="1"/>
  <c r="M46" i="10"/>
  <c r="N46" i="10" s="1"/>
  <c r="M208" i="10"/>
  <c r="N208" i="10" s="1"/>
  <c r="M334" i="10"/>
  <c r="N334" i="10" s="1"/>
  <c r="M183" i="10"/>
  <c r="N183" i="10" s="1"/>
  <c r="M158" i="10"/>
  <c r="N158" i="10" s="1"/>
  <c r="M271" i="10"/>
  <c r="N271" i="10" s="1"/>
  <c r="M211" i="10"/>
  <c r="N211" i="10" s="1"/>
  <c r="M269" i="10"/>
  <c r="N269" i="10" s="1"/>
  <c r="M252" i="10"/>
  <c r="N252" i="10" s="1"/>
  <c r="M130" i="10"/>
  <c r="N130" i="10" s="1"/>
  <c r="M53" i="10"/>
  <c r="N53" i="10" s="1"/>
  <c r="M197" i="10"/>
  <c r="N197" i="10" s="1"/>
  <c r="M359" i="10"/>
  <c r="N359" i="10" s="1"/>
  <c r="L364" i="10"/>
  <c r="M364" i="10" s="1"/>
  <c r="N364" i="10" s="1"/>
  <c r="M54" i="10"/>
  <c r="N54" i="10" s="1"/>
  <c r="M234" i="10"/>
  <c r="N234" i="10" s="1"/>
  <c r="M342" i="10"/>
  <c r="N342" i="10" s="1"/>
  <c r="L256" i="10"/>
  <c r="M256" i="10" s="1"/>
  <c r="N256" i="10" s="1"/>
  <c r="M22" i="10"/>
  <c r="N22" i="10" s="1"/>
  <c r="M238" i="10"/>
  <c r="N238" i="10" s="1"/>
  <c r="M400" i="10"/>
  <c r="N400" i="10" s="1"/>
  <c r="M92" i="10"/>
  <c r="N92" i="10" s="1"/>
  <c r="M164" i="10"/>
  <c r="N164" i="10" s="1"/>
  <c r="M218" i="10"/>
  <c r="N218" i="10" s="1"/>
  <c r="M8" i="10"/>
  <c r="N8" i="10" s="1"/>
  <c r="M152" i="10"/>
  <c r="N152" i="10" s="1"/>
  <c r="M314" i="10"/>
  <c r="N314" i="10" s="1"/>
  <c r="L7" i="10"/>
  <c r="M7" i="10" s="1"/>
  <c r="N7" i="10" s="1"/>
  <c r="M97" i="10"/>
  <c r="N97" i="10" s="1"/>
  <c r="M277" i="10"/>
  <c r="N277" i="10" s="1"/>
  <c r="L352" i="10"/>
  <c r="M352" i="10" s="1"/>
  <c r="N352" i="10" s="1"/>
  <c r="L299" i="10"/>
  <c r="M299" i="10" s="1"/>
  <c r="N299" i="10" s="1"/>
  <c r="M119" i="10"/>
  <c r="N119" i="10" s="1"/>
  <c r="M155" i="10"/>
  <c r="N155" i="10" s="1"/>
  <c r="M335" i="10"/>
  <c r="N335" i="10" s="1"/>
  <c r="L101" i="10"/>
  <c r="M101" i="10" s="1"/>
  <c r="N101" i="10" s="1"/>
  <c r="L71" i="10"/>
  <c r="M71" i="10" s="1"/>
  <c r="N71" i="10" s="1"/>
  <c r="L362" i="10"/>
  <c r="M362" i="10" s="1"/>
  <c r="N362" i="10" s="1"/>
  <c r="L220" i="10"/>
  <c r="M220" i="10" s="1"/>
  <c r="N220" i="10" s="1"/>
  <c r="K28" i="5"/>
  <c r="N33" i="5" s="1"/>
  <c r="M10" i="5"/>
  <c r="M60" i="10"/>
  <c r="G9" i="9"/>
  <c r="M240" i="10"/>
  <c r="G19" i="9"/>
  <c r="M384" i="10"/>
  <c r="G27" i="9"/>
  <c r="M84" i="10"/>
  <c r="N84" i="10" s="1"/>
  <c r="M192" i="10"/>
  <c r="N192" i="10" s="1"/>
  <c r="M408" i="10"/>
  <c r="N408" i="10" s="1"/>
  <c r="M106" i="10"/>
  <c r="N106" i="10" s="1"/>
  <c r="M196" i="10"/>
  <c r="N196" i="10" s="1"/>
  <c r="M376" i="10"/>
  <c r="N376" i="10" s="1"/>
  <c r="L206" i="10"/>
  <c r="M206" i="10" s="1"/>
  <c r="N206" i="10" s="1"/>
  <c r="L367" i="10"/>
  <c r="M367" i="10" s="1"/>
  <c r="N367" i="10" s="1"/>
  <c r="M51" i="10"/>
  <c r="N51" i="10" s="1"/>
  <c r="M339" i="10"/>
  <c r="N339" i="10" s="1"/>
  <c r="M321" i="10"/>
  <c r="N321" i="10" s="1"/>
  <c r="L398" i="10"/>
  <c r="M398" i="10" s="1"/>
  <c r="N398" i="10" s="1"/>
  <c r="L148" i="10"/>
  <c r="M148" i="10" s="1"/>
  <c r="N148" i="10" s="1"/>
  <c r="M113" i="10"/>
  <c r="N113" i="10" s="1"/>
  <c r="M275" i="10"/>
  <c r="N275" i="10" s="1"/>
  <c r="L48" i="10"/>
  <c r="M48" i="10" s="1"/>
  <c r="N48" i="10" s="1"/>
  <c r="M25" i="5"/>
  <c r="N25" i="5" s="1"/>
  <c r="M75" i="10"/>
  <c r="N75" i="10" s="1"/>
  <c r="M345" i="10"/>
  <c r="N345" i="10" s="1"/>
  <c r="M122" i="10"/>
  <c r="N122" i="10" s="1"/>
  <c r="M230" i="10"/>
  <c r="N230" i="10" s="1"/>
  <c r="M392" i="10"/>
  <c r="N392" i="10" s="1"/>
  <c r="M127" i="10"/>
  <c r="N127" i="10" s="1"/>
  <c r="M253" i="10"/>
  <c r="N253" i="10" s="1"/>
  <c r="M361" i="10"/>
  <c r="N361" i="10" s="1"/>
  <c r="L419" i="10"/>
  <c r="M419" i="10" s="1"/>
  <c r="N419" i="10" s="1"/>
  <c r="L114" i="10"/>
  <c r="M17" i="5"/>
  <c r="N17" i="5" s="1"/>
  <c r="M67" i="10"/>
  <c r="N67" i="10" s="1"/>
  <c r="M283" i="10"/>
  <c r="N283" i="10" s="1"/>
  <c r="M409" i="10"/>
  <c r="N409" i="10" s="1"/>
  <c r="M27" i="10"/>
  <c r="N27" i="10" s="1"/>
  <c r="M207" i="10"/>
  <c r="N207" i="10" s="1"/>
  <c r="M261" i="10"/>
  <c r="N261" i="10" s="1"/>
  <c r="L151" i="10"/>
  <c r="M151" i="10" s="1"/>
  <c r="N151" i="10" s="1"/>
  <c r="L262" i="10"/>
  <c r="M262" i="10" s="1"/>
  <c r="N262" i="10" s="1"/>
  <c r="M82" i="10"/>
  <c r="N82" i="10" s="1"/>
  <c r="M244" i="10"/>
  <c r="N244" i="10" s="1"/>
  <c r="M370" i="10"/>
  <c r="N370" i="10" s="1"/>
  <c r="L171" i="10"/>
  <c r="M171" i="10" s="1"/>
  <c r="N171" i="10" s="1"/>
  <c r="H22" i="9" l="1"/>
  <c r="H6" i="9"/>
  <c r="L6" i="9" s="1"/>
  <c r="M6" i="9" s="1"/>
  <c r="H12" i="9"/>
  <c r="L12" i="9" s="1"/>
  <c r="M12" i="9" s="1"/>
  <c r="H9" i="9"/>
  <c r="L9" i="9" s="1"/>
  <c r="M9" i="9" s="1"/>
  <c r="H13" i="9"/>
  <c r="L13" i="9" s="1"/>
  <c r="M13" i="9" s="1"/>
  <c r="H24" i="9"/>
  <c r="L24" i="9" s="1"/>
  <c r="M24" i="9" s="1"/>
  <c r="H16" i="9"/>
  <c r="L16" i="9" s="1"/>
  <c r="M16" i="9" s="1"/>
  <c r="M188" i="10"/>
  <c r="N188" i="10" s="1"/>
  <c r="H17" i="9"/>
  <c r="L17" i="9" s="1"/>
  <c r="M17" i="9" s="1"/>
  <c r="H27" i="9"/>
  <c r="L27" i="9" s="1"/>
  <c r="M27" i="9" s="1"/>
  <c r="H20" i="9"/>
  <c r="L20" i="9" s="1"/>
  <c r="M20" i="9" s="1"/>
  <c r="H28" i="9"/>
  <c r="H10" i="9"/>
  <c r="L10" i="9" s="1"/>
  <c r="M10" i="9" s="1"/>
  <c r="H18" i="9"/>
  <c r="L18" i="9" s="1"/>
  <c r="M18" i="9" s="1"/>
  <c r="I23" i="9"/>
  <c r="N312" i="10"/>
  <c r="N384" i="10"/>
  <c r="I8" i="9"/>
  <c r="N42" i="10"/>
  <c r="L28" i="5"/>
  <c r="N34" i="5" s="1"/>
  <c r="N186" i="10"/>
  <c r="H15" i="9"/>
  <c r="H25" i="9"/>
  <c r="I19" i="9"/>
  <c r="N240" i="10"/>
  <c r="I20" i="9"/>
  <c r="N258" i="10"/>
  <c r="H26" i="9"/>
  <c r="H19" i="9"/>
  <c r="M330" i="10"/>
  <c r="H8" i="9"/>
  <c r="H23" i="9"/>
  <c r="I7" i="9"/>
  <c r="N24" i="10"/>
  <c r="M114" i="10"/>
  <c r="H14" i="9"/>
  <c r="M348" i="10"/>
  <c r="L22" i="9"/>
  <c r="M22" i="9" s="1"/>
  <c r="H29" i="9"/>
  <c r="M386" i="10"/>
  <c r="N386" i="10" s="1"/>
  <c r="I18" i="9"/>
  <c r="N222" i="10"/>
  <c r="M28" i="5"/>
  <c r="N10" i="5"/>
  <c r="N28" i="5" s="1"/>
  <c r="N36" i="5" s="1"/>
  <c r="I26" i="9"/>
  <c r="N366" i="10"/>
  <c r="H11" i="9"/>
  <c r="H21" i="9"/>
  <c r="I14" i="9"/>
  <c r="N150" i="10"/>
  <c r="M168" i="10"/>
  <c r="I6" i="9"/>
  <c r="N6" i="10"/>
  <c r="I21" i="9"/>
  <c r="N276" i="10"/>
  <c r="H7" i="9"/>
  <c r="I29" i="9"/>
  <c r="N420" i="10"/>
  <c r="I9" i="9"/>
  <c r="N60" i="10"/>
  <c r="I13" i="9"/>
  <c r="N132" i="10"/>
  <c r="I28" i="9"/>
  <c r="N402" i="10"/>
  <c r="M204" i="10"/>
  <c r="M294" i="10"/>
  <c r="M96" i="10"/>
  <c r="M78" i="10"/>
  <c r="B12" i="1" l="1"/>
  <c r="I16" i="9"/>
  <c r="K16" i="9" s="1"/>
  <c r="L28" i="9"/>
  <c r="M28" i="9" s="1"/>
  <c r="K21" i="9"/>
  <c r="J21" i="9"/>
  <c r="L8" i="9"/>
  <c r="M8" i="9" s="1"/>
  <c r="N37" i="5"/>
  <c r="N38" i="5" s="1"/>
  <c r="N42" i="5" s="1"/>
  <c r="I17" i="9"/>
  <c r="N204" i="10"/>
  <c r="K14" i="9"/>
  <c r="J14" i="9"/>
  <c r="I24" i="9"/>
  <c r="N330" i="10"/>
  <c r="K9" i="9"/>
  <c r="J9" i="9"/>
  <c r="N35" i="5"/>
  <c r="E8" i="1"/>
  <c r="I22" i="9"/>
  <c r="N294" i="10"/>
  <c r="L21" i="9"/>
  <c r="M21" i="9" s="1"/>
  <c r="I25" i="9"/>
  <c r="N348" i="10"/>
  <c r="L19" i="9"/>
  <c r="M19" i="9" s="1"/>
  <c r="K8" i="9"/>
  <c r="J8" i="9"/>
  <c r="K29" i="9"/>
  <c r="J29" i="9"/>
  <c r="I11" i="9"/>
  <c r="N96" i="10"/>
  <c r="L11" i="9"/>
  <c r="M11" i="9" s="1"/>
  <c r="L14" i="9"/>
  <c r="M14" i="9" s="1"/>
  <c r="L26" i="9"/>
  <c r="M26" i="9" s="1"/>
  <c r="K28" i="9"/>
  <c r="J28" i="9"/>
  <c r="K18" i="9"/>
  <c r="J18" i="9"/>
  <c r="K6" i="9"/>
  <c r="B15" i="1" s="1"/>
  <c r="B13" i="1"/>
  <c r="J6" i="9"/>
  <c r="B14" i="1" s="1"/>
  <c r="I12" i="9"/>
  <c r="N114" i="10"/>
  <c r="L25" i="9"/>
  <c r="M25" i="9" s="1"/>
  <c r="K26" i="9"/>
  <c r="J26" i="9"/>
  <c r="K20" i="9"/>
  <c r="J20" i="9"/>
  <c r="L15" i="9"/>
  <c r="M15" i="9" s="1"/>
  <c r="K23" i="9"/>
  <c r="J23" i="9"/>
  <c r="L29" i="9"/>
  <c r="M29" i="9" s="1"/>
  <c r="I10" i="9"/>
  <c r="N78" i="10"/>
  <c r="L7" i="9"/>
  <c r="M7" i="9" s="1"/>
  <c r="K7" i="9"/>
  <c r="J7" i="9"/>
  <c r="I27" i="9"/>
  <c r="K13" i="9"/>
  <c r="J13" i="9"/>
  <c r="I15" i="9"/>
  <c r="N168" i="10"/>
  <c r="L23" i="9"/>
  <c r="M23" i="9" s="1"/>
  <c r="K19" i="9"/>
  <c r="J19" i="9"/>
  <c r="J16" i="9" l="1"/>
  <c r="K27" i="9"/>
  <c r="J27" i="9"/>
  <c r="K17" i="9"/>
  <c r="J17" i="9"/>
  <c r="K11" i="9"/>
  <c r="J11" i="9"/>
  <c r="K25" i="9"/>
  <c r="J25" i="9"/>
  <c r="K12" i="9"/>
  <c r="J12" i="9"/>
  <c r="K24" i="9"/>
  <c r="J24" i="9"/>
  <c r="K15" i="9"/>
  <c r="J15" i="9"/>
  <c r="K10" i="9"/>
  <c r="J10" i="9"/>
  <c r="K22" i="9"/>
  <c r="J22" i="9"/>
  <c r="H61" i="11"/>
</calcChain>
</file>

<file path=xl/sharedStrings.xml><?xml version="1.0" encoding="utf-8"?>
<sst xmlns="http://schemas.openxmlformats.org/spreadsheetml/2006/main" count="824" uniqueCount="388">
  <si>
    <t>ECAR – CONTROL ECONÓMICO Y CERTIFICACIÓN | RED DE AGUA – LOTEO ROQUE</t>
  </si>
  <si>
    <t>Panel ejecutivo vinculado al Presupuesto Base, Medición y Certificado.</t>
  </si>
  <si>
    <t>INDICADOR</t>
  </si>
  <si>
    <t>VALOR</t>
  </si>
  <si>
    <t>CONTROL</t>
  </si>
  <si>
    <t>ESTADO</t>
  </si>
  <si>
    <t>Valor original Red de Agua s/IVA</t>
  </si>
  <si>
    <t>Distribución contrato Agua</t>
  </si>
  <si>
    <t>Saldo certificable Agua s/IVA</t>
  </si>
  <si>
    <t>Incidencias = 100%</t>
  </si>
  <si>
    <t>Saldo certificable Agua c/IVA</t>
  </si>
  <si>
    <t>Excesos en certificado</t>
  </si>
  <si>
    <t>Certificado seleccionado N°</t>
  </si>
  <si>
    <t>Mes base UOCRA</t>
  </si>
  <si>
    <t>Último certificado con movimiento</t>
  </si>
  <si>
    <t>Certificados cerrados</t>
  </si>
  <si>
    <t>Certificación presente seleccionado s/IVA</t>
  </si>
  <si>
    <t>Acumulado certificado seleccionado</t>
  </si>
  <si>
    <t>Saldo luego del certificado</t>
  </si>
  <si>
    <t>Avance económico acumulado</t>
  </si>
  <si>
    <t>Composición saldo certificable Agua</t>
  </si>
  <si>
    <t>Monto s/IVA</t>
  </si>
  <si>
    <t>Obra civil lineal</t>
  </si>
  <si>
    <t>Cañerías</t>
  </si>
  <si>
    <t>Conexiones</t>
  </si>
  <si>
    <t>Válvulas e hidrantes</t>
  </si>
  <si>
    <t>Pruebas / terminaciones / documentación</t>
  </si>
  <si>
    <t>Conexiones terminadas</t>
  </si>
  <si>
    <t>Conexiones totales</t>
  </si>
  <si>
    <t>Flujo recomendado: 1) completar período y estado en Historial Certificados; 2) cargar avances en Medicion; 3) seleccionar el Certificado N° en Certificado; 4) revisar ANTERIOR / PRESENTE / ACUMULADO; 5) verificar controles; 6) una vez emitido definitivamente, cambiar Estado a CERRADO y no modificar esas mediciones.</t>
  </si>
  <si>
    <t>CONFIGURACIÓN GENERAL – CERTIFICACIÓN RED DE AGUA</t>
  </si>
  <si>
    <t>Dato</t>
  </si>
  <si>
    <t>Valor</t>
  </si>
  <si>
    <t>Código de color</t>
  </si>
  <si>
    <t>Uso</t>
  </si>
  <si>
    <t>Descripción</t>
  </si>
  <si>
    <t>Obra</t>
  </si>
  <si>
    <t>Red Distribuidora de Agua Potable – Loteo Roque</t>
  </si>
  <si>
    <t>AMARILLO</t>
  </si>
  <si>
    <t>Carga manual</t>
  </si>
  <si>
    <t>Celdas que el usuario puede completar o modificar.</t>
  </si>
  <si>
    <t>Ubicación</t>
  </si>
  <si>
    <t>Santa Lucía, San Juan</t>
  </si>
  <si>
    <t>CELESTE</t>
  </si>
  <si>
    <t>Cálculo</t>
  </si>
  <si>
    <t>Celdas con fórmulas o datos vinculados.</t>
  </si>
  <si>
    <t>Comitente</t>
  </si>
  <si>
    <t>VALDIVIESO GROUP S.R.L.</t>
  </si>
  <si>
    <t>VERDE</t>
  </si>
  <si>
    <t>OK</t>
  </si>
  <si>
    <t>Control correcto / dentro de límites.</t>
  </si>
  <si>
    <t>Contratista</t>
  </si>
  <si>
    <t>ECAR SAS</t>
  </si>
  <si>
    <t>ROJO</t>
  </si>
  <si>
    <t>Alerta</t>
  </si>
  <si>
    <t>Dato excedido, incompleto o inconsistente.</t>
  </si>
  <si>
    <t>Ente de inspección</t>
  </si>
  <si>
    <t>O.S.S.E.</t>
  </si>
  <si>
    <t>Monto original oferta Agua s/IVA</t>
  </si>
  <si>
    <t>Monto original oferta Cloaca s/IVA</t>
  </si>
  <si>
    <t>Monto original oferta Total s/IVA</t>
  </si>
  <si>
    <t>Participación Agua</t>
  </si>
  <si>
    <t>Participación Cloaca</t>
  </si>
  <si>
    <t>Saldo contractual certificable TOTAL c/IVA</t>
  </si>
  <si>
    <t>IVA</t>
  </si>
  <si>
    <t>Saldo contractual certificable TOTAL s/IVA</t>
  </si>
  <si>
    <t>Saldo certificable Cloaca s/IVA</t>
  </si>
  <si>
    <t>Saldo certificable Cloaca c/IVA</t>
  </si>
  <si>
    <t>Mes base actualización</t>
  </si>
  <si>
    <t>Julio 2026</t>
  </si>
  <si>
    <t>Índice actualización</t>
  </si>
  <si>
    <t>UOCRA</t>
  </si>
  <si>
    <t>NOTA DE USO</t>
  </si>
  <si>
    <t>NOTA CONTRACTUAL</t>
  </si>
  <si>
    <t>Longitud PEAD Ø75 mm (ml)</t>
  </si>
  <si>
    <t>El contrato establece un saldo de $374.400.000 IVA incluido a abonar mediante certificaciones mensuales según avance de obra, actualizable por índice UOCRA con mes base JULIO 2026. Para separar Agua y Cloaca se mantiene la proporción económica de la oferta aceptada: Agua $400.000.000 s/IVA y Cloaca $680.000.000 s/IVA. Esta distribución es un criterio interno de certificación y no modifica el valor original de cada red.</t>
  </si>
  <si>
    <t>Longitud PEAD Ø110 mm (ml)</t>
  </si>
  <si>
    <t>Longitud total red (ml)</t>
  </si>
  <si>
    <t>Conexiones sobre Ø75 (un)</t>
  </si>
  <si>
    <t>Conexiones sobre Ø110 (un)</t>
  </si>
  <si>
    <t>Total conexiones (un)</t>
  </si>
  <si>
    <t>FUENTES DE REFERENCIA</t>
  </si>
  <si>
    <t>Válvulas Ø75 (un)</t>
  </si>
  <si>
    <t>Documento</t>
  </si>
  <si>
    <t>Cotización ECAR SAS Loteo Roque.pdf</t>
  </si>
  <si>
    <t>Válvulas Ø100 (un)</t>
  </si>
  <si>
    <t>Contrato</t>
  </si>
  <si>
    <t>Cláusula c) – saldo $374.400.000 IVA incluido / certificaciones mensuales</t>
  </si>
  <si>
    <t>Hidrantes (un)</t>
  </si>
  <si>
    <t>Criterio ECAR</t>
  </si>
  <si>
    <t>Distribución proporcional Agua 37,037% / Cloaca 62,963%</t>
  </si>
  <si>
    <t>PRESUPUESTO BASE DE CERTIFICACIÓN – RED DE AGUA – VERSIÓN 2 AJUSTADA A CONTRATO</t>
  </si>
  <si>
    <t>Apertura interna del SALDO CERTIFICABLE de la Red de Agua. Las incidencias de la Versión 2 se mantienen y los P.U. se recalculan sobre el saldo de Agua asignado proporcionalmente al contrato.</t>
  </si>
  <si>
    <t>Ítem</t>
  </si>
  <si>
    <t>Unidad</t>
  </si>
  <si>
    <t>Cantidad contractual</t>
  </si>
  <si>
    <t>P.U. interno s/IVA</t>
  </si>
  <si>
    <t>Importe asignado s/IVA</t>
  </si>
  <si>
    <t>Incidencia</t>
  </si>
  <si>
    <t>1</t>
  </si>
  <si>
    <t>Replanteo y marcación de traza</t>
  </si>
  <si>
    <t>ml</t>
  </si>
  <si>
    <t>2</t>
  </si>
  <si>
    <t>Excavación de zanja</t>
  </si>
  <si>
    <t>3</t>
  </si>
  <si>
    <t>Nivelación y conformación del fondo de zanja</t>
  </si>
  <si>
    <t>4</t>
  </si>
  <si>
    <t>Cama de asiento compactada</t>
  </si>
  <si>
    <t>5.1</t>
  </si>
  <si>
    <t>PEAD PN10 Ø75 – provisión e instalación</t>
  </si>
  <si>
    <t>5.2</t>
  </si>
  <si>
    <t>PEAD PN10 Ø110 – provisión e instalación</t>
  </si>
  <si>
    <t>6</t>
  </si>
  <si>
    <t>Ejecución de paquete estructural de 30 cm</t>
  </si>
  <si>
    <t>7</t>
  </si>
  <si>
    <t>Compactación del paquete estructural de 30 cm</t>
  </si>
  <si>
    <t>8</t>
  </si>
  <si>
    <t>Ejecución y compactación de capa cota -0,60</t>
  </si>
  <si>
    <t>9</t>
  </si>
  <si>
    <t>Ejecución y compactación de capa cota -0,30</t>
  </si>
  <si>
    <t>10.1</t>
  </si>
  <si>
    <t>Conexión domiciliaria sobre red Ø75</t>
  </si>
  <si>
    <t>un</t>
  </si>
  <si>
    <t>10.2</t>
  </si>
  <si>
    <t>Conexión domiciliaria sobre red Ø110</t>
  </si>
  <si>
    <t>11.1</t>
  </si>
  <si>
    <t>Válvula esclusa Ø75 completa e instalada</t>
  </si>
  <si>
    <t>11.2</t>
  </si>
  <si>
    <t>Válvula esclusa Ø100 completa e instalada</t>
  </si>
  <si>
    <t>12</t>
  </si>
  <si>
    <t>Hidrante a bola completo e instalado</t>
  </si>
  <si>
    <t>13.1</t>
  </si>
  <si>
    <t>Pruebas hidráulicas y operativas</t>
  </si>
  <si>
    <t>gl</t>
  </si>
  <si>
    <t>13.2</t>
  </si>
  <si>
    <t>Terminaciones y acondicionamiento final</t>
  </si>
  <si>
    <t>13.3</t>
  </si>
  <si>
    <t>Documentación conforme a obra y cierre</t>
  </si>
  <si>
    <t>TOTAL RED DE AGUA</t>
  </si>
  <si>
    <t>Control</t>
  </si>
  <si>
    <t>Resultado</t>
  </si>
  <si>
    <t>Estado</t>
  </si>
  <si>
    <t>Suma incidencias</t>
  </si>
  <si>
    <t>MEDICIÓN DE AVANCE – CARGA POR TRAMO Y ACTIVIDAD</t>
  </si>
  <si>
    <t>Cargar una fila por actividad medida. En la columna Ítem seleccionar el código del desplegable (por ejemplo 2, 5.1 o 10.2). La DESCRIPCIÓN, UNIDAD y P.U. se completan automáticamente. Para ítems globales 13.1 a 13.3 cargar una fracción entre 0 y 1.</t>
  </si>
  <si>
    <t>Cert. N°</t>
  </si>
  <si>
    <t>Fecha</t>
  </si>
  <si>
    <t>Código tramo</t>
  </si>
  <si>
    <t>Nodo inicial</t>
  </si>
  <si>
    <t>Nodo final</t>
  </si>
  <si>
    <t>Calle / sector</t>
  </si>
  <si>
    <t>Diámetro / tipo</t>
  </si>
  <si>
    <t>Cantidad medida</t>
  </si>
  <si>
    <t>P.U. s/IVA</t>
  </si>
  <si>
    <t>Importe s/IVA</t>
  </si>
  <si>
    <t>Estado OSSE</t>
  </si>
  <si>
    <t>Acta / inspección</t>
  </si>
  <si>
    <t>Observaciones</t>
  </si>
  <si>
    <t>Estado Cert.</t>
  </si>
  <si>
    <t>Control histórico</t>
  </si>
  <si>
    <t>CERTIFICADO DE OBRA – RED DISTRIBUIDORA DE AGUA POTABLE</t>
  </si>
  <si>
    <t>Certificado N°</t>
  </si>
  <si>
    <t>Período desde</t>
  </si>
  <si>
    <t>Período hasta</t>
  </si>
  <si>
    <t>Registros</t>
  </si>
  <si>
    <t>Fecha emisión</t>
  </si>
  <si>
    <t>Base económica</t>
  </si>
  <si>
    <t>Un.</t>
  </si>
  <si>
    <t>Cant. contractual</t>
  </si>
  <si>
    <t>Importe contractual</t>
  </si>
  <si>
    <t>Cant. anterior</t>
  </si>
  <si>
    <t>Cant. período</t>
  </si>
  <si>
    <t>Cant. acumulada</t>
  </si>
  <si>
    <t>% avance acum.</t>
  </si>
  <si>
    <t>Importe anterior</t>
  </si>
  <si>
    <t>Importe período</t>
  </si>
  <si>
    <t>Importe acumulado</t>
  </si>
  <si>
    <t>Saldo</t>
  </si>
  <si>
    <t>TOTAL</t>
  </si>
  <si>
    <t>RESUMEN ECONÓMICO</t>
  </si>
  <si>
    <t>Saldo base certificable s/IVA</t>
  </si>
  <si>
    <t>Certificado anteriormente</t>
  </si>
  <si>
    <t>Certificación del período s/IVA</t>
  </si>
  <si>
    <t>Total acumulado certificado</t>
  </si>
  <si>
    <t>Saldo certificable pendiente</t>
  </si>
  <si>
    <t>IVA del período</t>
  </si>
  <si>
    <t>Total período c/IVA</t>
  </si>
  <si>
    <t>Amortización anticipo (manual)</t>
  </si>
  <si>
    <t>Retención / fondo de reparo (manual)</t>
  </si>
  <si>
    <t>Otros descuentos / ajustes (manual)</t>
  </si>
  <si>
    <t>Neto estimado del período</t>
  </si>
  <si>
    <t>Base del certificado: saldo de Red de Agua asignado proporcionalmente sobre $374.400.000 IVA incluido. Mes base contractual: JULIO 2026 – índice UOCRA.</t>
  </si>
  <si>
    <t>HISTORIAL: seleccionar el N° de certificado en B4 para consultar cualquier emisión. Las columnas ANTERIOR, PRESENTE y ACUMULADO se reconstruyen automáticamente. Una vez CERRADO el certificado, no modificar sus mediciones.</t>
  </si>
  <si>
    <t>CONTROL DE CONEXIONES DOMICILIARIAS – 227 UNIDADES</t>
  </si>
  <si>
    <t>Completar este registro como respaldo del ítem 10.1 / 10.2. Una conexión se considera certificable cuando está completamente ejecutada.</t>
  </si>
  <si>
    <t>N°</t>
  </si>
  <si>
    <t>Lote</t>
  </si>
  <si>
    <t>Manzana</t>
  </si>
  <si>
    <t>Tramo</t>
  </si>
  <si>
    <t>Diámetro red</t>
  </si>
  <si>
    <t>Ítem cert.</t>
  </si>
  <si>
    <t>Fecha apertura</t>
  </si>
  <si>
    <t>Fecha ejecución</t>
  </si>
  <si>
    <t>Fecha tapado</t>
  </si>
  <si>
    <t>Inspección OSSE</t>
  </si>
  <si>
    <t>CRITERIOS DE MEDICIÓN Y CERTIFICACIÓN POR ÍTEM</t>
  </si>
  <si>
    <t>Regla general: certificar cantidades físicamente terminadas y comprobables. Evitar porcentajes subjetivos en ítems lineales o unitarios.</t>
  </si>
  <si>
    <t>Actividad</t>
  </si>
  <si>
    <t>Cómo se mide</t>
  </si>
  <si>
    <t>Condición para certificar</t>
  </si>
  <si>
    <t>Carga en hoja Medicion</t>
  </si>
  <si>
    <t>No incluir / observación</t>
  </si>
  <si>
    <t>Ejemplo</t>
  </si>
  <si>
    <t>Replanteo y marcación</t>
  </si>
  <si>
    <t>Longitud de traza efectivamente replanteada y marcada en terreno.</t>
  </si>
  <si>
    <t>Eje y límites de zanja identificados conforme al proyecto.</t>
  </si>
  <si>
    <t>Ingresar metros lineales terminados.</t>
  </si>
  <si>
    <t>No volver a certificar el mismo tramo.</t>
  </si>
  <si>
    <t>120 ml replanteados = 120</t>
  </si>
  <si>
    <t>Longitud de zanja excavada hasta profundidad y geometría necesarias para continuar.</t>
  </si>
  <si>
    <t>Zanja terminada y apta para acondicionar el fondo.</t>
  </si>
  <si>
    <t>Ingresar metros lineales de zanja terminada.</t>
  </si>
  <si>
    <t>Reexcavaciones o correcciones no se duplican salvo adicional aprobado.</t>
  </si>
  <si>
    <t>80 ml terminados = 80</t>
  </si>
  <si>
    <t>Nivelación y conformación de fondo</t>
  </si>
  <si>
    <t>Longitud con fondo limpiado, perfilado y nivelado.</t>
  </si>
  <si>
    <t>Fondo listo para recibir cama de asiento.</t>
  </si>
  <si>
    <t>No medir excavación; sólo acondicionamiento final del fondo.</t>
  </si>
  <si>
    <t>80 ml listos = 80</t>
  </si>
  <si>
    <t>Longitud donde el material de cama fue colocado, nivelado y compactado.</t>
  </si>
  <si>
    <t>Cama lista para recibir la cañería.</t>
  </si>
  <si>
    <t>El material y su compactación quedan incluidos en este ítem.</t>
  </si>
  <si>
    <t>75 ml = 75</t>
  </si>
  <si>
    <t>Longitud de cañería Ø75 colocada dentro de zanja, unida, alineada y centrada.</t>
  </si>
  <si>
    <t>Cañería instalada en posición definitiva.</t>
  </si>
  <si>
    <t>Ingresar metros lineales instalados.</t>
  </si>
  <si>
    <t>Incluye provisión del caño dentro de esta apertura interna.</t>
  </si>
  <si>
    <t>60 ml Ø75 = 60</t>
  </si>
  <si>
    <t>Longitud de cañería Ø110 colocada dentro de zanja, unida, alineada y centrada.</t>
  </si>
  <si>
    <t>40 ml Ø110 = 40</t>
  </si>
  <si>
    <t>Paquete estructural 30 cm</t>
  </si>
  <si>
    <t>Longitud con material base colocado alrededor/sobre la cañería hasta completar el paquete previsto de 30 cm.</t>
  </si>
  <si>
    <t>Paquete completamente conformado y emparejado.</t>
  </si>
  <si>
    <t>No certificar parcialmente el espesor; medir longitud terminada.</t>
  </si>
  <si>
    <t>50 ml completos = 50</t>
  </si>
  <si>
    <t>Compactación paquete estructural 30 cm</t>
  </si>
  <si>
    <t>Longitud del paquete de 30 cm efectivamente compactado.</t>
  </si>
  <si>
    <t>Tramo compactado y en condición de solicitar inspección OSSE.</t>
  </si>
  <si>
    <t>Ingresar metros lineales compactados.</t>
  </si>
  <si>
    <t>Si requiere corrección, certificar cuando quede conforme.</t>
  </si>
  <si>
    <t>50 ml compactados = 50</t>
  </si>
  <si>
    <t>Capa cota -0,60 compactada</t>
  </si>
  <si>
    <t>Longitud con la capa correspondiente a cota -0,60 ejecutada y compactada.</t>
  </si>
  <si>
    <t>Capa terminada conforme al procedimiento de obra.</t>
  </si>
  <si>
    <t>Recomendado ejecutar luego de la liberación del tramo correspondiente.</t>
  </si>
  <si>
    <t>40 ml = 40</t>
  </si>
  <si>
    <t>Capa cota -0,30 compactada</t>
  </si>
  <si>
    <t>Longitud con la capa correspondiente a cota -0,30 ejecutada y compactada.</t>
  </si>
  <si>
    <t>No confundir con paquete estructural de 30 cm.</t>
  </si>
  <si>
    <t>30 ml = 30</t>
  </si>
  <si>
    <t>Conexión domiciliaria sobre Ø75</t>
  </si>
  <si>
    <t>Cantidad de conexiones domiciliarias completas ejecutadas sobre red Ø75.</t>
  </si>
  <si>
    <t>Conexión realizada, tapada y en condición de quedar definitiva.</t>
  </si>
  <si>
    <t>Ingresar unidades completas.</t>
  </si>
  <si>
    <t>No certificar fracciones de una conexión.</t>
  </si>
  <si>
    <t>4 conexiones = 4</t>
  </si>
  <si>
    <t>Conexión domiciliaria sobre Ø110</t>
  </si>
  <si>
    <t>Cantidad de conexiones domiciliarias completas ejecutadas sobre red Ø110.</t>
  </si>
  <si>
    <t>2 conexiones = 2</t>
  </si>
  <si>
    <t>Válvula esclusa Ø75</t>
  </si>
  <si>
    <t>Cantidad de válvulas Ø75 completas instaladas con sus accesorios.</t>
  </si>
  <si>
    <t>Válvula montada en posición definitiva.</t>
  </si>
  <si>
    <t>No certificar sólo el suministro si no se acordó expresamente.</t>
  </si>
  <si>
    <t>1 válvula = 1</t>
  </si>
  <si>
    <t>Válvula esclusa Ø100</t>
  </si>
  <si>
    <t>Cantidad de válvulas Ø100 completas instaladas con sus accesorios.</t>
  </si>
  <si>
    <t>Hidrante a bola completo</t>
  </si>
  <si>
    <t>Cantidad de hidrantes completos instalados.</t>
  </si>
  <si>
    <t>Hidrante montado y terminado en su ubicación definitiva.</t>
  </si>
  <si>
    <t>Incluye los componentes previstos en el alcance.</t>
  </si>
  <si>
    <t>1 hidrante = 1</t>
  </si>
  <si>
    <t>Avance proporcional de sectores efectivamente ensayados y aceptados.</t>
  </si>
  <si>
    <t>Prueba realizada y registrada/aceptada.</t>
  </si>
  <si>
    <t>Cargar fracción entre 0 y 1. Recomendado: metros aceptados / 4.200.</t>
  </si>
  <si>
    <t>La suma acumulada no puede superar 1,00.</t>
  </si>
  <si>
    <t>2.100 ml aceptados / 4.200 = 0,50</t>
  </si>
  <si>
    <t>Avance proporcional de sectores totalmente terminados y acondicionados.</t>
  </si>
  <si>
    <t>Sector sin tareas pendientes de recomposición atribuibles al alcance.</t>
  </si>
  <si>
    <t>Cargar fracción entre 0 y 1 según longitud/sectores terminados.</t>
  </si>
  <si>
    <t>Evitar estimación visual; usar relación física verificable.</t>
  </si>
  <si>
    <t>1.050 ml terminados / 4.200 = 0,25</t>
  </si>
  <si>
    <t>Avance de la documentación de cierre efectivamente preparada y aprobada.</t>
  </si>
  <si>
    <t>Entregables definidos y aceptados.</t>
  </si>
  <si>
    <t>Preferentemente cargar 1,00 al cierre; si se acuerdan hitos, usar fracciones objetivas.</t>
  </si>
  <si>
    <t>No anticipar porcentaje sin entregable verificable.</t>
  </si>
  <si>
    <t>Documentación final aprobada = 1,00</t>
  </si>
  <si>
    <t>NOTA ECONÓMICA: Los criterios de medición no cambian. Los P.U. se recalculan sobre el saldo certificable de la Red de Agua, distribuido proporcionalmente según la oferta original Agua/Cloaca.</t>
  </si>
  <si>
    <t>Los criterios de medición no cambian. Los P.U. se recalculan sobre el saldo certificable de la Red de Agua, distribuido proporcionalmente según la oferta original Agua/Cloaca.</t>
  </si>
  <si>
    <t>DISTRIBUCIÓN DEL SALDO CONTRACTUAL CERTIFICABLE – AGUA Y CLOACA</t>
  </si>
  <si>
    <t>Criterio: mantener la misma proporción económica de la oferta aceptada ($400 M Agua / $680 M Cloaca) para distribuir el saldo contractual de $374,4 M IVA incluido.</t>
  </si>
  <si>
    <t>Concepto</t>
  </si>
  <si>
    <t>Oferta original s/IVA</t>
  </si>
  <si>
    <t>Participación</t>
  </si>
  <si>
    <t>Saldo certificable s/IVA</t>
  </si>
  <si>
    <t>Saldo certificable c/IVA</t>
  </si>
  <si>
    <t>Red de Agua</t>
  </si>
  <si>
    <t>Red Cloacal</t>
  </si>
  <si>
    <t>Referencia contractual</t>
  </si>
  <si>
    <t>Cláusula c)</t>
  </si>
  <si>
    <t>$374.400.000 IVA incluido mediante certificaciones mensuales según avance de obra.</t>
  </si>
  <si>
    <t>Actualización</t>
  </si>
  <si>
    <t>Índice UOCRA – mes base JULIO 2026.</t>
  </si>
  <si>
    <t>Aclaración</t>
  </si>
  <si>
    <t>La distribución Agua/Cloaca es un criterio interno basado en la proporción de la oferta aceptada.</t>
  </si>
  <si>
    <t>HISTORIAL DE CERTIFICADOS – RED DE AGUA | LOTEO ROQUE</t>
  </si>
  <si>
    <t>Cada emisión queda identificada por N° de certificado. Se calculan automáticamente ANTERIOR, PRESENTE y ACUMULADO. Al marcar un certificado como CERRADO, no deben modificarse sus mediciones.</t>
  </si>
  <si>
    <t>Anterior s/IVA</t>
  </si>
  <si>
    <t>Presente s/IVA</t>
  </si>
  <si>
    <t>Acumulado s/IVA</t>
  </si>
  <si>
    <t>Saldo s/IVA</t>
  </si>
  <si>
    <t>Avance acum.</t>
  </si>
  <si>
    <t>IVA presente</t>
  </si>
  <si>
    <t>Presente c/IVA</t>
  </si>
  <si>
    <t>CONTROL DE HISTORIAL</t>
  </si>
  <si>
    <t>Saldo certificable base s/IVA</t>
  </si>
  <si>
    <t>Regla de cierre</t>
  </si>
  <si>
    <t>Una vez CERRADO, no editar sus mediciones.</t>
  </si>
  <si>
    <t>HISTORIAL DETALLADO POR ÍTEM – ANTERIOR / PRESENTE / ACUMULADO</t>
  </si>
  <si>
    <t>Trazabilidad automática de cada ítem en cada certificado. Permite consultar cualquier emisión sin perder las anteriores.</t>
  </si>
  <si>
    <t>Cant. presente</t>
  </si>
  <si>
    <t>Importe presente</t>
  </si>
  <si>
    <t>N30</t>
  </si>
  <si>
    <t>N29</t>
  </si>
  <si>
    <t>Pasaje 8</t>
  </si>
  <si>
    <t>N25</t>
  </si>
  <si>
    <t>Pasaje 3</t>
  </si>
  <si>
    <t>N24</t>
  </si>
  <si>
    <t>Pasaje 2</t>
  </si>
  <si>
    <t>N22</t>
  </si>
  <si>
    <t>Pasaje 4</t>
  </si>
  <si>
    <t>N21</t>
  </si>
  <si>
    <t>N28</t>
  </si>
  <si>
    <t>N20</t>
  </si>
  <si>
    <t>N19</t>
  </si>
  <si>
    <t>Pasaje 5</t>
  </si>
  <si>
    <t>N27</t>
  </si>
  <si>
    <t>MzaA</t>
  </si>
  <si>
    <t>MzaB</t>
  </si>
  <si>
    <t>MzaC</t>
  </si>
  <si>
    <t>Pasaje 6</t>
  </si>
  <si>
    <t>N26</t>
  </si>
  <si>
    <t>N18</t>
  </si>
  <si>
    <t>Pasaje 7</t>
  </si>
  <si>
    <t>MzaD</t>
  </si>
  <si>
    <t xml:space="preserve">Longitudes </t>
  </si>
  <si>
    <t>Mza E</t>
  </si>
  <si>
    <t>N13</t>
  </si>
  <si>
    <t>N23</t>
  </si>
  <si>
    <t>N12</t>
  </si>
  <si>
    <t>Pasaje 9</t>
  </si>
  <si>
    <t>F</t>
  </si>
  <si>
    <t>Pasaje 14</t>
  </si>
  <si>
    <t>N17</t>
  </si>
  <si>
    <t>N11</t>
  </si>
  <si>
    <t>G</t>
  </si>
  <si>
    <t>N15</t>
  </si>
  <si>
    <t>N16</t>
  </si>
  <si>
    <t>N10</t>
  </si>
  <si>
    <t>N9</t>
  </si>
  <si>
    <t>H</t>
  </si>
  <si>
    <t>N14</t>
  </si>
  <si>
    <t>N8</t>
  </si>
  <si>
    <t>I</t>
  </si>
  <si>
    <t>N7</t>
  </si>
  <si>
    <t>N6</t>
  </si>
  <si>
    <t>N5</t>
  </si>
  <si>
    <t>J</t>
  </si>
  <si>
    <t>N4</t>
  </si>
  <si>
    <t>N3</t>
  </si>
  <si>
    <t>K</t>
  </si>
  <si>
    <t>N2</t>
  </si>
  <si>
    <t>L</t>
  </si>
  <si>
    <t>N1</t>
  </si>
  <si>
    <t>N32</t>
  </si>
  <si>
    <t>N31</t>
  </si>
  <si>
    <t>Código</t>
  </si>
  <si>
    <t>Garita SL</t>
  </si>
  <si>
    <t xml:space="preserve">Garita Interna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</si>
</sst>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dd/mm/yyyy"/>
    <numFmt numFmtId="166" formatCode="\$\ #,##0.00"/>
    <numFmt numFmtId="167" formatCode="0.000%"/>
  </numFmts>
  <fonts count="18">
    <font>
      <sz val="11"/>
      <name val="Carlito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0B1F3A"/>
      <name val="Calibri"/>
    </font>
    <font>
      <sz val="10"/>
      <name val="Calibri"/>
    </font>
    <font>
      <i/>
      <sz val="10"/>
      <color rgb="FF0B1F3A"/>
      <name val="Calibri"/>
    </font>
    <font>
      <sz val="9"/>
      <name val="Calibri"/>
    </font>
    <font>
      <i/>
      <sz val="9"/>
      <color rgb="FF666666"/>
      <name val="Calibri"/>
    </font>
    <font>
      <sz val="10"/>
      <color rgb="FF0B1F3A"/>
      <name val="Calibri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4"/>
      <color rgb="FFFFFFFF"/>
      <name val="Carlito"/>
    </font>
    <font>
      <sz val="12"/>
      <name val="Calibri"/>
      <family val="2"/>
    </font>
    <font>
      <sz val="12"/>
      <name val="Carlito"/>
    </font>
    <font>
      <sz val="8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02B4E"/>
      </patternFill>
    </fill>
    <fill>
      <patternFill patternType="solid">
        <fgColor rgb="FFDCE6F1"/>
      </patternFill>
    </fill>
    <fill>
      <patternFill patternType="solid">
        <fgColor rgb="FF0B2239"/>
      </patternFill>
    </fill>
    <fill>
      <patternFill patternType="solid">
        <fgColor rgb="FF102A43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165" fontId="4" fillId="4" borderId="0" xfId="0" applyNumberFormat="1" applyFont="1" applyFill="1" applyAlignment="1">
      <alignment vertical="center"/>
    </xf>
    <xf numFmtId="1" fontId="4" fillId="5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" fontId="4" fillId="4" borderId="5" xfId="0" applyNumberFormat="1" applyFont="1" applyFill="1" applyBorder="1" applyAlignment="1">
      <alignment vertical="center" wrapText="1"/>
    </xf>
    <xf numFmtId="164" fontId="4" fillId="5" borderId="5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10" fontId="4" fillId="5" borderId="8" xfId="0" applyNumberFormat="1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4" borderId="4" xfId="0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4" fontId="6" fillId="4" borderId="5" xfId="0" applyNumberFormat="1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165" fontId="6" fillId="4" borderId="8" xfId="0" applyNumberFormat="1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4" fontId="6" fillId="4" borderId="8" xfId="0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4" fontId="4" fillId="5" borderId="5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5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0" fillId="9" borderId="0" xfId="0" applyFill="1" applyAlignment="1">
      <alignment wrapText="1"/>
    </xf>
    <xf numFmtId="0" fontId="3" fillId="9" borderId="4" xfId="0" applyFont="1" applyFill="1" applyBorder="1" applyAlignment="1">
      <alignment vertical="center" wrapText="1"/>
    </xf>
    <xf numFmtId="164" fontId="4" fillId="9" borderId="6" xfId="0" applyNumberFormat="1" applyFont="1" applyFill="1" applyBorder="1" applyAlignment="1">
      <alignment vertical="center" wrapText="1"/>
    </xf>
    <xf numFmtId="0" fontId="7" fillId="9" borderId="0" xfId="0" applyFont="1" applyFill="1" applyAlignment="1">
      <alignment wrapText="1"/>
    </xf>
    <xf numFmtId="0" fontId="3" fillId="9" borderId="7" xfId="0" applyFont="1" applyFill="1" applyBorder="1" applyAlignment="1">
      <alignment vertical="center" wrapText="1"/>
    </xf>
    <xf numFmtId="164" fontId="4" fillId="9" borderId="9" xfId="0" applyNumberFormat="1" applyFont="1" applyFill="1" applyBorder="1" applyAlignment="1">
      <alignment vertical="center" wrapText="1"/>
    </xf>
    <xf numFmtId="0" fontId="0" fillId="9" borderId="0" xfId="0" applyFill="1"/>
    <xf numFmtId="166" fontId="4" fillId="4" borderId="1" xfId="0" applyNumberFormat="1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vertical="center" wrapText="1"/>
    </xf>
    <xf numFmtId="10" fontId="4" fillId="4" borderId="1" xfId="0" applyNumberFormat="1" applyFont="1" applyFill="1" applyBorder="1" applyAlignment="1">
      <alignment vertical="center" wrapText="1"/>
    </xf>
    <xf numFmtId="166" fontId="4" fillId="5" borderId="1" xfId="0" applyNumberFormat="1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wrapText="1"/>
    </xf>
    <xf numFmtId="10" fontId="4" fillId="5" borderId="1" xfId="0" applyNumberFormat="1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wrapText="1"/>
    </xf>
    <xf numFmtId="166" fontId="4" fillId="5" borderId="1" xfId="0" applyNumberFormat="1" applyFont="1" applyFill="1" applyBorder="1" applyAlignment="1">
      <alignment vertical="center"/>
    </xf>
    <xf numFmtId="166" fontId="4" fillId="5" borderId="0" xfId="0" applyNumberFormat="1" applyFont="1" applyFill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10" fillId="10" borderId="0" xfId="0" applyFont="1" applyFill="1"/>
    <xf numFmtId="0" fontId="10" fillId="10" borderId="0" xfId="0" applyFont="1" applyFill="1" applyAlignment="1">
      <alignment horizontal="center" vertical="center" wrapText="1"/>
    </xf>
    <xf numFmtId="166" fontId="11" fillId="11" borderId="0" xfId="0" applyNumberFormat="1" applyFont="1" applyFill="1"/>
    <xf numFmtId="167" fontId="11" fillId="11" borderId="0" xfId="0" applyNumberFormat="1" applyFont="1" applyFill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166" fontId="0" fillId="0" borderId="15" xfId="0" applyNumberFormat="1" applyBorder="1"/>
    <xf numFmtId="0" fontId="11" fillId="11" borderId="14" xfId="0" applyFont="1" applyFill="1" applyBorder="1"/>
    <xf numFmtId="166" fontId="11" fillId="11" borderId="15" xfId="0" applyNumberFormat="1" applyFont="1" applyFill="1" applyBorder="1"/>
    <xf numFmtId="0" fontId="10" fillId="10" borderId="14" xfId="0" applyFont="1" applyFill="1" applyBorder="1"/>
    <xf numFmtId="0" fontId="10" fillId="10" borderId="15" xfId="0" applyFont="1" applyFill="1" applyBorder="1"/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4" fillId="5" borderId="1" xfId="0" applyFont="1" applyFill="1" applyBorder="1" applyAlignment="1">
      <alignment vertical="center" wrapText="1"/>
    </xf>
    <xf numFmtId="0" fontId="0" fillId="14" borderId="0" xfId="0" applyFill="1"/>
    <xf numFmtId="0" fontId="10" fillId="15" borderId="0" xfId="0" applyFont="1" applyFill="1" applyAlignment="1">
      <alignment horizontal="center" wrapText="1"/>
    </xf>
    <xf numFmtId="0" fontId="10" fillId="15" borderId="0" xfId="0" applyFont="1" applyFill="1" applyAlignment="1">
      <alignment horizontal="center" vertical="center" wrapText="1"/>
    </xf>
    <xf numFmtId="10" fontId="0" fillId="0" borderId="0" xfId="0" applyNumberFormat="1"/>
    <xf numFmtId="165" fontId="0" fillId="16" borderId="0" xfId="0" applyNumberFormat="1" applyFill="1"/>
    <xf numFmtId="0" fontId="0" fillId="16" borderId="0" xfId="0" applyFill="1"/>
    <xf numFmtId="166" fontId="0" fillId="14" borderId="0" xfId="0" applyNumberFormat="1" applyFill="1"/>
    <xf numFmtId="10" fontId="0" fillId="14" borderId="0" xfId="0" applyNumberFormat="1" applyFill="1"/>
    <xf numFmtId="0" fontId="11" fillId="0" borderId="0" xfId="0" applyFont="1" applyAlignment="1">
      <alignment wrapText="1"/>
    </xf>
    <xf numFmtId="0" fontId="13" fillId="16" borderId="0" xfId="0" applyFont="1" applyFill="1" applyAlignment="1">
      <alignment wrapText="1"/>
    </xf>
    <xf numFmtId="0" fontId="6" fillId="17" borderId="0" xfId="0" applyFont="1" applyFill="1" applyAlignment="1">
      <alignment vertical="center"/>
    </xf>
    <xf numFmtId="164" fontId="6" fillId="17" borderId="0" xfId="0" applyNumberFormat="1" applyFont="1" applyFill="1" applyAlignment="1">
      <alignment vertical="center"/>
    </xf>
    <xf numFmtId="0" fontId="6" fillId="17" borderId="0" xfId="0" applyFont="1" applyFill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165" fontId="6" fillId="18" borderId="5" xfId="0" applyNumberFormat="1" applyFont="1" applyFill="1" applyBorder="1" applyAlignment="1">
      <alignment horizontal="center" vertical="center"/>
    </xf>
    <xf numFmtId="0" fontId="6" fillId="18" borderId="5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/>
    </xf>
    <xf numFmtId="165" fontId="6" fillId="19" borderId="5" xfId="0" applyNumberFormat="1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4" fontId="6" fillId="4" borderId="10" xfId="0" applyNumberFormat="1" applyFont="1" applyFill="1" applyBorder="1" applyAlignment="1">
      <alignment vertical="center"/>
    </xf>
    <xf numFmtId="0" fontId="6" fillId="18" borderId="1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0" fillId="0" borderId="17" xfId="0" applyBorder="1"/>
    <xf numFmtId="0" fontId="16" fillId="0" borderId="0" xfId="0" applyFont="1"/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16" fillId="0" borderId="25" xfId="0" applyFont="1" applyBorder="1"/>
    <xf numFmtId="0" fontId="16" fillId="0" borderId="10" xfId="0" applyFont="1" applyBorder="1"/>
    <xf numFmtId="0" fontId="16" fillId="0" borderId="26" xfId="0" applyFont="1" applyBorder="1" applyAlignment="1">
      <alignment horizontal="center" vertical="center"/>
    </xf>
    <xf numFmtId="0" fontId="0" fillId="0" borderId="25" xfId="0" applyBorder="1"/>
    <xf numFmtId="0" fontId="0" fillId="0" borderId="10" xfId="0" applyBorder="1"/>
    <xf numFmtId="0" fontId="0" fillId="0" borderId="26" xfId="0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10" borderId="11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5" fillId="8" borderId="0" xfId="0" applyFont="1" applyFill="1"/>
    <xf numFmtId="0" fontId="5" fillId="16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1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13" fillId="17" borderId="0" xfId="0" applyFont="1" applyFill="1" applyAlignment="1">
      <alignment wrapText="1"/>
    </xf>
    <xf numFmtId="0" fontId="4" fillId="5" borderId="0" xfId="0" applyFont="1" applyFill="1" applyAlignment="1">
      <alignment vertical="center"/>
    </xf>
    <xf numFmtId="0" fontId="0" fillId="0" borderId="0" xfId="0"/>
    <xf numFmtId="0" fontId="10" fillId="15" borderId="0" xfId="0" applyFont="1" applyFill="1" applyAlignment="1">
      <alignment horizontal="center"/>
    </xf>
    <xf numFmtId="164" fontId="4" fillId="5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166" fontId="3" fillId="3" borderId="1" xfId="0" applyNumberFormat="1" applyFont="1" applyFill="1" applyBorder="1" applyAlignment="1">
      <alignment vertical="center" wrapText="1"/>
    </xf>
    <xf numFmtId="166" fontId="4" fillId="5" borderId="1" xfId="0" applyNumberFormat="1" applyFont="1" applyFill="1" applyBorder="1" applyAlignment="1">
      <alignment vertical="center" wrapText="1"/>
    </xf>
    <xf numFmtId="164" fontId="4" fillId="5" borderId="6" xfId="0" applyNumberFormat="1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vertical="center" wrapText="1"/>
    </xf>
    <xf numFmtId="164" fontId="4" fillId="4" borderId="6" xfId="0" applyNumberFormat="1" applyFont="1" applyFill="1" applyBorder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7" fillId="16" borderId="0" xfId="0" applyFont="1" applyFill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164" fontId="4" fillId="5" borderId="9" xfId="0" applyNumberFormat="1" applyFont="1" applyFill="1" applyBorder="1" applyAlignment="1">
      <alignment vertical="center" wrapText="1"/>
    </xf>
    <xf numFmtId="0" fontId="12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wrapText="1"/>
    </xf>
    <xf numFmtId="0" fontId="10" fillId="13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0" fillId="0" borderId="22" xfId="0" applyBorder="1" applyAlignment="1">
      <alignment horizontal="center" vertical="center"/>
    </xf>
    <xf numFmtId="0" fontId="16" fillId="0" borderId="26" xfId="0" applyFont="1" applyBorder="1"/>
    <xf numFmtId="0" fontId="0" fillId="0" borderId="26" xfId="0" applyBorder="1" applyAlignment="1">
      <alignment horizontal="center"/>
    </xf>
    <xf numFmtId="0" fontId="15" fillId="20" borderId="23" xfId="0" applyFont="1" applyFill="1" applyBorder="1" applyAlignment="1">
      <alignment horizontal="center" vertical="center"/>
    </xf>
    <xf numFmtId="0" fontId="15" fillId="20" borderId="19" xfId="0" applyFont="1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20" borderId="23" xfId="0" applyFill="1" applyBorder="1"/>
    <xf numFmtId="0" fontId="0" fillId="20" borderId="19" xfId="0" applyFill="1" applyBorder="1" applyAlignment="1">
      <alignment horizontal="center" vertical="center"/>
    </xf>
    <xf numFmtId="0" fontId="0" fillId="20" borderId="29" xfId="0" applyFill="1" applyBorder="1"/>
    <xf numFmtId="0" fontId="0" fillId="20" borderId="27" xfId="0" applyFill="1" applyBorder="1" applyAlignment="1">
      <alignment horizontal="center"/>
    </xf>
    <xf numFmtId="0" fontId="15" fillId="20" borderId="27" xfId="0" applyFont="1" applyFill="1" applyBorder="1" applyAlignment="1">
      <alignment horizontal="center" vertical="center"/>
    </xf>
    <xf numFmtId="0" fontId="0" fillId="20" borderId="28" xfId="0" applyFill="1" applyBorder="1" applyAlignment="1">
      <alignment horizontal="center"/>
    </xf>
    <xf numFmtId="0" fontId="15" fillId="21" borderId="23" xfId="0" applyFont="1" applyFill="1" applyBorder="1" applyAlignment="1">
      <alignment horizontal="center" vertical="center"/>
    </xf>
    <xf numFmtId="0" fontId="15" fillId="21" borderId="19" xfId="0" applyFont="1" applyFill="1" applyBorder="1" applyAlignment="1">
      <alignment horizontal="center" vertical="center"/>
    </xf>
    <xf numFmtId="0" fontId="16" fillId="21" borderId="24" xfId="0" applyFont="1" applyFill="1" applyBorder="1" applyAlignment="1">
      <alignment horizontal="center" vertical="center"/>
    </xf>
    <xf numFmtId="0" fontId="0" fillId="21" borderId="24" xfId="0" applyFill="1" applyBorder="1" applyAlignment="1">
      <alignment horizontal="center" vertical="center"/>
    </xf>
  </cellXfs>
  <cellStyles count="1">
    <cellStyle name="Normal" xfId="0" builtinId="0"/>
  </cellStyles>
  <dxfs count="42"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666666"/>
      </font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666666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Composición del monto contractual</a:t>
            </a:r>
          </a:p>
        </c:rich>
      </c:tx>
      <c:layout>
        <c:manualLayout>
          <c:xMode val="edge"/>
          <c:yMode val="edge"/>
          <c:x val="0.31873210450966355"/>
          <c:y val="7.2072072072072071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Monto s/IVA</c:v>
          </c:tx>
          <c:invertIfNegative val="1"/>
          <c:cat>
            <c:strRef>
              <c:f>Resumen!$A$17:$A$21</c:f>
              <c:strCache>
                <c:ptCount val="5"/>
                <c:pt idx="0">
                  <c:v>Obra civil lineal</c:v>
                </c:pt>
                <c:pt idx="1">
                  <c:v>Cañerías</c:v>
                </c:pt>
                <c:pt idx="2">
                  <c:v>Conexiones</c:v>
                </c:pt>
                <c:pt idx="3">
                  <c:v>Válvulas e hidrantes</c:v>
                </c:pt>
                <c:pt idx="4">
                  <c:v>Pruebas / terminaciones / documentación</c:v>
                </c:pt>
              </c:strCache>
            </c:strRef>
          </c:cat>
          <c:val>
            <c:numRef>
              <c:f>Resumen!$B$17:$B$21</c:f>
              <c:numCache>
                <c:formatCode>\$\ #,##0.00</c:formatCode>
                <c:ptCount val="5"/>
                <c:pt idx="0">
                  <c:v>64462809.917355381</c:v>
                </c:pt>
                <c:pt idx="1">
                  <c:v>30942148.760330584</c:v>
                </c:pt>
                <c:pt idx="2">
                  <c:v>11460055.096418735</c:v>
                </c:pt>
                <c:pt idx="3">
                  <c:v>4011019.2837465573</c:v>
                </c:pt>
                <c:pt idx="4">
                  <c:v>3724517.9063360887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4-4CFA-8ED5-33A47C3C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0</xdr:rowOff>
    </xdr:from>
    <xdr:to>
      <xdr:col>14</xdr:col>
      <xdr:colOff>45720</xdr:colOff>
      <xdr:row>24</xdr:row>
      <xdr:rowOff>7620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0</xdr:colOff>
      <xdr:row>0</xdr:row>
      <xdr:rowOff>0</xdr:rowOff>
    </xdr:from>
    <xdr:ext cx="1000125" cy="1571625"/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762000" cy="11906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selection activeCell="C18" sqref="C18"/>
    </sheetView>
  </sheetViews>
  <sheetFormatPr baseColWidth="10" defaultColWidth="8.796875" defaultRowHeight="13.8"/>
  <cols>
    <col min="1" max="1" width="24" customWidth="1"/>
    <col min="2" max="6" width="22" customWidth="1"/>
  </cols>
  <sheetData>
    <row r="1" spans="1:6" ht="15.3" customHeight="1">
      <c r="A1" s="133" t="s">
        <v>298</v>
      </c>
      <c r="B1" s="134"/>
      <c r="C1" s="134"/>
      <c r="D1" s="134"/>
      <c r="E1" s="134"/>
      <c r="F1" s="135"/>
    </row>
    <row r="2" spans="1:6" ht="12" customHeight="1">
      <c r="A2" s="83"/>
      <c r="F2" s="84"/>
    </row>
    <row r="3" spans="1:6" ht="12" customHeight="1">
      <c r="A3" s="136" t="s">
        <v>299</v>
      </c>
      <c r="B3" s="137"/>
      <c r="C3" s="137"/>
      <c r="D3" s="137"/>
      <c r="E3" s="137"/>
      <c r="F3" s="138"/>
    </row>
    <row r="4" spans="1:6" ht="12" customHeight="1">
      <c r="A4" s="83"/>
      <c r="F4" s="84"/>
    </row>
    <row r="5" spans="1:6" ht="12" customHeight="1">
      <c r="A5" s="86" t="s">
        <v>300</v>
      </c>
      <c r="B5" s="80" t="s">
        <v>301</v>
      </c>
      <c r="C5" s="80" t="s">
        <v>302</v>
      </c>
      <c r="D5" s="80" t="s">
        <v>303</v>
      </c>
      <c r="E5" s="80" t="s">
        <v>64</v>
      </c>
      <c r="F5" s="87" t="s">
        <v>304</v>
      </c>
    </row>
    <row r="6" spans="1:6" ht="12" customHeight="1">
      <c r="A6" s="83" t="s">
        <v>305</v>
      </c>
      <c r="B6" s="77">
        <f>Configuracion!B10</f>
        <v>400000000</v>
      </c>
      <c r="C6" s="78">
        <f>Configuracion!B13</f>
        <v>0.37037037037037035</v>
      </c>
      <c r="D6" s="77">
        <f>Configuracion!B18</f>
        <v>114600550.96418734</v>
      </c>
      <c r="E6" s="77">
        <f>D6*Configuracion!B16</f>
        <v>24066115.70247934</v>
      </c>
      <c r="F6" s="88">
        <f>Configuracion!B19</f>
        <v>138666666.66666669</v>
      </c>
    </row>
    <row r="7" spans="1:6" ht="12" customHeight="1">
      <c r="A7" s="83" t="s">
        <v>306</v>
      </c>
      <c r="B7" s="77">
        <f>Configuracion!B11</f>
        <v>680000000</v>
      </c>
      <c r="C7" s="78">
        <f>Configuracion!B14</f>
        <v>0.62962962962962965</v>
      </c>
      <c r="D7" s="77">
        <f>Configuracion!B20</f>
        <v>194820936.63911849</v>
      </c>
      <c r="E7" s="77">
        <f>D7*Configuracion!B16</f>
        <v>40912396.69421488</v>
      </c>
      <c r="F7" s="88">
        <f>Configuracion!B21</f>
        <v>235733333.33333337</v>
      </c>
    </row>
    <row r="8" spans="1:6" ht="12" customHeight="1">
      <c r="A8" s="89" t="s">
        <v>178</v>
      </c>
      <c r="B8" s="81">
        <f>SUM(B6:B7)</f>
        <v>1080000000</v>
      </c>
      <c r="C8" s="82">
        <f>SUM(C6:C7)</f>
        <v>1</v>
      </c>
      <c r="D8" s="81">
        <f>SUM(D6:D7)</f>
        <v>309421487.60330582</v>
      </c>
      <c r="E8" s="81">
        <f>SUM(E6:E7)</f>
        <v>64978512.396694221</v>
      </c>
      <c r="F8" s="90">
        <f>SUM(F6:F7)</f>
        <v>374400000.00000006</v>
      </c>
    </row>
    <row r="9" spans="1:6" ht="12" customHeight="1">
      <c r="A9" s="83"/>
      <c r="F9" s="84"/>
    </row>
    <row r="10" spans="1:6" ht="12" customHeight="1">
      <c r="A10" s="91" t="s">
        <v>307</v>
      </c>
      <c r="B10" s="79"/>
      <c r="C10" s="79"/>
      <c r="D10" s="79"/>
      <c r="E10" s="79"/>
      <c r="F10" s="92"/>
    </row>
    <row r="11" spans="1:6" ht="12" customHeight="1">
      <c r="A11" s="83" t="s">
        <v>308</v>
      </c>
      <c r="B11" t="s">
        <v>309</v>
      </c>
      <c r="C11" s="5"/>
      <c r="D11" s="5"/>
      <c r="E11" s="5"/>
      <c r="F11" s="85"/>
    </row>
    <row r="12" spans="1:6" ht="12" customHeight="1">
      <c r="A12" s="83" t="s">
        <v>310</v>
      </c>
      <c r="B12" t="s">
        <v>311</v>
      </c>
      <c r="C12" s="5"/>
      <c r="D12" s="5"/>
      <c r="E12" s="5"/>
      <c r="F12" s="85"/>
    </row>
    <row r="13" spans="1:6" ht="12" customHeight="1">
      <c r="A13" s="93" t="s">
        <v>312</v>
      </c>
      <c r="B13" s="120" t="s">
        <v>313</v>
      </c>
      <c r="C13" s="94"/>
      <c r="D13" s="94"/>
      <c r="E13" s="94"/>
      <c r="F13" s="95"/>
    </row>
  </sheetData>
  <mergeCells count="2"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opLeftCell="A12" zoomScale="130" zoomScaleNormal="130" workbookViewId="0">
      <selection activeCell="E9" sqref="E9"/>
    </sheetView>
  </sheetViews>
  <sheetFormatPr baseColWidth="10" defaultColWidth="8.796875" defaultRowHeight="13.8"/>
  <cols>
    <col min="1" max="1" width="34" customWidth="1"/>
    <col min="2" max="2" width="22" customWidth="1"/>
    <col min="4" max="4" width="28" customWidth="1"/>
    <col min="5" max="5" width="16" customWidth="1"/>
  </cols>
  <sheetData>
    <row r="1" spans="1:14" ht="20.85" customHeight="1">
      <c r="A1" s="142" t="s">
        <v>0</v>
      </c>
      <c r="B1" s="142"/>
      <c r="C1" s="142"/>
      <c r="D1" s="142"/>
      <c r="E1" s="142"/>
      <c r="F1" s="1"/>
      <c r="G1" s="1"/>
      <c r="H1" s="1"/>
      <c r="I1" s="1"/>
      <c r="J1" s="1"/>
      <c r="K1" s="1"/>
      <c r="L1" s="1"/>
      <c r="M1" s="1"/>
      <c r="N1" s="1"/>
    </row>
    <row r="2" spans="1:14" ht="20.85" customHeight="1">
      <c r="A2" s="142"/>
      <c r="B2" s="142"/>
      <c r="C2" s="142"/>
      <c r="D2" s="142"/>
      <c r="E2" s="142"/>
      <c r="F2" s="1"/>
      <c r="G2" s="1"/>
      <c r="H2" s="1"/>
      <c r="I2" s="1"/>
      <c r="J2" s="1"/>
      <c r="K2" s="1"/>
      <c r="L2" s="1"/>
      <c r="M2" s="1"/>
      <c r="N2" s="1"/>
    </row>
    <row r="3" spans="1:14" ht="14.4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</row>
    <row r="5" spans="1:14" ht="14.4">
      <c r="A5" s="8" t="s">
        <v>2</v>
      </c>
      <c r="B5" s="10" t="s">
        <v>3</v>
      </c>
      <c r="D5" s="8" t="s">
        <v>4</v>
      </c>
      <c r="E5" s="10" t="s">
        <v>5</v>
      </c>
    </row>
    <row r="6" spans="1:14">
      <c r="A6" s="17" t="s">
        <v>6</v>
      </c>
      <c r="B6" s="75">
        <f>Configuracion!B10</f>
        <v>400000000</v>
      </c>
      <c r="D6" s="17" t="s">
        <v>7</v>
      </c>
      <c r="E6" s="45" t="str">
        <f>IF(ABS('Distribucion Contrato'!F8-Configuracion!B15)&lt;0.01,"OK","REVISAR")</f>
        <v>OK</v>
      </c>
    </row>
    <row r="7" spans="1:14">
      <c r="A7" s="17" t="s">
        <v>8</v>
      </c>
      <c r="B7" s="75">
        <f>Configuracion!B18</f>
        <v>114600550.96418734</v>
      </c>
      <c r="D7" s="17" t="s">
        <v>9</v>
      </c>
      <c r="E7" s="45" t="str">
        <f>IF(ABS('Presupuesto Base'!G25-1)&lt;0.000001,"OK","REVISAR")</f>
        <v>OK</v>
      </c>
    </row>
    <row r="8" spans="1:14">
      <c r="A8" s="17" t="s">
        <v>10</v>
      </c>
      <c r="B8" s="75">
        <f>Configuracion!B19</f>
        <v>138666666.66666669</v>
      </c>
      <c r="D8" s="17" t="s">
        <v>11</v>
      </c>
      <c r="E8" s="45" t="str">
        <f>IF(Certificado!M28&lt;=Configuracion!B18+0.01,"OK","REVISAR")</f>
        <v>OK</v>
      </c>
    </row>
    <row r="9" spans="1:14">
      <c r="A9" s="17" t="s">
        <v>12</v>
      </c>
      <c r="B9" s="7">
        <f>Certificado!B4</f>
        <v>1</v>
      </c>
      <c r="D9" s="19" t="s">
        <v>13</v>
      </c>
      <c r="E9" s="46" t="str">
        <f>Configuracion!B22</f>
        <v>Julio 2026</v>
      </c>
    </row>
    <row r="10" spans="1:14">
      <c r="A10" s="17" t="s">
        <v>14</v>
      </c>
      <c r="B10" s="75">
        <f>MAX(Medicion!$A$6:$A$511)</f>
        <v>1</v>
      </c>
    </row>
    <row r="11" spans="1:14">
      <c r="A11" s="17" t="s">
        <v>15</v>
      </c>
      <c r="B11" s="75">
        <f>COUNTIF('Historial Certificados'!$E$6:$E$29,"CERRADO")</f>
        <v>0</v>
      </c>
    </row>
    <row r="12" spans="1:14">
      <c r="A12" s="17" t="s">
        <v>16</v>
      </c>
      <c r="B12" s="76">
        <f>IFERROR(VLOOKUP(Certificado!B4,'Historial Certificados'!$A$6:$O$29,8,FALSE),0)</f>
        <v>14722544.642743155</v>
      </c>
    </row>
    <row r="13" spans="1:14">
      <c r="A13" s="19" t="s">
        <v>17</v>
      </c>
      <c r="B13" s="76">
        <f>IFERROR(VLOOKUP(Certificado!B4,'Historial Certificados'!$A$6:$O$29,9,FALSE),0)</f>
        <v>14722544.642743155</v>
      </c>
    </row>
    <row r="14" spans="1:14">
      <c r="A14" t="s">
        <v>18</v>
      </c>
      <c r="B14" s="77">
        <f>IFERROR(VLOOKUP(Certificado!B4,'Historial Certificados'!$A$6:$O$29,10,FALSE),Configuracion!B18)</f>
        <v>99878006.321444184</v>
      </c>
    </row>
    <row r="15" spans="1:14">
      <c r="A15" t="s">
        <v>19</v>
      </c>
      <c r="B15" s="100">
        <f>IFERROR(VLOOKUP(Certificado!B4,'Historial Certificados'!$A$6:$O$29,11,FALSE),0)</f>
        <v>0.12846835830085973</v>
      </c>
    </row>
    <row r="16" spans="1:14" ht="14.4">
      <c r="A16" s="8" t="s">
        <v>20</v>
      </c>
      <c r="B16" s="10" t="s">
        <v>21</v>
      </c>
    </row>
    <row r="17" spans="1:6">
      <c r="A17" s="17" t="s">
        <v>22</v>
      </c>
      <c r="B17" s="75">
        <f>Configuracion!B18*0.5625</f>
        <v>64462809.917355381</v>
      </c>
    </row>
    <row r="18" spans="1:6">
      <c r="A18" s="17" t="s">
        <v>23</v>
      </c>
      <c r="B18" s="75">
        <f>Configuracion!B18*0.27</f>
        <v>30942148.760330584</v>
      </c>
    </row>
    <row r="19" spans="1:6">
      <c r="A19" s="17" t="s">
        <v>24</v>
      </c>
      <c r="B19" s="75">
        <f>Configuracion!B18*0.1</f>
        <v>11460055.096418735</v>
      </c>
    </row>
    <row r="20" spans="1:6">
      <c r="A20" s="17" t="s">
        <v>25</v>
      </c>
      <c r="B20" s="75">
        <f>Configuracion!B18*0.035</f>
        <v>4011019.2837465573</v>
      </c>
    </row>
    <row r="21" spans="1:6">
      <c r="A21" s="19" t="s">
        <v>26</v>
      </c>
      <c r="B21" s="75">
        <f>Configuracion!B18*0.0325</f>
        <v>3724517.9063360887</v>
      </c>
    </row>
    <row r="22" spans="1:6">
      <c r="A22" t="s">
        <v>27</v>
      </c>
      <c r="B22">
        <f>COUNTIF(Conexiones!$J$6:$J$232,"Terminada")</f>
        <v>0</v>
      </c>
    </row>
    <row r="23" spans="1:6">
      <c r="A23" t="s">
        <v>28</v>
      </c>
      <c r="B23">
        <f>Configuracion!B30</f>
        <v>227</v>
      </c>
    </row>
    <row r="24" spans="1:6">
      <c r="A24" s="140" t="s">
        <v>29</v>
      </c>
      <c r="B24" s="140"/>
      <c r="C24" s="140"/>
      <c r="D24" s="140"/>
      <c r="E24" s="140"/>
      <c r="F24" s="141"/>
    </row>
    <row r="25" spans="1:6">
      <c r="A25" s="141"/>
      <c r="B25" s="141"/>
      <c r="C25" s="141"/>
      <c r="D25" s="141"/>
      <c r="E25" s="141"/>
      <c r="F25" s="141"/>
    </row>
    <row r="26" spans="1:6">
      <c r="A26" s="141"/>
      <c r="B26" s="141"/>
      <c r="C26" s="141"/>
      <c r="D26" s="141"/>
      <c r="E26" s="141"/>
      <c r="F26" s="141"/>
    </row>
    <row r="27" spans="1:6">
      <c r="A27" s="141"/>
      <c r="B27" s="141"/>
      <c r="C27" s="141"/>
      <c r="D27" s="141"/>
      <c r="E27" s="141"/>
      <c r="F27" s="141"/>
    </row>
  </sheetData>
  <mergeCells count="3">
    <mergeCell ref="A3:N3"/>
    <mergeCell ref="A24:F27"/>
    <mergeCell ref="A1:E2"/>
  </mergeCells>
  <conditionalFormatting sqref="E6:E9">
    <cfRule type="expression" dxfId="41" priority="1">
      <formula>E6="OK"</formula>
    </cfRule>
    <cfRule type="expression" dxfId="40" priority="2">
      <formula>E6="REVISAR"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selection sqref="A1:F2"/>
    </sheetView>
  </sheetViews>
  <sheetFormatPr baseColWidth="10" defaultColWidth="8.796875" defaultRowHeight="13.8"/>
  <cols>
    <col min="1" max="1" width="30" customWidth="1"/>
    <col min="2" max="2" width="38" customWidth="1"/>
    <col min="4" max="5" width="18" customWidth="1"/>
    <col min="6" max="6" width="42" customWidth="1"/>
  </cols>
  <sheetData>
    <row r="1" spans="1:6">
      <c r="A1" s="143" t="s">
        <v>30</v>
      </c>
      <c r="B1" s="143"/>
      <c r="C1" s="143"/>
      <c r="D1" s="143"/>
      <c r="E1" s="143"/>
      <c r="F1" s="143"/>
    </row>
    <row r="2" spans="1:6">
      <c r="A2" s="143"/>
      <c r="B2" s="143"/>
      <c r="C2" s="143"/>
      <c r="D2" s="143"/>
      <c r="E2" s="143"/>
      <c r="F2" s="143"/>
    </row>
    <row r="4" spans="1:6" ht="14.4">
      <c r="A4" s="8" t="s">
        <v>31</v>
      </c>
      <c r="B4" s="10" t="s">
        <v>32</v>
      </c>
      <c r="D4" s="8" t="s">
        <v>33</v>
      </c>
      <c r="E4" s="9" t="s">
        <v>34</v>
      </c>
      <c r="F4" s="10" t="s">
        <v>35</v>
      </c>
    </row>
    <row r="5" spans="1:6">
      <c r="A5" s="17" t="s">
        <v>36</v>
      </c>
      <c r="B5" s="47" t="s">
        <v>37</v>
      </c>
      <c r="D5" s="48" t="s">
        <v>38</v>
      </c>
      <c r="E5" s="49" t="s">
        <v>39</v>
      </c>
      <c r="F5" s="50" t="s">
        <v>40</v>
      </c>
    </row>
    <row r="6" spans="1:6">
      <c r="A6" s="17" t="s">
        <v>41</v>
      </c>
      <c r="B6" s="47" t="s">
        <v>42</v>
      </c>
      <c r="D6" s="51" t="s">
        <v>43</v>
      </c>
      <c r="E6" s="49" t="s">
        <v>44</v>
      </c>
      <c r="F6" s="50" t="s">
        <v>45</v>
      </c>
    </row>
    <row r="7" spans="1:6">
      <c r="A7" s="17" t="s">
        <v>46</v>
      </c>
      <c r="B7" s="47" t="s">
        <v>47</v>
      </c>
      <c r="D7" s="52" t="s">
        <v>48</v>
      </c>
      <c r="E7" s="49" t="s">
        <v>49</v>
      </c>
      <c r="F7" s="50" t="s">
        <v>50</v>
      </c>
    </row>
    <row r="8" spans="1:6">
      <c r="A8" s="17" t="s">
        <v>51</v>
      </c>
      <c r="B8" s="47" t="s">
        <v>52</v>
      </c>
      <c r="D8" s="53" t="s">
        <v>53</v>
      </c>
      <c r="E8" s="54" t="s">
        <v>54</v>
      </c>
      <c r="F8" s="55" t="s">
        <v>55</v>
      </c>
    </row>
    <row r="9" spans="1:6">
      <c r="A9" s="17" t="s">
        <v>56</v>
      </c>
      <c r="B9" s="47" t="s">
        <v>57</v>
      </c>
    </row>
    <row r="10" spans="1:6">
      <c r="A10" s="17" t="s">
        <v>58</v>
      </c>
      <c r="B10" s="66">
        <v>400000000</v>
      </c>
    </row>
    <row r="11" spans="1:6">
      <c r="A11" s="17" t="s">
        <v>59</v>
      </c>
      <c r="B11" s="66">
        <v>680000000</v>
      </c>
    </row>
    <row r="12" spans="1:6">
      <c r="A12" s="17" t="s">
        <v>60</v>
      </c>
      <c r="B12" s="66">
        <f>B10+B11</f>
        <v>1080000000</v>
      </c>
    </row>
    <row r="13" spans="1:6">
      <c r="A13" s="17" t="s">
        <v>61</v>
      </c>
      <c r="B13" s="67">
        <f>B10/B12</f>
        <v>0.37037037037037035</v>
      </c>
    </row>
    <row r="14" spans="1:6">
      <c r="A14" s="17" t="s">
        <v>62</v>
      </c>
      <c r="B14" s="67">
        <f>B11/B12</f>
        <v>0.62962962962962965</v>
      </c>
    </row>
    <row r="15" spans="1:6" ht="27.6">
      <c r="A15" s="17" t="s">
        <v>63</v>
      </c>
      <c r="B15" s="66">
        <v>374400000</v>
      </c>
    </row>
    <row r="16" spans="1:6">
      <c r="A16" s="17" t="s">
        <v>64</v>
      </c>
      <c r="B16" s="68">
        <v>0.21</v>
      </c>
    </row>
    <row r="17" spans="1:6" ht="27.6">
      <c r="A17" s="17" t="s">
        <v>65</v>
      </c>
      <c r="B17" s="66">
        <f>B15/(1+B16)</f>
        <v>309421487.60330582</v>
      </c>
    </row>
    <row r="18" spans="1:6">
      <c r="A18" s="17" t="s">
        <v>8</v>
      </c>
      <c r="B18" s="66">
        <f>B17*B13</f>
        <v>114600550.96418734</v>
      </c>
    </row>
    <row r="19" spans="1:6">
      <c r="A19" s="17" t="s">
        <v>10</v>
      </c>
      <c r="B19" s="66">
        <f>B18*(1+B16)</f>
        <v>138666666.66666669</v>
      </c>
    </row>
    <row r="20" spans="1:6">
      <c r="A20" s="17" t="s">
        <v>66</v>
      </c>
      <c r="B20" s="66">
        <f>B17*B14</f>
        <v>194820936.63911849</v>
      </c>
    </row>
    <row r="21" spans="1:6">
      <c r="A21" s="19" t="s">
        <v>67</v>
      </c>
      <c r="B21" s="66">
        <f>B20*(1+B16)</f>
        <v>235733333.33333337</v>
      </c>
    </row>
    <row r="22" spans="1:6">
      <c r="A22" t="s">
        <v>68</v>
      </c>
      <c r="B22" t="s">
        <v>69</v>
      </c>
    </row>
    <row r="23" spans="1:6">
      <c r="A23" t="s">
        <v>70</v>
      </c>
      <c r="B23" t="s">
        <v>71</v>
      </c>
    </row>
    <row r="24" spans="1:6" ht="14.4">
      <c r="A24" s="144" t="s">
        <v>72</v>
      </c>
      <c r="B24" s="144"/>
      <c r="C24" s="144"/>
      <c r="D24" s="144" t="s">
        <v>73</v>
      </c>
      <c r="E24" s="144"/>
      <c r="F24" s="144"/>
    </row>
    <row r="25" spans="1:6">
      <c r="A25" s="145" t="s">
        <v>74</v>
      </c>
      <c r="B25" s="145">
        <v>3170</v>
      </c>
      <c r="C25" s="145"/>
      <c r="D25" s="145" t="s">
        <v>75</v>
      </c>
      <c r="E25" s="145"/>
      <c r="F25" s="145"/>
    </row>
    <row r="26" spans="1:6">
      <c r="A26" s="145" t="s">
        <v>76</v>
      </c>
      <c r="B26" s="145">
        <v>1030</v>
      </c>
      <c r="C26" s="145"/>
      <c r="D26" s="145"/>
      <c r="E26" s="145"/>
      <c r="F26" s="145"/>
    </row>
    <row r="27" spans="1:6">
      <c r="A27" s="145" t="s">
        <v>77</v>
      </c>
      <c r="B27" s="145">
        <v>4200</v>
      </c>
      <c r="C27" s="145"/>
      <c r="D27" s="145"/>
      <c r="E27" s="145"/>
      <c r="F27" s="145"/>
    </row>
    <row r="28" spans="1:6">
      <c r="A28" s="145" t="s">
        <v>78</v>
      </c>
      <c r="B28" s="145">
        <v>165</v>
      </c>
      <c r="C28" s="145"/>
      <c r="D28" s="145"/>
      <c r="E28" s="145"/>
      <c r="F28" s="145"/>
    </row>
    <row r="29" spans="1:6">
      <c r="A29" t="s">
        <v>79</v>
      </c>
      <c r="B29">
        <v>62</v>
      </c>
      <c r="D29" s="5"/>
      <c r="E29" s="5"/>
      <c r="F29" s="5"/>
    </row>
    <row r="30" spans="1:6" ht="14.4">
      <c r="A30" s="144" t="s">
        <v>80</v>
      </c>
      <c r="B30" s="144">
        <v>227</v>
      </c>
      <c r="C30" s="144"/>
      <c r="D30" s="144" t="s">
        <v>81</v>
      </c>
      <c r="E30" s="144"/>
      <c r="F30" s="144"/>
    </row>
    <row r="31" spans="1:6">
      <c r="A31" s="4" t="s">
        <v>82</v>
      </c>
      <c r="B31" s="4">
        <v>2</v>
      </c>
      <c r="C31" s="4"/>
      <c r="D31" s="4" t="s">
        <v>83</v>
      </c>
      <c r="E31" s="4" t="s">
        <v>84</v>
      </c>
      <c r="F31" s="4"/>
    </row>
    <row r="32" spans="1:6">
      <c r="A32" s="4" t="s">
        <v>85</v>
      </c>
      <c r="B32" s="4">
        <v>4</v>
      </c>
      <c r="C32" s="4"/>
      <c r="D32" s="4" t="s">
        <v>86</v>
      </c>
      <c r="E32" s="4" t="s">
        <v>87</v>
      </c>
      <c r="F32" s="4"/>
    </row>
    <row r="33" spans="1:6">
      <c r="A33" s="4" t="s">
        <v>88</v>
      </c>
      <c r="B33" s="4">
        <v>15</v>
      </c>
      <c r="C33" s="4"/>
      <c r="D33" s="4" t="s">
        <v>89</v>
      </c>
      <c r="E33" s="4" t="s">
        <v>90</v>
      </c>
      <c r="F33" s="4"/>
    </row>
  </sheetData>
  <mergeCells count="4">
    <mergeCell ref="A1:F2"/>
    <mergeCell ref="A24:F24"/>
    <mergeCell ref="A25:F28"/>
    <mergeCell ref="A30:F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87FB-F144-4306-BE22-B7F86F1B96EB}">
  <dimension ref="B2:I61"/>
  <sheetViews>
    <sheetView topLeftCell="A31" zoomScale="115" zoomScaleNormal="115" workbookViewId="0">
      <selection activeCell="H61" sqref="H61"/>
    </sheetView>
  </sheetViews>
  <sheetFormatPr baseColWidth="10" defaultRowHeight="13.8"/>
  <cols>
    <col min="2" max="2" width="12.19921875" customWidth="1"/>
    <col min="3" max="4" width="11.3984375" customWidth="1"/>
    <col min="7" max="7" width="11.5" customWidth="1"/>
  </cols>
  <sheetData>
    <row r="2" spans="2:9" ht="14.4" thickBot="1"/>
    <row r="3" spans="2:9" ht="17.399999999999999" customHeight="1">
      <c r="B3" s="122"/>
      <c r="C3" s="123"/>
      <c r="D3" s="123" t="s">
        <v>385</v>
      </c>
      <c r="E3" s="124"/>
      <c r="F3" s="124"/>
      <c r="G3" s="124"/>
      <c r="H3" s="171" t="s">
        <v>354</v>
      </c>
    </row>
    <row r="4" spans="2:9" s="121" customFormat="1" ht="16.2" customHeight="1">
      <c r="B4" s="183" t="s">
        <v>335</v>
      </c>
      <c r="C4" s="184" t="s">
        <v>346</v>
      </c>
      <c r="D4" s="184">
        <v>1</v>
      </c>
      <c r="E4" s="184" t="s">
        <v>334</v>
      </c>
      <c r="F4" s="184" t="s">
        <v>331</v>
      </c>
      <c r="G4" s="184" t="str">
        <f>+CONCATENATE(E4,"-",F4)</f>
        <v>N25-N30</v>
      </c>
      <c r="H4" s="185">
        <v>76</v>
      </c>
    </row>
    <row r="5" spans="2:9" s="121" customFormat="1" ht="16.2" customHeight="1">
      <c r="B5" s="183" t="s">
        <v>333</v>
      </c>
      <c r="C5" s="184" t="s">
        <v>346</v>
      </c>
      <c r="D5" s="184">
        <f>+D4+1</f>
        <v>2</v>
      </c>
      <c r="E5" s="184" t="s">
        <v>331</v>
      </c>
      <c r="F5" s="184" t="s">
        <v>332</v>
      </c>
      <c r="G5" s="184" t="str">
        <f>+CONCATENATE(E5,"-",F5)</f>
        <v>N30-N29</v>
      </c>
      <c r="H5" s="185">
        <v>106</v>
      </c>
    </row>
    <row r="6" spans="2:9" s="121" customFormat="1" ht="16.2" customHeight="1">
      <c r="B6" s="183" t="s">
        <v>339</v>
      </c>
      <c r="C6" s="184"/>
      <c r="D6" s="184">
        <f t="shared" ref="D6:D8" si="0">+D5+1</f>
        <v>3</v>
      </c>
      <c r="E6" s="184" t="s">
        <v>332</v>
      </c>
      <c r="F6" s="184" t="s">
        <v>338</v>
      </c>
      <c r="G6" s="184" t="str">
        <f>+CONCATENATE(E6,"-",F6)</f>
        <v>N29-N22</v>
      </c>
      <c r="H6" s="185">
        <v>92</v>
      </c>
    </row>
    <row r="7" spans="2:9" s="121" customFormat="1" ht="16.2" customHeight="1">
      <c r="B7" s="183" t="s">
        <v>337</v>
      </c>
      <c r="C7" s="184" t="s">
        <v>346</v>
      </c>
      <c r="D7" s="184">
        <f t="shared" si="0"/>
        <v>4</v>
      </c>
      <c r="E7" s="184" t="s">
        <v>338</v>
      </c>
      <c r="F7" s="184" t="s">
        <v>336</v>
      </c>
      <c r="G7" s="184" t="str">
        <f>+CONCATENATE(E7,"-",F7)</f>
        <v>N22-N24</v>
      </c>
      <c r="H7" s="185">
        <v>96</v>
      </c>
    </row>
    <row r="8" spans="2:9" s="121" customFormat="1" ht="16.2" customHeight="1">
      <c r="B8" s="183" t="s">
        <v>337</v>
      </c>
      <c r="C8" s="184" t="s">
        <v>346</v>
      </c>
      <c r="D8" s="184">
        <f t="shared" si="0"/>
        <v>5</v>
      </c>
      <c r="E8" s="184" t="s">
        <v>336</v>
      </c>
      <c r="F8" s="184" t="s">
        <v>334</v>
      </c>
      <c r="G8" s="184" t="str">
        <f>+CONCATENATE(E8,"-",F8)</f>
        <v>N24-N25</v>
      </c>
      <c r="H8" s="185">
        <v>15</v>
      </c>
    </row>
    <row r="9" spans="2:9" s="121" customFormat="1" ht="16.2" customHeight="1">
      <c r="B9" s="125"/>
      <c r="C9" s="126"/>
      <c r="D9" s="126"/>
      <c r="E9" s="126"/>
      <c r="F9" s="126"/>
      <c r="G9" s="126"/>
      <c r="H9" s="127"/>
      <c r="I9" s="131"/>
    </row>
    <row r="10" spans="2:9" s="121" customFormat="1" ht="16.2" customHeight="1">
      <c r="B10" s="183" t="s">
        <v>333</v>
      </c>
      <c r="C10" s="184" t="s">
        <v>347</v>
      </c>
      <c r="D10" s="184">
        <f>+D8+1</f>
        <v>6</v>
      </c>
      <c r="E10" s="184" t="s">
        <v>332</v>
      </c>
      <c r="F10" s="184" t="s">
        <v>341</v>
      </c>
      <c r="G10" s="184" t="str">
        <f>+CONCATENATE(E10,"-",F10)</f>
        <v>N29-N28</v>
      </c>
      <c r="H10" s="185">
        <v>100</v>
      </c>
    </row>
    <row r="11" spans="2:9" s="121" customFormat="1" ht="16.2" customHeight="1">
      <c r="B11" s="183" t="s">
        <v>344</v>
      </c>
      <c r="C11" s="184"/>
      <c r="D11" s="184">
        <f>+D10+1</f>
        <v>7</v>
      </c>
      <c r="E11" s="184" t="s">
        <v>341</v>
      </c>
      <c r="F11" s="184" t="s">
        <v>340</v>
      </c>
      <c r="G11" s="184" t="str">
        <f>+CONCATENATE(E11,"-",F11)</f>
        <v>N28-N21</v>
      </c>
      <c r="H11" s="185">
        <v>102</v>
      </c>
    </row>
    <row r="12" spans="2:9" s="121" customFormat="1" ht="16.2" customHeight="1">
      <c r="B12" s="183" t="s">
        <v>337</v>
      </c>
      <c r="C12" s="184" t="s">
        <v>347</v>
      </c>
      <c r="D12" s="184">
        <f t="shared" ref="D12:D13" si="1">+D11+1</f>
        <v>8</v>
      </c>
      <c r="E12" s="184" t="s">
        <v>342</v>
      </c>
      <c r="F12" s="184" t="s">
        <v>340</v>
      </c>
      <c r="G12" s="184" t="str">
        <f>+CONCATENATE(E12,"-",F12)</f>
        <v>N20-N21</v>
      </c>
      <c r="H12" s="185">
        <v>97</v>
      </c>
    </row>
    <row r="13" spans="2:9" s="121" customFormat="1" ht="16.2" customHeight="1">
      <c r="B13" s="183" t="s">
        <v>337</v>
      </c>
      <c r="C13" s="184"/>
      <c r="D13" s="184">
        <f t="shared" si="1"/>
        <v>9</v>
      </c>
      <c r="E13" s="184" t="s">
        <v>340</v>
      </c>
      <c r="F13" s="184" t="s">
        <v>338</v>
      </c>
      <c r="G13" s="184" t="str">
        <f>+CONCATENATE(E13,"-",F13)</f>
        <v>N21-N22</v>
      </c>
      <c r="H13" s="185">
        <v>2</v>
      </c>
    </row>
    <row r="14" spans="2:9" s="121" customFormat="1" ht="16.2" customHeight="1">
      <c r="B14" s="125"/>
      <c r="C14" s="126"/>
      <c r="D14" s="126"/>
      <c r="E14" s="126"/>
      <c r="F14" s="126"/>
      <c r="G14" s="126"/>
      <c r="H14" s="127"/>
    </row>
    <row r="15" spans="2:9" s="121" customFormat="1" ht="16.2" customHeight="1">
      <c r="B15" s="183" t="s">
        <v>333</v>
      </c>
      <c r="C15" s="184" t="s">
        <v>348</v>
      </c>
      <c r="D15" s="184">
        <f>+D13+1</f>
        <v>10</v>
      </c>
      <c r="E15" s="184" t="s">
        <v>341</v>
      </c>
      <c r="F15" s="184" t="s">
        <v>345</v>
      </c>
      <c r="G15" s="184" t="str">
        <f>+CONCATENATE(E15,"-",F15)</f>
        <v>N28-N27</v>
      </c>
      <c r="H15" s="185">
        <v>82</v>
      </c>
    </row>
    <row r="16" spans="2:9" s="121" customFormat="1" ht="16.2" customHeight="1">
      <c r="B16" s="183" t="s">
        <v>349</v>
      </c>
      <c r="C16" s="184"/>
      <c r="D16" s="184">
        <f>+D15+1</f>
        <v>11</v>
      </c>
      <c r="E16" s="184" t="s">
        <v>345</v>
      </c>
      <c r="F16" s="184" t="s">
        <v>343</v>
      </c>
      <c r="G16" s="184" t="str">
        <f>+CONCATENATE(E16,"-",F16)</f>
        <v>N27-N19</v>
      </c>
      <c r="H16" s="185">
        <v>117</v>
      </c>
    </row>
    <row r="17" spans="2:8" s="121" customFormat="1" ht="16.2" customHeight="1">
      <c r="B17" s="183" t="s">
        <v>337</v>
      </c>
      <c r="C17" s="184" t="s">
        <v>348</v>
      </c>
      <c r="D17" s="184">
        <f>+D16+1</f>
        <v>12</v>
      </c>
      <c r="E17" s="184" t="s">
        <v>343</v>
      </c>
      <c r="F17" s="184" t="s">
        <v>342</v>
      </c>
      <c r="G17" s="184" t="str">
        <f>+CONCATENATE(E17,"-",F17)</f>
        <v>N19-N20</v>
      </c>
      <c r="H17" s="185">
        <v>77</v>
      </c>
    </row>
    <row r="18" spans="2:8" s="121" customFormat="1" ht="16.2" customHeight="1">
      <c r="B18" s="125"/>
      <c r="C18" s="126"/>
      <c r="D18" s="126"/>
      <c r="E18" s="126"/>
      <c r="F18" s="126"/>
      <c r="G18" s="126"/>
      <c r="H18" s="172"/>
    </row>
    <row r="19" spans="2:8" ht="15.6">
      <c r="B19" s="183" t="s">
        <v>333</v>
      </c>
      <c r="C19" s="184" t="s">
        <v>353</v>
      </c>
      <c r="D19" s="184">
        <v>13</v>
      </c>
      <c r="E19" s="184" t="s">
        <v>345</v>
      </c>
      <c r="F19" s="184" t="s">
        <v>350</v>
      </c>
      <c r="G19" s="184" t="str">
        <f>+CONCATENATE(E19,"-",F19)</f>
        <v>N27-N26</v>
      </c>
      <c r="H19" s="185">
        <v>81</v>
      </c>
    </row>
    <row r="20" spans="2:8" ht="15.6">
      <c r="B20" s="183" t="s">
        <v>352</v>
      </c>
      <c r="C20" s="184" t="s">
        <v>353</v>
      </c>
      <c r="D20" s="184">
        <v>14</v>
      </c>
      <c r="E20" s="184" t="s">
        <v>350</v>
      </c>
      <c r="F20" s="184" t="s">
        <v>351</v>
      </c>
      <c r="G20" s="184" t="str">
        <f>+CONCATENATE(E20,"-",F20)</f>
        <v>N26-N18</v>
      </c>
      <c r="H20" s="186">
        <v>113</v>
      </c>
    </row>
    <row r="21" spans="2:8" ht="15.6">
      <c r="B21" s="183" t="s">
        <v>337</v>
      </c>
      <c r="C21" s="184" t="s">
        <v>353</v>
      </c>
      <c r="D21" s="184">
        <v>15</v>
      </c>
      <c r="E21" s="184" t="s">
        <v>351</v>
      </c>
      <c r="F21" s="184" t="s">
        <v>343</v>
      </c>
      <c r="G21" s="184" t="str">
        <f>+CONCATENATE(E21,"-",F21)</f>
        <v>N18-N19</v>
      </c>
      <c r="H21" s="186">
        <v>88</v>
      </c>
    </row>
    <row r="22" spans="2:8">
      <c r="B22" s="128"/>
      <c r="C22" s="129"/>
      <c r="D22" s="129"/>
      <c r="E22" s="129"/>
      <c r="F22" s="129"/>
      <c r="G22" s="129"/>
      <c r="H22" s="130"/>
    </row>
    <row r="23" spans="2:8" ht="15.6">
      <c r="B23" s="183" t="s">
        <v>335</v>
      </c>
      <c r="C23" s="184" t="s">
        <v>355</v>
      </c>
      <c r="D23" s="184">
        <v>16</v>
      </c>
      <c r="E23" s="184" t="s">
        <v>356</v>
      </c>
      <c r="F23" s="184" t="s">
        <v>357</v>
      </c>
      <c r="G23" s="184" t="str">
        <f>+CONCATENATE(E23,"-",F23)</f>
        <v>N13-N23</v>
      </c>
      <c r="H23" s="186">
        <v>78</v>
      </c>
    </row>
    <row r="24" spans="2:8" ht="15.6">
      <c r="B24" s="183" t="s">
        <v>335</v>
      </c>
      <c r="C24" s="184" t="s">
        <v>355</v>
      </c>
      <c r="D24" s="184">
        <v>17</v>
      </c>
      <c r="E24" s="184" t="s">
        <v>357</v>
      </c>
      <c r="F24" s="184" t="s">
        <v>336</v>
      </c>
      <c r="G24" s="184" t="str">
        <f>+CONCATENATE(E24,"-",F24)</f>
        <v>N23-N24</v>
      </c>
      <c r="H24" s="186">
        <v>8</v>
      </c>
    </row>
    <row r="25" spans="2:8" ht="15.6">
      <c r="B25" s="183" t="s">
        <v>344</v>
      </c>
      <c r="C25" s="184" t="s">
        <v>355</v>
      </c>
      <c r="D25" s="184">
        <v>18</v>
      </c>
      <c r="E25" s="184" t="s">
        <v>342</v>
      </c>
      <c r="F25" s="184" t="s">
        <v>358</v>
      </c>
      <c r="G25" s="184" t="str">
        <f>+CONCATENATE(E25,"-",F25)</f>
        <v>N20-N12</v>
      </c>
      <c r="H25" s="186">
        <v>98</v>
      </c>
    </row>
    <row r="26" spans="2:8" ht="15.6">
      <c r="B26" s="183" t="s">
        <v>359</v>
      </c>
      <c r="C26" s="184" t="s">
        <v>355</v>
      </c>
      <c r="D26" s="184">
        <v>19</v>
      </c>
      <c r="E26" s="184" t="s">
        <v>358</v>
      </c>
      <c r="F26" s="184" t="s">
        <v>356</v>
      </c>
      <c r="G26" s="184" t="str">
        <f>+CONCATENATE(E26,"-",F26)</f>
        <v>N12-N13</v>
      </c>
      <c r="H26" s="186">
        <v>200</v>
      </c>
    </row>
    <row r="27" spans="2:8">
      <c r="B27" s="128"/>
      <c r="C27" s="129"/>
      <c r="D27" s="129"/>
      <c r="E27" s="129"/>
      <c r="F27" s="129"/>
      <c r="G27" s="129"/>
      <c r="H27" s="130"/>
    </row>
    <row r="28" spans="2:8" ht="15.6">
      <c r="B28" s="183" t="s">
        <v>361</v>
      </c>
      <c r="C28" s="184" t="s">
        <v>360</v>
      </c>
      <c r="D28" s="184">
        <f>+D26+1</f>
        <v>20</v>
      </c>
      <c r="E28" s="184" t="s">
        <v>351</v>
      </c>
      <c r="F28" s="184" t="s">
        <v>362</v>
      </c>
      <c r="G28" s="184" t="str">
        <f t="shared" ref="G28:G30" si="2">+CONCATENATE(E28,"-",F28)</f>
        <v>N18-N17</v>
      </c>
      <c r="H28" s="186">
        <v>24</v>
      </c>
    </row>
    <row r="29" spans="2:8" ht="15.6">
      <c r="B29" s="183" t="s">
        <v>359</v>
      </c>
      <c r="C29" s="184" t="s">
        <v>360</v>
      </c>
      <c r="D29" s="184">
        <f>+D28+1</f>
        <v>21</v>
      </c>
      <c r="E29" s="184" t="s">
        <v>362</v>
      </c>
      <c r="F29" s="184" t="s">
        <v>363</v>
      </c>
      <c r="G29" s="184" t="str">
        <f t="shared" si="2"/>
        <v>N17-N11</v>
      </c>
      <c r="H29" s="186">
        <v>92</v>
      </c>
    </row>
    <row r="30" spans="2:8" ht="15.6">
      <c r="B30" s="183" t="s">
        <v>359</v>
      </c>
      <c r="C30" s="184" t="s">
        <v>360</v>
      </c>
      <c r="D30" s="184">
        <f>+D29+1</f>
        <v>22</v>
      </c>
      <c r="E30" s="184" t="s">
        <v>363</v>
      </c>
      <c r="F30" s="184" t="s">
        <v>358</v>
      </c>
      <c r="G30" s="184" t="str">
        <f t="shared" si="2"/>
        <v>N11-N12</v>
      </c>
      <c r="H30" s="186">
        <v>182</v>
      </c>
    </row>
    <row r="31" spans="2:8">
      <c r="B31" s="128"/>
      <c r="C31" s="129"/>
      <c r="D31" s="129"/>
      <c r="E31" s="129"/>
      <c r="F31" s="129"/>
      <c r="G31" s="129"/>
      <c r="H31" s="130"/>
    </row>
    <row r="32" spans="2:8" ht="15.6">
      <c r="B32" s="174" t="s">
        <v>337</v>
      </c>
      <c r="C32" s="175" t="s">
        <v>364</v>
      </c>
      <c r="D32" s="175">
        <f>+D30+1</f>
        <v>23</v>
      </c>
      <c r="E32" s="175" t="s">
        <v>362</v>
      </c>
      <c r="F32" s="175" t="s">
        <v>365</v>
      </c>
      <c r="G32" s="175" t="str">
        <f t="shared" ref="G32:G48" si="3">+CONCATENATE(E32,"-",F32)</f>
        <v>N17-N15</v>
      </c>
      <c r="H32" s="176">
        <v>245</v>
      </c>
    </row>
    <row r="33" spans="2:8" ht="15.6">
      <c r="B33" s="174" t="s">
        <v>337</v>
      </c>
      <c r="C33" s="175" t="s">
        <v>364</v>
      </c>
      <c r="D33" s="175">
        <f>+D32+1</f>
        <v>24</v>
      </c>
      <c r="E33" s="175" t="s">
        <v>366</v>
      </c>
      <c r="F33" s="175" t="s">
        <v>365</v>
      </c>
      <c r="G33" s="175" t="str">
        <f t="shared" si="3"/>
        <v>N16-N15</v>
      </c>
      <c r="H33" s="176">
        <v>7</v>
      </c>
    </row>
    <row r="34" spans="2:8" ht="15.6">
      <c r="B34" s="174" t="s">
        <v>337</v>
      </c>
      <c r="C34" s="175" t="s">
        <v>364</v>
      </c>
      <c r="D34" s="175">
        <f t="shared" ref="D34:D36" si="4">+D33+1</f>
        <v>25</v>
      </c>
      <c r="E34" s="175" t="s">
        <v>365</v>
      </c>
      <c r="F34" s="175" t="s">
        <v>367</v>
      </c>
      <c r="G34" s="175" t="str">
        <f t="shared" si="3"/>
        <v>N15-N10</v>
      </c>
      <c r="H34" s="176">
        <v>81</v>
      </c>
    </row>
    <row r="35" spans="2:8" ht="15.6">
      <c r="B35" s="174" t="s">
        <v>337</v>
      </c>
      <c r="C35" s="175" t="s">
        <v>364</v>
      </c>
      <c r="D35" s="175">
        <f t="shared" si="4"/>
        <v>26</v>
      </c>
      <c r="E35" s="175" t="s">
        <v>367</v>
      </c>
      <c r="F35" s="175" t="s">
        <v>368</v>
      </c>
      <c r="G35" s="175" t="str">
        <f t="shared" si="3"/>
        <v>N10-N9</v>
      </c>
      <c r="H35" s="176">
        <v>10</v>
      </c>
    </row>
    <row r="36" spans="2:8" ht="15.6">
      <c r="B36" s="174" t="s">
        <v>337</v>
      </c>
      <c r="C36" s="175" t="s">
        <v>364</v>
      </c>
      <c r="D36" s="175">
        <f t="shared" si="4"/>
        <v>27</v>
      </c>
      <c r="E36" s="175" t="s">
        <v>368</v>
      </c>
      <c r="F36" s="175" t="s">
        <v>363</v>
      </c>
      <c r="G36" s="175" t="str">
        <f t="shared" si="3"/>
        <v>N9-N11</v>
      </c>
      <c r="H36" s="176">
        <v>210</v>
      </c>
    </row>
    <row r="37" spans="2:8">
      <c r="B37" s="128"/>
      <c r="C37" s="129"/>
      <c r="D37" s="129"/>
      <c r="E37" s="129"/>
      <c r="F37" s="129"/>
      <c r="G37" s="129"/>
      <c r="H37" s="130"/>
    </row>
    <row r="38" spans="2:8" ht="15.6">
      <c r="B38" s="177"/>
      <c r="C38" s="175" t="s">
        <v>369</v>
      </c>
      <c r="D38" s="175">
        <v>27</v>
      </c>
      <c r="E38" s="175" t="s">
        <v>366</v>
      </c>
      <c r="F38" s="175" t="s">
        <v>370</v>
      </c>
      <c r="G38" s="175" t="str">
        <f t="shared" si="3"/>
        <v>N16-N14</v>
      </c>
      <c r="H38" s="176">
        <v>136</v>
      </c>
    </row>
    <row r="39" spans="2:8" ht="15.6">
      <c r="B39" s="177"/>
      <c r="C39" s="175" t="s">
        <v>369</v>
      </c>
      <c r="D39" s="175">
        <f>+D38+1</f>
        <v>28</v>
      </c>
      <c r="E39" s="175" t="s">
        <v>370</v>
      </c>
      <c r="F39" s="175" t="s">
        <v>371</v>
      </c>
      <c r="G39" s="175" t="str">
        <f t="shared" si="3"/>
        <v>N14-N8</v>
      </c>
      <c r="H39" s="176">
        <v>110</v>
      </c>
    </row>
    <row r="40" spans="2:8" ht="15.6">
      <c r="B40" s="177"/>
      <c r="C40" s="175" t="s">
        <v>369</v>
      </c>
      <c r="D40" s="175">
        <f>+D39+1</f>
        <v>29</v>
      </c>
      <c r="E40" s="175" t="s">
        <v>371</v>
      </c>
      <c r="F40" s="175" t="s">
        <v>367</v>
      </c>
      <c r="G40" s="175" t="str">
        <f t="shared" si="3"/>
        <v>N8-N10</v>
      </c>
      <c r="H40" s="176">
        <v>140</v>
      </c>
    </row>
    <row r="41" spans="2:8">
      <c r="B41" s="128"/>
      <c r="C41" s="129"/>
      <c r="D41" s="129"/>
      <c r="E41" s="129"/>
      <c r="F41" s="129"/>
      <c r="G41" s="129"/>
      <c r="H41" s="130"/>
    </row>
    <row r="42" spans="2:8" ht="15.6">
      <c r="B42" s="177"/>
      <c r="C42" s="175" t="s">
        <v>372</v>
      </c>
      <c r="D42" s="175">
        <f>+D40+1</f>
        <v>30</v>
      </c>
      <c r="E42" s="175" t="s">
        <v>373</v>
      </c>
      <c r="F42" s="175" t="s">
        <v>363</v>
      </c>
      <c r="G42" s="175" t="str">
        <f t="shared" si="3"/>
        <v>N7-N11</v>
      </c>
      <c r="H42" s="176">
        <v>80</v>
      </c>
    </row>
    <row r="43" spans="2:8" ht="15.6">
      <c r="B43" s="177"/>
      <c r="C43" s="175" t="s">
        <v>372</v>
      </c>
      <c r="D43" s="175">
        <f>+D42+1</f>
        <v>31</v>
      </c>
      <c r="E43" s="175" t="s">
        <v>368</v>
      </c>
      <c r="F43" s="175" t="s">
        <v>374</v>
      </c>
      <c r="G43" s="175" t="str">
        <f t="shared" si="3"/>
        <v>N9-N6</v>
      </c>
      <c r="H43" s="176">
        <v>91</v>
      </c>
    </row>
    <row r="44" spans="2:8" ht="15.6">
      <c r="B44" s="177"/>
      <c r="C44" s="175" t="s">
        <v>372</v>
      </c>
      <c r="D44" s="175">
        <f t="shared" ref="D44:D45" si="5">+D43+1</f>
        <v>32</v>
      </c>
      <c r="E44" s="175" t="s">
        <v>374</v>
      </c>
      <c r="F44" s="175" t="s">
        <v>375</v>
      </c>
      <c r="G44" s="175" t="str">
        <f t="shared" si="3"/>
        <v>N6-N5</v>
      </c>
      <c r="H44" s="176">
        <v>10</v>
      </c>
    </row>
    <row r="45" spans="2:8" ht="15.6">
      <c r="B45" s="177"/>
      <c r="C45" s="175" t="s">
        <v>372</v>
      </c>
      <c r="D45" s="175">
        <f t="shared" si="5"/>
        <v>33</v>
      </c>
      <c r="E45" s="175" t="s">
        <v>375</v>
      </c>
      <c r="F45" s="175" t="s">
        <v>373</v>
      </c>
      <c r="G45" s="175" t="str">
        <f t="shared" si="3"/>
        <v>N5-N7</v>
      </c>
      <c r="H45" s="176">
        <v>188</v>
      </c>
    </row>
    <row r="46" spans="2:8">
      <c r="B46" s="128"/>
      <c r="C46" s="129"/>
      <c r="D46" s="129"/>
      <c r="E46" s="129"/>
      <c r="F46" s="129"/>
      <c r="G46" s="129"/>
      <c r="H46" s="130"/>
    </row>
    <row r="47" spans="2:8" ht="15.6">
      <c r="B47" s="177"/>
      <c r="C47" s="175" t="s">
        <v>376</v>
      </c>
      <c r="D47" s="175">
        <f>+D45+1</f>
        <v>34</v>
      </c>
      <c r="E47" s="175" t="s">
        <v>371</v>
      </c>
      <c r="F47" s="175" t="s">
        <v>377</v>
      </c>
      <c r="G47" s="175" t="str">
        <f t="shared" si="3"/>
        <v>N8-N4</v>
      </c>
      <c r="H47" s="176">
        <v>118</v>
      </c>
    </row>
    <row r="48" spans="2:8" ht="15.6">
      <c r="B48" s="177"/>
      <c r="C48" s="175" t="s">
        <v>376</v>
      </c>
      <c r="D48" s="175">
        <f>+D47+1</f>
        <v>35</v>
      </c>
      <c r="E48" s="175" t="s">
        <v>377</v>
      </c>
      <c r="F48" s="175" t="s">
        <v>374</v>
      </c>
      <c r="G48" s="175" t="str">
        <f t="shared" si="3"/>
        <v>N4-N6</v>
      </c>
      <c r="H48" s="176">
        <v>167</v>
      </c>
    </row>
    <row r="49" spans="2:8">
      <c r="B49" s="128"/>
      <c r="C49" s="129"/>
      <c r="D49" s="129"/>
      <c r="E49" s="129"/>
      <c r="F49" s="129"/>
      <c r="G49" s="129"/>
      <c r="H49" s="130"/>
    </row>
    <row r="50" spans="2:8" ht="15.6">
      <c r="B50" s="177"/>
      <c r="C50" s="175" t="s">
        <v>379</v>
      </c>
      <c r="D50" s="175">
        <f>+D48+1</f>
        <v>36</v>
      </c>
      <c r="E50" s="175" t="s">
        <v>378</v>
      </c>
      <c r="F50" s="175" t="s">
        <v>373</v>
      </c>
      <c r="G50" s="175" t="str">
        <f>+CONCATENATE(E50,"-",F50)</f>
        <v>N3-N7</v>
      </c>
      <c r="H50" s="176">
        <v>64</v>
      </c>
    </row>
    <row r="51" spans="2:8" ht="15.6">
      <c r="B51" s="177"/>
      <c r="C51" s="175" t="s">
        <v>379</v>
      </c>
      <c r="D51" s="175">
        <f>+D50+1</f>
        <v>37</v>
      </c>
      <c r="E51" s="175" t="s">
        <v>375</v>
      </c>
      <c r="F51" s="175" t="s">
        <v>380</v>
      </c>
      <c r="G51" s="175" t="str">
        <f>+CONCATENATE(E51,"-",F51)</f>
        <v>N5-N2</v>
      </c>
      <c r="H51" s="176">
        <v>55</v>
      </c>
    </row>
    <row r="52" spans="2:8" ht="15.6">
      <c r="B52" s="177"/>
      <c r="C52" s="175" t="s">
        <v>379</v>
      </c>
      <c r="D52" s="175">
        <f>+D51+1</f>
        <v>38</v>
      </c>
      <c r="E52" s="175" t="s">
        <v>380</v>
      </c>
      <c r="F52" s="175" t="s">
        <v>378</v>
      </c>
      <c r="G52" s="175" t="str">
        <f>+CONCATENATE(E52,"-",F52)</f>
        <v>N2-N3</v>
      </c>
      <c r="H52" s="176">
        <v>190</v>
      </c>
    </row>
    <row r="53" spans="2:8">
      <c r="B53" s="128"/>
      <c r="C53" s="129"/>
      <c r="D53" s="129"/>
      <c r="E53" s="129"/>
      <c r="F53" s="129"/>
      <c r="G53" s="129"/>
      <c r="H53" s="173"/>
    </row>
    <row r="54" spans="2:8" ht="15.6">
      <c r="B54" s="177"/>
      <c r="C54" s="178" t="s">
        <v>381</v>
      </c>
      <c r="D54" s="175">
        <f>+D52+1</f>
        <v>39</v>
      </c>
      <c r="E54" s="175" t="s">
        <v>377</v>
      </c>
      <c r="F54" s="175" t="s">
        <v>382</v>
      </c>
      <c r="G54" s="175" t="str">
        <f t="shared" ref="G54:G55" si="6">+CONCATENATE(E54,"-",F54)</f>
        <v>N4-N1</v>
      </c>
      <c r="H54" s="176">
        <v>82</v>
      </c>
    </row>
    <row r="55" spans="2:8" ht="15.6">
      <c r="B55" s="177"/>
      <c r="C55" s="178" t="s">
        <v>381</v>
      </c>
      <c r="D55" s="178">
        <f>+D54+1</f>
        <v>40</v>
      </c>
      <c r="E55" s="178" t="s">
        <v>382</v>
      </c>
      <c r="F55" s="178" t="s">
        <v>380</v>
      </c>
      <c r="G55" s="175" t="str">
        <f t="shared" si="6"/>
        <v>N1-N2</v>
      </c>
      <c r="H55" s="176">
        <v>165</v>
      </c>
    </row>
    <row r="56" spans="2:8">
      <c r="B56" s="128"/>
      <c r="C56" s="129"/>
      <c r="D56" s="129"/>
      <c r="E56" s="129"/>
      <c r="F56" s="129"/>
      <c r="G56" s="129"/>
      <c r="H56" s="130"/>
    </row>
    <row r="57" spans="2:8" ht="15.6">
      <c r="B57" s="177"/>
      <c r="C57" s="178" t="s">
        <v>386</v>
      </c>
      <c r="D57" s="178">
        <f>+D55+1</f>
        <v>41</v>
      </c>
      <c r="E57" s="178" t="s">
        <v>380</v>
      </c>
      <c r="F57" s="178" t="s">
        <v>383</v>
      </c>
      <c r="G57" s="175" t="str">
        <f>+CONCATENATE(E57,"-",F57)</f>
        <v>N2-N32</v>
      </c>
      <c r="H57" s="176">
        <v>40</v>
      </c>
    </row>
    <row r="58" spans="2:8">
      <c r="B58" s="128"/>
      <c r="C58" s="129"/>
      <c r="D58" s="129"/>
      <c r="E58" s="129"/>
      <c r="F58" s="129"/>
      <c r="G58" s="129"/>
      <c r="H58" s="130"/>
    </row>
    <row r="59" spans="2:8" ht="16.2" thickBot="1">
      <c r="B59" s="179"/>
      <c r="C59" s="180" t="s">
        <v>387</v>
      </c>
      <c r="D59" s="180">
        <f>+D57+1</f>
        <v>42</v>
      </c>
      <c r="E59" s="180" t="s">
        <v>357</v>
      </c>
      <c r="F59" s="180" t="s">
        <v>384</v>
      </c>
      <c r="G59" s="181" t="str">
        <f>+CONCATENATE(E59,"-",F59)</f>
        <v>N23-N31</v>
      </c>
      <c r="H59" s="182">
        <v>84</v>
      </c>
    </row>
    <row r="61" spans="2:8">
      <c r="H61" s="132">
        <f>SUM(H4:H60)</f>
        <v>4199</v>
      </c>
    </row>
  </sheetData>
  <phoneticPr fontId="17" type="noConversion"/>
  <conditionalFormatting sqref="B6 E6:G6">
    <cfRule type="expression" dxfId="39" priority="52">
      <formula>$Q8="CERRADO"</formula>
    </cfRule>
  </conditionalFormatting>
  <conditionalFormatting sqref="B32:B36">
    <cfRule type="expression" dxfId="38" priority="9">
      <formula>$Q29="CERRADO"</formula>
    </cfRule>
    <cfRule type="expression" dxfId="37" priority="10">
      <formula>$Q32="CERRADO"</formula>
    </cfRule>
  </conditionalFormatting>
  <conditionalFormatting sqref="B10:C10 E10:G10">
    <cfRule type="expression" dxfId="36" priority="42">
      <formula>$Q14="CERRADO"</formula>
    </cfRule>
  </conditionalFormatting>
  <conditionalFormatting sqref="B12:C13 E12:G13">
    <cfRule type="expression" dxfId="35" priority="32">
      <formula>$Q9="CERRADO"</formula>
    </cfRule>
  </conditionalFormatting>
  <conditionalFormatting sqref="B15:G17">
    <cfRule type="expression" dxfId="34" priority="23">
      <formula>$Q15="CERRADO"</formula>
    </cfRule>
  </conditionalFormatting>
  <conditionalFormatting sqref="B17:C17">
    <cfRule type="expression" dxfId="33" priority="24">
      <formula>$Q14="CERRADO"</formula>
    </cfRule>
  </conditionalFormatting>
  <conditionalFormatting sqref="C47:G48 B26:G26 D21 E19:G19">
    <cfRule type="expression" dxfId="32" priority="54">
      <formula>$Q12="CERRADO"</formula>
    </cfRule>
  </conditionalFormatting>
  <conditionalFormatting sqref="B19:D21">
    <cfRule type="expression" dxfId="31" priority="19">
      <formula>$Q19="CERRADO"</formula>
    </cfRule>
  </conditionalFormatting>
  <conditionalFormatting sqref="B4:G4 B11:C11 E11:G11">
    <cfRule type="expression" dxfId="30" priority="34">
      <formula>$Q5="CERRADO"</formula>
    </cfRule>
  </conditionalFormatting>
  <conditionalFormatting sqref="B5:G5 D6:D8">
    <cfRule type="expression" dxfId="29" priority="35">
      <formula>$Q4="CERRADO"</formula>
    </cfRule>
  </conditionalFormatting>
  <conditionalFormatting sqref="B7:C7 E7:G7 C10:C13">
    <cfRule type="expression" dxfId="28" priority="39">
      <formula>$Q7="CERRADO"</formula>
    </cfRule>
  </conditionalFormatting>
  <conditionalFormatting sqref="B8:C8 E8:G8">
    <cfRule type="expression" dxfId="27" priority="40">
      <formula>$Q6="CERRADO"</formula>
    </cfRule>
  </conditionalFormatting>
  <conditionalFormatting sqref="B28:G30">
    <cfRule type="expression" dxfId="26" priority="14">
      <formula>$Q21="CERRADO"</formula>
    </cfRule>
  </conditionalFormatting>
  <conditionalFormatting sqref="C5:C8">
    <cfRule type="expression" dxfId="25" priority="26">
      <formula>$Q6="CERRADO"</formula>
    </cfRule>
  </conditionalFormatting>
  <conditionalFormatting sqref="C6">
    <cfRule type="expression" dxfId="24" priority="18">
      <formula>$Q5="CERRADO"</formula>
    </cfRule>
  </conditionalFormatting>
  <conditionalFormatting sqref="C11">
    <cfRule type="expression" dxfId="23" priority="17">
      <formula>$Q15="CERRADO"</formula>
    </cfRule>
  </conditionalFormatting>
  <conditionalFormatting sqref="C32:G36">
    <cfRule type="expression" dxfId="22" priority="12">
      <formula>$Q25="CERRADO"</formula>
    </cfRule>
  </conditionalFormatting>
  <conditionalFormatting sqref="C38:G40">
    <cfRule type="expression" dxfId="21" priority="8">
      <formula>$Q31="CERRADO"</formula>
    </cfRule>
  </conditionalFormatting>
  <conditionalFormatting sqref="C42:G45">
    <cfRule type="expression" dxfId="20" priority="7">
      <formula>$Q35="CERRADO"</formula>
    </cfRule>
  </conditionalFormatting>
  <conditionalFormatting sqref="C50:G52 D54:F54 G54:G55 D19:D20">
    <cfRule type="expression" dxfId="19" priority="43">
      <formula>$Q11="CERRADO"</formula>
    </cfRule>
  </conditionalFormatting>
  <conditionalFormatting sqref="G16:G17">
    <cfRule type="expression" dxfId="18" priority="25">
      <formula>$Q16="CERRADO"</formula>
    </cfRule>
  </conditionalFormatting>
  <conditionalFormatting sqref="G51:G52">
    <cfRule type="expression" dxfId="17" priority="5">
      <formula>$Q43="CERRADO"</formula>
    </cfRule>
  </conditionalFormatting>
  <conditionalFormatting sqref="G57">
    <cfRule type="expression" dxfId="16" priority="56">
      <formula>$Q48="CERRADO"</formula>
    </cfRule>
  </conditionalFormatting>
  <conditionalFormatting sqref="G59">
    <cfRule type="expression" dxfId="15" priority="2">
      <formula>$Q50="CERRADO"</formula>
    </cfRule>
  </conditionalFormatting>
  <conditionalFormatting sqref="B13:C13 E13:G13">
    <cfRule type="expression" dxfId="14" priority="58">
      <formula>$Q18="CERRADO"</formula>
    </cfRule>
  </conditionalFormatting>
  <conditionalFormatting sqref="D10:D13">
    <cfRule type="expression" dxfId="13" priority="1">
      <formula>$Q9="CERRADO"</formula>
    </cfRule>
  </conditionalFormatting>
  <conditionalFormatting sqref="B23:G24 E20:G21 B20:C20">
    <cfRule type="expression" dxfId="12" priority="59">
      <formula>$Q14="CERRADO"</formula>
    </cfRule>
  </conditionalFormatting>
  <conditionalFormatting sqref="B25:G25">
    <cfRule type="expression" dxfId="11" priority="61">
      <formula>#REF!="CERRADO"</formula>
    </cfRule>
  </conditionalFormatting>
  <dataValidations disablePrompts="1" count="1">
    <dataValidation type="list" sqref="B10:D13 B19:C19 B15:D15 B32:B36 B4:D8 D16:D17 B17:C17" xr:uid="{71F443E3-6264-49B5-8F9E-EF8FA6917EE3}">
      <formula1>"1,2,3,4,5,6,7,8,9,10,11,12,13,14,15,16,17,18,19,20,21,22,23,24"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topLeftCell="A3" workbookViewId="0">
      <selection activeCell="E38" sqref="E38"/>
    </sheetView>
  </sheetViews>
  <sheetFormatPr baseColWidth="10" defaultColWidth="8.796875" defaultRowHeight="13.8"/>
  <cols>
    <col min="1" max="1" width="9" customWidth="1"/>
    <col min="2" max="2" width="48" customWidth="1"/>
    <col min="3" max="3" width="10" customWidth="1"/>
    <col min="4" max="4" width="19" customWidth="1"/>
    <col min="5" max="6" width="21" customWidth="1"/>
    <col min="7" max="7" width="14" customWidth="1"/>
  </cols>
  <sheetData>
    <row r="1" spans="1:7">
      <c r="A1" s="146" t="s">
        <v>91</v>
      </c>
      <c r="B1" s="146"/>
      <c r="C1" s="146"/>
      <c r="D1" s="146"/>
      <c r="E1" s="146"/>
      <c r="F1" s="146"/>
      <c r="G1" s="146"/>
    </row>
    <row r="2" spans="1:7">
      <c r="A2" s="146"/>
      <c r="B2" s="146"/>
      <c r="C2" s="146"/>
      <c r="D2" s="146"/>
      <c r="E2" s="146"/>
      <c r="F2" s="146"/>
      <c r="G2" s="146"/>
    </row>
    <row r="3" spans="1:7">
      <c r="A3" s="5"/>
      <c r="B3" s="5"/>
      <c r="C3" s="5"/>
      <c r="D3" s="5"/>
      <c r="E3" s="5"/>
      <c r="F3" s="5"/>
      <c r="G3" s="5"/>
    </row>
    <row r="4" spans="1:7" ht="14.4">
      <c r="A4" s="147" t="s">
        <v>92</v>
      </c>
      <c r="B4" s="147"/>
      <c r="C4" s="147"/>
      <c r="D4" s="147"/>
      <c r="E4" s="147"/>
      <c r="F4" s="147"/>
      <c r="G4" s="147"/>
    </row>
    <row r="5" spans="1:7">
      <c r="A5" s="5"/>
      <c r="B5" s="5"/>
      <c r="C5" s="5"/>
      <c r="D5" s="5"/>
      <c r="E5" s="5"/>
      <c r="F5" s="5"/>
      <c r="G5" s="5"/>
    </row>
    <row r="6" spans="1:7" ht="14.4">
      <c r="A6" s="8" t="s">
        <v>93</v>
      </c>
      <c r="B6" s="9" t="s">
        <v>35</v>
      </c>
      <c r="C6" s="9" t="s">
        <v>94</v>
      </c>
      <c r="D6" s="9" t="s">
        <v>95</v>
      </c>
      <c r="E6" s="9" t="s">
        <v>96</v>
      </c>
      <c r="F6" s="9" t="s">
        <v>97</v>
      </c>
      <c r="G6" s="10" t="s">
        <v>98</v>
      </c>
    </row>
    <row r="7" spans="1:7">
      <c r="A7" s="11" t="s">
        <v>99</v>
      </c>
      <c r="B7" s="12" t="s">
        <v>100</v>
      </c>
      <c r="C7" s="12" t="s">
        <v>101</v>
      </c>
      <c r="D7" s="13">
        <v>4200</v>
      </c>
      <c r="E7" s="69">
        <f t="shared" ref="E7:E24" si="0">IFERROR(F7/D7,0)</f>
        <v>204.64384100747739</v>
      </c>
      <c r="F7" s="66">
        <f>Configuracion!$B$18*G7</f>
        <v>859504.132231405</v>
      </c>
      <c r="G7" s="72">
        <v>7.4999999999999997E-3</v>
      </c>
    </row>
    <row r="8" spans="1:7">
      <c r="A8" s="11" t="s">
        <v>102</v>
      </c>
      <c r="B8" s="12" t="s">
        <v>103</v>
      </c>
      <c r="C8" s="12" t="s">
        <v>101</v>
      </c>
      <c r="D8" s="13">
        <v>4200</v>
      </c>
      <c r="E8" s="69">
        <f t="shared" si="0"/>
        <v>3683.5891381345932</v>
      </c>
      <c r="F8" s="66">
        <f>Configuracion!$B$18*G8</f>
        <v>15471074.380165292</v>
      </c>
      <c r="G8" s="72">
        <v>0.13500000000000001</v>
      </c>
    </row>
    <row r="9" spans="1:7">
      <c r="A9" s="11" t="s">
        <v>104</v>
      </c>
      <c r="B9" s="12" t="s">
        <v>105</v>
      </c>
      <c r="C9" s="12" t="s">
        <v>101</v>
      </c>
      <c r="D9" s="13">
        <v>4200</v>
      </c>
      <c r="E9" s="69">
        <f t="shared" si="0"/>
        <v>477.50229568411396</v>
      </c>
      <c r="F9" s="66">
        <f>Configuracion!$B$18*G9</f>
        <v>2005509.6418732787</v>
      </c>
      <c r="G9" s="72">
        <v>1.7500000000000002E-2</v>
      </c>
    </row>
    <row r="10" spans="1:7">
      <c r="A10" s="11" t="s">
        <v>106</v>
      </c>
      <c r="B10" s="12" t="s">
        <v>107</v>
      </c>
      <c r="C10" s="12" t="s">
        <v>101</v>
      </c>
      <c r="D10" s="13">
        <v>4200</v>
      </c>
      <c r="E10" s="69">
        <f t="shared" si="0"/>
        <v>1705.3653417289784</v>
      </c>
      <c r="F10" s="66">
        <f>Configuracion!$B$18*G10</f>
        <v>7162534.4352617087</v>
      </c>
      <c r="G10" s="72">
        <v>6.25E-2</v>
      </c>
    </row>
    <row r="11" spans="1:7">
      <c r="A11" s="11" t="s">
        <v>108</v>
      </c>
      <c r="B11" s="12" t="s">
        <v>109</v>
      </c>
      <c r="C11" s="12" t="s">
        <v>101</v>
      </c>
      <c r="D11" s="13">
        <v>3170</v>
      </c>
      <c r="E11" s="69">
        <f t="shared" si="0"/>
        <v>5784.2549382555126</v>
      </c>
      <c r="F11" s="66">
        <f>Configuracion!$B$18*G11</f>
        <v>18336088.154269975</v>
      </c>
      <c r="G11" s="72">
        <v>0.16</v>
      </c>
    </row>
    <row r="12" spans="1:7">
      <c r="A12" s="11" t="s">
        <v>110</v>
      </c>
      <c r="B12" s="12" t="s">
        <v>111</v>
      </c>
      <c r="C12" s="12" t="s">
        <v>101</v>
      </c>
      <c r="D12" s="13">
        <v>1030</v>
      </c>
      <c r="E12" s="69">
        <f t="shared" si="0"/>
        <v>12238.893792291852</v>
      </c>
      <c r="F12" s="66">
        <f>Configuracion!$B$18*G12</f>
        <v>12606060.606060607</v>
      </c>
      <c r="G12" s="72">
        <v>0.11</v>
      </c>
    </row>
    <row r="13" spans="1:7">
      <c r="A13" s="11" t="s">
        <v>112</v>
      </c>
      <c r="B13" s="12" t="s">
        <v>113</v>
      </c>
      <c r="C13" s="12" t="s">
        <v>101</v>
      </c>
      <c r="D13" s="13">
        <v>4200</v>
      </c>
      <c r="E13" s="69">
        <f t="shared" si="0"/>
        <v>3274.3014561196383</v>
      </c>
      <c r="F13" s="66">
        <f>Configuracion!$B$18*G13</f>
        <v>13752066.11570248</v>
      </c>
      <c r="G13" s="72">
        <v>0.12</v>
      </c>
    </row>
    <row r="14" spans="1:7">
      <c r="A14" s="11" t="s">
        <v>114</v>
      </c>
      <c r="B14" s="12" t="s">
        <v>115</v>
      </c>
      <c r="C14" s="12" t="s">
        <v>101</v>
      </c>
      <c r="D14" s="13">
        <v>4200</v>
      </c>
      <c r="E14" s="69">
        <f t="shared" si="0"/>
        <v>1227.8630460448644</v>
      </c>
      <c r="F14" s="66">
        <f>Configuracion!$B$18*G14</f>
        <v>5157024.79338843</v>
      </c>
      <c r="G14" s="72">
        <v>4.4999999999999998E-2</v>
      </c>
    </row>
    <row r="15" spans="1:7">
      <c r="A15" s="11" t="s">
        <v>116</v>
      </c>
      <c r="B15" s="12" t="s">
        <v>117</v>
      </c>
      <c r="C15" s="12" t="s">
        <v>101</v>
      </c>
      <c r="D15" s="13">
        <v>4200</v>
      </c>
      <c r="E15" s="69">
        <f t="shared" si="0"/>
        <v>2592.1553194280468</v>
      </c>
      <c r="F15" s="66">
        <f>Configuracion!$B$18*G15</f>
        <v>10887052.341597797</v>
      </c>
      <c r="G15" s="72">
        <v>9.5000000000000001E-2</v>
      </c>
    </row>
    <row r="16" spans="1:7">
      <c r="A16" s="11" t="s">
        <v>118</v>
      </c>
      <c r="B16" s="12" t="s">
        <v>119</v>
      </c>
      <c r="C16" s="12" t="s">
        <v>101</v>
      </c>
      <c r="D16" s="13">
        <v>4200</v>
      </c>
      <c r="E16" s="69">
        <f t="shared" si="0"/>
        <v>2182.8676374130923</v>
      </c>
      <c r="F16" s="66">
        <f>Configuracion!$B$18*G16</f>
        <v>9168044.0771349873</v>
      </c>
      <c r="G16" s="72">
        <v>0.08</v>
      </c>
    </row>
    <row r="17" spans="1:7">
      <c r="A17" s="11" t="s">
        <v>120</v>
      </c>
      <c r="B17" s="12" t="s">
        <v>121</v>
      </c>
      <c r="C17" s="12" t="s">
        <v>122</v>
      </c>
      <c r="D17" s="13">
        <v>165</v>
      </c>
      <c r="E17" s="69">
        <f t="shared" si="0"/>
        <v>48618.415560564332</v>
      </c>
      <c r="F17" s="66">
        <f>Configuracion!$B$18*G17</f>
        <v>8022038.5674931146</v>
      </c>
      <c r="G17" s="72">
        <v>7.0000000000000007E-2</v>
      </c>
    </row>
    <row r="18" spans="1:7">
      <c r="A18" s="11" t="s">
        <v>123</v>
      </c>
      <c r="B18" s="12" t="s">
        <v>124</v>
      </c>
      <c r="C18" s="12" t="s">
        <v>122</v>
      </c>
      <c r="D18" s="13">
        <v>62</v>
      </c>
      <c r="E18" s="69">
        <f t="shared" si="0"/>
        <v>55451.879498800321</v>
      </c>
      <c r="F18" s="66">
        <f>Configuracion!$B$18*G18</f>
        <v>3438016.52892562</v>
      </c>
      <c r="G18" s="72">
        <v>0.03</v>
      </c>
    </row>
    <row r="19" spans="1:7">
      <c r="A19" s="11" t="s">
        <v>125</v>
      </c>
      <c r="B19" s="12" t="s">
        <v>126</v>
      </c>
      <c r="C19" s="12" t="s">
        <v>122</v>
      </c>
      <c r="D19" s="13">
        <v>2</v>
      </c>
      <c r="E19" s="69">
        <f t="shared" si="0"/>
        <v>286501.37741046835</v>
      </c>
      <c r="F19" s="66">
        <f>Configuracion!$B$18*G19</f>
        <v>573002.75482093671</v>
      </c>
      <c r="G19" s="72">
        <v>5.0000000000000001E-3</v>
      </c>
    </row>
    <row r="20" spans="1:7">
      <c r="A20" s="11" t="s">
        <v>127</v>
      </c>
      <c r="B20" s="12" t="s">
        <v>128</v>
      </c>
      <c r="C20" s="12" t="s">
        <v>122</v>
      </c>
      <c r="D20" s="13">
        <v>4</v>
      </c>
      <c r="E20" s="69">
        <f t="shared" si="0"/>
        <v>429752.0661157025</v>
      </c>
      <c r="F20" s="66">
        <f>Configuracion!$B$18*G20</f>
        <v>1719008.26446281</v>
      </c>
      <c r="G20" s="72">
        <v>1.4999999999999999E-2</v>
      </c>
    </row>
    <row r="21" spans="1:7">
      <c r="A21" s="11" t="s">
        <v>129</v>
      </c>
      <c r="B21" s="12" t="s">
        <v>130</v>
      </c>
      <c r="C21" s="12" t="s">
        <v>122</v>
      </c>
      <c r="D21" s="13">
        <v>15</v>
      </c>
      <c r="E21" s="69">
        <f t="shared" si="0"/>
        <v>114600.55096418734</v>
      </c>
      <c r="F21" s="66">
        <f>Configuracion!$B$18*G21</f>
        <v>1719008.26446281</v>
      </c>
      <c r="G21" s="72">
        <v>1.4999999999999999E-2</v>
      </c>
    </row>
    <row r="22" spans="1:7">
      <c r="A22" s="11" t="s">
        <v>131</v>
      </c>
      <c r="B22" s="12" t="s">
        <v>132</v>
      </c>
      <c r="C22" s="12" t="s">
        <v>133</v>
      </c>
      <c r="D22" s="13">
        <v>1</v>
      </c>
      <c r="E22" s="69">
        <f t="shared" si="0"/>
        <v>1719008.26446281</v>
      </c>
      <c r="F22" s="66">
        <f>Configuracion!$B$18*G22</f>
        <v>1719008.26446281</v>
      </c>
      <c r="G22" s="72">
        <v>1.4999999999999999E-2</v>
      </c>
    </row>
    <row r="23" spans="1:7">
      <c r="A23" s="11" t="s">
        <v>134</v>
      </c>
      <c r="B23" s="12" t="s">
        <v>135</v>
      </c>
      <c r="C23" s="12" t="s">
        <v>133</v>
      </c>
      <c r="D23" s="13">
        <v>1</v>
      </c>
      <c r="E23" s="69">
        <f t="shared" si="0"/>
        <v>1146005.5096418734</v>
      </c>
      <c r="F23" s="66">
        <f>Configuracion!$B$18*G23</f>
        <v>1146005.5096418734</v>
      </c>
      <c r="G23" s="72">
        <v>0.01</v>
      </c>
    </row>
    <row r="24" spans="1:7">
      <c r="A24" s="11" t="s">
        <v>136</v>
      </c>
      <c r="B24" s="12" t="s">
        <v>137</v>
      </c>
      <c r="C24" s="12" t="s">
        <v>133</v>
      </c>
      <c r="D24" s="13">
        <v>1</v>
      </c>
      <c r="E24" s="69">
        <f t="shared" si="0"/>
        <v>859504.132231405</v>
      </c>
      <c r="F24" s="66">
        <f>Configuracion!$B$18*G24</f>
        <v>859504.132231405</v>
      </c>
      <c r="G24" s="72">
        <v>7.4999999999999997E-3</v>
      </c>
    </row>
    <row r="25" spans="1:7" ht="14.4">
      <c r="A25" s="15"/>
      <c r="B25" s="16" t="s">
        <v>138</v>
      </c>
      <c r="C25" s="16"/>
      <c r="D25" s="16"/>
      <c r="E25" s="70"/>
      <c r="F25" s="70">
        <f>SUM(F7:F24)</f>
        <v>114600550.96418734</v>
      </c>
      <c r="G25" s="73">
        <f>SUM(G7:G24)</f>
        <v>1.0000000000000002</v>
      </c>
    </row>
    <row r="26" spans="1:7">
      <c r="A26" s="5"/>
      <c r="B26" s="5"/>
      <c r="C26" s="5"/>
      <c r="D26" s="5"/>
      <c r="E26" s="71"/>
      <c r="F26" s="71"/>
      <c r="G26" s="74"/>
    </row>
    <row r="27" spans="1:7" ht="14.4">
      <c r="A27" s="8" t="s">
        <v>139</v>
      </c>
      <c r="B27" s="9" t="s">
        <v>140</v>
      </c>
      <c r="C27" s="10" t="s">
        <v>141</v>
      </c>
      <c r="D27" s="5"/>
      <c r="E27" s="71"/>
      <c r="F27" s="71"/>
      <c r="G27" s="74"/>
    </row>
    <row r="28" spans="1:7" ht="41.4">
      <c r="A28" s="17" t="s">
        <v>8</v>
      </c>
      <c r="B28" s="14">
        <f>Configuracion!B18</f>
        <v>114600550.96418734</v>
      </c>
      <c r="C28" s="18" t="str">
        <f>IF(ABS(F25-B28)&lt;1,"OK","REVISAR")</f>
        <v>OK</v>
      </c>
      <c r="D28" s="5"/>
      <c r="E28" s="71"/>
      <c r="F28" s="71"/>
      <c r="G28" s="74"/>
    </row>
    <row r="29" spans="1:7" ht="27.6">
      <c r="A29" s="19" t="s">
        <v>142</v>
      </c>
      <c r="B29" s="20">
        <f>SUM(G7:G24)</f>
        <v>1.0000000000000002</v>
      </c>
      <c r="C29" s="21" t="str">
        <f>IF(ABS(B29-1)&lt;0.000001,"OK","REVISAR")</f>
        <v>OK</v>
      </c>
      <c r="D29" s="5"/>
      <c r="E29" s="71"/>
      <c r="F29" s="71"/>
      <c r="G29" s="74"/>
    </row>
  </sheetData>
  <mergeCells count="2">
    <mergeCell ref="A1:G2"/>
    <mergeCell ref="A4:G4"/>
  </mergeCells>
  <conditionalFormatting sqref="C28:C29">
    <cfRule type="expression" dxfId="10" priority="1">
      <formula>C28="OK"</formula>
    </cfRule>
    <cfRule type="expression" dxfId="9" priority="2">
      <formula>C28="REVISAR"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11"/>
  <sheetViews>
    <sheetView topLeftCell="A58" zoomScale="145" zoomScaleNormal="145" workbookViewId="0">
      <selection activeCell="A78" sqref="A78"/>
    </sheetView>
  </sheetViews>
  <sheetFormatPr baseColWidth="10" defaultColWidth="8.796875" defaultRowHeight="13.8"/>
  <cols>
    <col min="1" max="1" width="10" customWidth="1"/>
    <col min="2" max="2" width="12.3984375" customWidth="1"/>
    <col min="3" max="3" width="16.19921875" customWidth="1"/>
    <col min="4" max="4" width="13.59765625" customWidth="1"/>
    <col min="5" max="5" width="12.8984375" customWidth="1"/>
    <col min="6" max="6" width="15.09765625" customWidth="1"/>
    <col min="7" max="7" width="9" customWidth="1"/>
    <col min="8" max="8" width="42" customWidth="1"/>
    <col min="9" max="9" width="9" customWidth="1"/>
    <col min="10" max="10" width="16" customWidth="1"/>
    <col min="11" max="11" width="15" customWidth="1"/>
    <col min="12" max="13" width="18" customWidth="1"/>
    <col min="14" max="14" width="16" customWidth="1"/>
    <col min="15" max="15" width="18" customWidth="1"/>
    <col min="16" max="16" width="36" customWidth="1"/>
    <col min="17" max="17" width="14" customWidth="1"/>
    <col min="18" max="18" width="26" customWidth="1"/>
  </cols>
  <sheetData>
    <row r="1" spans="1:18">
      <c r="A1" s="143" t="s">
        <v>143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</row>
    <row r="2" spans="1:18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</row>
    <row r="3" spans="1:18" ht="14.4">
      <c r="A3" s="148" t="s">
        <v>144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9"/>
      <c r="R3" s="149"/>
    </row>
    <row r="4" spans="1:18" ht="6.6" customHeight="1"/>
    <row r="5" spans="1:18" ht="14.4">
      <c r="A5" s="8" t="s">
        <v>145</v>
      </c>
      <c r="B5" s="9" t="s">
        <v>146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93</v>
      </c>
      <c r="H5" s="9" t="s">
        <v>35</v>
      </c>
      <c r="I5" s="9" t="s">
        <v>94</v>
      </c>
      <c r="J5" s="9" t="s">
        <v>151</v>
      </c>
      <c r="K5" s="9" t="s">
        <v>152</v>
      </c>
      <c r="L5" s="9" t="s">
        <v>153</v>
      </c>
      <c r="M5" s="9" t="s">
        <v>154</v>
      </c>
      <c r="N5" s="9" t="s">
        <v>155</v>
      </c>
      <c r="O5" s="9" t="s">
        <v>156</v>
      </c>
      <c r="P5" s="10" t="s">
        <v>157</v>
      </c>
      <c r="Q5" s="98" t="s">
        <v>158</v>
      </c>
      <c r="R5" s="98" t="s">
        <v>159</v>
      </c>
    </row>
    <row r="6" spans="1:18">
      <c r="A6" s="113">
        <v>1</v>
      </c>
      <c r="B6" s="114">
        <v>46262</v>
      </c>
      <c r="C6" s="115" t="str">
        <f>+CONCATENATE(D6,"-",E6)</f>
        <v>N30-N29</v>
      </c>
      <c r="D6" s="115" t="s">
        <v>331</v>
      </c>
      <c r="E6" s="115" t="s">
        <v>332</v>
      </c>
      <c r="F6" s="115" t="s">
        <v>333</v>
      </c>
      <c r="G6" s="115">
        <v>1</v>
      </c>
      <c r="H6" s="107" t="str">
        <f>IF(G6="","",IFERROR(VLOOKUP(G6&amp;"",'Presupuesto Base'!$A$7:$G$24,2,FALSE),"Ítem no encontrado"))</f>
        <v>Replanteo y marcación de traza</v>
      </c>
      <c r="I6" s="109" t="str">
        <f>IF(G6="","",IFERROR(VLOOKUP(G6&amp;"",'Presupuesto Base'!$A$7:$G$24,3,FALSE),""))</f>
        <v>ml</v>
      </c>
      <c r="J6" s="30"/>
      <c r="K6" s="32">
        <v>106</v>
      </c>
      <c r="L6" s="108">
        <f>IF(G6="",0,IFERROR(VLOOKUP(G6&amp;"",'Presupuesto Base'!$A$7:$G$24,5,FALSE),0))</f>
        <v>204.64384100747739</v>
      </c>
      <c r="M6" s="108">
        <f t="shared" ref="M6:M75" si="0">IFERROR(K6*L6,0)</f>
        <v>21692.247146792604</v>
      </c>
      <c r="N6" s="30"/>
      <c r="O6" s="30"/>
      <c r="P6" s="33"/>
      <c r="Q6" s="97">
        <f>IFERROR(VLOOKUP(A6,'Historial Certificados'!$A$6:$E$29,5,FALSE),"")</f>
        <v>0</v>
      </c>
      <c r="R6" s="97" t="str">
        <f t="shared" ref="R6:R75" si="1">IF(A6="","",IF(Q6="CERRADO","CERTIFICADO CERRADO - NO MODIFICAR","ABIERTO"))</f>
        <v>ABIERTO</v>
      </c>
    </row>
    <row r="7" spans="1:18">
      <c r="A7" s="113">
        <v>1</v>
      </c>
      <c r="B7" s="114">
        <v>46262</v>
      </c>
      <c r="C7" s="115" t="str">
        <f t="shared" ref="C7:C27" si="2">+CONCATENATE(D7,"-",E7)</f>
        <v>N30-N25</v>
      </c>
      <c r="D7" s="115" t="s">
        <v>331</v>
      </c>
      <c r="E7" s="115" t="s">
        <v>334</v>
      </c>
      <c r="F7" s="115" t="s">
        <v>335</v>
      </c>
      <c r="G7" s="115">
        <v>1</v>
      </c>
      <c r="H7" s="107" t="str">
        <f>IF(G7="","",IFERROR(VLOOKUP(G7&amp;"",'Presupuesto Base'!$A$7:$G$24,2,FALSE),"Ítem no encontrado"))</f>
        <v>Replanteo y marcación de traza</v>
      </c>
      <c r="I7" s="109" t="str">
        <f>IF(G7="","",IFERROR(VLOOKUP(G7&amp;"",'Presupuesto Base'!$A$7:$G$24,3,FALSE),""))</f>
        <v>ml</v>
      </c>
      <c r="J7" s="30"/>
      <c r="K7" s="32">
        <v>76</v>
      </c>
      <c r="L7" s="108">
        <f>IF(G7="",0,IFERROR(VLOOKUP(G7&amp;"",'Presupuesto Base'!$A$7:$G$24,5,FALSE),0))</f>
        <v>204.64384100747739</v>
      </c>
      <c r="M7" s="108">
        <f t="shared" si="0"/>
        <v>15552.931916568281</v>
      </c>
      <c r="N7" s="30"/>
      <c r="O7" s="30"/>
      <c r="P7" s="33"/>
      <c r="Q7" s="97">
        <f>IFERROR(VLOOKUP(A7,'Historial Certificados'!$A$6:$E$29,5,FALSE),"")</f>
        <v>0</v>
      </c>
      <c r="R7" s="97" t="str">
        <f t="shared" si="1"/>
        <v>ABIERTO</v>
      </c>
    </row>
    <row r="8" spans="1:18">
      <c r="A8" s="113">
        <v>1</v>
      </c>
      <c r="B8" s="114">
        <v>46262</v>
      </c>
      <c r="C8" s="115" t="str">
        <f t="shared" si="2"/>
        <v>N25-N24</v>
      </c>
      <c r="D8" s="115" t="s">
        <v>334</v>
      </c>
      <c r="E8" s="115" t="s">
        <v>336</v>
      </c>
      <c r="F8" s="115" t="s">
        <v>337</v>
      </c>
      <c r="G8" s="115">
        <v>1</v>
      </c>
      <c r="H8" s="107" t="str">
        <f>IF(G8="","",IFERROR(VLOOKUP(G8&amp;"",'Presupuesto Base'!$A$7:$G$24,2,FALSE),"Ítem no encontrado"))</f>
        <v>Replanteo y marcación de traza</v>
      </c>
      <c r="I8" s="109" t="str">
        <f>IF(G8="","",IFERROR(VLOOKUP(G8&amp;"",'Presupuesto Base'!$A$7:$G$24,3,FALSE),""))</f>
        <v>ml</v>
      </c>
      <c r="J8" s="30"/>
      <c r="K8" s="32">
        <v>15</v>
      </c>
      <c r="L8" s="108">
        <f>IF(G8="",0,IFERROR(VLOOKUP(G8&amp;"",'Presupuesto Base'!$A$7:$G$24,5,FALSE),0))</f>
        <v>204.64384100747739</v>
      </c>
      <c r="M8" s="108">
        <f t="shared" si="0"/>
        <v>3069.6576151121608</v>
      </c>
      <c r="N8" s="30"/>
      <c r="O8" s="30"/>
      <c r="P8" s="33"/>
      <c r="Q8" s="97">
        <f>IFERROR(VLOOKUP(A8,'Historial Certificados'!$A$6:$E$29,5,FALSE),"")</f>
        <v>0</v>
      </c>
      <c r="R8" s="97" t="str">
        <f t="shared" si="1"/>
        <v>ABIERTO</v>
      </c>
    </row>
    <row r="9" spans="1:18">
      <c r="A9" s="113">
        <v>1</v>
      </c>
      <c r="B9" s="114">
        <v>46262</v>
      </c>
      <c r="C9" s="115" t="str">
        <f t="shared" si="2"/>
        <v>N24-N22</v>
      </c>
      <c r="D9" s="115" t="s">
        <v>336</v>
      </c>
      <c r="E9" s="115" t="s">
        <v>338</v>
      </c>
      <c r="F9" s="115" t="s">
        <v>337</v>
      </c>
      <c r="G9" s="115">
        <v>1</v>
      </c>
      <c r="H9" s="107" t="str">
        <f>IF(G9="","",IFERROR(VLOOKUP(G9&amp;"",'Presupuesto Base'!$A$7:$G$24,2,FALSE),"Ítem no encontrado"))</f>
        <v>Replanteo y marcación de traza</v>
      </c>
      <c r="I9" s="109" t="str">
        <f>IF(G9="","",IFERROR(VLOOKUP(G9&amp;"",'Presupuesto Base'!$A$7:$G$24,3,FALSE),""))</f>
        <v>ml</v>
      </c>
      <c r="J9" s="30"/>
      <c r="K9" s="32">
        <v>96</v>
      </c>
      <c r="L9" s="108">
        <f>IF(G9="",0,IFERROR(VLOOKUP(G9&amp;"",'Presupuesto Base'!$A$7:$G$24,5,FALSE),0))</f>
        <v>204.64384100747739</v>
      </c>
      <c r="M9" s="108">
        <f t="shared" si="0"/>
        <v>19645.80873671783</v>
      </c>
      <c r="N9" s="30"/>
      <c r="O9" s="30"/>
      <c r="P9" s="33"/>
      <c r="Q9" s="97">
        <f>IFERROR(VLOOKUP(A9,'Historial Certificados'!$A$6:$E$29,5,FALSE),"")</f>
        <v>0</v>
      </c>
      <c r="R9" s="97" t="str">
        <f t="shared" si="1"/>
        <v>ABIERTO</v>
      </c>
    </row>
    <row r="10" spans="1:18">
      <c r="A10" s="113">
        <v>1</v>
      </c>
      <c r="B10" s="114">
        <v>46262</v>
      </c>
      <c r="C10" s="115" t="str">
        <f t="shared" si="2"/>
        <v>N22-N29</v>
      </c>
      <c r="D10" s="115" t="s">
        <v>338</v>
      </c>
      <c r="E10" s="115" t="s">
        <v>332</v>
      </c>
      <c r="F10" s="115" t="s">
        <v>339</v>
      </c>
      <c r="G10" s="115">
        <v>1</v>
      </c>
      <c r="H10" s="107" t="str">
        <f>IF(G10="","",IFERROR(VLOOKUP(G10&amp;"",'Presupuesto Base'!$A$7:$G$24,2,FALSE),"Ítem no encontrado"))</f>
        <v>Replanteo y marcación de traza</v>
      </c>
      <c r="I10" s="109" t="str">
        <f>IF(G10="","",IFERROR(VLOOKUP(G10&amp;"",'Presupuesto Base'!$A$7:$G$24,3,FALSE),""))</f>
        <v>ml</v>
      </c>
      <c r="J10" s="30"/>
      <c r="K10" s="32">
        <v>92</v>
      </c>
      <c r="L10" s="108">
        <f>IF(G10="",0,IFERROR(VLOOKUP(G10&amp;"",'Presupuesto Base'!$A$7:$G$24,5,FALSE),0))</f>
        <v>204.64384100747739</v>
      </c>
      <c r="M10" s="108">
        <f t="shared" si="0"/>
        <v>18827.233372687919</v>
      </c>
      <c r="N10" s="30"/>
      <c r="O10" s="30"/>
      <c r="P10" s="33"/>
      <c r="Q10" s="97">
        <f>IFERROR(VLOOKUP(A10,'Historial Certificados'!$A$6:$E$29,5,FALSE),"")</f>
        <v>0</v>
      </c>
      <c r="R10" s="97" t="str">
        <f t="shared" si="1"/>
        <v>ABIERTO</v>
      </c>
    </row>
    <row r="11" spans="1:18">
      <c r="A11" s="113">
        <v>1</v>
      </c>
      <c r="B11" s="114">
        <v>46262</v>
      </c>
      <c r="C11" s="115" t="str">
        <f t="shared" si="2"/>
        <v>N22-N21</v>
      </c>
      <c r="D11" s="115" t="s">
        <v>338</v>
      </c>
      <c r="E11" s="115" t="s">
        <v>340</v>
      </c>
      <c r="F11" s="115" t="s">
        <v>337</v>
      </c>
      <c r="G11" s="115">
        <v>1</v>
      </c>
      <c r="H11" s="107" t="str">
        <f>IF(G11="","",IFERROR(VLOOKUP(G11&amp;"",'Presupuesto Base'!$A$7:$G$24,2,FALSE),"Ítem no encontrado"))</f>
        <v>Replanteo y marcación de traza</v>
      </c>
      <c r="I11" s="109" t="str">
        <f>IF(G11="","",IFERROR(VLOOKUP(G11&amp;"",'Presupuesto Base'!$A$7:$G$24,3,FALSE),""))</f>
        <v>ml</v>
      </c>
      <c r="J11" s="30"/>
      <c r="K11" s="32">
        <v>97</v>
      </c>
      <c r="L11" s="108">
        <f>IF(G11="",0,IFERROR(VLOOKUP(G11&amp;"",'Presupuesto Base'!$A$7:$G$24,5,FALSE),0))</f>
        <v>204.64384100747739</v>
      </c>
      <c r="M11" s="108">
        <f t="shared" si="0"/>
        <v>19850.452577725307</v>
      </c>
      <c r="N11" s="30"/>
      <c r="O11" s="30"/>
      <c r="P11" s="33"/>
      <c r="Q11" s="97">
        <f>IFERROR(VLOOKUP(A11,'Historial Certificados'!$A$6:$E$29,5,FALSE),"")</f>
        <v>0</v>
      </c>
      <c r="R11" s="97" t="str">
        <f t="shared" si="1"/>
        <v>ABIERTO</v>
      </c>
    </row>
    <row r="12" spans="1:18">
      <c r="A12" s="113">
        <v>1</v>
      </c>
      <c r="B12" s="114">
        <v>46262</v>
      </c>
      <c r="C12" s="115" t="str">
        <f t="shared" si="2"/>
        <v>N21-N20</v>
      </c>
      <c r="D12" s="115" t="s">
        <v>340</v>
      </c>
      <c r="E12" s="115" t="s">
        <v>342</v>
      </c>
      <c r="F12" s="115" t="s">
        <v>337</v>
      </c>
      <c r="G12" s="115">
        <v>1</v>
      </c>
      <c r="H12" s="107" t="str">
        <f>IF(G12="","",IFERROR(VLOOKUP(G12&amp;"",'Presupuesto Base'!$A$7:$G$24,2,FALSE),"Ítem no encontrado"))</f>
        <v>Replanteo y marcación de traza</v>
      </c>
      <c r="I12" s="109" t="str">
        <f>IF(G12="","",IFERROR(VLOOKUP(G12&amp;"",'Presupuesto Base'!$A$7:$G$24,3,FALSE),""))</f>
        <v>ml</v>
      </c>
      <c r="J12" s="30"/>
      <c r="K12" s="32">
        <v>2</v>
      </c>
      <c r="L12" s="108">
        <f>IF(G12="",0,IFERROR(VLOOKUP(G12&amp;"",'Presupuesto Base'!$A$7:$G$24,5,FALSE),0))</f>
        <v>204.64384100747739</v>
      </c>
      <c r="M12" s="108">
        <f t="shared" si="0"/>
        <v>409.28768201495478</v>
      </c>
      <c r="N12" s="30"/>
      <c r="O12" s="30"/>
      <c r="P12" s="33"/>
      <c r="Q12" s="97">
        <f>IFERROR(VLOOKUP(A12,'Historial Certificados'!$A$6:$E$29,5,FALSE),"")</f>
        <v>0</v>
      </c>
      <c r="R12" s="97" t="str">
        <f t="shared" si="1"/>
        <v>ABIERTO</v>
      </c>
    </row>
    <row r="13" spans="1:18">
      <c r="A13" s="113">
        <v>1</v>
      </c>
      <c r="B13" s="114">
        <v>46262</v>
      </c>
      <c r="C13" s="115" t="str">
        <f t="shared" si="2"/>
        <v>N20-N19</v>
      </c>
      <c r="D13" s="115" t="s">
        <v>342</v>
      </c>
      <c r="E13" s="115" t="s">
        <v>343</v>
      </c>
      <c r="F13" s="115" t="s">
        <v>337</v>
      </c>
      <c r="G13" s="115">
        <v>1</v>
      </c>
      <c r="H13" s="107" t="str">
        <f>IF(G13="","",IFERROR(VLOOKUP(G13&amp;"",'Presupuesto Base'!$A$7:$G$24,2,FALSE),"Ítem no encontrado"))</f>
        <v>Replanteo y marcación de traza</v>
      </c>
      <c r="I13" s="109" t="str">
        <f>IF(G13="","",IFERROR(VLOOKUP(G13&amp;"",'Presupuesto Base'!$A$7:$G$24,3,FALSE),""))</f>
        <v>ml</v>
      </c>
      <c r="J13" s="30"/>
      <c r="K13" s="32">
        <v>77</v>
      </c>
      <c r="L13" s="108">
        <f>IF(G13="",0,IFERROR(VLOOKUP(G13&amp;"",'Presupuesto Base'!$A$7:$G$24,5,FALSE),0))</f>
        <v>204.64384100747739</v>
      </c>
      <c r="M13" s="108">
        <f t="shared" si="0"/>
        <v>15757.57575757576</v>
      </c>
      <c r="N13" s="30"/>
      <c r="O13" s="30"/>
      <c r="P13" s="33"/>
      <c r="Q13" s="97">
        <f>IFERROR(VLOOKUP(A13,'Historial Certificados'!$A$6:$E$29,5,FALSE),"")</f>
        <v>0</v>
      </c>
      <c r="R13" s="97" t="str">
        <f t="shared" si="1"/>
        <v>ABIERTO</v>
      </c>
    </row>
    <row r="14" spans="1:18">
      <c r="A14" s="113">
        <v>1</v>
      </c>
      <c r="B14" s="114">
        <v>46262</v>
      </c>
      <c r="C14" s="115" t="str">
        <f t="shared" si="2"/>
        <v>N21-N28</v>
      </c>
      <c r="D14" s="115" t="s">
        <v>340</v>
      </c>
      <c r="E14" s="115" t="s">
        <v>341</v>
      </c>
      <c r="F14" s="115" t="s">
        <v>344</v>
      </c>
      <c r="G14" s="115">
        <v>1</v>
      </c>
      <c r="H14" s="107" t="str">
        <f>IF(G14="","",IFERROR(VLOOKUP(G14&amp;"",'Presupuesto Base'!$A$7:$G$24,2,FALSE),"Ítem no encontrado"))</f>
        <v>Replanteo y marcación de traza</v>
      </c>
      <c r="I14" s="109" t="str">
        <f>IF(G14="","",IFERROR(VLOOKUP(G14&amp;"",'Presupuesto Base'!$A$7:$G$24,3,FALSE),""))</f>
        <v>ml</v>
      </c>
      <c r="J14" s="30"/>
      <c r="K14" s="32">
        <v>102</v>
      </c>
      <c r="L14" s="108">
        <f>IF(G14="",0,IFERROR(VLOOKUP(G14&amp;"",'Presupuesto Base'!$A$7:$G$24,5,FALSE),0))</f>
        <v>204.64384100747739</v>
      </c>
      <c r="M14" s="108">
        <f t="shared" si="0"/>
        <v>20873.671782762693</v>
      </c>
      <c r="N14" s="30"/>
      <c r="O14" s="30"/>
      <c r="P14" s="33"/>
      <c r="Q14" s="97">
        <f>IFERROR(VLOOKUP(A14,'Historial Certificados'!$A$6:$E$29,5,FALSE),"")</f>
        <v>0</v>
      </c>
      <c r="R14" s="97" t="str">
        <f t="shared" si="1"/>
        <v>ABIERTO</v>
      </c>
    </row>
    <row r="15" spans="1:18">
      <c r="A15" s="113">
        <v>1</v>
      </c>
      <c r="B15" s="114">
        <v>46262</v>
      </c>
      <c r="C15" s="115" t="str">
        <f t="shared" ref="C15" si="3">+CONCATENATE(D15,"-",E15)</f>
        <v>N29-N28</v>
      </c>
      <c r="D15" s="115" t="s">
        <v>332</v>
      </c>
      <c r="E15" s="115" t="s">
        <v>341</v>
      </c>
      <c r="F15" s="115" t="s">
        <v>333</v>
      </c>
      <c r="G15" s="115">
        <v>1</v>
      </c>
      <c r="H15" s="107" t="str">
        <f>IF(G15="","",IFERROR(VLOOKUP(G15&amp;"",'Presupuesto Base'!$A$7:$G$24,2,FALSE),"Ítem no encontrado"))</f>
        <v>Replanteo y marcación de traza</v>
      </c>
      <c r="I15" s="109" t="str">
        <f>IF(G15="","",IFERROR(VLOOKUP(G15&amp;"",'Presupuesto Base'!$A$7:$G$24,3,FALSE),""))</f>
        <v>ml</v>
      </c>
      <c r="J15" s="40"/>
      <c r="K15" s="117">
        <v>100</v>
      </c>
      <c r="L15" s="108">
        <f>IF(G15="",0,IFERROR(VLOOKUP(G15&amp;"",'Presupuesto Base'!$A$7:$G$24,5,FALSE),0))</f>
        <v>204.64384100747739</v>
      </c>
      <c r="M15" s="108">
        <f t="shared" si="0"/>
        <v>20464.384100747739</v>
      </c>
      <c r="N15" s="40"/>
      <c r="O15" s="40"/>
      <c r="P15" s="40"/>
      <c r="Q15" s="97"/>
      <c r="R15" s="97"/>
    </row>
    <row r="16" spans="1:18">
      <c r="A16" s="113">
        <v>1</v>
      </c>
      <c r="B16" s="114">
        <v>46262</v>
      </c>
      <c r="C16" s="115" t="str">
        <f t="shared" si="2"/>
        <v>N28-N27</v>
      </c>
      <c r="D16" s="115" t="s">
        <v>341</v>
      </c>
      <c r="E16" s="115" t="s">
        <v>345</v>
      </c>
      <c r="F16" s="115" t="s">
        <v>333</v>
      </c>
      <c r="G16" s="115">
        <v>1</v>
      </c>
      <c r="H16" s="107" t="str">
        <f>IF(G16="","",IFERROR(VLOOKUP(G16&amp;"",'Presupuesto Base'!$A$7:$G$24,2,FALSE),"Ítem no encontrado"))</f>
        <v>Replanteo y marcación de traza</v>
      </c>
      <c r="I16" s="109" t="str">
        <f>IF(G16="","",IFERROR(VLOOKUP(G16&amp;"",'Presupuesto Base'!$A$7:$G$24,3,FALSE),""))</f>
        <v>ml</v>
      </c>
      <c r="J16" s="30"/>
      <c r="K16" s="32">
        <v>82</v>
      </c>
      <c r="L16" s="108">
        <f>IF(G16="",0,IFERROR(VLOOKUP(G16&amp;"",'Presupuesto Base'!$A$7:$G$24,5,FALSE),0))</f>
        <v>204.64384100747739</v>
      </c>
      <c r="M16" s="108">
        <f t="shared" si="0"/>
        <v>16780.794962613145</v>
      </c>
      <c r="N16" s="30"/>
      <c r="O16" s="30"/>
      <c r="P16" s="33"/>
      <c r="Q16" s="97">
        <f>IFERROR(VLOOKUP(A16,'Historial Certificados'!$A$6:$E$29,5,FALSE),"")</f>
        <v>0</v>
      </c>
      <c r="R16" s="97" t="str">
        <f t="shared" si="1"/>
        <v>ABIERTO</v>
      </c>
    </row>
    <row r="17" spans="1:18">
      <c r="A17" s="110">
        <v>1</v>
      </c>
      <c r="B17" s="111">
        <v>46262</v>
      </c>
      <c r="C17" s="112" t="str">
        <f t="shared" si="2"/>
        <v>N30-N29</v>
      </c>
      <c r="D17" s="112" t="s">
        <v>331</v>
      </c>
      <c r="E17" s="112" t="s">
        <v>332</v>
      </c>
      <c r="F17" s="112" t="s">
        <v>333</v>
      </c>
      <c r="G17" s="112">
        <v>2</v>
      </c>
      <c r="H17" s="107" t="str">
        <f>IF(G17="","",IFERROR(VLOOKUP(G17&amp;"",'Presupuesto Base'!$A$7:$G$24,2,FALSE),"Ítem no encontrado"))</f>
        <v>Excavación de zanja</v>
      </c>
      <c r="I17" s="109" t="str">
        <f>IF(G17="","",IFERROR(VLOOKUP(G17&amp;"",'Presupuesto Base'!$A$7:$G$24,3,FALSE),""))</f>
        <v>ml</v>
      </c>
      <c r="J17" s="30"/>
      <c r="K17" s="32">
        <v>106</v>
      </c>
      <c r="L17" s="108">
        <f>IF(G17="",0,IFERROR(VLOOKUP(G17&amp;"",'Presupuesto Base'!$A$7:$G$24,5,FALSE),0))</f>
        <v>3683.5891381345932</v>
      </c>
      <c r="M17" s="108">
        <f t="shared" si="0"/>
        <v>390460.44864226686</v>
      </c>
      <c r="N17" s="30"/>
      <c r="O17" s="30"/>
      <c r="P17" s="33"/>
      <c r="Q17" s="97">
        <f>IFERROR(VLOOKUP(A17,'Historial Certificados'!$A$6:$E$29,5,FALSE),"")</f>
        <v>0</v>
      </c>
      <c r="R17" s="97" t="str">
        <f t="shared" si="1"/>
        <v>ABIERTO</v>
      </c>
    </row>
    <row r="18" spans="1:18">
      <c r="A18" s="110">
        <v>1</v>
      </c>
      <c r="B18" s="111">
        <v>46262</v>
      </c>
      <c r="C18" s="112" t="str">
        <f t="shared" si="2"/>
        <v>N30-N25</v>
      </c>
      <c r="D18" s="112" t="s">
        <v>331</v>
      </c>
      <c r="E18" s="112" t="s">
        <v>334</v>
      </c>
      <c r="F18" s="112" t="s">
        <v>335</v>
      </c>
      <c r="G18" s="112">
        <v>2</v>
      </c>
      <c r="H18" s="107" t="str">
        <f>IF(G18="","",IFERROR(VLOOKUP(G18&amp;"",'Presupuesto Base'!$A$7:$G$24,2,FALSE),"Ítem no encontrado"))</f>
        <v>Excavación de zanja</v>
      </c>
      <c r="I18" s="109" t="str">
        <f>IF(G18="","",IFERROR(VLOOKUP(G18&amp;"",'Presupuesto Base'!$A$7:$G$24,3,FALSE),""))</f>
        <v>ml</v>
      </c>
      <c r="J18" s="30"/>
      <c r="K18" s="32">
        <v>76</v>
      </c>
      <c r="L18" s="108">
        <f>IF(G18="",0,IFERROR(VLOOKUP(G18&amp;"",'Presupuesto Base'!$A$7:$G$24,5,FALSE),0))</f>
        <v>3683.5891381345932</v>
      </c>
      <c r="M18" s="108">
        <f t="shared" si="0"/>
        <v>279952.77449822909</v>
      </c>
      <c r="N18" s="30"/>
      <c r="O18" s="30"/>
      <c r="P18" s="33"/>
      <c r="Q18" s="97">
        <f>IFERROR(VLOOKUP(A18,'Historial Certificados'!$A$6:$E$29,5,FALSE),"")</f>
        <v>0</v>
      </c>
      <c r="R18" s="97" t="str">
        <f t="shared" si="1"/>
        <v>ABIERTO</v>
      </c>
    </row>
    <row r="19" spans="1:18">
      <c r="A19" s="110">
        <v>1</v>
      </c>
      <c r="B19" s="111">
        <v>46262</v>
      </c>
      <c r="C19" s="112" t="str">
        <f t="shared" si="2"/>
        <v>N25-N24</v>
      </c>
      <c r="D19" s="112" t="s">
        <v>334</v>
      </c>
      <c r="E19" s="112" t="s">
        <v>336</v>
      </c>
      <c r="F19" s="112" t="s">
        <v>337</v>
      </c>
      <c r="G19" s="112">
        <v>2</v>
      </c>
      <c r="H19" s="107" t="str">
        <f>IF(G19="","",IFERROR(VLOOKUP(G19&amp;"",'Presupuesto Base'!$A$7:$G$24,2,FALSE),"Ítem no encontrado"))</f>
        <v>Excavación de zanja</v>
      </c>
      <c r="I19" s="109" t="str">
        <f>IF(G19="","",IFERROR(VLOOKUP(G19&amp;"",'Presupuesto Base'!$A$7:$G$24,3,FALSE),""))</f>
        <v>ml</v>
      </c>
      <c r="J19" s="30"/>
      <c r="K19" s="32">
        <v>15</v>
      </c>
      <c r="L19" s="108">
        <f>IF(G19="",0,IFERROR(VLOOKUP(G19&amp;"",'Presupuesto Base'!$A$7:$G$24,5,FALSE),0))</f>
        <v>3683.5891381345932</v>
      </c>
      <c r="M19" s="108">
        <f t="shared" si="0"/>
        <v>55253.837072018898</v>
      </c>
      <c r="N19" s="30"/>
      <c r="O19" s="30"/>
      <c r="P19" s="33"/>
      <c r="Q19" s="97">
        <f>IFERROR(VLOOKUP(A19,'Historial Certificados'!$A$6:$E$29,5,FALSE),"")</f>
        <v>0</v>
      </c>
      <c r="R19" s="97" t="str">
        <f t="shared" si="1"/>
        <v>ABIERTO</v>
      </c>
    </row>
    <row r="20" spans="1:18">
      <c r="A20" s="110">
        <v>1</v>
      </c>
      <c r="B20" s="111">
        <v>46262</v>
      </c>
      <c r="C20" s="112" t="str">
        <f t="shared" si="2"/>
        <v>N24-N22</v>
      </c>
      <c r="D20" s="112" t="s">
        <v>336</v>
      </c>
      <c r="E20" s="112" t="s">
        <v>338</v>
      </c>
      <c r="F20" s="112" t="s">
        <v>337</v>
      </c>
      <c r="G20" s="112">
        <v>2</v>
      </c>
      <c r="H20" s="107" t="str">
        <f>IF(G20="","",IFERROR(VLOOKUP(G20&amp;"",'Presupuesto Base'!$A$7:$G$24,2,FALSE),"Ítem no encontrado"))</f>
        <v>Excavación de zanja</v>
      </c>
      <c r="I20" s="109" t="str">
        <f>IF(G20="","",IFERROR(VLOOKUP(G20&amp;"",'Presupuesto Base'!$A$7:$G$24,3,FALSE),""))</f>
        <v>ml</v>
      </c>
      <c r="J20" s="30"/>
      <c r="K20" s="32">
        <v>96</v>
      </c>
      <c r="L20" s="108">
        <f>IF(G20="",0,IFERROR(VLOOKUP(G20&amp;"",'Presupuesto Base'!$A$7:$G$24,5,FALSE),0))</f>
        <v>3683.5891381345932</v>
      </c>
      <c r="M20" s="108">
        <f t="shared" si="0"/>
        <v>353624.55726092093</v>
      </c>
      <c r="N20" s="30"/>
      <c r="O20" s="30"/>
      <c r="P20" s="33"/>
      <c r="Q20" s="97">
        <f>IFERROR(VLOOKUP(A20,'Historial Certificados'!$A$6:$E$29,5,FALSE),"")</f>
        <v>0</v>
      </c>
      <c r="R20" s="97" t="str">
        <f t="shared" si="1"/>
        <v>ABIERTO</v>
      </c>
    </row>
    <row r="21" spans="1:18">
      <c r="A21" s="110">
        <v>1</v>
      </c>
      <c r="B21" s="111">
        <v>46262</v>
      </c>
      <c r="C21" s="112" t="str">
        <f t="shared" si="2"/>
        <v>N22-N29</v>
      </c>
      <c r="D21" s="112" t="s">
        <v>338</v>
      </c>
      <c r="E21" s="112" t="s">
        <v>332</v>
      </c>
      <c r="F21" s="112" t="s">
        <v>339</v>
      </c>
      <c r="G21" s="112">
        <v>2</v>
      </c>
      <c r="H21" s="107" t="str">
        <f>IF(G21="","",IFERROR(VLOOKUP(G21&amp;"",'Presupuesto Base'!$A$7:$G$24,2,FALSE),"Ítem no encontrado"))</f>
        <v>Excavación de zanja</v>
      </c>
      <c r="I21" s="109" t="str">
        <f>IF(G21="","",IFERROR(VLOOKUP(G21&amp;"",'Presupuesto Base'!$A$7:$G$24,3,FALSE),""))</f>
        <v>ml</v>
      </c>
      <c r="J21" s="30"/>
      <c r="K21" s="32">
        <v>92</v>
      </c>
      <c r="L21" s="108">
        <f>IF(G21="",0,IFERROR(VLOOKUP(G21&amp;"",'Presupuesto Base'!$A$7:$G$24,5,FALSE),0))</f>
        <v>3683.5891381345932</v>
      </c>
      <c r="M21" s="108">
        <f t="shared" si="0"/>
        <v>338890.20070838259</v>
      </c>
      <c r="N21" s="30"/>
      <c r="O21" s="30"/>
      <c r="P21" s="33"/>
      <c r="Q21" s="97">
        <f>IFERROR(VLOOKUP(A21,'Historial Certificados'!$A$6:$E$29,5,FALSE),"")</f>
        <v>0</v>
      </c>
      <c r="R21" s="97" t="str">
        <f t="shared" si="1"/>
        <v>ABIERTO</v>
      </c>
    </row>
    <row r="22" spans="1:18">
      <c r="A22" s="110">
        <v>1</v>
      </c>
      <c r="B22" s="111">
        <v>46262</v>
      </c>
      <c r="C22" s="112" t="str">
        <f t="shared" si="2"/>
        <v>N22-N21</v>
      </c>
      <c r="D22" s="112" t="s">
        <v>338</v>
      </c>
      <c r="E22" s="112" t="s">
        <v>340</v>
      </c>
      <c r="F22" s="112" t="s">
        <v>337</v>
      </c>
      <c r="G22" s="112">
        <v>2</v>
      </c>
      <c r="H22" s="107" t="str">
        <f>IF(G22="","",IFERROR(VLOOKUP(G22&amp;"",'Presupuesto Base'!$A$7:$G$24,2,FALSE),"Ítem no encontrado"))</f>
        <v>Excavación de zanja</v>
      </c>
      <c r="I22" s="109" t="str">
        <f>IF(G22="","",IFERROR(VLOOKUP(G22&amp;"",'Presupuesto Base'!$A$7:$G$24,3,FALSE),""))</f>
        <v>ml</v>
      </c>
      <c r="J22" s="30"/>
      <c r="K22" s="32">
        <v>97</v>
      </c>
      <c r="L22" s="108">
        <f>IF(G22="",0,IFERROR(VLOOKUP(G22&amp;"",'Presupuesto Base'!$A$7:$G$24,5,FALSE),0))</f>
        <v>3683.5891381345932</v>
      </c>
      <c r="M22" s="108">
        <f t="shared" si="0"/>
        <v>357308.14639905555</v>
      </c>
      <c r="N22" s="30"/>
      <c r="O22" s="30"/>
      <c r="P22" s="33"/>
      <c r="Q22" s="97">
        <f>IFERROR(VLOOKUP(A22,'Historial Certificados'!$A$6:$E$29,5,FALSE),"")</f>
        <v>0</v>
      </c>
      <c r="R22" s="97" t="str">
        <f t="shared" si="1"/>
        <v>ABIERTO</v>
      </c>
    </row>
    <row r="23" spans="1:18">
      <c r="A23" s="110">
        <v>1</v>
      </c>
      <c r="B23" s="111">
        <v>46262</v>
      </c>
      <c r="C23" s="112" t="str">
        <f t="shared" si="2"/>
        <v>N21-N20</v>
      </c>
      <c r="D23" s="112" t="s">
        <v>340</v>
      </c>
      <c r="E23" s="112" t="s">
        <v>342</v>
      </c>
      <c r="F23" s="112" t="s">
        <v>337</v>
      </c>
      <c r="G23" s="112">
        <v>2</v>
      </c>
      <c r="H23" s="107" t="str">
        <f>IF(G23="","",IFERROR(VLOOKUP(G23&amp;"",'Presupuesto Base'!$A$7:$G$24,2,FALSE),"Ítem no encontrado"))</f>
        <v>Excavación de zanja</v>
      </c>
      <c r="I23" s="109" t="str">
        <f>IF(G23="","",IFERROR(VLOOKUP(G23&amp;"",'Presupuesto Base'!$A$7:$G$24,3,FALSE),""))</f>
        <v>ml</v>
      </c>
      <c r="J23" s="30"/>
      <c r="K23" s="32">
        <v>2</v>
      </c>
      <c r="L23" s="108">
        <f>IF(G23="",0,IFERROR(VLOOKUP(G23&amp;"",'Presupuesto Base'!$A$7:$G$24,5,FALSE),0))</f>
        <v>3683.5891381345932</v>
      </c>
      <c r="M23" s="108">
        <f t="shared" si="0"/>
        <v>7367.1782762691864</v>
      </c>
      <c r="N23" s="30"/>
      <c r="O23" s="30"/>
      <c r="P23" s="33"/>
      <c r="Q23" s="97">
        <f>IFERROR(VLOOKUP(A23,'Historial Certificados'!$A$6:$E$29,5,FALSE),"")</f>
        <v>0</v>
      </c>
      <c r="R23" s="97" t="str">
        <f t="shared" si="1"/>
        <v>ABIERTO</v>
      </c>
    </row>
    <row r="24" spans="1:18">
      <c r="A24" s="110">
        <v>1</v>
      </c>
      <c r="B24" s="111">
        <v>46262</v>
      </c>
      <c r="C24" s="112" t="str">
        <f t="shared" si="2"/>
        <v>N20-N19</v>
      </c>
      <c r="D24" s="112" t="s">
        <v>342</v>
      </c>
      <c r="E24" s="112" t="s">
        <v>343</v>
      </c>
      <c r="F24" s="112" t="s">
        <v>337</v>
      </c>
      <c r="G24" s="112">
        <v>2</v>
      </c>
      <c r="H24" s="107" t="str">
        <f>IF(G24="","",IFERROR(VLOOKUP(G24&amp;"",'Presupuesto Base'!$A$7:$G$24,2,FALSE),"Ítem no encontrado"))</f>
        <v>Excavación de zanja</v>
      </c>
      <c r="I24" s="109" t="str">
        <f>IF(G24="","",IFERROR(VLOOKUP(G24&amp;"",'Presupuesto Base'!$A$7:$G$24,3,FALSE),""))</f>
        <v>ml</v>
      </c>
      <c r="J24" s="30"/>
      <c r="K24" s="32">
        <v>77</v>
      </c>
      <c r="L24" s="108">
        <f>IF(G24="",0,IFERROR(VLOOKUP(G24&amp;"",'Presupuesto Base'!$A$7:$G$24,5,FALSE),0))</f>
        <v>3683.5891381345932</v>
      </c>
      <c r="M24" s="108">
        <f t="shared" si="0"/>
        <v>283636.36363636371</v>
      </c>
      <c r="N24" s="30"/>
      <c r="O24" s="30"/>
      <c r="P24" s="33"/>
      <c r="Q24" s="97">
        <f>IFERROR(VLOOKUP(A24,'Historial Certificados'!$A$6:$E$29,5,FALSE),"")</f>
        <v>0</v>
      </c>
      <c r="R24" s="97" t="str">
        <f t="shared" si="1"/>
        <v>ABIERTO</v>
      </c>
    </row>
    <row r="25" spans="1:18">
      <c r="A25" s="110">
        <v>1</v>
      </c>
      <c r="B25" s="111">
        <v>46262</v>
      </c>
      <c r="C25" s="112" t="str">
        <f t="shared" si="2"/>
        <v>N21-N28</v>
      </c>
      <c r="D25" s="112" t="s">
        <v>340</v>
      </c>
      <c r="E25" s="112" t="s">
        <v>341</v>
      </c>
      <c r="F25" s="112" t="s">
        <v>344</v>
      </c>
      <c r="G25" s="112">
        <v>2</v>
      </c>
      <c r="H25" s="107" t="str">
        <f>IF(G25="","",IFERROR(VLOOKUP(G25&amp;"",'Presupuesto Base'!$A$7:$G$24,2,FALSE),"Ítem no encontrado"))</f>
        <v>Excavación de zanja</v>
      </c>
      <c r="I25" s="109" t="str">
        <f>IF(G25="","",IFERROR(VLOOKUP(G25&amp;"",'Presupuesto Base'!$A$7:$G$24,3,FALSE),""))</f>
        <v>ml</v>
      </c>
      <c r="J25" s="30"/>
      <c r="K25" s="32">
        <v>102</v>
      </c>
      <c r="L25" s="108">
        <f>IF(G25="",0,IFERROR(VLOOKUP(G25&amp;"",'Presupuesto Base'!$A$7:$G$24,5,FALSE),0))</f>
        <v>3683.5891381345932</v>
      </c>
      <c r="M25" s="108">
        <f t="shared" si="0"/>
        <v>375726.09208972851</v>
      </c>
      <c r="N25" s="30"/>
      <c r="O25" s="30"/>
      <c r="P25" s="33"/>
      <c r="Q25" s="97">
        <f>IFERROR(VLOOKUP(A25,'Historial Certificados'!$A$6:$E$29,5,FALSE),"")</f>
        <v>0</v>
      </c>
      <c r="R25" s="97" t="str">
        <f t="shared" si="1"/>
        <v>ABIERTO</v>
      </c>
    </row>
    <row r="26" spans="1:18">
      <c r="A26" s="118">
        <v>1</v>
      </c>
      <c r="B26" s="111">
        <v>46262</v>
      </c>
      <c r="C26" s="118" t="str">
        <f t="shared" si="2"/>
        <v>N29-N28</v>
      </c>
      <c r="D26" s="118" t="s">
        <v>332</v>
      </c>
      <c r="E26" s="118" t="s">
        <v>341</v>
      </c>
      <c r="F26" s="118" t="s">
        <v>333</v>
      </c>
      <c r="G26" s="118">
        <v>2</v>
      </c>
      <c r="H26" s="107" t="str">
        <f>IF(G26="","",IFERROR(VLOOKUP(G26&amp;"",'Presupuesto Base'!$A$7:$G$24,2,FALSE),"Ítem no encontrado"))</f>
        <v>Excavación de zanja</v>
      </c>
      <c r="I26" s="109" t="str">
        <f>IF(G26="","",IFERROR(VLOOKUP(G26&amp;"",'Presupuesto Base'!$A$7:$G$24,3,FALSE),""))</f>
        <v>ml</v>
      </c>
      <c r="J26" s="40"/>
      <c r="K26" s="117">
        <v>100</v>
      </c>
      <c r="L26" s="108">
        <f>IF(G26="",0,IFERROR(VLOOKUP(G26&amp;"",'Presupuesto Base'!$A$7:$G$24,5,FALSE),0))</f>
        <v>3683.5891381345932</v>
      </c>
      <c r="M26" s="108">
        <f t="shared" ref="M26" si="4">IFERROR(K26*L26,0)</f>
        <v>368358.91381345934</v>
      </c>
      <c r="N26" s="40"/>
      <c r="O26" s="40"/>
      <c r="P26" s="40"/>
      <c r="Q26" s="97"/>
      <c r="R26" s="97"/>
    </row>
    <row r="27" spans="1:18">
      <c r="A27" s="110">
        <v>1</v>
      </c>
      <c r="B27" s="111">
        <v>46262</v>
      </c>
      <c r="C27" s="112" t="str">
        <f t="shared" si="2"/>
        <v>N28-N27</v>
      </c>
      <c r="D27" s="112" t="s">
        <v>341</v>
      </c>
      <c r="E27" s="112" t="s">
        <v>345</v>
      </c>
      <c r="F27" s="112" t="s">
        <v>333</v>
      </c>
      <c r="G27" s="112">
        <v>2</v>
      </c>
      <c r="H27" s="107" t="str">
        <f>IF(G27="","",IFERROR(VLOOKUP(G27&amp;"",'Presupuesto Base'!$A$7:$G$24,2,FALSE),"Ítem no encontrado"))</f>
        <v>Excavación de zanja</v>
      </c>
      <c r="I27" s="109" t="str">
        <f>IF(G27="","",IFERROR(VLOOKUP(G27&amp;"",'Presupuesto Base'!$A$7:$G$24,3,FALSE),""))</f>
        <v>ml</v>
      </c>
      <c r="J27" s="30"/>
      <c r="K27" s="32">
        <v>82</v>
      </c>
      <c r="L27" s="108">
        <f>IF(G27="",0,IFERROR(VLOOKUP(G27&amp;"",'Presupuesto Base'!$A$7:$G$24,5,FALSE),0))</f>
        <v>3683.5891381345932</v>
      </c>
      <c r="M27" s="108">
        <f t="shared" si="0"/>
        <v>302054.30932703667</v>
      </c>
      <c r="N27" s="30"/>
      <c r="O27" s="30"/>
      <c r="P27" s="33"/>
      <c r="Q27" s="97">
        <f>IFERROR(VLOOKUP(A27,'Historial Certificados'!$A$6:$E$29,5,FALSE),"")</f>
        <v>0</v>
      </c>
      <c r="R27" s="97" t="str">
        <f t="shared" si="1"/>
        <v>ABIERTO</v>
      </c>
    </row>
    <row r="28" spans="1:18">
      <c r="A28" s="113">
        <v>1</v>
      </c>
      <c r="B28" s="114">
        <v>46262</v>
      </c>
      <c r="C28" s="115" t="str">
        <f t="shared" ref="C28:C49" si="5">+CONCATENATE(D28,"-",E28)</f>
        <v>N30-N29</v>
      </c>
      <c r="D28" s="115" t="s">
        <v>331</v>
      </c>
      <c r="E28" s="115" t="s">
        <v>332</v>
      </c>
      <c r="F28" s="115" t="s">
        <v>333</v>
      </c>
      <c r="G28" s="115">
        <v>3</v>
      </c>
      <c r="H28" s="107" t="str">
        <f>IF(G28="","",IFERROR(VLOOKUP(G28&amp;"",'Presupuesto Base'!$A$7:$G$24,2,FALSE),"Ítem no encontrado"))</f>
        <v>Nivelación y conformación del fondo de zanja</v>
      </c>
      <c r="I28" s="107" t="str">
        <f>IF(G28="","",IFERROR(VLOOKUP(G28&amp;"",'Presupuesto Base'!$A$7:$G$24,3,FALSE),""))</f>
        <v>ml</v>
      </c>
      <c r="J28" s="30"/>
      <c r="K28" s="32">
        <v>106</v>
      </c>
      <c r="L28" s="108">
        <f>IF(G28="",0,IFERROR(VLOOKUP(G28&amp;"",'Presupuesto Base'!$A$7:$G$24,5,FALSE),0))</f>
        <v>477.50229568411396</v>
      </c>
      <c r="M28" s="108">
        <f t="shared" si="0"/>
        <v>50615.243342516078</v>
      </c>
      <c r="N28" s="30"/>
      <c r="O28" s="30"/>
      <c r="P28" s="33"/>
      <c r="Q28" s="97">
        <f>IFERROR(VLOOKUP(A28,'Historial Certificados'!$A$6:$E$29,5,FALSE),"")</f>
        <v>0</v>
      </c>
      <c r="R28" s="97" t="str">
        <f t="shared" si="1"/>
        <v>ABIERTO</v>
      </c>
    </row>
    <row r="29" spans="1:18">
      <c r="A29" s="113">
        <v>1</v>
      </c>
      <c r="B29" s="114">
        <v>46262</v>
      </c>
      <c r="C29" s="115" t="str">
        <f t="shared" si="5"/>
        <v>N30-N25</v>
      </c>
      <c r="D29" s="115" t="s">
        <v>331</v>
      </c>
      <c r="E29" s="115" t="s">
        <v>334</v>
      </c>
      <c r="F29" s="115" t="s">
        <v>335</v>
      </c>
      <c r="G29" s="115">
        <v>3</v>
      </c>
      <c r="H29" s="107" t="str">
        <f>IF(G29="","",IFERROR(VLOOKUP(G29&amp;"",'Presupuesto Base'!$A$7:$G$24,2,FALSE),"Ítem no encontrado"))</f>
        <v>Nivelación y conformación del fondo de zanja</v>
      </c>
      <c r="I29" s="107" t="str">
        <f>IF(G29="","",IFERROR(VLOOKUP(G29&amp;"",'Presupuesto Base'!$A$7:$G$24,3,FALSE),""))</f>
        <v>ml</v>
      </c>
      <c r="J29" s="30"/>
      <c r="K29" s="32">
        <v>76</v>
      </c>
      <c r="L29" s="108">
        <f>IF(G29="",0,IFERROR(VLOOKUP(G29&amp;"",'Presupuesto Base'!$A$7:$G$24,5,FALSE),0))</f>
        <v>477.50229568411396</v>
      </c>
      <c r="M29" s="108">
        <f t="shared" si="0"/>
        <v>36290.174471992665</v>
      </c>
      <c r="N29" s="30"/>
      <c r="O29" s="30"/>
      <c r="P29" s="33"/>
      <c r="Q29" s="97">
        <f>IFERROR(VLOOKUP(A29,'Historial Certificados'!$A$6:$E$29,5,FALSE),"")</f>
        <v>0</v>
      </c>
      <c r="R29" s="97" t="str">
        <f t="shared" si="1"/>
        <v>ABIERTO</v>
      </c>
    </row>
    <row r="30" spans="1:18">
      <c r="A30" s="113">
        <v>1</v>
      </c>
      <c r="B30" s="114">
        <v>46262</v>
      </c>
      <c r="C30" s="115" t="str">
        <f t="shared" si="5"/>
        <v>N25-N24</v>
      </c>
      <c r="D30" s="115" t="s">
        <v>334</v>
      </c>
      <c r="E30" s="115" t="s">
        <v>336</v>
      </c>
      <c r="F30" s="115" t="s">
        <v>337</v>
      </c>
      <c r="G30" s="115">
        <v>3</v>
      </c>
      <c r="H30" s="107" t="str">
        <f>IF(G30="","",IFERROR(VLOOKUP(G30&amp;"",'Presupuesto Base'!$A$7:$G$24,2,FALSE),"Ítem no encontrado"))</f>
        <v>Nivelación y conformación del fondo de zanja</v>
      </c>
      <c r="I30" s="107" t="str">
        <f>IF(G30="","",IFERROR(VLOOKUP(G30&amp;"",'Presupuesto Base'!$A$7:$G$24,3,FALSE),""))</f>
        <v>ml</v>
      </c>
      <c r="J30" s="30"/>
      <c r="K30" s="32">
        <v>15</v>
      </c>
      <c r="L30" s="108">
        <f>IF(G30="",0,IFERROR(VLOOKUP(G30&amp;"",'Presupuesto Base'!$A$7:$G$24,5,FALSE),0))</f>
        <v>477.50229568411396</v>
      </c>
      <c r="M30" s="108">
        <f t="shared" si="0"/>
        <v>7162.5344352617094</v>
      </c>
      <c r="N30" s="30"/>
      <c r="O30" s="30"/>
      <c r="P30" s="33"/>
      <c r="Q30" s="97">
        <f>IFERROR(VLOOKUP(A30,'Historial Certificados'!$A$6:$E$29,5,FALSE),"")</f>
        <v>0</v>
      </c>
      <c r="R30" s="97" t="str">
        <f t="shared" si="1"/>
        <v>ABIERTO</v>
      </c>
    </row>
    <row r="31" spans="1:18">
      <c r="A31" s="113">
        <v>1</v>
      </c>
      <c r="B31" s="114">
        <v>46262</v>
      </c>
      <c r="C31" s="115" t="str">
        <f t="shared" si="5"/>
        <v>N24-N22</v>
      </c>
      <c r="D31" s="115" t="s">
        <v>336</v>
      </c>
      <c r="E31" s="115" t="s">
        <v>338</v>
      </c>
      <c r="F31" s="115" t="s">
        <v>337</v>
      </c>
      <c r="G31" s="115">
        <v>3</v>
      </c>
      <c r="H31" s="107" t="str">
        <f>IF(G31="","",IFERROR(VLOOKUP(G31&amp;"",'Presupuesto Base'!$A$7:$G$24,2,FALSE),"Ítem no encontrado"))</f>
        <v>Nivelación y conformación del fondo de zanja</v>
      </c>
      <c r="I31" s="107" t="str">
        <f>IF(G31="","",IFERROR(VLOOKUP(G31&amp;"",'Presupuesto Base'!$A$7:$G$24,3,FALSE),""))</f>
        <v>ml</v>
      </c>
      <c r="J31" s="30"/>
      <c r="K31" s="32">
        <v>96</v>
      </c>
      <c r="L31" s="108">
        <f>IF(G31="",0,IFERROR(VLOOKUP(G31&amp;"",'Presupuesto Base'!$A$7:$G$24,5,FALSE),0))</f>
        <v>477.50229568411396</v>
      </c>
      <c r="M31" s="108">
        <f t="shared" si="0"/>
        <v>45840.22038567494</v>
      </c>
      <c r="N31" s="30"/>
      <c r="O31" s="30"/>
      <c r="P31" s="33"/>
      <c r="Q31" s="97">
        <f>IFERROR(VLOOKUP(A31,'Historial Certificados'!$A$6:$E$29,5,FALSE),"")</f>
        <v>0</v>
      </c>
      <c r="R31" s="97" t="str">
        <f t="shared" si="1"/>
        <v>ABIERTO</v>
      </c>
    </row>
    <row r="32" spans="1:18">
      <c r="A32" s="113">
        <v>1</v>
      </c>
      <c r="B32" s="114">
        <v>46262</v>
      </c>
      <c r="C32" s="115" t="str">
        <f t="shared" si="5"/>
        <v>N22-N29</v>
      </c>
      <c r="D32" s="115" t="s">
        <v>338</v>
      </c>
      <c r="E32" s="115" t="s">
        <v>332</v>
      </c>
      <c r="F32" s="115" t="s">
        <v>339</v>
      </c>
      <c r="G32" s="115">
        <v>3</v>
      </c>
      <c r="H32" s="107" t="str">
        <f>IF(G32="","",IFERROR(VLOOKUP(G32&amp;"",'Presupuesto Base'!$A$7:$G$24,2,FALSE),"Ítem no encontrado"))</f>
        <v>Nivelación y conformación del fondo de zanja</v>
      </c>
      <c r="I32" s="107" t="str">
        <f>IF(G32="","",IFERROR(VLOOKUP(G32&amp;"",'Presupuesto Base'!$A$7:$G$24,3,FALSE),""))</f>
        <v>ml</v>
      </c>
      <c r="J32" s="30"/>
      <c r="K32" s="32">
        <v>92</v>
      </c>
      <c r="L32" s="108">
        <f>IF(G32="",0,IFERROR(VLOOKUP(G32&amp;"",'Presupuesto Base'!$A$7:$G$24,5,FALSE),0))</f>
        <v>477.50229568411396</v>
      </c>
      <c r="M32" s="108">
        <f t="shared" si="0"/>
        <v>43930.211202938488</v>
      </c>
      <c r="N32" s="30"/>
      <c r="O32" s="30"/>
      <c r="P32" s="33"/>
      <c r="Q32" s="97">
        <f>IFERROR(VLOOKUP(A32,'Historial Certificados'!$A$6:$E$29,5,FALSE),"")</f>
        <v>0</v>
      </c>
      <c r="R32" s="97" t="str">
        <f t="shared" si="1"/>
        <v>ABIERTO</v>
      </c>
    </row>
    <row r="33" spans="1:18">
      <c r="A33" s="113">
        <v>1</v>
      </c>
      <c r="B33" s="114">
        <v>46262</v>
      </c>
      <c r="C33" s="115" t="str">
        <f t="shared" si="5"/>
        <v>N22-N21</v>
      </c>
      <c r="D33" s="115" t="s">
        <v>338</v>
      </c>
      <c r="E33" s="115" t="s">
        <v>340</v>
      </c>
      <c r="F33" s="115" t="s">
        <v>337</v>
      </c>
      <c r="G33" s="115">
        <v>3</v>
      </c>
      <c r="H33" s="107" t="str">
        <f>IF(G33="","",IFERROR(VLOOKUP(G33&amp;"",'Presupuesto Base'!$A$7:$G$24,2,FALSE),"Ítem no encontrado"))</f>
        <v>Nivelación y conformación del fondo de zanja</v>
      </c>
      <c r="I33" s="107" t="str">
        <f>IF(G33="","",IFERROR(VLOOKUP(G33&amp;"",'Presupuesto Base'!$A$7:$G$24,3,FALSE),""))</f>
        <v>ml</v>
      </c>
      <c r="J33" s="30"/>
      <c r="K33" s="32">
        <v>97</v>
      </c>
      <c r="L33" s="108">
        <f>IF(G33="",0,IFERROR(VLOOKUP(G33&amp;"",'Presupuesto Base'!$A$7:$G$24,5,FALSE),0))</f>
        <v>477.50229568411396</v>
      </c>
      <c r="M33" s="108">
        <f t="shared" si="0"/>
        <v>46317.722681359053</v>
      </c>
      <c r="N33" s="30"/>
      <c r="O33" s="30"/>
      <c r="P33" s="33"/>
      <c r="Q33" s="97">
        <f>IFERROR(VLOOKUP(A33,'Historial Certificados'!$A$6:$E$29,5,FALSE),"")</f>
        <v>0</v>
      </c>
      <c r="R33" s="97" t="str">
        <f t="shared" si="1"/>
        <v>ABIERTO</v>
      </c>
    </row>
    <row r="34" spans="1:18">
      <c r="A34" s="113">
        <v>1</v>
      </c>
      <c r="B34" s="114">
        <v>46262</v>
      </c>
      <c r="C34" s="115" t="str">
        <f t="shared" si="5"/>
        <v>N21-N20</v>
      </c>
      <c r="D34" s="115" t="s">
        <v>340</v>
      </c>
      <c r="E34" s="115" t="s">
        <v>342</v>
      </c>
      <c r="F34" s="115" t="s">
        <v>337</v>
      </c>
      <c r="G34" s="115">
        <v>3</v>
      </c>
      <c r="H34" s="107" t="str">
        <f>IF(G34="","",IFERROR(VLOOKUP(G34&amp;"",'Presupuesto Base'!$A$7:$G$24,2,FALSE),"Ítem no encontrado"))</f>
        <v>Nivelación y conformación del fondo de zanja</v>
      </c>
      <c r="I34" s="107" t="str">
        <f>IF(G34="","",IFERROR(VLOOKUP(G34&amp;"",'Presupuesto Base'!$A$7:$G$24,3,FALSE),""))</f>
        <v>ml</v>
      </c>
      <c r="J34" s="30"/>
      <c r="K34" s="32">
        <v>2</v>
      </c>
      <c r="L34" s="108">
        <f>IF(G34="",0,IFERROR(VLOOKUP(G34&amp;"",'Presupuesto Base'!$A$7:$G$24,5,FALSE),0))</f>
        <v>477.50229568411396</v>
      </c>
      <c r="M34" s="108">
        <f t="shared" si="0"/>
        <v>955.00459136822792</v>
      </c>
      <c r="N34" s="30"/>
      <c r="O34" s="30"/>
      <c r="P34" s="33"/>
      <c r="Q34" s="97">
        <f>IFERROR(VLOOKUP(A34,'Historial Certificados'!$A$6:$E$29,5,FALSE),"")</f>
        <v>0</v>
      </c>
      <c r="R34" s="97" t="str">
        <f t="shared" si="1"/>
        <v>ABIERTO</v>
      </c>
    </row>
    <row r="35" spans="1:18">
      <c r="A35" s="113">
        <v>1</v>
      </c>
      <c r="B35" s="114">
        <v>46262</v>
      </c>
      <c r="C35" s="115" t="str">
        <f t="shared" si="5"/>
        <v>N20-N19</v>
      </c>
      <c r="D35" s="115" t="s">
        <v>342</v>
      </c>
      <c r="E35" s="115" t="s">
        <v>343</v>
      </c>
      <c r="F35" s="115" t="s">
        <v>337</v>
      </c>
      <c r="G35" s="115">
        <v>3</v>
      </c>
      <c r="H35" s="107" t="str">
        <f>IF(G35="","",IFERROR(VLOOKUP(G35&amp;"",'Presupuesto Base'!$A$7:$G$24,2,FALSE),"Ítem no encontrado"))</f>
        <v>Nivelación y conformación del fondo de zanja</v>
      </c>
      <c r="I35" s="107" t="str">
        <f>IF(G35="","",IFERROR(VLOOKUP(G35&amp;"",'Presupuesto Base'!$A$7:$G$24,3,FALSE),""))</f>
        <v>ml</v>
      </c>
      <c r="J35" s="30"/>
      <c r="K35" s="32">
        <v>77</v>
      </c>
      <c r="L35" s="108">
        <f>IF(G35="",0,IFERROR(VLOOKUP(G35&amp;"",'Presupuesto Base'!$A$7:$G$24,5,FALSE),0))</f>
        <v>477.50229568411396</v>
      </c>
      <c r="M35" s="108">
        <f t="shared" si="0"/>
        <v>36767.676767676778</v>
      </c>
      <c r="N35" s="30"/>
      <c r="O35" s="30"/>
      <c r="P35" s="33"/>
      <c r="Q35" s="97">
        <f>IFERROR(VLOOKUP(A35,'Historial Certificados'!$A$6:$E$29,5,FALSE),"")</f>
        <v>0</v>
      </c>
      <c r="R35" s="97" t="str">
        <f t="shared" si="1"/>
        <v>ABIERTO</v>
      </c>
    </row>
    <row r="36" spans="1:18">
      <c r="A36" s="113">
        <v>1</v>
      </c>
      <c r="B36" s="114">
        <v>46262</v>
      </c>
      <c r="C36" s="115" t="str">
        <f t="shared" si="5"/>
        <v>N21-N28</v>
      </c>
      <c r="D36" s="115" t="s">
        <v>340</v>
      </c>
      <c r="E36" s="115" t="s">
        <v>341</v>
      </c>
      <c r="F36" s="115" t="s">
        <v>344</v>
      </c>
      <c r="G36" s="115">
        <v>3</v>
      </c>
      <c r="H36" s="107" t="str">
        <f>IF(G36="","",IFERROR(VLOOKUP(G36&amp;"",'Presupuesto Base'!$A$7:$G$24,2,FALSE),"Ítem no encontrado"))</f>
        <v>Nivelación y conformación del fondo de zanja</v>
      </c>
      <c r="I36" s="107" t="str">
        <f>IF(G36="","",IFERROR(VLOOKUP(G36&amp;"",'Presupuesto Base'!$A$7:$G$24,3,FALSE),""))</f>
        <v>ml</v>
      </c>
      <c r="J36" s="30"/>
      <c r="K36" s="32">
        <v>102</v>
      </c>
      <c r="L36" s="108">
        <f>IF(G36="",0,IFERROR(VLOOKUP(G36&amp;"",'Presupuesto Base'!$A$7:$G$24,5,FALSE),0))</f>
        <v>477.50229568411396</v>
      </c>
      <c r="M36" s="108">
        <f t="shared" si="0"/>
        <v>48705.234159779626</v>
      </c>
      <c r="N36" s="30"/>
      <c r="O36" s="30"/>
      <c r="P36" s="33"/>
      <c r="Q36" s="97">
        <f>IFERROR(VLOOKUP(A36,'Historial Certificados'!$A$6:$E$29,5,FALSE),"")</f>
        <v>0</v>
      </c>
      <c r="R36" s="97" t="str">
        <f t="shared" si="1"/>
        <v>ABIERTO</v>
      </c>
    </row>
    <row r="37" spans="1:18">
      <c r="A37" s="113">
        <v>1</v>
      </c>
      <c r="B37" s="114">
        <v>46262</v>
      </c>
      <c r="C37" s="115" t="str">
        <f t="shared" si="5"/>
        <v>N29-N28</v>
      </c>
      <c r="D37" s="115" t="s">
        <v>332</v>
      </c>
      <c r="E37" s="115" t="s">
        <v>341</v>
      </c>
      <c r="F37" s="115" t="s">
        <v>333</v>
      </c>
      <c r="G37" s="116">
        <v>3</v>
      </c>
      <c r="H37" s="107" t="str">
        <f>IF(G37="","",IFERROR(VLOOKUP(G37&amp;"",'Presupuesto Base'!$A$7:$G$24,2,FALSE),"Ítem no encontrado"))</f>
        <v>Nivelación y conformación del fondo de zanja</v>
      </c>
      <c r="I37" s="107" t="str">
        <f>IF(G37="","",IFERROR(VLOOKUP(G37&amp;"",'Presupuesto Base'!$A$7:$G$24,3,FALSE),""))</f>
        <v>ml</v>
      </c>
      <c r="J37" s="40"/>
      <c r="K37" s="117">
        <v>100</v>
      </c>
      <c r="L37" s="108">
        <f>IF(G37="",0,IFERROR(VLOOKUP(G37&amp;"",'Presupuesto Base'!$A$7:$G$24,5,FALSE),0))</f>
        <v>477.50229568411396</v>
      </c>
      <c r="M37" s="108">
        <f t="shared" ref="M37" si="6">IFERROR(K37*L37,0)</f>
        <v>47750.229568411392</v>
      </c>
      <c r="N37" s="40"/>
      <c r="O37" s="40"/>
      <c r="P37" s="40"/>
      <c r="Q37" s="97"/>
      <c r="R37" s="97"/>
    </row>
    <row r="38" spans="1:18">
      <c r="A38" s="113">
        <v>1</v>
      </c>
      <c r="B38" s="114">
        <v>46262</v>
      </c>
      <c r="C38" s="115" t="str">
        <f t="shared" si="5"/>
        <v>N28-N27</v>
      </c>
      <c r="D38" s="115" t="s">
        <v>341</v>
      </c>
      <c r="E38" s="115" t="s">
        <v>345</v>
      </c>
      <c r="F38" s="115" t="s">
        <v>333</v>
      </c>
      <c r="G38" s="115">
        <v>3</v>
      </c>
      <c r="H38" s="107" t="str">
        <f>IF(G38="","",IFERROR(VLOOKUP(G38&amp;"",'Presupuesto Base'!$A$7:$G$24,2,FALSE),"Ítem no encontrado"))</f>
        <v>Nivelación y conformación del fondo de zanja</v>
      </c>
      <c r="I38" s="107" t="str">
        <f>IF(G38="","",IFERROR(VLOOKUP(G38&amp;"",'Presupuesto Base'!$A$7:$G$24,3,FALSE),""))</f>
        <v>ml</v>
      </c>
      <c r="J38" s="30"/>
      <c r="K38" s="32">
        <v>82</v>
      </c>
      <c r="L38" s="108">
        <f>IF(G38="",0,IFERROR(VLOOKUP(G38&amp;"",'Presupuesto Base'!$A$7:$G$24,5,FALSE),0))</f>
        <v>477.50229568411396</v>
      </c>
      <c r="M38" s="108">
        <f t="shared" si="0"/>
        <v>39155.188246097343</v>
      </c>
      <c r="N38" s="30"/>
      <c r="O38" s="30"/>
      <c r="P38" s="33"/>
      <c r="Q38" s="97">
        <f>IFERROR(VLOOKUP(A38,'Historial Certificados'!$A$6:$E$29,5,FALSE),"")</f>
        <v>0</v>
      </c>
      <c r="R38" s="97" t="str">
        <f t="shared" si="1"/>
        <v>ABIERTO</v>
      </c>
    </row>
    <row r="39" spans="1:18">
      <c r="A39" s="110">
        <v>1</v>
      </c>
      <c r="B39" s="111">
        <v>46262</v>
      </c>
      <c r="C39" s="112" t="str">
        <f t="shared" si="5"/>
        <v>N30-N29</v>
      </c>
      <c r="D39" s="112" t="s">
        <v>331</v>
      </c>
      <c r="E39" s="112" t="s">
        <v>332</v>
      </c>
      <c r="F39" s="112" t="s">
        <v>333</v>
      </c>
      <c r="G39" s="112">
        <v>4</v>
      </c>
      <c r="H39" s="107" t="str">
        <f>IF(G39="","",IFERROR(VLOOKUP(G39&amp;"",'Presupuesto Base'!$A$7:$G$24,2,FALSE),"Ítem no encontrado"))</f>
        <v>Cama de asiento compactada</v>
      </c>
      <c r="I39" s="107" t="str">
        <f>IF(G39="","",IFERROR(VLOOKUP(G39&amp;"",'Presupuesto Base'!$A$7:$G$24,3,FALSE),""))</f>
        <v>ml</v>
      </c>
      <c r="J39" s="30"/>
      <c r="K39" s="32">
        <v>106</v>
      </c>
      <c r="L39" s="108">
        <f>IF(G39="",0,IFERROR(VLOOKUP(G39&amp;"",'Presupuesto Base'!$A$7:$G$24,5,FALSE),0))</f>
        <v>1705.3653417289784</v>
      </c>
      <c r="M39" s="108">
        <f t="shared" si="0"/>
        <v>180768.72622327172</v>
      </c>
      <c r="N39" s="30"/>
      <c r="O39" s="30"/>
      <c r="P39" s="33"/>
      <c r="Q39" s="97">
        <f>IFERROR(VLOOKUP(A39,'Historial Certificados'!$A$6:$E$29,5,FALSE),"")</f>
        <v>0</v>
      </c>
      <c r="R39" s="97" t="str">
        <f t="shared" si="1"/>
        <v>ABIERTO</v>
      </c>
    </row>
    <row r="40" spans="1:18">
      <c r="A40" s="110">
        <v>1</v>
      </c>
      <c r="B40" s="111">
        <v>46262</v>
      </c>
      <c r="C40" s="112" t="str">
        <f t="shared" si="5"/>
        <v>N30-N25</v>
      </c>
      <c r="D40" s="112" t="s">
        <v>331</v>
      </c>
      <c r="E40" s="112" t="s">
        <v>334</v>
      </c>
      <c r="F40" s="112" t="s">
        <v>335</v>
      </c>
      <c r="G40" s="112">
        <v>4</v>
      </c>
      <c r="H40" s="107" t="str">
        <f>IF(G40="","",IFERROR(VLOOKUP(G40&amp;"",'Presupuesto Base'!$A$7:$G$24,2,FALSE),"Ítem no encontrado"))</f>
        <v>Cama de asiento compactada</v>
      </c>
      <c r="I40" s="107" t="str">
        <f>IF(G40="","",IFERROR(VLOOKUP(G40&amp;"",'Presupuesto Base'!$A$7:$G$24,3,FALSE),""))</f>
        <v>ml</v>
      </c>
      <c r="J40" s="30"/>
      <c r="K40" s="32">
        <v>76</v>
      </c>
      <c r="L40" s="108">
        <f>IF(G40="",0,IFERROR(VLOOKUP(G40&amp;"",'Presupuesto Base'!$A$7:$G$24,5,FALSE),0))</f>
        <v>1705.3653417289784</v>
      </c>
      <c r="M40" s="108">
        <f t="shared" si="0"/>
        <v>129607.76597140236</v>
      </c>
      <c r="N40" s="30"/>
      <c r="O40" s="30"/>
      <c r="P40" s="33"/>
      <c r="Q40" s="97">
        <f>IFERROR(VLOOKUP(A40,'Historial Certificados'!$A$6:$E$29,5,FALSE),"")</f>
        <v>0</v>
      </c>
      <c r="R40" s="97" t="str">
        <f t="shared" si="1"/>
        <v>ABIERTO</v>
      </c>
    </row>
    <row r="41" spans="1:18">
      <c r="A41" s="110">
        <v>1</v>
      </c>
      <c r="B41" s="111">
        <v>46262</v>
      </c>
      <c r="C41" s="112" t="str">
        <f t="shared" si="5"/>
        <v>N25-N24</v>
      </c>
      <c r="D41" s="112" t="s">
        <v>334</v>
      </c>
      <c r="E41" s="112" t="s">
        <v>336</v>
      </c>
      <c r="F41" s="112" t="s">
        <v>337</v>
      </c>
      <c r="G41" s="112">
        <v>4</v>
      </c>
      <c r="H41" s="107" t="str">
        <f>IF(G41="","",IFERROR(VLOOKUP(G41&amp;"",'Presupuesto Base'!$A$7:$G$24,2,FALSE),"Ítem no encontrado"))</f>
        <v>Cama de asiento compactada</v>
      </c>
      <c r="I41" s="107" t="str">
        <f>IF(G41="","",IFERROR(VLOOKUP(G41&amp;"",'Presupuesto Base'!$A$7:$G$24,3,FALSE),""))</f>
        <v>ml</v>
      </c>
      <c r="J41" s="30"/>
      <c r="K41" s="32">
        <v>15</v>
      </c>
      <c r="L41" s="108">
        <f>IF(G41="",0,IFERROR(VLOOKUP(G41&amp;"",'Presupuesto Base'!$A$7:$G$24,5,FALSE),0))</f>
        <v>1705.3653417289784</v>
      </c>
      <c r="M41" s="108">
        <f t="shared" si="0"/>
        <v>25580.480125934675</v>
      </c>
      <c r="N41" s="30"/>
      <c r="O41" s="30"/>
      <c r="P41" s="33"/>
      <c r="Q41" s="97">
        <f>IFERROR(VLOOKUP(A41,'Historial Certificados'!$A$6:$E$29,5,FALSE),"")</f>
        <v>0</v>
      </c>
      <c r="R41" s="97" t="str">
        <f t="shared" si="1"/>
        <v>ABIERTO</v>
      </c>
    </row>
    <row r="42" spans="1:18">
      <c r="A42" s="110">
        <v>1</v>
      </c>
      <c r="B42" s="111">
        <v>46262</v>
      </c>
      <c r="C42" s="112" t="str">
        <f t="shared" si="5"/>
        <v>N24-N22</v>
      </c>
      <c r="D42" s="112" t="s">
        <v>336</v>
      </c>
      <c r="E42" s="112" t="s">
        <v>338</v>
      </c>
      <c r="F42" s="112" t="s">
        <v>337</v>
      </c>
      <c r="G42" s="112">
        <v>4</v>
      </c>
      <c r="H42" s="107" t="str">
        <f>IF(G42="","",IFERROR(VLOOKUP(G42&amp;"",'Presupuesto Base'!$A$7:$G$24,2,FALSE),"Ítem no encontrado"))</f>
        <v>Cama de asiento compactada</v>
      </c>
      <c r="I42" s="107" t="str">
        <f>IF(G42="","",IFERROR(VLOOKUP(G42&amp;"",'Presupuesto Base'!$A$7:$G$24,3,FALSE),""))</f>
        <v>ml</v>
      </c>
      <c r="J42" s="30"/>
      <c r="K42" s="32">
        <v>96</v>
      </c>
      <c r="L42" s="108">
        <f>IF(G42="",0,IFERROR(VLOOKUP(G42&amp;"",'Presupuesto Base'!$A$7:$G$24,5,FALSE),0))</f>
        <v>1705.3653417289784</v>
      </c>
      <c r="M42" s="108">
        <f t="shared" si="0"/>
        <v>163715.07280598191</v>
      </c>
      <c r="N42" s="30"/>
      <c r="O42" s="30"/>
      <c r="P42" s="33"/>
      <c r="Q42" s="97">
        <f>IFERROR(VLOOKUP(A42,'Historial Certificados'!$A$6:$E$29,5,FALSE),"")</f>
        <v>0</v>
      </c>
      <c r="R42" s="97" t="str">
        <f t="shared" si="1"/>
        <v>ABIERTO</v>
      </c>
    </row>
    <row r="43" spans="1:18">
      <c r="A43" s="110">
        <v>1</v>
      </c>
      <c r="B43" s="111">
        <v>46262</v>
      </c>
      <c r="C43" s="112" t="str">
        <f t="shared" si="5"/>
        <v>N22-N29</v>
      </c>
      <c r="D43" s="112" t="s">
        <v>338</v>
      </c>
      <c r="E43" s="112" t="s">
        <v>332</v>
      </c>
      <c r="F43" s="112" t="s">
        <v>339</v>
      </c>
      <c r="G43" s="112">
        <v>4</v>
      </c>
      <c r="H43" s="107" t="str">
        <f>IF(G43="","",IFERROR(VLOOKUP(G43&amp;"",'Presupuesto Base'!$A$7:$G$24,2,FALSE),"Ítem no encontrado"))</f>
        <v>Cama de asiento compactada</v>
      </c>
      <c r="I43" s="107" t="str">
        <f>IF(G43="","",IFERROR(VLOOKUP(G43&amp;"",'Presupuesto Base'!$A$7:$G$24,3,FALSE),""))</f>
        <v>ml</v>
      </c>
      <c r="J43" s="30"/>
      <c r="K43" s="32">
        <v>92</v>
      </c>
      <c r="L43" s="108">
        <f>IF(G43="",0,IFERROR(VLOOKUP(G43&amp;"",'Presupuesto Base'!$A$7:$G$24,5,FALSE),0))</f>
        <v>1705.3653417289784</v>
      </c>
      <c r="M43" s="108">
        <f t="shared" si="0"/>
        <v>156893.61143906601</v>
      </c>
      <c r="N43" s="30"/>
      <c r="O43" s="30"/>
      <c r="P43" s="33"/>
      <c r="Q43" s="97">
        <f>IFERROR(VLOOKUP(A43,'Historial Certificados'!$A$6:$E$29,5,FALSE),"")</f>
        <v>0</v>
      </c>
      <c r="R43" s="97" t="str">
        <f t="shared" si="1"/>
        <v>ABIERTO</v>
      </c>
    </row>
    <row r="44" spans="1:18">
      <c r="A44" s="110">
        <v>1</v>
      </c>
      <c r="B44" s="111">
        <v>46262</v>
      </c>
      <c r="C44" s="112" t="str">
        <f t="shared" si="5"/>
        <v>N22-N21</v>
      </c>
      <c r="D44" s="112" t="s">
        <v>338</v>
      </c>
      <c r="E44" s="112" t="s">
        <v>340</v>
      </c>
      <c r="F44" s="112" t="s">
        <v>337</v>
      </c>
      <c r="G44" s="112">
        <v>4</v>
      </c>
      <c r="H44" s="107" t="str">
        <f>IF(G44="","",IFERROR(VLOOKUP(G44&amp;"",'Presupuesto Base'!$A$7:$G$24,2,FALSE),"Ítem no encontrado"))</f>
        <v>Cama de asiento compactada</v>
      </c>
      <c r="I44" s="107" t="str">
        <f>IF(G44="","",IFERROR(VLOOKUP(G44&amp;"",'Presupuesto Base'!$A$7:$G$24,3,FALSE),""))</f>
        <v>ml</v>
      </c>
      <c r="J44" s="30"/>
      <c r="K44" s="32">
        <v>97</v>
      </c>
      <c r="L44" s="108">
        <f>IF(G44="",0,IFERROR(VLOOKUP(G44&amp;"",'Presupuesto Base'!$A$7:$G$24,5,FALSE),0))</f>
        <v>1705.3653417289784</v>
      </c>
      <c r="M44" s="108">
        <f t="shared" si="0"/>
        <v>165420.4381477109</v>
      </c>
      <c r="N44" s="30"/>
      <c r="O44" s="30"/>
      <c r="P44" s="33"/>
      <c r="Q44" s="97">
        <f>IFERROR(VLOOKUP(A44,'Historial Certificados'!$A$6:$E$29,5,FALSE),"")</f>
        <v>0</v>
      </c>
      <c r="R44" s="97" t="str">
        <f t="shared" si="1"/>
        <v>ABIERTO</v>
      </c>
    </row>
    <row r="45" spans="1:18">
      <c r="A45" s="110">
        <v>1</v>
      </c>
      <c r="B45" s="111">
        <v>46262</v>
      </c>
      <c r="C45" s="112" t="str">
        <f t="shared" si="5"/>
        <v>N21-N20</v>
      </c>
      <c r="D45" s="112" t="s">
        <v>340</v>
      </c>
      <c r="E45" s="112" t="s">
        <v>342</v>
      </c>
      <c r="F45" s="112" t="s">
        <v>337</v>
      </c>
      <c r="G45" s="112">
        <v>4</v>
      </c>
      <c r="H45" s="107" t="str">
        <f>IF(G45="","",IFERROR(VLOOKUP(G45&amp;"",'Presupuesto Base'!$A$7:$G$24,2,FALSE),"Ítem no encontrado"))</f>
        <v>Cama de asiento compactada</v>
      </c>
      <c r="I45" s="107" t="str">
        <f>IF(G45="","",IFERROR(VLOOKUP(G45&amp;"",'Presupuesto Base'!$A$7:$G$24,3,FALSE),""))</f>
        <v>ml</v>
      </c>
      <c r="J45" s="30"/>
      <c r="K45" s="32">
        <v>2</v>
      </c>
      <c r="L45" s="108">
        <f>IF(G45="",0,IFERROR(VLOOKUP(G45&amp;"",'Presupuesto Base'!$A$7:$G$24,5,FALSE),0))</f>
        <v>1705.3653417289784</v>
      </c>
      <c r="M45" s="108">
        <f t="shared" si="0"/>
        <v>3410.7306834579567</v>
      </c>
      <c r="N45" s="30"/>
      <c r="O45" s="30"/>
      <c r="P45" s="33"/>
      <c r="Q45" s="97">
        <f>IFERROR(VLOOKUP(A45,'Historial Certificados'!$A$6:$E$29,5,FALSE),"")</f>
        <v>0</v>
      </c>
      <c r="R45" s="97" t="str">
        <f t="shared" si="1"/>
        <v>ABIERTO</v>
      </c>
    </row>
    <row r="46" spans="1:18">
      <c r="A46" s="110">
        <v>1</v>
      </c>
      <c r="B46" s="111">
        <v>46262</v>
      </c>
      <c r="C46" s="112" t="str">
        <f t="shared" si="5"/>
        <v>N20-N19</v>
      </c>
      <c r="D46" s="112" t="s">
        <v>342</v>
      </c>
      <c r="E46" s="112" t="s">
        <v>343</v>
      </c>
      <c r="F46" s="112" t="s">
        <v>337</v>
      </c>
      <c r="G46" s="112">
        <v>4</v>
      </c>
      <c r="H46" s="107" t="str">
        <f>IF(G46="","",IFERROR(VLOOKUP(G46&amp;"",'Presupuesto Base'!$A$7:$G$24,2,FALSE),"Ítem no encontrado"))</f>
        <v>Cama de asiento compactada</v>
      </c>
      <c r="I46" s="107" t="str">
        <f>IF(G46="","",IFERROR(VLOOKUP(G46&amp;"",'Presupuesto Base'!$A$7:$G$24,3,FALSE),""))</f>
        <v>ml</v>
      </c>
      <c r="J46" s="30"/>
      <c r="K46" s="32">
        <v>77</v>
      </c>
      <c r="L46" s="108">
        <f>IF(G46="",0,IFERROR(VLOOKUP(G46&amp;"",'Presupuesto Base'!$A$7:$G$24,5,FALSE),0))</f>
        <v>1705.3653417289784</v>
      </c>
      <c r="M46" s="108">
        <f t="shared" si="0"/>
        <v>131313.13131313134</v>
      </c>
      <c r="N46" s="30"/>
      <c r="O46" s="30"/>
      <c r="P46" s="33"/>
      <c r="Q46" s="97">
        <f>IFERROR(VLOOKUP(A46,'Historial Certificados'!$A$6:$E$29,5,FALSE),"")</f>
        <v>0</v>
      </c>
      <c r="R46" s="97" t="str">
        <f t="shared" si="1"/>
        <v>ABIERTO</v>
      </c>
    </row>
    <row r="47" spans="1:18">
      <c r="A47" s="110">
        <v>1</v>
      </c>
      <c r="B47" s="111">
        <v>46262</v>
      </c>
      <c r="C47" s="112" t="str">
        <f t="shared" si="5"/>
        <v>N21-N28</v>
      </c>
      <c r="D47" s="112" t="s">
        <v>340</v>
      </c>
      <c r="E47" s="112" t="s">
        <v>341</v>
      </c>
      <c r="F47" s="112" t="s">
        <v>344</v>
      </c>
      <c r="G47" s="112">
        <v>4</v>
      </c>
      <c r="H47" s="107" t="str">
        <f>IF(G47="","",IFERROR(VLOOKUP(G47&amp;"",'Presupuesto Base'!$A$7:$G$24,2,FALSE),"Ítem no encontrado"))</f>
        <v>Cama de asiento compactada</v>
      </c>
      <c r="I47" s="107" t="str">
        <f>IF(G47="","",IFERROR(VLOOKUP(G47&amp;"",'Presupuesto Base'!$A$7:$G$24,3,FALSE),""))</f>
        <v>ml</v>
      </c>
      <c r="J47" s="30"/>
      <c r="K47" s="32">
        <v>102</v>
      </c>
      <c r="L47" s="108">
        <f>IF(G47="",0,IFERROR(VLOOKUP(G47&amp;"",'Presupuesto Base'!$A$7:$G$24,5,FALSE),0))</f>
        <v>1705.3653417289784</v>
      </c>
      <c r="M47" s="108">
        <f t="shared" si="0"/>
        <v>173947.26485635579</v>
      </c>
      <c r="N47" s="30"/>
      <c r="O47" s="30"/>
      <c r="P47" s="33"/>
      <c r="Q47" s="97">
        <f>IFERROR(VLOOKUP(A47,'Historial Certificados'!$A$6:$E$29,5,FALSE),"")</f>
        <v>0</v>
      </c>
      <c r="R47" s="97" t="str">
        <f t="shared" si="1"/>
        <v>ABIERTO</v>
      </c>
    </row>
    <row r="48" spans="1:18">
      <c r="A48" s="118">
        <v>1</v>
      </c>
      <c r="B48" s="111">
        <v>46262</v>
      </c>
      <c r="C48" s="118" t="str">
        <f t="shared" si="5"/>
        <v>N29-N28</v>
      </c>
      <c r="D48" s="118" t="s">
        <v>332</v>
      </c>
      <c r="E48" s="118" t="s">
        <v>341</v>
      </c>
      <c r="F48" s="118" t="s">
        <v>333</v>
      </c>
      <c r="G48" s="118">
        <v>4</v>
      </c>
      <c r="H48" s="107" t="str">
        <f>IF(G48="","",IFERROR(VLOOKUP(G48&amp;"",'Presupuesto Base'!$A$7:$G$24,2,FALSE),"Ítem no encontrado"))</f>
        <v>Cama de asiento compactada</v>
      </c>
      <c r="I48" s="107" t="str">
        <f>IF(G48="","",IFERROR(VLOOKUP(G48&amp;"",'Presupuesto Base'!$A$7:$G$24,3,FALSE),""))</f>
        <v>ml</v>
      </c>
      <c r="J48" s="40"/>
      <c r="K48" s="117">
        <v>100</v>
      </c>
      <c r="L48" s="108">
        <f>IF(G48="",0,IFERROR(VLOOKUP(G48&amp;"",'Presupuesto Base'!$A$7:$G$24,5,FALSE),0))</f>
        <v>1705.3653417289784</v>
      </c>
      <c r="M48" s="108">
        <f t="shared" ref="M48" si="7">IFERROR(K48*L48,0)</f>
        <v>170536.53417289784</v>
      </c>
      <c r="N48" s="40"/>
      <c r="O48" s="40"/>
      <c r="P48" s="40"/>
      <c r="Q48" s="97"/>
      <c r="R48" s="97"/>
    </row>
    <row r="49" spans="1:18">
      <c r="A49" s="110">
        <v>1</v>
      </c>
      <c r="B49" s="111">
        <v>46262</v>
      </c>
      <c r="C49" s="112" t="str">
        <f t="shared" si="5"/>
        <v>N28-N27</v>
      </c>
      <c r="D49" s="112" t="s">
        <v>341</v>
      </c>
      <c r="E49" s="112" t="s">
        <v>345</v>
      </c>
      <c r="F49" s="112" t="s">
        <v>333</v>
      </c>
      <c r="G49" s="112">
        <v>4</v>
      </c>
      <c r="H49" s="107" t="str">
        <f>IF(G49="","",IFERROR(VLOOKUP(G49&amp;"",'Presupuesto Base'!$A$7:$G$24,2,FALSE),"Ítem no encontrado"))</f>
        <v>Cama de asiento compactada</v>
      </c>
      <c r="I49" s="107" t="str">
        <f>IF(G49="","",IFERROR(VLOOKUP(G49&amp;"",'Presupuesto Base'!$A$7:$G$24,3,FALSE),""))</f>
        <v>ml</v>
      </c>
      <c r="J49" s="30"/>
      <c r="K49" s="32">
        <v>82</v>
      </c>
      <c r="L49" s="108">
        <f>IF(G49="",0,IFERROR(VLOOKUP(G49&amp;"",'Presupuesto Base'!$A$7:$G$24,5,FALSE),0))</f>
        <v>1705.3653417289784</v>
      </c>
      <c r="M49" s="108">
        <f t="shared" si="0"/>
        <v>139839.95802177623</v>
      </c>
      <c r="N49" s="30"/>
      <c r="O49" s="30"/>
      <c r="P49" s="33"/>
      <c r="Q49" s="97">
        <f>IFERROR(VLOOKUP(A49,'Historial Certificados'!$A$6:$E$29,5,FALSE),"")</f>
        <v>0</v>
      </c>
      <c r="R49" s="97" t="str">
        <f t="shared" si="1"/>
        <v>ABIERTO</v>
      </c>
    </row>
    <row r="50" spans="1:18">
      <c r="A50" s="113">
        <v>1</v>
      </c>
      <c r="B50" s="114">
        <v>46262</v>
      </c>
      <c r="C50" s="115" t="str">
        <f t="shared" ref="C50:C70" si="8">+CONCATENATE(D50,"-",E50)</f>
        <v>N30-N29</v>
      </c>
      <c r="D50" s="115" t="s">
        <v>331</v>
      </c>
      <c r="E50" s="115" t="s">
        <v>332</v>
      </c>
      <c r="F50" s="115" t="s">
        <v>333</v>
      </c>
      <c r="G50" s="115">
        <v>5.0999999999999996</v>
      </c>
      <c r="H50" s="107" t="str">
        <f>IF(G50="","",IFERROR(VLOOKUP(G50&amp;"",'Presupuesto Base'!$A$7:$G$24,2,FALSE),"Ítem no encontrado"))</f>
        <v>PEAD PN10 Ø75 – provisión e instalación</v>
      </c>
      <c r="I50" s="107" t="str">
        <f>IF(G50="","",IFERROR(VLOOKUP(G50&amp;"",'Presupuesto Base'!$A$7:$G$24,3,FALSE),""))</f>
        <v>ml</v>
      </c>
      <c r="J50" s="30"/>
      <c r="K50" s="32">
        <v>106</v>
      </c>
      <c r="L50" s="108">
        <f>IF(G50="",0,IFERROR(VLOOKUP(G50&amp;"",'Presupuesto Base'!$A$7:$G$24,5,FALSE),0))</f>
        <v>5784.2549382555126</v>
      </c>
      <c r="M50" s="108">
        <f t="shared" si="0"/>
        <v>613131.0234550843</v>
      </c>
      <c r="N50" s="30"/>
      <c r="O50" s="30"/>
      <c r="P50" s="33"/>
      <c r="Q50" s="97">
        <f>IFERROR(VLOOKUP(A50,'Historial Certificados'!$A$6:$E$29,5,FALSE),"")</f>
        <v>0</v>
      </c>
      <c r="R50" s="97" t="str">
        <f t="shared" si="1"/>
        <v>ABIERTO</v>
      </c>
    </row>
    <row r="51" spans="1:18">
      <c r="A51" s="113">
        <v>1</v>
      </c>
      <c r="B51" s="114">
        <v>46262</v>
      </c>
      <c r="C51" s="115" t="str">
        <f t="shared" si="8"/>
        <v>N30-N25</v>
      </c>
      <c r="D51" s="115" t="s">
        <v>331</v>
      </c>
      <c r="E51" s="115" t="s">
        <v>334</v>
      </c>
      <c r="F51" s="115" t="s">
        <v>335</v>
      </c>
      <c r="G51" s="115">
        <v>5.0999999999999996</v>
      </c>
      <c r="H51" s="107" t="str">
        <f>IF(G51="","",IFERROR(VLOOKUP(G51&amp;"",'Presupuesto Base'!$A$7:$G$24,2,FALSE),"Ítem no encontrado"))</f>
        <v>PEAD PN10 Ø75 – provisión e instalación</v>
      </c>
      <c r="I51" s="107" t="str">
        <f>IF(G51="","",IFERROR(VLOOKUP(G51&amp;"",'Presupuesto Base'!$A$7:$G$24,3,FALSE),""))</f>
        <v>ml</v>
      </c>
      <c r="J51" s="30"/>
      <c r="K51" s="32">
        <v>76</v>
      </c>
      <c r="L51" s="108">
        <f>IF(G51="",0,IFERROR(VLOOKUP(G51&amp;"",'Presupuesto Base'!$A$7:$G$24,5,FALSE),0))</f>
        <v>5784.2549382555126</v>
      </c>
      <c r="M51" s="108">
        <f t="shared" si="0"/>
        <v>439603.37530741893</v>
      </c>
      <c r="N51" s="30"/>
      <c r="O51" s="30"/>
      <c r="P51" s="33"/>
      <c r="Q51" s="97">
        <f>IFERROR(VLOOKUP(A51,'Historial Certificados'!$A$6:$E$29,5,FALSE),"")</f>
        <v>0</v>
      </c>
      <c r="R51" s="97" t="str">
        <f t="shared" si="1"/>
        <v>ABIERTO</v>
      </c>
    </row>
    <row r="52" spans="1:18">
      <c r="A52" s="113">
        <v>1</v>
      </c>
      <c r="B52" s="114">
        <v>46262</v>
      </c>
      <c r="C52" s="115" t="str">
        <f t="shared" si="8"/>
        <v>N25-N24</v>
      </c>
      <c r="D52" s="115" t="s">
        <v>334</v>
      </c>
      <c r="E52" s="115" t="s">
        <v>336</v>
      </c>
      <c r="F52" s="115" t="s">
        <v>337</v>
      </c>
      <c r="G52" s="115">
        <v>5.2</v>
      </c>
      <c r="H52" s="107" t="str">
        <f>IF(G52="","",IFERROR(VLOOKUP(G52&amp;"",'Presupuesto Base'!$A$7:$G$24,2,FALSE),"Ítem no encontrado"))</f>
        <v>PEAD PN10 Ø110 – provisión e instalación</v>
      </c>
      <c r="I52" s="107" t="str">
        <f>IF(G52="","",IFERROR(VLOOKUP(G52&amp;"",'Presupuesto Base'!$A$7:$G$24,3,FALSE),""))</f>
        <v>ml</v>
      </c>
      <c r="J52" s="30"/>
      <c r="K52" s="32">
        <v>15</v>
      </c>
      <c r="L52" s="108">
        <f>IF(G52="",0,IFERROR(VLOOKUP(G52&amp;"",'Presupuesto Base'!$A$7:$G$24,5,FALSE),0))</f>
        <v>12238.893792291852</v>
      </c>
      <c r="M52" s="108">
        <f t="shared" si="0"/>
        <v>183583.40688437779</v>
      </c>
      <c r="N52" s="30"/>
      <c r="O52" s="30"/>
      <c r="P52" s="33"/>
      <c r="Q52" s="97">
        <f>IFERROR(VLOOKUP(A52,'Historial Certificados'!$A$6:$E$29,5,FALSE),"")</f>
        <v>0</v>
      </c>
      <c r="R52" s="97" t="str">
        <f t="shared" si="1"/>
        <v>ABIERTO</v>
      </c>
    </row>
    <row r="53" spans="1:18">
      <c r="A53" s="113">
        <v>1</v>
      </c>
      <c r="B53" s="114">
        <v>46262</v>
      </c>
      <c r="C53" s="115" t="str">
        <f t="shared" si="8"/>
        <v>N24-N22</v>
      </c>
      <c r="D53" s="115" t="s">
        <v>336</v>
      </c>
      <c r="E53" s="115" t="s">
        <v>338</v>
      </c>
      <c r="F53" s="115" t="s">
        <v>337</v>
      </c>
      <c r="G53" s="115">
        <v>5.2</v>
      </c>
      <c r="H53" s="107" t="str">
        <f>IF(G53="","",IFERROR(VLOOKUP(G53&amp;"",'Presupuesto Base'!$A$7:$G$24,2,FALSE),"Ítem no encontrado"))</f>
        <v>PEAD PN10 Ø110 – provisión e instalación</v>
      </c>
      <c r="I53" s="107" t="str">
        <f>IF(G53="","",IFERROR(VLOOKUP(G53&amp;"",'Presupuesto Base'!$A$7:$G$24,3,FALSE),""))</f>
        <v>ml</v>
      </c>
      <c r="J53" s="30"/>
      <c r="K53" s="32">
        <v>96</v>
      </c>
      <c r="L53" s="108">
        <f>IF(G53="",0,IFERROR(VLOOKUP(G53&amp;"",'Presupuesto Base'!$A$7:$G$24,5,FALSE),0))</f>
        <v>12238.893792291852</v>
      </c>
      <c r="M53" s="108">
        <f t="shared" si="0"/>
        <v>1174933.8040600177</v>
      </c>
      <c r="N53" s="30"/>
      <c r="O53" s="30"/>
      <c r="P53" s="33"/>
      <c r="Q53" s="97">
        <f>IFERROR(VLOOKUP(A53,'Historial Certificados'!$A$6:$E$29,5,FALSE),"")</f>
        <v>0</v>
      </c>
      <c r="R53" s="97" t="str">
        <f t="shared" si="1"/>
        <v>ABIERTO</v>
      </c>
    </row>
    <row r="54" spans="1:18">
      <c r="A54" s="113">
        <v>1</v>
      </c>
      <c r="B54" s="114">
        <v>46262</v>
      </c>
      <c r="C54" s="115" t="str">
        <f t="shared" si="8"/>
        <v>N22-N29</v>
      </c>
      <c r="D54" s="115" t="s">
        <v>338</v>
      </c>
      <c r="E54" s="115" t="s">
        <v>332</v>
      </c>
      <c r="F54" s="115" t="s">
        <v>339</v>
      </c>
      <c r="G54" s="115">
        <v>5.0999999999999996</v>
      </c>
      <c r="H54" s="107" t="str">
        <f>IF(G54="","",IFERROR(VLOOKUP(G54&amp;"",'Presupuesto Base'!$A$7:$G$24,2,FALSE),"Ítem no encontrado"))</f>
        <v>PEAD PN10 Ø75 – provisión e instalación</v>
      </c>
      <c r="I54" s="107" t="str">
        <f>IF(G54="","",IFERROR(VLOOKUP(G54&amp;"",'Presupuesto Base'!$A$7:$G$24,3,FALSE),""))</f>
        <v>ml</v>
      </c>
      <c r="J54" s="30"/>
      <c r="K54" s="32">
        <v>92</v>
      </c>
      <c r="L54" s="108">
        <f>IF(G54="",0,IFERROR(VLOOKUP(G54&amp;"",'Presupuesto Base'!$A$7:$G$24,5,FALSE),0))</f>
        <v>5784.2549382555126</v>
      </c>
      <c r="M54" s="108">
        <f t="shared" si="0"/>
        <v>532151.45431950712</v>
      </c>
      <c r="N54" s="30"/>
      <c r="O54" s="30"/>
      <c r="P54" s="33"/>
      <c r="Q54" s="97">
        <f>IFERROR(VLOOKUP(A54,'Historial Certificados'!$A$6:$E$29,5,FALSE),"")</f>
        <v>0</v>
      </c>
      <c r="R54" s="97" t="str">
        <f t="shared" si="1"/>
        <v>ABIERTO</v>
      </c>
    </row>
    <row r="55" spans="1:18">
      <c r="A55" s="113">
        <v>1</v>
      </c>
      <c r="B55" s="114">
        <v>46262</v>
      </c>
      <c r="C55" s="115" t="str">
        <f t="shared" si="8"/>
        <v>N22-N21</v>
      </c>
      <c r="D55" s="115" t="s">
        <v>338</v>
      </c>
      <c r="E55" s="115" t="s">
        <v>340</v>
      </c>
      <c r="F55" s="115" t="s">
        <v>337</v>
      </c>
      <c r="G55" s="115">
        <v>5.2</v>
      </c>
      <c r="H55" s="107" t="str">
        <f>IF(G55="","",IFERROR(VLOOKUP(G55&amp;"",'Presupuesto Base'!$A$7:$G$24,2,FALSE),"Ítem no encontrado"))</f>
        <v>PEAD PN10 Ø110 – provisión e instalación</v>
      </c>
      <c r="I55" s="107" t="str">
        <f>IF(G55="","",IFERROR(VLOOKUP(G55&amp;"",'Presupuesto Base'!$A$7:$G$24,3,FALSE),""))</f>
        <v>ml</v>
      </c>
      <c r="J55" s="30"/>
      <c r="K55" s="32">
        <v>97</v>
      </c>
      <c r="L55" s="108">
        <f>IF(G55="",0,IFERROR(VLOOKUP(G55&amp;"",'Presupuesto Base'!$A$7:$G$24,5,FALSE),0))</f>
        <v>12238.893792291852</v>
      </c>
      <c r="M55" s="108">
        <f t="shared" si="0"/>
        <v>1187172.6978523096</v>
      </c>
      <c r="N55" s="30"/>
      <c r="O55" s="30"/>
      <c r="P55" s="33"/>
      <c r="Q55" s="97">
        <f>IFERROR(VLOOKUP(A55,'Historial Certificados'!$A$6:$E$29,5,FALSE),"")</f>
        <v>0</v>
      </c>
      <c r="R55" s="97" t="str">
        <f t="shared" si="1"/>
        <v>ABIERTO</v>
      </c>
    </row>
    <row r="56" spans="1:18">
      <c r="A56" s="113">
        <v>1</v>
      </c>
      <c r="B56" s="114">
        <v>46262</v>
      </c>
      <c r="C56" s="115" t="str">
        <f t="shared" si="8"/>
        <v>N21-N20</v>
      </c>
      <c r="D56" s="115" t="s">
        <v>340</v>
      </c>
      <c r="E56" s="115" t="s">
        <v>342</v>
      </c>
      <c r="F56" s="115" t="s">
        <v>337</v>
      </c>
      <c r="G56" s="115">
        <v>5.2</v>
      </c>
      <c r="H56" s="107" t="str">
        <f>IF(G56="","",IFERROR(VLOOKUP(G56&amp;"",'Presupuesto Base'!$A$7:$G$24,2,FALSE),"Ítem no encontrado"))</f>
        <v>PEAD PN10 Ø110 – provisión e instalación</v>
      </c>
      <c r="I56" s="107" t="str">
        <f>IF(G56="","",IFERROR(VLOOKUP(G56&amp;"",'Presupuesto Base'!$A$7:$G$24,3,FALSE),""))</f>
        <v>ml</v>
      </c>
      <c r="J56" s="30"/>
      <c r="K56" s="32">
        <v>2</v>
      </c>
      <c r="L56" s="108">
        <f>IF(G56="",0,IFERROR(VLOOKUP(G56&amp;"",'Presupuesto Base'!$A$7:$G$24,5,FALSE),0))</f>
        <v>12238.893792291852</v>
      </c>
      <c r="M56" s="108">
        <f t="shared" si="0"/>
        <v>24477.787584583704</v>
      </c>
      <c r="N56" s="30"/>
      <c r="O56" s="30"/>
      <c r="P56" s="33"/>
      <c r="Q56" s="97">
        <f>IFERROR(VLOOKUP(A56,'Historial Certificados'!$A$6:$E$29,5,FALSE),"")</f>
        <v>0</v>
      </c>
      <c r="R56" s="97" t="str">
        <f t="shared" si="1"/>
        <v>ABIERTO</v>
      </c>
    </row>
    <row r="57" spans="1:18">
      <c r="A57" s="113">
        <v>1</v>
      </c>
      <c r="B57" s="114">
        <v>46262</v>
      </c>
      <c r="C57" s="115" t="str">
        <f t="shared" si="8"/>
        <v>N20-N19</v>
      </c>
      <c r="D57" s="115" t="s">
        <v>342</v>
      </c>
      <c r="E57" s="115" t="s">
        <v>343</v>
      </c>
      <c r="F57" s="115" t="s">
        <v>337</v>
      </c>
      <c r="G57" s="115">
        <v>5.2</v>
      </c>
      <c r="H57" s="107" t="str">
        <f>IF(G57="","",IFERROR(VLOOKUP(G57&amp;"",'Presupuesto Base'!$A$7:$G$24,2,FALSE),"Ítem no encontrado"))</f>
        <v>PEAD PN10 Ø110 – provisión e instalación</v>
      </c>
      <c r="I57" s="107" t="str">
        <f>IF(G57="","",IFERROR(VLOOKUP(G57&amp;"",'Presupuesto Base'!$A$7:$G$24,3,FALSE),""))</f>
        <v>ml</v>
      </c>
      <c r="J57" s="30"/>
      <c r="K57" s="32">
        <v>77</v>
      </c>
      <c r="L57" s="108">
        <f>IF(G57="",0,IFERROR(VLOOKUP(G57&amp;"",'Presupuesto Base'!$A$7:$G$24,5,FALSE),0))</f>
        <v>12238.893792291852</v>
      </c>
      <c r="M57" s="108">
        <f t="shared" si="0"/>
        <v>942394.82200647262</v>
      </c>
      <c r="N57" s="30"/>
      <c r="O57" s="30"/>
      <c r="P57" s="33"/>
      <c r="Q57" s="97">
        <f>IFERROR(VLOOKUP(A57,'Historial Certificados'!$A$6:$E$29,5,FALSE),"")</f>
        <v>0</v>
      </c>
      <c r="R57" s="97" t="str">
        <f t="shared" si="1"/>
        <v>ABIERTO</v>
      </c>
    </row>
    <row r="58" spans="1:18">
      <c r="A58" s="113">
        <v>1</v>
      </c>
      <c r="B58" s="114">
        <v>46262</v>
      </c>
      <c r="C58" s="115" t="str">
        <f t="shared" si="8"/>
        <v>N21-N28</v>
      </c>
      <c r="D58" s="115" t="s">
        <v>340</v>
      </c>
      <c r="E58" s="115" t="s">
        <v>341</v>
      </c>
      <c r="F58" s="115" t="s">
        <v>344</v>
      </c>
      <c r="G58" s="115">
        <v>5.0999999999999996</v>
      </c>
      <c r="H58" s="107" t="str">
        <f>IF(G58="","",IFERROR(VLOOKUP(G58&amp;"",'Presupuesto Base'!$A$7:$G$24,2,FALSE),"Ítem no encontrado"))</f>
        <v>PEAD PN10 Ø75 – provisión e instalación</v>
      </c>
      <c r="I58" s="107" t="str">
        <f>IF(G58="","",IFERROR(VLOOKUP(G58&amp;"",'Presupuesto Base'!$A$7:$G$24,3,FALSE),""))</f>
        <v>ml</v>
      </c>
      <c r="J58" s="30"/>
      <c r="K58" s="32">
        <v>102</v>
      </c>
      <c r="L58" s="108">
        <f>IF(G58="",0,IFERROR(VLOOKUP(G58&amp;"",'Presupuesto Base'!$A$7:$G$24,5,FALSE),0))</f>
        <v>5784.2549382555126</v>
      </c>
      <c r="M58" s="108">
        <f t="shared" si="0"/>
        <v>589994.0037020623</v>
      </c>
      <c r="N58" s="30"/>
      <c r="O58" s="30"/>
      <c r="P58" s="33"/>
      <c r="Q58" s="97">
        <f>IFERROR(VLOOKUP(A58,'Historial Certificados'!$A$6:$E$29,5,FALSE),"")</f>
        <v>0</v>
      </c>
      <c r="R58" s="97" t="str">
        <f t="shared" si="1"/>
        <v>ABIERTO</v>
      </c>
    </row>
    <row r="59" spans="1:18">
      <c r="A59" s="113">
        <v>1</v>
      </c>
      <c r="B59" s="114">
        <v>46262</v>
      </c>
      <c r="C59" s="115" t="str">
        <f t="shared" si="8"/>
        <v>N29-N28</v>
      </c>
      <c r="D59" s="115" t="s">
        <v>332</v>
      </c>
      <c r="E59" s="115" t="s">
        <v>341</v>
      </c>
      <c r="F59" s="115" t="s">
        <v>333</v>
      </c>
      <c r="G59" s="116">
        <v>5.0999999999999996</v>
      </c>
      <c r="H59" s="107" t="str">
        <f>IF(G59="","",IFERROR(VLOOKUP(G59&amp;"",'Presupuesto Base'!$A$7:$G$24,2,FALSE),"Ítem no encontrado"))</f>
        <v>PEAD PN10 Ø75 – provisión e instalación</v>
      </c>
      <c r="I59" s="107" t="str">
        <f>IF(G59="","",IFERROR(VLOOKUP(G59&amp;"",'Presupuesto Base'!$A$7:$G$24,3,FALSE),""))</f>
        <v>ml</v>
      </c>
      <c r="J59" s="40"/>
      <c r="K59" s="117">
        <v>100</v>
      </c>
      <c r="L59" s="108">
        <f>IF(G59="",0,IFERROR(VLOOKUP(G59&amp;"",'Presupuesto Base'!$A$7:$G$24,5,FALSE),0))</f>
        <v>5784.2549382555126</v>
      </c>
      <c r="M59" s="108">
        <f t="shared" ref="M59" si="9">IFERROR(K59*L59,0)</f>
        <v>578425.49382555124</v>
      </c>
      <c r="N59" s="40"/>
      <c r="O59" s="40"/>
      <c r="P59" s="40"/>
      <c r="Q59" s="97"/>
      <c r="R59" s="97"/>
    </row>
    <row r="60" spans="1:18">
      <c r="A60" s="113">
        <v>1</v>
      </c>
      <c r="B60" s="114">
        <v>46262</v>
      </c>
      <c r="C60" s="115" t="str">
        <f t="shared" si="8"/>
        <v>N28-N27</v>
      </c>
      <c r="D60" s="115" t="s">
        <v>341</v>
      </c>
      <c r="E60" s="115" t="s">
        <v>345</v>
      </c>
      <c r="F60" s="115" t="s">
        <v>333</v>
      </c>
      <c r="G60" s="115">
        <v>5.0999999999999996</v>
      </c>
      <c r="H60" s="107" t="str">
        <f>IF(G60="","",IFERROR(VLOOKUP(G60&amp;"",'Presupuesto Base'!$A$7:$G$24,2,FALSE),"Ítem no encontrado"))</f>
        <v>PEAD PN10 Ø75 – provisión e instalación</v>
      </c>
      <c r="I60" s="107" t="str">
        <f>IF(G60="","",IFERROR(VLOOKUP(G60&amp;"",'Presupuesto Base'!$A$7:$G$24,3,FALSE),""))</f>
        <v>ml</v>
      </c>
      <c r="J60" s="30"/>
      <c r="K60" s="32">
        <v>82</v>
      </c>
      <c r="L60" s="108">
        <f>IF(G60="",0,IFERROR(VLOOKUP(G60&amp;"",'Presupuesto Base'!$A$7:$G$24,5,FALSE),0))</f>
        <v>5784.2549382555126</v>
      </c>
      <c r="M60" s="108">
        <f t="shared" si="0"/>
        <v>474308.90493695205</v>
      </c>
      <c r="N60" s="30"/>
      <c r="O60" s="30"/>
      <c r="P60" s="33"/>
      <c r="Q60" s="97">
        <f>IFERROR(VLOOKUP(A60,'Historial Certificados'!$A$6:$E$29,5,FALSE),"")</f>
        <v>0</v>
      </c>
      <c r="R60" s="97" t="str">
        <f t="shared" si="1"/>
        <v>ABIERTO</v>
      </c>
    </row>
    <row r="61" spans="1:18">
      <c r="A61" s="110">
        <v>1</v>
      </c>
      <c r="B61" s="111">
        <v>46262</v>
      </c>
      <c r="C61" s="112" t="str">
        <f t="shared" si="8"/>
        <v>N30-N29</v>
      </c>
      <c r="D61" s="112" t="s">
        <v>331</v>
      </c>
      <c r="E61" s="112" t="s">
        <v>332</v>
      </c>
      <c r="F61" s="112" t="s">
        <v>333</v>
      </c>
      <c r="G61" s="118">
        <v>6</v>
      </c>
      <c r="H61" s="107" t="str">
        <f>IF(G61="","",IFERROR(VLOOKUP(G61&amp;"",'Presupuesto Base'!$A$7:$G$24,2,FALSE),"Ítem no encontrado"))</f>
        <v>Ejecución de paquete estructural de 30 cm</v>
      </c>
      <c r="I61" s="107" t="str">
        <f>IF(G61="","",IFERROR(VLOOKUP(G61&amp;"",'Presupuesto Base'!$A$7:$G$24,3,FALSE),""))</f>
        <v>ml</v>
      </c>
      <c r="J61" s="30"/>
      <c r="K61" s="32">
        <v>106</v>
      </c>
      <c r="L61" s="108">
        <f>IF(G61="",0,IFERROR(VLOOKUP(G61&amp;"",'Presupuesto Base'!$A$7:$G$24,5,FALSE),0))</f>
        <v>3274.3014561196383</v>
      </c>
      <c r="M61" s="108">
        <f t="shared" si="0"/>
        <v>347075.95434868167</v>
      </c>
      <c r="N61" s="30"/>
      <c r="O61" s="30"/>
      <c r="P61" s="33"/>
      <c r="Q61" s="97">
        <f>IFERROR(VLOOKUP(A61,'Historial Certificados'!$A$6:$E$29,5,FALSE),"")</f>
        <v>0</v>
      </c>
      <c r="R61" s="97" t="str">
        <f t="shared" si="1"/>
        <v>ABIERTO</v>
      </c>
    </row>
    <row r="62" spans="1:18">
      <c r="A62" s="110">
        <v>1</v>
      </c>
      <c r="B62" s="111">
        <v>46262</v>
      </c>
      <c r="C62" s="112" t="str">
        <f t="shared" si="8"/>
        <v>N30-N25</v>
      </c>
      <c r="D62" s="112" t="s">
        <v>331</v>
      </c>
      <c r="E62" s="112" t="s">
        <v>334</v>
      </c>
      <c r="F62" s="112" t="s">
        <v>335</v>
      </c>
      <c r="G62" s="118">
        <v>6</v>
      </c>
      <c r="H62" s="107" t="str">
        <f>IF(G62="","",IFERROR(VLOOKUP(G62&amp;"",'Presupuesto Base'!$A$7:$G$24,2,FALSE),"Ítem no encontrado"))</f>
        <v>Ejecución de paquete estructural de 30 cm</v>
      </c>
      <c r="I62" s="107" t="str">
        <f>IF(G62="","",IFERROR(VLOOKUP(G62&amp;"",'Presupuesto Base'!$A$7:$G$24,3,FALSE),""))</f>
        <v>ml</v>
      </c>
      <c r="J62" s="30"/>
      <c r="K62" s="32">
        <v>76</v>
      </c>
      <c r="L62" s="108">
        <f>IF(G62="",0,IFERROR(VLOOKUP(G62&amp;"",'Presupuesto Base'!$A$7:$G$24,5,FALSE),0))</f>
        <v>3274.3014561196383</v>
      </c>
      <c r="M62" s="108">
        <f t="shared" si="0"/>
        <v>248846.9106650925</v>
      </c>
      <c r="N62" s="30"/>
      <c r="O62" s="30"/>
      <c r="P62" s="33"/>
      <c r="Q62" s="97">
        <f>IFERROR(VLOOKUP(A62,'Historial Certificados'!$A$6:$E$29,5,FALSE),"")</f>
        <v>0</v>
      </c>
      <c r="R62" s="97" t="str">
        <f t="shared" si="1"/>
        <v>ABIERTO</v>
      </c>
    </row>
    <row r="63" spans="1:18">
      <c r="A63" s="110">
        <v>1</v>
      </c>
      <c r="B63" s="111">
        <v>46262</v>
      </c>
      <c r="C63" s="112" t="str">
        <f t="shared" si="8"/>
        <v>N25-N24</v>
      </c>
      <c r="D63" s="112" t="s">
        <v>334</v>
      </c>
      <c r="E63" s="112" t="s">
        <v>336</v>
      </c>
      <c r="F63" s="112" t="s">
        <v>337</v>
      </c>
      <c r="G63" s="118">
        <v>6</v>
      </c>
      <c r="H63" s="107" t="str">
        <f>IF(G63="","",IFERROR(VLOOKUP(G63&amp;"",'Presupuesto Base'!$A$7:$G$24,2,FALSE),"Ítem no encontrado"))</f>
        <v>Ejecución de paquete estructural de 30 cm</v>
      </c>
      <c r="I63" s="107" t="str">
        <f>IF(G63="","",IFERROR(VLOOKUP(G63&amp;"",'Presupuesto Base'!$A$7:$G$24,3,FALSE),""))</f>
        <v>ml</v>
      </c>
      <c r="J63" s="30"/>
      <c r="K63" s="32">
        <v>15</v>
      </c>
      <c r="L63" s="108">
        <f>IF(G63="",0,IFERROR(VLOOKUP(G63&amp;"",'Presupuesto Base'!$A$7:$G$24,5,FALSE),0))</f>
        <v>3274.3014561196383</v>
      </c>
      <c r="M63" s="108">
        <f t="shared" si="0"/>
        <v>49114.521841794573</v>
      </c>
      <c r="N63" s="30"/>
      <c r="O63" s="30"/>
      <c r="P63" s="33"/>
      <c r="Q63" s="97">
        <f>IFERROR(VLOOKUP(A63,'Historial Certificados'!$A$6:$E$29,5,FALSE),"")</f>
        <v>0</v>
      </c>
      <c r="R63" s="97" t="str">
        <f t="shared" si="1"/>
        <v>ABIERTO</v>
      </c>
    </row>
    <row r="64" spans="1:18">
      <c r="A64" s="110">
        <v>1</v>
      </c>
      <c r="B64" s="111">
        <v>46262</v>
      </c>
      <c r="C64" s="112" t="str">
        <f t="shared" si="8"/>
        <v>N24-N22</v>
      </c>
      <c r="D64" s="112" t="s">
        <v>336</v>
      </c>
      <c r="E64" s="112" t="s">
        <v>338</v>
      </c>
      <c r="F64" s="112" t="s">
        <v>337</v>
      </c>
      <c r="G64" s="118">
        <v>6</v>
      </c>
      <c r="H64" s="107" t="str">
        <f>IF(G64="","",IFERROR(VLOOKUP(G64&amp;"",'Presupuesto Base'!$A$7:$G$24,2,FALSE),"Ítem no encontrado"))</f>
        <v>Ejecución de paquete estructural de 30 cm</v>
      </c>
      <c r="I64" s="107" t="str">
        <f>IF(G64="","",IFERROR(VLOOKUP(G64&amp;"",'Presupuesto Base'!$A$7:$G$24,3,FALSE),""))</f>
        <v>ml</v>
      </c>
      <c r="J64" s="30"/>
      <c r="K64" s="32">
        <v>96</v>
      </c>
      <c r="L64" s="108">
        <f>IF(G64="",0,IFERROR(VLOOKUP(G64&amp;"",'Presupuesto Base'!$A$7:$G$24,5,FALSE),0))</f>
        <v>3274.3014561196383</v>
      </c>
      <c r="M64" s="108">
        <f t="shared" si="0"/>
        <v>314332.93978748529</v>
      </c>
      <c r="N64" s="30"/>
      <c r="O64" s="30"/>
      <c r="P64" s="33"/>
      <c r="Q64" s="97">
        <f>IFERROR(VLOOKUP(A64,'Historial Certificados'!$A$6:$E$29,5,FALSE),"")</f>
        <v>0</v>
      </c>
      <c r="R64" s="97" t="str">
        <f t="shared" si="1"/>
        <v>ABIERTO</v>
      </c>
    </row>
    <row r="65" spans="1:18">
      <c r="A65" s="110">
        <v>1</v>
      </c>
      <c r="B65" s="111">
        <v>46262</v>
      </c>
      <c r="C65" s="112" t="str">
        <f t="shared" si="8"/>
        <v>N22-N29</v>
      </c>
      <c r="D65" s="112" t="s">
        <v>338</v>
      </c>
      <c r="E65" s="112" t="s">
        <v>332</v>
      </c>
      <c r="F65" s="112" t="s">
        <v>339</v>
      </c>
      <c r="G65" s="118">
        <v>6</v>
      </c>
      <c r="H65" s="107" t="str">
        <f>IF(G65="","",IFERROR(VLOOKUP(G65&amp;"",'Presupuesto Base'!$A$7:$G$24,2,FALSE),"Ítem no encontrado"))</f>
        <v>Ejecución de paquete estructural de 30 cm</v>
      </c>
      <c r="I65" s="107" t="str">
        <f>IF(G65="","",IFERROR(VLOOKUP(G65&amp;"",'Presupuesto Base'!$A$7:$G$24,3,FALSE),""))</f>
        <v>ml</v>
      </c>
      <c r="J65" s="30"/>
      <c r="K65" s="32">
        <v>92</v>
      </c>
      <c r="L65" s="108">
        <f>IF(G65="",0,IFERROR(VLOOKUP(G65&amp;"",'Presupuesto Base'!$A$7:$G$24,5,FALSE),0))</f>
        <v>3274.3014561196383</v>
      </c>
      <c r="M65" s="108">
        <f t="shared" si="0"/>
        <v>301235.7339630067</v>
      </c>
      <c r="N65" s="30"/>
      <c r="O65" s="30"/>
      <c r="P65" s="33"/>
      <c r="Q65" s="97">
        <f>IFERROR(VLOOKUP(A65,'Historial Certificados'!$A$6:$E$29,5,FALSE),"")</f>
        <v>0</v>
      </c>
      <c r="R65" s="97" t="str">
        <f t="shared" si="1"/>
        <v>ABIERTO</v>
      </c>
    </row>
    <row r="66" spans="1:18">
      <c r="A66" s="110">
        <v>1</v>
      </c>
      <c r="B66" s="111">
        <v>46262</v>
      </c>
      <c r="C66" s="112" t="str">
        <f t="shared" si="8"/>
        <v>N22-N21</v>
      </c>
      <c r="D66" s="112" t="s">
        <v>338</v>
      </c>
      <c r="E66" s="112" t="s">
        <v>340</v>
      </c>
      <c r="F66" s="112" t="s">
        <v>337</v>
      </c>
      <c r="G66" s="118">
        <v>6</v>
      </c>
      <c r="H66" s="107" t="str">
        <f>IF(G66="","",IFERROR(VLOOKUP(G66&amp;"",'Presupuesto Base'!$A$7:$G$24,2,FALSE),"Ítem no encontrado"))</f>
        <v>Ejecución de paquete estructural de 30 cm</v>
      </c>
      <c r="I66" s="107" t="str">
        <f>IF(G66="","",IFERROR(VLOOKUP(G66&amp;"",'Presupuesto Base'!$A$7:$G$24,3,FALSE),""))</f>
        <v>ml</v>
      </c>
      <c r="J66" s="30"/>
      <c r="K66" s="32">
        <v>97</v>
      </c>
      <c r="L66" s="108">
        <f>IF(G66="",0,IFERROR(VLOOKUP(G66&amp;"",'Presupuesto Base'!$A$7:$G$24,5,FALSE),0))</f>
        <v>3274.3014561196383</v>
      </c>
      <c r="M66" s="108">
        <f t="shared" si="0"/>
        <v>317607.24124360492</v>
      </c>
      <c r="N66" s="30"/>
      <c r="O66" s="30"/>
      <c r="P66" s="33"/>
      <c r="Q66" s="97">
        <f>IFERROR(VLOOKUP(A66,'Historial Certificados'!$A$6:$E$29,5,FALSE),"")</f>
        <v>0</v>
      </c>
      <c r="R66" s="97" t="str">
        <f t="shared" si="1"/>
        <v>ABIERTO</v>
      </c>
    </row>
    <row r="67" spans="1:18">
      <c r="A67" s="110">
        <v>1</v>
      </c>
      <c r="B67" s="111">
        <v>46262</v>
      </c>
      <c r="C67" s="112" t="str">
        <f t="shared" si="8"/>
        <v>N21-N20</v>
      </c>
      <c r="D67" s="112" t="s">
        <v>340</v>
      </c>
      <c r="E67" s="112" t="s">
        <v>342</v>
      </c>
      <c r="F67" s="112" t="s">
        <v>337</v>
      </c>
      <c r="G67" s="118">
        <v>6</v>
      </c>
      <c r="H67" s="107" t="str">
        <f>IF(G67="","",IFERROR(VLOOKUP(G67&amp;"",'Presupuesto Base'!$A$7:$G$24,2,FALSE),"Ítem no encontrado"))</f>
        <v>Ejecución de paquete estructural de 30 cm</v>
      </c>
      <c r="I67" s="107" t="str">
        <f>IF(G67="","",IFERROR(VLOOKUP(G67&amp;"",'Presupuesto Base'!$A$7:$G$24,3,FALSE),""))</f>
        <v>ml</v>
      </c>
      <c r="J67" s="30"/>
      <c r="K67" s="32">
        <v>2</v>
      </c>
      <c r="L67" s="108">
        <f>IF(G67="",0,IFERROR(VLOOKUP(G67&amp;"",'Presupuesto Base'!$A$7:$G$24,5,FALSE),0))</f>
        <v>3274.3014561196383</v>
      </c>
      <c r="M67" s="108">
        <f t="shared" si="0"/>
        <v>6548.6029122392765</v>
      </c>
      <c r="N67" s="30"/>
      <c r="O67" s="30"/>
      <c r="P67" s="33"/>
      <c r="Q67" s="97">
        <f>IFERROR(VLOOKUP(A67,'Historial Certificados'!$A$6:$E$29,5,FALSE),"")</f>
        <v>0</v>
      </c>
      <c r="R67" s="97" t="str">
        <f t="shared" si="1"/>
        <v>ABIERTO</v>
      </c>
    </row>
    <row r="68" spans="1:18">
      <c r="A68" s="110">
        <v>1</v>
      </c>
      <c r="B68" s="111">
        <v>46262</v>
      </c>
      <c r="C68" s="112" t="str">
        <f t="shared" si="8"/>
        <v>N20-N19</v>
      </c>
      <c r="D68" s="112" t="s">
        <v>342</v>
      </c>
      <c r="E68" s="112" t="s">
        <v>343</v>
      </c>
      <c r="F68" s="112" t="s">
        <v>337</v>
      </c>
      <c r="G68" s="118">
        <v>6</v>
      </c>
      <c r="H68" s="107" t="str">
        <f>IF(G68="","",IFERROR(VLOOKUP(G68&amp;"",'Presupuesto Base'!$A$7:$G$24,2,FALSE),"Ítem no encontrado"))</f>
        <v>Ejecución de paquete estructural de 30 cm</v>
      </c>
      <c r="I68" s="107" t="str">
        <f>IF(G68="","",IFERROR(VLOOKUP(G68&amp;"",'Presupuesto Base'!$A$7:$G$24,3,FALSE),""))</f>
        <v>ml</v>
      </c>
      <c r="J68" s="30"/>
      <c r="K68" s="32">
        <v>77</v>
      </c>
      <c r="L68" s="108">
        <f>IF(G68="",0,IFERROR(VLOOKUP(G68&amp;"",'Presupuesto Base'!$A$7:$G$24,5,FALSE),0))</f>
        <v>3274.3014561196383</v>
      </c>
      <c r="M68" s="108">
        <f t="shared" si="0"/>
        <v>252121.21212121216</v>
      </c>
      <c r="N68" s="30"/>
      <c r="O68" s="30"/>
      <c r="P68" s="33"/>
      <c r="Q68" s="97">
        <f>IFERROR(VLOOKUP(A68,'Historial Certificados'!$A$6:$E$29,5,FALSE),"")</f>
        <v>0</v>
      </c>
      <c r="R68" s="97" t="str">
        <f t="shared" si="1"/>
        <v>ABIERTO</v>
      </c>
    </row>
    <row r="69" spans="1:18">
      <c r="A69" s="118">
        <v>1</v>
      </c>
      <c r="B69" s="111">
        <v>46262</v>
      </c>
      <c r="C69" s="118" t="str">
        <f t="shared" si="8"/>
        <v>N29-N28</v>
      </c>
      <c r="D69" s="118" t="s">
        <v>332</v>
      </c>
      <c r="E69" s="118" t="s">
        <v>341</v>
      </c>
      <c r="F69" s="118" t="s">
        <v>333</v>
      </c>
      <c r="G69" s="118">
        <v>6</v>
      </c>
      <c r="H69" s="107" t="str">
        <f>IF(G69="","",IFERROR(VLOOKUP(G69&amp;"",'Presupuesto Base'!$A$7:$G$24,2,FALSE),"Ítem no encontrado"))</f>
        <v>Ejecución de paquete estructural de 30 cm</v>
      </c>
      <c r="I69" s="107" t="str">
        <f>IF(G69="","",IFERROR(VLOOKUP(G69&amp;"",'Presupuesto Base'!$A$7:$G$24,3,FALSE),""))</f>
        <v>ml</v>
      </c>
      <c r="J69" s="40"/>
      <c r="K69" s="117">
        <v>100</v>
      </c>
      <c r="L69" s="108">
        <f>IF(G69="",0,IFERROR(VLOOKUP(G69&amp;"",'Presupuesto Base'!$A$7:$G$24,5,FALSE),0))</f>
        <v>3274.3014561196383</v>
      </c>
      <c r="M69" s="108">
        <f t="shared" ref="M69" si="10">IFERROR(K69*L69,0)</f>
        <v>327430.14561196382</v>
      </c>
      <c r="N69" s="40"/>
      <c r="O69" s="40"/>
      <c r="P69" s="40"/>
      <c r="Q69" s="97"/>
      <c r="R69" s="97"/>
    </row>
    <row r="70" spans="1:18">
      <c r="A70" s="110">
        <v>1</v>
      </c>
      <c r="B70" s="111">
        <v>46262</v>
      </c>
      <c r="C70" s="112" t="str">
        <f t="shared" si="8"/>
        <v>N21-N28</v>
      </c>
      <c r="D70" s="112" t="s">
        <v>340</v>
      </c>
      <c r="E70" s="112" t="s">
        <v>341</v>
      </c>
      <c r="F70" s="112" t="s">
        <v>344</v>
      </c>
      <c r="G70" s="118">
        <v>6</v>
      </c>
      <c r="H70" s="107" t="str">
        <f>IF(G70="","",IFERROR(VLOOKUP(G70&amp;"",'Presupuesto Base'!$A$7:$G$24,2,FALSE),"Ítem no encontrado"))</f>
        <v>Ejecución de paquete estructural de 30 cm</v>
      </c>
      <c r="I70" s="107" t="str">
        <f>IF(G70="","",IFERROR(VLOOKUP(G70&amp;"",'Presupuesto Base'!$A$7:$G$24,3,FALSE),""))</f>
        <v>ml</v>
      </c>
      <c r="J70" s="30"/>
      <c r="K70" s="32">
        <v>102</v>
      </c>
      <c r="L70" s="108">
        <f>IF(G70="",0,IFERROR(VLOOKUP(G70&amp;"",'Presupuesto Base'!$A$7:$G$24,5,FALSE),0))</f>
        <v>3274.3014561196383</v>
      </c>
      <c r="M70" s="108">
        <f t="shared" si="0"/>
        <v>333978.74852420308</v>
      </c>
      <c r="N70" s="30"/>
      <c r="O70" s="30"/>
      <c r="P70" s="33"/>
      <c r="Q70" s="97">
        <f>IFERROR(VLOOKUP(A70,'Historial Certificados'!$A$6:$E$29,5,FALSE),"")</f>
        <v>0</v>
      </c>
      <c r="R70" s="97" t="str">
        <f t="shared" si="1"/>
        <v>ABIERTO</v>
      </c>
    </row>
    <row r="71" spans="1:18">
      <c r="A71" s="115">
        <v>1</v>
      </c>
      <c r="B71" s="114">
        <v>46262</v>
      </c>
      <c r="C71" s="115" t="str">
        <f t="shared" ref="C71:C76" si="11">+CONCATENATE(D71,"-",E71)</f>
        <v>N30-N25</v>
      </c>
      <c r="D71" s="115" t="s">
        <v>331</v>
      </c>
      <c r="E71" s="115" t="s">
        <v>334</v>
      </c>
      <c r="F71" s="115" t="s">
        <v>335</v>
      </c>
      <c r="G71" s="115">
        <v>10.1</v>
      </c>
      <c r="H71" s="107" t="str">
        <f>IF(G71="","",IFERROR(VLOOKUP(G71&amp;"",'Presupuesto Base'!$A$7:$G$24,2,FALSE),"Ítem no encontrado"))</f>
        <v>Conexión domiciliaria sobre red Ø75</v>
      </c>
      <c r="I71" s="107" t="str">
        <f>IF(G71="","",IFERROR(VLOOKUP(G71&amp;"",'Presupuesto Base'!$A$7:$G$24,3,FALSE),""))</f>
        <v>un</v>
      </c>
      <c r="J71" s="30"/>
      <c r="K71" s="32">
        <v>1</v>
      </c>
      <c r="L71" s="108">
        <f>IF(G71="",0,IFERROR(VLOOKUP(G71&amp;"",'Presupuesto Base'!$A$7:$G$24,5,FALSE),0))</f>
        <v>48618.415560564332</v>
      </c>
      <c r="M71" s="108">
        <f t="shared" si="0"/>
        <v>48618.415560564332</v>
      </c>
      <c r="N71" s="30"/>
      <c r="O71" s="30"/>
      <c r="P71" s="33"/>
      <c r="Q71" s="97">
        <f>IFERROR(VLOOKUP(A71,'Historial Certificados'!$A$6:$E$29,5,FALSE),"")</f>
        <v>0</v>
      </c>
      <c r="R71" s="97" t="str">
        <f t="shared" si="1"/>
        <v>ABIERTO</v>
      </c>
    </row>
    <row r="72" spans="1:18">
      <c r="A72" s="113">
        <v>1</v>
      </c>
      <c r="B72" s="114">
        <v>46262</v>
      </c>
      <c r="C72" s="115" t="str">
        <f t="shared" si="11"/>
        <v>N30-N29</v>
      </c>
      <c r="D72" s="115" t="s">
        <v>331</v>
      </c>
      <c r="E72" s="115" t="s">
        <v>332</v>
      </c>
      <c r="F72" s="115" t="s">
        <v>333</v>
      </c>
      <c r="G72" s="115">
        <v>10.1</v>
      </c>
      <c r="H72" s="107" t="str">
        <f>IF(G72="","",IFERROR(VLOOKUP(G72&amp;"",'Presupuesto Base'!$A$7:$G$24,2,FALSE),"Ítem no encontrado"))</f>
        <v>Conexión domiciliaria sobre red Ø75</v>
      </c>
      <c r="I72" s="107" t="str">
        <f>IF(G72="","",IFERROR(VLOOKUP(G72&amp;"",'Presupuesto Base'!$A$7:$G$24,3,FALSE),""))</f>
        <v>un</v>
      </c>
      <c r="J72" s="30"/>
      <c r="K72" s="32">
        <v>1</v>
      </c>
      <c r="L72" s="108">
        <f>IF(G72="",0,IFERROR(VLOOKUP(G72&amp;"",'Presupuesto Base'!$A$7:$G$24,5,FALSE),0))</f>
        <v>48618.415560564332</v>
      </c>
      <c r="M72" s="108">
        <f t="shared" si="0"/>
        <v>48618.415560564332</v>
      </c>
      <c r="N72" s="30"/>
      <c r="O72" s="30"/>
      <c r="P72" s="33"/>
      <c r="Q72" s="97">
        <f>IFERROR(VLOOKUP(A72,'Historial Certificados'!$A$6:$E$29,5,FALSE),"")</f>
        <v>0</v>
      </c>
      <c r="R72" s="97" t="str">
        <f t="shared" si="1"/>
        <v>ABIERTO</v>
      </c>
    </row>
    <row r="73" spans="1:18">
      <c r="A73" s="113">
        <v>1</v>
      </c>
      <c r="B73" s="114">
        <v>46262</v>
      </c>
      <c r="C73" s="115" t="str">
        <f t="shared" si="11"/>
        <v>N24-N22</v>
      </c>
      <c r="D73" s="115" t="s">
        <v>336</v>
      </c>
      <c r="E73" s="115" t="s">
        <v>338</v>
      </c>
      <c r="F73" s="115" t="s">
        <v>337</v>
      </c>
      <c r="G73" s="115">
        <v>10.199999999999999</v>
      </c>
      <c r="H73" s="107" t="str">
        <f>IF(G73="","",IFERROR(VLOOKUP(G73&amp;"",'Presupuesto Base'!$A$7:$G$24,2,FALSE),"Ítem no encontrado"))</f>
        <v>Conexión domiciliaria sobre red Ø110</v>
      </c>
      <c r="I73" s="107" t="str">
        <f>IF(G73="","",IFERROR(VLOOKUP(G73&amp;"",'Presupuesto Base'!$A$7:$G$24,3,FALSE),""))</f>
        <v>un</v>
      </c>
      <c r="J73" s="30"/>
      <c r="K73" s="32">
        <v>1</v>
      </c>
      <c r="L73" s="108">
        <f>IF(G73="",0,IFERROR(VLOOKUP(G73&amp;"",'Presupuesto Base'!$A$7:$G$24,5,FALSE),0))</f>
        <v>55451.879498800321</v>
      </c>
      <c r="M73" s="108">
        <f t="shared" si="0"/>
        <v>55451.879498800321</v>
      </c>
      <c r="N73" s="30"/>
      <c r="O73" s="30"/>
      <c r="P73" s="33"/>
      <c r="Q73" s="97">
        <f>IFERROR(VLOOKUP(A73,'Historial Certificados'!$A$6:$E$29,5,FALSE),"")</f>
        <v>0</v>
      </c>
      <c r="R73" s="97" t="str">
        <f t="shared" si="1"/>
        <v>ABIERTO</v>
      </c>
    </row>
    <row r="74" spans="1:18">
      <c r="A74" s="113">
        <v>1</v>
      </c>
      <c r="B74" s="114">
        <v>46262</v>
      </c>
      <c r="C74" s="115" t="str">
        <f t="shared" si="11"/>
        <v>N29-N28</v>
      </c>
      <c r="D74" s="115" t="s">
        <v>332</v>
      </c>
      <c r="E74" s="115" t="s">
        <v>341</v>
      </c>
      <c r="F74" s="115" t="s">
        <v>333</v>
      </c>
      <c r="G74" s="115">
        <v>10.1</v>
      </c>
      <c r="H74" s="107" t="str">
        <f>IF(G74="","",IFERROR(VLOOKUP(G74&amp;"",'Presupuesto Base'!$A$7:$G$24,2,FALSE),"Ítem no encontrado"))</f>
        <v>Conexión domiciliaria sobre red Ø75</v>
      </c>
      <c r="I74" s="107" t="str">
        <f>IF(G74="","",IFERROR(VLOOKUP(G74&amp;"",'Presupuesto Base'!$A$7:$G$24,3,FALSE),""))</f>
        <v>un</v>
      </c>
      <c r="J74" s="30"/>
      <c r="K74" s="32">
        <v>1</v>
      </c>
      <c r="L74" s="108">
        <f>IF(G74="",0,IFERROR(VLOOKUP(G74&amp;"",'Presupuesto Base'!$A$7:$G$24,5,FALSE),0))</f>
        <v>48618.415560564332</v>
      </c>
      <c r="M74" s="108">
        <f t="shared" si="0"/>
        <v>48618.415560564332</v>
      </c>
      <c r="N74" s="30"/>
      <c r="O74" s="30"/>
      <c r="P74" s="33"/>
      <c r="Q74" s="97">
        <f>IFERROR(VLOOKUP(A74,'Historial Certificados'!$A$6:$E$29,5,FALSE),"")</f>
        <v>0</v>
      </c>
      <c r="R74" s="97" t="str">
        <f t="shared" si="1"/>
        <v>ABIERTO</v>
      </c>
    </row>
    <row r="75" spans="1:18">
      <c r="A75" s="113">
        <v>1</v>
      </c>
      <c r="B75" s="114">
        <v>46262</v>
      </c>
      <c r="C75" s="113" t="str">
        <f t="shared" si="11"/>
        <v>N22-N29</v>
      </c>
      <c r="D75" s="113" t="s">
        <v>338</v>
      </c>
      <c r="E75" s="113" t="s">
        <v>332</v>
      </c>
      <c r="F75" s="113" t="s">
        <v>339</v>
      </c>
      <c r="G75" s="113">
        <v>10.1</v>
      </c>
      <c r="H75" s="107" t="str">
        <f>IF(G75="","",IFERROR(VLOOKUP(G75&amp;"",'Presupuesto Base'!$A$7:$G$24,2,FALSE),"Ítem no encontrado"))</f>
        <v>Conexión domiciliaria sobre red Ø75</v>
      </c>
      <c r="I75" s="107" t="str">
        <f>IF(G75="","",IFERROR(VLOOKUP(G75&amp;"",'Presupuesto Base'!$A$7:$G$24,3,FALSE),""))</f>
        <v>un</v>
      </c>
      <c r="J75" s="30"/>
      <c r="K75" s="32">
        <v>1</v>
      </c>
      <c r="L75" s="108">
        <f>IF(G75="",0,IFERROR(VLOOKUP(G75&amp;"",'Presupuesto Base'!$A$7:$G$24,5,FALSE),0))</f>
        <v>48618.415560564332</v>
      </c>
      <c r="M75" s="108">
        <f t="shared" si="0"/>
        <v>48618.415560564332</v>
      </c>
      <c r="N75" s="30"/>
      <c r="O75" s="30"/>
      <c r="P75" s="33"/>
      <c r="Q75" s="97">
        <f>IFERROR(VLOOKUP(A75,'Historial Certificados'!$A$6:$E$29,5,FALSE),"")</f>
        <v>0</v>
      </c>
      <c r="R75" s="97" t="str">
        <f t="shared" si="1"/>
        <v>ABIERTO</v>
      </c>
    </row>
    <row r="76" spans="1:18">
      <c r="A76" s="113">
        <v>1</v>
      </c>
      <c r="B76" s="114">
        <v>46262</v>
      </c>
      <c r="C76" s="113" t="str">
        <f t="shared" si="11"/>
        <v>N21-N28</v>
      </c>
      <c r="D76" s="113" t="s">
        <v>340</v>
      </c>
      <c r="E76" s="113" t="s">
        <v>341</v>
      </c>
      <c r="F76" s="113" t="s">
        <v>344</v>
      </c>
      <c r="G76" s="113">
        <v>10.1</v>
      </c>
      <c r="H76" s="107" t="str">
        <f>IF(G76="","",IFERROR(VLOOKUP(G76&amp;"",'Presupuesto Base'!$A$7:$G$24,2,FALSE),"Ítem no encontrado"))</f>
        <v>Conexión domiciliaria sobre red Ø75</v>
      </c>
      <c r="I76" s="107" t="str">
        <f>IF(G76="","",IFERROR(VLOOKUP(G76&amp;"",'Presupuesto Base'!$A$7:$G$24,3,FALSE),""))</f>
        <v>un</v>
      </c>
      <c r="J76" s="30"/>
      <c r="K76" s="32">
        <v>1</v>
      </c>
      <c r="L76" s="108">
        <f>IF(G76="",0,IFERROR(VLOOKUP(G76&amp;"",'Presupuesto Base'!$A$7:$G$24,5,FALSE),0))</f>
        <v>48618.415560564332</v>
      </c>
      <c r="M76" s="108">
        <f t="shared" ref="M76:M139" si="12">IFERROR(K76*L76,0)</f>
        <v>48618.415560564332</v>
      </c>
      <c r="N76" s="30"/>
      <c r="O76" s="30"/>
      <c r="P76" s="33"/>
      <c r="Q76" s="97">
        <f>IFERROR(VLOOKUP(A76,'Historial Certificados'!$A$6:$E$29,5,FALSE),"")</f>
        <v>0</v>
      </c>
      <c r="R76" s="97" t="str">
        <f t="shared" ref="R76:R139" si="13">IF(A76="","",IF(Q76="CERRADO","CERTIFICADO CERRADO - NO MODIFICAR","ABIERTO"))</f>
        <v>ABIERTO</v>
      </c>
    </row>
    <row r="77" spans="1:18">
      <c r="A77" s="113">
        <v>1</v>
      </c>
      <c r="B77" s="114">
        <v>46262</v>
      </c>
      <c r="C77" s="115" t="str">
        <f t="shared" ref="C77" si="14">+CONCATENATE(D77,"-",E77)</f>
        <v>N21-N22</v>
      </c>
      <c r="D77" s="115" t="s">
        <v>340</v>
      </c>
      <c r="E77" s="115" t="s">
        <v>338</v>
      </c>
      <c r="F77" s="115" t="s">
        <v>337</v>
      </c>
      <c r="G77" s="115">
        <v>10.199999999999999</v>
      </c>
      <c r="H77" s="107" t="str">
        <f>IF(G77="","",IFERROR(VLOOKUP(G77&amp;"",'Presupuesto Base'!$A$7:$G$24,2,FALSE),"Ítem no encontrado"))</f>
        <v>Conexión domiciliaria sobre red Ø110</v>
      </c>
      <c r="I77" s="107" t="str">
        <f>IF(G77="","",IFERROR(VLOOKUP(G77&amp;"",'Presupuesto Base'!$A$7:$G$24,3,FALSE),""))</f>
        <v>un</v>
      </c>
      <c r="J77" s="30"/>
      <c r="K77" s="32">
        <v>1</v>
      </c>
      <c r="L77" s="108">
        <f>IF(G77="",0,IFERROR(VLOOKUP(G77&amp;"",'Presupuesto Base'!$A$7:$G$24,5,FALSE),0))</f>
        <v>55451.879498800321</v>
      </c>
      <c r="M77" s="108">
        <f t="shared" si="12"/>
        <v>55451.879498800321</v>
      </c>
      <c r="N77" s="30"/>
      <c r="O77" s="30"/>
      <c r="P77" s="33"/>
      <c r="Q77" s="97">
        <f>IFERROR(VLOOKUP(A77,'Historial Certificados'!$A$6:$E$29,5,FALSE),"")</f>
        <v>0</v>
      </c>
      <c r="R77" s="97" t="str">
        <f t="shared" si="13"/>
        <v>ABIERTO</v>
      </c>
    </row>
    <row r="78" spans="1:18">
      <c r="A78" s="28"/>
      <c r="B78" s="29"/>
      <c r="C78" s="30"/>
      <c r="D78" s="30"/>
      <c r="E78" s="30"/>
      <c r="F78" s="30"/>
      <c r="G78" s="30">
        <v>7</v>
      </c>
      <c r="H78" s="107" t="str">
        <f>IF(G78="","",IFERROR(VLOOKUP(G78&amp;"",'Presupuesto Base'!$A$7:$G$24,2,FALSE),"Ítem no encontrado"))</f>
        <v>Compactación del paquete estructural de 30 cm</v>
      </c>
      <c r="I78" s="107" t="str">
        <f>IF(G78="","",IFERROR(VLOOKUP(G78&amp;"",'Presupuesto Base'!$A$7:$G$24,3,FALSE),""))</f>
        <v>ml</v>
      </c>
      <c r="J78" s="30"/>
      <c r="K78" s="32"/>
      <c r="L78" s="108">
        <f>IF(G78="",0,IFERROR(VLOOKUP(G78&amp;"",'Presupuesto Base'!$A$7:$G$24,5,FALSE),0))</f>
        <v>1227.8630460448644</v>
      </c>
      <c r="M78" s="108">
        <f t="shared" si="12"/>
        <v>0</v>
      </c>
      <c r="N78" s="30"/>
      <c r="O78" s="30"/>
      <c r="P78" s="33"/>
      <c r="Q78" s="97" t="str">
        <f>IFERROR(VLOOKUP(A78,'Historial Certificados'!$A$6:$E$29,5,FALSE),"")</f>
        <v/>
      </c>
      <c r="R78" s="97" t="str">
        <f t="shared" si="13"/>
        <v/>
      </c>
    </row>
    <row r="79" spans="1:18">
      <c r="A79" s="28"/>
      <c r="B79" s="29"/>
      <c r="C79" s="30"/>
      <c r="D79" s="30"/>
      <c r="E79" s="30"/>
      <c r="F79" s="30"/>
      <c r="G79" s="30"/>
      <c r="H79" s="107" t="str">
        <f>IF(G79="","",IFERROR(VLOOKUP(G79&amp;"",'Presupuesto Base'!$A$7:$G$24,2,FALSE),"Ítem no encontrado"))</f>
        <v/>
      </c>
      <c r="I79" s="107" t="str">
        <f>IF(G79="","",IFERROR(VLOOKUP(G79&amp;"",'Presupuesto Base'!$A$7:$G$24,3,FALSE),""))</f>
        <v/>
      </c>
      <c r="J79" s="30"/>
      <c r="K79" s="32"/>
      <c r="L79" s="108">
        <f>IF(G79="",0,IFERROR(VLOOKUP(G79&amp;"",'Presupuesto Base'!$A$7:$G$24,5,FALSE),0))</f>
        <v>0</v>
      </c>
      <c r="M79" s="108">
        <f t="shared" si="12"/>
        <v>0</v>
      </c>
      <c r="N79" s="30"/>
      <c r="O79" s="30"/>
      <c r="P79" s="33"/>
      <c r="Q79" s="97" t="str">
        <f>IFERROR(VLOOKUP(A79,'Historial Certificados'!$A$6:$E$29,5,FALSE),"")</f>
        <v/>
      </c>
      <c r="R79" s="97" t="str">
        <f t="shared" si="13"/>
        <v/>
      </c>
    </row>
    <row r="80" spans="1:18">
      <c r="A80" s="28"/>
      <c r="B80" s="29"/>
      <c r="C80" s="30"/>
      <c r="D80" s="30"/>
      <c r="E80" s="30"/>
      <c r="F80" s="30"/>
      <c r="G80" s="30"/>
      <c r="H80" s="107" t="str">
        <f>IF(G80="","",IFERROR(VLOOKUP(G80&amp;"",'Presupuesto Base'!$A$7:$G$24,2,FALSE),"Ítem no encontrado"))</f>
        <v/>
      </c>
      <c r="I80" s="107" t="str">
        <f>IF(G80="","",IFERROR(VLOOKUP(G80&amp;"",'Presupuesto Base'!$A$7:$G$24,3,FALSE),""))</f>
        <v/>
      </c>
      <c r="J80" s="30"/>
      <c r="K80" s="32"/>
      <c r="L80" s="108">
        <f>IF(G80="",0,IFERROR(VLOOKUP(G80&amp;"",'Presupuesto Base'!$A$7:$G$24,5,FALSE),0))</f>
        <v>0</v>
      </c>
      <c r="M80" s="108">
        <f t="shared" si="12"/>
        <v>0</v>
      </c>
      <c r="N80" s="30"/>
      <c r="O80" s="30"/>
      <c r="P80" s="33"/>
      <c r="Q80" s="97" t="str">
        <f>IFERROR(VLOOKUP(A80,'Historial Certificados'!$A$6:$E$29,5,FALSE),"")</f>
        <v/>
      </c>
      <c r="R80" s="97" t="str">
        <f t="shared" si="13"/>
        <v/>
      </c>
    </row>
    <row r="81" spans="1:18">
      <c r="A81" s="28"/>
      <c r="B81" s="29"/>
      <c r="C81" s="30"/>
      <c r="D81" s="30"/>
      <c r="E81" s="30"/>
      <c r="F81" s="30"/>
      <c r="G81" s="30"/>
      <c r="H81" s="107" t="str">
        <f>IF(G81="","",IFERROR(VLOOKUP(G81&amp;"",'Presupuesto Base'!$A$7:$G$24,2,FALSE),"Ítem no encontrado"))</f>
        <v/>
      </c>
      <c r="I81" s="107" t="str">
        <f>IF(G81="","",IFERROR(VLOOKUP(G81&amp;"",'Presupuesto Base'!$A$7:$G$24,3,FALSE),""))</f>
        <v/>
      </c>
      <c r="J81" s="30"/>
      <c r="K81" s="32"/>
      <c r="L81" s="108">
        <f>IF(G81="",0,IFERROR(VLOOKUP(G81&amp;"",'Presupuesto Base'!$A$7:$G$24,5,FALSE),0))</f>
        <v>0</v>
      </c>
      <c r="M81" s="108">
        <f t="shared" si="12"/>
        <v>0</v>
      </c>
      <c r="N81" s="30"/>
      <c r="O81" s="30"/>
      <c r="P81" s="33"/>
      <c r="Q81" s="97" t="str">
        <f>IFERROR(VLOOKUP(A81,'Historial Certificados'!$A$6:$E$29,5,FALSE),"")</f>
        <v/>
      </c>
      <c r="R81" s="97" t="str">
        <f t="shared" si="13"/>
        <v/>
      </c>
    </row>
    <row r="82" spans="1:18">
      <c r="A82" s="28"/>
      <c r="B82" s="29"/>
      <c r="C82" s="30"/>
      <c r="D82" s="30"/>
      <c r="E82" s="30"/>
      <c r="F82" s="30"/>
      <c r="G82" s="30"/>
      <c r="H82" s="107" t="str">
        <f>IF(G82="","",IFERROR(VLOOKUP(G82&amp;"",'Presupuesto Base'!$A$7:$G$24,2,FALSE),"Ítem no encontrado"))</f>
        <v/>
      </c>
      <c r="I82" s="107" t="str">
        <f>IF(G82="","",IFERROR(VLOOKUP(G82&amp;"",'Presupuesto Base'!$A$7:$G$24,3,FALSE),""))</f>
        <v/>
      </c>
      <c r="J82" s="30"/>
      <c r="K82" s="32"/>
      <c r="L82" s="108">
        <f>IF(G82="",0,IFERROR(VLOOKUP(G82&amp;"",'Presupuesto Base'!$A$7:$G$24,5,FALSE),0))</f>
        <v>0</v>
      </c>
      <c r="M82" s="108">
        <f t="shared" si="12"/>
        <v>0</v>
      </c>
      <c r="N82" s="30"/>
      <c r="O82" s="30"/>
      <c r="P82" s="33"/>
      <c r="Q82" s="97" t="str">
        <f>IFERROR(VLOOKUP(A82,'Historial Certificados'!$A$6:$E$29,5,FALSE),"")</f>
        <v/>
      </c>
      <c r="R82" s="97" t="str">
        <f t="shared" si="13"/>
        <v/>
      </c>
    </row>
    <row r="83" spans="1:18">
      <c r="A83" s="28"/>
      <c r="B83" s="29"/>
      <c r="C83" s="30"/>
      <c r="D83" s="30"/>
      <c r="E83" s="30"/>
      <c r="F83" s="30"/>
      <c r="G83" s="30"/>
      <c r="H83" s="107" t="str">
        <f>IF(G83="","",IFERROR(VLOOKUP(G83&amp;"",'Presupuesto Base'!$A$7:$G$24,2,FALSE),"Ítem no encontrado"))</f>
        <v/>
      </c>
      <c r="I83" s="107" t="str">
        <f>IF(G83="","",IFERROR(VLOOKUP(G83&amp;"",'Presupuesto Base'!$A$7:$G$24,3,FALSE),""))</f>
        <v/>
      </c>
      <c r="J83" s="30"/>
      <c r="K83" s="32"/>
      <c r="L83" s="108">
        <f>IF(G83="",0,IFERROR(VLOOKUP(G83&amp;"",'Presupuesto Base'!$A$7:$G$24,5,FALSE),0))</f>
        <v>0</v>
      </c>
      <c r="M83" s="108">
        <f t="shared" si="12"/>
        <v>0</v>
      </c>
      <c r="N83" s="30"/>
      <c r="O83" s="30"/>
      <c r="P83" s="33"/>
      <c r="Q83" s="97" t="str">
        <f>IFERROR(VLOOKUP(A83,'Historial Certificados'!$A$6:$E$29,5,FALSE),"")</f>
        <v/>
      </c>
      <c r="R83" s="97" t="str">
        <f t="shared" si="13"/>
        <v/>
      </c>
    </row>
    <row r="84" spans="1:18">
      <c r="A84" s="28"/>
      <c r="B84" s="29"/>
      <c r="C84" s="30"/>
      <c r="D84" s="30"/>
      <c r="E84" s="30"/>
      <c r="F84" s="30"/>
      <c r="G84" s="30"/>
      <c r="H84" s="107" t="str">
        <f>IF(G84="","",IFERROR(VLOOKUP(G84&amp;"",'Presupuesto Base'!$A$7:$G$24,2,FALSE),"Ítem no encontrado"))</f>
        <v/>
      </c>
      <c r="I84" s="107" t="str">
        <f>IF(G84="","",IFERROR(VLOOKUP(G84&amp;"",'Presupuesto Base'!$A$7:$G$24,3,FALSE),""))</f>
        <v/>
      </c>
      <c r="J84" s="30"/>
      <c r="K84" s="32"/>
      <c r="L84" s="108">
        <f>IF(G84="",0,IFERROR(VLOOKUP(G84&amp;"",'Presupuesto Base'!$A$7:$G$24,5,FALSE),0))</f>
        <v>0</v>
      </c>
      <c r="M84" s="108">
        <f t="shared" si="12"/>
        <v>0</v>
      </c>
      <c r="N84" s="30"/>
      <c r="O84" s="30"/>
      <c r="P84" s="33"/>
      <c r="Q84" s="97" t="str">
        <f>IFERROR(VLOOKUP(A84,'Historial Certificados'!$A$6:$E$29,5,FALSE),"")</f>
        <v/>
      </c>
      <c r="R84" s="97" t="str">
        <f t="shared" si="13"/>
        <v/>
      </c>
    </row>
    <row r="85" spans="1:18">
      <c r="A85" s="28"/>
      <c r="B85" s="29"/>
      <c r="C85" s="30"/>
      <c r="D85" s="30"/>
      <c r="E85" s="30"/>
      <c r="F85" s="30"/>
      <c r="G85" s="30"/>
      <c r="H85" s="107" t="str">
        <f>IF(G85="","",IFERROR(VLOOKUP(G85&amp;"",'Presupuesto Base'!$A$7:$G$24,2,FALSE),"Ítem no encontrado"))</f>
        <v/>
      </c>
      <c r="I85" s="107" t="str">
        <f>IF(G85="","",IFERROR(VLOOKUP(G85&amp;"",'Presupuesto Base'!$A$7:$G$24,3,FALSE),""))</f>
        <v/>
      </c>
      <c r="J85" s="30"/>
      <c r="K85" s="32"/>
      <c r="L85" s="108">
        <f>IF(G85="",0,IFERROR(VLOOKUP(G85&amp;"",'Presupuesto Base'!$A$7:$G$24,5,FALSE),0))</f>
        <v>0</v>
      </c>
      <c r="M85" s="108">
        <f t="shared" si="12"/>
        <v>0</v>
      </c>
      <c r="N85" s="30"/>
      <c r="O85" s="30"/>
      <c r="P85" s="33"/>
      <c r="Q85" s="97" t="str">
        <f>IFERROR(VLOOKUP(A85,'Historial Certificados'!$A$6:$E$29,5,FALSE),"")</f>
        <v/>
      </c>
      <c r="R85" s="97" t="str">
        <f t="shared" si="13"/>
        <v/>
      </c>
    </row>
    <row r="86" spans="1:18">
      <c r="A86" s="28"/>
      <c r="B86" s="29"/>
      <c r="C86" s="30"/>
      <c r="D86" s="30"/>
      <c r="E86" s="30"/>
      <c r="F86" s="30"/>
      <c r="G86" s="30"/>
      <c r="H86" s="107" t="str">
        <f>IF(G86="","",IFERROR(VLOOKUP(G86&amp;"",'Presupuesto Base'!$A$7:$G$24,2,FALSE),"Ítem no encontrado"))</f>
        <v/>
      </c>
      <c r="I86" s="107" t="str">
        <f>IF(G86="","",IFERROR(VLOOKUP(G86&amp;"",'Presupuesto Base'!$A$7:$G$24,3,FALSE),""))</f>
        <v/>
      </c>
      <c r="J86" s="30"/>
      <c r="K86" s="32"/>
      <c r="L86" s="108">
        <f>IF(G86="",0,IFERROR(VLOOKUP(G86&amp;"",'Presupuesto Base'!$A$7:$G$24,5,FALSE),0))</f>
        <v>0</v>
      </c>
      <c r="M86" s="108">
        <f t="shared" si="12"/>
        <v>0</v>
      </c>
      <c r="N86" s="30"/>
      <c r="O86" s="30"/>
      <c r="P86" s="33"/>
      <c r="Q86" s="97" t="str">
        <f>IFERROR(VLOOKUP(A86,'Historial Certificados'!$A$6:$E$29,5,FALSE),"")</f>
        <v/>
      </c>
      <c r="R86" s="97" t="str">
        <f t="shared" si="13"/>
        <v/>
      </c>
    </row>
    <row r="87" spans="1:18">
      <c r="A87" s="28"/>
      <c r="B87" s="29"/>
      <c r="C87" s="30"/>
      <c r="D87" s="30"/>
      <c r="E87" s="30"/>
      <c r="F87" s="30"/>
      <c r="G87" s="30"/>
      <c r="H87" s="107" t="str">
        <f>IF(G87="","",IFERROR(VLOOKUP(G87&amp;"",'Presupuesto Base'!$A$7:$G$24,2,FALSE),"Ítem no encontrado"))</f>
        <v/>
      </c>
      <c r="I87" s="107" t="str">
        <f>IF(G87="","",IFERROR(VLOOKUP(G87&amp;"",'Presupuesto Base'!$A$7:$G$24,3,FALSE),""))</f>
        <v/>
      </c>
      <c r="J87" s="30"/>
      <c r="K87" s="32"/>
      <c r="L87" s="108">
        <f>IF(G87="",0,IFERROR(VLOOKUP(G87&amp;"",'Presupuesto Base'!$A$7:$G$24,5,FALSE),0))</f>
        <v>0</v>
      </c>
      <c r="M87" s="108">
        <f t="shared" si="12"/>
        <v>0</v>
      </c>
      <c r="N87" s="30"/>
      <c r="O87" s="30"/>
      <c r="P87" s="33"/>
      <c r="Q87" s="97" t="str">
        <f>IFERROR(VLOOKUP(A87,'Historial Certificados'!$A$6:$E$29,5,FALSE),"")</f>
        <v/>
      </c>
      <c r="R87" s="97" t="str">
        <f t="shared" si="13"/>
        <v/>
      </c>
    </row>
    <row r="88" spans="1:18">
      <c r="A88" s="28"/>
      <c r="B88" s="29"/>
      <c r="C88" s="30"/>
      <c r="D88" s="30"/>
      <c r="E88" s="30"/>
      <c r="F88" s="30"/>
      <c r="G88" s="30"/>
      <c r="H88" s="107" t="str">
        <f>IF(G88="","",IFERROR(VLOOKUP(G88&amp;"",'Presupuesto Base'!$A$7:$G$24,2,FALSE),"Ítem no encontrado"))</f>
        <v/>
      </c>
      <c r="I88" s="107" t="str">
        <f>IF(G88="","",IFERROR(VLOOKUP(G88&amp;"",'Presupuesto Base'!$A$7:$G$24,3,FALSE),""))</f>
        <v/>
      </c>
      <c r="J88" s="30"/>
      <c r="K88" s="32"/>
      <c r="L88" s="108">
        <f>IF(G88="",0,IFERROR(VLOOKUP(G88&amp;"",'Presupuesto Base'!$A$7:$G$24,5,FALSE),0))</f>
        <v>0</v>
      </c>
      <c r="M88" s="108">
        <f t="shared" si="12"/>
        <v>0</v>
      </c>
      <c r="N88" s="30"/>
      <c r="O88" s="30"/>
      <c r="P88" s="33"/>
      <c r="Q88" s="97" t="str">
        <f>IFERROR(VLOOKUP(A88,'Historial Certificados'!$A$6:$E$29,5,FALSE),"")</f>
        <v/>
      </c>
      <c r="R88" s="97" t="str">
        <f t="shared" si="13"/>
        <v/>
      </c>
    </row>
    <row r="89" spans="1:18">
      <c r="A89" s="28"/>
      <c r="B89" s="29"/>
      <c r="C89" s="30"/>
      <c r="D89" s="30"/>
      <c r="E89" s="30"/>
      <c r="F89" s="30"/>
      <c r="G89" s="30"/>
      <c r="H89" s="107" t="str">
        <f>IF(G89="","",IFERROR(VLOOKUP(G89&amp;"",'Presupuesto Base'!$A$7:$G$24,2,FALSE),"Ítem no encontrado"))</f>
        <v/>
      </c>
      <c r="I89" s="107" t="str">
        <f>IF(G89="","",IFERROR(VLOOKUP(G89&amp;"",'Presupuesto Base'!$A$7:$G$24,3,FALSE),""))</f>
        <v/>
      </c>
      <c r="J89" s="30"/>
      <c r="K89" s="32"/>
      <c r="L89" s="108">
        <f>IF(G89="",0,IFERROR(VLOOKUP(G89&amp;"",'Presupuesto Base'!$A$7:$G$24,5,FALSE),0))</f>
        <v>0</v>
      </c>
      <c r="M89" s="108">
        <f t="shared" si="12"/>
        <v>0</v>
      </c>
      <c r="N89" s="30"/>
      <c r="O89" s="30"/>
      <c r="P89" s="33"/>
      <c r="Q89" s="97" t="str">
        <f>IFERROR(VLOOKUP(A89,'Historial Certificados'!$A$6:$E$29,5,FALSE),"")</f>
        <v/>
      </c>
      <c r="R89" s="97" t="str">
        <f t="shared" si="13"/>
        <v/>
      </c>
    </row>
    <row r="90" spans="1:18">
      <c r="A90" s="28"/>
      <c r="B90" s="29"/>
      <c r="C90" s="30"/>
      <c r="D90" s="30"/>
      <c r="E90" s="30"/>
      <c r="F90" s="30"/>
      <c r="G90" s="30"/>
      <c r="H90" s="107" t="str">
        <f>IF(G90="","",IFERROR(VLOOKUP(G90&amp;"",'Presupuesto Base'!$A$7:$G$24,2,FALSE),"Ítem no encontrado"))</f>
        <v/>
      </c>
      <c r="I90" s="107" t="str">
        <f>IF(G90="","",IFERROR(VLOOKUP(G90&amp;"",'Presupuesto Base'!$A$7:$G$24,3,FALSE),""))</f>
        <v/>
      </c>
      <c r="J90" s="30"/>
      <c r="K90" s="32"/>
      <c r="L90" s="108">
        <f>IF(G90="",0,IFERROR(VLOOKUP(G90&amp;"",'Presupuesto Base'!$A$7:$G$24,5,FALSE),0))</f>
        <v>0</v>
      </c>
      <c r="M90" s="108">
        <f t="shared" si="12"/>
        <v>0</v>
      </c>
      <c r="N90" s="30"/>
      <c r="O90" s="30"/>
      <c r="P90" s="33"/>
      <c r="Q90" s="97" t="str">
        <f>IFERROR(VLOOKUP(A90,'Historial Certificados'!$A$6:$E$29,5,FALSE),"")</f>
        <v/>
      </c>
      <c r="R90" s="97" t="str">
        <f t="shared" si="13"/>
        <v/>
      </c>
    </row>
    <row r="91" spans="1:18">
      <c r="A91" s="28"/>
      <c r="B91" s="29"/>
      <c r="C91" s="30"/>
      <c r="D91" s="30"/>
      <c r="E91" s="30"/>
      <c r="F91" s="30"/>
      <c r="G91" s="30"/>
      <c r="H91" s="107" t="str">
        <f>IF(G91="","",IFERROR(VLOOKUP(G91&amp;"",'Presupuesto Base'!$A$7:$G$24,2,FALSE),"Ítem no encontrado"))</f>
        <v/>
      </c>
      <c r="I91" s="107" t="str">
        <f>IF(G91="","",IFERROR(VLOOKUP(G91&amp;"",'Presupuesto Base'!$A$7:$G$24,3,FALSE),""))</f>
        <v/>
      </c>
      <c r="J91" s="30"/>
      <c r="K91" s="32"/>
      <c r="L91" s="108">
        <f>IF(G91="",0,IFERROR(VLOOKUP(G91&amp;"",'Presupuesto Base'!$A$7:$G$24,5,FALSE),0))</f>
        <v>0</v>
      </c>
      <c r="M91" s="108">
        <f t="shared" si="12"/>
        <v>0</v>
      </c>
      <c r="N91" s="30"/>
      <c r="O91" s="30"/>
      <c r="P91" s="33"/>
      <c r="Q91" s="97" t="str">
        <f>IFERROR(VLOOKUP(A91,'Historial Certificados'!$A$6:$E$29,5,FALSE),"")</f>
        <v/>
      </c>
      <c r="R91" s="97" t="str">
        <f t="shared" si="13"/>
        <v/>
      </c>
    </row>
    <row r="92" spans="1:18">
      <c r="A92" s="28"/>
      <c r="B92" s="29"/>
      <c r="C92" s="30"/>
      <c r="D92" s="30"/>
      <c r="E92" s="30"/>
      <c r="F92" s="30"/>
      <c r="G92" s="30"/>
      <c r="H92" s="107" t="str">
        <f>IF(G92="","",IFERROR(VLOOKUP(G92&amp;"",'Presupuesto Base'!$A$7:$G$24,2,FALSE),"Ítem no encontrado"))</f>
        <v/>
      </c>
      <c r="I92" s="107" t="str">
        <f>IF(G92="","",IFERROR(VLOOKUP(G92&amp;"",'Presupuesto Base'!$A$7:$G$24,3,FALSE),""))</f>
        <v/>
      </c>
      <c r="J92" s="30"/>
      <c r="K92" s="32"/>
      <c r="L92" s="108">
        <f>IF(G92="",0,IFERROR(VLOOKUP(G92&amp;"",'Presupuesto Base'!$A$7:$G$24,5,FALSE),0))</f>
        <v>0</v>
      </c>
      <c r="M92" s="108">
        <f t="shared" si="12"/>
        <v>0</v>
      </c>
      <c r="N92" s="30"/>
      <c r="O92" s="30"/>
      <c r="P92" s="33"/>
      <c r="Q92" s="97" t="str">
        <f>IFERROR(VLOOKUP(A92,'Historial Certificados'!$A$6:$E$29,5,FALSE),"")</f>
        <v/>
      </c>
      <c r="R92" s="97" t="str">
        <f t="shared" si="13"/>
        <v/>
      </c>
    </row>
    <row r="93" spans="1:18">
      <c r="A93" s="28"/>
      <c r="B93" s="29"/>
      <c r="C93" s="30"/>
      <c r="D93" s="30"/>
      <c r="E93" s="30"/>
      <c r="F93" s="30"/>
      <c r="G93" s="30"/>
      <c r="H93" s="107" t="str">
        <f>IF(G93="","",IFERROR(VLOOKUP(G93&amp;"",'Presupuesto Base'!$A$7:$G$24,2,FALSE),"Ítem no encontrado"))</f>
        <v/>
      </c>
      <c r="I93" s="107" t="str">
        <f>IF(G93="","",IFERROR(VLOOKUP(G93&amp;"",'Presupuesto Base'!$A$7:$G$24,3,FALSE),""))</f>
        <v/>
      </c>
      <c r="J93" s="30"/>
      <c r="K93" s="32"/>
      <c r="L93" s="108">
        <f>IF(G93="",0,IFERROR(VLOOKUP(G93&amp;"",'Presupuesto Base'!$A$7:$G$24,5,FALSE),0))</f>
        <v>0</v>
      </c>
      <c r="M93" s="108">
        <f t="shared" si="12"/>
        <v>0</v>
      </c>
      <c r="N93" s="30"/>
      <c r="O93" s="30"/>
      <c r="P93" s="33"/>
      <c r="Q93" s="97" t="str">
        <f>IFERROR(VLOOKUP(A93,'Historial Certificados'!$A$6:$E$29,5,FALSE),"")</f>
        <v/>
      </c>
      <c r="R93" s="97" t="str">
        <f t="shared" si="13"/>
        <v/>
      </c>
    </row>
    <row r="94" spans="1:18">
      <c r="A94" s="28"/>
      <c r="B94" s="29"/>
      <c r="C94" s="30"/>
      <c r="D94" s="30"/>
      <c r="E94" s="30"/>
      <c r="F94" s="30"/>
      <c r="G94" s="30"/>
      <c r="H94" s="107" t="str">
        <f>IF(G94="","",IFERROR(VLOOKUP(G94&amp;"",'Presupuesto Base'!$A$7:$G$24,2,FALSE),"Ítem no encontrado"))</f>
        <v/>
      </c>
      <c r="I94" s="107" t="str">
        <f>IF(G94="","",IFERROR(VLOOKUP(G94&amp;"",'Presupuesto Base'!$A$7:$G$24,3,FALSE),""))</f>
        <v/>
      </c>
      <c r="J94" s="30"/>
      <c r="K94" s="32"/>
      <c r="L94" s="108">
        <f>IF(G94="",0,IFERROR(VLOOKUP(G94&amp;"",'Presupuesto Base'!$A$7:$G$24,5,FALSE),0))</f>
        <v>0</v>
      </c>
      <c r="M94" s="108">
        <f t="shared" si="12"/>
        <v>0</v>
      </c>
      <c r="N94" s="30"/>
      <c r="O94" s="30"/>
      <c r="P94" s="33"/>
      <c r="Q94" s="97" t="str">
        <f>IFERROR(VLOOKUP(A94,'Historial Certificados'!$A$6:$E$29,5,FALSE),"")</f>
        <v/>
      </c>
      <c r="R94" s="97" t="str">
        <f t="shared" si="13"/>
        <v/>
      </c>
    </row>
    <row r="95" spans="1:18">
      <c r="A95" s="28"/>
      <c r="B95" s="29"/>
      <c r="C95" s="30"/>
      <c r="D95" s="30"/>
      <c r="E95" s="30"/>
      <c r="F95" s="30"/>
      <c r="G95" s="30"/>
      <c r="H95" s="107" t="str">
        <f>IF(G95="","",IFERROR(VLOOKUP(G95&amp;"",'Presupuesto Base'!$A$7:$G$24,2,FALSE),"Ítem no encontrado"))</f>
        <v/>
      </c>
      <c r="I95" s="107" t="str">
        <f>IF(G95="","",IFERROR(VLOOKUP(G95&amp;"",'Presupuesto Base'!$A$7:$G$24,3,FALSE),""))</f>
        <v/>
      </c>
      <c r="J95" s="30"/>
      <c r="K95" s="32"/>
      <c r="L95" s="108">
        <f>IF(G95="",0,IFERROR(VLOOKUP(G95&amp;"",'Presupuesto Base'!$A$7:$G$24,5,FALSE),0))</f>
        <v>0</v>
      </c>
      <c r="M95" s="108">
        <f t="shared" si="12"/>
        <v>0</v>
      </c>
      <c r="N95" s="30"/>
      <c r="O95" s="30"/>
      <c r="P95" s="33"/>
      <c r="Q95" s="97" t="str">
        <f>IFERROR(VLOOKUP(A95,'Historial Certificados'!$A$6:$E$29,5,FALSE),"")</f>
        <v/>
      </c>
      <c r="R95" s="97" t="str">
        <f t="shared" si="13"/>
        <v/>
      </c>
    </row>
    <row r="96" spans="1:18">
      <c r="A96" s="28"/>
      <c r="B96" s="29"/>
      <c r="C96" s="30"/>
      <c r="D96" s="30"/>
      <c r="E96" s="30"/>
      <c r="F96" s="30"/>
      <c r="G96" s="30"/>
      <c r="H96" s="107" t="str">
        <f>IF(G96="","",IFERROR(VLOOKUP(G96&amp;"",'Presupuesto Base'!$A$7:$G$24,2,FALSE),"Ítem no encontrado"))</f>
        <v/>
      </c>
      <c r="I96" s="107" t="str">
        <f>IF(G96="","",IFERROR(VLOOKUP(G96&amp;"",'Presupuesto Base'!$A$7:$G$24,3,FALSE),""))</f>
        <v/>
      </c>
      <c r="J96" s="30"/>
      <c r="K96" s="32"/>
      <c r="L96" s="108">
        <f>IF(G96="",0,IFERROR(VLOOKUP(G96&amp;"",'Presupuesto Base'!$A$7:$G$24,5,FALSE),0))</f>
        <v>0</v>
      </c>
      <c r="M96" s="108">
        <f t="shared" si="12"/>
        <v>0</v>
      </c>
      <c r="N96" s="30"/>
      <c r="O96" s="30"/>
      <c r="P96" s="33"/>
      <c r="Q96" s="97" t="str">
        <f>IFERROR(VLOOKUP(A96,'Historial Certificados'!$A$6:$E$29,5,FALSE),"")</f>
        <v/>
      </c>
      <c r="R96" s="97" t="str">
        <f t="shared" si="13"/>
        <v/>
      </c>
    </row>
    <row r="97" spans="1:18">
      <c r="A97" s="28"/>
      <c r="B97" s="29"/>
      <c r="C97" s="30"/>
      <c r="D97" s="30"/>
      <c r="E97" s="30"/>
      <c r="F97" s="30"/>
      <c r="G97" s="30"/>
      <c r="H97" s="107" t="str">
        <f>IF(G97="","",IFERROR(VLOOKUP(G97&amp;"",'Presupuesto Base'!$A$7:$G$24,2,FALSE),"Ítem no encontrado"))</f>
        <v/>
      </c>
      <c r="I97" s="107" t="str">
        <f>IF(G97="","",IFERROR(VLOOKUP(G97&amp;"",'Presupuesto Base'!$A$7:$G$24,3,FALSE),""))</f>
        <v/>
      </c>
      <c r="J97" s="30"/>
      <c r="K97" s="32"/>
      <c r="L97" s="108">
        <f>IF(G97="",0,IFERROR(VLOOKUP(G97&amp;"",'Presupuesto Base'!$A$7:$G$24,5,FALSE),0))</f>
        <v>0</v>
      </c>
      <c r="M97" s="108">
        <f t="shared" si="12"/>
        <v>0</v>
      </c>
      <c r="N97" s="30"/>
      <c r="O97" s="30"/>
      <c r="P97" s="33"/>
      <c r="Q97" s="97" t="str">
        <f>IFERROR(VLOOKUP(A97,'Historial Certificados'!$A$6:$E$29,5,FALSE),"")</f>
        <v/>
      </c>
      <c r="R97" s="97" t="str">
        <f t="shared" si="13"/>
        <v/>
      </c>
    </row>
    <row r="98" spans="1:18">
      <c r="A98" s="28"/>
      <c r="B98" s="29"/>
      <c r="C98" s="30"/>
      <c r="D98" s="30"/>
      <c r="E98" s="30"/>
      <c r="F98" s="30"/>
      <c r="G98" s="30"/>
      <c r="H98" s="107" t="str">
        <f>IF(G98="","",IFERROR(VLOOKUP(G98&amp;"",'Presupuesto Base'!$A$7:$G$24,2,FALSE),"Ítem no encontrado"))</f>
        <v/>
      </c>
      <c r="I98" s="107" t="str">
        <f>IF(G98="","",IFERROR(VLOOKUP(G98&amp;"",'Presupuesto Base'!$A$7:$G$24,3,FALSE),""))</f>
        <v/>
      </c>
      <c r="J98" s="30"/>
      <c r="K98" s="32"/>
      <c r="L98" s="108">
        <f>IF(G98="",0,IFERROR(VLOOKUP(G98&amp;"",'Presupuesto Base'!$A$7:$G$24,5,FALSE),0))</f>
        <v>0</v>
      </c>
      <c r="M98" s="108">
        <f t="shared" si="12"/>
        <v>0</v>
      </c>
      <c r="N98" s="30"/>
      <c r="O98" s="30"/>
      <c r="P98" s="33"/>
      <c r="Q98" s="97" t="str">
        <f>IFERROR(VLOOKUP(A98,'Historial Certificados'!$A$6:$E$29,5,FALSE),"")</f>
        <v/>
      </c>
      <c r="R98" s="97" t="str">
        <f t="shared" si="13"/>
        <v/>
      </c>
    </row>
    <row r="99" spans="1:18">
      <c r="A99" s="28"/>
      <c r="B99" s="29"/>
      <c r="C99" s="30"/>
      <c r="D99" s="30"/>
      <c r="E99" s="30"/>
      <c r="F99" s="30"/>
      <c r="G99" s="30"/>
      <c r="H99" s="107" t="str">
        <f>IF(G99="","",IFERROR(VLOOKUP(G99&amp;"",'Presupuesto Base'!$A$7:$G$24,2,FALSE),"Ítem no encontrado"))</f>
        <v/>
      </c>
      <c r="I99" s="107" t="str">
        <f>IF(G99="","",IFERROR(VLOOKUP(G99&amp;"",'Presupuesto Base'!$A$7:$G$24,3,FALSE),""))</f>
        <v/>
      </c>
      <c r="J99" s="30"/>
      <c r="K99" s="32"/>
      <c r="L99" s="108">
        <f>IF(G99="",0,IFERROR(VLOOKUP(G99&amp;"",'Presupuesto Base'!$A$7:$G$24,5,FALSE),0))</f>
        <v>0</v>
      </c>
      <c r="M99" s="108">
        <f t="shared" si="12"/>
        <v>0</v>
      </c>
      <c r="N99" s="30"/>
      <c r="O99" s="30"/>
      <c r="P99" s="33"/>
      <c r="Q99" s="97" t="str">
        <f>IFERROR(VLOOKUP(A99,'Historial Certificados'!$A$6:$E$29,5,FALSE),"")</f>
        <v/>
      </c>
      <c r="R99" s="97" t="str">
        <f t="shared" si="13"/>
        <v/>
      </c>
    </row>
    <row r="100" spans="1:18">
      <c r="A100" s="28"/>
      <c r="B100" s="29"/>
      <c r="C100" s="30"/>
      <c r="D100" s="30"/>
      <c r="E100" s="30"/>
      <c r="F100" s="30"/>
      <c r="G100" s="30"/>
      <c r="H100" s="107" t="str">
        <f>IF(G100="","",IFERROR(VLOOKUP(G100&amp;"",'Presupuesto Base'!$A$7:$G$24,2,FALSE),"Ítem no encontrado"))</f>
        <v/>
      </c>
      <c r="I100" s="107" t="str">
        <f>IF(G100="","",IFERROR(VLOOKUP(G100&amp;"",'Presupuesto Base'!$A$7:$G$24,3,FALSE),""))</f>
        <v/>
      </c>
      <c r="J100" s="30"/>
      <c r="K100" s="32"/>
      <c r="L100" s="108">
        <f>IF(G100="",0,IFERROR(VLOOKUP(G100&amp;"",'Presupuesto Base'!$A$7:$G$24,5,FALSE),0))</f>
        <v>0</v>
      </c>
      <c r="M100" s="108">
        <f t="shared" si="12"/>
        <v>0</v>
      </c>
      <c r="N100" s="30"/>
      <c r="O100" s="30"/>
      <c r="P100" s="33"/>
      <c r="Q100" s="97" t="str">
        <f>IFERROR(VLOOKUP(A100,'Historial Certificados'!$A$6:$E$29,5,FALSE),"")</f>
        <v/>
      </c>
      <c r="R100" s="97" t="str">
        <f t="shared" si="13"/>
        <v/>
      </c>
    </row>
    <row r="101" spans="1:18">
      <c r="A101" s="28"/>
      <c r="B101" s="29"/>
      <c r="C101" s="30"/>
      <c r="D101" s="30"/>
      <c r="E101" s="30"/>
      <c r="F101" s="30"/>
      <c r="G101" s="30"/>
      <c r="H101" s="107" t="str">
        <f>IF(G101="","",IFERROR(VLOOKUP(G101&amp;"",'Presupuesto Base'!$A$7:$G$24,2,FALSE),"Ítem no encontrado"))</f>
        <v/>
      </c>
      <c r="I101" s="107" t="str">
        <f>IF(G101="","",IFERROR(VLOOKUP(G101&amp;"",'Presupuesto Base'!$A$7:$G$24,3,FALSE),""))</f>
        <v/>
      </c>
      <c r="J101" s="30"/>
      <c r="K101" s="32"/>
      <c r="L101" s="108">
        <f>IF(G101="",0,IFERROR(VLOOKUP(G101&amp;"",'Presupuesto Base'!$A$7:$G$24,5,FALSE),0))</f>
        <v>0</v>
      </c>
      <c r="M101" s="108">
        <f t="shared" si="12"/>
        <v>0</v>
      </c>
      <c r="N101" s="30"/>
      <c r="O101" s="30"/>
      <c r="P101" s="33"/>
      <c r="Q101" s="97" t="str">
        <f>IFERROR(VLOOKUP(A101,'Historial Certificados'!$A$6:$E$29,5,FALSE),"")</f>
        <v/>
      </c>
      <c r="R101" s="97" t="str">
        <f t="shared" si="13"/>
        <v/>
      </c>
    </row>
    <row r="102" spans="1:18">
      <c r="A102" s="28"/>
      <c r="B102" s="29"/>
      <c r="C102" s="30"/>
      <c r="D102" s="30"/>
      <c r="E102" s="30"/>
      <c r="F102" s="30"/>
      <c r="G102" s="30"/>
      <c r="H102" s="107" t="str">
        <f>IF(G102="","",IFERROR(VLOOKUP(G102&amp;"",'Presupuesto Base'!$A$7:$G$24,2,FALSE),"Ítem no encontrado"))</f>
        <v/>
      </c>
      <c r="I102" s="107" t="str">
        <f>IF(G102="","",IFERROR(VLOOKUP(G102&amp;"",'Presupuesto Base'!$A$7:$G$24,3,FALSE),""))</f>
        <v/>
      </c>
      <c r="J102" s="30"/>
      <c r="K102" s="32"/>
      <c r="L102" s="108">
        <f>IF(G102="",0,IFERROR(VLOOKUP(G102&amp;"",'Presupuesto Base'!$A$7:$G$24,5,FALSE),0))</f>
        <v>0</v>
      </c>
      <c r="M102" s="108">
        <f t="shared" si="12"/>
        <v>0</v>
      </c>
      <c r="N102" s="30"/>
      <c r="O102" s="30"/>
      <c r="P102" s="33"/>
      <c r="Q102" s="97" t="str">
        <f>IFERROR(VLOOKUP(A102,'Historial Certificados'!$A$6:$E$29,5,FALSE),"")</f>
        <v/>
      </c>
      <c r="R102" s="97" t="str">
        <f t="shared" si="13"/>
        <v/>
      </c>
    </row>
    <row r="103" spans="1:18">
      <c r="A103" s="28"/>
      <c r="B103" s="29"/>
      <c r="C103" s="30"/>
      <c r="D103" s="30"/>
      <c r="E103" s="30"/>
      <c r="F103" s="30"/>
      <c r="G103" s="30"/>
      <c r="H103" s="107" t="str">
        <f>IF(G103="","",IFERROR(VLOOKUP(G103&amp;"",'Presupuesto Base'!$A$7:$G$24,2,FALSE),"Ítem no encontrado"))</f>
        <v/>
      </c>
      <c r="I103" s="107" t="str">
        <f>IF(G103="","",IFERROR(VLOOKUP(G103&amp;"",'Presupuesto Base'!$A$7:$G$24,3,FALSE),""))</f>
        <v/>
      </c>
      <c r="J103" s="30"/>
      <c r="K103" s="32"/>
      <c r="L103" s="108">
        <f>IF(G103="",0,IFERROR(VLOOKUP(G103&amp;"",'Presupuesto Base'!$A$7:$G$24,5,FALSE),0))</f>
        <v>0</v>
      </c>
      <c r="M103" s="108">
        <f t="shared" si="12"/>
        <v>0</v>
      </c>
      <c r="N103" s="30"/>
      <c r="O103" s="30"/>
      <c r="P103" s="33"/>
      <c r="Q103" s="97" t="str">
        <f>IFERROR(VLOOKUP(A103,'Historial Certificados'!$A$6:$E$29,5,FALSE),"")</f>
        <v/>
      </c>
      <c r="R103" s="97" t="str">
        <f t="shared" si="13"/>
        <v/>
      </c>
    </row>
    <row r="104" spans="1:18">
      <c r="A104" s="28"/>
      <c r="B104" s="29"/>
      <c r="C104" s="30"/>
      <c r="D104" s="30"/>
      <c r="E104" s="30"/>
      <c r="F104" s="30"/>
      <c r="G104" s="30"/>
      <c r="H104" s="107" t="str">
        <f>IF(G104="","",IFERROR(VLOOKUP(G104&amp;"",'Presupuesto Base'!$A$7:$G$24,2,FALSE),"Ítem no encontrado"))</f>
        <v/>
      </c>
      <c r="I104" s="107" t="str">
        <f>IF(G104="","",IFERROR(VLOOKUP(G104&amp;"",'Presupuesto Base'!$A$7:$G$24,3,FALSE),""))</f>
        <v/>
      </c>
      <c r="J104" s="30"/>
      <c r="K104" s="32"/>
      <c r="L104" s="108">
        <f>IF(G104="",0,IFERROR(VLOOKUP(G104&amp;"",'Presupuesto Base'!$A$7:$G$24,5,FALSE),0))</f>
        <v>0</v>
      </c>
      <c r="M104" s="108">
        <f t="shared" si="12"/>
        <v>0</v>
      </c>
      <c r="N104" s="30"/>
      <c r="O104" s="30"/>
      <c r="P104" s="33"/>
      <c r="Q104" s="97" t="str">
        <f>IFERROR(VLOOKUP(A104,'Historial Certificados'!$A$6:$E$29,5,FALSE),"")</f>
        <v/>
      </c>
      <c r="R104" s="97" t="str">
        <f t="shared" si="13"/>
        <v/>
      </c>
    </row>
    <row r="105" spans="1:18">
      <c r="A105" s="28"/>
      <c r="B105" s="29"/>
      <c r="C105" s="30"/>
      <c r="D105" s="30"/>
      <c r="E105" s="30"/>
      <c r="F105" s="30"/>
      <c r="G105" s="30"/>
      <c r="H105" s="107" t="str">
        <f>IF(G105="","",IFERROR(VLOOKUP(G105&amp;"",'Presupuesto Base'!$A$7:$G$24,2,FALSE),"Ítem no encontrado"))</f>
        <v/>
      </c>
      <c r="I105" s="107" t="str">
        <f>IF(G105="","",IFERROR(VLOOKUP(G105&amp;"",'Presupuesto Base'!$A$7:$G$24,3,FALSE),""))</f>
        <v/>
      </c>
      <c r="J105" s="30"/>
      <c r="K105" s="32"/>
      <c r="L105" s="108">
        <f>IF(G105="",0,IFERROR(VLOOKUP(G105&amp;"",'Presupuesto Base'!$A$7:$G$24,5,FALSE),0))</f>
        <v>0</v>
      </c>
      <c r="M105" s="108">
        <f t="shared" si="12"/>
        <v>0</v>
      </c>
      <c r="N105" s="30"/>
      <c r="O105" s="30"/>
      <c r="P105" s="33"/>
      <c r="Q105" s="97" t="str">
        <f>IFERROR(VLOOKUP(A105,'Historial Certificados'!$A$6:$E$29,5,FALSE),"")</f>
        <v/>
      </c>
      <c r="R105" s="97" t="str">
        <f t="shared" si="13"/>
        <v/>
      </c>
    </row>
    <row r="106" spans="1:18">
      <c r="A106" s="28"/>
      <c r="B106" s="29"/>
      <c r="C106" s="30"/>
      <c r="D106" s="30"/>
      <c r="E106" s="30"/>
      <c r="F106" s="30"/>
      <c r="G106" s="30"/>
      <c r="H106" s="107" t="str">
        <f>IF(G106="","",IFERROR(VLOOKUP(G106&amp;"",'Presupuesto Base'!$A$7:$G$24,2,FALSE),"Ítem no encontrado"))</f>
        <v/>
      </c>
      <c r="I106" s="107" t="str">
        <f>IF(G106="","",IFERROR(VLOOKUP(G106&amp;"",'Presupuesto Base'!$A$7:$G$24,3,FALSE),""))</f>
        <v/>
      </c>
      <c r="J106" s="30"/>
      <c r="K106" s="32"/>
      <c r="L106" s="108">
        <f>IF(G106="",0,IFERROR(VLOOKUP(G106&amp;"",'Presupuesto Base'!$A$7:$G$24,5,FALSE),0))</f>
        <v>0</v>
      </c>
      <c r="M106" s="108">
        <f t="shared" si="12"/>
        <v>0</v>
      </c>
      <c r="N106" s="30"/>
      <c r="O106" s="30"/>
      <c r="P106" s="33"/>
      <c r="Q106" s="97" t="str">
        <f>IFERROR(VLOOKUP(A106,'Historial Certificados'!$A$6:$E$29,5,FALSE),"")</f>
        <v/>
      </c>
      <c r="R106" s="97" t="str">
        <f t="shared" si="13"/>
        <v/>
      </c>
    </row>
    <row r="107" spans="1:18">
      <c r="A107" s="28"/>
      <c r="B107" s="29"/>
      <c r="C107" s="30"/>
      <c r="D107" s="30"/>
      <c r="E107" s="30"/>
      <c r="F107" s="30"/>
      <c r="G107" s="30"/>
      <c r="H107" s="107" t="str">
        <f>IF(G107="","",IFERROR(VLOOKUP(G107&amp;"",'Presupuesto Base'!$A$7:$G$24,2,FALSE),"Ítem no encontrado"))</f>
        <v/>
      </c>
      <c r="I107" s="107" t="str">
        <f>IF(G107="","",IFERROR(VLOOKUP(G107&amp;"",'Presupuesto Base'!$A$7:$G$24,3,FALSE),""))</f>
        <v/>
      </c>
      <c r="J107" s="30"/>
      <c r="K107" s="32"/>
      <c r="L107" s="108">
        <f>IF(G107="",0,IFERROR(VLOOKUP(G107&amp;"",'Presupuesto Base'!$A$7:$G$24,5,FALSE),0))</f>
        <v>0</v>
      </c>
      <c r="M107" s="108">
        <f t="shared" si="12"/>
        <v>0</v>
      </c>
      <c r="N107" s="30"/>
      <c r="O107" s="30"/>
      <c r="P107" s="33"/>
      <c r="Q107" s="97" t="str">
        <f>IFERROR(VLOOKUP(A107,'Historial Certificados'!$A$6:$E$29,5,FALSE),"")</f>
        <v/>
      </c>
      <c r="R107" s="97" t="str">
        <f t="shared" si="13"/>
        <v/>
      </c>
    </row>
    <row r="108" spans="1:18">
      <c r="A108" s="28"/>
      <c r="B108" s="29"/>
      <c r="C108" s="30"/>
      <c r="D108" s="30"/>
      <c r="E108" s="30"/>
      <c r="F108" s="30"/>
      <c r="G108" s="30"/>
      <c r="H108" s="107" t="str">
        <f>IF(G108="","",IFERROR(VLOOKUP(G108&amp;"",'Presupuesto Base'!$A$7:$G$24,2,FALSE),"Ítem no encontrado"))</f>
        <v/>
      </c>
      <c r="I108" s="107" t="str">
        <f>IF(G108="","",IFERROR(VLOOKUP(G108&amp;"",'Presupuesto Base'!$A$7:$G$24,3,FALSE),""))</f>
        <v/>
      </c>
      <c r="J108" s="30"/>
      <c r="K108" s="32"/>
      <c r="L108" s="108">
        <f>IF(G108="",0,IFERROR(VLOOKUP(G108&amp;"",'Presupuesto Base'!$A$7:$G$24,5,FALSE),0))</f>
        <v>0</v>
      </c>
      <c r="M108" s="108">
        <f t="shared" si="12"/>
        <v>0</v>
      </c>
      <c r="N108" s="30"/>
      <c r="O108" s="30"/>
      <c r="P108" s="33"/>
      <c r="Q108" s="97" t="str">
        <f>IFERROR(VLOOKUP(A108,'Historial Certificados'!$A$6:$E$29,5,FALSE),"")</f>
        <v/>
      </c>
      <c r="R108" s="97" t="str">
        <f t="shared" si="13"/>
        <v/>
      </c>
    </row>
    <row r="109" spans="1:18">
      <c r="A109" s="28"/>
      <c r="B109" s="29"/>
      <c r="C109" s="30"/>
      <c r="D109" s="30"/>
      <c r="E109" s="30"/>
      <c r="F109" s="30"/>
      <c r="G109" s="30"/>
      <c r="H109" s="107" t="str">
        <f>IF(G109="","",IFERROR(VLOOKUP(G109&amp;"",'Presupuesto Base'!$A$7:$G$24,2,FALSE),"Ítem no encontrado"))</f>
        <v/>
      </c>
      <c r="I109" s="107" t="str">
        <f>IF(G109="","",IFERROR(VLOOKUP(G109&amp;"",'Presupuesto Base'!$A$7:$G$24,3,FALSE),""))</f>
        <v/>
      </c>
      <c r="J109" s="30"/>
      <c r="K109" s="32"/>
      <c r="L109" s="108">
        <f>IF(G109="",0,IFERROR(VLOOKUP(G109&amp;"",'Presupuesto Base'!$A$7:$G$24,5,FALSE),0))</f>
        <v>0</v>
      </c>
      <c r="M109" s="108">
        <f t="shared" si="12"/>
        <v>0</v>
      </c>
      <c r="N109" s="30"/>
      <c r="O109" s="30"/>
      <c r="P109" s="33"/>
      <c r="Q109" s="97" t="str">
        <f>IFERROR(VLOOKUP(A109,'Historial Certificados'!$A$6:$E$29,5,FALSE),"")</f>
        <v/>
      </c>
      <c r="R109" s="97" t="str">
        <f t="shared" si="13"/>
        <v/>
      </c>
    </row>
    <row r="110" spans="1:18">
      <c r="A110" s="28"/>
      <c r="B110" s="29"/>
      <c r="C110" s="30"/>
      <c r="D110" s="30"/>
      <c r="E110" s="30"/>
      <c r="F110" s="30"/>
      <c r="G110" s="30"/>
      <c r="H110" s="107" t="str">
        <f>IF(G110="","",IFERROR(VLOOKUP(G110&amp;"",'Presupuesto Base'!$A$7:$G$24,2,FALSE),"Ítem no encontrado"))</f>
        <v/>
      </c>
      <c r="I110" s="107" t="str">
        <f>IF(G110="","",IFERROR(VLOOKUP(G110&amp;"",'Presupuesto Base'!$A$7:$G$24,3,FALSE),""))</f>
        <v/>
      </c>
      <c r="J110" s="30"/>
      <c r="K110" s="32"/>
      <c r="L110" s="108">
        <f>IF(G110="",0,IFERROR(VLOOKUP(G110&amp;"",'Presupuesto Base'!$A$7:$G$24,5,FALSE),0))</f>
        <v>0</v>
      </c>
      <c r="M110" s="108">
        <f t="shared" si="12"/>
        <v>0</v>
      </c>
      <c r="N110" s="30"/>
      <c r="O110" s="30"/>
      <c r="P110" s="33"/>
      <c r="Q110" s="97" t="str">
        <f>IFERROR(VLOOKUP(A110,'Historial Certificados'!$A$6:$E$29,5,FALSE),"")</f>
        <v/>
      </c>
      <c r="R110" s="97" t="str">
        <f t="shared" si="13"/>
        <v/>
      </c>
    </row>
    <row r="111" spans="1:18">
      <c r="A111" s="28"/>
      <c r="B111" s="29"/>
      <c r="C111" s="30"/>
      <c r="D111" s="30"/>
      <c r="E111" s="30"/>
      <c r="F111" s="30"/>
      <c r="G111" s="30"/>
      <c r="H111" s="107" t="str">
        <f>IF(G111="","",IFERROR(VLOOKUP(G111&amp;"",'Presupuesto Base'!$A$7:$G$24,2,FALSE),"Ítem no encontrado"))</f>
        <v/>
      </c>
      <c r="I111" s="107" t="str">
        <f>IF(G111="","",IFERROR(VLOOKUP(G111&amp;"",'Presupuesto Base'!$A$7:$G$24,3,FALSE),""))</f>
        <v/>
      </c>
      <c r="J111" s="30"/>
      <c r="K111" s="32"/>
      <c r="L111" s="108">
        <f>IF(G111="",0,IFERROR(VLOOKUP(G111&amp;"",'Presupuesto Base'!$A$7:$G$24,5,FALSE),0))</f>
        <v>0</v>
      </c>
      <c r="M111" s="108">
        <f t="shared" si="12"/>
        <v>0</v>
      </c>
      <c r="N111" s="30"/>
      <c r="O111" s="30"/>
      <c r="P111" s="33"/>
      <c r="Q111" s="97" t="str">
        <f>IFERROR(VLOOKUP(A111,'Historial Certificados'!$A$6:$E$29,5,FALSE),"")</f>
        <v/>
      </c>
      <c r="R111" s="97" t="str">
        <f t="shared" si="13"/>
        <v/>
      </c>
    </row>
    <row r="112" spans="1:18">
      <c r="A112" s="28"/>
      <c r="B112" s="29"/>
      <c r="C112" s="30"/>
      <c r="D112" s="30"/>
      <c r="E112" s="30"/>
      <c r="F112" s="30"/>
      <c r="G112" s="30"/>
      <c r="H112" s="107" t="str">
        <f>IF(G112="","",IFERROR(VLOOKUP(G112&amp;"",'Presupuesto Base'!$A$7:$G$24,2,FALSE),"Ítem no encontrado"))</f>
        <v/>
      </c>
      <c r="I112" s="107" t="str">
        <f>IF(G112="","",IFERROR(VLOOKUP(G112&amp;"",'Presupuesto Base'!$A$7:$G$24,3,FALSE),""))</f>
        <v/>
      </c>
      <c r="J112" s="30"/>
      <c r="K112" s="32"/>
      <c r="L112" s="108">
        <f>IF(G112="",0,IFERROR(VLOOKUP(G112&amp;"",'Presupuesto Base'!$A$7:$G$24,5,FALSE),0))</f>
        <v>0</v>
      </c>
      <c r="M112" s="108">
        <f t="shared" si="12"/>
        <v>0</v>
      </c>
      <c r="N112" s="30"/>
      <c r="O112" s="30"/>
      <c r="P112" s="33"/>
      <c r="Q112" s="97" t="str">
        <f>IFERROR(VLOOKUP(A112,'Historial Certificados'!$A$6:$E$29,5,FALSE),"")</f>
        <v/>
      </c>
      <c r="R112" s="97" t="str">
        <f t="shared" si="13"/>
        <v/>
      </c>
    </row>
    <row r="113" spans="1:18">
      <c r="A113" s="28"/>
      <c r="B113" s="29"/>
      <c r="C113" s="30"/>
      <c r="D113" s="30"/>
      <c r="E113" s="30"/>
      <c r="F113" s="30"/>
      <c r="G113" s="30"/>
      <c r="H113" s="107" t="str">
        <f>IF(G113="","",IFERROR(VLOOKUP(G113&amp;"",'Presupuesto Base'!$A$7:$G$24,2,FALSE),"Ítem no encontrado"))</f>
        <v/>
      </c>
      <c r="I113" s="107" t="str">
        <f>IF(G113="","",IFERROR(VLOOKUP(G113&amp;"",'Presupuesto Base'!$A$7:$G$24,3,FALSE),""))</f>
        <v/>
      </c>
      <c r="J113" s="30"/>
      <c r="K113" s="32"/>
      <c r="L113" s="108">
        <f>IF(G113="",0,IFERROR(VLOOKUP(G113&amp;"",'Presupuesto Base'!$A$7:$G$24,5,FALSE),0))</f>
        <v>0</v>
      </c>
      <c r="M113" s="108">
        <f t="shared" si="12"/>
        <v>0</v>
      </c>
      <c r="N113" s="30"/>
      <c r="O113" s="30"/>
      <c r="P113" s="33"/>
      <c r="Q113" s="97" t="str">
        <f>IFERROR(VLOOKUP(A113,'Historial Certificados'!$A$6:$E$29,5,FALSE),"")</f>
        <v/>
      </c>
      <c r="R113" s="97" t="str">
        <f t="shared" si="13"/>
        <v/>
      </c>
    </row>
    <row r="114" spans="1:18">
      <c r="A114" s="28"/>
      <c r="B114" s="29"/>
      <c r="C114" s="30"/>
      <c r="D114" s="30"/>
      <c r="E114" s="30"/>
      <c r="F114" s="30"/>
      <c r="G114" s="30"/>
      <c r="H114" s="107" t="str">
        <f>IF(G114="","",IFERROR(VLOOKUP(G114&amp;"",'Presupuesto Base'!$A$7:$G$24,2,FALSE),"Ítem no encontrado"))</f>
        <v/>
      </c>
      <c r="I114" s="107" t="str">
        <f>IF(G114="","",IFERROR(VLOOKUP(G114&amp;"",'Presupuesto Base'!$A$7:$G$24,3,FALSE),""))</f>
        <v/>
      </c>
      <c r="J114" s="30"/>
      <c r="K114" s="32"/>
      <c r="L114" s="108">
        <f>IF(G114="",0,IFERROR(VLOOKUP(G114&amp;"",'Presupuesto Base'!$A$7:$G$24,5,FALSE),0))</f>
        <v>0</v>
      </c>
      <c r="M114" s="108">
        <f t="shared" si="12"/>
        <v>0</v>
      </c>
      <c r="N114" s="30"/>
      <c r="O114" s="30"/>
      <c r="P114" s="33"/>
      <c r="Q114" s="97" t="str">
        <f>IFERROR(VLOOKUP(A114,'Historial Certificados'!$A$6:$E$29,5,FALSE),"")</f>
        <v/>
      </c>
      <c r="R114" s="97" t="str">
        <f t="shared" si="13"/>
        <v/>
      </c>
    </row>
    <row r="115" spans="1:18">
      <c r="A115" s="28"/>
      <c r="B115" s="29"/>
      <c r="C115" s="30"/>
      <c r="D115" s="30"/>
      <c r="E115" s="30"/>
      <c r="F115" s="30"/>
      <c r="G115" s="30"/>
      <c r="H115" s="107" t="str">
        <f>IF(G115="","",IFERROR(VLOOKUP(G115&amp;"",'Presupuesto Base'!$A$7:$G$24,2,FALSE),"Ítem no encontrado"))</f>
        <v/>
      </c>
      <c r="I115" s="107" t="str">
        <f>IF(G115="","",IFERROR(VLOOKUP(G115&amp;"",'Presupuesto Base'!$A$7:$G$24,3,FALSE),""))</f>
        <v/>
      </c>
      <c r="J115" s="30"/>
      <c r="K115" s="32"/>
      <c r="L115" s="108">
        <f>IF(G115="",0,IFERROR(VLOOKUP(G115&amp;"",'Presupuesto Base'!$A$7:$G$24,5,FALSE),0))</f>
        <v>0</v>
      </c>
      <c r="M115" s="108">
        <f t="shared" si="12"/>
        <v>0</v>
      </c>
      <c r="N115" s="30"/>
      <c r="O115" s="30"/>
      <c r="P115" s="33"/>
      <c r="Q115" s="97" t="str">
        <f>IFERROR(VLOOKUP(A115,'Historial Certificados'!$A$6:$E$29,5,FALSE),"")</f>
        <v/>
      </c>
      <c r="R115" s="97" t="str">
        <f t="shared" si="13"/>
        <v/>
      </c>
    </row>
    <row r="116" spans="1:18">
      <c r="A116" s="28"/>
      <c r="B116" s="29"/>
      <c r="C116" s="30"/>
      <c r="D116" s="30"/>
      <c r="E116" s="30"/>
      <c r="F116" s="30"/>
      <c r="G116" s="30"/>
      <c r="H116" s="107" t="str">
        <f>IF(G116="","",IFERROR(VLOOKUP(G116&amp;"",'Presupuesto Base'!$A$7:$G$24,2,FALSE),"Ítem no encontrado"))</f>
        <v/>
      </c>
      <c r="I116" s="107" t="str">
        <f>IF(G116="","",IFERROR(VLOOKUP(G116&amp;"",'Presupuesto Base'!$A$7:$G$24,3,FALSE),""))</f>
        <v/>
      </c>
      <c r="J116" s="30"/>
      <c r="K116" s="32"/>
      <c r="L116" s="108">
        <f>IF(G116="",0,IFERROR(VLOOKUP(G116&amp;"",'Presupuesto Base'!$A$7:$G$24,5,FALSE),0))</f>
        <v>0</v>
      </c>
      <c r="M116" s="108">
        <f t="shared" si="12"/>
        <v>0</v>
      </c>
      <c r="N116" s="30"/>
      <c r="O116" s="30"/>
      <c r="P116" s="33"/>
      <c r="Q116" s="97" t="str">
        <f>IFERROR(VLOOKUP(A116,'Historial Certificados'!$A$6:$E$29,5,FALSE),"")</f>
        <v/>
      </c>
      <c r="R116" s="97" t="str">
        <f t="shared" si="13"/>
        <v/>
      </c>
    </row>
    <row r="117" spans="1:18">
      <c r="A117" s="28"/>
      <c r="B117" s="29"/>
      <c r="C117" s="30"/>
      <c r="D117" s="30"/>
      <c r="E117" s="30"/>
      <c r="F117" s="30"/>
      <c r="G117" s="30"/>
      <c r="H117" s="107" t="str">
        <f>IF(G117="","",IFERROR(VLOOKUP(G117&amp;"",'Presupuesto Base'!$A$7:$G$24,2,FALSE),"Ítem no encontrado"))</f>
        <v/>
      </c>
      <c r="I117" s="107" t="str">
        <f>IF(G117="","",IFERROR(VLOOKUP(G117&amp;"",'Presupuesto Base'!$A$7:$G$24,3,FALSE),""))</f>
        <v/>
      </c>
      <c r="J117" s="30"/>
      <c r="K117" s="32"/>
      <c r="L117" s="108">
        <f>IF(G117="",0,IFERROR(VLOOKUP(G117&amp;"",'Presupuesto Base'!$A$7:$G$24,5,FALSE),0))</f>
        <v>0</v>
      </c>
      <c r="M117" s="108">
        <f t="shared" si="12"/>
        <v>0</v>
      </c>
      <c r="N117" s="30"/>
      <c r="O117" s="30"/>
      <c r="P117" s="33"/>
      <c r="Q117" s="97" t="str">
        <f>IFERROR(VLOOKUP(A117,'Historial Certificados'!$A$6:$E$29,5,FALSE),"")</f>
        <v/>
      </c>
      <c r="R117" s="97" t="str">
        <f t="shared" si="13"/>
        <v/>
      </c>
    </row>
    <row r="118" spans="1:18">
      <c r="A118" s="28"/>
      <c r="B118" s="29"/>
      <c r="C118" s="30"/>
      <c r="D118" s="30"/>
      <c r="E118" s="30"/>
      <c r="F118" s="30"/>
      <c r="G118" s="30"/>
      <c r="H118" s="107" t="str">
        <f>IF(G118="","",IFERROR(VLOOKUP(G118&amp;"",'Presupuesto Base'!$A$7:$G$24,2,FALSE),"Ítem no encontrado"))</f>
        <v/>
      </c>
      <c r="I118" s="107" t="str">
        <f>IF(G118="","",IFERROR(VLOOKUP(G118&amp;"",'Presupuesto Base'!$A$7:$G$24,3,FALSE),""))</f>
        <v/>
      </c>
      <c r="J118" s="30"/>
      <c r="K118" s="32"/>
      <c r="L118" s="108">
        <f>IF(G118="",0,IFERROR(VLOOKUP(G118&amp;"",'Presupuesto Base'!$A$7:$G$24,5,FALSE),0))</f>
        <v>0</v>
      </c>
      <c r="M118" s="108">
        <f t="shared" si="12"/>
        <v>0</v>
      </c>
      <c r="N118" s="30"/>
      <c r="O118" s="30"/>
      <c r="P118" s="33"/>
      <c r="Q118" s="97" t="str">
        <f>IFERROR(VLOOKUP(A118,'Historial Certificados'!$A$6:$E$29,5,FALSE),"")</f>
        <v/>
      </c>
      <c r="R118" s="97" t="str">
        <f t="shared" si="13"/>
        <v/>
      </c>
    </row>
    <row r="119" spans="1:18">
      <c r="A119" s="28"/>
      <c r="B119" s="29"/>
      <c r="C119" s="30"/>
      <c r="D119" s="30"/>
      <c r="E119" s="30"/>
      <c r="F119" s="30"/>
      <c r="G119" s="30"/>
      <c r="H119" s="107" t="str">
        <f>IF(G119="","",IFERROR(VLOOKUP(G119&amp;"",'Presupuesto Base'!$A$7:$G$24,2,FALSE),"Ítem no encontrado"))</f>
        <v/>
      </c>
      <c r="I119" s="107" t="str">
        <f>IF(G119="","",IFERROR(VLOOKUP(G119&amp;"",'Presupuesto Base'!$A$7:$G$24,3,FALSE),""))</f>
        <v/>
      </c>
      <c r="J119" s="30"/>
      <c r="K119" s="32"/>
      <c r="L119" s="108">
        <f>IF(G119="",0,IFERROR(VLOOKUP(G119&amp;"",'Presupuesto Base'!$A$7:$G$24,5,FALSE),0))</f>
        <v>0</v>
      </c>
      <c r="M119" s="108">
        <f t="shared" si="12"/>
        <v>0</v>
      </c>
      <c r="N119" s="30"/>
      <c r="O119" s="30"/>
      <c r="P119" s="33"/>
      <c r="Q119" s="97" t="str">
        <f>IFERROR(VLOOKUP(A119,'Historial Certificados'!$A$6:$E$29,5,FALSE),"")</f>
        <v/>
      </c>
      <c r="R119" s="97" t="str">
        <f t="shared" si="13"/>
        <v/>
      </c>
    </row>
    <row r="120" spans="1:18">
      <c r="A120" s="28"/>
      <c r="B120" s="29"/>
      <c r="C120" s="30"/>
      <c r="D120" s="30"/>
      <c r="E120" s="30"/>
      <c r="F120" s="30"/>
      <c r="G120" s="30"/>
      <c r="H120" s="107" t="str">
        <f>IF(G120="","",IFERROR(VLOOKUP(G120&amp;"",'Presupuesto Base'!$A$7:$G$24,2,FALSE),"Ítem no encontrado"))</f>
        <v/>
      </c>
      <c r="I120" s="107" t="str">
        <f>IF(G120="","",IFERROR(VLOOKUP(G120&amp;"",'Presupuesto Base'!$A$7:$G$24,3,FALSE),""))</f>
        <v/>
      </c>
      <c r="J120" s="30"/>
      <c r="K120" s="32"/>
      <c r="L120" s="108">
        <f>IF(G120="",0,IFERROR(VLOOKUP(G120&amp;"",'Presupuesto Base'!$A$7:$G$24,5,FALSE),0))</f>
        <v>0</v>
      </c>
      <c r="M120" s="108">
        <f t="shared" si="12"/>
        <v>0</v>
      </c>
      <c r="N120" s="30"/>
      <c r="O120" s="30"/>
      <c r="P120" s="33"/>
      <c r="Q120" s="97" t="str">
        <f>IFERROR(VLOOKUP(A120,'Historial Certificados'!$A$6:$E$29,5,FALSE),"")</f>
        <v/>
      </c>
      <c r="R120" s="97" t="str">
        <f t="shared" si="13"/>
        <v/>
      </c>
    </row>
    <row r="121" spans="1:18">
      <c r="A121" s="28"/>
      <c r="B121" s="29"/>
      <c r="C121" s="30"/>
      <c r="D121" s="30"/>
      <c r="E121" s="30"/>
      <c r="F121" s="30"/>
      <c r="G121" s="30"/>
      <c r="H121" s="107" t="str">
        <f>IF(G121="","",IFERROR(VLOOKUP(G121&amp;"",'Presupuesto Base'!$A$7:$G$24,2,FALSE),"Ítem no encontrado"))</f>
        <v/>
      </c>
      <c r="I121" s="107" t="str">
        <f>IF(G121="","",IFERROR(VLOOKUP(G121&amp;"",'Presupuesto Base'!$A$7:$G$24,3,FALSE),""))</f>
        <v/>
      </c>
      <c r="J121" s="30"/>
      <c r="K121" s="32"/>
      <c r="L121" s="108">
        <f>IF(G121="",0,IFERROR(VLOOKUP(G121&amp;"",'Presupuesto Base'!$A$7:$G$24,5,FALSE),0))</f>
        <v>0</v>
      </c>
      <c r="M121" s="108">
        <f t="shared" si="12"/>
        <v>0</v>
      </c>
      <c r="N121" s="30"/>
      <c r="O121" s="30"/>
      <c r="P121" s="33"/>
      <c r="Q121" s="97" t="str">
        <f>IFERROR(VLOOKUP(A121,'Historial Certificados'!$A$6:$E$29,5,FALSE),"")</f>
        <v/>
      </c>
      <c r="R121" s="97" t="str">
        <f t="shared" si="13"/>
        <v/>
      </c>
    </row>
    <row r="122" spans="1:18">
      <c r="A122" s="28"/>
      <c r="B122" s="29"/>
      <c r="C122" s="30"/>
      <c r="D122" s="30"/>
      <c r="E122" s="30"/>
      <c r="F122" s="30"/>
      <c r="G122" s="30"/>
      <c r="H122" s="107" t="str">
        <f>IF(G122="","",IFERROR(VLOOKUP(G122&amp;"",'Presupuesto Base'!$A$7:$G$24,2,FALSE),"Ítem no encontrado"))</f>
        <v/>
      </c>
      <c r="I122" s="107" t="str">
        <f>IF(G122="","",IFERROR(VLOOKUP(G122&amp;"",'Presupuesto Base'!$A$7:$G$24,3,FALSE),""))</f>
        <v/>
      </c>
      <c r="J122" s="30"/>
      <c r="K122" s="32"/>
      <c r="L122" s="108">
        <f>IF(G122="",0,IFERROR(VLOOKUP(G122&amp;"",'Presupuesto Base'!$A$7:$G$24,5,FALSE),0))</f>
        <v>0</v>
      </c>
      <c r="M122" s="108">
        <f t="shared" si="12"/>
        <v>0</v>
      </c>
      <c r="N122" s="30"/>
      <c r="O122" s="30"/>
      <c r="P122" s="33"/>
      <c r="Q122" s="97" t="str">
        <f>IFERROR(VLOOKUP(A122,'Historial Certificados'!$A$6:$E$29,5,FALSE),"")</f>
        <v/>
      </c>
      <c r="R122" s="97" t="str">
        <f t="shared" si="13"/>
        <v/>
      </c>
    </row>
    <row r="123" spans="1:18">
      <c r="A123" s="28"/>
      <c r="B123" s="29"/>
      <c r="C123" s="30"/>
      <c r="D123" s="30"/>
      <c r="E123" s="30"/>
      <c r="F123" s="30"/>
      <c r="G123" s="30"/>
      <c r="H123" s="107" t="str">
        <f>IF(G123="","",IFERROR(VLOOKUP(G123&amp;"",'Presupuesto Base'!$A$7:$G$24,2,FALSE),"Ítem no encontrado"))</f>
        <v/>
      </c>
      <c r="I123" s="107" t="str">
        <f>IF(G123="","",IFERROR(VLOOKUP(G123&amp;"",'Presupuesto Base'!$A$7:$G$24,3,FALSE),""))</f>
        <v/>
      </c>
      <c r="J123" s="30"/>
      <c r="K123" s="32"/>
      <c r="L123" s="108">
        <f>IF(G123="",0,IFERROR(VLOOKUP(G123&amp;"",'Presupuesto Base'!$A$7:$G$24,5,FALSE),0))</f>
        <v>0</v>
      </c>
      <c r="M123" s="108">
        <f t="shared" si="12"/>
        <v>0</v>
      </c>
      <c r="N123" s="30"/>
      <c r="O123" s="30"/>
      <c r="P123" s="33"/>
      <c r="Q123" s="97" t="str">
        <f>IFERROR(VLOOKUP(A123,'Historial Certificados'!$A$6:$E$29,5,FALSE),"")</f>
        <v/>
      </c>
      <c r="R123" s="97" t="str">
        <f t="shared" si="13"/>
        <v/>
      </c>
    </row>
    <row r="124" spans="1:18">
      <c r="A124" s="28"/>
      <c r="B124" s="29"/>
      <c r="C124" s="30"/>
      <c r="D124" s="30"/>
      <c r="E124" s="30"/>
      <c r="F124" s="30"/>
      <c r="G124" s="30"/>
      <c r="H124" s="107" t="str">
        <f>IF(G124="","",IFERROR(VLOOKUP(G124&amp;"",'Presupuesto Base'!$A$7:$G$24,2,FALSE),"Ítem no encontrado"))</f>
        <v/>
      </c>
      <c r="I124" s="107" t="str">
        <f>IF(G124="","",IFERROR(VLOOKUP(G124&amp;"",'Presupuesto Base'!$A$7:$G$24,3,FALSE),""))</f>
        <v/>
      </c>
      <c r="J124" s="30"/>
      <c r="K124" s="32"/>
      <c r="L124" s="108">
        <f>IF(G124="",0,IFERROR(VLOOKUP(G124&amp;"",'Presupuesto Base'!$A$7:$G$24,5,FALSE),0))</f>
        <v>0</v>
      </c>
      <c r="M124" s="108">
        <f t="shared" si="12"/>
        <v>0</v>
      </c>
      <c r="N124" s="30"/>
      <c r="O124" s="30"/>
      <c r="P124" s="33"/>
      <c r="Q124" s="97" t="str">
        <f>IFERROR(VLOOKUP(A124,'Historial Certificados'!$A$6:$E$29,5,FALSE),"")</f>
        <v/>
      </c>
      <c r="R124" s="97" t="str">
        <f t="shared" si="13"/>
        <v/>
      </c>
    </row>
    <row r="125" spans="1:18">
      <c r="A125" s="28"/>
      <c r="B125" s="29"/>
      <c r="C125" s="30"/>
      <c r="D125" s="30"/>
      <c r="E125" s="30"/>
      <c r="F125" s="30"/>
      <c r="G125" s="30"/>
      <c r="H125" s="107" t="str">
        <f>IF(G125="","",IFERROR(VLOOKUP(G125&amp;"",'Presupuesto Base'!$A$7:$G$24,2,FALSE),"Ítem no encontrado"))</f>
        <v/>
      </c>
      <c r="I125" s="107" t="str">
        <f>IF(G125="","",IFERROR(VLOOKUP(G125&amp;"",'Presupuesto Base'!$A$7:$G$24,3,FALSE),""))</f>
        <v/>
      </c>
      <c r="J125" s="30"/>
      <c r="K125" s="32"/>
      <c r="L125" s="108">
        <f>IF(G125="",0,IFERROR(VLOOKUP(G125&amp;"",'Presupuesto Base'!$A$7:$G$24,5,FALSE),0))</f>
        <v>0</v>
      </c>
      <c r="M125" s="108">
        <f t="shared" si="12"/>
        <v>0</v>
      </c>
      <c r="N125" s="30"/>
      <c r="O125" s="30"/>
      <c r="P125" s="33"/>
      <c r="Q125" s="97" t="str">
        <f>IFERROR(VLOOKUP(A125,'Historial Certificados'!$A$6:$E$29,5,FALSE),"")</f>
        <v/>
      </c>
      <c r="R125" s="97" t="str">
        <f t="shared" si="13"/>
        <v/>
      </c>
    </row>
    <row r="126" spans="1:18">
      <c r="A126" s="28"/>
      <c r="B126" s="29"/>
      <c r="C126" s="30"/>
      <c r="D126" s="30"/>
      <c r="E126" s="30"/>
      <c r="F126" s="30"/>
      <c r="G126" s="30"/>
      <c r="H126" s="107" t="str">
        <f>IF(G126="","",IFERROR(VLOOKUP(G126&amp;"",'Presupuesto Base'!$A$7:$G$24,2,FALSE),"Ítem no encontrado"))</f>
        <v/>
      </c>
      <c r="I126" s="107" t="str">
        <f>IF(G126="","",IFERROR(VLOOKUP(G126&amp;"",'Presupuesto Base'!$A$7:$G$24,3,FALSE),""))</f>
        <v/>
      </c>
      <c r="J126" s="30"/>
      <c r="K126" s="32"/>
      <c r="L126" s="108">
        <f>IF(G126="",0,IFERROR(VLOOKUP(G126&amp;"",'Presupuesto Base'!$A$7:$G$24,5,FALSE),0))</f>
        <v>0</v>
      </c>
      <c r="M126" s="108">
        <f t="shared" si="12"/>
        <v>0</v>
      </c>
      <c r="N126" s="30"/>
      <c r="O126" s="30"/>
      <c r="P126" s="33"/>
      <c r="Q126" s="97" t="str">
        <f>IFERROR(VLOOKUP(A126,'Historial Certificados'!$A$6:$E$29,5,FALSE),"")</f>
        <v/>
      </c>
      <c r="R126" s="97" t="str">
        <f t="shared" si="13"/>
        <v/>
      </c>
    </row>
    <row r="127" spans="1:18">
      <c r="A127" s="28"/>
      <c r="B127" s="29"/>
      <c r="C127" s="30"/>
      <c r="D127" s="30"/>
      <c r="E127" s="30"/>
      <c r="F127" s="30"/>
      <c r="G127" s="30"/>
      <c r="H127" s="107" t="str">
        <f>IF(G127="","",IFERROR(VLOOKUP(G127&amp;"",'Presupuesto Base'!$A$7:$G$24,2,FALSE),"Ítem no encontrado"))</f>
        <v/>
      </c>
      <c r="I127" s="107" t="str">
        <f>IF(G127="","",IFERROR(VLOOKUP(G127&amp;"",'Presupuesto Base'!$A$7:$G$24,3,FALSE),""))</f>
        <v/>
      </c>
      <c r="J127" s="30"/>
      <c r="K127" s="32"/>
      <c r="L127" s="108">
        <f>IF(G127="",0,IFERROR(VLOOKUP(G127&amp;"",'Presupuesto Base'!$A$7:$G$24,5,FALSE),0))</f>
        <v>0</v>
      </c>
      <c r="M127" s="108">
        <f t="shared" si="12"/>
        <v>0</v>
      </c>
      <c r="N127" s="30"/>
      <c r="O127" s="30"/>
      <c r="P127" s="33"/>
      <c r="Q127" s="97" t="str">
        <f>IFERROR(VLOOKUP(A127,'Historial Certificados'!$A$6:$E$29,5,FALSE),"")</f>
        <v/>
      </c>
      <c r="R127" s="97" t="str">
        <f t="shared" si="13"/>
        <v/>
      </c>
    </row>
    <row r="128" spans="1:18">
      <c r="A128" s="28"/>
      <c r="B128" s="29"/>
      <c r="C128" s="30"/>
      <c r="D128" s="30"/>
      <c r="E128" s="30"/>
      <c r="F128" s="30"/>
      <c r="G128" s="30"/>
      <c r="H128" s="107" t="str">
        <f>IF(G128="","",IFERROR(VLOOKUP(G128&amp;"",'Presupuesto Base'!$A$7:$G$24,2,FALSE),"Ítem no encontrado"))</f>
        <v/>
      </c>
      <c r="I128" s="107" t="str">
        <f>IF(G128="","",IFERROR(VLOOKUP(G128&amp;"",'Presupuesto Base'!$A$7:$G$24,3,FALSE),""))</f>
        <v/>
      </c>
      <c r="J128" s="30"/>
      <c r="K128" s="32"/>
      <c r="L128" s="108">
        <f>IF(G128="",0,IFERROR(VLOOKUP(G128&amp;"",'Presupuesto Base'!$A$7:$G$24,5,FALSE),0))</f>
        <v>0</v>
      </c>
      <c r="M128" s="108">
        <f t="shared" si="12"/>
        <v>0</v>
      </c>
      <c r="N128" s="30"/>
      <c r="O128" s="30"/>
      <c r="P128" s="33"/>
      <c r="Q128" s="97" t="str">
        <f>IFERROR(VLOOKUP(A128,'Historial Certificados'!$A$6:$E$29,5,FALSE),"")</f>
        <v/>
      </c>
      <c r="R128" s="97" t="str">
        <f t="shared" si="13"/>
        <v/>
      </c>
    </row>
    <row r="129" spans="1:18">
      <c r="A129" s="28"/>
      <c r="B129" s="29"/>
      <c r="C129" s="30"/>
      <c r="D129" s="30"/>
      <c r="E129" s="30"/>
      <c r="F129" s="30"/>
      <c r="G129" s="30"/>
      <c r="H129" s="107" t="str">
        <f>IF(G129="","",IFERROR(VLOOKUP(G129&amp;"",'Presupuesto Base'!$A$7:$G$24,2,FALSE),"Ítem no encontrado"))</f>
        <v/>
      </c>
      <c r="I129" s="107" t="str">
        <f>IF(G129="","",IFERROR(VLOOKUP(G129&amp;"",'Presupuesto Base'!$A$7:$G$24,3,FALSE),""))</f>
        <v/>
      </c>
      <c r="J129" s="30"/>
      <c r="K129" s="32"/>
      <c r="L129" s="108">
        <f>IF(G129="",0,IFERROR(VLOOKUP(G129&amp;"",'Presupuesto Base'!$A$7:$G$24,5,FALSE),0))</f>
        <v>0</v>
      </c>
      <c r="M129" s="108">
        <f t="shared" si="12"/>
        <v>0</v>
      </c>
      <c r="N129" s="30"/>
      <c r="O129" s="30"/>
      <c r="P129" s="33"/>
      <c r="Q129" s="97" t="str">
        <f>IFERROR(VLOOKUP(A129,'Historial Certificados'!$A$6:$E$29,5,FALSE),"")</f>
        <v/>
      </c>
      <c r="R129" s="97" t="str">
        <f t="shared" si="13"/>
        <v/>
      </c>
    </row>
    <row r="130" spans="1:18">
      <c r="A130" s="28"/>
      <c r="B130" s="29"/>
      <c r="C130" s="30"/>
      <c r="D130" s="30"/>
      <c r="E130" s="30"/>
      <c r="F130" s="30"/>
      <c r="G130" s="30"/>
      <c r="H130" s="107" t="str">
        <f>IF(G130="","",IFERROR(VLOOKUP(G130&amp;"",'Presupuesto Base'!$A$7:$G$24,2,FALSE),"Ítem no encontrado"))</f>
        <v/>
      </c>
      <c r="I130" s="107" t="str">
        <f>IF(G130="","",IFERROR(VLOOKUP(G130&amp;"",'Presupuesto Base'!$A$7:$G$24,3,FALSE),""))</f>
        <v/>
      </c>
      <c r="J130" s="30"/>
      <c r="K130" s="32"/>
      <c r="L130" s="108">
        <f>IF(G130="",0,IFERROR(VLOOKUP(G130&amp;"",'Presupuesto Base'!$A$7:$G$24,5,FALSE),0))</f>
        <v>0</v>
      </c>
      <c r="M130" s="108">
        <f t="shared" si="12"/>
        <v>0</v>
      </c>
      <c r="N130" s="30"/>
      <c r="O130" s="30"/>
      <c r="P130" s="33"/>
      <c r="Q130" s="97" t="str">
        <f>IFERROR(VLOOKUP(A130,'Historial Certificados'!$A$6:$E$29,5,FALSE),"")</f>
        <v/>
      </c>
      <c r="R130" s="97" t="str">
        <f t="shared" si="13"/>
        <v/>
      </c>
    </row>
    <row r="131" spans="1:18">
      <c r="A131" s="28"/>
      <c r="B131" s="29"/>
      <c r="C131" s="30"/>
      <c r="D131" s="30"/>
      <c r="E131" s="30"/>
      <c r="F131" s="30"/>
      <c r="G131" s="30"/>
      <c r="H131" s="107" t="str">
        <f>IF(G131="","",IFERROR(VLOOKUP(G131&amp;"",'Presupuesto Base'!$A$7:$G$24,2,FALSE),"Ítem no encontrado"))</f>
        <v/>
      </c>
      <c r="I131" s="107" t="str">
        <f>IF(G131="","",IFERROR(VLOOKUP(G131&amp;"",'Presupuesto Base'!$A$7:$G$24,3,FALSE),""))</f>
        <v/>
      </c>
      <c r="J131" s="30"/>
      <c r="K131" s="32"/>
      <c r="L131" s="108">
        <f>IF(G131="",0,IFERROR(VLOOKUP(G131&amp;"",'Presupuesto Base'!$A$7:$G$24,5,FALSE),0))</f>
        <v>0</v>
      </c>
      <c r="M131" s="108">
        <f t="shared" si="12"/>
        <v>0</v>
      </c>
      <c r="N131" s="30"/>
      <c r="O131" s="30"/>
      <c r="P131" s="33"/>
      <c r="Q131" s="97" t="str">
        <f>IFERROR(VLOOKUP(A131,'Historial Certificados'!$A$6:$E$29,5,FALSE),"")</f>
        <v/>
      </c>
      <c r="R131" s="97" t="str">
        <f t="shared" si="13"/>
        <v/>
      </c>
    </row>
    <row r="132" spans="1:18">
      <c r="A132" s="28"/>
      <c r="B132" s="29"/>
      <c r="C132" s="30"/>
      <c r="D132" s="30"/>
      <c r="E132" s="30"/>
      <c r="F132" s="30"/>
      <c r="G132" s="30"/>
      <c r="H132" s="107" t="str">
        <f>IF(G132="","",IFERROR(VLOOKUP(G132&amp;"",'Presupuesto Base'!$A$7:$G$24,2,FALSE),"Ítem no encontrado"))</f>
        <v/>
      </c>
      <c r="I132" s="107" t="str">
        <f>IF(G132="","",IFERROR(VLOOKUP(G132&amp;"",'Presupuesto Base'!$A$7:$G$24,3,FALSE),""))</f>
        <v/>
      </c>
      <c r="J132" s="30"/>
      <c r="K132" s="32"/>
      <c r="L132" s="108">
        <f>IF(G132="",0,IFERROR(VLOOKUP(G132&amp;"",'Presupuesto Base'!$A$7:$G$24,5,FALSE),0))</f>
        <v>0</v>
      </c>
      <c r="M132" s="108">
        <f t="shared" si="12"/>
        <v>0</v>
      </c>
      <c r="N132" s="30"/>
      <c r="O132" s="30"/>
      <c r="P132" s="33"/>
      <c r="Q132" s="97" t="str">
        <f>IFERROR(VLOOKUP(A132,'Historial Certificados'!$A$6:$E$29,5,FALSE),"")</f>
        <v/>
      </c>
      <c r="R132" s="97" t="str">
        <f t="shared" si="13"/>
        <v/>
      </c>
    </row>
    <row r="133" spans="1:18">
      <c r="A133" s="28"/>
      <c r="B133" s="29"/>
      <c r="C133" s="30"/>
      <c r="D133" s="30"/>
      <c r="E133" s="30"/>
      <c r="F133" s="30"/>
      <c r="G133" s="30"/>
      <c r="H133" s="107" t="str">
        <f>IF(G133="","",IFERROR(VLOOKUP(G133&amp;"",'Presupuesto Base'!$A$7:$G$24,2,FALSE),"Ítem no encontrado"))</f>
        <v/>
      </c>
      <c r="I133" s="107" t="str">
        <f>IF(G133="","",IFERROR(VLOOKUP(G133&amp;"",'Presupuesto Base'!$A$7:$G$24,3,FALSE),""))</f>
        <v/>
      </c>
      <c r="J133" s="30"/>
      <c r="K133" s="32"/>
      <c r="L133" s="108">
        <f>IF(G133="",0,IFERROR(VLOOKUP(G133&amp;"",'Presupuesto Base'!$A$7:$G$24,5,FALSE),0))</f>
        <v>0</v>
      </c>
      <c r="M133" s="108">
        <f t="shared" si="12"/>
        <v>0</v>
      </c>
      <c r="N133" s="30"/>
      <c r="O133" s="30"/>
      <c r="P133" s="33"/>
      <c r="Q133" s="97" t="str">
        <f>IFERROR(VLOOKUP(A133,'Historial Certificados'!$A$6:$E$29,5,FALSE),"")</f>
        <v/>
      </c>
      <c r="R133" s="97" t="str">
        <f t="shared" si="13"/>
        <v/>
      </c>
    </row>
    <row r="134" spans="1:18">
      <c r="A134" s="28"/>
      <c r="B134" s="29"/>
      <c r="C134" s="30"/>
      <c r="D134" s="30"/>
      <c r="E134" s="30"/>
      <c r="F134" s="30"/>
      <c r="G134" s="30"/>
      <c r="H134" s="107" t="str">
        <f>IF(G134="","",IFERROR(VLOOKUP(G134&amp;"",'Presupuesto Base'!$A$7:$G$24,2,FALSE),"Ítem no encontrado"))</f>
        <v/>
      </c>
      <c r="I134" s="107" t="str">
        <f>IF(G134="","",IFERROR(VLOOKUP(G134&amp;"",'Presupuesto Base'!$A$7:$G$24,3,FALSE),""))</f>
        <v/>
      </c>
      <c r="J134" s="30"/>
      <c r="K134" s="32"/>
      <c r="L134" s="108">
        <f>IF(G134="",0,IFERROR(VLOOKUP(G134&amp;"",'Presupuesto Base'!$A$7:$G$24,5,FALSE),0))</f>
        <v>0</v>
      </c>
      <c r="M134" s="108">
        <f t="shared" si="12"/>
        <v>0</v>
      </c>
      <c r="N134" s="30"/>
      <c r="O134" s="30"/>
      <c r="P134" s="33"/>
      <c r="Q134" s="97" t="str">
        <f>IFERROR(VLOOKUP(A134,'Historial Certificados'!$A$6:$E$29,5,FALSE),"")</f>
        <v/>
      </c>
      <c r="R134" s="97" t="str">
        <f t="shared" si="13"/>
        <v/>
      </c>
    </row>
    <row r="135" spans="1:18">
      <c r="A135" s="28"/>
      <c r="B135" s="29"/>
      <c r="C135" s="30"/>
      <c r="D135" s="30"/>
      <c r="E135" s="30"/>
      <c r="F135" s="30"/>
      <c r="G135" s="30"/>
      <c r="H135" s="107" t="str">
        <f>IF(G135="","",IFERROR(VLOOKUP(G135&amp;"",'Presupuesto Base'!$A$7:$G$24,2,FALSE),"Ítem no encontrado"))</f>
        <v/>
      </c>
      <c r="I135" s="107" t="str">
        <f>IF(G135="","",IFERROR(VLOOKUP(G135&amp;"",'Presupuesto Base'!$A$7:$G$24,3,FALSE),""))</f>
        <v/>
      </c>
      <c r="J135" s="30"/>
      <c r="K135" s="32"/>
      <c r="L135" s="108">
        <f>IF(G135="",0,IFERROR(VLOOKUP(G135&amp;"",'Presupuesto Base'!$A$7:$G$24,5,FALSE),0))</f>
        <v>0</v>
      </c>
      <c r="M135" s="108">
        <f t="shared" si="12"/>
        <v>0</v>
      </c>
      <c r="N135" s="30"/>
      <c r="O135" s="30"/>
      <c r="P135" s="33"/>
      <c r="Q135" s="97" t="str">
        <f>IFERROR(VLOOKUP(A135,'Historial Certificados'!$A$6:$E$29,5,FALSE),"")</f>
        <v/>
      </c>
      <c r="R135" s="97" t="str">
        <f t="shared" si="13"/>
        <v/>
      </c>
    </row>
    <row r="136" spans="1:18">
      <c r="A136" s="28"/>
      <c r="B136" s="29"/>
      <c r="C136" s="30"/>
      <c r="D136" s="30"/>
      <c r="E136" s="30"/>
      <c r="F136" s="30"/>
      <c r="G136" s="30"/>
      <c r="H136" s="107" t="str">
        <f>IF(G136="","",IFERROR(VLOOKUP(G136&amp;"",'Presupuesto Base'!$A$7:$G$24,2,FALSE),"Ítem no encontrado"))</f>
        <v/>
      </c>
      <c r="I136" s="107" t="str">
        <f>IF(G136="","",IFERROR(VLOOKUP(G136&amp;"",'Presupuesto Base'!$A$7:$G$24,3,FALSE),""))</f>
        <v/>
      </c>
      <c r="J136" s="30"/>
      <c r="K136" s="32"/>
      <c r="L136" s="108">
        <f>IF(G136="",0,IFERROR(VLOOKUP(G136&amp;"",'Presupuesto Base'!$A$7:$G$24,5,FALSE),0))</f>
        <v>0</v>
      </c>
      <c r="M136" s="108">
        <f t="shared" si="12"/>
        <v>0</v>
      </c>
      <c r="N136" s="30"/>
      <c r="O136" s="30"/>
      <c r="P136" s="33"/>
      <c r="Q136" s="97" t="str">
        <f>IFERROR(VLOOKUP(A136,'Historial Certificados'!$A$6:$E$29,5,FALSE),"")</f>
        <v/>
      </c>
      <c r="R136" s="97" t="str">
        <f t="shared" si="13"/>
        <v/>
      </c>
    </row>
    <row r="137" spans="1:18">
      <c r="A137" s="28"/>
      <c r="B137" s="29"/>
      <c r="C137" s="30"/>
      <c r="D137" s="30"/>
      <c r="E137" s="30"/>
      <c r="F137" s="30"/>
      <c r="G137" s="30"/>
      <c r="H137" s="107" t="str">
        <f>IF(G137="","",IFERROR(VLOOKUP(G137&amp;"",'Presupuesto Base'!$A$7:$G$24,2,FALSE),"Ítem no encontrado"))</f>
        <v/>
      </c>
      <c r="I137" s="107" t="str">
        <f>IF(G137="","",IFERROR(VLOOKUP(G137&amp;"",'Presupuesto Base'!$A$7:$G$24,3,FALSE),""))</f>
        <v/>
      </c>
      <c r="J137" s="30"/>
      <c r="K137" s="32"/>
      <c r="L137" s="108">
        <f>IF(G137="",0,IFERROR(VLOOKUP(G137&amp;"",'Presupuesto Base'!$A$7:$G$24,5,FALSE),0))</f>
        <v>0</v>
      </c>
      <c r="M137" s="108">
        <f t="shared" si="12"/>
        <v>0</v>
      </c>
      <c r="N137" s="30"/>
      <c r="O137" s="30"/>
      <c r="P137" s="33"/>
      <c r="Q137" s="97" t="str">
        <f>IFERROR(VLOOKUP(A137,'Historial Certificados'!$A$6:$E$29,5,FALSE),"")</f>
        <v/>
      </c>
      <c r="R137" s="97" t="str">
        <f t="shared" si="13"/>
        <v/>
      </c>
    </row>
    <row r="138" spans="1:18">
      <c r="A138" s="28"/>
      <c r="B138" s="29"/>
      <c r="C138" s="30"/>
      <c r="D138" s="30"/>
      <c r="E138" s="30"/>
      <c r="F138" s="30"/>
      <c r="G138" s="30"/>
      <c r="H138" s="107" t="str">
        <f>IF(G138="","",IFERROR(VLOOKUP(G138&amp;"",'Presupuesto Base'!$A$7:$G$24,2,FALSE),"Ítem no encontrado"))</f>
        <v/>
      </c>
      <c r="I138" s="107" t="str">
        <f>IF(G138="","",IFERROR(VLOOKUP(G138&amp;"",'Presupuesto Base'!$A$7:$G$24,3,FALSE),""))</f>
        <v/>
      </c>
      <c r="J138" s="30"/>
      <c r="K138" s="32"/>
      <c r="L138" s="108">
        <f>IF(G138="",0,IFERROR(VLOOKUP(G138&amp;"",'Presupuesto Base'!$A$7:$G$24,5,FALSE),0))</f>
        <v>0</v>
      </c>
      <c r="M138" s="108">
        <f t="shared" si="12"/>
        <v>0</v>
      </c>
      <c r="N138" s="30"/>
      <c r="O138" s="30"/>
      <c r="P138" s="33"/>
      <c r="Q138" s="97" t="str">
        <f>IFERROR(VLOOKUP(A138,'Historial Certificados'!$A$6:$E$29,5,FALSE),"")</f>
        <v/>
      </c>
      <c r="R138" s="97" t="str">
        <f t="shared" si="13"/>
        <v/>
      </c>
    </row>
    <row r="139" spans="1:18">
      <c r="A139" s="28"/>
      <c r="B139" s="29"/>
      <c r="C139" s="30"/>
      <c r="D139" s="30"/>
      <c r="E139" s="30"/>
      <c r="F139" s="30"/>
      <c r="G139" s="30"/>
      <c r="H139" s="107" t="str">
        <f>IF(G139="","",IFERROR(VLOOKUP(G139&amp;"",'Presupuesto Base'!$A$7:$G$24,2,FALSE),"Ítem no encontrado"))</f>
        <v/>
      </c>
      <c r="I139" s="107" t="str">
        <f>IF(G139="","",IFERROR(VLOOKUP(G139&amp;"",'Presupuesto Base'!$A$7:$G$24,3,FALSE),""))</f>
        <v/>
      </c>
      <c r="J139" s="30"/>
      <c r="K139" s="32"/>
      <c r="L139" s="108">
        <f>IF(G139="",0,IFERROR(VLOOKUP(G139&amp;"",'Presupuesto Base'!$A$7:$G$24,5,FALSE),0))</f>
        <v>0</v>
      </c>
      <c r="M139" s="108">
        <f t="shared" si="12"/>
        <v>0</v>
      </c>
      <c r="N139" s="30"/>
      <c r="O139" s="30"/>
      <c r="P139" s="33"/>
      <c r="Q139" s="97" t="str">
        <f>IFERROR(VLOOKUP(A139,'Historial Certificados'!$A$6:$E$29,5,FALSE),"")</f>
        <v/>
      </c>
      <c r="R139" s="97" t="str">
        <f t="shared" si="13"/>
        <v/>
      </c>
    </row>
    <row r="140" spans="1:18">
      <c r="A140" s="28"/>
      <c r="B140" s="29"/>
      <c r="C140" s="30"/>
      <c r="D140" s="30"/>
      <c r="E140" s="30"/>
      <c r="F140" s="30"/>
      <c r="G140" s="30"/>
      <c r="H140" s="107" t="str">
        <f>IF(G140="","",IFERROR(VLOOKUP(G140&amp;"",'Presupuesto Base'!$A$7:$G$24,2,FALSE),"Ítem no encontrado"))</f>
        <v/>
      </c>
      <c r="I140" s="107" t="str">
        <f>IF(G140="","",IFERROR(VLOOKUP(G140&amp;"",'Presupuesto Base'!$A$7:$G$24,3,FALSE),""))</f>
        <v/>
      </c>
      <c r="J140" s="30"/>
      <c r="K140" s="32"/>
      <c r="L140" s="108">
        <f>IF(G140="",0,IFERROR(VLOOKUP(G140&amp;"",'Presupuesto Base'!$A$7:$G$24,5,FALSE),0))</f>
        <v>0</v>
      </c>
      <c r="M140" s="108">
        <f t="shared" ref="M140:M203" si="15">IFERROR(K140*L140,0)</f>
        <v>0</v>
      </c>
      <c r="N140" s="30"/>
      <c r="O140" s="30"/>
      <c r="P140" s="33"/>
      <c r="Q140" s="97" t="str">
        <f>IFERROR(VLOOKUP(A140,'Historial Certificados'!$A$6:$E$29,5,FALSE),"")</f>
        <v/>
      </c>
      <c r="R140" s="97" t="str">
        <f t="shared" ref="R140:R203" si="16">IF(A140="","",IF(Q140="CERRADO","CERTIFICADO CERRADO - NO MODIFICAR","ABIERTO"))</f>
        <v/>
      </c>
    </row>
    <row r="141" spans="1:18">
      <c r="A141" s="28"/>
      <c r="B141" s="29"/>
      <c r="C141" s="30"/>
      <c r="D141" s="30"/>
      <c r="E141" s="30"/>
      <c r="F141" s="30"/>
      <c r="G141" s="30"/>
      <c r="H141" s="107" t="str">
        <f>IF(G141="","",IFERROR(VLOOKUP(G141&amp;"",'Presupuesto Base'!$A$7:$G$24,2,FALSE),"Ítem no encontrado"))</f>
        <v/>
      </c>
      <c r="I141" s="107" t="str">
        <f>IF(G141="","",IFERROR(VLOOKUP(G141&amp;"",'Presupuesto Base'!$A$7:$G$24,3,FALSE),""))</f>
        <v/>
      </c>
      <c r="J141" s="30"/>
      <c r="K141" s="32"/>
      <c r="L141" s="108">
        <f>IF(G141="",0,IFERROR(VLOOKUP(G141&amp;"",'Presupuesto Base'!$A$7:$G$24,5,FALSE),0))</f>
        <v>0</v>
      </c>
      <c r="M141" s="108">
        <f t="shared" si="15"/>
        <v>0</v>
      </c>
      <c r="N141" s="30"/>
      <c r="O141" s="30"/>
      <c r="P141" s="33"/>
      <c r="Q141" s="97" t="str">
        <f>IFERROR(VLOOKUP(A141,'Historial Certificados'!$A$6:$E$29,5,FALSE),"")</f>
        <v/>
      </c>
      <c r="R141" s="97" t="str">
        <f t="shared" si="16"/>
        <v/>
      </c>
    </row>
    <row r="142" spans="1:18">
      <c r="A142" s="28"/>
      <c r="B142" s="29"/>
      <c r="C142" s="30"/>
      <c r="D142" s="30"/>
      <c r="E142" s="30"/>
      <c r="F142" s="30"/>
      <c r="G142" s="30"/>
      <c r="H142" s="107" t="str">
        <f>IF(G142="","",IFERROR(VLOOKUP(G142&amp;"",'Presupuesto Base'!$A$7:$G$24,2,FALSE),"Ítem no encontrado"))</f>
        <v/>
      </c>
      <c r="I142" s="107" t="str">
        <f>IF(G142="","",IFERROR(VLOOKUP(G142&amp;"",'Presupuesto Base'!$A$7:$G$24,3,FALSE),""))</f>
        <v/>
      </c>
      <c r="J142" s="30"/>
      <c r="K142" s="32"/>
      <c r="L142" s="108">
        <f>IF(G142="",0,IFERROR(VLOOKUP(G142&amp;"",'Presupuesto Base'!$A$7:$G$24,5,FALSE),0))</f>
        <v>0</v>
      </c>
      <c r="M142" s="108">
        <f t="shared" si="15"/>
        <v>0</v>
      </c>
      <c r="N142" s="30"/>
      <c r="O142" s="30"/>
      <c r="P142" s="33"/>
      <c r="Q142" s="97" t="str">
        <f>IFERROR(VLOOKUP(A142,'Historial Certificados'!$A$6:$E$29,5,FALSE),"")</f>
        <v/>
      </c>
      <c r="R142" s="97" t="str">
        <f t="shared" si="16"/>
        <v/>
      </c>
    </row>
    <row r="143" spans="1:18">
      <c r="A143" s="28"/>
      <c r="B143" s="29"/>
      <c r="C143" s="30"/>
      <c r="D143" s="30"/>
      <c r="E143" s="30"/>
      <c r="F143" s="30"/>
      <c r="G143" s="30"/>
      <c r="H143" s="107" t="str">
        <f>IF(G143="","",IFERROR(VLOOKUP(G143&amp;"",'Presupuesto Base'!$A$7:$G$24,2,FALSE),"Ítem no encontrado"))</f>
        <v/>
      </c>
      <c r="I143" s="107" t="str">
        <f>IF(G143="","",IFERROR(VLOOKUP(G143&amp;"",'Presupuesto Base'!$A$7:$G$24,3,FALSE),""))</f>
        <v/>
      </c>
      <c r="J143" s="30"/>
      <c r="K143" s="32"/>
      <c r="L143" s="108">
        <f>IF(G143="",0,IFERROR(VLOOKUP(G143&amp;"",'Presupuesto Base'!$A$7:$G$24,5,FALSE),0))</f>
        <v>0</v>
      </c>
      <c r="M143" s="108">
        <f t="shared" si="15"/>
        <v>0</v>
      </c>
      <c r="N143" s="30"/>
      <c r="O143" s="30"/>
      <c r="P143" s="33"/>
      <c r="Q143" s="97" t="str">
        <f>IFERROR(VLOOKUP(A143,'Historial Certificados'!$A$6:$E$29,5,FALSE),"")</f>
        <v/>
      </c>
      <c r="R143" s="97" t="str">
        <f t="shared" si="16"/>
        <v/>
      </c>
    </row>
    <row r="144" spans="1:18">
      <c r="A144" s="28"/>
      <c r="B144" s="29"/>
      <c r="C144" s="30"/>
      <c r="D144" s="30"/>
      <c r="E144" s="30"/>
      <c r="F144" s="30"/>
      <c r="G144" s="30"/>
      <c r="H144" s="107" t="str">
        <f>IF(G144="","",IFERROR(VLOOKUP(G144&amp;"",'Presupuesto Base'!$A$7:$G$24,2,FALSE),"Ítem no encontrado"))</f>
        <v/>
      </c>
      <c r="I144" s="107" t="str">
        <f>IF(G144="","",IFERROR(VLOOKUP(G144&amp;"",'Presupuesto Base'!$A$7:$G$24,3,FALSE),""))</f>
        <v/>
      </c>
      <c r="J144" s="30"/>
      <c r="K144" s="32"/>
      <c r="L144" s="108">
        <f>IF(G144="",0,IFERROR(VLOOKUP(G144&amp;"",'Presupuesto Base'!$A$7:$G$24,5,FALSE),0))</f>
        <v>0</v>
      </c>
      <c r="M144" s="108">
        <f t="shared" si="15"/>
        <v>0</v>
      </c>
      <c r="N144" s="30"/>
      <c r="O144" s="30"/>
      <c r="P144" s="33"/>
      <c r="Q144" s="97" t="str">
        <f>IFERROR(VLOOKUP(A144,'Historial Certificados'!$A$6:$E$29,5,FALSE),"")</f>
        <v/>
      </c>
      <c r="R144" s="97" t="str">
        <f t="shared" si="16"/>
        <v/>
      </c>
    </row>
    <row r="145" spans="1:18">
      <c r="A145" s="28"/>
      <c r="B145" s="29"/>
      <c r="C145" s="30"/>
      <c r="D145" s="30"/>
      <c r="E145" s="30"/>
      <c r="F145" s="30"/>
      <c r="G145" s="30"/>
      <c r="H145" s="107" t="str">
        <f>IF(G145="","",IFERROR(VLOOKUP(G145&amp;"",'Presupuesto Base'!$A$7:$G$24,2,FALSE),"Ítem no encontrado"))</f>
        <v/>
      </c>
      <c r="I145" s="107" t="str">
        <f>IF(G145="","",IFERROR(VLOOKUP(G145&amp;"",'Presupuesto Base'!$A$7:$G$24,3,FALSE),""))</f>
        <v/>
      </c>
      <c r="J145" s="30"/>
      <c r="K145" s="32"/>
      <c r="L145" s="108">
        <f>IF(G145="",0,IFERROR(VLOOKUP(G145&amp;"",'Presupuesto Base'!$A$7:$G$24,5,FALSE),0))</f>
        <v>0</v>
      </c>
      <c r="M145" s="108">
        <f t="shared" si="15"/>
        <v>0</v>
      </c>
      <c r="N145" s="30"/>
      <c r="O145" s="30"/>
      <c r="P145" s="33"/>
      <c r="Q145" s="97" t="str">
        <f>IFERROR(VLOOKUP(A145,'Historial Certificados'!$A$6:$E$29,5,FALSE),"")</f>
        <v/>
      </c>
      <c r="R145" s="97" t="str">
        <f t="shared" si="16"/>
        <v/>
      </c>
    </row>
    <row r="146" spans="1:18">
      <c r="A146" s="28"/>
      <c r="B146" s="29"/>
      <c r="C146" s="30"/>
      <c r="D146" s="30"/>
      <c r="E146" s="30"/>
      <c r="F146" s="30"/>
      <c r="G146" s="30"/>
      <c r="H146" s="107" t="str">
        <f>IF(G146="","",IFERROR(VLOOKUP(G146&amp;"",'Presupuesto Base'!$A$7:$G$24,2,FALSE),"Ítem no encontrado"))</f>
        <v/>
      </c>
      <c r="I146" s="107" t="str">
        <f>IF(G146="","",IFERROR(VLOOKUP(G146&amp;"",'Presupuesto Base'!$A$7:$G$24,3,FALSE),""))</f>
        <v/>
      </c>
      <c r="J146" s="30"/>
      <c r="K146" s="32"/>
      <c r="L146" s="108">
        <f>IF(G146="",0,IFERROR(VLOOKUP(G146&amp;"",'Presupuesto Base'!$A$7:$G$24,5,FALSE),0))</f>
        <v>0</v>
      </c>
      <c r="M146" s="108">
        <f t="shared" si="15"/>
        <v>0</v>
      </c>
      <c r="N146" s="30"/>
      <c r="O146" s="30"/>
      <c r="P146" s="33"/>
      <c r="Q146" s="97" t="str">
        <f>IFERROR(VLOOKUP(A146,'Historial Certificados'!$A$6:$E$29,5,FALSE),"")</f>
        <v/>
      </c>
      <c r="R146" s="97" t="str">
        <f t="shared" si="16"/>
        <v/>
      </c>
    </row>
    <row r="147" spans="1:18">
      <c r="A147" s="28"/>
      <c r="B147" s="29"/>
      <c r="C147" s="30"/>
      <c r="D147" s="30"/>
      <c r="E147" s="30"/>
      <c r="F147" s="30"/>
      <c r="G147" s="30"/>
      <c r="H147" s="107" t="str">
        <f>IF(G147="","",IFERROR(VLOOKUP(G147&amp;"",'Presupuesto Base'!$A$7:$G$24,2,FALSE),"Ítem no encontrado"))</f>
        <v/>
      </c>
      <c r="I147" s="107" t="str">
        <f>IF(G147="","",IFERROR(VLOOKUP(G147&amp;"",'Presupuesto Base'!$A$7:$G$24,3,FALSE),""))</f>
        <v/>
      </c>
      <c r="J147" s="30"/>
      <c r="K147" s="32"/>
      <c r="L147" s="108">
        <f>IF(G147="",0,IFERROR(VLOOKUP(G147&amp;"",'Presupuesto Base'!$A$7:$G$24,5,FALSE),0))</f>
        <v>0</v>
      </c>
      <c r="M147" s="108">
        <f t="shared" si="15"/>
        <v>0</v>
      </c>
      <c r="N147" s="30"/>
      <c r="O147" s="30"/>
      <c r="P147" s="33"/>
      <c r="Q147" s="97" t="str">
        <f>IFERROR(VLOOKUP(A147,'Historial Certificados'!$A$6:$E$29,5,FALSE),"")</f>
        <v/>
      </c>
      <c r="R147" s="97" t="str">
        <f t="shared" si="16"/>
        <v/>
      </c>
    </row>
    <row r="148" spans="1:18">
      <c r="A148" s="28"/>
      <c r="B148" s="29"/>
      <c r="C148" s="30"/>
      <c r="D148" s="30"/>
      <c r="E148" s="30"/>
      <c r="F148" s="30"/>
      <c r="G148" s="30"/>
      <c r="H148" s="107" t="str">
        <f>IF(G148="","",IFERROR(VLOOKUP(G148&amp;"",'Presupuesto Base'!$A$7:$G$24,2,FALSE),"Ítem no encontrado"))</f>
        <v/>
      </c>
      <c r="I148" s="107" t="str">
        <f>IF(G148="","",IFERROR(VLOOKUP(G148&amp;"",'Presupuesto Base'!$A$7:$G$24,3,FALSE),""))</f>
        <v/>
      </c>
      <c r="J148" s="30"/>
      <c r="K148" s="32"/>
      <c r="L148" s="108">
        <f>IF(G148="",0,IFERROR(VLOOKUP(G148&amp;"",'Presupuesto Base'!$A$7:$G$24,5,FALSE),0))</f>
        <v>0</v>
      </c>
      <c r="M148" s="108">
        <f t="shared" si="15"/>
        <v>0</v>
      </c>
      <c r="N148" s="30"/>
      <c r="O148" s="30"/>
      <c r="P148" s="33"/>
      <c r="Q148" s="97" t="str">
        <f>IFERROR(VLOOKUP(A148,'Historial Certificados'!$A$6:$E$29,5,FALSE),"")</f>
        <v/>
      </c>
      <c r="R148" s="97" t="str">
        <f t="shared" si="16"/>
        <v/>
      </c>
    </row>
    <row r="149" spans="1:18">
      <c r="A149" s="28"/>
      <c r="B149" s="29"/>
      <c r="C149" s="30"/>
      <c r="D149" s="30"/>
      <c r="E149" s="30"/>
      <c r="F149" s="30"/>
      <c r="G149" s="30"/>
      <c r="H149" s="107" t="str">
        <f>IF(G149="","",IFERROR(VLOOKUP(G149&amp;"",'Presupuesto Base'!$A$7:$G$24,2,FALSE),"Ítem no encontrado"))</f>
        <v/>
      </c>
      <c r="I149" s="107" t="str">
        <f>IF(G149="","",IFERROR(VLOOKUP(G149&amp;"",'Presupuesto Base'!$A$7:$G$24,3,FALSE),""))</f>
        <v/>
      </c>
      <c r="J149" s="30"/>
      <c r="K149" s="32"/>
      <c r="L149" s="108">
        <f>IF(G149="",0,IFERROR(VLOOKUP(G149&amp;"",'Presupuesto Base'!$A$7:$G$24,5,FALSE),0))</f>
        <v>0</v>
      </c>
      <c r="M149" s="108">
        <f t="shared" si="15"/>
        <v>0</v>
      </c>
      <c r="N149" s="30"/>
      <c r="O149" s="30"/>
      <c r="P149" s="33"/>
      <c r="Q149" s="97" t="str">
        <f>IFERROR(VLOOKUP(A149,'Historial Certificados'!$A$6:$E$29,5,FALSE),"")</f>
        <v/>
      </c>
      <c r="R149" s="97" t="str">
        <f t="shared" si="16"/>
        <v/>
      </c>
    </row>
    <row r="150" spans="1:18">
      <c r="A150" s="28"/>
      <c r="B150" s="29"/>
      <c r="C150" s="30"/>
      <c r="D150" s="30"/>
      <c r="E150" s="30"/>
      <c r="F150" s="30"/>
      <c r="G150" s="30"/>
      <c r="H150" s="107" t="str">
        <f>IF(G150="","",IFERROR(VLOOKUP(G150&amp;"",'Presupuesto Base'!$A$7:$G$24,2,FALSE),"Ítem no encontrado"))</f>
        <v/>
      </c>
      <c r="I150" s="107" t="str">
        <f>IF(G150="","",IFERROR(VLOOKUP(G150&amp;"",'Presupuesto Base'!$A$7:$G$24,3,FALSE),""))</f>
        <v/>
      </c>
      <c r="J150" s="30"/>
      <c r="K150" s="32"/>
      <c r="L150" s="108">
        <f>IF(G150="",0,IFERROR(VLOOKUP(G150&amp;"",'Presupuesto Base'!$A$7:$G$24,5,FALSE),0))</f>
        <v>0</v>
      </c>
      <c r="M150" s="108">
        <f t="shared" si="15"/>
        <v>0</v>
      </c>
      <c r="N150" s="30"/>
      <c r="O150" s="30"/>
      <c r="P150" s="33"/>
      <c r="Q150" s="97" t="str">
        <f>IFERROR(VLOOKUP(A150,'Historial Certificados'!$A$6:$E$29,5,FALSE),"")</f>
        <v/>
      </c>
      <c r="R150" s="97" t="str">
        <f t="shared" si="16"/>
        <v/>
      </c>
    </row>
    <row r="151" spans="1:18">
      <c r="A151" s="28"/>
      <c r="B151" s="29"/>
      <c r="C151" s="30"/>
      <c r="D151" s="30"/>
      <c r="E151" s="30"/>
      <c r="F151" s="30"/>
      <c r="G151" s="30"/>
      <c r="H151" s="107" t="str">
        <f>IF(G151="","",IFERROR(VLOOKUP(G151&amp;"",'Presupuesto Base'!$A$7:$G$24,2,FALSE),"Ítem no encontrado"))</f>
        <v/>
      </c>
      <c r="I151" s="107" t="str">
        <f>IF(G151="","",IFERROR(VLOOKUP(G151&amp;"",'Presupuesto Base'!$A$7:$G$24,3,FALSE),""))</f>
        <v/>
      </c>
      <c r="J151" s="30"/>
      <c r="K151" s="32"/>
      <c r="L151" s="108">
        <f>IF(G151="",0,IFERROR(VLOOKUP(G151&amp;"",'Presupuesto Base'!$A$7:$G$24,5,FALSE),0))</f>
        <v>0</v>
      </c>
      <c r="M151" s="108">
        <f t="shared" si="15"/>
        <v>0</v>
      </c>
      <c r="N151" s="30"/>
      <c r="O151" s="30"/>
      <c r="P151" s="33"/>
      <c r="Q151" s="97" t="str">
        <f>IFERROR(VLOOKUP(A151,'Historial Certificados'!$A$6:$E$29,5,FALSE),"")</f>
        <v/>
      </c>
      <c r="R151" s="97" t="str">
        <f t="shared" si="16"/>
        <v/>
      </c>
    </row>
    <row r="152" spans="1:18">
      <c r="A152" s="28"/>
      <c r="B152" s="29"/>
      <c r="C152" s="30"/>
      <c r="D152" s="30"/>
      <c r="E152" s="30"/>
      <c r="F152" s="30"/>
      <c r="G152" s="30"/>
      <c r="H152" s="107" t="str">
        <f>IF(G152="","",IFERROR(VLOOKUP(G152&amp;"",'Presupuesto Base'!$A$7:$G$24,2,FALSE),"Ítem no encontrado"))</f>
        <v/>
      </c>
      <c r="I152" s="107" t="str">
        <f>IF(G152="","",IFERROR(VLOOKUP(G152&amp;"",'Presupuesto Base'!$A$7:$G$24,3,FALSE),""))</f>
        <v/>
      </c>
      <c r="J152" s="30"/>
      <c r="K152" s="32"/>
      <c r="L152" s="108">
        <f>IF(G152="",0,IFERROR(VLOOKUP(G152&amp;"",'Presupuesto Base'!$A$7:$G$24,5,FALSE),0))</f>
        <v>0</v>
      </c>
      <c r="M152" s="108">
        <f t="shared" si="15"/>
        <v>0</v>
      </c>
      <c r="N152" s="30"/>
      <c r="O152" s="30"/>
      <c r="P152" s="33"/>
      <c r="Q152" s="97" t="str">
        <f>IFERROR(VLOOKUP(A152,'Historial Certificados'!$A$6:$E$29,5,FALSE),"")</f>
        <v/>
      </c>
      <c r="R152" s="97" t="str">
        <f t="shared" si="16"/>
        <v/>
      </c>
    </row>
    <row r="153" spans="1:18">
      <c r="A153" s="28"/>
      <c r="B153" s="29"/>
      <c r="C153" s="30"/>
      <c r="D153" s="30"/>
      <c r="E153" s="30"/>
      <c r="F153" s="30"/>
      <c r="G153" s="30"/>
      <c r="H153" s="107" t="str">
        <f>IF(G153="","",IFERROR(VLOOKUP(G153&amp;"",'Presupuesto Base'!$A$7:$G$24,2,FALSE),"Ítem no encontrado"))</f>
        <v/>
      </c>
      <c r="I153" s="107" t="str">
        <f>IF(G153="","",IFERROR(VLOOKUP(G153&amp;"",'Presupuesto Base'!$A$7:$G$24,3,FALSE),""))</f>
        <v/>
      </c>
      <c r="J153" s="30"/>
      <c r="K153" s="32"/>
      <c r="L153" s="108">
        <f>IF(G153="",0,IFERROR(VLOOKUP(G153&amp;"",'Presupuesto Base'!$A$7:$G$24,5,FALSE),0))</f>
        <v>0</v>
      </c>
      <c r="M153" s="108">
        <f t="shared" si="15"/>
        <v>0</v>
      </c>
      <c r="N153" s="30"/>
      <c r="O153" s="30"/>
      <c r="P153" s="33"/>
      <c r="Q153" s="97" t="str">
        <f>IFERROR(VLOOKUP(A153,'Historial Certificados'!$A$6:$E$29,5,FALSE),"")</f>
        <v/>
      </c>
      <c r="R153" s="97" t="str">
        <f t="shared" si="16"/>
        <v/>
      </c>
    </row>
    <row r="154" spans="1:18">
      <c r="A154" s="28"/>
      <c r="B154" s="29"/>
      <c r="C154" s="30"/>
      <c r="D154" s="30"/>
      <c r="E154" s="30"/>
      <c r="F154" s="30"/>
      <c r="G154" s="30"/>
      <c r="H154" s="107" t="str">
        <f>IF(G154="","",IFERROR(VLOOKUP(G154&amp;"",'Presupuesto Base'!$A$7:$G$24,2,FALSE),"Ítem no encontrado"))</f>
        <v/>
      </c>
      <c r="I154" s="107" t="str">
        <f>IF(G154="","",IFERROR(VLOOKUP(G154&amp;"",'Presupuesto Base'!$A$7:$G$24,3,FALSE),""))</f>
        <v/>
      </c>
      <c r="J154" s="30"/>
      <c r="K154" s="32"/>
      <c r="L154" s="108">
        <f>IF(G154="",0,IFERROR(VLOOKUP(G154&amp;"",'Presupuesto Base'!$A$7:$G$24,5,FALSE),0))</f>
        <v>0</v>
      </c>
      <c r="M154" s="108">
        <f t="shared" si="15"/>
        <v>0</v>
      </c>
      <c r="N154" s="30"/>
      <c r="O154" s="30"/>
      <c r="P154" s="33"/>
      <c r="Q154" s="97" t="str">
        <f>IFERROR(VLOOKUP(A154,'Historial Certificados'!$A$6:$E$29,5,FALSE),"")</f>
        <v/>
      </c>
      <c r="R154" s="97" t="str">
        <f t="shared" si="16"/>
        <v/>
      </c>
    </row>
    <row r="155" spans="1:18">
      <c r="A155" s="28"/>
      <c r="B155" s="29"/>
      <c r="C155" s="30"/>
      <c r="D155" s="30"/>
      <c r="E155" s="30"/>
      <c r="F155" s="30"/>
      <c r="G155" s="30"/>
      <c r="H155" s="107" t="str">
        <f>IF(G155="","",IFERROR(VLOOKUP(G155&amp;"",'Presupuesto Base'!$A$7:$G$24,2,FALSE),"Ítem no encontrado"))</f>
        <v/>
      </c>
      <c r="I155" s="107" t="str">
        <f>IF(G155="","",IFERROR(VLOOKUP(G155&amp;"",'Presupuesto Base'!$A$7:$G$24,3,FALSE),""))</f>
        <v/>
      </c>
      <c r="J155" s="30"/>
      <c r="K155" s="32"/>
      <c r="L155" s="108">
        <f>IF(G155="",0,IFERROR(VLOOKUP(G155&amp;"",'Presupuesto Base'!$A$7:$G$24,5,FALSE),0))</f>
        <v>0</v>
      </c>
      <c r="M155" s="108">
        <f t="shared" si="15"/>
        <v>0</v>
      </c>
      <c r="N155" s="30"/>
      <c r="O155" s="30"/>
      <c r="P155" s="33"/>
      <c r="Q155" s="97" t="str">
        <f>IFERROR(VLOOKUP(A155,'Historial Certificados'!$A$6:$E$29,5,FALSE),"")</f>
        <v/>
      </c>
      <c r="R155" s="97" t="str">
        <f t="shared" si="16"/>
        <v/>
      </c>
    </row>
    <row r="156" spans="1:18">
      <c r="A156" s="28"/>
      <c r="B156" s="29"/>
      <c r="C156" s="30"/>
      <c r="D156" s="30"/>
      <c r="E156" s="30"/>
      <c r="F156" s="30"/>
      <c r="G156" s="30"/>
      <c r="H156" s="107" t="str">
        <f>IF(G156="","",IFERROR(VLOOKUP(G156&amp;"",'Presupuesto Base'!$A$7:$G$24,2,FALSE),"Ítem no encontrado"))</f>
        <v/>
      </c>
      <c r="I156" s="107" t="str">
        <f>IF(G156="","",IFERROR(VLOOKUP(G156&amp;"",'Presupuesto Base'!$A$7:$G$24,3,FALSE),""))</f>
        <v/>
      </c>
      <c r="J156" s="30"/>
      <c r="K156" s="32"/>
      <c r="L156" s="108">
        <f>IF(G156="",0,IFERROR(VLOOKUP(G156&amp;"",'Presupuesto Base'!$A$7:$G$24,5,FALSE),0))</f>
        <v>0</v>
      </c>
      <c r="M156" s="108">
        <f t="shared" si="15"/>
        <v>0</v>
      </c>
      <c r="N156" s="30"/>
      <c r="O156" s="30"/>
      <c r="P156" s="33"/>
      <c r="Q156" s="97" t="str">
        <f>IFERROR(VLOOKUP(A156,'Historial Certificados'!$A$6:$E$29,5,FALSE),"")</f>
        <v/>
      </c>
      <c r="R156" s="97" t="str">
        <f t="shared" si="16"/>
        <v/>
      </c>
    </row>
    <row r="157" spans="1:18">
      <c r="A157" s="28"/>
      <c r="B157" s="29"/>
      <c r="C157" s="30"/>
      <c r="D157" s="30"/>
      <c r="E157" s="30"/>
      <c r="F157" s="30"/>
      <c r="G157" s="30"/>
      <c r="H157" s="107" t="str">
        <f>IF(G157="","",IFERROR(VLOOKUP(G157&amp;"",'Presupuesto Base'!$A$7:$G$24,2,FALSE),"Ítem no encontrado"))</f>
        <v/>
      </c>
      <c r="I157" s="107" t="str">
        <f>IF(G157="","",IFERROR(VLOOKUP(G157&amp;"",'Presupuesto Base'!$A$7:$G$24,3,FALSE),""))</f>
        <v/>
      </c>
      <c r="J157" s="30"/>
      <c r="K157" s="32"/>
      <c r="L157" s="108">
        <f>IF(G157="",0,IFERROR(VLOOKUP(G157&amp;"",'Presupuesto Base'!$A$7:$G$24,5,FALSE),0))</f>
        <v>0</v>
      </c>
      <c r="M157" s="108">
        <f t="shared" si="15"/>
        <v>0</v>
      </c>
      <c r="N157" s="30"/>
      <c r="O157" s="30"/>
      <c r="P157" s="33"/>
      <c r="Q157" s="97" t="str">
        <f>IFERROR(VLOOKUP(A157,'Historial Certificados'!$A$6:$E$29,5,FALSE),"")</f>
        <v/>
      </c>
      <c r="R157" s="97" t="str">
        <f t="shared" si="16"/>
        <v/>
      </c>
    </row>
    <row r="158" spans="1:18">
      <c r="A158" s="28"/>
      <c r="B158" s="29"/>
      <c r="C158" s="30"/>
      <c r="D158" s="30"/>
      <c r="E158" s="30"/>
      <c r="F158" s="30"/>
      <c r="G158" s="30"/>
      <c r="H158" s="107" t="str">
        <f>IF(G158="","",IFERROR(VLOOKUP(G158&amp;"",'Presupuesto Base'!$A$7:$G$24,2,FALSE),"Ítem no encontrado"))</f>
        <v/>
      </c>
      <c r="I158" s="107" t="str">
        <f>IF(G158="","",IFERROR(VLOOKUP(G158&amp;"",'Presupuesto Base'!$A$7:$G$24,3,FALSE),""))</f>
        <v/>
      </c>
      <c r="J158" s="30"/>
      <c r="K158" s="32"/>
      <c r="L158" s="108">
        <f>IF(G158="",0,IFERROR(VLOOKUP(G158&amp;"",'Presupuesto Base'!$A$7:$G$24,5,FALSE),0))</f>
        <v>0</v>
      </c>
      <c r="M158" s="108">
        <f t="shared" si="15"/>
        <v>0</v>
      </c>
      <c r="N158" s="30"/>
      <c r="O158" s="30"/>
      <c r="P158" s="33"/>
      <c r="Q158" s="97" t="str">
        <f>IFERROR(VLOOKUP(A158,'Historial Certificados'!$A$6:$E$29,5,FALSE),"")</f>
        <v/>
      </c>
      <c r="R158" s="97" t="str">
        <f t="shared" si="16"/>
        <v/>
      </c>
    </row>
    <row r="159" spans="1:18">
      <c r="A159" s="28"/>
      <c r="B159" s="29"/>
      <c r="C159" s="30"/>
      <c r="D159" s="30"/>
      <c r="E159" s="30"/>
      <c r="F159" s="30"/>
      <c r="G159" s="30"/>
      <c r="H159" s="107" t="str">
        <f>IF(G159="","",IFERROR(VLOOKUP(G159&amp;"",'Presupuesto Base'!$A$7:$G$24,2,FALSE),"Ítem no encontrado"))</f>
        <v/>
      </c>
      <c r="I159" s="107" t="str">
        <f>IF(G159="","",IFERROR(VLOOKUP(G159&amp;"",'Presupuesto Base'!$A$7:$G$24,3,FALSE),""))</f>
        <v/>
      </c>
      <c r="J159" s="30"/>
      <c r="K159" s="32"/>
      <c r="L159" s="108">
        <f>IF(G159="",0,IFERROR(VLOOKUP(G159&amp;"",'Presupuesto Base'!$A$7:$G$24,5,FALSE),0))</f>
        <v>0</v>
      </c>
      <c r="M159" s="108">
        <f t="shared" si="15"/>
        <v>0</v>
      </c>
      <c r="N159" s="30"/>
      <c r="O159" s="30"/>
      <c r="P159" s="33"/>
      <c r="Q159" s="97" t="str">
        <f>IFERROR(VLOOKUP(A159,'Historial Certificados'!$A$6:$E$29,5,FALSE),"")</f>
        <v/>
      </c>
      <c r="R159" s="97" t="str">
        <f t="shared" si="16"/>
        <v/>
      </c>
    </row>
    <row r="160" spans="1:18">
      <c r="A160" s="28"/>
      <c r="B160" s="29"/>
      <c r="C160" s="30"/>
      <c r="D160" s="30"/>
      <c r="E160" s="30"/>
      <c r="F160" s="30"/>
      <c r="G160" s="30"/>
      <c r="H160" s="107" t="str">
        <f>IF(G160="","",IFERROR(VLOOKUP(G160&amp;"",'Presupuesto Base'!$A$7:$G$24,2,FALSE),"Ítem no encontrado"))</f>
        <v/>
      </c>
      <c r="I160" s="107" t="str">
        <f>IF(G160="","",IFERROR(VLOOKUP(G160&amp;"",'Presupuesto Base'!$A$7:$G$24,3,FALSE),""))</f>
        <v/>
      </c>
      <c r="J160" s="30"/>
      <c r="K160" s="32"/>
      <c r="L160" s="108">
        <f>IF(G160="",0,IFERROR(VLOOKUP(G160&amp;"",'Presupuesto Base'!$A$7:$G$24,5,FALSE),0))</f>
        <v>0</v>
      </c>
      <c r="M160" s="108">
        <f t="shared" si="15"/>
        <v>0</v>
      </c>
      <c r="N160" s="30"/>
      <c r="O160" s="30"/>
      <c r="P160" s="33"/>
      <c r="Q160" s="97" t="str">
        <f>IFERROR(VLOOKUP(A160,'Historial Certificados'!$A$6:$E$29,5,FALSE),"")</f>
        <v/>
      </c>
      <c r="R160" s="97" t="str">
        <f t="shared" si="16"/>
        <v/>
      </c>
    </row>
    <row r="161" spans="1:18">
      <c r="A161" s="28"/>
      <c r="B161" s="29"/>
      <c r="C161" s="30"/>
      <c r="D161" s="30"/>
      <c r="E161" s="30"/>
      <c r="F161" s="30"/>
      <c r="G161" s="30"/>
      <c r="H161" s="107" t="str">
        <f>IF(G161="","",IFERROR(VLOOKUP(G161&amp;"",'Presupuesto Base'!$A$7:$G$24,2,FALSE),"Ítem no encontrado"))</f>
        <v/>
      </c>
      <c r="I161" s="107" t="str">
        <f>IF(G161="","",IFERROR(VLOOKUP(G161&amp;"",'Presupuesto Base'!$A$7:$G$24,3,FALSE),""))</f>
        <v/>
      </c>
      <c r="J161" s="30"/>
      <c r="K161" s="32"/>
      <c r="L161" s="108">
        <f>IF(G161="",0,IFERROR(VLOOKUP(G161&amp;"",'Presupuesto Base'!$A$7:$G$24,5,FALSE),0))</f>
        <v>0</v>
      </c>
      <c r="M161" s="108">
        <f t="shared" si="15"/>
        <v>0</v>
      </c>
      <c r="N161" s="30"/>
      <c r="O161" s="30"/>
      <c r="P161" s="33"/>
      <c r="Q161" s="97" t="str">
        <f>IFERROR(VLOOKUP(A161,'Historial Certificados'!$A$6:$E$29,5,FALSE),"")</f>
        <v/>
      </c>
      <c r="R161" s="97" t="str">
        <f t="shared" si="16"/>
        <v/>
      </c>
    </row>
    <row r="162" spans="1:18">
      <c r="A162" s="28"/>
      <c r="B162" s="29"/>
      <c r="C162" s="30"/>
      <c r="D162" s="30"/>
      <c r="E162" s="30"/>
      <c r="F162" s="30"/>
      <c r="G162" s="30"/>
      <c r="H162" s="107" t="str">
        <f>IF(G162="","",IFERROR(VLOOKUP(G162&amp;"",'Presupuesto Base'!$A$7:$G$24,2,FALSE),"Ítem no encontrado"))</f>
        <v/>
      </c>
      <c r="I162" s="107" t="str">
        <f>IF(G162="","",IFERROR(VLOOKUP(G162&amp;"",'Presupuesto Base'!$A$7:$G$24,3,FALSE),""))</f>
        <v/>
      </c>
      <c r="J162" s="30"/>
      <c r="K162" s="32"/>
      <c r="L162" s="108">
        <f>IF(G162="",0,IFERROR(VLOOKUP(G162&amp;"",'Presupuesto Base'!$A$7:$G$24,5,FALSE),0))</f>
        <v>0</v>
      </c>
      <c r="M162" s="108">
        <f t="shared" si="15"/>
        <v>0</v>
      </c>
      <c r="N162" s="30"/>
      <c r="O162" s="30"/>
      <c r="P162" s="33"/>
      <c r="Q162" s="97" t="str">
        <f>IFERROR(VLOOKUP(A162,'Historial Certificados'!$A$6:$E$29,5,FALSE),"")</f>
        <v/>
      </c>
      <c r="R162" s="97" t="str">
        <f t="shared" si="16"/>
        <v/>
      </c>
    </row>
    <row r="163" spans="1:18">
      <c r="A163" s="28"/>
      <c r="B163" s="29"/>
      <c r="C163" s="30"/>
      <c r="D163" s="30"/>
      <c r="E163" s="30"/>
      <c r="F163" s="30"/>
      <c r="G163" s="30"/>
      <c r="H163" s="107" t="str">
        <f>IF(G163="","",IFERROR(VLOOKUP(G163&amp;"",'Presupuesto Base'!$A$7:$G$24,2,FALSE),"Ítem no encontrado"))</f>
        <v/>
      </c>
      <c r="I163" s="107" t="str">
        <f>IF(G163="","",IFERROR(VLOOKUP(G163&amp;"",'Presupuesto Base'!$A$7:$G$24,3,FALSE),""))</f>
        <v/>
      </c>
      <c r="J163" s="30"/>
      <c r="K163" s="32"/>
      <c r="L163" s="108">
        <f>IF(G163="",0,IFERROR(VLOOKUP(G163&amp;"",'Presupuesto Base'!$A$7:$G$24,5,FALSE),0))</f>
        <v>0</v>
      </c>
      <c r="M163" s="108">
        <f t="shared" si="15"/>
        <v>0</v>
      </c>
      <c r="N163" s="30"/>
      <c r="O163" s="30"/>
      <c r="P163" s="33"/>
      <c r="Q163" s="97" t="str">
        <f>IFERROR(VLOOKUP(A163,'Historial Certificados'!$A$6:$E$29,5,FALSE),"")</f>
        <v/>
      </c>
      <c r="R163" s="97" t="str">
        <f t="shared" si="16"/>
        <v/>
      </c>
    </row>
    <row r="164" spans="1:18">
      <c r="A164" s="28"/>
      <c r="B164" s="29"/>
      <c r="C164" s="30"/>
      <c r="D164" s="30"/>
      <c r="E164" s="30"/>
      <c r="F164" s="30"/>
      <c r="G164" s="30"/>
      <c r="H164" s="107" t="str">
        <f>IF(G164="","",IFERROR(VLOOKUP(G164&amp;"",'Presupuesto Base'!$A$7:$G$24,2,FALSE),"Ítem no encontrado"))</f>
        <v/>
      </c>
      <c r="I164" s="107" t="str">
        <f>IF(G164="","",IFERROR(VLOOKUP(G164&amp;"",'Presupuesto Base'!$A$7:$G$24,3,FALSE),""))</f>
        <v/>
      </c>
      <c r="J164" s="30"/>
      <c r="K164" s="32"/>
      <c r="L164" s="108">
        <f>IF(G164="",0,IFERROR(VLOOKUP(G164&amp;"",'Presupuesto Base'!$A$7:$G$24,5,FALSE),0))</f>
        <v>0</v>
      </c>
      <c r="M164" s="108">
        <f t="shared" si="15"/>
        <v>0</v>
      </c>
      <c r="N164" s="30"/>
      <c r="O164" s="30"/>
      <c r="P164" s="33"/>
      <c r="Q164" s="97" t="str">
        <f>IFERROR(VLOOKUP(A164,'Historial Certificados'!$A$6:$E$29,5,FALSE),"")</f>
        <v/>
      </c>
      <c r="R164" s="97" t="str">
        <f t="shared" si="16"/>
        <v/>
      </c>
    </row>
    <row r="165" spans="1:18">
      <c r="A165" s="28"/>
      <c r="B165" s="29"/>
      <c r="C165" s="30"/>
      <c r="D165" s="30"/>
      <c r="E165" s="30"/>
      <c r="F165" s="30"/>
      <c r="G165" s="30"/>
      <c r="H165" s="107" t="str">
        <f>IF(G165="","",IFERROR(VLOOKUP(G165&amp;"",'Presupuesto Base'!$A$7:$G$24,2,FALSE),"Ítem no encontrado"))</f>
        <v/>
      </c>
      <c r="I165" s="107" t="str">
        <f>IF(G165="","",IFERROR(VLOOKUP(G165&amp;"",'Presupuesto Base'!$A$7:$G$24,3,FALSE),""))</f>
        <v/>
      </c>
      <c r="J165" s="30"/>
      <c r="K165" s="32"/>
      <c r="L165" s="108">
        <f>IF(G165="",0,IFERROR(VLOOKUP(G165&amp;"",'Presupuesto Base'!$A$7:$G$24,5,FALSE),0))</f>
        <v>0</v>
      </c>
      <c r="M165" s="108">
        <f t="shared" si="15"/>
        <v>0</v>
      </c>
      <c r="N165" s="30"/>
      <c r="O165" s="30"/>
      <c r="P165" s="33"/>
      <c r="Q165" s="97" t="str">
        <f>IFERROR(VLOOKUP(A165,'Historial Certificados'!$A$6:$E$29,5,FALSE),"")</f>
        <v/>
      </c>
      <c r="R165" s="97" t="str">
        <f t="shared" si="16"/>
        <v/>
      </c>
    </row>
    <row r="166" spans="1:18">
      <c r="A166" s="28"/>
      <c r="B166" s="29"/>
      <c r="C166" s="30"/>
      <c r="D166" s="30"/>
      <c r="E166" s="30"/>
      <c r="F166" s="30"/>
      <c r="G166" s="30"/>
      <c r="H166" s="107" t="str">
        <f>IF(G166="","",IFERROR(VLOOKUP(G166&amp;"",'Presupuesto Base'!$A$7:$G$24,2,FALSE),"Ítem no encontrado"))</f>
        <v/>
      </c>
      <c r="I166" s="107" t="str">
        <f>IF(G166="","",IFERROR(VLOOKUP(G166&amp;"",'Presupuesto Base'!$A$7:$G$24,3,FALSE),""))</f>
        <v/>
      </c>
      <c r="J166" s="30"/>
      <c r="K166" s="32"/>
      <c r="L166" s="108">
        <f>IF(G166="",0,IFERROR(VLOOKUP(G166&amp;"",'Presupuesto Base'!$A$7:$G$24,5,FALSE),0))</f>
        <v>0</v>
      </c>
      <c r="M166" s="108">
        <f t="shared" si="15"/>
        <v>0</v>
      </c>
      <c r="N166" s="30"/>
      <c r="O166" s="30"/>
      <c r="P166" s="33"/>
      <c r="Q166" s="97" t="str">
        <f>IFERROR(VLOOKUP(A166,'Historial Certificados'!$A$6:$E$29,5,FALSE),"")</f>
        <v/>
      </c>
      <c r="R166" s="97" t="str">
        <f t="shared" si="16"/>
        <v/>
      </c>
    </row>
    <row r="167" spans="1:18">
      <c r="A167" s="28"/>
      <c r="B167" s="29"/>
      <c r="C167" s="30"/>
      <c r="D167" s="30"/>
      <c r="E167" s="30"/>
      <c r="F167" s="30"/>
      <c r="G167" s="30"/>
      <c r="H167" s="107" t="str">
        <f>IF(G167="","",IFERROR(VLOOKUP(G167&amp;"",'Presupuesto Base'!$A$7:$G$24,2,FALSE),"Ítem no encontrado"))</f>
        <v/>
      </c>
      <c r="I167" s="107" t="str">
        <f>IF(G167="","",IFERROR(VLOOKUP(G167&amp;"",'Presupuesto Base'!$A$7:$G$24,3,FALSE),""))</f>
        <v/>
      </c>
      <c r="J167" s="30"/>
      <c r="K167" s="32"/>
      <c r="L167" s="108">
        <f>IF(G167="",0,IFERROR(VLOOKUP(G167&amp;"",'Presupuesto Base'!$A$7:$G$24,5,FALSE),0))</f>
        <v>0</v>
      </c>
      <c r="M167" s="108">
        <f t="shared" si="15"/>
        <v>0</v>
      </c>
      <c r="N167" s="30"/>
      <c r="O167" s="30"/>
      <c r="P167" s="33"/>
      <c r="Q167" s="97" t="str">
        <f>IFERROR(VLOOKUP(A167,'Historial Certificados'!$A$6:$E$29,5,FALSE),"")</f>
        <v/>
      </c>
      <c r="R167" s="97" t="str">
        <f t="shared" si="16"/>
        <v/>
      </c>
    </row>
    <row r="168" spans="1:18">
      <c r="A168" s="28"/>
      <c r="B168" s="29"/>
      <c r="C168" s="30"/>
      <c r="D168" s="30"/>
      <c r="E168" s="30"/>
      <c r="F168" s="30"/>
      <c r="G168" s="30"/>
      <c r="H168" s="107" t="str">
        <f>IF(G168="","",IFERROR(VLOOKUP(G168&amp;"",'Presupuesto Base'!$A$7:$G$24,2,FALSE),"Ítem no encontrado"))</f>
        <v/>
      </c>
      <c r="I168" s="107" t="str">
        <f>IF(G168="","",IFERROR(VLOOKUP(G168&amp;"",'Presupuesto Base'!$A$7:$G$24,3,FALSE),""))</f>
        <v/>
      </c>
      <c r="J168" s="30"/>
      <c r="K168" s="32"/>
      <c r="L168" s="108">
        <f>IF(G168="",0,IFERROR(VLOOKUP(G168&amp;"",'Presupuesto Base'!$A$7:$G$24,5,FALSE),0))</f>
        <v>0</v>
      </c>
      <c r="M168" s="108">
        <f t="shared" si="15"/>
        <v>0</v>
      </c>
      <c r="N168" s="30"/>
      <c r="O168" s="30"/>
      <c r="P168" s="33"/>
      <c r="Q168" s="97" t="str">
        <f>IFERROR(VLOOKUP(A168,'Historial Certificados'!$A$6:$E$29,5,FALSE),"")</f>
        <v/>
      </c>
      <c r="R168" s="97" t="str">
        <f t="shared" si="16"/>
        <v/>
      </c>
    </row>
    <row r="169" spans="1:18">
      <c r="A169" s="28"/>
      <c r="B169" s="29"/>
      <c r="C169" s="30"/>
      <c r="D169" s="30"/>
      <c r="E169" s="30"/>
      <c r="F169" s="30"/>
      <c r="G169" s="30"/>
      <c r="H169" s="107" t="str">
        <f>IF(G169="","",IFERROR(VLOOKUP(G169&amp;"",'Presupuesto Base'!$A$7:$G$24,2,FALSE),"Ítem no encontrado"))</f>
        <v/>
      </c>
      <c r="I169" s="107" t="str">
        <f>IF(G169="","",IFERROR(VLOOKUP(G169&amp;"",'Presupuesto Base'!$A$7:$G$24,3,FALSE),""))</f>
        <v/>
      </c>
      <c r="J169" s="30"/>
      <c r="K169" s="32"/>
      <c r="L169" s="108">
        <f>IF(G169="",0,IFERROR(VLOOKUP(G169&amp;"",'Presupuesto Base'!$A$7:$G$24,5,FALSE),0))</f>
        <v>0</v>
      </c>
      <c r="M169" s="108">
        <f t="shared" si="15"/>
        <v>0</v>
      </c>
      <c r="N169" s="30"/>
      <c r="O169" s="30"/>
      <c r="P169" s="33"/>
      <c r="Q169" s="97" t="str">
        <f>IFERROR(VLOOKUP(A169,'Historial Certificados'!$A$6:$E$29,5,FALSE),"")</f>
        <v/>
      </c>
      <c r="R169" s="97" t="str">
        <f t="shared" si="16"/>
        <v/>
      </c>
    </row>
    <row r="170" spans="1:18">
      <c r="A170" s="28"/>
      <c r="B170" s="29"/>
      <c r="C170" s="30"/>
      <c r="D170" s="30"/>
      <c r="E170" s="30"/>
      <c r="F170" s="30"/>
      <c r="G170" s="30"/>
      <c r="H170" s="107" t="str">
        <f>IF(G170="","",IFERROR(VLOOKUP(G170&amp;"",'Presupuesto Base'!$A$7:$G$24,2,FALSE),"Ítem no encontrado"))</f>
        <v/>
      </c>
      <c r="I170" s="107" t="str">
        <f>IF(G170="","",IFERROR(VLOOKUP(G170&amp;"",'Presupuesto Base'!$A$7:$G$24,3,FALSE),""))</f>
        <v/>
      </c>
      <c r="J170" s="30"/>
      <c r="K170" s="32"/>
      <c r="L170" s="108">
        <f>IF(G170="",0,IFERROR(VLOOKUP(G170&amp;"",'Presupuesto Base'!$A$7:$G$24,5,FALSE),0))</f>
        <v>0</v>
      </c>
      <c r="M170" s="108">
        <f t="shared" si="15"/>
        <v>0</v>
      </c>
      <c r="N170" s="30"/>
      <c r="O170" s="30"/>
      <c r="P170" s="33"/>
      <c r="Q170" s="97" t="str">
        <f>IFERROR(VLOOKUP(A170,'Historial Certificados'!$A$6:$E$29,5,FALSE),"")</f>
        <v/>
      </c>
      <c r="R170" s="97" t="str">
        <f t="shared" si="16"/>
        <v/>
      </c>
    </row>
    <row r="171" spans="1:18">
      <c r="A171" s="28"/>
      <c r="B171" s="29"/>
      <c r="C171" s="30"/>
      <c r="D171" s="30"/>
      <c r="E171" s="30"/>
      <c r="F171" s="30"/>
      <c r="G171" s="30"/>
      <c r="H171" s="107" t="str">
        <f>IF(G171="","",IFERROR(VLOOKUP(G171&amp;"",'Presupuesto Base'!$A$7:$G$24,2,FALSE),"Ítem no encontrado"))</f>
        <v/>
      </c>
      <c r="I171" s="107" t="str">
        <f>IF(G171="","",IFERROR(VLOOKUP(G171&amp;"",'Presupuesto Base'!$A$7:$G$24,3,FALSE),""))</f>
        <v/>
      </c>
      <c r="J171" s="30"/>
      <c r="K171" s="32"/>
      <c r="L171" s="108">
        <f>IF(G171="",0,IFERROR(VLOOKUP(G171&amp;"",'Presupuesto Base'!$A$7:$G$24,5,FALSE),0))</f>
        <v>0</v>
      </c>
      <c r="M171" s="108">
        <f t="shared" si="15"/>
        <v>0</v>
      </c>
      <c r="N171" s="30"/>
      <c r="O171" s="30"/>
      <c r="P171" s="33"/>
      <c r="Q171" s="97" t="str">
        <f>IFERROR(VLOOKUP(A171,'Historial Certificados'!$A$6:$E$29,5,FALSE),"")</f>
        <v/>
      </c>
      <c r="R171" s="97" t="str">
        <f t="shared" si="16"/>
        <v/>
      </c>
    </row>
    <row r="172" spans="1:18">
      <c r="A172" s="28"/>
      <c r="B172" s="29"/>
      <c r="C172" s="30"/>
      <c r="D172" s="30"/>
      <c r="E172" s="30"/>
      <c r="F172" s="30"/>
      <c r="G172" s="30"/>
      <c r="H172" s="107" t="str">
        <f>IF(G172="","",IFERROR(VLOOKUP(G172&amp;"",'Presupuesto Base'!$A$7:$G$24,2,FALSE),"Ítem no encontrado"))</f>
        <v/>
      </c>
      <c r="I172" s="107" t="str">
        <f>IF(G172="","",IFERROR(VLOOKUP(G172&amp;"",'Presupuesto Base'!$A$7:$G$24,3,FALSE),""))</f>
        <v/>
      </c>
      <c r="J172" s="30"/>
      <c r="K172" s="32"/>
      <c r="L172" s="108">
        <f>IF(G172="",0,IFERROR(VLOOKUP(G172&amp;"",'Presupuesto Base'!$A$7:$G$24,5,FALSE),0))</f>
        <v>0</v>
      </c>
      <c r="M172" s="108">
        <f t="shared" si="15"/>
        <v>0</v>
      </c>
      <c r="N172" s="30"/>
      <c r="O172" s="30"/>
      <c r="P172" s="33"/>
      <c r="Q172" s="97" t="str">
        <f>IFERROR(VLOOKUP(A172,'Historial Certificados'!$A$6:$E$29,5,FALSE),"")</f>
        <v/>
      </c>
      <c r="R172" s="97" t="str">
        <f t="shared" si="16"/>
        <v/>
      </c>
    </row>
    <row r="173" spans="1:18">
      <c r="A173" s="28"/>
      <c r="B173" s="29"/>
      <c r="C173" s="30"/>
      <c r="D173" s="30"/>
      <c r="E173" s="30"/>
      <c r="F173" s="30"/>
      <c r="G173" s="30"/>
      <c r="H173" s="107" t="str">
        <f>IF(G173="","",IFERROR(VLOOKUP(G173&amp;"",'Presupuesto Base'!$A$7:$G$24,2,FALSE),"Ítem no encontrado"))</f>
        <v/>
      </c>
      <c r="I173" s="107" t="str">
        <f>IF(G173="","",IFERROR(VLOOKUP(G173&amp;"",'Presupuesto Base'!$A$7:$G$24,3,FALSE),""))</f>
        <v/>
      </c>
      <c r="J173" s="30"/>
      <c r="K173" s="32"/>
      <c r="L173" s="108">
        <f>IF(G173="",0,IFERROR(VLOOKUP(G173&amp;"",'Presupuesto Base'!$A$7:$G$24,5,FALSE),0))</f>
        <v>0</v>
      </c>
      <c r="M173" s="108">
        <f t="shared" si="15"/>
        <v>0</v>
      </c>
      <c r="N173" s="30"/>
      <c r="O173" s="30"/>
      <c r="P173" s="33"/>
      <c r="Q173" s="97" t="str">
        <f>IFERROR(VLOOKUP(A173,'Historial Certificados'!$A$6:$E$29,5,FALSE),"")</f>
        <v/>
      </c>
      <c r="R173" s="97" t="str">
        <f t="shared" si="16"/>
        <v/>
      </c>
    </row>
    <row r="174" spans="1:18">
      <c r="A174" s="28"/>
      <c r="B174" s="29"/>
      <c r="C174" s="30"/>
      <c r="D174" s="30"/>
      <c r="E174" s="30"/>
      <c r="F174" s="30"/>
      <c r="G174" s="30"/>
      <c r="H174" s="107" t="str">
        <f>IF(G174="","",IFERROR(VLOOKUP(G174&amp;"",'Presupuesto Base'!$A$7:$G$24,2,FALSE),"Ítem no encontrado"))</f>
        <v/>
      </c>
      <c r="I174" s="107" t="str">
        <f>IF(G174="","",IFERROR(VLOOKUP(G174&amp;"",'Presupuesto Base'!$A$7:$G$24,3,FALSE),""))</f>
        <v/>
      </c>
      <c r="J174" s="30"/>
      <c r="K174" s="32"/>
      <c r="L174" s="108">
        <f>IF(G174="",0,IFERROR(VLOOKUP(G174&amp;"",'Presupuesto Base'!$A$7:$G$24,5,FALSE),0))</f>
        <v>0</v>
      </c>
      <c r="M174" s="108">
        <f t="shared" si="15"/>
        <v>0</v>
      </c>
      <c r="N174" s="30"/>
      <c r="O174" s="30"/>
      <c r="P174" s="33"/>
      <c r="Q174" s="97" t="str">
        <f>IFERROR(VLOOKUP(A174,'Historial Certificados'!$A$6:$E$29,5,FALSE),"")</f>
        <v/>
      </c>
      <c r="R174" s="97" t="str">
        <f t="shared" si="16"/>
        <v/>
      </c>
    </row>
    <row r="175" spans="1:18">
      <c r="A175" s="28"/>
      <c r="B175" s="29"/>
      <c r="C175" s="30"/>
      <c r="D175" s="30"/>
      <c r="E175" s="30"/>
      <c r="F175" s="30"/>
      <c r="G175" s="30"/>
      <c r="H175" s="107" t="str">
        <f>IF(G175="","",IFERROR(VLOOKUP(G175&amp;"",'Presupuesto Base'!$A$7:$G$24,2,FALSE),"Ítem no encontrado"))</f>
        <v/>
      </c>
      <c r="I175" s="107" t="str">
        <f>IF(G175="","",IFERROR(VLOOKUP(G175&amp;"",'Presupuesto Base'!$A$7:$G$24,3,FALSE),""))</f>
        <v/>
      </c>
      <c r="J175" s="30"/>
      <c r="K175" s="32"/>
      <c r="L175" s="108">
        <f>IF(G175="",0,IFERROR(VLOOKUP(G175&amp;"",'Presupuesto Base'!$A$7:$G$24,5,FALSE),0))</f>
        <v>0</v>
      </c>
      <c r="M175" s="108">
        <f t="shared" si="15"/>
        <v>0</v>
      </c>
      <c r="N175" s="30"/>
      <c r="O175" s="30"/>
      <c r="P175" s="33"/>
      <c r="Q175" s="97" t="str">
        <f>IFERROR(VLOOKUP(A175,'Historial Certificados'!$A$6:$E$29,5,FALSE),"")</f>
        <v/>
      </c>
      <c r="R175" s="97" t="str">
        <f t="shared" si="16"/>
        <v/>
      </c>
    </row>
    <row r="176" spans="1:18">
      <c r="A176" s="28"/>
      <c r="B176" s="29"/>
      <c r="C176" s="30"/>
      <c r="D176" s="30"/>
      <c r="E176" s="30"/>
      <c r="F176" s="30"/>
      <c r="G176" s="30"/>
      <c r="H176" s="107" t="str">
        <f>IF(G176="","",IFERROR(VLOOKUP(G176&amp;"",'Presupuesto Base'!$A$7:$G$24,2,FALSE),"Ítem no encontrado"))</f>
        <v/>
      </c>
      <c r="I176" s="107" t="str">
        <f>IF(G176="","",IFERROR(VLOOKUP(G176&amp;"",'Presupuesto Base'!$A$7:$G$24,3,FALSE),""))</f>
        <v/>
      </c>
      <c r="J176" s="30"/>
      <c r="K176" s="32"/>
      <c r="L176" s="108">
        <f>IF(G176="",0,IFERROR(VLOOKUP(G176&amp;"",'Presupuesto Base'!$A$7:$G$24,5,FALSE),0))</f>
        <v>0</v>
      </c>
      <c r="M176" s="108">
        <f t="shared" si="15"/>
        <v>0</v>
      </c>
      <c r="N176" s="30"/>
      <c r="O176" s="30"/>
      <c r="P176" s="33"/>
      <c r="Q176" s="97" t="str">
        <f>IFERROR(VLOOKUP(A176,'Historial Certificados'!$A$6:$E$29,5,FALSE),"")</f>
        <v/>
      </c>
      <c r="R176" s="97" t="str">
        <f t="shared" si="16"/>
        <v/>
      </c>
    </row>
    <row r="177" spans="1:18">
      <c r="A177" s="28"/>
      <c r="B177" s="29"/>
      <c r="C177" s="30"/>
      <c r="D177" s="30"/>
      <c r="E177" s="30"/>
      <c r="F177" s="30"/>
      <c r="G177" s="30"/>
      <c r="H177" s="107" t="str">
        <f>IF(G177="","",IFERROR(VLOOKUP(G177&amp;"",'Presupuesto Base'!$A$7:$G$24,2,FALSE),"Ítem no encontrado"))</f>
        <v/>
      </c>
      <c r="I177" s="107" t="str">
        <f>IF(G177="","",IFERROR(VLOOKUP(G177&amp;"",'Presupuesto Base'!$A$7:$G$24,3,FALSE),""))</f>
        <v/>
      </c>
      <c r="J177" s="30"/>
      <c r="K177" s="32"/>
      <c r="L177" s="108">
        <f>IF(G177="",0,IFERROR(VLOOKUP(G177&amp;"",'Presupuesto Base'!$A$7:$G$24,5,FALSE),0))</f>
        <v>0</v>
      </c>
      <c r="M177" s="108">
        <f t="shared" si="15"/>
        <v>0</v>
      </c>
      <c r="N177" s="30"/>
      <c r="O177" s="30"/>
      <c r="P177" s="33"/>
      <c r="Q177" s="97" t="str">
        <f>IFERROR(VLOOKUP(A177,'Historial Certificados'!$A$6:$E$29,5,FALSE),"")</f>
        <v/>
      </c>
      <c r="R177" s="97" t="str">
        <f t="shared" si="16"/>
        <v/>
      </c>
    </row>
    <row r="178" spans="1:18">
      <c r="A178" s="28"/>
      <c r="B178" s="29"/>
      <c r="C178" s="30"/>
      <c r="D178" s="30"/>
      <c r="E178" s="30"/>
      <c r="F178" s="30"/>
      <c r="G178" s="30"/>
      <c r="H178" s="107" t="str">
        <f>IF(G178="","",IFERROR(VLOOKUP(G178&amp;"",'Presupuesto Base'!$A$7:$G$24,2,FALSE),"Ítem no encontrado"))</f>
        <v/>
      </c>
      <c r="I178" s="107" t="str">
        <f>IF(G178="","",IFERROR(VLOOKUP(G178&amp;"",'Presupuesto Base'!$A$7:$G$24,3,FALSE),""))</f>
        <v/>
      </c>
      <c r="J178" s="30"/>
      <c r="K178" s="32"/>
      <c r="L178" s="108">
        <f>IF(G178="",0,IFERROR(VLOOKUP(G178&amp;"",'Presupuesto Base'!$A$7:$G$24,5,FALSE),0))</f>
        <v>0</v>
      </c>
      <c r="M178" s="108">
        <f t="shared" si="15"/>
        <v>0</v>
      </c>
      <c r="N178" s="30"/>
      <c r="O178" s="30"/>
      <c r="P178" s="33"/>
      <c r="Q178" s="97" t="str">
        <f>IFERROR(VLOOKUP(A178,'Historial Certificados'!$A$6:$E$29,5,FALSE),"")</f>
        <v/>
      </c>
      <c r="R178" s="97" t="str">
        <f t="shared" si="16"/>
        <v/>
      </c>
    </row>
    <row r="179" spans="1:18">
      <c r="A179" s="28"/>
      <c r="B179" s="29"/>
      <c r="C179" s="30"/>
      <c r="D179" s="30"/>
      <c r="E179" s="30"/>
      <c r="F179" s="30"/>
      <c r="G179" s="30"/>
      <c r="H179" s="107" t="str">
        <f>IF(G179="","",IFERROR(VLOOKUP(G179&amp;"",'Presupuesto Base'!$A$7:$G$24,2,FALSE),"Ítem no encontrado"))</f>
        <v/>
      </c>
      <c r="I179" s="107" t="str">
        <f>IF(G179="","",IFERROR(VLOOKUP(G179&amp;"",'Presupuesto Base'!$A$7:$G$24,3,FALSE),""))</f>
        <v/>
      </c>
      <c r="J179" s="30"/>
      <c r="K179" s="32"/>
      <c r="L179" s="108">
        <f>IF(G179="",0,IFERROR(VLOOKUP(G179&amp;"",'Presupuesto Base'!$A$7:$G$24,5,FALSE),0))</f>
        <v>0</v>
      </c>
      <c r="M179" s="108">
        <f t="shared" si="15"/>
        <v>0</v>
      </c>
      <c r="N179" s="30"/>
      <c r="O179" s="30"/>
      <c r="P179" s="33"/>
      <c r="Q179" s="97" t="str">
        <f>IFERROR(VLOOKUP(A179,'Historial Certificados'!$A$6:$E$29,5,FALSE),"")</f>
        <v/>
      </c>
      <c r="R179" s="97" t="str">
        <f t="shared" si="16"/>
        <v/>
      </c>
    </row>
    <row r="180" spans="1:18">
      <c r="A180" s="28"/>
      <c r="B180" s="29"/>
      <c r="C180" s="30"/>
      <c r="D180" s="30"/>
      <c r="E180" s="30"/>
      <c r="F180" s="30"/>
      <c r="G180" s="30"/>
      <c r="H180" s="107" t="str">
        <f>IF(G180="","",IFERROR(VLOOKUP(G180&amp;"",'Presupuesto Base'!$A$7:$G$24,2,FALSE),"Ítem no encontrado"))</f>
        <v/>
      </c>
      <c r="I180" s="107" t="str">
        <f>IF(G180="","",IFERROR(VLOOKUP(G180&amp;"",'Presupuesto Base'!$A$7:$G$24,3,FALSE),""))</f>
        <v/>
      </c>
      <c r="J180" s="30"/>
      <c r="K180" s="32"/>
      <c r="L180" s="108">
        <f>IF(G180="",0,IFERROR(VLOOKUP(G180&amp;"",'Presupuesto Base'!$A$7:$G$24,5,FALSE),0))</f>
        <v>0</v>
      </c>
      <c r="M180" s="108">
        <f t="shared" si="15"/>
        <v>0</v>
      </c>
      <c r="N180" s="30"/>
      <c r="O180" s="30"/>
      <c r="P180" s="33"/>
      <c r="Q180" s="97" t="str">
        <f>IFERROR(VLOOKUP(A180,'Historial Certificados'!$A$6:$E$29,5,FALSE),"")</f>
        <v/>
      </c>
      <c r="R180" s="97" t="str">
        <f t="shared" si="16"/>
        <v/>
      </c>
    </row>
    <row r="181" spans="1:18">
      <c r="A181" s="28"/>
      <c r="B181" s="29"/>
      <c r="C181" s="30"/>
      <c r="D181" s="30"/>
      <c r="E181" s="30"/>
      <c r="F181" s="30"/>
      <c r="G181" s="30"/>
      <c r="H181" s="107" t="str">
        <f>IF(G181="","",IFERROR(VLOOKUP(G181&amp;"",'Presupuesto Base'!$A$7:$G$24,2,FALSE),"Ítem no encontrado"))</f>
        <v/>
      </c>
      <c r="I181" s="107" t="str">
        <f>IF(G181="","",IFERROR(VLOOKUP(G181&amp;"",'Presupuesto Base'!$A$7:$G$24,3,FALSE),""))</f>
        <v/>
      </c>
      <c r="J181" s="30"/>
      <c r="K181" s="32"/>
      <c r="L181" s="108">
        <f>IF(G181="",0,IFERROR(VLOOKUP(G181&amp;"",'Presupuesto Base'!$A$7:$G$24,5,FALSE),0))</f>
        <v>0</v>
      </c>
      <c r="M181" s="108">
        <f t="shared" si="15"/>
        <v>0</v>
      </c>
      <c r="N181" s="30"/>
      <c r="O181" s="30"/>
      <c r="P181" s="33"/>
      <c r="Q181" s="97" t="str">
        <f>IFERROR(VLOOKUP(A181,'Historial Certificados'!$A$6:$E$29,5,FALSE),"")</f>
        <v/>
      </c>
      <c r="R181" s="97" t="str">
        <f t="shared" si="16"/>
        <v/>
      </c>
    </row>
    <row r="182" spans="1:18">
      <c r="A182" s="28"/>
      <c r="B182" s="29"/>
      <c r="C182" s="30"/>
      <c r="D182" s="30"/>
      <c r="E182" s="30"/>
      <c r="F182" s="30"/>
      <c r="G182" s="30"/>
      <c r="H182" s="107" t="str">
        <f>IF(G182="","",IFERROR(VLOOKUP(G182&amp;"",'Presupuesto Base'!$A$7:$G$24,2,FALSE),"Ítem no encontrado"))</f>
        <v/>
      </c>
      <c r="I182" s="107" t="str">
        <f>IF(G182="","",IFERROR(VLOOKUP(G182&amp;"",'Presupuesto Base'!$A$7:$G$24,3,FALSE),""))</f>
        <v/>
      </c>
      <c r="J182" s="30"/>
      <c r="K182" s="32"/>
      <c r="L182" s="108">
        <f>IF(G182="",0,IFERROR(VLOOKUP(G182&amp;"",'Presupuesto Base'!$A$7:$G$24,5,FALSE),0))</f>
        <v>0</v>
      </c>
      <c r="M182" s="108">
        <f t="shared" si="15"/>
        <v>0</v>
      </c>
      <c r="N182" s="30"/>
      <c r="O182" s="30"/>
      <c r="P182" s="33"/>
      <c r="Q182" s="97" t="str">
        <f>IFERROR(VLOOKUP(A182,'Historial Certificados'!$A$6:$E$29,5,FALSE),"")</f>
        <v/>
      </c>
      <c r="R182" s="97" t="str">
        <f t="shared" si="16"/>
        <v/>
      </c>
    </row>
    <row r="183" spans="1:18">
      <c r="A183" s="28"/>
      <c r="B183" s="29"/>
      <c r="C183" s="30"/>
      <c r="D183" s="30"/>
      <c r="E183" s="30"/>
      <c r="F183" s="30"/>
      <c r="G183" s="30"/>
      <c r="H183" s="107" t="str">
        <f>IF(G183="","",IFERROR(VLOOKUP(G183&amp;"",'Presupuesto Base'!$A$7:$G$24,2,FALSE),"Ítem no encontrado"))</f>
        <v/>
      </c>
      <c r="I183" s="107" t="str">
        <f>IF(G183="","",IFERROR(VLOOKUP(G183&amp;"",'Presupuesto Base'!$A$7:$G$24,3,FALSE),""))</f>
        <v/>
      </c>
      <c r="J183" s="30"/>
      <c r="K183" s="32"/>
      <c r="L183" s="108">
        <f>IF(G183="",0,IFERROR(VLOOKUP(G183&amp;"",'Presupuesto Base'!$A$7:$G$24,5,FALSE),0))</f>
        <v>0</v>
      </c>
      <c r="M183" s="108">
        <f t="shared" si="15"/>
        <v>0</v>
      </c>
      <c r="N183" s="30"/>
      <c r="O183" s="30"/>
      <c r="P183" s="33"/>
      <c r="Q183" s="97" t="str">
        <f>IFERROR(VLOOKUP(A183,'Historial Certificados'!$A$6:$E$29,5,FALSE),"")</f>
        <v/>
      </c>
      <c r="R183" s="97" t="str">
        <f t="shared" si="16"/>
        <v/>
      </c>
    </row>
    <row r="184" spans="1:18">
      <c r="A184" s="28"/>
      <c r="B184" s="29"/>
      <c r="C184" s="30"/>
      <c r="D184" s="30"/>
      <c r="E184" s="30"/>
      <c r="F184" s="30"/>
      <c r="G184" s="30"/>
      <c r="H184" s="107" t="str">
        <f>IF(G184="","",IFERROR(VLOOKUP(G184&amp;"",'Presupuesto Base'!$A$7:$G$24,2,FALSE),"Ítem no encontrado"))</f>
        <v/>
      </c>
      <c r="I184" s="107" t="str">
        <f>IF(G184="","",IFERROR(VLOOKUP(G184&amp;"",'Presupuesto Base'!$A$7:$G$24,3,FALSE),""))</f>
        <v/>
      </c>
      <c r="J184" s="30"/>
      <c r="K184" s="32"/>
      <c r="L184" s="108">
        <f>IF(G184="",0,IFERROR(VLOOKUP(G184&amp;"",'Presupuesto Base'!$A$7:$G$24,5,FALSE),0))</f>
        <v>0</v>
      </c>
      <c r="M184" s="108">
        <f t="shared" si="15"/>
        <v>0</v>
      </c>
      <c r="N184" s="30"/>
      <c r="O184" s="30"/>
      <c r="P184" s="33"/>
      <c r="Q184" s="97" t="str">
        <f>IFERROR(VLOOKUP(A184,'Historial Certificados'!$A$6:$E$29,5,FALSE),"")</f>
        <v/>
      </c>
      <c r="R184" s="97" t="str">
        <f t="shared" si="16"/>
        <v/>
      </c>
    </row>
    <row r="185" spans="1:18">
      <c r="A185" s="28"/>
      <c r="B185" s="29"/>
      <c r="C185" s="30"/>
      <c r="D185" s="30"/>
      <c r="E185" s="30"/>
      <c r="F185" s="30"/>
      <c r="G185" s="30"/>
      <c r="H185" s="107" t="str">
        <f>IF(G185="","",IFERROR(VLOOKUP(G185&amp;"",'Presupuesto Base'!$A$7:$G$24,2,FALSE),"Ítem no encontrado"))</f>
        <v/>
      </c>
      <c r="I185" s="107" t="str">
        <f>IF(G185="","",IFERROR(VLOOKUP(G185&amp;"",'Presupuesto Base'!$A$7:$G$24,3,FALSE),""))</f>
        <v/>
      </c>
      <c r="J185" s="30"/>
      <c r="K185" s="32"/>
      <c r="L185" s="108">
        <f>IF(G185="",0,IFERROR(VLOOKUP(G185&amp;"",'Presupuesto Base'!$A$7:$G$24,5,FALSE),0))</f>
        <v>0</v>
      </c>
      <c r="M185" s="108">
        <f t="shared" si="15"/>
        <v>0</v>
      </c>
      <c r="N185" s="30"/>
      <c r="O185" s="30"/>
      <c r="P185" s="33"/>
      <c r="Q185" s="97" t="str">
        <f>IFERROR(VLOOKUP(A185,'Historial Certificados'!$A$6:$E$29,5,FALSE),"")</f>
        <v/>
      </c>
      <c r="R185" s="97" t="str">
        <f t="shared" si="16"/>
        <v/>
      </c>
    </row>
    <row r="186" spans="1:18">
      <c r="A186" s="28"/>
      <c r="B186" s="29"/>
      <c r="C186" s="30"/>
      <c r="D186" s="30"/>
      <c r="E186" s="30"/>
      <c r="F186" s="30"/>
      <c r="G186" s="30"/>
      <c r="H186" s="107" t="str">
        <f>IF(G186="","",IFERROR(VLOOKUP(G186&amp;"",'Presupuesto Base'!$A$7:$G$24,2,FALSE),"Ítem no encontrado"))</f>
        <v/>
      </c>
      <c r="I186" s="107" t="str">
        <f>IF(G186="","",IFERROR(VLOOKUP(G186&amp;"",'Presupuesto Base'!$A$7:$G$24,3,FALSE),""))</f>
        <v/>
      </c>
      <c r="J186" s="30"/>
      <c r="K186" s="32"/>
      <c r="L186" s="108">
        <f>IF(G186="",0,IFERROR(VLOOKUP(G186&amp;"",'Presupuesto Base'!$A$7:$G$24,5,FALSE),0))</f>
        <v>0</v>
      </c>
      <c r="M186" s="108">
        <f t="shared" si="15"/>
        <v>0</v>
      </c>
      <c r="N186" s="30"/>
      <c r="O186" s="30"/>
      <c r="P186" s="33"/>
      <c r="Q186" s="97" t="str">
        <f>IFERROR(VLOOKUP(A186,'Historial Certificados'!$A$6:$E$29,5,FALSE),"")</f>
        <v/>
      </c>
      <c r="R186" s="97" t="str">
        <f t="shared" si="16"/>
        <v/>
      </c>
    </row>
    <row r="187" spans="1:18">
      <c r="A187" s="28"/>
      <c r="B187" s="29"/>
      <c r="C187" s="30"/>
      <c r="D187" s="30"/>
      <c r="E187" s="30"/>
      <c r="F187" s="30"/>
      <c r="G187" s="30"/>
      <c r="H187" s="107" t="str">
        <f>IF(G187="","",IFERROR(VLOOKUP(G187&amp;"",'Presupuesto Base'!$A$7:$G$24,2,FALSE),"Ítem no encontrado"))</f>
        <v/>
      </c>
      <c r="I187" s="107" t="str">
        <f>IF(G187="","",IFERROR(VLOOKUP(G187&amp;"",'Presupuesto Base'!$A$7:$G$24,3,FALSE),""))</f>
        <v/>
      </c>
      <c r="J187" s="30"/>
      <c r="K187" s="32"/>
      <c r="L187" s="108">
        <f>IF(G187="",0,IFERROR(VLOOKUP(G187&amp;"",'Presupuesto Base'!$A$7:$G$24,5,FALSE),0))</f>
        <v>0</v>
      </c>
      <c r="M187" s="108">
        <f t="shared" si="15"/>
        <v>0</v>
      </c>
      <c r="N187" s="30"/>
      <c r="O187" s="30"/>
      <c r="P187" s="33"/>
      <c r="Q187" s="97" t="str">
        <f>IFERROR(VLOOKUP(A187,'Historial Certificados'!$A$6:$E$29,5,FALSE),"")</f>
        <v/>
      </c>
      <c r="R187" s="97" t="str">
        <f t="shared" si="16"/>
        <v/>
      </c>
    </row>
    <row r="188" spans="1:18">
      <c r="A188" s="28"/>
      <c r="B188" s="29"/>
      <c r="C188" s="30"/>
      <c r="D188" s="30"/>
      <c r="E188" s="30"/>
      <c r="F188" s="30"/>
      <c r="G188" s="30"/>
      <c r="H188" s="107" t="str">
        <f>IF(G188="","",IFERROR(VLOOKUP(G188&amp;"",'Presupuesto Base'!$A$7:$G$24,2,FALSE),"Ítem no encontrado"))</f>
        <v/>
      </c>
      <c r="I188" s="107" t="str">
        <f>IF(G188="","",IFERROR(VLOOKUP(G188&amp;"",'Presupuesto Base'!$A$7:$G$24,3,FALSE),""))</f>
        <v/>
      </c>
      <c r="J188" s="30"/>
      <c r="K188" s="32"/>
      <c r="L188" s="108">
        <f>IF(G188="",0,IFERROR(VLOOKUP(G188&amp;"",'Presupuesto Base'!$A$7:$G$24,5,FALSE),0))</f>
        <v>0</v>
      </c>
      <c r="M188" s="108">
        <f t="shared" si="15"/>
        <v>0</v>
      </c>
      <c r="N188" s="30"/>
      <c r="O188" s="30"/>
      <c r="P188" s="33"/>
      <c r="Q188" s="97" t="str">
        <f>IFERROR(VLOOKUP(A188,'Historial Certificados'!$A$6:$E$29,5,FALSE),"")</f>
        <v/>
      </c>
      <c r="R188" s="97" t="str">
        <f t="shared" si="16"/>
        <v/>
      </c>
    </row>
    <row r="189" spans="1:18">
      <c r="A189" s="28"/>
      <c r="B189" s="29"/>
      <c r="C189" s="30"/>
      <c r="D189" s="30"/>
      <c r="E189" s="30"/>
      <c r="F189" s="30"/>
      <c r="G189" s="30"/>
      <c r="H189" s="107" t="str">
        <f>IF(G189="","",IFERROR(VLOOKUP(G189&amp;"",'Presupuesto Base'!$A$7:$G$24,2,FALSE),"Ítem no encontrado"))</f>
        <v/>
      </c>
      <c r="I189" s="107" t="str">
        <f>IF(G189="","",IFERROR(VLOOKUP(G189&amp;"",'Presupuesto Base'!$A$7:$G$24,3,FALSE),""))</f>
        <v/>
      </c>
      <c r="J189" s="30"/>
      <c r="K189" s="32"/>
      <c r="L189" s="108">
        <f>IF(G189="",0,IFERROR(VLOOKUP(G189&amp;"",'Presupuesto Base'!$A$7:$G$24,5,FALSE),0))</f>
        <v>0</v>
      </c>
      <c r="M189" s="108">
        <f t="shared" si="15"/>
        <v>0</v>
      </c>
      <c r="N189" s="30"/>
      <c r="O189" s="30"/>
      <c r="P189" s="33"/>
      <c r="Q189" s="97" t="str">
        <f>IFERROR(VLOOKUP(A189,'Historial Certificados'!$A$6:$E$29,5,FALSE),"")</f>
        <v/>
      </c>
      <c r="R189" s="97" t="str">
        <f t="shared" si="16"/>
        <v/>
      </c>
    </row>
    <row r="190" spans="1:18">
      <c r="A190" s="28"/>
      <c r="B190" s="29"/>
      <c r="C190" s="30"/>
      <c r="D190" s="30"/>
      <c r="E190" s="30"/>
      <c r="F190" s="30"/>
      <c r="G190" s="30"/>
      <c r="H190" s="107" t="str">
        <f>IF(G190="","",IFERROR(VLOOKUP(G190&amp;"",'Presupuesto Base'!$A$7:$G$24,2,FALSE),"Ítem no encontrado"))</f>
        <v/>
      </c>
      <c r="I190" s="107" t="str">
        <f>IF(G190="","",IFERROR(VLOOKUP(G190&amp;"",'Presupuesto Base'!$A$7:$G$24,3,FALSE),""))</f>
        <v/>
      </c>
      <c r="J190" s="30"/>
      <c r="K190" s="32"/>
      <c r="L190" s="108">
        <f>IF(G190="",0,IFERROR(VLOOKUP(G190&amp;"",'Presupuesto Base'!$A$7:$G$24,5,FALSE),0))</f>
        <v>0</v>
      </c>
      <c r="M190" s="108">
        <f t="shared" si="15"/>
        <v>0</v>
      </c>
      <c r="N190" s="30"/>
      <c r="O190" s="30"/>
      <c r="P190" s="33"/>
      <c r="Q190" s="97" t="str">
        <f>IFERROR(VLOOKUP(A190,'Historial Certificados'!$A$6:$E$29,5,FALSE),"")</f>
        <v/>
      </c>
      <c r="R190" s="97" t="str">
        <f t="shared" si="16"/>
        <v/>
      </c>
    </row>
    <row r="191" spans="1:18">
      <c r="A191" s="28"/>
      <c r="B191" s="29"/>
      <c r="C191" s="30"/>
      <c r="D191" s="30"/>
      <c r="E191" s="30"/>
      <c r="F191" s="30"/>
      <c r="G191" s="30"/>
      <c r="H191" s="107" t="str">
        <f>IF(G191="","",IFERROR(VLOOKUP(G191&amp;"",'Presupuesto Base'!$A$7:$G$24,2,FALSE),"Ítem no encontrado"))</f>
        <v/>
      </c>
      <c r="I191" s="107" t="str">
        <f>IF(G191="","",IFERROR(VLOOKUP(G191&amp;"",'Presupuesto Base'!$A$7:$G$24,3,FALSE),""))</f>
        <v/>
      </c>
      <c r="J191" s="30"/>
      <c r="K191" s="32"/>
      <c r="L191" s="108">
        <f>IF(G191="",0,IFERROR(VLOOKUP(G191&amp;"",'Presupuesto Base'!$A$7:$G$24,5,FALSE),0))</f>
        <v>0</v>
      </c>
      <c r="M191" s="108">
        <f t="shared" si="15"/>
        <v>0</v>
      </c>
      <c r="N191" s="30"/>
      <c r="O191" s="30"/>
      <c r="P191" s="33"/>
      <c r="Q191" s="97" t="str">
        <f>IFERROR(VLOOKUP(A191,'Historial Certificados'!$A$6:$E$29,5,FALSE),"")</f>
        <v/>
      </c>
      <c r="R191" s="97" t="str">
        <f t="shared" si="16"/>
        <v/>
      </c>
    </row>
    <row r="192" spans="1:18">
      <c r="A192" s="28"/>
      <c r="B192" s="29"/>
      <c r="C192" s="30"/>
      <c r="D192" s="30"/>
      <c r="E192" s="30"/>
      <c r="F192" s="30"/>
      <c r="G192" s="30"/>
      <c r="H192" s="107" t="str">
        <f>IF(G192="","",IFERROR(VLOOKUP(G192&amp;"",'Presupuesto Base'!$A$7:$G$24,2,FALSE),"Ítem no encontrado"))</f>
        <v/>
      </c>
      <c r="I192" s="107" t="str">
        <f>IF(G192="","",IFERROR(VLOOKUP(G192&amp;"",'Presupuesto Base'!$A$7:$G$24,3,FALSE),""))</f>
        <v/>
      </c>
      <c r="J192" s="30"/>
      <c r="K192" s="32"/>
      <c r="L192" s="108">
        <f>IF(G192="",0,IFERROR(VLOOKUP(G192&amp;"",'Presupuesto Base'!$A$7:$G$24,5,FALSE),0))</f>
        <v>0</v>
      </c>
      <c r="M192" s="108">
        <f t="shared" si="15"/>
        <v>0</v>
      </c>
      <c r="N192" s="30"/>
      <c r="O192" s="30"/>
      <c r="P192" s="33"/>
      <c r="Q192" s="97" t="str">
        <f>IFERROR(VLOOKUP(A192,'Historial Certificados'!$A$6:$E$29,5,FALSE),"")</f>
        <v/>
      </c>
      <c r="R192" s="97" t="str">
        <f t="shared" si="16"/>
        <v/>
      </c>
    </row>
    <row r="193" spans="1:18">
      <c r="A193" s="28"/>
      <c r="B193" s="29"/>
      <c r="C193" s="30"/>
      <c r="D193" s="30"/>
      <c r="E193" s="30"/>
      <c r="F193" s="30"/>
      <c r="G193" s="30"/>
      <c r="H193" s="107" t="str">
        <f>IF(G193="","",IFERROR(VLOOKUP(G193&amp;"",'Presupuesto Base'!$A$7:$G$24,2,FALSE),"Ítem no encontrado"))</f>
        <v/>
      </c>
      <c r="I193" s="107" t="str">
        <f>IF(G193="","",IFERROR(VLOOKUP(G193&amp;"",'Presupuesto Base'!$A$7:$G$24,3,FALSE),""))</f>
        <v/>
      </c>
      <c r="J193" s="30"/>
      <c r="K193" s="32"/>
      <c r="L193" s="108">
        <f>IF(G193="",0,IFERROR(VLOOKUP(G193&amp;"",'Presupuesto Base'!$A$7:$G$24,5,FALSE),0))</f>
        <v>0</v>
      </c>
      <c r="M193" s="108">
        <f t="shared" si="15"/>
        <v>0</v>
      </c>
      <c r="N193" s="30"/>
      <c r="O193" s="30"/>
      <c r="P193" s="33"/>
      <c r="Q193" s="97" t="str">
        <f>IFERROR(VLOOKUP(A193,'Historial Certificados'!$A$6:$E$29,5,FALSE),"")</f>
        <v/>
      </c>
      <c r="R193" s="97" t="str">
        <f t="shared" si="16"/>
        <v/>
      </c>
    </row>
    <row r="194" spans="1:18">
      <c r="A194" s="28"/>
      <c r="B194" s="29"/>
      <c r="C194" s="30"/>
      <c r="D194" s="30"/>
      <c r="E194" s="30"/>
      <c r="F194" s="30"/>
      <c r="G194" s="30"/>
      <c r="H194" s="107" t="str">
        <f>IF(G194="","",IFERROR(VLOOKUP(G194&amp;"",'Presupuesto Base'!$A$7:$G$24,2,FALSE),"Ítem no encontrado"))</f>
        <v/>
      </c>
      <c r="I194" s="107" t="str">
        <f>IF(G194="","",IFERROR(VLOOKUP(G194&amp;"",'Presupuesto Base'!$A$7:$G$24,3,FALSE),""))</f>
        <v/>
      </c>
      <c r="J194" s="30"/>
      <c r="K194" s="32"/>
      <c r="L194" s="108">
        <f>IF(G194="",0,IFERROR(VLOOKUP(G194&amp;"",'Presupuesto Base'!$A$7:$G$24,5,FALSE),0))</f>
        <v>0</v>
      </c>
      <c r="M194" s="108">
        <f t="shared" si="15"/>
        <v>0</v>
      </c>
      <c r="N194" s="30"/>
      <c r="O194" s="30"/>
      <c r="P194" s="33"/>
      <c r="Q194" s="97" t="str">
        <f>IFERROR(VLOOKUP(A194,'Historial Certificados'!$A$6:$E$29,5,FALSE),"")</f>
        <v/>
      </c>
      <c r="R194" s="97" t="str">
        <f t="shared" si="16"/>
        <v/>
      </c>
    </row>
    <row r="195" spans="1:18">
      <c r="A195" s="28"/>
      <c r="B195" s="29"/>
      <c r="C195" s="30"/>
      <c r="D195" s="30"/>
      <c r="E195" s="30"/>
      <c r="F195" s="30"/>
      <c r="G195" s="30"/>
      <c r="H195" s="107" t="str">
        <f>IF(G195="","",IFERROR(VLOOKUP(G195&amp;"",'Presupuesto Base'!$A$7:$G$24,2,FALSE),"Ítem no encontrado"))</f>
        <v/>
      </c>
      <c r="I195" s="107" t="str">
        <f>IF(G195="","",IFERROR(VLOOKUP(G195&amp;"",'Presupuesto Base'!$A$7:$G$24,3,FALSE),""))</f>
        <v/>
      </c>
      <c r="J195" s="30"/>
      <c r="K195" s="32"/>
      <c r="L195" s="108">
        <f>IF(G195="",0,IFERROR(VLOOKUP(G195&amp;"",'Presupuesto Base'!$A$7:$G$24,5,FALSE),0))</f>
        <v>0</v>
      </c>
      <c r="M195" s="108">
        <f t="shared" si="15"/>
        <v>0</v>
      </c>
      <c r="N195" s="30"/>
      <c r="O195" s="30"/>
      <c r="P195" s="33"/>
      <c r="Q195" s="97" t="str">
        <f>IFERROR(VLOOKUP(A195,'Historial Certificados'!$A$6:$E$29,5,FALSE),"")</f>
        <v/>
      </c>
      <c r="R195" s="97" t="str">
        <f t="shared" si="16"/>
        <v/>
      </c>
    </row>
    <row r="196" spans="1:18">
      <c r="A196" s="28"/>
      <c r="B196" s="29"/>
      <c r="C196" s="30"/>
      <c r="D196" s="30"/>
      <c r="E196" s="30"/>
      <c r="F196" s="30"/>
      <c r="G196" s="30"/>
      <c r="H196" s="107" t="str">
        <f>IF(G196="","",IFERROR(VLOOKUP(G196&amp;"",'Presupuesto Base'!$A$7:$G$24,2,FALSE),"Ítem no encontrado"))</f>
        <v/>
      </c>
      <c r="I196" s="107" t="str">
        <f>IF(G196="","",IFERROR(VLOOKUP(G196&amp;"",'Presupuesto Base'!$A$7:$G$24,3,FALSE),""))</f>
        <v/>
      </c>
      <c r="J196" s="30"/>
      <c r="K196" s="32"/>
      <c r="L196" s="108">
        <f>IF(G196="",0,IFERROR(VLOOKUP(G196&amp;"",'Presupuesto Base'!$A$7:$G$24,5,FALSE),0))</f>
        <v>0</v>
      </c>
      <c r="M196" s="108">
        <f t="shared" si="15"/>
        <v>0</v>
      </c>
      <c r="N196" s="30"/>
      <c r="O196" s="30"/>
      <c r="P196" s="33"/>
      <c r="Q196" s="97" t="str">
        <f>IFERROR(VLOOKUP(A196,'Historial Certificados'!$A$6:$E$29,5,FALSE),"")</f>
        <v/>
      </c>
      <c r="R196" s="97" t="str">
        <f t="shared" si="16"/>
        <v/>
      </c>
    </row>
    <row r="197" spans="1:18">
      <c r="A197" s="28"/>
      <c r="B197" s="29"/>
      <c r="C197" s="30"/>
      <c r="D197" s="30"/>
      <c r="E197" s="30"/>
      <c r="F197" s="30"/>
      <c r="G197" s="30"/>
      <c r="H197" s="107" t="str">
        <f>IF(G197="","",IFERROR(VLOOKUP(G197&amp;"",'Presupuesto Base'!$A$7:$G$24,2,FALSE),"Ítem no encontrado"))</f>
        <v/>
      </c>
      <c r="I197" s="107" t="str">
        <f>IF(G197="","",IFERROR(VLOOKUP(G197&amp;"",'Presupuesto Base'!$A$7:$G$24,3,FALSE),""))</f>
        <v/>
      </c>
      <c r="J197" s="30"/>
      <c r="K197" s="32"/>
      <c r="L197" s="108">
        <f>IF(G197="",0,IFERROR(VLOOKUP(G197&amp;"",'Presupuesto Base'!$A$7:$G$24,5,FALSE),0))</f>
        <v>0</v>
      </c>
      <c r="M197" s="108">
        <f t="shared" si="15"/>
        <v>0</v>
      </c>
      <c r="N197" s="30"/>
      <c r="O197" s="30"/>
      <c r="P197" s="33"/>
      <c r="Q197" s="97" t="str">
        <f>IFERROR(VLOOKUP(A197,'Historial Certificados'!$A$6:$E$29,5,FALSE),"")</f>
        <v/>
      </c>
      <c r="R197" s="97" t="str">
        <f t="shared" si="16"/>
        <v/>
      </c>
    </row>
    <row r="198" spans="1:18">
      <c r="A198" s="28"/>
      <c r="B198" s="29"/>
      <c r="C198" s="30"/>
      <c r="D198" s="30"/>
      <c r="E198" s="30"/>
      <c r="F198" s="30"/>
      <c r="G198" s="30"/>
      <c r="H198" s="107" t="str">
        <f>IF(G198="","",IFERROR(VLOOKUP(G198&amp;"",'Presupuesto Base'!$A$7:$G$24,2,FALSE),"Ítem no encontrado"))</f>
        <v/>
      </c>
      <c r="I198" s="107" t="str">
        <f>IF(G198="","",IFERROR(VLOOKUP(G198&amp;"",'Presupuesto Base'!$A$7:$G$24,3,FALSE),""))</f>
        <v/>
      </c>
      <c r="J198" s="30"/>
      <c r="K198" s="32"/>
      <c r="L198" s="108">
        <f>IF(G198="",0,IFERROR(VLOOKUP(G198&amp;"",'Presupuesto Base'!$A$7:$G$24,5,FALSE),0))</f>
        <v>0</v>
      </c>
      <c r="M198" s="108">
        <f t="shared" si="15"/>
        <v>0</v>
      </c>
      <c r="N198" s="30"/>
      <c r="O198" s="30"/>
      <c r="P198" s="33"/>
      <c r="Q198" s="97" t="str">
        <f>IFERROR(VLOOKUP(A198,'Historial Certificados'!$A$6:$E$29,5,FALSE),"")</f>
        <v/>
      </c>
      <c r="R198" s="97" t="str">
        <f t="shared" si="16"/>
        <v/>
      </c>
    </row>
    <row r="199" spans="1:18">
      <c r="A199" s="28"/>
      <c r="B199" s="29"/>
      <c r="C199" s="30"/>
      <c r="D199" s="30"/>
      <c r="E199" s="30"/>
      <c r="F199" s="30"/>
      <c r="G199" s="30"/>
      <c r="H199" s="107" t="str">
        <f>IF(G199="","",IFERROR(VLOOKUP(G199&amp;"",'Presupuesto Base'!$A$7:$G$24,2,FALSE),"Ítem no encontrado"))</f>
        <v/>
      </c>
      <c r="I199" s="107" t="str">
        <f>IF(G199="","",IFERROR(VLOOKUP(G199&amp;"",'Presupuesto Base'!$A$7:$G$24,3,FALSE),""))</f>
        <v/>
      </c>
      <c r="J199" s="30"/>
      <c r="K199" s="32"/>
      <c r="L199" s="108">
        <f>IF(G199="",0,IFERROR(VLOOKUP(G199&amp;"",'Presupuesto Base'!$A$7:$G$24,5,FALSE),0))</f>
        <v>0</v>
      </c>
      <c r="M199" s="108">
        <f t="shared" si="15"/>
        <v>0</v>
      </c>
      <c r="N199" s="30"/>
      <c r="O199" s="30"/>
      <c r="P199" s="33"/>
      <c r="Q199" s="97" t="str">
        <f>IFERROR(VLOOKUP(A199,'Historial Certificados'!$A$6:$E$29,5,FALSE),"")</f>
        <v/>
      </c>
      <c r="R199" s="97" t="str">
        <f t="shared" si="16"/>
        <v/>
      </c>
    </row>
    <row r="200" spans="1:18">
      <c r="A200" s="28"/>
      <c r="B200" s="29"/>
      <c r="C200" s="30"/>
      <c r="D200" s="30"/>
      <c r="E200" s="30"/>
      <c r="F200" s="30"/>
      <c r="G200" s="30"/>
      <c r="H200" s="107" t="str">
        <f>IF(G200="","",IFERROR(VLOOKUP(G200&amp;"",'Presupuesto Base'!$A$7:$G$24,2,FALSE),"Ítem no encontrado"))</f>
        <v/>
      </c>
      <c r="I200" s="107" t="str">
        <f>IF(G200="","",IFERROR(VLOOKUP(G200&amp;"",'Presupuesto Base'!$A$7:$G$24,3,FALSE),""))</f>
        <v/>
      </c>
      <c r="J200" s="30"/>
      <c r="K200" s="32"/>
      <c r="L200" s="108">
        <f>IF(G200="",0,IFERROR(VLOOKUP(G200&amp;"",'Presupuesto Base'!$A$7:$G$24,5,FALSE),0))</f>
        <v>0</v>
      </c>
      <c r="M200" s="108">
        <f t="shared" si="15"/>
        <v>0</v>
      </c>
      <c r="N200" s="30"/>
      <c r="O200" s="30"/>
      <c r="P200" s="33"/>
      <c r="Q200" s="97" t="str">
        <f>IFERROR(VLOOKUP(A200,'Historial Certificados'!$A$6:$E$29,5,FALSE),"")</f>
        <v/>
      </c>
      <c r="R200" s="97" t="str">
        <f t="shared" si="16"/>
        <v/>
      </c>
    </row>
    <row r="201" spans="1:18">
      <c r="A201" s="28"/>
      <c r="B201" s="29"/>
      <c r="C201" s="30"/>
      <c r="D201" s="30"/>
      <c r="E201" s="30"/>
      <c r="F201" s="30"/>
      <c r="G201" s="30"/>
      <c r="H201" s="107" t="str">
        <f>IF(G201="","",IFERROR(VLOOKUP(G201&amp;"",'Presupuesto Base'!$A$7:$G$24,2,FALSE),"Ítem no encontrado"))</f>
        <v/>
      </c>
      <c r="I201" s="107" t="str">
        <f>IF(G201="","",IFERROR(VLOOKUP(G201&amp;"",'Presupuesto Base'!$A$7:$G$24,3,FALSE),""))</f>
        <v/>
      </c>
      <c r="J201" s="30"/>
      <c r="K201" s="32"/>
      <c r="L201" s="108">
        <f>IF(G201="",0,IFERROR(VLOOKUP(G201&amp;"",'Presupuesto Base'!$A$7:$G$24,5,FALSE),0))</f>
        <v>0</v>
      </c>
      <c r="M201" s="108">
        <f t="shared" si="15"/>
        <v>0</v>
      </c>
      <c r="N201" s="30"/>
      <c r="O201" s="30"/>
      <c r="P201" s="33"/>
      <c r="Q201" s="97" t="str">
        <f>IFERROR(VLOOKUP(A201,'Historial Certificados'!$A$6:$E$29,5,FALSE),"")</f>
        <v/>
      </c>
      <c r="R201" s="97" t="str">
        <f t="shared" si="16"/>
        <v/>
      </c>
    </row>
    <row r="202" spans="1:18">
      <c r="A202" s="28"/>
      <c r="B202" s="29"/>
      <c r="C202" s="30"/>
      <c r="D202" s="30"/>
      <c r="E202" s="30"/>
      <c r="F202" s="30"/>
      <c r="G202" s="30"/>
      <c r="H202" s="107" t="str">
        <f>IF(G202="","",IFERROR(VLOOKUP(G202&amp;"",'Presupuesto Base'!$A$7:$G$24,2,FALSE),"Ítem no encontrado"))</f>
        <v/>
      </c>
      <c r="I202" s="107" t="str">
        <f>IF(G202="","",IFERROR(VLOOKUP(G202&amp;"",'Presupuesto Base'!$A$7:$G$24,3,FALSE),""))</f>
        <v/>
      </c>
      <c r="J202" s="30"/>
      <c r="K202" s="32"/>
      <c r="L202" s="108">
        <f>IF(G202="",0,IFERROR(VLOOKUP(G202&amp;"",'Presupuesto Base'!$A$7:$G$24,5,FALSE),0))</f>
        <v>0</v>
      </c>
      <c r="M202" s="108">
        <f t="shared" si="15"/>
        <v>0</v>
      </c>
      <c r="N202" s="30"/>
      <c r="O202" s="30"/>
      <c r="P202" s="33"/>
      <c r="Q202" s="97" t="str">
        <f>IFERROR(VLOOKUP(A202,'Historial Certificados'!$A$6:$E$29,5,FALSE),"")</f>
        <v/>
      </c>
      <c r="R202" s="97" t="str">
        <f t="shared" si="16"/>
        <v/>
      </c>
    </row>
    <row r="203" spans="1:18">
      <c r="A203" s="28"/>
      <c r="B203" s="29"/>
      <c r="C203" s="30"/>
      <c r="D203" s="30"/>
      <c r="E203" s="30"/>
      <c r="F203" s="30"/>
      <c r="G203" s="30"/>
      <c r="H203" s="107" t="str">
        <f>IF(G203="","",IFERROR(VLOOKUP(G203&amp;"",'Presupuesto Base'!$A$7:$G$24,2,FALSE),"Ítem no encontrado"))</f>
        <v/>
      </c>
      <c r="I203" s="107" t="str">
        <f>IF(G203="","",IFERROR(VLOOKUP(G203&amp;"",'Presupuesto Base'!$A$7:$G$24,3,FALSE),""))</f>
        <v/>
      </c>
      <c r="J203" s="30"/>
      <c r="K203" s="32"/>
      <c r="L203" s="108">
        <f>IF(G203="",0,IFERROR(VLOOKUP(G203&amp;"",'Presupuesto Base'!$A$7:$G$24,5,FALSE),0))</f>
        <v>0</v>
      </c>
      <c r="M203" s="108">
        <f t="shared" si="15"/>
        <v>0</v>
      </c>
      <c r="N203" s="30"/>
      <c r="O203" s="30"/>
      <c r="P203" s="33"/>
      <c r="Q203" s="97" t="str">
        <f>IFERROR(VLOOKUP(A203,'Historial Certificados'!$A$6:$E$29,5,FALSE),"")</f>
        <v/>
      </c>
      <c r="R203" s="97" t="str">
        <f t="shared" si="16"/>
        <v/>
      </c>
    </row>
    <row r="204" spans="1:18">
      <c r="A204" s="28"/>
      <c r="B204" s="29"/>
      <c r="C204" s="30"/>
      <c r="D204" s="30"/>
      <c r="E204" s="30"/>
      <c r="F204" s="30"/>
      <c r="G204" s="30"/>
      <c r="H204" s="107" t="str">
        <f>IF(G204="","",IFERROR(VLOOKUP(G204&amp;"",'Presupuesto Base'!$A$7:$G$24,2,FALSE),"Ítem no encontrado"))</f>
        <v/>
      </c>
      <c r="I204" s="107" t="str">
        <f>IF(G204="","",IFERROR(VLOOKUP(G204&amp;"",'Presupuesto Base'!$A$7:$G$24,3,FALSE),""))</f>
        <v/>
      </c>
      <c r="J204" s="30"/>
      <c r="K204" s="32"/>
      <c r="L204" s="108">
        <f>IF(G204="",0,IFERROR(VLOOKUP(G204&amp;"",'Presupuesto Base'!$A$7:$G$24,5,FALSE),0))</f>
        <v>0</v>
      </c>
      <c r="M204" s="108">
        <f t="shared" ref="M204:M267" si="17">IFERROR(K204*L204,0)</f>
        <v>0</v>
      </c>
      <c r="N204" s="30"/>
      <c r="O204" s="30"/>
      <c r="P204" s="33"/>
      <c r="Q204" s="97" t="str">
        <f>IFERROR(VLOOKUP(A204,'Historial Certificados'!$A$6:$E$29,5,FALSE),"")</f>
        <v/>
      </c>
      <c r="R204" s="97" t="str">
        <f t="shared" ref="R204:R267" si="18">IF(A204="","",IF(Q204="CERRADO","CERTIFICADO CERRADO - NO MODIFICAR","ABIERTO"))</f>
        <v/>
      </c>
    </row>
    <row r="205" spans="1:18">
      <c r="A205" s="28"/>
      <c r="B205" s="29"/>
      <c r="C205" s="30"/>
      <c r="D205" s="30"/>
      <c r="E205" s="30"/>
      <c r="F205" s="30"/>
      <c r="G205" s="30"/>
      <c r="H205" s="107" t="str">
        <f>IF(G205="","",IFERROR(VLOOKUP(G205&amp;"",'Presupuesto Base'!$A$7:$G$24,2,FALSE),"Ítem no encontrado"))</f>
        <v/>
      </c>
      <c r="I205" s="107" t="str">
        <f>IF(G205="","",IFERROR(VLOOKUP(G205&amp;"",'Presupuesto Base'!$A$7:$G$24,3,FALSE),""))</f>
        <v/>
      </c>
      <c r="J205" s="30"/>
      <c r="K205" s="32"/>
      <c r="L205" s="108">
        <f>IF(G205="",0,IFERROR(VLOOKUP(G205&amp;"",'Presupuesto Base'!$A$7:$G$24,5,FALSE),0))</f>
        <v>0</v>
      </c>
      <c r="M205" s="108">
        <f t="shared" si="17"/>
        <v>0</v>
      </c>
      <c r="N205" s="30"/>
      <c r="O205" s="30"/>
      <c r="P205" s="33"/>
      <c r="Q205" s="97" t="str">
        <f>IFERROR(VLOOKUP(A205,'Historial Certificados'!$A$6:$E$29,5,FALSE),"")</f>
        <v/>
      </c>
      <c r="R205" s="97" t="str">
        <f t="shared" si="18"/>
        <v/>
      </c>
    </row>
    <row r="206" spans="1:18">
      <c r="A206" s="28"/>
      <c r="B206" s="29"/>
      <c r="C206" s="30"/>
      <c r="D206" s="30"/>
      <c r="E206" s="30"/>
      <c r="F206" s="30"/>
      <c r="G206" s="30"/>
      <c r="H206" s="107" t="str">
        <f>IF(G206="","",IFERROR(VLOOKUP(G206&amp;"",'Presupuesto Base'!$A$7:$G$24,2,FALSE),"Ítem no encontrado"))</f>
        <v/>
      </c>
      <c r="I206" s="107" t="str">
        <f>IF(G206="","",IFERROR(VLOOKUP(G206&amp;"",'Presupuesto Base'!$A$7:$G$24,3,FALSE),""))</f>
        <v/>
      </c>
      <c r="J206" s="30"/>
      <c r="K206" s="32"/>
      <c r="L206" s="108">
        <f>IF(G206="",0,IFERROR(VLOOKUP(G206&amp;"",'Presupuesto Base'!$A$7:$G$24,5,FALSE),0))</f>
        <v>0</v>
      </c>
      <c r="M206" s="108">
        <f t="shared" si="17"/>
        <v>0</v>
      </c>
      <c r="N206" s="30"/>
      <c r="O206" s="30"/>
      <c r="P206" s="33"/>
      <c r="Q206" s="97" t="str">
        <f>IFERROR(VLOOKUP(A206,'Historial Certificados'!$A$6:$E$29,5,FALSE),"")</f>
        <v/>
      </c>
      <c r="R206" s="97" t="str">
        <f t="shared" si="18"/>
        <v/>
      </c>
    </row>
    <row r="207" spans="1:18">
      <c r="A207" s="28"/>
      <c r="B207" s="29"/>
      <c r="C207" s="30"/>
      <c r="D207" s="30"/>
      <c r="E207" s="30"/>
      <c r="F207" s="30"/>
      <c r="G207" s="30"/>
      <c r="H207" s="107" t="str">
        <f>IF(G207="","",IFERROR(VLOOKUP(G207&amp;"",'Presupuesto Base'!$A$7:$G$24,2,FALSE),"Ítem no encontrado"))</f>
        <v/>
      </c>
      <c r="I207" s="107" t="str">
        <f>IF(G207="","",IFERROR(VLOOKUP(G207&amp;"",'Presupuesto Base'!$A$7:$G$24,3,FALSE),""))</f>
        <v/>
      </c>
      <c r="J207" s="30"/>
      <c r="K207" s="32"/>
      <c r="L207" s="108">
        <f>IF(G207="",0,IFERROR(VLOOKUP(G207&amp;"",'Presupuesto Base'!$A$7:$G$24,5,FALSE),0))</f>
        <v>0</v>
      </c>
      <c r="M207" s="108">
        <f t="shared" si="17"/>
        <v>0</v>
      </c>
      <c r="N207" s="30"/>
      <c r="O207" s="30"/>
      <c r="P207" s="33"/>
      <c r="Q207" s="97" t="str">
        <f>IFERROR(VLOOKUP(A207,'Historial Certificados'!$A$6:$E$29,5,FALSE),"")</f>
        <v/>
      </c>
      <c r="R207" s="97" t="str">
        <f t="shared" si="18"/>
        <v/>
      </c>
    </row>
    <row r="208" spans="1:18">
      <c r="A208" s="28"/>
      <c r="B208" s="29"/>
      <c r="C208" s="30"/>
      <c r="D208" s="30"/>
      <c r="E208" s="30"/>
      <c r="F208" s="30"/>
      <c r="G208" s="30"/>
      <c r="H208" s="107" t="str">
        <f>IF(G208="","",IFERROR(VLOOKUP(G208&amp;"",'Presupuesto Base'!$A$7:$G$24,2,FALSE),"Ítem no encontrado"))</f>
        <v/>
      </c>
      <c r="I208" s="107" t="str">
        <f>IF(G208="","",IFERROR(VLOOKUP(G208&amp;"",'Presupuesto Base'!$A$7:$G$24,3,FALSE),""))</f>
        <v/>
      </c>
      <c r="J208" s="30"/>
      <c r="K208" s="32"/>
      <c r="L208" s="108">
        <f>IF(G208="",0,IFERROR(VLOOKUP(G208&amp;"",'Presupuesto Base'!$A$7:$G$24,5,FALSE),0))</f>
        <v>0</v>
      </c>
      <c r="M208" s="108">
        <f t="shared" si="17"/>
        <v>0</v>
      </c>
      <c r="N208" s="30"/>
      <c r="O208" s="30"/>
      <c r="P208" s="33"/>
      <c r="Q208" s="97" t="str">
        <f>IFERROR(VLOOKUP(A208,'Historial Certificados'!$A$6:$E$29,5,FALSE),"")</f>
        <v/>
      </c>
      <c r="R208" s="97" t="str">
        <f t="shared" si="18"/>
        <v/>
      </c>
    </row>
    <row r="209" spans="1:18">
      <c r="A209" s="28"/>
      <c r="B209" s="29"/>
      <c r="C209" s="30"/>
      <c r="D209" s="30"/>
      <c r="E209" s="30"/>
      <c r="F209" s="30"/>
      <c r="G209" s="30"/>
      <c r="H209" s="107" t="str">
        <f>IF(G209="","",IFERROR(VLOOKUP(G209&amp;"",'Presupuesto Base'!$A$7:$G$24,2,FALSE),"Ítem no encontrado"))</f>
        <v/>
      </c>
      <c r="I209" s="107" t="str">
        <f>IF(G209="","",IFERROR(VLOOKUP(G209&amp;"",'Presupuesto Base'!$A$7:$G$24,3,FALSE),""))</f>
        <v/>
      </c>
      <c r="J209" s="30"/>
      <c r="K209" s="32"/>
      <c r="L209" s="108">
        <f>IF(G209="",0,IFERROR(VLOOKUP(G209&amp;"",'Presupuesto Base'!$A$7:$G$24,5,FALSE),0))</f>
        <v>0</v>
      </c>
      <c r="M209" s="108">
        <f t="shared" si="17"/>
        <v>0</v>
      </c>
      <c r="N209" s="30"/>
      <c r="O209" s="30"/>
      <c r="P209" s="33"/>
      <c r="Q209" s="97" t="str">
        <f>IFERROR(VLOOKUP(A209,'Historial Certificados'!$A$6:$E$29,5,FALSE),"")</f>
        <v/>
      </c>
      <c r="R209" s="97" t="str">
        <f t="shared" si="18"/>
        <v/>
      </c>
    </row>
    <row r="210" spans="1:18">
      <c r="A210" s="28"/>
      <c r="B210" s="29"/>
      <c r="C210" s="30"/>
      <c r="D210" s="30"/>
      <c r="E210" s="30"/>
      <c r="F210" s="30"/>
      <c r="G210" s="30"/>
      <c r="H210" s="107" t="str">
        <f>IF(G210="","",IFERROR(VLOOKUP(G210&amp;"",'Presupuesto Base'!$A$7:$G$24,2,FALSE),"Ítem no encontrado"))</f>
        <v/>
      </c>
      <c r="I210" s="107" t="str">
        <f>IF(G210="","",IFERROR(VLOOKUP(G210&amp;"",'Presupuesto Base'!$A$7:$G$24,3,FALSE),""))</f>
        <v/>
      </c>
      <c r="J210" s="30"/>
      <c r="K210" s="32"/>
      <c r="L210" s="108">
        <f>IF(G210="",0,IFERROR(VLOOKUP(G210&amp;"",'Presupuesto Base'!$A$7:$G$24,5,FALSE),0))</f>
        <v>0</v>
      </c>
      <c r="M210" s="108">
        <f t="shared" si="17"/>
        <v>0</v>
      </c>
      <c r="N210" s="30"/>
      <c r="O210" s="30"/>
      <c r="P210" s="33"/>
      <c r="Q210" s="97" t="str">
        <f>IFERROR(VLOOKUP(A210,'Historial Certificados'!$A$6:$E$29,5,FALSE),"")</f>
        <v/>
      </c>
      <c r="R210" s="97" t="str">
        <f t="shared" si="18"/>
        <v/>
      </c>
    </row>
    <row r="211" spans="1:18">
      <c r="A211" s="28"/>
      <c r="B211" s="29"/>
      <c r="C211" s="30"/>
      <c r="D211" s="30"/>
      <c r="E211" s="30"/>
      <c r="F211" s="30"/>
      <c r="G211" s="30"/>
      <c r="H211" s="107" t="str">
        <f>IF(G211="","",IFERROR(VLOOKUP(G211&amp;"",'Presupuesto Base'!$A$7:$G$24,2,FALSE),"Ítem no encontrado"))</f>
        <v/>
      </c>
      <c r="I211" s="107" t="str">
        <f>IF(G211="","",IFERROR(VLOOKUP(G211&amp;"",'Presupuesto Base'!$A$7:$G$24,3,FALSE),""))</f>
        <v/>
      </c>
      <c r="J211" s="30"/>
      <c r="K211" s="32"/>
      <c r="L211" s="108">
        <f>IF(G211="",0,IFERROR(VLOOKUP(G211&amp;"",'Presupuesto Base'!$A$7:$G$24,5,FALSE),0))</f>
        <v>0</v>
      </c>
      <c r="M211" s="108">
        <f t="shared" si="17"/>
        <v>0</v>
      </c>
      <c r="N211" s="30"/>
      <c r="O211" s="30"/>
      <c r="P211" s="33"/>
      <c r="Q211" s="97" t="str">
        <f>IFERROR(VLOOKUP(A211,'Historial Certificados'!$A$6:$E$29,5,FALSE),"")</f>
        <v/>
      </c>
      <c r="R211" s="97" t="str">
        <f t="shared" si="18"/>
        <v/>
      </c>
    </row>
    <row r="212" spans="1:18">
      <c r="A212" s="28"/>
      <c r="B212" s="29"/>
      <c r="C212" s="30"/>
      <c r="D212" s="30"/>
      <c r="E212" s="30"/>
      <c r="F212" s="30"/>
      <c r="G212" s="30"/>
      <c r="H212" s="107" t="str">
        <f>IF(G212="","",IFERROR(VLOOKUP(G212&amp;"",'Presupuesto Base'!$A$7:$G$24,2,FALSE),"Ítem no encontrado"))</f>
        <v/>
      </c>
      <c r="I212" s="107" t="str">
        <f>IF(G212="","",IFERROR(VLOOKUP(G212&amp;"",'Presupuesto Base'!$A$7:$G$24,3,FALSE),""))</f>
        <v/>
      </c>
      <c r="J212" s="30"/>
      <c r="K212" s="32"/>
      <c r="L212" s="108">
        <f>IF(G212="",0,IFERROR(VLOOKUP(G212&amp;"",'Presupuesto Base'!$A$7:$G$24,5,FALSE),0))</f>
        <v>0</v>
      </c>
      <c r="M212" s="108">
        <f t="shared" si="17"/>
        <v>0</v>
      </c>
      <c r="N212" s="30"/>
      <c r="O212" s="30"/>
      <c r="P212" s="33"/>
      <c r="Q212" s="97" t="str">
        <f>IFERROR(VLOOKUP(A212,'Historial Certificados'!$A$6:$E$29,5,FALSE),"")</f>
        <v/>
      </c>
      <c r="R212" s="97" t="str">
        <f t="shared" si="18"/>
        <v/>
      </c>
    </row>
    <row r="213" spans="1:18">
      <c r="A213" s="28"/>
      <c r="B213" s="29"/>
      <c r="C213" s="30"/>
      <c r="D213" s="30"/>
      <c r="E213" s="30"/>
      <c r="F213" s="30"/>
      <c r="G213" s="30"/>
      <c r="H213" s="107" t="str">
        <f>IF(G213="","",IFERROR(VLOOKUP(G213&amp;"",'Presupuesto Base'!$A$7:$G$24,2,FALSE),"Ítem no encontrado"))</f>
        <v/>
      </c>
      <c r="I213" s="107" t="str">
        <f>IF(G213="","",IFERROR(VLOOKUP(G213&amp;"",'Presupuesto Base'!$A$7:$G$24,3,FALSE),""))</f>
        <v/>
      </c>
      <c r="J213" s="30"/>
      <c r="K213" s="32"/>
      <c r="L213" s="108">
        <f>IF(G213="",0,IFERROR(VLOOKUP(G213&amp;"",'Presupuesto Base'!$A$7:$G$24,5,FALSE),0))</f>
        <v>0</v>
      </c>
      <c r="M213" s="108">
        <f t="shared" si="17"/>
        <v>0</v>
      </c>
      <c r="N213" s="30"/>
      <c r="O213" s="30"/>
      <c r="P213" s="33"/>
      <c r="Q213" s="97" t="str">
        <f>IFERROR(VLOOKUP(A213,'Historial Certificados'!$A$6:$E$29,5,FALSE),"")</f>
        <v/>
      </c>
      <c r="R213" s="97" t="str">
        <f t="shared" si="18"/>
        <v/>
      </c>
    </row>
    <row r="214" spans="1:18">
      <c r="A214" s="28"/>
      <c r="B214" s="29"/>
      <c r="C214" s="30"/>
      <c r="D214" s="30"/>
      <c r="E214" s="30"/>
      <c r="F214" s="30"/>
      <c r="G214" s="30"/>
      <c r="H214" s="107" t="str">
        <f>IF(G214="","",IFERROR(VLOOKUP(G214&amp;"",'Presupuesto Base'!$A$7:$G$24,2,FALSE),"Ítem no encontrado"))</f>
        <v/>
      </c>
      <c r="I214" s="107" t="str">
        <f>IF(G214="","",IFERROR(VLOOKUP(G214&amp;"",'Presupuesto Base'!$A$7:$G$24,3,FALSE),""))</f>
        <v/>
      </c>
      <c r="J214" s="30"/>
      <c r="K214" s="32"/>
      <c r="L214" s="108">
        <f>IF(G214="",0,IFERROR(VLOOKUP(G214&amp;"",'Presupuesto Base'!$A$7:$G$24,5,FALSE),0))</f>
        <v>0</v>
      </c>
      <c r="M214" s="108">
        <f t="shared" si="17"/>
        <v>0</v>
      </c>
      <c r="N214" s="30"/>
      <c r="O214" s="30"/>
      <c r="P214" s="33"/>
      <c r="Q214" s="97" t="str">
        <f>IFERROR(VLOOKUP(A214,'Historial Certificados'!$A$6:$E$29,5,FALSE),"")</f>
        <v/>
      </c>
      <c r="R214" s="97" t="str">
        <f t="shared" si="18"/>
        <v/>
      </c>
    </row>
    <row r="215" spans="1:18">
      <c r="A215" s="28"/>
      <c r="B215" s="29"/>
      <c r="C215" s="30"/>
      <c r="D215" s="30"/>
      <c r="E215" s="30"/>
      <c r="F215" s="30"/>
      <c r="G215" s="30"/>
      <c r="H215" s="107" t="str">
        <f>IF(G215="","",IFERROR(VLOOKUP(G215&amp;"",'Presupuesto Base'!$A$7:$G$24,2,FALSE),"Ítem no encontrado"))</f>
        <v/>
      </c>
      <c r="I215" s="107" t="str">
        <f>IF(G215="","",IFERROR(VLOOKUP(G215&amp;"",'Presupuesto Base'!$A$7:$G$24,3,FALSE),""))</f>
        <v/>
      </c>
      <c r="J215" s="30"/>
      <c r="K215" s="32"/>
      <c r="L215" s="108">
        <f>IF(G215="",0,IFERROR(VLOOKUP(G215&amp;"",'Presupuesto Base'!$A$7:$G$24,5,FALSE),0))</f>
        <v>0</v>
      </c>
      <c r="M215" s="108">
        <f t="shared" si="17"/>
        <v>0</v>
      </c>
      <c r="N215" s="30"/>
      <c r="O215" s="30"/>
      <c r="P215" s="33"/>
      <c r="Q215" s="97" t="str">
        <f>IFERROR(VLOOKUP(A215,'Historial Certificados'!$A$6:$E$29,5,FALSE),"")</f>
        <v/>
      </c>
      <c r="R215" s="97" t="str">
        <f t="shared" si="18"/>
        <v/>
      </c>
    </row>
    <row r="216" spans="1:18">
      <c r="A216" s="28"/>
      <c r="B216" s="29"/>
      <c r="C216" s="30"/>
      <c r="D216" s="30"/>
      <c r="E216" s="30"/>
      <c r="F216" s="30"/>
      <c r="G216" s="30"/>
      <c r="H216" s="107" t="str">
        <f>IF(G216="","",IFERROR(VLOOKUP(G216&amp;"",'Presupuesto Base'!$A$7:$G$24,2,FALSE),"Ítem no encontrado"))</f>
        <v/>
      </c>
      <c r="I216" s="107" t="str">
        <f>IF(G216="","",IFERROR(VLOOKUP(G216&amp;"",'Presupuesto Base'!$A$7:$G$24,3,FALSE),""))</f>
        <v/>
      </c>
      <c r="J216" s="30"/>
      <c r="K216" s="32"/>
      <c r="L216" s="108">
        <f>IF(G216="",0,IFERROR(VLOOKUP(G216&amp;"",'Presupuesto Base'!$A$7:$G$24,5,FALSE),0))</f>
        <v>0</v>
      </c>
      <c r="M216" s="108">
        <f t="shared" si="17"/>
        <v>0</v>
      </c>
      <c r="N216" s="30"/>
      <c r="O216" s="30"/>
      <c r="P216" s="33"/>
      <c r="Q216" s="97" t="str">
        <f>IFERROR(VLOOKUP(A216,'Historial Certificados'!$A$6:$E$29,5,FALSE),"")</f>
        <v/>
      </c>
      <c r="R216" s="97" t="str">
        <f t="shared" si="18"/>
        <v/>
      </c>
    </row>
    <row r="217" spans="1:18">
      <c r="A217" s="28"/>
      <c r="B217" s="29"/>
      <c r="C217" s="30"/>
      <c r="D217" s="30"/>
      <c r="E217" s="30"/>
      <c r="F217" s="30"/>
      <c r="G217" s="30"/>
      <c r="H217" s="107" t="str">
        <f>IF(G217="","",IFERROR(VLOOKUP(G217&amp;"",'Presupuesto Base'!$A$7:$G$24,2,FALSE),"Ítem no encontrado"))</f>
        <v/>
      </c>
      <c r="I217" s="107" t="str">
        <f>IF(G217="","",IFERROR(VLOOKUP(G217&amp;"",'Presupuesto Base'!$A$7:$G$24,3,FALSE),""))</f>
        <v/>
      </c>
      <c r="J217" s="30"/>
      <c r="K217" s="32"/>
      <c r="L217" s="108">
        <f>IF(G217="",0,IFERROR(VLOOKUP(G217&amp;"",'Presupuesto Base'!$A$7:$G$24,5,FALSE),0))</f>
        <v>0</v>
      </c>
      <c r="M217" s="108">
        <f t="shared" si="17"/>
        <v>0</v>
      </c>
      <c r="N217" s="30"/>
      <c r="O217" s="30"/>
      <c r="P217" s="33"/>
      <c r="Q217" s="97" t="str">
        <f>IFERROR(VLOOKUP(A217,'Historial Certificados'!$A$6:$E$29,5,FALSE),"")</f>
        <v/>
      </c>
      <c r="R217" s="97" t="str">
        <f t="shared" si="18"/>
        <v/>
      </c>
    </row>
    <row r="218" spans="1:18">
      <c r="A218" s="28"/>
      <c r="B218" s="29"/>
      <c r="C218" s="30"/>
      <c r="D218" s="30"/>
      <c r="E218" s="30"/>
      <c r="F218" s="30"/>
      <c r="G218" s="30"/>
      <c r="H218" s="107" t="str">
        <f>IF(G218="","",IFERROR(VLOOKUP(G218&amp;"",'Presupuesto Base'!$A$7:$G$24,2,FALSE),"Ítem no encontrado"))</f>
        <v/>
      </c>
      <c r="I218" s="107" t="str">
        <f>IF(G218="","",IFERROR(VLOOKUP(G218&amp;"",'Presupuesto Base'!$A$7:$G$24,3,FALSE),""))</f>
        <v/>
      </c>
      <c r="J218" s="30"/>
      <c r="K218" s="32"/>
      <c r="L218" s="108">
        <f>IF(G218="",0,IFERROR(VLOOKUP(G218&amp;"",'Presupuesto Base'!$A$7:$G$24,5,FALSE),0))</f>
        <v>0</v>
      </c>
      <c r="M218" s="108">
        <f t="shared" si="17"/>
        <v>0</v>
      </c>
      <c r="N218" s="30"/>
      <c r="O218" s="30"/>
      <c r="P218" s="33"/>
      <c r="Q218" s="97" t="str">
        <f>IFERROR(VLOOKUP(A218,'Historial Certificados'!$A$6:$E$29,5,FALSE),"")</f>
        <v/>
      </c>
      <c r="R218" s="97" t="str">
        <f t="shared" si="18"/>
        <v/>
      </c>
    </row>
    <row r="219" spans="1:18">
      <c r="A219" s="28"/>
      <c r="B219" s="29"/>
      <c r="C219" s="30"/>
      <c r="D219" s="30"/>
      <c r="E219" s="30"/>
      <c r="F219" s="30"/>
      <c r="G219" s="30"/>
      <c r="H219" s="107" t="str">
        <f>IF(G219="","",IFERROR(VLOOKUP(G219&amp;"",'Presupuesto Base'!$A$7:$G$24,2,FALSE),"Ítem no encontrado"))</f>
        <v/>
      </c>
      <c r="I219" s="107" t="str">
        <f>IF(G219="","",IFERROR(VLOOKUP(G219&amp;"",'Presupuesto Base'!$A$7:$G$24,3,FALSE),""))</f>
        <v/>
      </c>
      <c r="J219" s="30"/>
      <c r="K219" s="32"/>
      <c r="L219" s="108">
        <f>IF(G219="",0,IFERROR(VLOOKUP(G219&amp;"",'Presupuesto Base'!$A$7:$G$24,5,FALSE),0))</f>
        <v>0</v>
      </c>
      <c r="M219" s="108">
        <f t="shared" si="17"/>
        <v>0</v>
      </c>
      <c r="N219" s="30"/>
      <c r="O219" s="30"/>
      <c r="P219" s="33"/>
      <c r="Q219" s="97" t="str">
        <f>IFERROR(VLOOKUP(A219,'Historial Certificados'!$A$6:$E$29,5,FALSE),"")</f>
        <v/>
      </c>
      <c r="R219" s="97" t="str">
        <f t="shared" si="18"/>
        <v/>
      </c>
    </row>
    <row r="220" spans="1:18">
      <c r="A220" s="28"/>
      <c r="B220" s="29"/>
      <c r="C220" s="30"/>
      <c r="D220" s="30"/>
      <c r="E220" s="30"/>
      <c r="F220" s="30"/>
      <c r="G220" s="30"/>
      <c r="H220" s="107" t="str">
        <f>IF(G220="","",IFERROR(VLOOKUP(G220&amp;"",'Presupuesto Base'!$A$7:$G$24,2,FALSE),"Ítem no encontrado"))</f>
        <v/>
      </c>
      <c r="I220" s="107" t="str">
        <f>IF(G220="","",IFERROR(VLOOKUP(G220&amp;"",'Presupuesto Base'!$A$7:$G$24,3,FALSE),""))</f>
        <v/>
      </c>
      <c r="J220" s="30"/>
      <c r="K220" s="32"/>
      <c r="L220" s="108">
        <f>IF(G220="",0,IFERROR(VLOOKUP(G220&amp;"",'Presupuesto Base'!$A$7:$G$24,5,FALSE),0))</f>
        <v>0</v>
      </c>
      <c r="M220" s="108">
        <f t="shared" si="17"/>
        <v>0</v>
      </c>
      <c r="N220" s="30"/>
      <c r="O220" s="30"/>
      <c r="P220" s="33"/>
      <c r="Q220" s="97" t="str">
        <f>IFERROR(VLOOKUP(A220,'Historial Certificados'!$A$6:$E$29,5,FALSE),"")</f>
        <v/>
      </c>
      <c r="R220" s="97" t="str">
        <f t="shared" si="18"/>
        <v/>
      </c>
    </row>
    <row r="221" spans="1:18">
      <c r="A221" s="28"/>
      <c r="B221" s="29"/>
      <c r="C221" s="30"/>
      <c r="D221" s="30"/>
      <c r="E221" s="30"/>
      <c r="F221" s="30"/>
      <c r="G221" s="30"/>
      <c r="H221" s="107" t="str">
        <f>IF(G221="","",IFERROR(VLOOKUP(G221&amp;"",'Presupuesto Base'!$A$7:$G$24,2,FALSE),"Ítem no encontrado"))</f>
        <v/>
      </c>
      <c r="I221" s="107" t="str">
        <f>IF(G221="","",IFERROR(VLOOKUP(G221&amp;"",'Presupuesto Base'!$A$7:$G$24,3,FALSE),""))</f>
        <v/>
      </c>
      <c r="J221" s="30"/>
      <c r="K221" s="32"/>
      <c r="L221" s="108">
        <f>IF(G221="",0,IFERROR(VLOOKUP(G221&amp;"",'Presupuesto Base'!$A$7:$G$24,5,FALSE),0))</f>
        <v>0</v>
      </c>
      <c r="M221" s="108">
        <f t="shared" si="17"/>
        <v>0</v>
      </c>
      <c r="N221" s="30"/>
      <c r="O221" s="30"/>
      <c r="P221" s="33"/>
      <c r="Q221" s="97" t="str">
        <f>IFERROR(VLOOKUP(A221,'Historial Certificados'!$A$6:$E$29,5,FALSE),"")</f>
        <v/>
      </c>
      <c r="R221" s="97" t="str">
        <f t="shared" si="18"/>
        <v/>
      </c>
    </row>
    <row r="222" spans="1:18">
      <c r="A222" s="28"/>
      <c r="B222" s="29"/>
      <c r="C222" s="30"/>
      <c r="D222" s="30"/>
      <c r="E222" s="30"/>
      <c r="F222" s="30"/>
      <c r="G222" s="30"/>
      <c r="H222" s="107" t="str">
        <f>IF(G222="","",IFERROR(VLOOKUP(G222&amp;"",'Presupuesto Base'!$A$7:$G$24,2,FALSE),"Ítem no encontrado"))</f>
        <v/>
      </c>
      <c r="I222" s="107" t="str">
        <f>IF(G222="","",IFERROR(VLOOKUP(G222&amp;"",'Presupuesto Base'!$A$7:$G$24,3,FALSE),""))</f>
        <v/>
      </c>
      <c r="J222" s="30"/>
      <c r="K222" s="32"/>
      <c r="L222" s="108">
        <f>IF(G222="",0,IFERROR(VLOOKUP(G222&amp;"",'Presupuesto Base'!$A$7:$G$24,5,FALSE),0))</f>
        <v>0</v>
      </c>
      <c r="M222" s="108">
        <f t="shared" si="17"/>
        <v>0</v>
      </c>
      <c r="N222" s="30"/>
      <c r="O222" s="30"/>
      <c r="P222" s="33"/>
      <c r="Q222" s="97" t="str">
        <f>IFERROR(VLOOKUP(A222,'Historial Certificados'!$A$6:$E$29,5,FALSE),"")</f>
        <v/>
      </c>
      <c r="R222" s="97" t="str">
        <f t="shared" si="18"/>
        <v/>
      </c>
    </row>
    <row r="223" spans="1:18">
      <c r="A223" s="28"/>
      <c r="B223" s="29"/>
      <c r="C223" s="30"/>
      <c r="D223" s="30"/>
      <c r="E223" s="30"/>
      <c r="F223" s="30"/>
      <c r="G223" s="30"/>
      <c r="H223" s="107" t="str">
        <f>IF(G223="","",IFERROR(VLOOKUP(G223&amp;"",'Presupuesto Base'!$A$7:$G$24,2,FALSE),"Ítem no encontrado"))</f>
        <v/>
      </c>
      <c r="I223" s="107" t="str">
        <f>IF(G223="","",IFERROR(VLOOKUP(G223&amp;"",'Presupuesto Base'!$A$7:$G$24,3,FALSE),""))</f>
        <v/>
      </c>
      <c r="J223" s="30"/>
      <c r="K223" s="32"/>
      <c r="L223" s="108">
        <f>IF(G223="",0,IFERROR(VLOOKUP(G223&amp;"",'Presupuesto Base'!$A$7:$G$24,5,FALSE),0))</f>
        <v>0</v>
      </c>
      <c r="M223" s="108">
        <f t="shared" si="17"/>
        <v>0</v>
      </c>
      <c r="N223" s="30"/>
      <c r="O223" s="30"/>
      <c r="P223" s="33"/>
      <c r="Q223" s="97" t="str">
        <f>IFERROR(VLOOKUP(A223,'Historial Certificados'!$A$6:$E$29,5,FALSE),"")</f>
        <v/>
      </c>
      <c r="R223" s="97" t="str">
        <f t="shared" si="18"/>
        <v/>
      </c>
    </row>
    <row r="224" spans="1:18">
      <c r="A224" s="28"/>
      <c r="B224" s="29"/>
      <c r="C224" s="30"/>
      <c r="D224" s="30"/>
      <c r="E224" s="30"/>
      <c r="F224" s="30"/>
      <c r="G224" s="30"/>
      <c r="H224" s="107" t="str">
        <f>IF(G224="","",IFERROR(VLOOKUP(G224&amp;"",'Presupuesto Base'!$A$7:$G$24,2,FALSE),"Ítem no encontrado"))</f>
        <v/>
      </c>
      <c r="I224" s="107" t="str">
        <f>IF(G224="","",IFERROR(VLOOKUP(G224&amp;"",'Presupuesto Base'!$A$7:$G$24,3,FALSE),""))</f>
        <v/>
      </c>
      <c r="J224" s="30"/>
      <c r="K224" s="32"/>
      <c r="L224" s="108">
        <f>IF(G224="",0,IFERROR(VLOOKUP(G224&amp;"",'Presupuesto Base'!$A$7:$G$24,5,FALSE),0))</f>
        <v>0</v>
      </c>
      <c r="M224" s="108">
        <f t="shared" si="17"/>
        <v>0</v>
      </c>
      <c r="N224" s="30"/>
      <c r="O224" s="30"/>
      <c r="P224" s="33"/>
      <c r="Q224" s="97" t="str">
        <f>IFERROR(VLOOKUP(A224,'Historial Certificados'!$A$6:$E$29,5,FALSE),"")</f>
        <v/>
      </c>
      <c r="R224" s="97" t="str">
        <f t="shared" si="18"/>
        <v/>
      </c>
    </row>
    <row r="225" spans="1:18">
      <c r="A225" s="28"/>
      <c r="B225" s="29"/>
      <c r="C225" s="30"/>
      <c r="D225" s="30"/>
      <c r="E225" s="30"/>
      <c r="F225" s="30"/>
      <c r="G225" s="30"/>
      <c r="H225" s="107" t="str">
        <f>IF(G225="","",IFERROR(VLOOKUP(G225&amp;"",'Presupuesto Base'!$A$7:$G$24,2,FALSE),"Ítem no encontrado"))</f>
        <v/>
      </c>
      <c r="I225" s="107" t="str">
        <f>IF(G225="","",IFERROR(VLOOKUP(G225&amp;"",'Presupuesto Base'!$A$7:$G$24,3,FALSE),""))</f>
        <v/>
      </c>
      <c r="J225" s="30"/>
      <c r="K225" s="32"/>
      <c r="L225" s="108">
        <f>IF(G225="",0,IFERROR(VLOOKUP(G225&amp;"",'Presupuesto Base'!$A$7:$G$24,5,FALSE),0))</f>
        <v>0</v>
      </c>
      <c r="M225" s="108">
        <f t="shared" si="17"/>
        <v>0</v>
      </c>
      <c r="N225" s="30"/>
      <c r="O225" s="30"/>
      <c r="P225" s="33"/>
      <c r="Q225" s="97" t="str">
        <f>IFERROR(VLOOKUP(A225,'Historial Certificados'!$A$6:$E$29,5,FALSE),"")</f>
        <v/>
      </c>
      <c r="R225" s="97" t="str">
        <f t="shared" si="18"/>
        <v/>
      </c>
    </row>
    <row r="226" spans="1:18">
      <c r="A226" s="28"/>
      <c r="B226" s="29"/>
      <c r="C226" s="30"/>
      <c r="D226" s="30"/>
      <c r="E226" s="30"/>
      <c r="F226" s="30"/>
      <c r="G226" s="30"/>
      <c r="H226" s="107" t="str">
        <f>IF(G226="","",IFERROR(VLOOKUP(G226&amp;"",'Presupuesto Base'!$A$7:$G$24,2,FALSE),"Ítem no encontrado"))</f>
        <v/>
      </c>
      <c r="I226" s="107" t="str">
        <f>IF(G226="","",IFERROR(VLOOKUP(G226&amp;"",'Presupuesto Base'!$A$7:$G$24,3,FALSE),""))</f>
        <v/>
      </c>
      <c r="J226" s="30"/>
      <c r="K226" s="32"/>
      <c r="L226" s="108">
        <f>IF(G226="",0,IFERROR(VLOOKUP(G226&amp;"",'Presupuesto Base'!$A$7:$G$24,5,FALSE),0))</f>
        <v>0</v>
      </c>
      <c r="M226" s="108">
        <f t="shared" si="17"/>
        <v>0</v>
      </c>
      <c r="N226" s="30"/>
      <c r="O226" s="30"/>
      <c r="P226" s="33"/>
      <c r="Q226" s="97" t="str">
        <f>IFERROR(VLOOKUP(A226,'Historial Certificados'!$A$6:$E$29,5,FALSE),"")</f>
        <v/>
      </c>
      <c r="R226" s="97" t="str">
        <f t="shared" si="18"/>
        <v/>
      </c>
    </row>
    <row r="227" spans="1:18">
      <c r="A227" s="28"/>
      <c r="B227" s="29"/>
      <c r="C227" s="30"/>
      <c r="D227" s="30"/>
      <c r="E227" s="30"/>
      <c r="F227" s="30"/>
      <c r="G227" s="30"/>
      <c r="H227" s="107" t="str">
        <f>IF(G227="","",IFERROR(VLOOKUP(G227&amp;"",'Presupuesto Base'!$A$7:$G$24,2,FALSE),"Ítem no encontrado"))</f>
        <v/>
      </c>
      <c r="I227" s="107" t="str">
        <f>IF(G227="","",IFERROR(VLOOKUP(G227&amp;"",'Presupuesto Base'!$A$7:$G$24,3,FALSE),""))</f>
        <v/>
      </c>
      <c r="J227" s="30"/>
      <c r="K227" s="32"/>
      <c r="L227" s="108">
        <f>IF(G227="",0,IFERROR(VLOOKUP(G227&amp;"",'Presupuesto Base'!$A$7:$G$24,5,FALSE),0))</f>
        <v>0</v>
      </c>
      <c r="M227" s="108">
        <f t="shared" si="17"/>
        <v>0</v>
      </c>
      <c r="N227" s="30"/>
      <c r="O227" s="30"/>
      <c r="P227" s="33"/>
      <c r="Q227" s="97" t="str">
        <f>IFERROR(VLOOKUP(A227,'Historial Certificados'!$A$6:$E$29,5,FALSE),"")</f>
        <v/>
      </c>
      <c r="R227" s="97" t="str">
        <f t="shared" si="18"/>
        <v/>
      </c>
    </row>
    <row r="228" spans="1:18">
      <c r="A228" s="28"/>
      <c r="B228" s="29"/>
      <c r="C228" s="30"/>
      <c r="D228" s="30"/>
      <c r="E228" s="30"/>
      <c r="F228" s="30"/>
      <c r="G228" s="30"/>
      <c r="H228" s="107" t="str">
        <f>IF(G228="","",IFERROR(VLOOKUP(G228&amp;"",'Presupuesto Base'!$A$7:$G$24,2,FALSE),"Ítem no encontrado"))</f>
        <v/>
      </c>
      <c r="I228" s="107" t="str">
        <f>IF(G228="","",IFERROR(VLOOKUP(G228&amp;"",'Presupuesto Base'!$A$7:$G$24,3,FALSE),""))</f>
        <v/>
      </c>
      <c r="J228" s="30"/>
      <c r="K228" s="32"/>
      <c r="L228" s="108">
        <f>IF(G228="",0,IFERROR(VLOOKUP(G228&amp;"",'Presupuesto Base'!$A$7:$G$24,5,FALSE),0))</f>
        <v>0</v>
      </c>
      <c r="M228" s="108">
        <f t="shared" si="17"/>
        <v>0</v>
      </c>
      <c r="N228" s="30"/>
      <c r="O228" s="30"/>
      <c r="P228" s="33"/>
      <c r="Q228" s="97" t="str">
        <f>IFERROR(VLOOKUP(A228,'Historial Certificados'!$A$6:$E$29,5,FALSE),"")</f>
        <v/>
      </c>
      <c r="R228" s="97" t="str">
        <f t="shared" si="18"/>
        <v/>
      </c>
    </row>
    <row r="229" spans="1:18">
      <c r="A229" s="28"/>
      <c r="B229" s="29"/>
      <c r="C229" s="30"/>
      <c r="D229" s="30"/>
      <c r="E229" s="30"/>
      <c r="F229" s="30"/>
      <c r="G229" s="30"/>
      <c r="H229" s="107" t="str">
        <f>IF(G229="","",IFERROR(VLOOKUP(G229&amp;"",'Presupuesto Base'!$A$7:$G$24,2,FALSE),"Ítem no encontrado"))</f>
        <v/>
      </c>
      <c r="I229" s="107" t="str">
        <f>IF(G229="","",IFERROR(VLOOKUP(G229&amp;"",'Presupuesto Base'!$A$7:$G$24,3,FALSE),""))</f>
        <v/>
      </c>
      <c r="J229" s="30"/>
      <c r="K229" s="32"/>
      <c r="L229" s="108">
        <f>IF(G229="",0,IFERROR(VLOOKUP(G229&amp;"",'Presupuesto Base'!$A$7:$G$24,5,FALSE),0))</f>
        <v>0</v>
      </c>
      <c r="M229" s="108">
        <f t="shared" si="17"/>
        <v>0</v>
      </c>
      <c r="N229" s="30"/>
      <c r="O229" s="30"/>
      <c r="P229" s="33"/>
      <c r="Q229" s="97" t="str">
        <f>IFERROR(VLOOKUP(A229,'Historial Certificados'!$A$6:$E$29,5,FALSE),"")</f>
        <v/>
      </c>
      <c r="R229" s="97" t="str">
        <f t="shared" si="18"/>
        <v/>
      </c>
    </row>
    <row r="230" spans="1:18">
      <c r="A230" s="28"/>
      <c r="B230" s="29"/>
      <c r="C230" s="30"/>
      <c r="D230" s="30"/>
      <c r="E230" s="30"/>
      <c r="F230" s="30"/>
      <c r="G230" s="30"/>
      <c r="H230" s="107" t="str">
        <f>IF(G230="","",IFERROR(VLOOKUP(G230&amp;"",'Presupuesto Base'!$A$7:$G$24,2,FALSE),"Ítem no encontrado"))</f>
        <v/>
      </c>
      <c r="I230" s="107" t="str">
        <f>IF(G230="","",IFERROR(VLOOKUP(G230&amp;"",'Presupuesto Base'!$A$7:$G$24,3,FALSE),""))</f>
        <v/>
      </c>
      <c r="J230" s="30"/>
      <c r="K230" s="32"/>
      <c r="L230" s="108">
        <f>IF(G230="",0,IFERROR(VLOOKUP(G230&amp;"",'Presupuesto Base'!$A$7:$G$24,5,FALSE),0))</f>
        <v>0</v>
      </c>
      <c r="M230" s="108">
        <f t="shared" si="17"/>
        <v>0</v>
      </c>
      <c r="N230" s="30"/>
      <c r="O230" s="30"/>
      <c r="P230" s="33"/>
      <c r="Q230" s="97" t="str">
        <f>IFERROR(VLOOKUP(A230,'Historial Certificados'!$A$6:$E$29,5,FALSE),"")</f>
        <v/>
      </c>
      <c r="R230" s="97" t="str">
        <f t="shared" si="18"/>
        <v/>
      </c>
    </row>
    <row r="231" spans="1:18">
      <c r="A231" s="28"/>
      <c r="B231" s="29"/>
      <c r="C231" s="30"/>
      <c r="D231" s="30"/>
      <c r="E231" s="30"/>
      <c r="F231" s="30"/>
      <c r="G231" s="30"/>
      <c r="H231" s="107" t="str">
        <f>IF(G231="","",IFERROR(VLOOKUP(G231&amp;"",'Presupuesto Base'!$A$7:$G$24,2,FALSE),"Ítem no encontrado"))</f>
        <v/>
      </c>
      <c r="I231" s="107" t="str">
        <f>IF(G231="","",IFERROR(VLOOKUP(G231&amp;"",'Presupuesto Base'!$A$7:$G$24,3,FALSE),""))</f>
        <v/>
      </c>
      <c r="J231" s="30"/>
      <c r="K231" s="32"/>
      <c r="L231" s="108">
        <f>IF(G231="",0,IFERROR(VLOOKUP(G231&amp;"",'Presupuesto Base'!$A$7:$G$24,5,FALSE),0))</f>
        <v>0</v>
      </c>
      <c r="M231" s="108">
        <f t="shared" si="17"/>
        <v>0</v>
      </c>
      <c r="N231" s="30"/>
      <c r="O231" s="30"/>
      <c r="P231" s="33"/>
      <c r="Q231" s="97" t="str">
        <f>IFERROR(VLOOKUP(A231,'Historial Certificados'!$A$6:$E$29,5,FALSE),"")</f>
        <v/>
      </c>
      <c r="R231" s="97" t="str">
        <f t="shared" si="18"/>
        <v/>
      </c>
    </row>
    <row r="232" spans="1:18">
      <c r="A232" s="28"/>
      <c r="B232" s="29"/>
      <c r="C232" s="30"/>
      <c r="D232" s="30"/>
      <c r="E232" s="30"/>
      <c r="F232" s="30"/>
      <c r="G232" s="30"/>
      <c r="H232" s="107" t="str">
        <f>IF(G232="","",IFERROR(VLOOKUP(G232&amp;"",'Presupuesto Base'!$A$7:$G$24,2,FALSE),"Ítem no encontrado"))</f>
        <v/>
      </c>
      <c r="I232" s="107" t="str">
        <f>IF(G232="","",IFERROR(VLOOKUP(G232&amp;"",'Presupuesto Base'!$A$7:$G$24,3,FALSE),""))</f>
        <v/>
      </c>
      <c r="J232" s="30"/>
      <c r="K232" s="32"/>
      <c r="L232" s="108">
        <f>IF(G232="",0,IFERROR(VLOOKUP(G232&amp;"",'Presupuesto Base'!$A$7:$G$24,5,FALSE),0))</f>
        <v>0</v>
      </c>
      <c r="M232" s="108">
        <f t="shared" si="17"/>
        <v>0</v>
      </c>
      <c r="N232" s="30"/>
      <c r="O232" s="30"/>
      <c r="P232" s="33"/>
      <c r="Q232" s="97" t="str">
        <f>IFERROR(VLOOKUP(A232,'Historial Certificados'!$A$6:$E$29,5,FALSE),"")</f>
        <v/>
      </c>
      <c r="R232" s="97" t="str">
        <f t="shared" si="18"/>
        <v/>
      </c>
    </row>
    <row r="233" spans="1:18">
      <c r="A233" s="28"/>
      <c r="B233" s="29"/>
      <c r="C233" s="30"/>
      <c r="D233" s="30"/>
      <c r="E233" s="30"/>
      <c r="F233" s="30"/>
      <c r="G233" s="30"/>
      <c r="H233" s="107" t="str">
        <f>IF(G233="","",IFERROR(VLOOKUP(G233&amp;"",'Presupuesto Base'!$A$7:$G$24,2,FALSE),"Ítem no encontrado"))</f>
        <v/>
      </c>
      <c r="I233" s="107" t="str">
        <f>IF(G233="","",IFERROR(VLOOKUP(G233&amp;"",'Presupuesto Base'!$A$7:$G$24,3,FALSE),""))</f>
        <v/>
      </c>
      <c r="J233" s="30"/>
      <c r="K233" s="32"/>
      <c r="L233" s="108">
        <f>IF(G233="",0,IFERROR(VLOOKUP(G233&amp;"",'Presupuesto Base'!$A$7:$G$24,5,FALSE),0))</f>
        <v>0</v>
      </c>
      <c r="M233" s="108">
        <f t="shared" si="17"/>
        <v>0</v>
      </c>
      <c r="N233" s="30"/>
      <c r="O233" s="30"/>
      <c r="P233" s="33"/>
      <c r="Q233" s="97" t="str">
        <f>IFERROR(VLOOKUP(A233,'Historial Certificados'!$A$6:$E$29,5,FALSE),"")</f>
        <v/>
      </c>
      <c r="R233" s="97" t="str">
        <f t="shared" si="18"/>
        <v/>
      </c>
    </row>
    <row r="234" spans="1:18">
      <c r="A234" s="28"/>
      <c r="B234" s="29"/>
      <c r="C234" s="30"/>
      <c r="D234" s="30"/>
      <c r="E234" s="30"/>
      <c r="F234" s="30"/>
      <c r="G234" s="30"/>
      <c r="H234" s="107" t="str">
        <f>IF(G234="","",IFERROR(VLOOKUP(G234&amp;"",'Presupuesto Base'!$A$7:$G$24,2,FALSE),"Ítem no encontrado"))</f>
        <v/>
      </c>
      <c r="I234" s="107" t="str">
        <f>IF(G234="","",IFERROR(VLOOKUP(G234&amp;"",'Presupuesto Base'!$A$7:$G$24,3,FALSE),""))</f>
        <v/>
      </c>
      <c r="J234" s="30"/>
      <c r="K234" s="32"/>
      <c r="L234" s="108">
        <f>IF(G234="",0,IFERROR(VLOOKUP(G234&amp;"",'Presupuesto Base'!$A$7:$G$24,5,FALSE),0))</f>
        <v>0</v>
      </c>
      <c r="M234" s="108">
        <f t="shared" si="17"/>
        <v>0</v>
      </c>
      <c r="N234" s="30"/>
      <c r="O234" s="30"/>
      <c r="P234" s="33"/>
      <c r="Q234" s="97" t="str">
        <f>IFERROR(VLOOKUP(A234,'Historial Certificados'!$A$6:$E$29,5,FALSE),"")</f>
        <v/>
      </c>
      <c r="R234" s="97" t="str">
        <f t="shared" si="18"/>
        <v/>
      </c>
    </row>
    <row r="235" spans="1:18">
      <c r="A235" s="28"/>
      <c r="B235" s="29"/>
      <c r="C235" s="30"/>
      <c r="D235" s="30"/>
      <c r="E235" s="30"/>
      <c r="F235" s="30"/>
      <c r="G235" s="30"/>
      <c r="H235" s="107" t="str">
        <f>IF(G235="","",IFERROR(VLOOKUP(G235&amp;"",'Presupuesto Base'!$A$7:$G$24,2,FALSE),"Ítem no encontrado"))</f>
        <v/>
      </c>
      <c r="I235" s="107" t="str">
        <f>IF(G235="","",IFERROR(VLOOKUP(G235&amp;"",'Presupuesto Base'!$A$7:$G$24,3,FALSE),""))</f>
        <v/>
      </c>
      <c r="J235" s="30"/>
      <c r="K235" s="32"/>
      <c r="L235" s="108">
        <f>IF(G235="",0,IFERROR(VLOOKUP(G235&amp;"",'Presupuesto Base'!$A$7:$G$24,5,FALSE),0))</f>
        <v>0</v>
      </c>
      <c r="M235" s="108">
        <f t="shared" si="17"/>
        <v>0</v>
      </c>
      <c r="N235" s="30"/>
      <c r="O235" s="30"/>
      <c r="P235" s="33"/>
      <c r="Q235" s="97" t="str">
        <f>IFERROR(VLOOKUP(A235,'Historial Certificados'!$A$6:$E$29,5,FALSE),"")</f>
        <v/>
      </c>
      <c r="R235" s="97" t="str">
        <f t="shared" si="18"/>
        <v/>
      </c>
    </row>
    <row r="236" spans="1:18">
      <c r="A236" s="28"/>
      <c r="B236" s="29"/>
      <c r="C236" s="30"/>
      <c r="D236" s="30"/>
      <c r="E236" s="30"/>
      <c r="F236" s="30"/>
      <c r="G236" s="30"/>
      <c r="H236" s="107" t="str">
        <f>IF(G236="","",IFERROR(VLOOKUP(G236&amp;"",'Presupuesto Base'!$A$7:$G$24,2,FALSE),"Ítem no encontrado"))</f>
        <v/>
      </c>
      <c r="I236" s="107" t="str">
        <f>IF(G236="","",IFERROR(VLOOKUP(G236&amp;"",'Presupuesto Base'!$A$7:$G$24,3,FALSE),""))</f>
        <v/>
      </c>
      <c r="J236" s="30"/>
      <c r="K236" s="32"/>
      <c r="L236" s="108">
        <f>IF(G236="",0,IFERROR(VLOOKUP(G236&amp;"",'Presupuesto Base'!$A$7:$G$24,5,FALSE),0))</f>
        <v>0</v>
      </c>
      <c r="M236" s="108">
        <f t="shared" si="17"/>
        <v>0</v>
      </c>
      <c r="N236" s="30"/>
      <c r="O236" s="30"/>
      <c r="P236" s="33"/>
      <c r="Q236" s="97" t="str">
        <f>IFERROR(VLOOKUP(A236,'Historial Certificados'!$A$6:$E$29,5,FALSE),"")</f>
        <v/>
      </c>
      <c r="R236" s="97" t="str">
        <f t="shared" si="18"/>
        <v/>
      </c>
    </row>
    <row r="237" spans="1:18">
      <c r="A237" s="28"/>
      <c r="B237" s="29"/>
      <c r="C237" s="30"/>
      <c r="D237" s="30"/>
      <c r="E237" s="30"/>
      <c r="F237" s="30"/>
      <c r="G237" s="30"/>
      <c r="H237" s="107" t="str">
        <f>IF(G237="","",IFERROR(VLOOKUP(G237&amp;"",'Presupuesto Base'!$A$7:$G$24,2,FALSE),"Ítem no encontrado"))</f>
        <v/>
      </c>
      <c r="I237" s="107" t="str">
        <f>IF(G237="","",IFERROR(VLOOKUP(G237&amp;"",'Presupuesto Base'!$A$7:$G$24,3,FALSE),""))</f>
        <v/>
      </c>
      <c r="J237" s="30"/>
      <c r="K237" s="32"/>
      <c r="L237" s="108">
        <f>IF(G237="",0,IFERROR(VLOOKUP(G237&amp;"",'Presupuesto Base'!$A$7:$G$24,5,FALSE),0))</f>
        <v>0</v>
      </c>
      <c r="M237" s="108">
        <f t="shared" si="17"/>
        <v>0</v>
      </c>
      <c r="N237" s="30"/>
      <c r="O237" s="30"/>
      <c r="P237" s="33"/>
      <c r="Q237" s="97" t="str">
        <f>IFERROR(VLOOKUP(A237,'Historial Certificados'!$A$6:$E$29,5,FALSE),"")</f>
        <v/>
      </c>
      <c r="R237" s="97" t="str">
        <f t="shared" si="18"/>
        <v/>
      </c>
    </row>
    <row r="238" spans="1:18">
      <c r="A238" s="28"/>
      <c r="B238" s="29"/>
      <c r="C238" s="30"/>
      <c r="D238" s="30"/>
      <c r="E238" s="30"/>
      <c r="F238" s="30"/>
      <c r="G238" s="30"/>
      <c r="H238" s="107" t="str">
        <f>IF(G238="","",IFERROR(VLOOKUP(G238&amp;"",'Presupuesto Base'!$A$7:$G$24,2,FALSE),"Ítem no encontrado"))</f>
        <v/>
      </c>
      <c r="I238" s="107" t="str">
        <f>IF(G238="","",IFERROR(VLOOKUP(G238&amp;"",'Presupuesto Base'!$A$7:$G$24,3,FALSE),""))</f>
        <v/>
      </c>
      <c r="J238" s="30"/>
      <c r="K238" s="32"/>
      <c r="L238" s="108">
        <f>IF(G238="",0,IFERROR(VLOOKUP(G238&amp;"",'Presupuesto Base'!$A$7:$G$24,5,FALSE),0))</f>
        <v>0</v>
      </c>
      <c r="M238" s="108">
        <f t="shared" si="17"/>
        <v>0</v>
      </c>
      <c r="N238" s="30"/>
      <c r="O238" s="30"/>
      <c r="P238" s="33"/>
      <c r="Q238" s="97" t="str">
        <f>IFERROR(VLOOKUP(A238,'Historial Certificados'!$A$6:$E$29,5,FALSE),"")</f>
        <v/>
      </c>
      <c r="R238" s="97" t="str">
        <f t="shared" si="18"/>
        <v/>
      </c>
    </row>
    <row r="239" spans="1:18">
      <c r="A239" s="28"/>
      <c r="B239" s="29"/>
      <c r="C239" s="30"/>
      <c r="D239" s="30"/>
      <c r="E239" s="30"/>
      <c r="F239" s="30"/>
      <c r="G239" s="30"/>
      <c r="H239" s="107" t="str">
        <f>IF(G239="","",IFERROR(VLOOKUP(G239&amp;"",'Presupuesto Base'!$A$7:$G$24,2,FALSE),"Ítem no encontrado"))</f>
        <v/>
      </c>
      <c r="I239" s="107" t="str">
        <f>IF(G239="","",IFERROR(VLOOKUP(G239&amp;"",'Presupuesto Base'!$A$7:$G$24,3,FALSE),""))</f>
        <v/>
      </c>
      <c r="J239" s="30"/>
      <c r="K239" s="32"/>
      <c r="L239" s="108">
        <f>IF(G239="",0,IFERROR(VLOOKUP(G239&amp;"",'Presupuesto Base'!$A$7:$G$24,5,FALSE),0))</f>
        <v>0</v>
      </c>
      <c r="M239" s="108">
        <f t="shared" si="17"/>
        <v>0</v>
      </c>
      <c r="N239" s="30"/>
      <c r="O239" s="30"/>
      <c r="P239" s="33"/>
      <c r="Q239" s="97" t="str">
        <f>IFERROR(VLOOKUP(A239,'Historial Certificados'!$A$6:$E$29,5,FALSE),"")</f>
        <v/>
      </c>
      <c r="R239" s="97" t="str">
        <f t="shared" si="18"/>
        <v/>
      </c>
    </row>
    <row r="240" spans="1:18">
      <c r="A240" s="28"/>
      <c r="B240" s="29"/>
      <c r="C240" s="30"/>
      <c r="D240" s="30"/>
      <c r="E240" s="30"/>
      <c r="F240" s="30"/>
      <c r="G240" s="30"/>
      <c r="H240" s="107" t="str">
        <f>IF(G240="","",IFERROR(VLOOKUP(G240&amp;"",'Presupuesto Base'!$A$7:$G$24,2,FALSE),"Ítem no encontrado"))</f>
        <v/>
      </c>
      <c r="I240" s="107" t="str">
        <f>IF(G240="","",IFERROR(VLOOKUP(G240&amp;"",'Presupuesto Base'!$A$7:$G$24,3,FALSE),""))</f>
        <v/>
      </c>
      <c r="J240" s="30"/>
      <c r="K240" s="32"/>
      <c r="L240" s="108">
        <f>IF(G240="",0,IFERROR(VLOOKUP(G240&amp;"",'Presupuesto Base'!$A$7:$G$24,5,FALSE),0))</f>
        <v>0</v>
      </c>
      <c r="M240" s="108">
        <f t="shared" si="17"/>
        <v>0</v>
      </c>
      <c r="N240" s="30"/>
      <c r="O240" s="30"/>
      <c r="P240" s="33"/>
      <c r="Q240" s="97" t="str">
        <f>IFERROR(VLOOKUP(A240,'Historial Certificados'!$A$6:$E$29,5,FALSE),"")</f>
        <v/>
      </c>
      <c r="R240" s="97" t="str">
        <f t="shared" si="18"/>
        <v/>
      </c>
    </row>
    <row r="241" spans="1:18">
      <c r="A241" s="28"/>
      <c r="B241" s="29"/>
      <c r="C241" s="30"/>
      <c r="D241" s="30"/>
      <c r="E241" s="30"/>
      <c r="F241" s="30"/>
      <c r="G241" s="30"/>
      <c r="H241" s="107" t="str">
        <f>IF(G241="","",IFERROR(VLOOKUP(G241&amp;"",'Presupuesto Base'!$A$7:$G$24,2,FALSE),"Ítem no encontrado"))</f>
        <v/>
      </c>
      <c r="I241" s="107" t="str">
        <f>IF(G241="","",IFERROR(VLOOKUP(G241&amp;"",'Presupuesto Base'!$A$7:$G$24,3,FALSE),""))</f>
        <v/>
      </c>
      <c r="J241" s="30"/>
      <c r="K241" s="32"/>
      <c r="L241" s="108">
        <f>IF(G241="",0,IFERROR(VLOOKUP(G241&amp;"",'Presupuesto Base'!$A$7:$G$24,5,FALSE),0))</f>
        <v>0</v>
      </c>
      <c r="M241" s="108">
        <f t="shared" si="17"/>
        <v>0</v>
      </c>
      <c r="N241" s="30"/>
      <c r="O241" s="30"/>
      <c r="P241" s="33"/>
      <c r="Q241" s="97" t="str">
        <f>IFERROR(VLOOKUP(A241,'Historial Certificados'!$A$6:$E$29,5,FALSE),"")</f>
        <v/>
      </c>
      <c r="R241" s="97" t="str">
        <f t="shared" si="18"/>
        <v/>
      </c>
    </row>
    <row r="242" spans="1:18">
      <c r="A242" s="28"/>
      <c r="B242" s="29"/>
      <c r="C242" s="30"/>
      <c r="D242" s="30"/>
      <c r="E242" s="30"/>
      <c r="F242" s="30"/>
      <c r="G242" s="30"/>
      <c r="H242" s="107" t="str">
        <f>IF(G242="","",IFERROR(VLOOKUP(G242&amp;"",'Presupuesto Base'!$A$7:$G$24,2,FALSE),"Ítem no encontrado"))</f>
        <v/>
      </c>
      <c r="I242" s="107" t="str">
        <f>IF(G242="","",IFERROR(VLOOKUP(G242&amp;"",'Presupuesto Base'!$A$7:$G$24,3,FALSE),""))</f>
        <v/>
      </c>
      <c r="J242" s="30"/>
      <c r="K242" s="32"/>
      <c r="L242" s="108">
        <f>IF(G242="",0,IFERROR(VLOOKUP(G242&amp;"",'Presupuesto Base'!$A$7:$G$24,5,FALSE),0))</f>
        <v>0</v>
      </c>
      <c r="M242" s="108">
        <f t="shared" si="17"/>
        <v>0</v>
      </c>
      <c r="N242" s="30"/>
      <c r="O242" s="30"/>
      <c r="P242" s="33"/>
      <c r="Q242" s="97" t="str">
        <f>IFERROR(VLOOKUP(A242,'Historial Certificados'!$A$6:$E$29,5,FALSE),"")</f>
        <v/>
      </c>
      <c r="R242" s="97" t="str">
        <f t="shared" si="18"/>
        <v/>
      </c>
    </row>
    <row r="243" spans="1:18">
      <c r="A243" s="28"/>
      <c r="B243" s="29"/>
      <c r="C243" s="30"/>
      <c r="D243" s="30"/>
      <c r="E243" s="30"/>
      <c r="F243" s="30"/>
      <c r="G243" s="30"/>
      <c r="H243" s="107" t="str">
        <f>IF(G243="","",IFERROR(VLOOKUP(G243&amp;"",'Presupuesto Base'!$A$7:$G$24,2,FALSE),"Ítem no encontrado"))</f>
        <v/>
      </c>
      <c r="I243" s="107" t="str">
        <f>IF(G243="","",IFERROR(VLOOKUP(G243&amp;"",'Presupuesto Base'!$A$7:$G$24,3,FALSE),""))</f>
        <v/>
      </c>
      <c r="J243" s="30"/>
      <c r="K243" s="32"/>
      <c r="L243" s="108">
        <f>IF(G243="",0,IFERROR(VLOOKUP(G243&amp;"",'Presupuesto Base'!$A$7:$G$24,5,FALSE),0))</f>
        <v>0</v>
      </c>
      <c r="M243" s="108">
        <f t="shared" si="17"/>
        <v>0</v>
      </c>
      <c r="N243" s="30"/>
      <c r="O243" s="30"/>
      <c r="P243" s="33"/>
      <c r="Q243" s="97" t="str">
        <f>IFERROR(VLOOKUP(A243,'Historial Certificados'!$A$6:$E$29,5,FALSE),"")</f>
        <v/>
      </c>
      <c r="R243" s="97" t="str">
        <f t="shared" si="18"/>
        <v/>
      </c>
    </row>
    <row r="244" spans="1:18">
      <c r="A244" s="28"/>
      <c r="B244" s="29"/>
      <c r="C244" s="30"/>
      <c r="D244" s="30"/>
      <c r="E244" s="30"/>
      <c r="F244" s="30"/>
      <c r="G244" s="30"/>
      <c r="H244" s="107" t="str">
        <f>IF(G244="","",IFERROR(VLOOKUP(G244&amp;"",'Presupuesto Base'!$A$7:$G$24,2,FALSE),"Ítem no encontrado"))</f>
        <v/>
      </c>
      <c r="I244" s="107" t="str">
        <f>IF(G244="","",IFERROR(VLOOKUP(G244&amp;"",'Presupuesto Base'!$A$7:$G$24,3,FALSE),""))</f>
        <v/>
      </c>
      <c r="J244" s="30"/>
      <c r="K244" s="32"/>
      <c r="L244" s="108">
        <f>IF(G244="",0,IFERROR(VLOOKUP(G244&amp;"",'Presupuesto Base'!$A$7:$G$24,5,FALSE),0))</f>
        <v>0</v>
      </c>
      <c r="M244" s="108">
        <f t="shared" si="17"/>
        <v>0</v>
      </c>
      <c r="N244" s="30"/>
      <c r="O244" s="30"/>
      <c r="P244" s="33"/>
      <c r="Q244" s="97" t="str">
        <f>IFERROR(VLOOKUP(A244,'Historial Certificados'!$A$6:$E$29,5,FALSE),"")</f>
        <v/>
      </c>
      <c r="R244" s="97" t="str">
        <f t="shared" si="18"/>
        <v/>
      </c>
    </row>
    <row r="245" spans="1:18">
      <c r="A245" s="28"/>
      <c r="B245" s="29"/>
      <c r="C245" s="30"/>
      <c r="D245" s="30"/>
      <c r="E245" s="30"/>
      <c r="F245" s="30"/>
      <c r="G245" s="30"/>
      <c r="H245" s="107" t="str">
        <f>IF(G245="","",IFERROR(VLOOKUP(G245&amp;"",'Presupuesto Base'!$A$7:$G$24,2,FALSE),"Ítem no encontrado"))</f>
        <v/>
      </c>
      <c r="I245" s="107" t="str">
        <f>IF(G245="","",IFERROR(VLOOKUP(G245&amp;"",'Presupuesto Base'!$A$7:$G$24,3,FALSE),""))</f>
        <v/>
      </c>
      <c r="J245" s="30"/>
      <c r="K245" s="32"/>
      <c r="L245" s="108">
        <f>IF(G245="",0,IFERROR(VLOOKUP(G245&amp;"",'Presupuesto Base'!$A$7:$G$24,5,FALSE),0))</f>
        <v>0</v>
      </c>
      <c r="M245" s="108">
        <f t="shared" si="17"/>
        <v>0</v>
      </c>
      <c r="N245" s="30"/>
      <c r="O245" s="30"/>
      <c r="P245" s="33"/>
      <c r="Q245" s="97" t="str">
        <f>IFERROR(VLOOKUP(A245,'Historial Certificados'!$A$6:$E$29,5,FALSE),"")</f>
        <v/>
      </c>
      <c r="R245" s="97" t="str">
        <f t="shared" si="18"/>
        <v/>
      </c>
    </row>
    <row r="246" spans="1:18">
      <c r="A246" s="28"/>
      <c r="B246" s="29"/>
      <c r="C246" s="30"/>
      <c r="D246" s="30"/>
      <c r="E246" s="30"/>
      <c r="F246" s="30"/>
      <c r="G246" s="30"/>
      <c r="H246" s="107" t="str">
        <f>IF(G246="","",IFERROR(VLOOKUP(G246&amp;"",'Presupuesto Base'!$A$7:$G$24,2,FALSE),"Ítem no encontrado"))</f>
        <v/>
      </c>
      <c r="I246" s="107" t="str">
        <f>IF(G246="","",IFERROR(VLOOKUP(G246&amp;"",'Presupuesto Base'!$A$7:$G$24,3,FALSE),""))</f>
        <v/>
      </c>
      <c r="J246" s="30"/>
      <c r="K246" s="32"/>
      <c r="L246" s="108">
        <f>IF(G246="",0,IFERROR(VLOOKUP(G246&amp;"",'Presupuesto Base'!$A$7:$G$24,5,FALSE),0))</f>
        <v>0</v>
      </c>
      <c r="M246" s="108">
        <f t="shared" si="17"/>
        <v>0</v>
      </c>
      <c r="N246" s="30"/>
      <c r="O246" s="30"/>
      <c r="P246" s="33"/>
      <c r="Q246" s="97" t="str">
        <f>IFERROR(VLOOKUP(A246,'Historial Certificados'!$A$6:$E$29,5,FALSE),"")</f>
        <v/>
      </c>
      <c r="R246" s="97" t="str">
        <f t="shared" si="18"/>
        <v/>
      </c>
    </row>
    <row r="247" spans="1:18">
      <c r="A247" s="28"/>
      <c r="B247" s="29"/>
      <c r="C247" s="30"/>
      <c r="D247" s="30"/>
      <c r="E247" s="30"/>
      <c r="F247" s="30"/>
      <c r="G247" s="30"/>
      <c r="H247" s="107" t="str">
        <f>IF(G247="","",IFERROR(VLOOKUP(G247&amp;"",'Presupuesto Base'!$A$7:$G$24,2,FALSE),"Ítem no encontrado"))</f>
        <v/>
      </c>
      <c r="I247" s="107" t="str">
        <f>IF(G247="","",IFERROR(VLOOKUP(G247&amp;"",'Presupuesto Base'!$A$7:$G$24,3,FALSE),""))</f>
        <v/>
      </c>
      <c r="J247" s="30"/>
      <c r="K247" s="32"/>
      <c r="L247" s="108">
        <f>IF(G247="",0,IFERROR(VLOOKUP(G247&amp;"",'Presupuesto Base'!$A$7:$G$24,5,FALSE),0))</f>
        <v>0</v>
      </c>
      <c r="M247" s="108">
        <f t="shared" si="17"/>
        <v>0</v>
      </c>
      <c r="N247" s="30"/>
      <c r="O247" s="30"/>
      <c r="P247" s="33"/>
      <c r="Q247" s="97" t="str">
        <f>IFERROR(VLOOKUP(A247,'Historial Certificados'!$A$6:$E$29,5,FALSE),"")</f>
        <v/>
      </c>
      <c r="R247" s="97" t="str">
        <f t="shared" si="18"/>
        <v/>
      </c>
    </row>
    <row r="248" spans="1:18">
      <c r="A248" s="28"/>
      <c r="B248" s="29"/>
      <c r="C248" s="30"/>
      <c r="D248" s="30"/>
      <c r="E248" s="30"/>
      <c r="F248" s="30"/>
      <c r="G248" s="30"/>
      <c r="H248" s="107" t="str">
        <f>IF(G248="","",IFERROR(VLOOKUP(G248&amp;"",'Presupuesto Base'!$A$7:$G$24,2,FALSE),"Ítem no encontrado"))</f>
        <v/>
      </c>
      <c r="I248" s="107" t="str">
        <f>IF(G248="","",IFERROR(VLOOKUP(G248&amp;"",'Presupuesto Base'!$A$7:$G$24,3,FALSE),""))</f>
        <v/>
      </c>
      <c r="J248" s="30"/>
      <c r="K248" s="32"/>
      <c r="L248" s="108">
        <f>IF(G248="",0,IFERROR(VLOOKUP(G248&amp;"",'Presupuesto Base'!$A$7:$G$24,5,FALSE),0))</f>
        <v>0</v>
      </c>
      <c r="M248" s="108">
        <f t="shared" si="17"/>
        <v>0</v>
      </c>
      <c r="N248" s="30"/>
      <c r="O248" s="30"/>
      <c r="P248" s="33"/>
      <c r="Q248" s="97" t="str">
        <f>IFERROR(VLOOKUP(A248,'Historial Certificados'!$A$6:$E$29,5,FALSE),"")</f>
        <v/>
      </c>
      <c r="R248" s="97" t="str">
        <f t="shared" si="18"/>
        <v/>
      </c>
    </row>
    <row r="249" spans="1:18">
      <c r="A249" s="28"/>
      <c r="B249" s="29"/>
      <c r="C249" s="30"/>
      <c r="D249" s="30"/>
      <c r="E249" s="30"/>
      <c r="F249" s="30"/>
      <c r="G249" s="30"/>
      <c r="H249" s="107" t="str">
        <f>IF(G249="","",IFERROR(VLOOKUP(G249&amp;"",'Presupuesto Base'!$A$7:$G$24,2,FALSE),"Ítem no encontrado"))</f>
        <v/>
      </c>
      <c r="I249" s="107" t="str">
        <f>IF(G249="","",IFERROR(VLOOKUP(G249&amp;"",'Presupuesto Base'!$A$7:$G$24,3,FALSE),""))</f>
        <v/>
      </c>
      <c r="J249" s="30"/>
      <c r="K249" s="32"/>
      <c r="L249" s="108">
        <f>IF(G249="",0,IFERROR(VLOOKUP(G249&amp;"",'Presupuesto Base'!$A$7:$G$24,5,FALSE),0))</f>
        <v>0</v>
      </c>
      <c r="M249" s="108">
        <f t="shared" si="17"/>
        <v>0</v>
      </c>
      <c r="N249" s="30"/>
      <c r="O249" s="30"/>
      <c r="P249" s="33"/>
      <c r="Q249" s="97" t="str">
        <f>IFERROR(VLOOKUP(A249,'Historial Certificados'!$A$6:$E$29,5,FALSE),"")</f>
        <v/>
      </c>
      <c r="R249" s="97" t="str">
        <f t="shared" si="18"/>
        <v/>
      </c>
    </row>
    <row r="250" spans="1:18">
      <c r="A250" s="28"/>
      <c r="B250" s="29"/>
      <c r="C250" s="30"/>
      <c r="D250" s="30"/>
      <c r="E250" s="30"/>
      <c r="F250" s="30"/>
      <c r="G250" s="30"/>
      <c r="H250" s="107" t="str">
        <f>IF(G250="","",IFERROR(VLOOKUP(G250&amp;"",'Presupuesto Base'!$A$7:$G$24,2,FALSE),"Ítem no encontrado"))</f>
        <v/>
      </c>
      <c r="I250" s="107" t="str">
        <f>IF(G250="","",IFERROR(VLOOKUP(G250&amp;"",'Presupuesto Base'!$A$7:$G$24,3,FALSE),""))</f>
        <v/>
      </c>
      <c r="J250" s="30"/>
      <c r="K250" s="32"/>
      <c r="L250" s="108">
        <f>IF(G250="",0,IFERROR(VLOOKUP(G250&amp;"",'Presupuesto Base'!$A$7:$G$24,5,FALSE),0))</f>
        <v>0</v>
      </c>
      <c r="M250" s="108">
        <f t="shared" si="17"/>
        <v>0</v>
      </c>
      <c r="N250" s="30"/>
      <c r="O250" s="30"/>
      <c r="P250" s="33"/>
      <c r="Q250" s="97" t="str">
        <f>IFERROR(VLOOKUP(A250,'Historial Certificados'!$A$6:$E$29,5,FALSE),"")</f>
        <v/>
      </c>
      <c r="R250" s="97" t="str">
        <f t="shared" si="18"/>
        <v/>
      </c>
    </row>
    <row r="251" spans="1:18">
      <c r="A251" s="28"/>
      <c r="B251" s="29"/>
      <c r="C251" s="30"/>
      <c r="D251" s="30"/>
      <c r="E251" s="30"/>
      <c r="F251" s="30"/>
      <c r="G251" s="30"/>
      <c r="H251" s="107" t="str">
        <f>IF(G251="","",IFERROR(VLOOKUP(G251&amp;"",'Presupuesto Base'!$A$7:$G$24,2,FALSE),"Ítem no encontrado"))</f>
        <v/>
      </c>
      <c r="I251" s="107" t="str">
        <f>IF(G251="","",IFERROR(VLOOKUP(G251&amp;"",'Presupuesto Base'!$A$7:$G$24,3,FALSE),""))</f>
        <v/>
      </c>
      <c r="J251" s="30"/>
      <c r="K251" s="32"/>
      <c r="L251" s="108">
        <f>IF(G251="",0,IFERROR(VLOOKUP(G251&amp;"",'Presupuesto Base'!$A$7:$G$24,5,FALSE),0))</f>
        <v>0</v>
      </c>
      <c r="M251" s="108">
        <f t="shared" si="17"/>
        <v>0</v>
      </c>
      <c r="N251" s="30"/>
      <c r="O251" s="30"/>
      <c r="P251" s="33"/>
      <c r="Q251" s="97" t="str">
        <f>IFERROR(VLOOKUP(A251,'Historial Certificados'!$A$6:$E$29,5,FALSE),"")</f>
        <v/>
      </c>
      <c r="R251" s="97" t="str">
        <f t="shared" si="18"/>
        <v/>
      </c>
    </row>
    <row r="252" spans="1:18">
      <c r="A252" s="28"/>
      <c r="B252" s="29"/>
      <c r="C252" s="30"/>
      <c r="D252" s="30"/>
      <c r="E252" s="30"/>
      <c r="F252" s="30"/>
      <c r="G252" s="30"/>
      <c r="H252" s="107" t="str">
        <f>IF(G252="","",IFERROR(VLOOKUP(G252&amp;"",'Presupuesto Base'!$A$7:$G$24,2,FALSE),"Ítem no encontrado"))</f>
        <v/>
      </c>
      <c r="I252" s="107" t="str">
        <f>IF(G252="","",IFERROR(VLOOKUP(G252&amp;"",'Presupuesto Base'!$A$7:$G$24,3,FALSE),""))</f>
        <v/>
      </c>
      <c r="J252" s="30"/>
      <c r="K252" s="32"/>
      <c r="L252" s="108">
        <f>IF(G252="",0,IFERROR(VLOOKUP(G252&amp;"",'Presupuesto Base'!$A$7:$G$24,5,FALSE),0))</f>
        <v>0</v>
      </c>
      <c r="M252" s="108">
        <f t="shared" si="17"/>
        <v>0</v>
      </c>
      <c r="N252" s="30"/>
      <c r="O252" s="30"/>
      <c r="P252" s="33"/>
      <c r="Q252" s="97" t="str">
        <f>IFERROR(VLOOKUP(A252,'Historial Certificados'!$A$6:$E$29,5,FALSE),"")</f>
        <v/>
      </c>
      <c r="R252" s="97" t="str">
        <f t="shared" si="18"/>
        <v/>
      </c>
    </row>
    <row r="253" spans="1:18">
      <c r="A253" s="28"/>
      <c r="B253" s="29"/>
      <c r="C253" s="30"/>
      <c r="D253" s="30"/>
      <c r="E253" s="30"/>
      <c r="F253" s="30"/>
      <c r="G253" s="30"/>
      <c r="H253" s="107" t="str">
        <f>IF(G253="","",IFERROR(VLOOKUP(G253&amp;"",'Presupuesto Base'!$A$7:$G$24,2,FALSE),"Ítem no encontrado"))</f>
        <v/>
      </c>
      <c r="I253" s="107" t="str">
        <f>IF(G253="","",IFERROR(VLOOKUP(G253&amp;"",'Presupuesto Base'!$A$7:$G$24,3,FALSE),""))</f>
        <v/>
      </c>
      <c r="J253" s="30"/>
      <c r="K253" s="32"/>
      <c r="L253" s="108">
        <f>IF(G253="",0,IFERROR(VLOOKUP(G253&amp;"",'Presupuesto Base'!$A$7:$G$24,5,FALSE),0))</f>
        <v>0</v>
      </c>
      <c r="M253" s="108">
        <f t="shared" si="17"/>
        <v>0</v>
      </c>
      <c r="N253" s="30"/>
      <c r="O253" s="30"/>
      <c r="P253" s="33"/>
      <c r="Q253" s="97" t="str">
        <f>IFERROR(VLOOKUP(A253,'Historial Certificados'!$A$6:$E$29,5,FALSE),"")</f>
        <v/>
      </c>
      <c r="R253" s="97" t="str">
        <f t="shared" si="18"/>
        <v/>
      </c>
    </row>
    <row r="254" spans="1:18">
      <c r="A254" s="28"/>
      <c r="B254" s="29"/>
      <c r="C254" s="30"/>
      <c r="D254" s="30"/>
      <c r="E254" s="30"/>
      <c r="F254" s="30"/>
      <c r="G254" s="30"/>
      <c r="H254" s="107" t="str">
        <f>IF(G254="","",IFERROR(VLOOKUP(G254&amp;"",'Presupuesto Base'!$A$7:$G$24,2,FALSE),"Ítem no encontrado"))</f>
        <v/>
      </c>
      <c r="I254" s="107" t="str">
        <f>IF(G254="","",IFERROR(VLOOKUP(G254&amp;"",'Presupuesto Base'!$A$7:$G$24,3,FALSE),""))</f>
        <v/>
      </c>
      <c r="J254" s="30"/>
      <c r="K254" s="32"/>
      <c r="L254" s="108">
        <f>IF(G254="",0,IFERROR(VLOOKUP(G254&amp;"",'Presupuesto Base'!$A$7:$G$24,5,FALSE),0))</f>
        <v>0</v>
      </c>
      <c r="M254" s="108">
        <f t="shared" si="17"/>
        <v>0</v>
      </c>
      <c r="N254" s="30"/>
      <c r="O254" s="30"/>
      <c r="P254" s="33"/>
      <c r="Q254" s="97" t="str">
        <f>IFERROR(VLOOKUP(A254,'Historial Certificados'!$A$6:$E$29,5,FALSE),"")</f>
        <v/>
      </c>
      <c r="R254" s="97" t="str">
        <f t="shared" si="18"/>
        <v/>
      </c>
    </row>
    <row r="255" spans="1:18">
      <c r="A255" s="28"/>
      <c r="B255" s="29"/>
      <c r="C255" s="30"/>
      <c r="D255" s="30"/>
      <c r="E255" s="30"/>
      <c r="F255" s="30"/>
      <c r="G255" s="30"/>
      <c r="H255" s="107" t="str">
        <f>IF(G255="","",IFERROR(VLOOKUP(G255&amp;"",'Presupuesto Base'!$A$7:$G$24,2,FALSE),"Ítem no encontrado"))</f>
        <v/>
      </c>
      <c r="I255" s="107" t="str">
        <f>IF(G255="","",IFERROR(VLOOKUP(G255&amp;"",'Presupuesto Base'!$A$7:$G$24,3,FALSE),""))</f>
        <v/>
      </c>
      <c r="J255" s="30"/>
      <c r="K255" s="32"/>
      <c r="L255" s="108">
        <f>IF(G255="",0,IFERROR(VLOOKUP(G255&amp;"",'Presupuesto Base'!$A$7:$G$24,5,FALSE),0))</f>
        <v>0</v>
      </c>
      <c r="M255" s="108">
        <f t="shared" si="17"/>
        <v>0</v>
      </c>
      <c r="N255" s="30"/>
      <c r="O255" s="30"/>
      <c r="P255" s="33"/>
      <c r="Q255" s="97" t="str">
        <f>IFERROR(VLOOKUP(A255,'Historial Certificados'!$A$6:$E$29,5,FALSE),"")</f>
        <v/>
      </c>
      <c r="R255" s="97" t="str">
        <f t="shared" si="18"/>
        <v/>
      </c>
    </row>
    <row r="256" spans="1:18">
      <c r="A256" s="28"/>
      <c r="B256" s="29"/>
      <c r="C256" s="30"/>
      <c r="D256" s="30"/>
      <c r="E256" s="30"/>
      <c r="F256" s="30"/>
      <c r="G256" s="30"/>
      <c r="H256" s="107" t="str">
        <f>IF(G256="","",IFERROR(VLOOKUP(G256&amp;"",'Presupuesto Base'!$A$7:$G$24,2,FALSE),"Ítem no encontrado"))</f>
        <v/>
      </c>
      <c r="I256" s="107" t="str">
        <f>IF(G256="","",IFERROR(VLOOKUP(G256&amp;"",'Presupuesto Base'!$A$7:$G$24,3,FALSE),""))</f>
        <v/>
      </c>
      <c r="J256" s="30"/>
      <c r="K256" s="32"/>
      <c r="L256" s="108">
        <f>IF(G256="",0,IFERROR(VLOOKUP(G256&amp;"",'Presupuesto Base'!$A$7:$G$24,5,FALSE),0))</f>
        <v>0</v>
      </c>
      <c r="M256" s="108">
        <f t="shared" si="17"/>
        <v>0</v>
      </c>
      <c r="N256" s="30"/>
      <c r="O256" s="30"/>
      <c r="P256" s="33"/>
      <c r="Q256" s="97" t="str">
        <f>IFERROR(VLOOKUP(A256,'Historial Certificados'!$A$6:$E$29,5,FALSE),"")</f>
        <v/>
      </c>
      <c r="R256" s="97" t="str">
        <f t="shared" si="18"/>
        <v/>
      </c>
    </row>
    <row r="257" spans="1:18">
      <c r="A257" s="28"/>
      <c r="B257" s="29"/>
      <c r="C257" s="30"/>
      <c r="D257" s="30"/>
      <c r="E257" s="30"/>
      <c r="F257" s="30"/>
      <c r="G257" s="30"/>
      <c r="H257" s="107" t="str">
        <f>IF(G257="","",IFERROR(VLOOKUP(G257&amp;"",'Presupuesto Base'!$A$7:$G$24,2,FALSE),"Ítem no encontrado"))</f>
        <v/>
      </c>
      <c r="I257" s="107" t="str">
        <f>IF(G257="","",IFERROR(VLOOKUP(G257&amp;"",'Presupuesto Base'!$A$7:$G$24,3,FALSE),""))</f>
        <v/>
      </c>
      <c r="J257" s="30"/>
      <c r="K257" s="32"/>
      <c r="L257" s="108">
        <f>IF(G257="",0,IFERROR(VLOOKUP(G257&amp;"",'Presupuesto Base'!$A$7:$G$24,5,FALSE),0))</f>
        <v>0</v>
      </c>
      <c r="M257" s="108">
        <f t="shared" si="17"/>
        <v>0</v>
      </c>
      <c r="N257" s="30"/>
      <c r="O257" s="30"/>
      <c r="P257" s="33"/>
      <c r="Q257" s="97" t="str">
        <f>IFERROR(VLOOKUP(A257,'Historial Certificados'!$A$6:$E$29,5,FALSE),"")</f>
        <v/>
      </c>
      <c r="R257" s="97" t="str">
        <f t="shared" si="18"/>
        <v/>
      </c>
    </row>
    <row r="258" spans="1:18">
      <c r="A258" s="28"/>
      <c r="B258" s="29"/>
      <c r="C258" s="30"/>
      <c r="D258" s="30"/>
      <c r="E258" s="30"/>
      <c r="F258" s="30"/>
      <c r="G258" s="30"/>
      <c r="H258" s="107" t="str">
        <f>IF(G258="","",IFERROR(VLOOKUP(G258&amp;"",'Presupuesto Base'!$A$7:$G$24,2,FALSE),"Ítem no encontrado"))</f>
        <v/>
      </c>
      <c r="I258" s="107" t="str">
        <f>IF(G258="","",IFERROR(VLOOKUP(G258&amp;"",'Presupuesto Base'!$A$7:$G$24,3,FALSE),""))</f>
        <v/>
      </c>
      <c r="J258" s="30"/>
      <c r="K258" s="32"/>
      <c r="L258" s="108">
        <f>IF(G258="",0,IFERROR(VLOOKUP(G258&amp;"",'Presupuesto Base'!$A$7:$G$24,5,FALSE),0))</f>
        <v>0</v>
      </c>
      <c r="M258" s="108">
        <f t="shared" si="17"/>
        <v>0</v>
      </c>
      <c r="N258" s="30"/>
      <c r="O258" s="30"/>
      <c r="P258" s="33"/>
      <c r="Q258" s="97" t="str">
        <f>IFERROR(VLOOKUP(A258,'Historial Certificados'!$A$6:$E$29,5,FALSE),"")</f>
        <v/>
      </c>
      <c r="R258" s="97" t="str">
        <f t="shared" si="18"/>
        <v/>
      </c>
    </row>
    <row r="259" spans="1:18">
      <c r="A259" s="28"/>
      <c r="B259" s="29"/>
      <c r="C259" s="30"/>
      <c r="D259" s="30"/>
      <c r="E259" s="30"/>
      <c r="F259" s="30"/>
      <c r="G259" s="30"/>
      <c r="H259" s="107" t="str">
        <f>IF(G259="","",IFERROR(VLOOKUP(G259&amp;"",'Presupuesto Base'!$A$7:$G$24,2,FALSE),"Ítem no encontrado"))</f>
        <v/>
      </c>
      <c r="I259" s="107" t="str">
        <f>IF(G259="","",IFERROR(VLOOKUP(G259&amp;"",'Presupuesto Base'!$A$7:$G$24,3,FALSE),""))</f>
        <v/>
      </c>
      <c r="J259" s="30"/>
      <c r="K259" s="32"/>
      <c r="L259" s="108">
        <f>IF(G259="",0,IFERROR(VLOOKUP(G259&amp;"",'Presupuesto Base'!$A$7:$G$24,5,FALSE),0))</f>
        <v>0</v>
      </c>
      <c r="M259" s="108">
        <f t="shared" si="17"/>
        <v>0</v>
      </c>
      <c r="N259" s="30"/>
      <c r="O259" s="30"/>
      <c r="P259" s="33"/>
      <c r="Q259" s="97" t="str">
        <f>IFERROR(VLOOKUP(A259,'Historial Certificados'!$A$6:$E$29,5,FALSE),"")</f>
        <v/>
      </c>
      <c r="R259" s="97" t="str">
        <f t="shared" si="18"/>
        <v/>
      </c>
    </row>
    <row r="260" spans="1:18">
      <c r="A260" s="28"/>
      <c r="B260" s="29"/>
      <c r="C260" s="30"/>
      <c r="D260" s="30"/>
      <c r="E260" s="30"/>
      <c r="F260" s="30"/>
      <c r="G260" s="30"/>
      <c r="H260" s="107" t="str">
        <f>IF(G260="","",IFERROR(VLOOKUP(G260&amp;"",'Presupuesto Base'!$A$7:$G$24,2,FALSE),"Ítem no encontrado"))</f>
        <v/>
      </c>
      <c r="I260" s="107" t="str">
        <f>IF(G260="","",IFERROR(VLOOKUP(G260&amp;"",'Presupuesto Base'!$A$7:$G$24,3,FALSE),""))</f>
        <v/>
      </c>
      <c r="J260" s="30"/>
      <c r="K260" s="32"/>
      <c r="L260" s="108">
        <f>IF(G260="",0,IFERROR(VLOOKUP(G260&amp;"",'Presupuesto Base'!$A$7:$G$24,5,FALSE),0))</f>
        <v>0</v>
      </c>
      <c r="M260" s="108">
        <f t="shared" si="17"/>
        <v>0</v>
      </c>
      <c r="N260" s="30"/>
      <c r="O260" s="30"/>
      <c r="P260" s="33"/>
      <c r="Q260" s="97" t="str">
        <f>IFERROR(VLOOKUP(A260,'Historial Certificados'!$A$6:$E$29,5,FALSE),"")</f>
        <v/>
      </c>
      <c r="R260" s="97" t="str">
        <f t="shared" si="18"/>
        <v/>
      </c>
    </row>
    <row r="261" spans="1:18">
      <c r="A261" s="28"/>
      <c r="B261" s="29"/>
      <c r="C261" s="30"/>
      <c r="D261" s="30"/>
      <c r="E261" s="30"/>
      <c r="F261" s="30"/>
      <c r="G261" s="30"/>
      <c r="H261" s="107" t="str">
        <f>IF(G261="","",IFERROR(VLOOKUP(G261&amp;"",'Presupuesto Base'!$A$7:$G$24,2,FALSE),"Ítem no encontrado"))</f>
        <v/>
      </c>
      <c r="I261" s="107" t="str">
        <f>IF(G261="","",IFERROR(VLOOKUP(G261&amp;"",'Presupuesto Base'!$A$7:$G$24,3,FALSE),""))</f>
        <v/>
      </c>
      <c r="J261" s="30"/>
      <c r="K261" s="32"/>
      <c r="L261" s="108">
        <f>IF(G261="",0,IFERROR(VLOOKUP(G261&amp;"",'Presupuesto Base'!$A$7:$G$24,5,FALSE),0))</f>
        <v>0</v>
      </c>
      <c r="M261" s="108">
        <f t="shared" si="17"/>
        <v>0</v>
      </c>
      <c r="N261" s="30"/>
      <c r="O261" s="30"/>
      <c r="P261" s="33"/>
      <c r="Q261" s="97" t="str">
        <f>IFERROR(VLOOKUP(A261,'Historial Certificados'!$A$6:$E$29,5,FALSE),"")</f>
        <v/>
      </c>
      <c r="R261" s="97" t="str">
        <f t="shared" si="18"/>
        <v/>
      </c>
    </row>
    <row r="262" spans="1:18">
      <c r="A262" s="28"/>
      <c r="B262" s="29"/>
      <c r="C262" s="30"/>
      <c r="D262" s="30"/>
      <c r="E262" s="30"/>
      <c r="F262" s="30"/>
      <c r="G262" s="30"/>
      <c r="H262" s="107" t="str">
        <f>IF(G262="","",IFERROR(VLOOKUP(G262&amp;"",'Presupuesto Base'!$A$7:$G$24,2,FALSE),"Ítem no encontrado"))</f>
        <v/>
      </c>
      <c r="I262" s="107" t="str">
        <f>IF(G262="","",IFERROR(VLOOKUP(G262&amp;"",'Presupuesto Base'!$A$7:$G$24,3,FALSE),""))</f>
        <v/>
      </c>
      <c r="J262" s="30"/>
      <c r="K262" s="32"/>
      <c r="L262" s="108">
        <f>IF(G262="",0,IFERROR(VLOOKUP(G262&amp;"",'Presupuesto Base'!$A$7:$G$24,5,FALSE),0))</f>
        <v>0</v>
      </c>
      <c r="M262" s="108">
        <f t="shared" si="17"/>
        <v>0</v>
      </c>
      <c r="N262" s="30"/>
      <c r="O262" s="30"/>
      <c r="P262" s="33"/>
      <c r="Q262" s="97" t="str">
        <f>IFERROR(VLOOKUP(A262,'Historial Certificados'!$A$6:$E$29,5,FALSE),"")</f>
        <v/>
      </c>
      <c r="R262" s="97" t="str">
        <f t="shared" si="18"/>
        <v/>
      </c>
    </row>
    <row r="263" spans="1:18">
      <c r="A263" s="28"/>
      <c r="B263" s="29"/>
      <c r="C263" s="30"/>
      <c r="D263" s="30"/>
      <c r="E263" s="30"/>
      <c r="F263" s="30"/>
      <c r="G263" s="30"/>
      <c r="H263" s="107" t="str">
        <f>IF(G263="","",IFERROR(VLOOKUP(G263&amp;"",'Presupuesto Base'!$A$7:$G$24,2,FALSE),"Ítem no encontrado"))</f>
        <v/>
      </c>
      <c r="I263" s="107" t="str">
        <f>IF(G263="","",IFERROR(VLOOKUP(G263&amp;"",'Presupuesto Base'!$A$7:$G$24,3,FALSE),""))</f>
        <v/>
      </c>
      <c r="J263" s="30"/>
      <c r="K263" s="32"/>
      <c r="L263" s="108">
        <f>IF(G263="",0,IFERROR(VLOOKUP(G263&amp;"",'Presupuesto Base'!$A$7:$G$24,5,FALSE),0))</f>
        <v>0</v>
      </c>
      <c r="M263" s="108">
        <f t="shared" si="17"/>
        <v>0</v>
      </c>
      <c r="N263" s="30"/>
      <c r="O263" s="30"/>
      <c r="P263" s="33"/>
      <c r="Q263" s="97" t="str">
        <f>IFERROR(VLOOKUP(A263,'Historial Certificados'!$A$6:$E$29,5,FALSE),"")</f>
        <v/>
      </c>
      <c r="R263" s="97" t="str">
        <f t="shared" si="18"/>
        <v/>
      </c>
    </row>
    <row r="264" spans="1:18">
      <c r="A264" s="28"/>
      <c r="B264" s="29"/>
      <c r="C264" s="30"/>
      <c r="D264" s="30"/>
      <c r="E264" s="30"/>
      <c r="F264" s="30"/>
      <c r="G264" s="30"/>
      <c r="H264" s="107" t="str">
        <f>IF(G264="","",IFERROR(VLOOKUP(G264&amp;"",'Presupuesto Base'!$A$7:$G$24,2,FALSE),"Ítem no encontrado"))</f>
        <v/>
      </c>
      <c r="I264" s="107" t="str">
        <f>IF(G264="","",IFERROR(VLOOKUP(G264&amp;"",'Presupuesto Base'!$A$7:$G$24,3,FALSE),""))</f>
        <v/>
      </c>
      <c r="J264" s="30"/>
      <c r="K264" s="32"/>
      <c r="L264" s="108">
        <f>IF(G264="",0,IFERROR(VLOOKUP(G264&amp;"",'Presupuesto Base'!$A$7:$G$24,5,FALSE),0))</f>
        <v>0</v>
      </c>
      <c r="M264" s="108">
        <f t="shared" si="17"/>
        <v>0</v>
      </c>
      <c r="N264" s="30"/>
      <c r="O264" s="30"/>
      <c r="P264" s="33"/>
      <c r="Q264" s="97" t="str">
        <f>IFERROR(VLOOKUP(A264,'Historial Certificados'!$A$6:$E$29,5,FALSE),"")</f>
        <v/>
      </c>
      <c r="R264" s="97" t="str">
        <f t="shared" si="18"/>
        <v/>
      </c>
    </row>
    <row r="265" spans="1:18">
      <c r="A265" s="28"/>
      <c r="B265" s="29"/>
      <c r="C265" s="30"/>
      <c r="D265" s="30"/>
      <c r="E265" s="30"/>
      <c r="F265" s="30"/>
      <c r="G265" s="30"/>
      <c r="H265" s="107" t="str">
        <f>IF(G265="","",IFERROR(VLOOKUP(G265&amp;"",'Presupuesto Base'!$A$7:$G$24,2,FALSE),"Ítem no encontrado"))</f>
        <v/>
      </c>
      <c r="I265" s="107" t="str">
        <f>IF(G265="","",IFERROR(VLOOKUP(G265&amp;"",'Presupuesto Base'!$A$7:$G$24,3,FALSE),""))</f>
        <v/>
      </c>
      <c r="J265" s="30"/>
      <c r="K265" s="32"/>
      <c r="L265" s="108">
        <f>IF(G265="",0,IFERROR(VLOOKUP(G265&amp;"",'Presupuesto Base'!$A$7:$G$24,5,FALSE),0))</f>
        <v>0</v>
      </c>
      <c r="M265" s="108">
        <f t="shared" si="17"/>
        <v>0</v>
      </c>
      <c r="N265" s="30"/>
      <c r="O265" s="30"/>
      <c r="P265" s="33"/>
      <c r="Q265" s="97" t="str">
        <f>IFERROR(VLOOKUP(A265,'Historial Certificados'!$A$6:$E$29,5,FALSE),"")</f>
        <v/>
      </c>
      <c r="R265" s="97" t="str">
        <f t="shared" si="18"/>
        <v/>
      </c>
    </row>
    <row r="266" spans="1:18">
      <c r="A266" s="28"/>
      <c r="B266" s="29"/>
      <c r="C266" s="30"/>
      <c r="D266" s="30"/>
      <c r="E266" s="30"/>
      <c r="F266" s="30"/>
      <c r="G266" s="30"/>
      <c r="H266" s="107" t="str">
        <f>IF(G266="","",IFERROR(VLOOKUP(G266&amp;"",'Presupuesto Base'!$A$7:$G$24,2,FALSE),"Ítem no encontrado"))</f>
        <v/>
      </c>
      <c r="I266" s="107" t="str">
        <f>IF(G266="","",IFERROR(VLOOKUP(G266&amp;"",'Presupuesto Base'!$A$7:$G$24,3,FALSE),""))</f>
        <v/>
      </c>
      <c r="J266" s="30"/>
      <c r="K266" s="32"/>
      <c r="L266" s="108">
        <f>IF(G266="",0,IFERROR(VLOOKUP(G266&amp;"",'Presupuesto Base'!$A$7:$G$24,5,FALSE),0))</f>
        <v>0</v>
      </c>
      <c r="M266" s="108">
        <f t="shared" si="17"/>
        <v>0</v>
      </c>
      <c r="N266" s="30"/>
      <c r="O266" s="30"/>
      <c r="P266" s="33"/>
      <c r="Q266" s="97" t="str">
        <f>IFERROR(VLOOKUP(A266,'Historial Certificados'!$A$6:$E$29,5,FALSE),"")</f>
        <v/>
      </c>
      <c r="R266" s="97" t="str">
        <f t="shared" si="18"/>
        <v/>
      </c>
    </row>
    <row r="267" spans="1:18">
      <c r="A267" s="28"/>
      <c r="B267" s="29"/>
      <c r="C267" s="30"/>
      <c r="D267" s="30"/>
      <c r="E267" s="30"/>
      <c r="F267" s="30"/>
      <c r="G267" s="30"/>
      <c r="H267" s="107" t="str">
        <f>IF(G267="","",IFERROR(VLOOKUP(G267&amp;"",'Presupuesto Base'!$A$7:$G$24,2,FALSE),"Ítem no encontrado"))</f>
        <v/>
      </c>
      <c r="I267" s="107" t="str">
        <f>IF(G267="","",IFERROR(VLOOKUP(G267&amp;"",'Presupuesto Base'!$A$7:$G$24,3,FALSE),""))</f>
        <v/>
      </c>
      <c r="J267" s="30"/>
      <c r="K267" s="32"/>
      <c r="L267" s="108">
        <f>IF(G267="",0,IFERROR(VLOOKUP(G267&amp;"",'Presupuesto Base'!$A$7:$G$24,5,FALSE),0))</f>
        <v>0</v>
      </c>
      <c r="M267" s="108">
        <f t="shared" si="17"/>
        <v>0</v>
      </c>
      <c r="N267" s="30"/>
      <c r="O267" s="30"/>
      <c r="P267" s="33"/>
      <c r="Q267" s="97" t="str">
        <f>IFERROR(VLOOKUP(A267,'Historial Certificados'!$A$6:$E$29,5,FALSE),"")</f>
        <v/>
      </c>
      <c r="R267" s="97" t="str">
        <f t="shared" si="18"/>
        <v/>
      </c>
    </row>
    <row r="268" spans="1:18">
      <c r="A268" s="28"/>
      <c r="B268" s="29"/>
      <c r="C268" s="30"/>
      <c r="D268" s="30"/>
      <c r="E268" s="30"/>
      <c r="F268" s="30"/>
      <c r="G268" s="30"/>
      <c r="H268" s="107" t="str">
        <f>IF(G268="","",IFERROR(VLOOKUP(G268&amp;"",'Presupuesto Base'!$A$7:$G$24,2,FALSE),"Ítem no encontrado"))</f>
        <v/>
      </c>
      <c r="I268" s="107" t="str">
        <f>IF(G268="","",IFERROR(VLOOKUP(G268&amp;"",'Presupuesto Base'!$A$7:$G$24,3,FALSE),""))</f>
        <v/>
      </c>
      <c r="J268" s="30"/>
      <c r="K268" s="32"/>
      <c r="L268" s="108">
        <f>IF(G268="",0,IFERROR(VLOOKUP(G268&amp;"",'Presupuesto Base'!$A$7:$G$24,5,FALSE),0))</f>
        <v>0</v>
      </c>
      <c r="M268" s="108">
        <f t="shared" ref="M268:M331" si="19">IFERROR(K268*L268,0)</f>
        <v>0</v>
      </c>
      <c r="N268" s="30"/>
      <c r="O268" s="30"/>
      <c r="P268" s="33"/>
      <c r="Q268" s="97" t="str">
        <f>IFERROR(VLOOKUP(A268,'Historial Certificados'!$A$6:$E$29,5,FALSE),"")</f>
        <v/>
      </c>
      <c r="R268" s="97" t="str">
        <f t="shared" ref="R268:R331" si="20">IF(A268="","",IF(Q268="CERRADO","CERTIFICADO CERRADO - NO MODIFICAR","ABIERTO"))</f>
        <v/>
      </c>
    </row>
    <row r="269" spans="1:18">
      <c r="A269" s="28"/>
      <c r="B269" s="29"/>
      <c r="C269" s="30"/>
      <c r="D269" s="30"/>
      <c r="E269" s="30"/>
      <c r="F269" s="30"/>
      <c r="G269" s="30"/>
      <c r="H269" s="107" t="str">
        <f>IF(G269="","",IFERROR(VLOOKUP(G269&amp;"",'Presupuesto Base'!$A$7:$G$24,2,FALSE),"Ítem no encontrado"))</f>
        <v/>
      </c>
      <c r="I269" s="107" t="str">
        <f>IF(G269="","",IFERROR(VLOOKUP(G269&amp;"",'Presupuesto Base'!$A$7:$G$24,3,FALSE),""))</f>
        <v/>
      </c>
      <c r="J269" s="30"/>
      <c r="K269" s="32"/>
      <c r="L269" s="108">
        <f>IF(G269="",0,IFERROR(VLOOKUP(G269&amp;"",'Presupuesto Base'!$A$7:$G$24,5,FALSE),0))</f>
        <v>0</v>
      </c>
      <c r="M269" s="108">
        <f t="shared" si="19"/>
        <v>0</v>
      </c>
      <c r="N269" s="30"/>
      <c r="O269" s="30"/>
      <c r="P269" s="33"/>
      <c r="Q269" s="97" t="str">
        <f>IFERROR(VLOOKUP(A269,'Historial Certificados'!$A$6:$E$29,5,FALSE),"")</f>
        <v/>
      </c>
      <c r="R269" s="97" t="str">
        <f t="shared" si="20"/>
        <v/>
      </c>
    </row>
    <row r="270" spans="1:18">
      <c r="A270" s="28"/>
      <c r="B270" s="29"/>
      <c r="C270" s="30"/>
      <c r="D270" s="30"/>
      <c r="E270" s="30"/>
      <c r="F270" s="30"/>
      <c r="G270" s="30"/>
      <c r="H270" s="107" t="str">
        <f>IF(G270="","",IFERROR(VLOOKUP(G270&amp;"",'Presupuesto Base'!$A$7:$G$24,2,FALSE),"Ítem no encontrado"))</f>
        <v/>
      </c>
      <c r="I270" s="107" t="str">
        <f>IF(G270="","",IFERROR(VLOOKUP(G270&amp;"",'Presupuesto Base'!$A$7:$G$24,3,FALSE),""))</f>
        <v/>
      </c>
      <c r="J270" s="30"/>
      <c r="K270" s="32"/>
      <c r="L270" s="108">
        <f>IF(G270="",0,IFERROR(VLOOKUP(G270&amp;"",'Presupuesto Base'!$A$7:$G$24,5,FALSE),0))</f>
        <v>0</v>
      </c>
      <c r="M270" s="108">
        <f t="shared" si="19"/>
        <v>0</v>
      </c>
      <c r="N270" s="30"/>
      <c r="O270" s="30"/>
      <c r="P270" s="33"/>
      <c r="Q270" s="97" t="str">
        <f>IFERROR(VLOOKUP(A270,'Historial Certificados'!$A$6:$E$29,5,FALSE),"")</f>
        <v/>
      </c>
      <c r="R270" s="97" t="str">
        <f t="shared" si="20"/>
        <v/>
      </c>
    </row>
    <row r="271" spans="1:18">
      <c r="A271" s="28"/>
      <c r="B271" s="29"/>
      <c r="C271" s="30"/>
      <c r="D271" s="30"/>
      <c r="E271" s="30"/>
      <c r="F271" s="30"/>
      <c r="G271" s="30"/>
      <c r="H271" s="107" t="str">
        <f>IF(G271="","",IFERROR(VLOOKUP(G271&amp;"",'Presupuesto Base'!$A$7:$G$24,2,FALSE),"Ítem no encontrado"))</f>
        <v/>
      </c>
      <c r="I271" s="107" t="str">
        <f>IF(G271="","",IFERROR(VLOOKUP(G271&amp;"",'Presupuesto Base'!$A$7:$G$24,3,FALSE),""))</f>
        <v/>
      </c>
      <c r="J271" s="30"/>
      <c r="K271" s="32"/>
      <c r="L271" s="108">
        <f>IF(G271="",0,IFERROR(VLOOKUP(G271&amp;"",'Presupuesto Base'!$A$7:$G$24,5,FALSE),0))</f>
        <v>0</v>
      </c>
      <c r="M271" s="108">
        <f t="shared" si="19"/>
        <v>0</v>
      </c>
      <c r="N271" s="30"/>
      <c r="O271" s="30"/>
      <c r="P271" s="33"/>
      <c r="Q271" s="97" t="str">
        <f>IFERROR(VLOOKUP(A271,'Historial Certificados'!$A$6:$E$29,5,FALSE),"")</f>
        <v/>
      </c>
      <c r="R271" s="97" t="str">
        <f t="shared" si="20"/>
        <v/>
      </c>
    </row>
    <row r="272" spans="1:18">
      <c r="A272" s="28"/>
      <c r="B272" s="29"/>
      <c r="C272" s="30"/>
      <c r="D272" s="30"/>
      <c r="E272" s="30"/>
      <c r="F272" s="30"/>
      <c r="G272" s="30"/>
      <c r="H272" s="107" t="str">
        <f>IF(G272="","",IFERROR(VLOOKUP(G272&amp;"",'Presupuesto Base'!$A$7:$G$24,2,FALSE),"Ítem no encontrado"))</f>
        <v/>
      </c>
      <c r="I272" s="107" t="str">
        <f>IF(G272="","",IFERROR(VLOOKUP(G272&amp;"",'Presupuesto Base'!$A$7:$G$24,3,FALSE),""))</f>
        <v/>
      </c>
      <c r="J272" s="30"/>
      <c r="K272" s="32"/>
      <c r="L272" s="108">
        <f>IF(G272="",0,IFERROR(VLOOKUP(G272&amp;"",'Presupuesto Base'!$A$7:$G$24,5,FALSE),0))</f>
        <v>0</v>
      </c>
      <c r="M272" s="108">
        <f t="shared" si="19"/>
        <v>0</v>
      </c>
      <c r="N272" s="30"/>
      <c r="O272" s="30"/>
      <c r="P272" s="33"/>
      <c r="Q272" s="97" t="str">
        <f>IFERROR(VLOOKUP(A272,'Historial Certificados'!$A$6:$E$29,5,FALSE),"")</f>
        <v/>
      </c>
      <c r="R272" s="97" t="str">
        <f t="shared" si="20"/>
        <v/>
      </c>
    </row>
    <row r="273" spans="1:18">
      <c r="A273" s="28"/>
      <c r="B273" s="29"/>
      <c r="C273" s="30"/>
      <c r="D273" s="30"/>
      <c r="E273" s="30"/>
      <c r="F273" s="30"/>
      <c r="G273" s="30"/>
      <c r="H273" s="107" t="str">
        <f>IF(G273="","",IFERROR(VLOOKUP(G273&amp;"",'Presupuesto Base'!$A$7:$G$24,2,FALSE),"Ítem no encontrado"))</f>
        <v/>
      </c>
      <c r="I273" s="107" t="str">
        <f>IF(G273="","",IFERROR(VLOOKUP(G273&amp;"",'Presupuesto Base'!$A$7:$G$24,3,FALSE),""))</f>
        <v/>
      </c>
      <c r="J273" s="30"/>
      <c r="K273" s="32"/>
      <c r="L273" s="108">
        <f>IF(G273="",0,IFERROR(VLOOKUP(G273&amp;"",'Presupuesto Base'!$A$7:$G$24,5,FALSE),0))</f>
        <v>0</v>
      </c>
      <c r="M273" s="108">
        <f t="shared" si="19"/>
        <v>0</v>
      </c>
      <c r="N273" s="30"/>
      <c r="O273" s="30"/>
      <c r="P273" s="33"/>
      <c r="Q273" s="97" t="str">
        <f>IFERROR(VLOOKUP(A273,'Historial Certificados'!$A$6:$E$29,5,FALSE),"")</f>
        <v/>
      </c>
      <c r="R273" s="97" t="str">
        <f t="shared" si="20"/>
        <v/>
      </c>
    </row>
    <row r="274" spans="1:18">
      <c r="A274" s="28"/>
      <c r="B274" s="29"/>
      <c r="C274" s="30"/>
      <c r="D274" s="30"/>
      <c r="E274" s="30"/>
      <c r="F274" s="30"/>
      <c r="G274" s="30"/>
      <c r="H274" s="107" t="str">
        <f>IF(G274="","",IFERROR(VLOOKUP(G274&amp;"",'Presupuesto Base'!$A$7:$G$24,2,FALSE),"Ítem no encontrado"))</f>
        <v/>
      </c>
      <c r="I274" s="107" t="str">
        <f>IF(G274="","",IFERROR(VLOOKUP(G274&amp;"",'Presupuesto Base'!$A$7:$G$24,3,FALSE),""))</f>
        <v/>
      </c>
      <c r="J274" s="30"/>
      <c r="K274" s="32"/>
      <c r="L274" s="108">
        <f>IF(G274="",0,IFERROR(VLOOKUP(G274&amp;"",'Presupuesto Base'!$A$7:$G$24,5,FALSE),0))</f>
        <v>0</v>
      </c>
      <c r="M274" s="108">
        <f t="shared" si="19"/>
        <v>0</v>
      </c>
      <c r="N274" s="30"/>
      <c r="O274" s="30"/>
      <c r="P274" s="33"/>
      <c r="Q274" s="97" t="str">
        <f>IFERROR(VLOOKUP(A274,'Historial Certificados'!$A$6:$E$29,5,FALSE),"")</f>
        <v/>
      </c>
      <c r="R274" s="97" t="str">
        <f t="shared" si="20"/>
        <v/>
      </c>
    </row>
    <row r="275" spans="1:18">
      <c r="A275" s="28"/>
      <c r="B275" s="29"/>
      <c r="C275" s="30"/>
      <c r="D275" s="30"/>
      <c r="E275" s="30"/>
      <c r="F275" s="30"/>
      <c r="G275" s="30"/>
      <c r="H275" s="107" t="str">
        <f>IF(G275="","",IFERROR(VLOOKUP(G275&amp;"",'Presupuesto Base'!$A$7:$G$24,2,FALSE),"Ítem no encontrado"))</f>
        <v/>
      </c>
      <c r="I275" s="107" t="str">
        <f>IF(G275="","",IFERROR(VLOOKUP(G275&amp;"",'Presupuesto Base'!$A$7:$G$24,3,FALSE),""))</f>
        <v/>
      </c>
      <c r="J275" s="30"/>
      <c r="K275" s="32"/>
      <c r="L275" s="108">
        <f>IF(G275="",0,IFERROR(VLOOKUP(G275&amp;"",'Presupuesto Base'!$A$7:$G$24,5,FALSE),0))</f>
        <v>0</v>
      </c>
      <c r="M275" s="108">
        <f t="shared" si="19"/>
        <v>0</v>
      </c>
      <c r="N275" s="30"/>
      <c r="O275" s="30"/>
      <c r="P275" s="33"/>
      <c r="Q275" s="97" t="str">
        <f>IFERROR(VLOOKUP(A275,'Historial Certificados'!$A$6:$E$29,5,FALSE),"")</f>
        <v/>
      </c>
      <c r="R275" s="97" t="str">
        <f t="shared" si="20"/>
        <v/>
      </c>
    </row>
    <row r="276" spans="1:18">
      <c r="A276" s="28"/>
      <c r="B276" s="29"/>
      <c r="C276" s="30"/>
      <c r="D276" s="30"/>
      <c r="E276" s="30"/>
      <c r="F276" s="30"/>
      <c r="G276" s="30"/>
      <c r="H276" s="107" t="str">
        <f>IF(G276="","",IFERROR(VLOOKUP(G276&amp;"",'Presupuesto Base'!$A$7:$G$24,2,FALSE),"Ítem no encontrado"))</f>
        <v/>
      </c>
      <c r="I276" s="107" t="str">
        <f>IF(G276="","",IFERROR(VLOOKUP(G276&amp;"",'Presupuesto Base'!$A$7:$G$24,3,FALSE),""))</f>
        <v/>
      </c>
      <c r="J276" s="30"/>
      <c r="K276" s="32"/>
      <c r="L276" s="108">
        <f>IF(G276="",0,IFERROR(VLOOKUP(G276&amp;"",'Presupuesto Base'!$A$7:$G$24,5,FALSE),0))</f>
        <v>0</v>
      </c>
      <c r="M276" s="108">
        <f t="shared" si="19"/>
        <v>0</v>
      </c>
      <c r="N276" s="30"/>
      <c r="O276" s="30"/>
      <c r="P276" s="33"/>
      <c r="Q276" s="97" t="str">
        <f>IFERROR(VLOOKUP(A276,'Historial Certificados'!$A$6:$E$29,5,FALSE),"")</f>
        <v/>
      </c>
      <c r="R276" s="97" t="str">
        <f t="shared" si="20"/>
        <v/>
      </c>
    </row>
    <row r="277" spans="1:18">
      <c r="A277" s="28"/>
      <c r="B277" s="29"/>
      <c r="C277" s="30"/>
      <c r="D277" s="30"/>
      <c r="E277" s="30"/>
      <c r="F277" s="30"/>
      <c r="G277" s="30"/>
      <c r="H277" s="107" t="str">
        <f>IF(G277="","",IFERROR(VLOOKUP(G277&amp;"",'Presupuesto Base'!$A$7:$G$24,2,FALSE),"Ítem no encontrado"))</f>
        <v/>
      </c>
      <c r="I277" s="107" t="str">
        <f>IF(G277="","",IFERROR(VLOOKUP(G277&amp;"",'Presupuesto Base'!$A$7:$G$24,3,FALSE),""))</f>
        <v/>
      </c>
      <c r="J277" s="30"/>
      <c r="K277" s="32"/>
      <c r="L277" s="108">
        <f>IF(G277="",0,IFERROR(VLOOKUP(G277&amp;"",'Presupuesto Base'!$A$7:$G$24,5,FALSE),0))</f>
        <v>0</v>
      </c>
      <c r="M277" s="108">
        <f t="shared" si="19"/>
        <v>0</v>
      </c>
      <c r="N277" s="30"/>
      <c r="O277" s="30"/>
      <c r="P277" s="33"/>
      <c r="Q277" s="97" t="str">
        <f>IFERROR(VLOOKUP(A277,'Historial Certificados'!$A$6:$E$29,5,FALSE),"")</f>
        <v/>
      </c>
      <c r="R277" s="97" t="str">
        <f t="shared" si="20"/>
        <v/>
      </c>
    </row>
    <row r="278" spans="1:18">
      <c r="A278" s="28"/>
      <c r="B278" s="29"/>
      <c r="C278" s="30"/>
      <c r="D278" s="30"/>
      <c r="E278" s="30"/>
      <c r="F278" s="30"/>
      <c r="G278" s="30"/>
      <c r="H278" s="107" t="str">
        <f>IF(G278="","",IFERROR(VLOOKUP(G278&amp;"",'Presupuesto Base'!$A$7:$G$24,2,FALSE),"Ítem no encontrado"))</f>
        <v/>
      </c>
      <c r="I278" s="107" t="str">
        <f>IF(G278="","",IFERROR(VLOOKUP(G278&amp;"",'Presupuesto Base'!$A$7:$G$24,3,FALSE),""))</f>
        <v/>
      </c>
      <c r="J278" s="30"/>
      <c r="K278" s="32"/>
      <c r="L278" s="108">
        <f>IF(G278="",0,IFERROR(VLOOKUP(G278&amp;"",'Presupuesto Base'!$A$7:$G$24,5,FALSE),0))</f>
        <v>0</v>
      </c>
      <c r="M278" s="108">
        <f t="shared" si="19"/>
        <v>0</v>
      </c>
      <c r="N278" s="30"/>
      <c r="O278" s="30"/>
      <c r="P278" s="33"/>
      <c r="Q278" s="97" t="str">
        <f>IFERROR(VLOOKUP(A278,'Historial Certificados'!$A$6:$E$29,5,FALSE),"")</f>
        <v/>
      </c>
      <c r="R278" s="97" t="str">
        <f t="shared" si="20"/>
        <v/>
      </c>
    </row>
    <row r="279" spans="1:18">
      <c r="A279" s="28"/>
      <c r="B279" s="29"/>
      <c r="C279" s="30"/>
      <c r="D279" s="30"/>
      <c r="E279" s="30"/>
      <c r="F279" s="30"/>
      <c r="G279" s="30"/>
      <c r="H279" s="107" t="str">
        <f>IF(G279="","",IFERROR(VLOOKUP(G279&amp;"",'Presupuesto Base'!$A$7:$G$24,2,FALSE),"Ítem no encontrado"))</f>
        <v/>
      </c>
      <c r="I279" s="107" t="str">
        <f>IF(G279="","",IFERROR(VLOOKUP(G279&amp;"",'Presupuesto Base'!$A$7:$G$24,3,FALSE),""))</f>
        <v/>
      </c>
      <c r="J279" s="30"/>
      <c r="K279" s="32"/>
      <c r="L279" s="108">
        <f>IF(G279="",0,IFERROR(VLOOKUP(G279&amp;"",'Presupuesto Base'!$A$7:$G$24,5,FALSE),0))</f>
        <v>0</v>
      </c>
      <c r="M279" s="108">
        <f t="shared" si="19"/>
        <v>0</v>
      </c>
      <c r="N279" s="30"/>
      <c r="O279" s="30"/>
      <c r="P279" s="33"/>
      <c r="Q279" s="97" t="str">
        <f>IFERROR(VLOOKUP(A279,'Historial Certificados'!$A$6:$E$29,5,FALSE),"")</f>
        <v/>
      </c>
      <c r="R279" s="97" t="str">
        <f t="shared" si="20"/>
        <v/>
      </c>
    </row>
    <row r="280" spans="1:18">
      <c r="A280" s="28"/>
      <c r="B280" s="29"/>
      <c r="C280" s="30"/>
      <c r="D280" s="30"/>
      <c r="E280" s="30"/>
      <c r="F280" s="30"/>
      <c r="G280" s="30"/>
      <c r="H280" s="107" t="str">
        <f>IF(G280="","",IFERROR(VLOOKUP(G280&amp;"",'Presupuesto Base'!$A$7:$G$24,2,FALSE),"Ítem no encontrado"))</f>
        <v/>
      </c>
      <c r="I280" s="107" t="str">
        <f>IF(G280="","",IFERROR(VLOOKUP(G280&amp;"",'Presupuesto Base'!$A$7:$G$24,3,FALSE),""))</f>
        <v/>
      </c>
      <c r="J280" s="30"/>
      <c r="K280" s="32"/>
      <c r="L280" s="108">
        <f>IF(G280="",0,IFERROR(VLOOKUP(G280&amp;"",'Presupuesto Base'!$A$7:$G$24,5,FALSE),0))</f>
        <v>0</v>
      </c>
      <c r="M280" s="108">
        <f t="shared" si="19"/>
        <v>0</v>
      </c>
      <c r="N280" s="30"/>
      <c r="O280" s="30"/>
      <c r="P280" s="33"/>
      <c r="Q280" s="97" t="str">
        <f>IFERROR(VLOOKUP(A280,'Historial Certificados'!$A$6:$E$29,5,FALSE),"")</f>
        <v/>
      </c>
      <c r="R280" s="97" t="str">
        <f t="shared" si="20"/>
        <v/>
      </c>
    </row>
    <row r="281" spans="1:18">
      <c r="A281" s="28"/>
      <c r="B281" s="29"/>
      <c r="C281" s="30"/>
      <c r="D281" s="30"/>
      <c r="E281" s="30"/>
      <c r="F281" s="30"/>
      <c r="G281" s="30"/>
      <c r="H281" s="107" t="str">
        <f>IF(G281="","",IFERROR(VLOOKUP(G281&amp;"",'Presupuesto Base'!$A$7:$G$24,2,FALSE),"Ítem no encontrado"))</f>
        <v/>
      </c>
      <c r="I281" s="107" t="str">
        <f>IF(G281="","",IFERROR(VLOOKUP(G281&amp;"",'Presupuesto Base'!$A$7:$G$24,3,FALSE),""))</f>
        <v/>
      </c>
      <c r="J281" s="30"/>
      <c r="K281" s="32"/>
      <c r="L281" s="108">
        <f>IF(G281="",0,IFERROR(VLOOKUP(G281&amp;"",'Presupuesto Base'!$A$7:$G$24,5,FALSE),0))</f>
        <v>0</v>
      </c>
      <c r="M281" s="108">
        <f t="shared" si="19"/>
        <v>0</v>
      </c>
      <c r="N281" s="30"/>
      <c r="O281" s="30"/>
      <c r="P281" s="33"/>
      <c r="Q281" s="97" t="str">
        <f>IFERROR(VLOOKUP(A281,'Historial Certificados'!$A$6:$E$29,5,FALSE),"")</f>
        <v/>
      </c>
      <c r="R281" s="97" t="str">
        <f t="shared" si="20"/>
        <v/>
      </c>
    </row>
    <row r="282" spans="1:18">
      <c r="A282" s="28"/>
      <c r="B282" s="29"/>
      <c r="C282" s="30"/>
      <c r="D282" s="30"/>
      <c r="E282" s="30"/>
      <c r="F282" s="30"/>
      <c r="G282" s="30"/>
      <c r="H282" s="107" t="str">
        <f>IF(G282="","",IFERROR(VLOOKUP(G282&amp;"",'Presupuesto Base'!$A$7:$G$24,2,FALSE),"Ítem no encontrado"))</f>
        <v/>
      </c>
      <c r="I282" s="107" t="str">
        <f>IF(G282="","",IFERROR(VLOOKUP(G282&amp;"",'Presupuesto Base'!$A$7:$G$24,3,FALSE),""))</f>
        <v/>
      </c>
      <c r="J282" s="30"/>
      <c r="K282" s="32"/>
      <c r="L282" s="108">
        <f>IF(G282="",0,IFERROR(VLOOKUP(G282&amp;"",'Presupuesto Base'!$A$7:$G$24,5,FALSE),0))</f>
        <v>0</v>
      </c>
      <c r="M282" s="108">
        <f t="shared" si="19"/>
        <v>0</v>
      </c>
      <c r="N282" s="30"/>
      <c r="O282" s="30"/>
      <c r="P282" s="33"/>
      <c r="Q282" s="97" t="str">
        <f>IFERROR(VLOOKUP(A282,'Historial Certificados'!$A$6:$E$29,5,FALSE),"")</f>
        <v/>
      </c>
      <c r="R282" s="97" t="str">
        <f t="shared" si="20"/>
        <v/>
      </c>
    </row>
    <row r="283" spans="1:18">
      <c r="A283" s="28"/>
      <c r="B283" s="29"/>
      <c r="C283" s="30"/>
      <c r="D283" s="30"/>
      <c r="E283" s="30"/>
      <c r="F283" s="30"/>
      <c r="G283" s="30"/>
      <c r="H283" s="107" t="str">
        <f>IF(G283="","",IFERROR(VLOOKUP(G283&amp;"",'Presupuesto Base'!$A$7:$G$24,2,FALSE),"Ítem no encontrado"))</f>
        <v/>
      </c>
      <c r="I283" s="107" t="str">
        <f>IF(G283="","",IFERROR(VLOOKUP(G283&amp;"",'Presupuesto Base'!$A$7:$G$24,3,FALSE),""))</f>
        <v/>
      </c>
      <c r="J283" s="30"/>
      <c r="K283" s="32"/>
      <c r="L283" s="108">
        <f>IF(G283="",0,IFERROR(VLOOKUP(G283&amp;"",'Presupuesto Base'!$A$7:$G$24,5,FALSE),0))</f>
        <v>0</v>
      </c>
      <c r="M283" s="108">
        <f t="shared" si="19"/>
        <v>0</v>
      </c>
      <c r="N283" s="30"/>
      <c r="O283" s="30"/>
      <c r="P283" s="33"/>
      <c r="Q283" s="97" t="str">
        <f>IFERROR(VLOOKUP(A283,'Historial Certificados'!$A$6:$E$29,5,FALSE),"")</f>
        <v/>
      </c>
      <c r="R283" s="97" t="str">
        <f t="shared" si="20"/>
        <v/>
      </c>
    </row>
    <row r="284" spans="1:18">
      <c r="A284" s="28"/>
      <c r="B284" s="29"/>
      <c r="C284" s="30"/>
      <c r="D284" s="30"/>
      <c r="E284" s="30"/>
      <c r="F284" s="30"/>
      <c r="G284" s="30"/>
      <c r="H284" s="107" t="str">
        <f>IF(G284="","",IFERROR(VLOOKUP(G284&amp;"",'Presupuesto Base'!$A$7:$G$24,2,FALSE),"Ítem no encontrado"))</f>
        <v/>
      </c>
      <c r="I284" s="107" t="str">
        <f>IF(G284="","",IFERROR(VLOOKUP(G284&amp;"",'Presupuesto Base'!$A$7:$G$24,3,FALSE),""))</f>
        <v/>
      </c>
      <c r="J284" s="30"/>
      <c r="K284" s="32"/>
      <c r="L284" s="108">
        <f>IF(G284="",0,IFERROR(VLOOKUP(G284&amp;"",'Presupuesto Base'!$A$7:$G$24,5,FALSE),0))</f>
        <v>0</v>
      </c>
      <c r="M284" s="108">
        <f t="shared" si="19"/>
        <v>0</v>
      </c>
      <c r="N284" s="30"/>
      <c r="O284" s="30"/>
      <c r="P284" s="33"/>
      <c r="Q284" s="97" t="str">
        <f>IFERROR(VLOOKUP(A284,'Historial Certificados'!$A$6:$E$29,5,FALSE),"")</f>
        <v/>
      </c>
      <c r="R284" s="97" t="str">
        <f t="shared" si="20"/>
        <v/>
      </c>
    </row>
    <row r="285" spans="1:18">
      <c r="A285" s="28"/>
      <c r="B285" s="29"/>
      <c r="C285" s="30"/>
      <c r="D285" s="30"/>
      <c r="E285" s="30"/>
      <c r="F285" s="30"/>
      <c r="G285" s="30"/>
      <c r="H285" s="107" t="str">
        <f>IF(G285="","",IFERROR(VLOOKUP(G285&amp;"",'Presupuesto Base'!$A$7:$G$24,2,FALSE),"Ítem no encontrado"))</f>
        <v/>
      </c>
      <c r="I285" s="107" t="str">
        <f>IF(G285="","",IFERROR(VLOOKUP(G285&amp;"",'Presupuesto Base'!$A$7:$G$24,3,FALSE),""))</f>
        <v/>
      </c>
      <c r="J285" s="30"/>
      <c r="K285" s="32"/>
      <c r="L285" s="108">
        <f>IF(G285="",0,IFERROR(VLOOKUP(G285&amp;"",'Presupuesto Base'!$A$7:$G$24,5,FALSE),0))</f>
        <v>0</v>
      </c>
      <c r="M285" s="108">
        <f t="shared" si="19"/>
        <v>0</v>
      </c>
      <c r="N285" s="30"/>
      <c r="O285" s="30"/>
      <c r="P285" s="33"/>
      <c r="Q285" s="97" t="str">
        <f>IFERROR(VLOOKUP(A285,'Historial Certificados'!$A$6:$E$29,5,FALSE),"")</f>
        <v/>
      </c>
      <c r="R285" s="97" t="str">
        <f t="shared" si="20"/>
        <v/>
      </c>
    </row>
    <row r="286" spans="1:18">
      <c r="A286" s="28"/>
      <c r="B286" s="29"/>
      <c r="C286" s="30"/>
      <c r="D286" s="30"/>
      <c r="E286" s="30"/>
      <c r="F286" s="30"/>
      <c r="G286" s="30"/>
      <c r="H286" s="107" t="str">
        <f>IF(G286="","",IFERROR(VLOOKUP(G286&amp;"",'Presupuesto Base'!$A$7:$G$24,2,FALSE),"Ítem no encontrado"))</f>
        <v/>
      </c>
      <c r="I286" s="107" t="str">
        <f>IF(G286="","",IFERROR(VLOOKUP(G286&amp;"",'Presupuesto Base'!$A$7:$G$24,3,FALSE),""))</f>
        <v/>
      </c>
      <c r="J286" s="30"/>
      <c r="K286" s="32"/>
      <c r="L286" s="108">
        <f>IF(G286="",0,IFERROR(VLOOKUP(G286&amp;"",'Presupuesto Base'!$A$7:$G$24,5,FALSE),0))</f>
        <v>0</v>
      </c>
      <c r="M286" s="108">
        <f t="shared" si="19"/>
        <v>0</v>
      </c>
      <c r="N286" s="30"/>
      <c r="O286" s="30"/>
      <c r="P286" s="33"/>
      <c r="Q286" s="97" t="str">
        <f>IFERROR(VLOOKUP(A286,'Historial Certificados'!$A$6:$E$29,5,FALSE),"")</f>
        <v/>
      </c>
      <c r="R286" s="97" t="str">
        <f t="shared" si="20"/>
        <v/>
      </c>
    </row>
    <row r="287" spans="1:18">
      <c r="A287" s="28"/>
      <c r="B287" s="29"/>
      <c r="C287" s="30"/>
      <c r="D287" s="30"/>
      <c r="E287" s="30"/>
      <c r="F287" s="30"/>
      <c r="G287" s="30"/>
      <c r="H287" s="107" t="str">
        <f>IF(G287="","",IFERROR(VLOOKUP(G287&amp;"",'Presupuesto Base'!$A$7:$G$24,2,FALSE),"Ítem no encontrado"))</f>
        <v/>
      </c>
      <c r="I287" s="107" t="str">
        <f>IF(G287="","",IFERROR(VLOOKUP(G287&amp;"",'Presupuesto Base'!$A$7:$G$24,3,FALSE),""))</f>
        <v/>
      </c>
      <c r="J287" s="30"/>
      <c r="K287" s="32"/>
      <c r="L287" s="108">
        <f>IF(G287="",0,IFERROR(VLOOKUP(G287&amp;"",'Presupuesto Base'!$A$7:$G$24,5,FALSE),0))</f>
        <v>0</v>
      </c>
      <c r="M287" s="108">
        <f t="shared" si="19"/>
        <v>0</v>
      </c>
      <c r="N287" s="30"/>
      <c r="O287" s="30"/>
      <c r="P287" s="33"/>
      <c r="Q287" s="97" t="str">
        <f>IFERROR(VLOOKUP(A287,'Historial Certificados'!$A$6:$E$29,5,FALSE),"")</f>
        <v/>
      </c>
      <c r="R287" s="97" t="str">
        <f t="shared" si="20"/>
        <v/>
      </c>
    </row>
    <row r="288" spans="1:18">
      <c r="A288" s="28"/>
      <c r="B288" s="29"/>
      <c r="C288" s="30"/>
      <c r="D288" s="30"/>
      <c r="E288" s="30"/>
      <c r="F288" s="30"/>
      <c r="G288" s="30"/>
      <c r="H288" s="107" t="str">
        <f>IF(G288="","",IFERROR(VLOOKUP(G288&amp;"",'Presupuesto Base'!$A$7:$G$24,2,FALSE),"Ítem no encontrado"))</f>
        <v/>
      </c>
      <c r="I288" s="107" t="str">
        <f>IF(G288="","",IFERROR(VLOOKUP(G288&amp;"",'Presupuesto Base'!$A$7:$G$24,3,FALSE),""))</f>
        <v/>
      </c>
      <c r="J288" s="30"/>
      <c r="K288" s="32"/>
      <c r="L288" s="108">
        <f>IF(G288="",0,IFERROR(VLOOKUP(G288&amp;"",'Presupuesto Base'!$A$7:$G$24,5,FALSE),0))</f>
        <v>0</v>
      </c>
      <c r="M288" s="108">
        <f t="shared" si="19"/>
        <v>0</v>
      </c>
      <c r="N288" s="30"/>
      <c r="O288" s="30"/>
      <c r="P288" s="33"/>
      <c r="Q288" s="97" t="str">
        <f>IFERROR(VLOOKUP(A288,'Historial Certificados'!$A$6:$E$29,5,FALSE),"")</f>
        <v/>
      </c>
      <c r="R288" s="97" t="str">
        <f t="shared" si="20"/>
        <v/>
      </c>
    </row>
    <row r="289" spans="1:18">
      <c r="A289" s="28"/>
      <c r="B289" s="29"/>
      <c r="C289" s="30"/>
      <c r="D289" s="30"/>
      <c r="E289" s="30"/>
      <c r="F289" s="30"/>
      <c r="G289" s="30"/>
      <c r="H289" s="107" t="str">
        <f>IF(G289="","",IFERROR(VLOOKUP(G289&amp;"",'Presupuesto Base'!$A$7:$G$24,2,FALSE),"Ítem no encontrado"))</f>
        <v/>
      </c>
      <c r="I289" s="107" t="str">
        <f>IF(G289="","",IFERROR(VLOOKUP(G289&amp;"",'Presupuesto Base'!$A$7:$G$24,3,FALSE),""))</f>
        <v/>
      </c>
      <c r="J289" s="30"/>
      <c r="K289" s="32"/>
      <c r="L289" s="108">
        <f>IF(G289="",0,IFERROR(VLOOKUP(G289&amp;"",'Presupuesto Base'!$A$7:$G$24,5,FALSE),0))</f>
        <v>0</v>
      </c>
      <c r="M289" s="108">
        <f t="shared" si="19"/>
        <v>0</v>
      </c>
      <c r="N289" s="30"/>
      <c r="O289" s="30"/>
      <c r="P289" s="33"/>
      <c r="Q289" s="97" t="str">
        <f>IFERROR(VLOOKUP(A289,'Historial Certificados'!$A$6:$E$29,5,FALSE),"")</f>
        <v/>
      </c>
      <c r="R289" s="97" t="str">
        <f t="shared" si="20"/>
        <v/>
      </c>
    </row>
    <row r="290" spans="1:18">
      <c r="A290" s="28"/>
      <c r="B290" s="29"/>
      <c r="C290" s="30"/>
      <c r="D290" s="30"/>
      <c r="E290" s="30"/>
      <c r="F290" s="30"/>
      <c r="G290" s="30"/>
      <c r="H290" s="107" t="str">
        <f>IF(G290="","",IFERROR(VLOOKUP(G290&amp;"",'Presupuesto Base'!$A$7:$G$24,2,FALSE),"Ítem no encontrado"))</f>
        <v/>
      </c>
      <c r="I290" s="107" t="str">
        <f>IF(G290="","",IFERROR(VLOOKUP(G290&amp;"",'Presupuesto Base'!$A$7:$G$24,3,FALSE),""))</f>
        <v/>
      </c>
      <c r="J290" s="30"/>
      <c r="K290" s="32"/>
      <c r="L290" s="108">
        <f>IF(G290="",0,IFERROR(VLOOKUP(G290&amp;"",'Presupuesto Base'!$A$7:$G$24,5,FALSE),0))</f>
        <v>0</v>
      </c>
      <c r="M290" s="108">
        <f t="shared" si="19"/>
        <v>0</v>
      </c>
      <c r="N290" s="30"/>
      <c r="O290" s="30"/>
      <c r="P290" s="33"/>
      <c r="Q290" s="97" t="str">
        <f>IFERROR(VLOOKUP(A290,'Historial Certificados'!$A$6:$E$29,5,FALSE),"")</f>
        <v/>
      </c>
      <c r="R290" s="97" t="str">
        <f t="shared" si="20"/>
        <v/>
      </c>
    </row>
    <row r="291" spans="1:18">
      <c r="A291" s="28"/>
      <c r="B291" s="29"/>
      <c r="C291" s="30"/>
      <c r="D291" s="30"/>
      <c r="E291" s="30"/>
      <c r="F291" s="30"/>
      <c r="G291" s="30"/>
      <c r="H291" s="107" t="str">
        <f>IF(G291="","",IFERROR(VLOOKUP(G291&amp;"",'Presupuesto Base'!$A$7:$G$24,2,FALSE),"Ítem no encontrado"))</f>
        <v/>
      </c>
      <c r="I291" s="107" t="str">
        <f>IF(G291="","",IFERROR(VLOOKUP(G291&amp;"",'Presupuesto Base'!$A$7:$G$24,3,FALSE),""))</f>
        <v/>
      </c>
      <c r="J291" s="30"/>
      <c r="K291" s="32"/>
      <c r="L291" s="108">
        <f>IF(G291="",0,IFERROR(VLOOKUP(G291&amp;"",'Presupuesto Base'!$A$7:$G$24,5,FALSE),0))</f>
        <v>0</v>
      </c>
      <c r="M291" s="108">
        <f t="shared" si="19"/>
        <v>0</v>
      </c>
      <c r="N291" s="30"/>
      <c r="O291" s="30"/>
      <c r="P291" s="33"/>
      <c r="Q291" s="97" t="str">
        <f>IFERROR(VLOOKUP(A291,'Historial Certificados'!$A$6:$E$29,5,FALSE),"")</f>
        <v/>
      </c>
      <c r="R291" s="97" t="str">
        <f t="shared" si="20"/>
        <v/>
      </c>
    </row>
    <row r="292" spans="1:18">
      <c r="A292" s="28"/>
      <c r="B292" s="29"/>
      <c r="C292" s="30"/>
      <c r="D292" s="30"/>
      <c r="E292" s="30"/>
      <c r="F292" s="30"/>
      <c r="G292" s="30"/>
      <c r="H292" s="107" t="str">
        <f>IF(G292="","",IFERROR(VLOOKUP(G292&amp;"",'Presupuesto Base'!$A$7:$G$24,2,FALSE),"Ítem no encontrado"))</f>
        <v/>
      </c>
      <c r="I292" s="107" t="str">
        <f>IF(G292="","",IFERROR(VLOOKUP(G292&amp;"",'Presupuesto Base'!$A$7:$G$24,3,FALSE),""))</f>
        <v/>
      </c>
      <c r="J292" s="30"/>
      <c r="K292" s="32"/>
      <c r="L292" s="108">
        <f>IF(G292="",0,IFERROR(VLOOKUP(G292&amp;"",'Presupuesto Base'!$A$7:$G$24,5,FALSE),0))</f>
        <v>0</v>
      </c>
      <c r="M292" s="108">
        <f t="shared" si="19"/>
        <v>0</v>
      </c>
      <c r="N292" s="30"/>
      <c r="O292" s="30"/>
      <c r="P292" s="33"/>
      <c r="Q292" s="97" t="str">
        <f>IFERROR(VLOOKUP(A292,'Historial Certificados'!$A$6:$E$29,5,FALSE),"")</f>
        <v/>
      </c>
      <c r="R292" s="97" t="str">
        <f t="shared" si="20"/>
        <v/>
      </c>
    </row>
    <row r="293" spans="1:18">
      <c r="A293" s="28"/>
      <c r="B293" s="29"/>
      <c r="C293" s="30"/>
      <c r="D293" s="30"/>
      <c r="E293" s="30"/>
      <c r="F293" s="30"/>
      <c r="G293" s="30"/>
      <c r="H293" s="107" t="str">
        <f>IF(G293="","",IFERROR(VLOOKUP(G293&amp;"",'Presupuesto Base'!$A$7:$G$24,2,FALSE),"Ítem no encontrado"))</f>
        <v/>
      </c>
      <c r="I293" s="107" t="str">
        <f>IF(G293="","",IFERROR(VLOOKUP(G293&amp;"",'Presupuesto Base'!$A$7:$G$24,3,FALSE),""))</f>
        <v/>
      </c>
      <c r="J293" s="30"/>
      <c r="K293" s="32"/>
      <c r="L293" s="108">
        <f>IF(G293="",0,IFERROR(VLOOKUP(G293&amp;"",'Presupuesto Base'!$A$7:$G$24,5,FALSE),0))</f>
        <v>0</v>
      </c>
      <c r="M293" s="108">
        <f t="shared" si="19"/>
        <v>0</v>
      </c>
      <c r="N293" s="30"/>
      <c r="O293" s="30"/>
      <c r="P293" s="33"/>
      <c r="Q293" s="97" t="str">
        <f>IFERROR(VLOOKUP(A293,'Historial Certificados'!$A$6:$E$29,5,FALSE),"")</f>
        <v/>
      </c>
      <c r="R293" s="97" t="str">
        <f t="shared" si="20"/>
        <v/>
      </c>
    </row>
    <row r="294" spans="1:18">
      <c r="A294" s="28"/>
      <c r="B294" s="29"/>
      <c r="C294" s="30"/>
      <c r="D294" s="30"/>
      <c r="E294" s="30"/>
      <c r="F294" s="30"/>
      <c r="G294" s="30"/>
      <c r="H294" s="107" t="str">
        <f>IF(G294="","",IFERROR(VLOOKUP(G294&amp;"",'Presupuesto Base'!$A$7:$G$24,2,FALSE),"Ítem no encontrado"))</f>
        <v/>
      </c>
      <c r="I294" s="107" t="str">
        <f>IF(G294="","",IFERROR(VLOOKUP(G294&amp;"",'Presupuesto Base'!$A$7:$G$24,3,FALSE),""))</f>
        <v/>
      </c>
      <c r="J294" s="30"/>
      <c r="K294" s="32"/>
      <c r="L294" s="108">
        <f>IF(G294="",0,IFERROR(VLOOKUP(G294&amp;"",'Presupuesto Base'!$A$7:$G$24,5,FALSE),0))</f>
        <v>0</v>
      </c>
      <c r="M294" s="108">
        <f t="shared" si="19"/>
        <v>0</v>
      </c>
      <c r="N294" s="30"/>
      <c r="O294" s="30"/>
      <c r="P294" s="33"/>
      <c r="Q294" s="97" t="str">
        <f>IFERROR(VLOOKUP(A294,'Historial Certificados'!$A$6:$E$29,5,FALSE),"")</f>
        <v/>
      </c>
      <c r="R294" s="97" t="str">
        <f t="shared" si="20"/>
        <v/>
      </c>
    </row>
    <row r="295" spans="1:18">
      <c r="A295" s="28"/>
      <c r="B295" s="29"/>
      <c r="C295" s="30"/>
      <c r="D295" s="30"/>
      <c r="E295" s="30"/>
      <c r="F295" s="30"/>
      <c r="G295" s="30"/>
      <c r="H295" s="107" t="str">
        <f>IF(G295="","",IFERROR(VLOOKUP(G295&amp;"",'Presupuesto Base'!$A$7:$G$24,2,FALSE),"Ítem no encontrado"))</f>
        <v/>
      </c>
      <c r="I295" s="107" t="str">
        <f>IF(G295="","",IFERROR(VLOOKUP(G295&amp;"",'Presupuesto Base'!$A$7:$G$24,3,FALSE),""))</f>
        <v/>
      </c>
      <c r="J295" s="30"/>
      <c r="K295" s="32"/>
      <c r="L295" s="108">
        <f>IF(G295="",0,IFERROR(VLOOKUP(G295&amp;"",'Presupuesto Base'!$A$7:$G$24,5,FALSE),0))</f>
        <v>0</v>
      </c>
      <c r="M295" s="108">
        <f t="shared" si="19"/>
        <v>0</v>
      </c>
      <c r="N295" s="30"/>
      <c r="O295" s="30"/>
      <c r="P295" s="33"/>
      <c r="Q295" s="97" t="str">
        <f>IFERROR(VLOOKUP(A295,'Historial Certificados'!$A$6:$E$29,5,FALSE),"")</f>
        <v/>
      </c>
      <c r="R295" s="97" t="str">
        <f t="shared" si="20"/>
        <v/>
      </c>
    </row>
    <row r="296" spans="1:18">
      <c r="A296" s="28"/>
      <c r="B296" s="29"/>
      <c r="C296" s="30"/>
      <c r="D296" s="30"/>
      <c r="E296" s="30"/>
      <c r="F296" s="30"/>
      <c r="G296" s="30"/>
      <c r="H296" s="107" t="str">
        <f>IF(G296="","",IFERROR(VLOOKUP(G296&amp;"",'Presupuesto Base'!$A$7:$G$24,2,FALSE),"Ítem no encontrado"))</f>
        <v/>
      </c>
      <c r="I296" s="107" t="str">
        <f>IF(G296="","",IFERROR(VLOOKUP(G296&amp;"",'Presupuesto Base'!$A$7:$G$24,3,FALSE),""))</f>
        <v/>
      </c>
      <c r="J296" s="30"/>
      <c r="K296" s="32"/>
      <c r="L296" s="108">
        <f>IF(G296="",0,IFERROR(VLOOKUP(G296&amp;"",'Presupuesto Base'!$A$7:$G$24,5,FALSE),0))</f>
        <v>0</v>
      </c>
      <c r="M296" s="108">
        <f t="shared" si="19"/>
        <v>0</v>
      </c>
      <c r="N296" s="30"/>
      <c r="O296" s="30"/>
      <c r="P296" s="33"/>
      <c r="Q296" s="97" t="str">
        <f>IFERROR(VLOOKUP(A296,'Historial Certificados'!$A$6:$E$29,5,FALSE),"")</f>
        <v/>
      </c>
      <c r="R296" s="97" t="str">
        <f t="shared" si="20"/>
        <v/>
      </c>
    </row>
    <row r="297" spans="1:18">
      <c r="A297" s="28"/>
      <c r="B297" s="29"/>
      <c r="C297" s="30"/>
      <c r="D297" s="30"/>
      <c r="E297" s="30"/>
      <c r="F297" s="30"/>
      <c r="G297" s="30"/>
      <c r="H297" s="107" t="str">
        <f>IF(G297="","",IFERROR(VLOOKUP(G297&amp;"",'Presupuesto Base'!$A$7:$G$24,2,FALSE),"Ítem no encontrado"))</f>
        <v/>
      </c>
      <c r="I297" s="107" t="str">
        <f>IF(G297="","",IFERROR(VLOOKUP(G297&amp;"",'Presupuesto Base'!$A$7:$G$24,3,FALSE),""))</f>
        <v/>
      </c>
      <c r="J297" s="30"/>
      <c r="K297" s="32"/>
      <c r="L297" s="108">
        <f>IF(G297="",0,IFERROR(VLOOKUP(G297&amp;"",'Presupuesto Base'!$A$7:$G$24,5,FALSE),0))</f>
        <v>0</v>
      </c>
      <c r="M297" s="108">
        <f t="shared" si="19"/>
        <v>0</v>
      </c>
      <c r="N297" s="30"/>
      <c r="O297" s="30"/>
      <c r="P297" s="33"/>
      <c r="Q297" s="97" t="str">
        <f>IFERROR(VLOOKUP(A297,'Historial Certificados'!$A$6:$E$29,5,FALSE),"")</f>
        <v/>
      </c>
      <c r="R297" s="97" t="str">
        <f t="shared" si="20"/>
        <v/>
      </c>
    </row>
    <row r="298" spans="1:18">
      <c r="A298" s="28"/>
      <c r="B298" s="29"/>
      <c r="C298" s="30"/>
      <c r="D298" s="30"/>
      <c r="E298" s="30"/>
      <c r="F298" s="30"/>
      <c r="G298" s="30"/>
      <c r="H298" s="107" t="str">
        <f>IF(G298="","",IFERROR(VLOOKUP(G298&amp;"",'Presupuesto Base'!$A$7:$G$24,2,FALSE),"Ítem no encontrado"))</f>
        <v/>
      </c>
      <c r="I298" s="107" t="str">
        <f>IF(G298="","",IFERROR(VLOOKUP(G298&amp;"",'Presupuesto Base'!$A$7:$G$24,3,FALSE),""))</f>
        <v/>
      </c>
      <c r="J298" s="30"/>
      <c r="K298" s="32"/>
      <c r="L298" s="108">
        <f>IF(G298="",0,IFERROR(VLOOKUP(G298&amp;"",'Presupuesto Base'!$A$7:$G$24,5,FALSE),0))</f>
        <v>0</v>
      </c>
      <c r="M298" s="108">
        <f t="shared" si="19"/>
        <v>0</v>
      </c>
      <c r="N298" s="30"/>
      <c r="O298" s="30"/>
      <c r="P298" s="33"/>
      <c r="Q298" s="97" t="str">
        <f>IFERROR(VLOOKUP(A298,'Historial Certificados'!$A$6:$E$29,5,FALSE),"")</f>
        <v/>
      </c>
      <c r="R298" s="97" t="str">
        <f t="shared" si="20"/>
        <v/>
      </c>
    </row>
    <row r="299" spans="1:18">
      <c r="A299" s="28"/>
      <c r="B299" s="29"/>
      <c r="C299" s="30"/>
      <c r="D299" s="30"/>
      <c r="E299" s="30"/>
      <c r="F299" s="30"/>
      <c r="G299" s="30"/>
      <c r="H299" s="107" t="str">
        <f>IF(G299="","",IFERROR(VLOOKUP(G299&amp;"",'Presupuesto Base'!$A$7:$G$24,2,FALSE),"Ítem no encontrado"))</f>
        <v/>
      </c>
      <c r="I299" s="107" t="str">
        <f>IF(G299="","",IFERROR(VLOOKUP(G299&amp;"",'Presupuesto Base'!$A$7:$G$24,3,FALSE),""))</f>
        <v/>
      </c>
      <c r="J299" s="30"/>
      <c r="K299" s="32"/>
      <c r="L299" s="108">
        <f>IF(G299="",0,IFERROR(VLOOKUP(G299&amp;"",'Presupuesto Base'!$A$7:$G$24,5,FALSE),0))</f>
        <v>0</v>
      </c>
      <c r="M299" s="108">
        <f t="shared" si="19"/>
        <v>0</v>
      </c>
      <c r="N299" s="30"/>
      <c r="O299" s="30"/>
      <c r="P299" s="33"/>
      <c r="Q299" s="97" t="str">
        <f>IFERROR(VLOOKUP(A299,'Historial Certificados'!$A$6:$E$29,5,FALSE),"")</f>
        <v/>
      </c>
      <c r="R299" s="97" t="str">
        <f t="shared" si="20"/>
        <v/>
      </c>
    </row>
    <row r="300" spans="1:18">
      <c r="A300" s="28"/>
      <c r="B300" s="29"/>
      <c r="C300" s="30"/>
      <c r="D300" s="30"/>
      <c r="E300" s="30"/>
      <c r="F300" s="30"/>
      <c r="G300" s="30"/>
      <c r="H300" s="107" t="str">
        <f>IF(G300="","",IFERROR(VLOOKUP(G300&amp;"",'Presupuesto Base'!$A$7:$G$24,2,FALSE),"Ítem no encontrado"))</f>
        <v/>
      </c>
      <c r="I300" s="107" t="str">
        <f>IF(G300="","",IFERROR(VLOOKUP(G300&amp;"",'Presupuesto Base'!$A$7:$G$24,3,FALSE),""))</f>
        <v/>
      </c>
      <c r="J300" s="30"/>
      <c r="K300" s="32"/>
      <c r="L300" s="108">
        <f>IF(G300="",0,IFERROR(VLOOKUP(G300&amp;"",'Presupuesto Base'!$A$7:$G$24,5,FALSE),0))</f>
        <v>0</v>
      </c>
      <c r="M300" s="108">
        <f t="shared" si="19"/>
        <v>0</v>
      </c>
      <c r="N300" s="30"/>
      <c r="O300" s="30"/>
      <c r="P300" s="33"/>
      <c r="Q300" s="97" t="str">
        <f>IFERROR(VLOOKUP(A300,'Historial Certificados'!$A$6:$E$29,5,FALSE),"")</f>
        <v/>
      </c>
      <c r="R300" s="97" t="str">
        <f t="shared" si="20"/>
        <v/>
      </c>
    </row>
    <row r="301" spans="1:18">
      <c r="A301" s="28"/>
      <c r="B301" s="29"/>
      <c r="C301" s="30"/>
      <c r="D301" s="30"/>
      <c r="E301" s="30"/>
      <c r="F301" s="30"/>
      <c r="G301" s="30"/>
      <c r="H301" s="107" t="str">
        <f>IF(G301="","",IFERROR(VLOOKUP(G301&amp;"",'Presupuesto Base'!$A$7:$G$24,2,FALSE),"Ítem no encontrado"))</f>
        <v/>
      </c>
      <c r="I301" s="107" t="str">
        <f>IF(G301="","",IFERROR(VLOOKUP(G301&amp;"",'Presupuesto Base'!$A$7:$G$24,3,FALSE),""))</f>
        <v/>
      </c>
      <c r="J301" s="30"/>
      <c r="K301" s="32"/>
      <c r="L301" s="108">
        <f>IF(G301="",0,IFERROR(VLOOKUP(G301&amp;"",'Presupuesto Base'!$A$7:$G$24,5,FALSE),0))</f>
        <v>0</v>
      </c>
      <c r="M301" s="108">
        <f t="shared" si="19"/>
        <v>0</v>
      </c>
      <c r="N301" s="30"/>
      <c r="O301" s="30"/>
      <c r="P301" s="33"/>
      <c r="Q301" s="97" t="str">
        <f>IFERROR(VLOOKUP(A301,'Historial Certificados'!$A$6:$E$29,5,FALSE),"")</f>
        <v/>
      </c>
      <c r="R301" s="97" t="str">
        <f t="shared" si="20"/>
        <v/>
      </c>
    </row>
    <row r="302" spans="1:18">
      <c r="A302" s="28"/>
      <c r="B302" s="29"/>
      <c r="C302" s="30"/>
      <c r="D302" s="30"/>
      <c r="E302" s="30"/>
      <c r="F302" s="30"/>
      <c r="G302" s="30"/>
      <c r="H302" s="107" t="str">
        <f>IF(G302="","",IFERROR(VLOOKUP(G302&amp;"",'Presupuesto Base'!$A$7:$G$24,2,FALSE),"Ítem no encontrado"))</f>
        <v/>
      </c>
      <c r="I302" s="107" t="str">
        <f>IF(G302="","",IFERROR(VLOOKUP(G302&amp;"",'Presupuesto Base'!$A$7:$G$24,3,FALSE),""))</f>
        <v/>
      </c>
      <c r="J302" s="30"/>
      <c r="K302" s="32"/>
      <c r="L302" s="108">
        <f>IF(G302="",0,IFERROR(VLOOKUP(G302&amp;"",'Presupuesto Base'!$A$7:$G$24,5,FALSE),0))</f>
        <v>0</v>
      </c>
      <c r="M302" s="108">
        <f t="shared" si="19"/>
        <v>0</v>
      </c>
      <c r="N302" s="30"/>
      <c r="O302" s="30"/>
      <c r="P302" s="33"/>
      <c r="Q302" s="97" t="str">
        <f>IFERROR(VLOOKUP(A302,'Historial Certificados'!$A$6:$E$29,5,FALSE),"")</f>
        <v/>
      </c>
      <c r="R302" s="97" t="str">
        <f t="shared" si="20"/>
        <v/>
      </c>
    </row>
    <row r="303" spans="1:18">
      <c r="A303" s="28"/>
      <c r="B303" s="29"/>
      <c r="C303" s="30"/>
      <c r="D303" s="30"/>
      <c r="E303" s="30"/>
      <c r="F303" s="30"/>
      <c r="G303" s="30"/>
      <c r="H303" s="107" t="str">
        <f>IF(G303="","",IFERROR(VLOOKUP(G303&amp;"",'Presupuesto Base'!$A$7:$G$24,2,FALSE),"Ítem no encontrado"))</f>
        <v/>
      </c>
      <c r="I303" s="107" t="str">
        <f>IF(G303="","",IFERROR(VLOOKUP(G303&amp;"",'Presupuesto Base'!$A$7:$G$24,3,FALSE),""))</f>
        <v/>
      </c>
      <c r="J303" s="30"/>
      <c r="K303" s="32"/>
      <c r="L303" s="108">
        <f>IF(G303="",0,IFERROR(VLOOKUP(G303&amp;"",'Presupuesto Base'!$A$7:$G$24,5,FALSE),0))</f>
        <v>0</v>
      </c>
      <c r="M303" s="108">
        <f t="shared" si="19"/>
        <v>0</v>
      </c>
      <c r="N303" s="30"/>
      <c r="O303" s="30"/>
      <c r="P303" s="33"/>
      <c r="Q303" s="97" t="str">
        <f>IFERROR(VLOOKUP(A303,'Historial Certificados'!$A$6:$E$29,5,FALSE),"")</f>
        <v/>
      </c>
      <c r="R303" s="97" t="str">
        <f t="shared" si="20"/>
        <v/>
      </c>
    </row>
    <row r="304" spans="1:18">
      <c r="A304" s="28"/>
      <c r="B304" s="29"/>
      <c r="C304" s="30"/>
      <c r="D304" s="30"/>
      <c r="E304" s="30"/>
      <c r="F304" s="30"/>
      <c r="G304" s="30"/>
      <c r="H304" s="107" t="str">
        <f>IF(G304="","",IFERROR(VLOOKUP(G304&amp;"",'Presupuesto Base'!$A$7:$G$24,2,FALSE),"Ítem no encontrado"))</f>
        <v/>
      </c>
      <c r="I304" s="107" t="str">
        <f>IF(G304="","",IFERROR(VLOOKUP(G304&amp;"",'Presupuesto Base'!$A$7:$G$24,3,FALSE),""))</f>
        <v/>
      </c>
      <c r="J304" s="30"/>
      <c r="K304" s="32"/>
      <c r="L304" s="108">
        <f>IF(G304="",0,IFERROR(VLOOKUP(G304&amp;"",'Presupuesto Base'!$A$7:$G$24,5,FALSE),0))</f>
        <v>0</v>
      </c>
      <c r="M304" s="108">
        <f t="shared" si="19"/>
        <v>0</v>
      </c>
      <c r="N304" s="30"/>
      <c r="O304" s="30"/>
      <c r="P304" s="33"/>
      <c r="Q304" s="97" t="str">
        <f>IFERROR(VLOOKUP(A304,'Historial Certificados'!$A$6:$E$29,5,FALSE),"")</f>
        <v/>
      </c>
      <c r="R304" s="97" t="str">
        <f t="shared" si="20"/>
        <v/>
      </c>
    </row>
    <row r="305" spans="1:18">
      <c r="A305" s="28"/>
      <c r="B305" s="29"/>
      <c r="C305" s="30"/>
      <c r="D305" s="30"/>
      <c r="E305" s="30"/>
      <c r="F305" s="30"/>
      <c r="G305" s="30"/>
      <c r="H305" s="107" t="str">
        <f>IF(G305="","",IFERROR(VLOOKUP(G305&amp;"",'Presupuesto Base'!$A$7:$G$24,2,FALSE),"Ítem no encontrado"))</f>
        <v/>
      </c>
      <c r="I305" s="107" t="str">
        <f>IF(G305="","",IFERROR(VLOOKUP(G305&amp;"",'Presupuesto Base'!$A$7:$G$24,3,FALSE),""))</f>
        <v/>
      </c>
      <c r="J305" s="30"/>
      <c r="K305" s="32"/>
      <c r="L305" s="108">
        <f>IF(G305="",0,IFERROR(VLOOKUP(G305&amp;"",'Presupuesto Base'!$A$7:$G$24,5,FALSE),0))</f>
        <v>0</v>
      </c>
      <c r="M305" s="108">
        <f t="shared" si="19"/>
        <v>0</v>
      </c>
      <c r="N305" s="30"/>
      <c r="O305" s="30"/>
      <c r="P305" s="33"/>
      <c r="Q305" s="97" t="str">
        <f>IFERROR(VLOOKUP(A305,'Historial Certificados'!$A$6:$E$29,5,FALSE),"")</f>
        <v/>
      </c>
      <c r="R305" s="97" t="str">
        <f t="shared" si="20"/>
        <v/>
      </c>
    </row>
    <row r="306" spans="1:18">
      <c r="A306" s="28"/>
      <c r="B306" s="29"/>
      <c r="C306" s="30"/>
      <c r="D306" s="30"/>
      <c r="E306" s="30"/>
      <c r="F306" s="30"/>
      <c r="G306" s="30"/>
      <c r="H306" s="107" t="str">
        <f>IF(G306="","",IFERROR(VLOOKUP(G306&amp;"",'Presupuesto Base'!$A$7:$G$24,2,FALSE),"Ítem no encontrado"))</f>
        <v/>
      </c>
      <c r="I306" s="107" t="str">
        <f>IF(G306="","",IFERROR(VLOOKUP(G306&amp;"",'Presupuesto Base'!$A$7:$G$24,3,FALSE),""))</f>
        <v/>
      </c>
      <c r="J306" s="30"/>
      <c r="K306" s="32"/>
      <c r="L306" s="108">
        <f>IF(G306="",0,IFERROR(VLOOKUP(G306&amp;"",'Presupuesto Base'!$A$7:$G$24,5,FALSE),0))</f>
        <v>0</v>
      </c>
      <c r="M306" s="108">
        <f t="shared" si="19"/>
        <v>0</v>
      </c>
      <c r="N306" s="30"/>
      <c r="O306" s="30"/>
      <c r="P306" s="33"/>
      <c r="Q306" s="97" t="str">
        <f>IFERROR(VLOOKUP(A306,'Historial Certificados'!$A$6:$E$29,5,FALSE),"")</f>
        <v/>
      </c>
      <c r="R306" s="97" t="str">
        <f t="shared" si="20"/>
        <v/>
      </c>
    </row>
    <row r="307" spans="1:18">
      <c r="A307" s="28"/>
      <c r="B307" s="29"/>
      <c r="C307" s="30"/>
      <c r="D307" s="30"/>
      <c r="E307" s="30"/>
      <c r="F307" s="30"/>
      <c r="G307" s="30"/>
      <c r="H307" s="107" t="str">
        <f>IF(G307="","",IFERROR(VLOOKUP(G307&amp;"",'Presupuesto Base'!$A$7:$G$24,2,FALSE),"Ítem no encontrado"))</f>
        <v/>
      </c>
      <c r="I307" s="107" t="str">
        <f>IF(G307="","",IFERROR(VLOOKUP(G307&amp;"",'Presupuesto Base'!$A$7:$G$24,3,FALSE),""))</f>
        <v/>
      </c>
      <c r="J307" s="30"/>
      <c r="K307" s="32"/>
      <c r="L307" s="108">
        <f>IF(G307="",0,IFERROR(VLOOKUP(G307&amp;"",'Presupuesto Base'!$A$7:$G$24,5,FALSE),0))</f>
        <v>0</v>
      </c>
      <c r="M307" s="108">
        <f t="shared" si="19"/>
        <v>0</v>
      </c>
      <c r="N307" s="30"/>
      <c r="O307" s="30"/>
      <c r="P307" s="33"/>
      <c r="Q307" s="97" t="str">
        <f>IFERROR(VLOOKUP(A307,'Historial Certificados'!$A$6:$E$29,5,FALSE),"")</f>
        <v/>
      </c>
      <c r="R307" s="97" t="str">
        <f t="shared" si="20"/>
        <v/>
      </c>
    </row>
    <row r="308" spans="1:18">
      <c r="A308" s="28"/>
      <c r="B308" s="29"/>
      <c r="C308" s="30"/>
      <c r="D308" s="30"/>
      <c r="E308" s="30"/>
      <c r="F308" s="30"/>
      <c r="G308" s="30"/>
      <c r="H308" s="107" t="str">
        <f>IF(G308="","",IFERROR(VLOOKUP(G308&amp;"",'Presupuesto Base'!$A$7:$G$24,2,FALSE),"Ítem no encontrado"))</f>
        <v/>
      </c>
      <c r="I308" s="107" t="str">
        <f>IF(G308="","",IFERROR(VLOOKUP(G308&amp;"",'Presupuesto Base'!$A$7:$G$24,3,FALSE),""))</f>
        <v/>
      </c>
      <c r="J308" s="30"/>
      <c r="K308" s="32"/>
      <c r="L308" s="108">
        <f>IF(G308="",0,IFERROR(VLOOKUP(G308&amp;"",'Presupuesto Base'!$A$7:$G$24,5,FALSE),0))</f>
        <v>0</v>
      </c>
      <c r="M308" s="108">
        <f t="shared" si="19"/>
        <v>0</v>
      </c>
      <c r="N308" s="30"/>
      <c r="O308" s="30"/>
      <c r="P308" s="33"/>
      <c r="Q308" s="97" t="str">
        <f>IFERROR(VLOOKUP(A308,'Historial Certificados'!$A$6:$E$29,5,FALSE),"")</f>
        <v/>
      </c>
      <c r="R308" s="97" t="str">
        <f t="shared" si="20"/>
        <v/>
      </c>
    </row>
    <row r="309" spans="1:18">
      <c r="A309" s="28"/>
      <c r="B309" s="29"/>
      <c r="C309" s="30"/>
      <c r="D309" s="30"/>
      <c r="E309" s="30"/>
      <c r="F309" s="30"/>
      <c r="G309" s="30"/>
      <c r="H309" s="107" t="str">
        <f>IF(G309="","",IFERROR(VLOOKUP(G309&amp;"",'Presupuesto Base'!$A$7:$G$24,2,FALSE),"Ítem no encontrado"))</f>
        <v/>
      </c>
      <c r="I309" s="107" t="str">
        <f>IF(G309="","",IFERROR(VLOOKUP(G309&amp;"",'Presupuesto Base'!$A$7:$G$24,3,FALSE),""))</f>
        <v/>
      </c>
      <c r="J309" s="30"/>
      <c r="K309" s="32"/>
      <c r="L309" s="108">
        <f>IF(G309="",0,IFERROR(VLOOKUP(G309&amp;"",'Presupuesto Base'!$A$7:$G$24,5,FALSE),0))</f>
        <v>0</v>
      </c>
      <c r="M309" s="108">
        <f t="shared" si="19"/>
        <v>0</v>
      </c>
      <c r="N309" s="30"/>
      <c r="O309" s="30"/>
      <c r="P309" s="33"/>
      <c r="Q309" s="97" t="str">
        <f>IFERROR(VLOOKUP(A309,'Historial Certificados'!$A$6:$E$29,5,FALSE),"")</f>
        <v/>
      </c>
      <c r="R309" s="97" t="str">
        <f t="shared" si="20"/>
        <v/>
      </c>
    </row>
    <row r="310" spans="1:18">
      <c r="A310" s="28"/>
      <c r="B310" s="29"/>
      <c r="C310" s="30"/>
      <c r="D310" s="30"/>
      <c r="E310" s="30"/>
      <c r="F310" s="30"/>
      <c r="G310" s="30"/>
      <c r="H310" s="107" t="str">
        <f>IF(G310="","",IFERROR(VLOOKUP(G310&amp;"",'Presupuesto Base'!$A$7:$G$24,2,FALSE),"Ítem no encontrado"))</f>
        <v/>
      </c>
      <c r="I310" s="107" t="str">
        <f>IF(G310="","",IFERROR(VLOOKUP(G310&amp;"",'Presupuesto Base'!$A$7:$G$24,3,FALSE),""))</f>
        <v/>
      </c>
      <c r="J310" s="30"/>
      <c r="K310" s="32"/>
      <c r="L310" s="108">
        <f>IF(G310="",0,IFERROR(VLOOKUP(G310&amp;"",'Presupuesto Base'!$A$7:$G$24,5,FALSE),0))</f>
        <v>0</v>
      </c>
      <c r="M310" s="108">
        <f t="shared" si="19"/>
        <v>0</v>
      </c>
      <c r="N310" s="30"/>
      <c r="O310" s="30"/>
      <c r="P310" s="33"/>
      <c r="Q310" s="97" t="str">
        <f>IFERROR(VLOOKUP(A310,'Historial Certificados'!$A$6:$E$29,5,FALSE),"")</f>
        <v/>
      </c>
      <c r="R310" s="97" t="str">
        <f t="shared" si="20"/>
        <v/>
      </c>
    </row>
    <row r="311" spans="1:18">
      <c r="A311" s="28"/>
      <c r="B311" s="29"/>
      <c r="C311" s="30"/>
      <c r="D311" s="30"/>
      <c r="E311" s="30"/>
      <c r="F311" s="30"/>
      <c r="G311" s="30"/>
      <c r="H311" s="107" t="str">
        <f>IF(G311="","",IFERROR(VLOOKUP(G311&amp;"",'Presupuesto Base'!$A$7:$G$24,2,FALSE),"Ítem no encontrado"))</f>
        <v/>
      </c>
      <c r="I311" s="107" t="str">
        <f>IF(G311="","",IFERROR(VLOOKUP(G311&amp;"",'Presupuesto Base'!$A$7:$G$24,3,FALSE),""))</f>
        <v/>
      </c>
      <c r="J311" s="30"/>
      <c r="K311" s="32"/>
      <c r="L311" s="108">
        <f>IF(G311="",0,IFERROR(VLOOKUP(G311&amp;"",'Presupuesto Base'!$A$7:$G$24,5,FALSE),0))</f>
        <v>0</v>
      </c>
      <c r="M311" s="108">
        <f t="shared" si="19"/>
        <v>0</v>
      </c>
      <c r="N311" s="30"/>
      <c r="O311" s="30"/>
      <c r="P311" s="33"/>
      <c r="Q311" s="97" t="str">
        <f>IFERROR(VLOOKUP(A311,'Historial Certificados'!$A$6:$E$29,5,FALSE),"")</f>
        <v/>
      </c>
      <c r="R311" s="97" t="str">
        <f t="shared" si="20"/>
        <v/>
      </c>
    </row>
    <row r="312" spans="1:18">
      <c r="A312" s="28"/>
      <c r="B312" s="29"/>
      <c r="C312" s="30"/>
      <c r="D312" s="30"/>
      <c r="E312" s="30"/>
      <c r="F312" s="30"/>
      <c r="G312" s="30"/>
      <c r="H312" s="107" t="str">
        <f>IF(G312="","",IFERROR(VLOOKUP(G312&amp;"",'Presupuesto Base'!$A$7:$G$24,2,FALSE),"Ítem no encontrado"))</f>
        <v/>
      </c>
      <c r="I312" s="107" t="str">
        <f>IF(G312="","",IFERROR(VLOOKUP(G312&amp;"",'Presupuesto Base'!$A$7:$G$24,3,FALSE),""))</f>
        <v/>
      </c>
      <c r="J312" s="30"/>
      <c r="K312" s="32"/>
      <c r="L312" s="108">
        <f>IF(G312="",0,IFERROR(VLOOKUP(G312&amp;"",'Presupuesto Base'!$A$7:$G$24,5,FALSE),0))</f>
        <v>0</v>
      </c>
      <c r="M312" s="108">
        <f t="shared" si="19"/>
        <v>0</v>
      </c>
      <c r="N312" s="30"/>
      <c r="O312" s="30"/>
      <c r="P312" s="33"/>
      <c r="Q312" s="97" t="str">
        <f>IFERROR(VLOOKUP(A312,'Historial Certificados'!$A$6:$E$29,5,FALSE),"")</f>
        <v/>
      </c>
      <c r="R312" s="97" t="str">
        <f t="shared" si="20"/>
        <v/>
      </c>
    </row>
    <row r="313" spans="1:18">
      <c r="A313" s="28"/>
      <c r="B313" s="29"/>
      <c r="C313" s="30"/>
      <c r="D313" s="30"/>
      <c r="E313" s="30"/>
      <c r="F313" s="30"/>
      <c r="G313" s="30"/>
      <c r="H313" s="107" t="str">
        <f>IF(G313="","",IFERROR(VLOOKUP(G313&amp;"",'Presupuesto Base'!$A$7:$G$24,2,FALSE),"Ítem no encontrado"))</f>
        <v/>
      </c>
      <c r="I313" s="107" t="str">
        <f>IF(G313="","",IFERROR(VLOOKUP(G313&amp;"",'Presupuesto Base'!$A$7:$G$24,3,FALSE),""))</f>
        <v/>
      </c>
      <c r="J313" s="30"/>
      <c r="K313" s="32"/>
      <c r="L313" s="108">
        <f>IF(G313="",0,IFERROR(VLOOKUP(G313&amp;"",'Presupuesto Base'!$A$7:$G$24,5,FALSE),0))</f>
        <v>0</v>
      </c>
      <c r="M313" s="108">
        <f t="shared" si="19"/>
        <v>0</v>
      </c>
      <c r="N313" s="30"/>
      <c r="O313" s="30"/>
      <c r="P313" s="33"/>
      <c r="Q313" s="97" t="str">
        <f>IFERROR(VLOOKUP(A313,'Historial Certificados'!$A$6:$E$29,5,FALSE),"")</f>
        <v/>
      </c>
      <c r="R313" s="97" t="str">
        <f t="shared" si="20"/>
        <v/>
      </c>
    </row>
    <row r="314" spans="1:18">
      <c r="A314" s="28"/>
      <c r="B314" s="29"/>
      <c r="C314" s="30"/>
      <c r="D314" s="30"/>
      <c r="E314" s="30"/>
      <c r="F314" s="30"/>
      <c r="G314" s="30"/>
      <c r="H314" s="107" t="str">
        <f>IF(G314="","",IFERROR(VLOOKUP(G314&amp;"",'Presupuesto Base'!$A$7:$G$24,2,FALSE),"Ítem no encontrado"))</f>
        <v/>
      </c>
      <c r="I314" s="107" t="str">
        <f>IF(G314="","",IFERROR(VLOOKUP(G314&amp;"",'Presupuesto Base'!$A$7:$G$24,3,FALSE),""))</f>
        <v/>
      </c>
      <c r="J314" s="30"/>
      <c r="K314" s="32"/>
      <c r="L314" s="108">
        <f>IF(G314="",0,IFERROR(VLOOKUP(G314&amp;"",'Presupuesto Base'!$A$7:$G$24,5,FALSE),0))</f>
        <v>0</v>
      </c>
      <c r="M314" s="108">
        <f t="shared" si="19"/>
        <v>0</v>
      </c>
      <c r="N314" s="30"/>
      <c r="O314" s="30"/>
      <c r="P314" s="33"/>
      <c r="Q314" s="97" t="str">
        <f>IFERROR(VLOOKUP(A314,'Historial Certificados'!$A$6:$E$29,5,FALSE),"")</f>
        <v/>
      </c>
      <c r="R314" s="97" t="str">
        <f t="shared" si="20"/>
        <v/>
      </c>
    </row>
    <row r="315" spans="1:18">
      <c r="A315" s="28"/>
      <c r="B315" s="29"/>
      <c r="C315" s="30"/>
      <c r="D315" s="30"/>
      <c r="E315" s="30"/>
      <c r="F315" s="30"/>
      <c r="G315" s="30"/>
      <c r="H315" s="107" t="str">
        <f>IF(G315="","",IFERROR(VLOOKUP(G315&amp;"",'Presupuesto Base'!$A$7:$G$24,2,FALSE),"Ítem no encontrado"))</f>
        <v/>
      </c>
      <c r="I315" s="107" t="str">
        <f>IF(G315="","",IFERROR(VLOOKUP(G315&amp;"",'Presupuesto Base'!$A$7:$G$24,3,FALSE),""))</f>
        <v/>
      </c>
      <c r="J315" s="30"/>
      <c r="K315" s="32"/>
      <c r="L315" s="108">
        <f>IF(G315="",0,IFERROR(VLOOKUP(G315&amp;"",'Presupuesto Base'!$A$7:$G$24,5,FALSE),0))</f>
        <v>0</v>
      </c>
      <c r="M315" s="108">
        <f t="shared" si="19"/>
        <v>0</v>
      </c>
      <c r="N315" s="30"/>
      <c r="O315" s="30"/>
      <c r="P315" s="33"/>
      <c r="Q315" s="97" t="str">
        <f>IFERROR(VLOOKUP(A315,'Historial Certificados'!$A$6:$E$29,5,FALSE),"")</f>
        <v/>
      </c>
      <c r="R315" s="97" t="str">
        <f t="shared" si="20"/>
        <v/>
      </c>
    </row>
    <row r="316" spans="1:18">
      <c r="A316" s="28"/>
      <c r="B316" s="29"/>
      <c r="C316" s="30"/>
      <c r="D316" s="30"/>
      <c r="E316" s="30"/>
      <c r="F316" s="30"/>
      <c r="G316" s="30"/>
      <c r="H316" s="107" t="str">
        <f>IF(G316="","",IFERROR(VLOOKUP(G316&amp;"",'Presupuesto Base'!$A$7:$G$24,2,FALSE),"Ítem no encontrado"))</f>
        <v/>
      </c>
      <c r="I316" s="107" t="str">
        <f>IF(G316="","",IFERROR(VLOOKUP(G316&amp;"",'Presupuesto Base'!$A$7:$G$24,3,FALSE),""))</f>
        <v/>
      </c>
      <c r="J316" s="30"/>
      <c r="K316" s="32"/>
      <c r="L316" s="108">
        <f>IF(G316="",0,IFERROR(VLOOKUP(G316&amp;"",'Presupuesto Base'!$A$7:$G$24,5,FALSE),0))</f>
        <v>0</v>
      </c>
      <c r="M316" s="108">
        <f t="shared" si="19"/>
        <v>0</v>
      </c>
      <c r="N316" s="30"/>
      <c r="O316" s="30"/>
      <c r="P316" s="33"/>
      <c r="Q316" s="97" t="str">
        <f>IFERROR(VLOOKUP(A316,'Historial Certificados'!$A$6:$E$29,5,FALSE),"")</f>
        <v/>
      </c>
      <c r="R316" s="97" t="str">
        <f t="shared" si="20"/>
        <v/>
      </c>
    </row>
    <row r="317" spans="1:18">
      <c r="A317" s="28"/>
      <c r="B317" s="29"/>
      <c r="C317" s="30"/>
      <c r="D317" s="30"/>
      <c r="E317" s="30"/>
      <c r="F317" s="30"/>
      <c r="G317" s="30"/>
      <c r="H317" s="107" t="str">
        <f>IF(G317="","",IFERROR(VLOOKUP(G317&amp;"",'Presupuesto Base'!$A$7:$G$24,2,FALSE),"Ítem no encontrado"))</f>
        <v/>
      </c>
      <c r="I317" s="107" t="str">
        <f>IF(G317="","",IFERROR(VLOOKUP(G317&amp;"",'Presupuesto Base'!$A$7:$G$24,3,FALSE),""))</f>
        <v/>
      </c>
      <c r="J317" s="30"/>
      <c r="K317" s="32"/>
      <c r="L317" s="108">
        <f>IF(G317="",0,IFERROR(VLOOKUP(G317&amp;"",'Presupuesto Base'!$A$7:$G$24,5,FALSE),0))</f>
        <v>0</v>
      </c>
      <c r="M317" s="108">
        <f t="shared" si="19"/>
        <v>0</v>
      </c>
      <c r="N317" s="30"/>
      <c r="O317" s="30"/>
      <c r="P317" s="33"/>
      <c r="Q317" s="97" t="str">
        <f>IFERROR(VLOOKUP(A317,'Historial Certificados'!$A$6:$E$29,5,FALSE),"")</f>
        <v/>
      </c>
      <c r="R317" s="97" t="str">
        <f t="shared" si="20"/>
        <v/>
      </c>
    </row>
    <row r="318" spans="1:18">
      <c r="A318" s="28"/>
      <c r="B318" s="29"/>
      <c r="C318" s="30"/>
      <c r="D318" s="30"/>
      <c r="E318" s="30"/>
      <c r="F318" s="30"/>
      <c r="G318" s="30"/>
      <c r="H318" s="107" t="str">
        <f>IF(G318="","",IFERROR(VLOOKUP(G318&amp;"",'Presupuesto Base'!$A$7:$G$24,2,FALSE),"Ítem no encontrado"))</f>
        <v/>
      </c>
      <c r="I318" s="107" t="str">
        <f>IF(G318="","",IFERROR(VLOOKUP(G318&amp;"",'Presupuesto Base'!$A$7:$G$24,3,FALSE),""))</f>
        <v/>
      </c>
      <c r="J318" s="30"/>
      <c r="K318" s="32"/>
      <c r="L318" s="108">
        <f>IF(G318="",0,IFERROR(VLOOKUP(G318&amp;"",'Presupuesto Base'!$A$7:$G$24,5,FALSE),0))</f>
        <v>0</v>
      </c>
      <c r="M318" s="108">
        <f t="shared" si="19"/>
        <v>0</v>
      </c>
      <c r="N318" s="30"/>
      <c r="O318" s="30"/>
      <c r="P318" s="33"/>
      <c r="Q318" s="97" t="str">
        <f>IFERROR(VLOOKUP(A318,'Historial Certificados'!$A$6:$E$29,5,FALSE),"")</f>
        <v/>
      </c>
      <c r="R318" s="97" t="str">
        <f t="shared" si="20"/>
        <v/>
      </c>
    </row>
    <row r="319" spans="1:18">
      <c r="A319" s="28"/>
      <c r="B319" s="29"/>
      <c r="C319" s="30"/>
      <c r="D319" s="30"/>
      <c r="E319" s="30"/>
      <c r="F319" s="30"/>
      <c r="G319" s="30"/>
      <c r="H319" s="107" t="str">
        <f>IF(G319="","",IFERROR(VLOOKUP(G319&amp;"",'Presupuesto Base'!$A$7:$G$24,2,FALSE),"Ítem no encontrado"))</f>
        <v/>
      </c>
      <c r="I319" s="107" t="str">
        <f>IF(G319="","",IFERROR(VLOOKUP(G319&amp;"",'Presupuesto Base'!$A$7:$G$24,3,FALSE),""))</f>
        <v/>
      </c>
      <c r="J319" s="30"/>
      <c r="K319" s="32"/>
      <c r="L319" s="108">
        <f>IF(G319="",0,IFERROR(VLOOKUP(G319&amp;"",'Presupuesto Base'!$A$7:$G$24,5,FALSE),0))</f>
        <v>0</v>
      </c>
      <c r="M319" s="108">
        <f t="shared" si="19"/>
        <v>0</v>
      </c>
      <c r="N319" s="30"/>
      <c r="O319" s="30"/>
      <c r="P319" s="33"/>
      <c r="Q319" s="97" t="str">
        <f>IFERROR(VLOOKUP(A319,'Historial Certificados'!$A$6:$E$29,5,FALSE),"")</f>
        <v/>
      </c>
      <c r="R319" s="97" t="str">
        <f t="shared" si="20"/>
        <v/>
      </c>
    </row>
    <row r="320" spans="1:18">
      <c r="A320" s="28"/>
      <c r="B320" s="29"/>
      <c r="C320" s="30"/>
      <c r="D320" s="30"/>
      <c r="E320" s="30"/>
      <c r="F320" s="30"/>
      <c r="G320" s="30"/>
      <c r="H320" s="107" t="str">
        <f>IF(G320="","",IFERROR(VLOOKUP(G320&amp;"",'Presupuesto Base'!$A$7:$G$24,2,FALSE),"Ítem no encontrado"))</f>
        <v/>
      </c>
      <c r="I320" s="107" t="str">
        <f>IF(G320="","",IFERROR(VLOOKUP(G320&amp;"",'Presupuesto Base'!$A$7:$G$24,3,FALSE),""))</f>
        <v/>
      </c>
      <c r="J320" s="30"/>
      <c r="K320" s="32"/>
      <c r="L320" s="108">
        <f>IF(G320="",0,IFERROR(VLOOKUP(G320&amp;"",'Presupuesto Base'!$A$7:$G$24,5,FALSE),0))</f>
        <v>0</v>
      </c>
      <c r="M320" s="108">
        <f t="shared" si="19"/>
        <v>0</v>
      </c>
      <c r="N320" s="30"/>
      <c r="O320" s="30"/>
      <c r="P320" s="33"/>
      <c r="Q320" s="97" t="str">
        <f>IFERROR(VLOOKUP(A320,'Historial Certificados'!$A$6:$E$29,5,FALSE),"")</f>
        <v/>
      </c>
      <c r="R320" s="97" t="str">
        <f t="shared" si="20"/>
        <v/>
      </c>
    </row>
    <row r="321" spans="1:18">
      <c r="A321" s="28"/>
      <c r="B321" s="29"/>
      <c r="C321" s="30"/>
      <c r="D321" s="30"/>
      <c r="E321" s="30"/>
      <c r="F321" s="30"/>
      <c r="G321" s="30"/>
      <c r="H321" s="107" t="str">
        <f>IF(G321="","",IFERROR(VLOOKUP(G321&amp;"",'Presupuesto Base'!$A$7:$G$24,2,FALSE),"Ítem no encontrado"))</f>
        <v/>
      </c>
      <c r="I321" s="107" t="str">
        <f>IF(G321="","",IFERROR(VLOOKUP(G321&amp;"",'Presupuesto Base'!$A$7:$G$24,3,FALSE),""))</f>
        <v/>
      </c>
      <c r="J321" s="30"/>
      <c r="K321" s="32"/>
      <c r="L321" s="108">
        <f>IF(G321="",0,IFERROR(VLOOKUP(G321&amp;"",'Presupuesto Base'!$A$7:$G$24,5,FALSE),0))</f>
        <v>0</v>
      </c>
      <c r="M321" s="108">
        <f t="shared" si="19"/>
        <v>0</v>
      </c>
      <c r="N321" s="30"/>
      <c r="O321" s="30"/>
      <c r="P321" s="33"/>
      <c r="Q321" s="97" t="str">
        <f>IFERROR(VLOOKUP(A321,'Historial Certificados'!$A$6:$E$29,5,FALSE),"")</f>
        <v/>
      </c>
      <c r="R321" s="97" t="str">
        <f t="shared" si="20"/>
        <v/>
      </c>
    </row>
    <row r="322" spans="1:18">
      <c r="A322" s="28"/>
      <c r="B322" s="29"/>
      <c r="C322" s="30"/>
      <c r="D322" s="30"/>
      <c r="E322" s="30"/>
      <c r="F322" s="30"/>
      <c r="G322" s="30"/>
      <c r="H322" s="107" t="str">
        <f>IF(G322="","",IFERROR(VLOOKUP(G322&amp;"",'Presupuesto Base'!$A$7:$G$24,2,FALSE),"Ítem no encontrado"))</f>
        <v/>
      </c>
      <c r="I322" s="107" t="str">
        <f>IF(G322="","",IFERROR(VLOOKUP(G322&amp;"",'Presupuesto Base'!$A$7:$G$24,3,FALSE),""))</f>
        <v/>
      </c>
      <c r="J322" s="30"/>
      <c r="K322" s="32"/>
      <c r="L322" s="108">
        <f>IF(G322="",0,IFERROR(VLOOKUP(G322&amp;"",'Presupuesto Base'!$A$7:$G$24,5,FALSE),0))</f>
        <v>0</v>
      </c>
      <c r="M322" s="108">
        <f t="shared" si="19"/>
        <v>0</v>
      </c>
      <c r="N322" s="30"/>
      <c r="O322" s="30"/>
      <c r="P322" s="33"/>
      <c r="Q322" s="97" t="str">
        <f>IFERROR(VLOOKUP(A322,'Historial Certificados'!$A$6:$E$29,5,FALSE),"")</f>
        <v/>
      </c>
      <c r="R322" s="97" t="str">
        <f t="shared" si="20"/>
        <v/>
      </c>
    </row>
    <row r="323" spans="1:18">
      <c r="A323" s="28"/>
      <c r="B323" s="29"/>
      <c r="C323" s="30"/>
      <c r="D323" s="30"/>
      <c r="E323" s="30"/>
      <c r="F323" s="30"/>
      <c r="G323" s="30"/>
      <c r="H323" s="107" t="str">
        <f>IF(G323="","",IFERROR(VLOOKUP(G323&amp;"",'Presupuesto Base'!$A$7:$G$24,2,FALSE),"Ítem no encontrado"))</f>
        <v/>
      </c>
      <c r="I323" s="107" t="str">
        <f>IF(G323="","",IFERROR(VLOOKUP(G323&amp;"",'Presupuesto Base'!$A$7:$G$24,3,FALSE),""))</f>
        <v/>
      </c>
      <c r="J323" s="30"/>
      <c r="K323" s="32"/>
      <c r="L323" s="108">
        <f>IF(G323="",0,IFERROR(VLOOKUP(G323&amp;"",'Presupuesto Base'!$A$7:$G$24,5,FALSE),0))</f>
        <v>0</v>
      </c>
      <c r="M323" s="108">
        <f t="shared" si="19"/>
        <v>0</v>
      </c>
      <c r="N323" s="30"/>
      <c r="O323" s="30"/>
      <c r="P323" s="33"/>
      <c r="Q323" s="97" t="str">
        <f>IFERROR(VLOOKUP(A323,'Historial Certificados'!$A$6:$E$29,5,FALSE),"")</f>
        <v/>
      </c>
      <c r="R323" s="97" t="str">
        <f t="shared" si="20"/>
        <v/>
      </c>
    </row>
    <row r="324" spans="1:18">
      <c r="A324" s="28"/>
      <c r="B324" s="29"/>
      <c r="C324" s="30"/>
      <c r="D324" s="30"/>
      <c r="E324" s="30"/>
      <c r="F324" s="30"/>
      <c r="G324" s="30"/>
      <c r="H324" s="107" t="str">
        <f>IF(G324="","",IFERROR(VLOOKUP(G324&amp;"",'Presupuesto Base'!$A$7:$G$24,2,FALSE),"Ítem no encontrado"))</f>
        <v/>
      </c>
      <c r="I324" s="107" t="str">
        <f>IF(G324="","",IFERROR(VLOOKUP(G324&amp;"",'Presupuesto Base'!$A$7:$G$24,3,FALSE),""))</f>
        <v/>
      </c>
      <c r="J324" s="30"/>
      <c r="K324" s="32"/>
      <c r="L324" s="108">
        <f>IF(G324="",0,IFERROR(VLOOKUP(G324&amp;"",'Presupuesto Base'!$A$7:$G$24,5,FALSE),0))</f>
        <v>0</v>
      </c>
      <c r="M324" s="108">
        <f t="shared" si="19"/>
        <v>0</v>
      </c>
      <c r="N324" s="30"/>
      <c r="O324" s="30"/>
      <c r="P324" s="33"/>
      <c r="Q324" s="97" t="str">
        <f>IFERROR(VLOOKUP(A324,'Historial Certificados'!$A$6:$E$29,5,FALSE),"")</f>
        <v/>
      </c>
      <c r="R324" s="97" t="str">
        <f t="shared" si="20"/>
        <v/>
      </c>
    </row>
    <row r="325" spans="1:18">
      <c r="A325" s="28"/>
      <c r="B325" s="29"/>
      <c r="C325" s="30"/>
      <c r="D325" s="30"/>
      <c r="E325" s="30"/>
      <c r="F325" s="30"/>
      <c r="G325" s="30"/>
      <c r="H325" s="107" t="str">
        <f>IF(G325="","",IFERROR(VLOOKUP(G325&amp;"",'Presupuesto Base'!$A$7:$G$24,2,FALSE),"Ítem no encontrado"))</f>
        <v/>
      </c>
      <c r="I325" s="107" t="str">
        <f>IF(G325="","",IFERROR(VLOOKUP(G325&amp;"",'Presupuesto Base'!$A$7:$G$24,3,FALSE),""))</f>
        <v/>
      </c>
      <c r="J325" s="30"/>
      <c r="K325" s="32"/>
      <c r="L325" s="108">
        <f>IF(G325="",0,IFERROR(VLOOKUP(G325&amp;"",'Presupuesto Base'!$A$7:$G$24,5,FALSE),0))</f>
        <v>0</v>
      </c>
      <c r="M325" s="108">
        <f t="shared" si="19"/>
        <v>0</v>
      </c>
      <c r="N325" s="30"/>
      <c r="O325" s="30"/>
      <c r="P325" s="33"/>
      <c r="Q325" s="97" t="str">
        <f>IFERROR(VLOOKUP(A325,'Historial Certificados'!$A$6:$E$29,5,FALSE),"")</f>
        <v/>
      </c>
      <c r="R325" s="97" t="str">
        <f t="shared" si="20"/>
        <v/>
      </c>
    </row>
    <row r="326" spans="1:18">
      <c r="A326" s="28"/>
      <c r="B326" s="29"/>
      <c r="C326" s="30"/>
      <c r="D326" s="30"/>
      <c r="E326" s="30"/>
      <c r="F326" s="30"/>
      <c r="G326" s="30"/>
      <c r="H326" s="107" t="str">
        <f>IF(G326="","",IFERROR(VLOOKUP(G326&amp;"",'Presupuesto Base'!$A$7:$G$24,2,FALSE),"Ítem no encontrado"))</f>
        <v/>
      </c>
      <c r="I326" s="107" t="str">
        <f>IF(G326="","",IFERROR(VLOOKUP(G326&amp;"",'Presupuesto Base'!$A$7:$G$24,3,FALSE),""))</f>
        <v/>
      </c>
      <c r="J326" s="30"/>
      <c r="K326" s="32"/>
      <c r="L326" s="108">
        <f>IF(G326="",0,IFERROR(VLOOKUP(G326&amp;"",'Presupuesto Base'!$A$7:$G$24,5,FALSE),0))</f>
        <v>0</v>
      </c>
      <c r="M326" s="108">
        <f t="shared" si="19"/>
        <v>0</v>
      </c>
      <c r="N326" s="30"/>
      <c r="O326" s="30"/>
      <c r="P326" s="33"/>
      <c r="Q326" s="97" t="str">
        <f>IFERROR(VLOOKUP(A326,'Historial Certificados'!$A$6:$E$29,5,FALSE),"")</f>
        <v/>
      </c>
      <c r="R326" s="97" t="str">
        <f t="shared" si="20"/>
        <v/>
      </c>
    </row>
    <row r="327" spans="1:18">
      <c r="A327" s="28"/>
      <c r="B327" s="29"/>
      <c r="C327" s="30"/>
      <c r="D327" s="30"/>
      <c r="E327" s="30"/>
      <c r="F327" s="30"/>
      <c r="G327" s="30"/>
      <c r="H327" s="107" t="str">
        <f>IF(G327="","",IFERROR(VLOOKUP(G327&amp;"",'Presupuesto Base'!$A$7:$G$24,2,FALSE),"Ítem no encontrado"))</f>
        <v/>
      </c>
      <c r="I327" s="107" t="str">
        <f>IF(G327="","",IFERROR(VLOOKUP(G327&amp;"",'Presupuesto Base'!$A$7:$G$24,3,FALSE),""))</f>
        <v/>
      </c>
      <c r="J327" s="30"/>
      <c r="K327" s="32"/>
      <c r="L327" s="108">
        <f>IF(G327="",0,IFERROR(VLOOKUP(G327&amp;"",'Presupuesto Base'!$A$7:$G$24,5,FALSE),0))</f>
        <v>0</v>
      </c>
      <c r="M327" s="108">
        <f t="shared" si="19"/>
        <v>0</v>
      </c>
      <c r="N327" s="30"/>
      <c r="O327" s="30"/>
      <c r="P327" s="33"/>
      <c r="Q327" s="97" t="str">
        <f>IFERROR(VLOOKUP(A327,'Historial Certificados'!$A$6:$E$29,5,FALSE),"")</f>
        <v/>
      </c>
      <c r="R327" s="97" t="str">
        <f t="shared" si="20"/>
        <v/>
      </c>
    </row>
    <row r="328" spans="1:18">
      <c r="A328" s="28"/>
      <c r="B328" s="29"/>
      <c r="C328" s="30"/>
      <c r="D328" s="30"/>
      <c r="E328" s="30"/>
      <c r="F328" s="30"/>
      <c r="G328" s="30"/>
      <c r="H328" s="107" t="str">
        <f>IF(G328="","",IFERROR(VLOOKUP(G328&amp;"",'Presupuesto Base'!$A$7:$G$24,2,FALSE),"Ítem no encontrado"))</f>
        <v/>
      </c>
      <c r="I328" s="107" t="str">
        <f>IF(G328="","",IFERROR(VLOOKUP(G328&amp;"",'Presupuesto Base'!$A$7:$G$24,3,FALSE),""))</f>
        <v/>
      </c>
      <c r="J328" s="30"/>
      <c r="K328" s="32"/>
      <c r="L328" s="108">
        <f>IF(G328="",0,IFERROR(VLOOKUP(G328&amp;"",'Presupuesto Base'!$A$7:$G$24,5,FALSE),0))</f>
        <v>0</v>
      </c>
      <c r="M328" s="108">
        <f t="shared" si="19"/>
        <v>0</v>
      </c>
      <c r="N328" s="30"/>
      <c r="O328" s="30"/>
      <c r="P328" s="33"/>
      <c r="Q328" s="97" t="str">
        <f>IFERROR(VLOOKUP(A328,'Historial Certificados'!$A$6:$E$29,5,FALSE),"")</f>
        <v/>
      </c>
      <c r="R328" s="97" t="str">
        <f t="shared" si="20"/>
        <v/>
      </c>
    </row>
    <row r="329" spans="1:18">
      <c r="A329" s="28"/>
      <c r="B329" s="29"/>
      <c r="C329" s="30"/>
      <c r="D329" s="30"/>
      <c r="E329" s="30"/>
      <c r="F329" s="30"/>
      <c r="G329" s="30"/>
      <c r="H329" s="107" t="str">
        <f>IF(G329="","",IFERROR(VLOOKUP(G329&amp;"",'Presupuesto Base'!$A$7:$G$24,2,FALSE),"Ítem no encontrado"))</f>
        <v/>
      </c>
      <c r="I329" s="107" t="str">
        <f>IF(G329="","",IFERROR(VLOOKUP(G329&amp;"",'Presupuesto Base'!$A$7:$G$24,3,FALSE),""))</f>
        <v/>
      </c>
      <c r="J329" s="30"/>
      <c r="K329" s="32"/>
      <c r="L329" s="108">
        <f>IF(G329="",0,IFERROR(VLOOKUP(G329&amp;"",'Presupuesto Base'!$A$7:$G$24,5,FALSE),0))</f>
        <v>0</v>
      </c>
      <c r="M329" s="108">
        <f t="shared" si="19"/>
        <v>0</v>
      </c>
      <c r="N329" s="30"/>
      <c r="O329" s="30"/>
      <c r="P329" s="33"/>
      <c r="Q329" s="97" t="str">
        <f>IFERROR(VLOOKUP(A329,'Historial Certificados'!$A$6:$E$29,5,FALSE),"")</f>
        <v/>
      </c>
      <c r="R329" s="97" t="str">
        <f t="shared" si="20"/>
        <v/>
      </c>
    </row>
    <row r="330" spans="1:18">
      <c r="A330" s="28"/>
      <c r="B330" s="29"/>
      <c r="C330" s="30"/>
      <c r="D330" s="30"/>
      <c r="E330" s="30"/>
      <c r="F330" s="30"/>
      <c r="G330" s="30"/>
      <c r="H330" s="107" t="str">
        <f>IF(G330="","",IFERROR(VLOOKUP(G330&amp;"",'Presupuesto Base'!$A$7:$G$24,2,FALSE),"Ítem no encontrado"))</f>
        <v/>
      </c>
      <c r="I330" s="107" t="str">
        <f>IF(G330="","",IFERROR(VLOOKUP(G330&amp;"",'Presupuesto Base'!$A$7:$G$24,3,FALSE),""))</f>
        <v/>
      </c>
      <c r="J330" s="30"/>
      <c r="K330" s="32"/>
      <c r="L330" s="108">
        <f>IF(G330="",0,IFERROR(VLOOKUP(G330&amp;"",'Presupuesto Base'!$A$7:$G$24,5,FALSE),0))</f>
        <v>0</v>
      </c>
      <c r="M330" s="108">
        <f t="shared" si="19"/>
        <v>0</v>
      </c>
      <c r="N330" s="30"/>
      <c r="O330" s="30"/>
      <c r="P330" s="33"/>
      <c r="Q330" s="97" t="str">
        <f>IFERROR(VLOOKUP(A330,'Historial Certificados'!$A$6:$E$29,5,FALSE),"")</f>
        <v/>
      </c>
      <c r="R330" s="97" t="str">
        <f t="shared" si="20"/>
        <v/>
      </c>
    </row>
    <row r="331" spans="1:18">
      <c r="A331" s="28"/>
      <c r="B331" s="29"/>
      <c r="C331" s="30"/>
      <c r="D331" s="30"/>
      <c r="E331" s="30"/>
      <c r="F331" s="30"/>
      <c r="G331" s="30"/>
      <c r="H331" s="107" t="str">
        <f>IF(G331="","",IFERROR(VLOOKUP(G331&amp;"",'Presupuesto Base'!$A$7:$G$24,2,FALSE),"Ítem no encontrado"))</f>
        <v/>
      </c>
      <c r="I331" s="107" t="str">
        <f>IF(G331="","",IFERROR(VLOOKUP(G331&amp;"",'Presupuesto Base'!$A$7:$G$24,3,FALSE),""))</f>
        <v/>
      </c>
      <c r="J331" s="30"/>
      <c r="K331" s="32"/>
      <c r="L331" s="108">
        <f>IF(G331="",0,IFERROR(VLOOKUP(G331&amp;"",'Presupuesto Base'!$A$7:$G$24,5,FALSE),0))</f>
        <v>0</v>
      </c>
      <c r="M331" s="108">
        <f t="shared" si="19"/>
        <v>0</v>
      </c>
      <c r="N331" s="30"/>
      <c r="O331" s="30"/>
      <c r="P331" s="33"/>
      <c r="Q331" s="97" t="str">
        <f>IFERROR(VLOOKUP(A331,'Historial Certificados'!$A$6:$E$29,5,FALSE),"")</f>
        <v/>
      </c>
      <c r="R331" s="97" t="str">
        <f t="shared" si="20"/>
        <v/>
      </c>
    </row>
    <row r="332" spans="1:18">
      <c r="A332" s="28"/>
      <c r="B332" s="29"/>
      <c r="C332" s="30"/>
      <c r="D332" s="30"/>
      <c r="E332" s="30"/>
      <c r="F332" s="30"/>
      <c r="G332" s="30"/>
      <c r="H332" s="107" t="str">
        <f>IF(G332="","",IFERROR(VLOOKUP(G332&amp;"",'Presupuesto Base'!$A$7:$G$24,2,FALSE),"Ítem no encontrado"))</f>
        <v/>
      </c>
      <c r="I332" s="107" t="str">
        <f>IF(G332="","",IFERROR(VLOOKUP(G332&amp;"",'Presupuesto Base'!$A$7:$G$24,3,FALSE),""))</f>
        <v/>
      </c>
      <c r="J332" s="30"/>
      <c r="K332" s="32"/>
      <c r="L332" s="108">
        <f>IF(G332="",0,IFERROR(VLOOKUP(G332&amp;"",'Presupuesto Base'!$A$7:$G$24,5,FALSE),0))</f>
        <v>0</v>
      </c>
      <c r="M332" s="108">
        <f t="shared" ref="M332:M395" si="21">IFERROR(K332*L332,0)</f>
        <v>0</v>
      </c>
      <c r="N332" s="30"/>
      <c r="O332" s="30"/>
      <c r="P332" s="33"/>
      <c r="Q332" s="97" t="str">
        <f>IFERROR(VLOOKUP(A332,'Historial Certificados'!$A$6:$E$29,5,FALSE),"")</f>
        <v/>
      </c>
      <c r="R332" s="97" t="str">
        <f t="shared" ref="R332:R395" si="22">IF(A332="","",IF(Q332="CERRADO","CERTIFICADO CERRADO - NO MODIFICAR","ABIERTO"))</f>
        <v/>
      </c>
    </row>
    <row r="333" spans="1:18">
      <c r="A333" s="28"/>
      <c r="B333" s="29"/>
      <c r="C333" s="30"/>
      <c r="D333" s="30"/>
      <c r="E333" s="30"/>
      <c r="F333" s="30"/>
      <c r="G333" s="30"/>
      <c r="H333" s="107" t="str">
        <f>IF(G333="","",IFERROR(VLOOKUP(G333&amp;"",'Presupuesto Base'!$A$7:$G$24,2,FALSE),"Ítem no encontrado"))</f>
        <v/>
      </c>
      <c r="I333" s="107" t="str">
        <f>IF(G333="","",IFERROR(VLOOKUP(G333&amp;"",'Presupuesto Base'!$A$7:$G$24,3,FALSE),""))</f>
        <v/>
      </c>
      <c r="J333" s="30"/>
      <c r="K333" s="32"/>
      <c r="L333" s="108">
        <f>IF(G333="",0,IFERROR(VLOOKUP(G333&amp;"",'Presupuesto Base'!$A$7:$G$24,5,FALSE),0))</f>
        <v>0</v>
      </c>
      <c r="M333" s="108">
        <f t="shared" si="21"/>
        <v>0</v>
      </c>
      <c r="N333" s="30"/>
      <c r="O333" s="30"/>
      <c r="P333" s="33"/>
      <c r="Q333" s="97" t="str">
        <f>IFERROR(VLOOKUP(A333,'Historial Certificados'!$A$6:$E$29,5,FALSE),"")</f>
        <v/>
      </c>
      <c r="R333" s="97" t="str">
        <f t="shared" si="22"/>
        <v/>
      </c>
    </row>
    <row r="334" spans="1:18">
      <c r="A334" s="28"/>
      <c r="B334" s="29"/>
      <c r="C334" s="30"/>
      <c r="D334" s="30"/>
      <c r="E334" s="30"/>
      <c r="F334" s="30"/>
      <c r="G334" s="30"/>
      <c r="H334" s="107" t="str">
        <f>IF(G334="","",IFERROR(VLOOKUP(G334&amp;"",'Presupuesto Base'!$A$7:$G$24,2,FALSE),"Ítem no encontrado"))</f>
        <v/>
      </c>
      <c r="I334" s="107" t="str">
        <f>IF(G334="","",IFERROR(VLOOKUP(G334&amp;"",'Presupuesto Base'!$A$7:$G$24,3,FALSE),""))</f>
        <v/>
      </c>
      <c r="J334" s="30"/>
      <c r="K334" s="32"/>
      <c r="L334" s="108">
        <f>IF(G334="",0,IFERROR(VLOOKUP(G334&amp;"",'Presupuesto Base'!$A$7:$G$24,5,FALSE),0))</f>
        <v>0</v>
      </c>
      <c r="M334" s="108">
        <f t="shared" si="21"/>
        <v>0</v>
      </c>
      <c r="N334" s="30"/>
      <c r="O334" s="30"/>
      <c r="P334" s="33"/>
      <c r="Q334" s="97" t="str">
        <f>IFERROR(VLOOKUP(A334,'Historial Certificados'!$A$6:$E$29,5,FALSE),"")</f>
        <v/>
      </c>
      <c r="R334" s="97" t="str">
        <f t="shared" si="22"/>
        <v/>
      </c>
    </row>
    <row r="335" spans="1:18">
      <c r="A335" s="28"/>
      <c r="B335" s="29"/>
      <c r="C335" s="30"/>
      <c r="D335" s="30"/>
      <c r="E335" s="30"/>
      <c r="F335" s="30"/>
      <c r="G335" s="30"/>
      <c r="H335" s="107" t="str">
        <f>IF(G335="","",IFERROR(VLOOKUP(G335&amp;"",'Presupuesto Base'!$A$7:$G$24,2,FALSE),"Ítem no encontrado"))</f>
        <v/>
      </c>
      <c r="I335" s="107" t="str">
        <f>IF(G335="","",IFERROR(VLOOKUP(G335&amp;"",'Presupuesto Base'!$A$7:$G$24,3,FALSE),""))</f>
        <v/>
      </c>
      <c r="J335" s="30"/>
      <c r="K335" s="32"/>
      <c r="L335" s="108">
        <f>IF(G335="",0,IFERROR(VLOOKUP(G335&amp;"",'Presupuesto Base'!$A$7:$G$24,5,FALSE),0))</f>
        <v>0</v>
      </c>
      <c r="M335" s="108">
        <f t="shared" si="21"/>
        <v>0</v>
      </c>
      <c r="N335" s="30"/>
      <c r="O335" s="30"/>
      <c r="P335" s="33"/>
      <c r="Q335" s="97" t="str">
        <f>IFERROR(VLOOKUP(A335,'Historial Certificados'!$A$6:$E$29,5,FALSE),"")</f>
        <v/>
      </c>
      <c r="R335" s="97" t="str">
        <f t="shared" si="22"/>
        <v/>
      </c>
    </row>
    <row r="336" spans="1:18">
      <c r="A336" s="28"/>
      <c r="B336" s="29"/>
      <c r="C336" s="30"/>
      <c r="D336" s="30"/>
      <c r="E336" s="30"/>
      <c r="F336" s="30"/>
      <c r="G336" s="30"/>
      <c r="H336" s="107" t="str">
        <f>IF(G336="","",IFERROR(VLOOKUP(G336&amp;"",'Presupuesto Base'!$A$7:$G$24,2,FALSE),"Ítem no encontrado"))</f>
        <v/>
      </c>
      <c r="I336" s="107" t="str">
        <f>IF(G336="","",IFERROR(VLOOKUP(G336&amp;"",'Presupuesto Base'!$A$7:$G$24,3,FALSE),""))</f>
        <v/>
      </c>
      <c r="J336" s="30"/>
      <c r="K336" s="32"/>
      <c r="L336" s="108">
        <f>IF(G336="",0,IFERROR(VLOOKUP(G336&amp;"",'Presupuesto Base'!$A$7:$G$24,5,FALSE),0))</f>
        <v>0</v>
      </c>
      <c r="M336" s="108">
        <f t="shared" si="21"/>
        <v>0</v>
      </c>
      <c r="N336" s="30"/>
      <c r="O336" s="30"/>
      <c r="P336" s="33"/>
      <c r="Q336" s="97" t="str">
        <f>IFERROR(VLOOKUP(A336,'Historial Certificados'!$A$6:$E$29,5,FALSE),"")</f>
        <v/>
      </c>
      <c r="R336" s="97" t="str">
        <f t="shared" si="22"/>
        <v/>
      </c>
    </row>
    <row r="337" spans="1:18">
      <c r="A337" s="28"/>
      <c r="B337" s="29"/>
      <c r="C337" s="30"/>
      <c r="D337" s="30"/>
      <c r="E337" s="30"/>
      <c r="F337" s="30"/>
      <c r="G337" s="30"/>
      <c r="H337" s="107" t="str">
        <f>IF(G337="","",IFERROR(VLOOKUP(G337&amp;"",'Presupuesto Base'!$A$7:$G$24,2,FALSE),"Ítem no encontrado"))</f>
        <v/>
      </c>
      <c r="I337" s="107" t="str">
        <f>IF(G337="","",IFERROR(VLOOKUP(G337&amp;"",'Presupuesto Base'!$A$7:$G$24,3,FALSE),""))</f>
        <v/>
      </c>
      <c r="J337" s="30"/>
      <c r="K337" s="32"/>
      <c r="L337" s="108">
        <f>IF(G337="",0,IFERROR(VLOOKUP(G337&amp;"",'Presupuesto Base'!$A$7:$G$24,5,FALSE),0))</f>
        <v>0</v>
      </c>
      <c r="M337" s="108">
        <f t="shared" si="21"/>
        <v>0</v>
      </c>
      <c r="N337" s="30"/>
      <c r="O337" s="30"/>
      <c r="P337" s="33"/>
      <c r="Q337" s="97" t="str">
        <f>IFERROR(VLOOKUP(A337,'Historial Certificados'!$A$6:$E$29,5,FALSE),"")</f>
        <v/>
      </c>
      <c r="R337" s="97" t="str">
        <f t="shared" si="22"/>
        <v/>
      </c>
    </row>
    <row r="338" spans="1:18">
      <c r="A338" s="28"/>
      <c r="B338" s="29"/>
      <c r="C338" s="30"/>
      <c r="D338" s="30"/>
      <c r="E338" s="30"/>
      <c r="F338" s="30"/>
      <c r="G338" s="30"/>
      <c r="H338" s="107" t="str">
        <f>IF(G338="","",IFERROR(VLOOKUP(G338&amp;"",'Presupuesto Base'!$A$7:$G$24,2,FALSE),"Ítem no encontrado"))</f>
        <v/>
      </c>
      <c r="I338" s="107" t="str">
        <f>IF(G338="","",IFERROR(VLOOKUP(G338&amp;"",'Presupuesto Base'!$A$7:$G$24,3,FALSE),""))</f>
        <v/>
      </c>
      <c r="J338" s="30"/>
      <c r="K338" s="32"/>
      <c r="L338" s="108">
        <f>IF(G338="",0,IFERROR(VLOOKUP(G338&amp;"",'Presupuesto Base'!$A$7:$G$24,5,FALSE),0))</f>
        <v>0</v>
      </c>
      <c r="M338" s="108">
        <f t="shared" si="21"/>
        <v>0</v>
      </c>
      <c r="N338" s="30"/>
      <c r="O338" s="30"/>
      <c r="P338" s="33"/>
      <c r="Q338" s="97" t="str">
        <f>IFERROR(VLOOKUP(A338,'Historial Certificados'!$A$6:$E$29,5,FALSE),"")</f>
        <v/>
      </c>
      <c r="R338" s="97" t="str">
        <f t="shared" si="22"/>
        <v/>
      </c>
    </row>
    <row r="339" spans="1:18">
      <c r="A339" s="28"/>
      <c r="B339" s="29"/>
      <c r="C339" s="30"/>
      <c r="D339" s="30"/>
      <c r="E339" s="30"/>
      <c r="F339" s="30"/>
      <c r="G339" s="30"/>
      <c r="H339" s="107" t="str">
        <f>IF(G339="","",IFERROR(VLOOKUP(G339&amp;"",'Presupuesto Base'!$A$7:$G$24,2,FALSE),"Ítem no encontrado"))</f>
        <v/>
      </c>
      <c r="I339" s="107" t="str">
        <f>IF(G339="","",IFERROR(VLOOKUP(G339&amp;"",'Presupuesto Base'!$A$7:$G$24,3,FALSE),""))</f>
        <v/>
      </c>
      <c r="J339" s="30"/>
      <c r="K339" s="32"/>
      <c r="L339" s="108">
        <f>IF(G339="",0,IFERROR(VLOOKUP(G339&amp;"",'Presupuesto Base'!$A$7:$G$24,5,FALSE),0))</f>
        <v>0</v>
      </c>
      <c r="M339" s="108">
        <f t="shared" si="21"/>
        <v>0</v>
      </c>
      <c r="N339" s="30"/>
      <c r="O339" s="30"/>
      <c r="P339" s="33"/>
      <c r="Q339" s="97" t="str">
        <f>IFERROR(VLOOKUP(A339,'Historial Certificados'!$A$6:$E$29,5,FALSE),"")</f>
        <v/>
      </c>
      <c r="R339" s="97" t="str">
        <f t="shared" si="22"/>
        <v/>
      </c>
    </row>
    <row r="340" spans="1:18">
      <c r="A340" s="28"/>
      <c r="B340" s="29"/>
      <c r="C340" s="30"/>
      <c r="D340" s="30"/>
      <c r="E340" s="30"/>
      <c r="F340" s="30"/>
      <c r="G340" s="30"/>
      <c r="H340" s="107" t="str">
        <f>IF(G340="","",IFERROR(VLOOKUP(G340&amp;"",'Presupuesto Base'!$A$7:$G$24,2,FALSE),"Ítem no encontrado"))</f>
        <v/>
      </c>
      <c r="I340" s="107" t="str">
        <f>IF(G340="","",IFERROR(VLOOKUP(G340&amp;"",'Presupuesto Base'!$A$7:$G$24,3,FALSE),""))</f>
        <v/>
      </c>
      <c r="J340" s="30"/>
      <c r="K340" s="32"/>
      <c r="L340" s="108">
        <f>IF(G340="",0,IFERROR(VLOOKUP(G340&amp;"",'Presupuesto Base'!$A$7:$G$24,5,FALSE),0))</f>
        <v>0</v>
      </c>
      <c r="M340" s="108">
        <f t="shared" si="21"/>
        <v>0</v>
      </c>
      <c r="N340" s="30"/>
      <c r="O340" s="30"/>
      <c r="P340" s="33"/>
      <c r="Q340" s="97" t="str">
        <f>IFERROR(VLOOKUP(A340,'Historial Certificados'!$A$6:$E$29,5,FALSE),"")</f>
        <v/>
      </c>
      <c r="R340" s="97" t="str">
        <f t="shared" si="22"/>
        <v/>
      </c>
    </row>
    <row r="341" spans="1:18">
      <c r="A341" s="28"/>
      <c r="B341" s="29"/>
      <c r="C341" s="30"/>
      <c r="D341" s="30"/>
      <c r="E341" s="30"/>
      <c r="F341" s="30"/>
      <c r="G341" s="30"/>
      <c r="H341" s="107" t="str">
        <f>IF(G341="","",IFERROR(VLOOKUP(G341&amp;"",'Presupuesto Base'!$A$7:$G$24,2,FALSE),"Ítem no encontrado"))</f>
        <v/>
      </c>
      <c r="I341" s="107" t="str">
        <f>IF(G341="","",IFERROR(VLOOKUP(G341&amp;"",'Presupuesto Base'!$A$7:$G$24,3,FALSE),""))</f>
        <v/>
      </c>
      <c r="J341" s="30"/>
      <c r="K341" s="32"/>
      <c r="L341" s="108">
        <f>IF(G341="",0,IFERROR(VLOOKUP(G341&amp;"",'Presupuesto Base'!$A$7:$G$24,5,FALSE),0))</f>
        <v>0</v>
      </c>
      <c r="M341" s="108">
        <f t="shared" si="21"/>
        <v>0</v>
      </c>
      <c r="N341" s="30"/>
      <c r="O341" s="30"/>
      <c r="P341" s="33"/>
      <c r="Q341" s="97" t="str">
        <f>IFERROR(VLOOKUP(A341,'Historial Certificados'!$A$6:$E$29,5,FALSE),"")</f>
        <v/>
      </c>
      <c r="R341" s="97" t="str">
        <f t="shared" si="22"/>
        <v/>
      </c>
    </row>
    <row r="342" spans="1:18">
      <c r="A342" s="28"/>
      <c r="B342" s="29"/>
      <c r="C342" s="30"/>
      <c r="D342" s="30"/>
      <c r="E342" s="30"/>
      <c r="F342" s="30"/>
      <c r="G342" s="30"/>
      <c r="H342" s="107" t="str">
        <f>IF(G342="","",IFERROR(VLOOKUP(G342&amp;"",'Presupuesto Base'!$A$7:$G$24,2,FALSE),"Ítem no encontrado"))</f>
        <v/>
      </c>
      <c r="I342" s="107" t="str">
        <f>IF(G342="","",IFERROR(VLOOKUP(G342&amp;"",'Presupuesto Base'!$A$7:$G$24,3,FALSE),""))</f>
        <v/>
      </c>
      <c r="J342" s="30"/>
      <c r="K342" s="32"/>
      <c r="L342" s="108">
        <f>IF(G342="",0,IFERROR(VLOOKUP(G342&amp;"",'Presupuesto Base'!$A$7:$G$24,5,FALSE),0))</f>
        <v>0</v>
      </c>
      <c r="M342" s="108">
        <f t="shared" si="21"/>
        <v>0</v>
      </c>
      <c r="N342" s="30"/>
      <c r="O342" s="30"/>
      <c r="P342" s="33"/>
      <c r="Q342" s="97" t="str">
        <f>IFERROR(VLOOKUP(A342,'Historial Certificados'!$A$6:$E$29,5,FALSE),"")</f>
        <v/>
      </c>
      <c r="R342" s="97" t="str">
        <f t="shared" si="22"/>
        <v/>
      </c>
    </row>
    <row r="343" spans="1:18">
      <c r="A343" s="28"/>
      <c r="B343" s="29"/>
      <c r="C343" s="30"/>
      <c r="D343" s="30"/>
      <c r="E343" s="30"/>
      <c r="F343" s="30"/>
      <c r="G343" s="30"/>
      <c r="H343" s="107" t="str">
        <f>IF(G343="","",IFERROR(VLOOKUP(G343&amp;"",'Presupuesto Base'!$A$7:$G$24,2,FALSE),"Ítem no encontrado"))</f>
        <v/>
      </c>
      <c r="I343" s="107" t="str">
        <f>IF(G343="","",IFERROR(VLOOKUP(G343&amp;"",'Presupuesto Base'!$A$7:$G$24,3,FALSE),""))</f>
        <v/>
      </c>
      <c r="J343" s="30"/>
      <c r="K343" s="32"/>
      <c r="L343" s="108">
        <f>IF(G343="",0,IFERROR(VLOOKUP(G343&amp;"",'Presupuesto Base'!$A$7:$G$24,5,FALSE),0))</f>
        <v>0</v>
      </c>
      <c r="M343" s="108">
        <f t="shared" si="21"/>
        <v>0</v>
      </c>
      <c r="N343" s="30"/>
      <c r="O343" s="30"/>
      <c r="P343" s="33"/>
      <c r="Q343" s="97" t="str">
        <f>IFERROR(VLOOKUP(A343,'Historial Certificados'!$A$6:$E$29,5,FALSE),"")</f>
        <v/>
      </c>
      <c r="R343" s="97" t="str">
        <f t="shared" si="22"/>
        <v/>
      </c>
    </row>
    <row r="344" spans="1:18">
      <c r="A344" s="28"/>
      <c r="B344" s="29"/>
      <c r="C344" s="30"/>
      <c r="D344" s="30"/>
      <c r="E344" s="30"/>
      <c r="F344" s="30"/>
      <c r="G344" s="30"/>
      <c r="H344" s="107" t="str">
        <f>IF(G344="","",IFERROR(VLOOKUP(G344&amp;"",'Presupuesto Base'!$A$7:$G$24,2,FALSE),"Ítem no encontrado"))</f>
        <v/>
      </c>
      <c r="I344" s="107" t="str">
        <f>IF(G344="","",IFERROR(VLOOKUP(G344&amp;"",'Presupuesto Base'!$A$7:$G$24,3,FALSE),""))</f>
        <v/>
      </c>
      <c r="J344" s="30"/>
      <c r="K344" s="32"/>
      <c r="L344" s="108">
        <f>IF(G344="",0,IFERROR(VLOOKUP(G344&amp;"",'Presupuesto Base'!$A$7:$G$24,5,FALSE),0))</f>
        <v>0</v>
      </c>
      <c r="M344" s="108">
        <f t="shared" si="21"/>
        <v>0</v>
      </c>
      <c r="N344" s="30"/>
      <c r="O344" s="30"/>
      <c r="P344" s="33"/>
      <c r="Q344" s="97" t="str">
        <f>IFERROR(VLOOKUP(A344,'Historial Certificados'!$A$6:$E$29,5,FALSE),"")</f>
        <v/>
      </c>
      <c r="R344" s="97" t="str">
        <f t="shared" si="22"/>
        <v/>
      </c>
    </row>
    <row r="345" spans="1:18">
      <c r="A345" s="28"/>
      <c r="B345" s="29"/>
      <c r="C345" s="30"/>
      <c r="D345" s="30"/>
      <c r="E345" s="30"/>
      <c r="F345" s="30"/>
      <c r="G345" s="30"/>
      <c r="H345" s="107" t="str">
        <f>IF(G345="","",IFERROR(VLOOKUP(G345&amp;"",'Presupuesto Base'!$A$7:$G$24,2,FALSE),"Ítem no encontrado"))</f>
        <v/>
      </c>
      <c r="I345" s="107" t="str">
        <f>IF(G345="","",IFERROR(VLOOKUP(G345&amp;"",'Presupuesto Base'!$A$7:$G$24,3,FALSE),""))</f>
        <v/>
      </c>
      <c r="J345" s="30"/>
      <c r="K345" s="32"/>
      <c r="L345" s="108">
        <f>IF(G345="",0,IFERROR(VLOOKUP(G345&amp;"",'Presupuesto Base'!$A$7:$G$24,5,FALSE),0))</f>
        <v>0</v>
      </c>
      <c r="M345" s="108">
        <f t="shared" si="21"/>
        <v>0</v>
      </c>
      <c r="N345" s="30"/>
      <c r="O345" s="30"/>
      <c r="P345" s="33"/>
      <c r="Q345" s="97" t="str">
        <f>IFERROR(VLOOKUP(A345,'Historial Certificados'!$A$6:$E$29,5,FALSE),"")</f>
        <v/>
      </c>
      <c r="R345" s="97" t="str">
        <f t="shared" si="22"/>
        <v/>
      </c>
    </row>
    <row r="346" spans="1:18">
      <c r="A346" s="28"/>
      <c r="B346" s="29"/>
      <c r="C346" s="30"/>
      <c r="D346" s="30"/>
      <c r="E346" s="30"/>
      <c r="F346" s="30"/>
      <c r="G346" s="30"/>
      <c r="H346" s="107" t="str">
        <f>IF(G346="","",IFERROR(VLOOKUP(G346&amp;"",'Presupuesto Base'!$A$7:$G$24,2,FALSE),"Ítem no encontrado"))</f>
        <v/>
      </c>
      <c r="I346" s="107" t="str">
        <f>IF(G346="","",IFERROR(VLOOKUP(G346&amp;"",'Presupuesto Base'!$A$7:$G$24,3,FALSE),""))</f>
        <v/>
      </c>
      <c r="J346" s="30"/>
      <c r="K346" s="32"/>
      <c r="L346" s="108">
        <f>IF(G346="",0,IFERROR(VLOOKUP(G346&amp;"",'Presupuesto Base'!$A$7:$G$24,5,FALSE),0))</f>
        <v>0</v>
      </c>
      <c r="M346" s="108">
        <f t="shared" si="21"/>
        <v>0</v>
      </c>
      <c r="N346" s="30"/>
      <c r="O346" s="30"/>
      <c r="P346" s="33"/>
      <c r="Q346" s="97" t="str">
        <f>IFERROR(VLOOKUP(A346,'Historial Certificados'!$A$6:$E$29,5,FALSE),"")</f>
        <v/>
      </c>
      <c r="R346" s="97" t="str">
        <f t="shared" si="22"/>
        <v/>
      </c>
    </row>
    <row r="347" spans="1:18">
      <c r="A347" s="28"/>
      <c r="B347" s="29"/>
      <c r="C347" s="30"/>
      <c r="D347" s="30"/>
      <c r="E347" s="30"/>
      <c r="F347" s="30"/>
      <c r="G347" s="30"/>
      <c r="H347" s="107" t="str">
        <f>IF(G347="","",IFERROR(VLOOKUP(G347&amp;"",'Presupuesto Base'!$A$7:$G$24,2,FALSE),"Ítem no encontrado"))</f>
        <v/>
      </c>
      <c r="I347" s="107" t="str">
        <f>IF(G347="","",IFERROR(VLOOKUP(G347&amp;"",'Presupuesto Base'!$A$7:$G$24,3,FALSE),""))</f>
        <v/>
      </c>
      <c r="J347" s="30"/>
      <c r="K347" s="32"/>
      <c r="L347" s="108">
        <f>IF(G347="",0,IFERROR(VLOOKUP(G347&amp;"",'Presupuesto Base'!$A$7:$G$24,5,FALSE),0))</f>
        <v>0</v>
      </c>
      <c r="M347" s="108">
        <f t="shared" si="21"/>
        <v>0</v>
      </c>
      <c r="N347" s="30"/>
      <c r="O347" s="30"/>
      <c r="P347" s="33"/>
      <c r="Q347" s="97" t="str">
        <f>IFERROR(VLOOKUP(A347,'Historial Certificados'!$A$6:$E$29,5,FALSE),"")</f>
        <v/>
      </c>
      <c r="R347" s="97" t="str">
        <f t="shared" si="22"/>
        <v/>
      </c>
    </row>
    <row r="348" spans="1:18">
      <c r="A348" s="28"/>
      <c r="B348" s="29"/>
      <c r="C348" s="30"/>
      <c r="D348" s="30"/>
      <c r="E348" s="30"/>
      <c r="F348" s="30"/>
      <c r="G348" s="30"/>
      <c r="H348" s="107" t="str">
        <f>IF(G348="","",IFERROR(VLOOKUP(G348&amp;"",'Presupuesto Base'!$A$7:$G$24,2,FALSE),"Ítem no encontrado"))</f>
        <v/>
      </c>
      <c r="I348" s="107" t="str">
        <f>IF(G348="","",IFERROR(VLOOKUP(G348&amp;"",'Presupuesto Base'!$A$7:$G$24,3,FALSE),""))</f>
        <v/>
      </c>
      <c r="J348" s="30"/>
      <c r="K348" s="32"/>
      <c r="L348" s="108">
        <f>IF(G348="",0,IFERROR(VLOOKUP(G348&amp;"",'Presupuesto Base'!$A$7:$G$24,5,FALSE),0))</f>
        <v>0</v>
      </c>
      <c r="M348" s="108">
        <f t="shared" si="21"/>
        <v>0</v>
      </c>
      <c r="N348" s="30"/>
      <c r="O348" s="30"/>
      <c r="P348" s="33"/>
      <c r="Q348" s="97" t="str">
        <f>IFERROR(VLOOKUP(A348,'Historial Certificados'!$A$6:$E$29,5,FALSE),"")</f>
        <v/>
      </c>
      <c r="R348" s="97" t="str">
        <f t="shared" si="22"/>
        <v/>
      </c>
    </row>
    <row r="349" spans="1:18">
      <c r="A349" s="28"/>
      <c r="B349" s="29"/>
      <c r="C349" s="30"/>
      <c r="D349" s="30"/>
      <c r="E349" s="30"/>
      <c r="F349" s="30"/>
      <c r="G349" s="30"/>
      <c r="H349" s="107" t="str">
        <f>IF(G349="","",IFERROR(VLOOKUP(G349&amp;"",'Presupuesto Base'!$A$7:$G$24,2,FALSE),"Ítem no encontrado"))</f>
        <v/>
      </c>
      <c r="I349" s="107" t="str">
        <f>IF(G349="","",IFERROR(VLOOKUP(G349&amp;"",'Presupuesto Base'!$A$7:$G$24,3,FALSE),""))</f>
        <v/>
      </c>
      <c r="J349" s="30"/>
      <c r="K349" s="32"/>
      <c r="L349" s="108">
        <f>IF(G349="",0,IFERROR(VLOOKUP(G349&amp;"",'Presupuesto Base'!$A$7:$G$24,5,FALSE),0))</f>
        <v>0</v>
      </c>
      <c r="M349" s="108">
        <f t="shared" si="21"/>
        <v>0</v>
      </c>
      <c r="N349" s="30"/>
      <c r="O349" s="30"/>
      <c r="P349" s="33"/>
      <c r="Q349" s="97" t="str">
        <f>IFERROR(VLOOKUP(A349,'Historial Certificados'!$A$6:$E$29,5,FALSE),"")</f>
        <v/>
      </c>
      <c r="R349" s="97" t="str">
        <f t="shared" si="22"/>
        <v/>
      </c>
    </row>
    <row r="350" spans="1:18">
      <c r="A350" s="28"/>
      <c r="B350" s="29"/>
      <c r="C350" s="30"/>
      <c r="D350" s="30"/>
      <c r="E350" s="30"/>
      <c r="F350" s="30"/>
      <c r="G350" s="30"/>
      <c r="H350" s="107" t="str">
        <f>IF(G350="","",IFERROR(VLOOKUP(G350&amp;"",'Presupuesto Base'!$A$7:$G$24,2,FALSE),"Ítem no encontrado"))</f>
        <v/>
      </c>
      <c r="I350" s="107" t="str">
        <f>IF(G350="","",IFERROR(VLOOKUP(G350&amp;"",'Presupuesto Base'!$A$7:$G$24,3,FALSE),""))</f>
        <v/>
      </c>
      <c r="J350" s="30"/>
      <c r="K350" s="32"/>
      <c r="L350" s="108">
        <f>IF(G350="",0,IFERROR(VLOOKUP(G350&amp;"",'Presupuesto Base'!$A$7:$G$24,5,FALSE),0))</f>
        <v>0</v>
      </c>
      <c r="M350" s="108">
        <f t="shared" si="21"/>
        <v>0</v>
      </c>
      <c r="N350" s="30"/>
      <c r="O350" s="30"/>
      <c r="P350" s="33"/>
      <c r="Q350" s="97" t="str">
        <f>IFERROR(VLOOKUP(A350,'Historial Certificados'!$A$6:$E$29,5,FALSE),"")</f>
        <v/>
      </c>
      <c r="R350" s="97" t="str">
        <f t="shared" si="22"/>
        <v/>
      </c>
    </row>
    <row r="351" spans="1:18">
      <c r="A351" s="28"/>
      <c r="B351" s="29"/>
      <c r="C351" s="30"/>
      <c r="D351" s="30"/>
      <c r="E351" s="30"/>
      <c r="F351" s="30"/>
      <c r="G351" s="30"/>
      <c r="H351" s="107" t="str">
        <f>IF(G351="","",IFERROR(VLOOKUP(G351&amp;"",'Presupuesto Base'!$A$7:$G$24,2,FALSE),"Ítem no encontrado"))</f>
        <v/>
      </c>
      <c r="I351" s="107" t="str">
        <f>IF(G351="","",IFERROR(VLOOKUP(G351&amp;"",'Presupuesto Base'!$A$7:$G$24,3,FALSE),""))</f>
        <v/>
      </c>
      <c r="J351" s="30"/>
      <c r="K351" s="32"/>
      <c r="L351" s="108">
        <f>IF(G351="",0,IFERROR(VLOOKUP(G351&amp;"",'Presupuesto Base'!$A$7:$G$24,5,FALSE),0))</f>
        <v>0</v>
      </c>
      <c r="M351" s="108">
        <f t="shared" si="21"/>
        <v>0</v>
      </c>
      <c r="N351" s="30"/>
      <c r="O351" s="30"/>
      <c r="P351" s="33"/>
      <c r="Q351" s="97" t="str">
        <f>IFERROR(VLOOKUP(A351,'Historial Certificados'!$A$6:$E$29,5,FALSE),"")</f>
        <v/>
      </c>
      <c r="R351" s="97" t="str">
        <f t="shared" si="22"/>
        <v/>
      </c>
    </row>
    <row r="352" spans="1:18">
      <c r="A352" s="28"/>
      <c r="B352" s="29"/>
      <c r="C352" s="30"/>
      <c r="D352" s="30"/>
      <c r="E352" s="30"/>
      <c r="F352" s="30"/>
      <c r="G352" s="30"/>
      <c r="H352" s="107" t="str">
        <f>IF(G352="","",IFERROR(VLOOKUP(G352&amp;"",'Presupuesto Base'!$A$7:$G$24,2,FALSE),"Ítem no encontrado"))</f>
        <v/>
      </c>
      <c r="I352" s="107" t="str">
        <f>IF(G352="","",IFERROR(VLOOKUP(G352&amp;"",'Presupuesto Base'!$A$7:$G$24,3,FALSE),""))</f>
        <v/>
      </c>
      <c r="J352" s="30"/>
      <c r="K352" s="32"/>
      <c r="L352" s="108">
        <f>IF(G352="",0,IFERROR(VLOOKUP(G352&amp;"",'Presupuesto Base'!$A$7:$G$24,5,FALSE),0))</f>
        <v>0</v>
      </c>
      <c r="M352" s="108">
        <f t="shared" si="21"/>
        <v>0</v>
      </c>
      <c r="N352" s="30"/>
      <c r="O352" s="30"/>
      <c r="P352" s="33"/>
      <c r="Q352" s="97" t="str">
        <f>IFERROR(VLOOKUP(A352,'Historial Certificados'!$A$6:$E$29,5,FALSE),"")</f>
        <v/>
      </c>
      <c r="R352" s="97" t="str">
        <f t="shared" si="22"/>
        <v/>
      </c>
    </row>
    <row r="353" spans="1:18">
      <c r="A353" s="28"/>
      <c r="B353" s="29"/>
      <c r="C353" s="30"/>
      <c r="D353" s="30"/>
      <c r="E353" s="30"/>
      <c r="F353" s="30"/>
      <c r="G353" s="30"/>
      <c r="H353" s="107" t="str">
        <f>IF(G353="","",IFERROR(VLOOKUP(G353&amp;"",'Presupuesto Base'!$A$7:$G$24,2,FALSE),"Ítem no encontrado"))</f>
        <v/>
      </c>
      <c r="I353" s="107" t="str">
        <f>IF(G353="","",IFERROR(VLOOKUP(G353&amp;"",'Presupuesto Base'!$A$7:$G$24,3,FALSE),""))</f>
        <v/>
      </c>
      <c r="J353" s="30"/>
      <c r="K353" s="32"/>
      <c r="L353" s="108">
        <f>IF(G353="",0,IFERROR(VLOOKUP(G353&amp;"",'Presupuesto Base'!$A$7:$G$24,5,FALSE),0))</f>
        <v>0</v>
      </c>
      <c r="M353" s="108">
        <f t="shared" si="21"/>
        <v>0</v>
      </c>
      <c r="N353" s="30"/>
      <c r="O353" s="30"/>
      <c r="P353" s="33"/>
      <c r="Q353" s="97" t="str">
        <f>IFERROR(VLOOKUP(A353,'Historial Certificados'!$A$6:$E$29,5,FALSE),"")</f>
        <v/>
      </c>
      <c r="R353" s="97" t="str">
        <f t="shared" si="22"/>
        <v/>
      </c>
    </row>
    <row r="354" spans="1:18">
      <c r="A354" s="28"/>
      <c r="B354" s="29"/>
      <c r="C354" s="30"/>
      <c r="D354" s="30"/>
      <c r="E354" s="30"/>
      <c r="F354" s="30"/>
      <c r="G354" s="30"/>
      <c r="H354" s="107" t="str">
        <f>IF(G354="","",IFERROR(VLOOKUP(G354&amp;"",'Presupuesto Base'!$A$7:$G$24,2,FALSE),"Ítem no encontrado"))</f>
        <v/>
      </c>
      <c r="I354" s="107" t="str">
        <f>IF(G354="","",IFERROR(VLOOKUP(G354&amp;"",'Presupuesto Base'!$A$7:$G$24,3,FALSE),""))</f>
        <v/>
      </c>
      <c r="J354" s="30"/>
      <c r="K354" s="32"/>
      <c r="L354" s="108">
        <f>IF(G354="",0,IFERROR(VLOOKUP(G354&amp;"",'Presupuesto Base'!$A$7:$G$24,5,FALSE),0))</f>
        <v>0</v>
      </c>
      <c r="M354" s="108">
        <f t="shared" si="21"/>
        <v>0</v>
      </c>
      <c r="N354" s="30"/>
      <c r="O354" s="30"/>
      <c r="P354" s="33"/>
      <c r="Q354" s="97" t="str">
        <f>IFERROR(VLOOKUP(A354,'Historial Certificados'!$A$6:$E$29,5,FALSE),"")</f>
        <v/>
      </c>
      <c r="R354" s="97" t="str">
        <f t="shared" si="22"/>
        <v/>
      </c>
    </row>
    <row r="355" spans="1:18">
      <c r="A355" s="28"/>
      <c r="B355" s="29"/>
      <c r="C355" s="30"/>
      <c r="D355" s="30"/>
      <c r="E355" s="30"/>
      <c r="F355" s="30"/>
      <c r="G355" s="30"/>
      <c r="H355" s="107" t="str">
        <f>IF(G355="","",IFERROR(VLOOKUP(G355&amp;"",'Presupuesto Base'!$A$7:$G$24,2,FALSE),"Ítem no encontrado"))</f>
        <v/>
      </c>
      <c r="I355" s="107" t="str">
        <f>IF(G355="","",IFERROR(VLOOKUP(G355&amp;"",'Presupuesto Base'!$A$7:$G$24,3,FALSE),""))</f>
        <v/>
      </c>
      <c r="J355" s="30"/>
      <c r="K355" s="32"/>
      <c r="L355" s="108">
        <f>IF(G355="",0,IFERROR(VLOOKUP(G355&amp;"",'Presupuesto Base'!$A$7:$G$24,5,FALSE),0))</f>
        <v>0</v>
      </c>
      <c r="M355" s="108">
        <f t="shared" si="21"/>
        <v>0</v>
      </c>
      <c r="N355" s="30"/>
      <c r="O355" s="30"/>
      <c r="P355" s="33"/>
      <c r="Q355" s="97" t="str">
        <f>IFERROR(VLOOKUP(A355,'Historial Certificados'!$A$6:$E$29,5,FALSE),"")</f>
        <v/>
      </c>
      <c r="R355" s="97" t="str">
        <f t="shared" si="22"/>
        <v/>
      </c>
    </row>
    <row r="356" spans="1:18">
      <c r="A356" s="28"/>
      <c r="B356" s="29"/>
      <c r="C356" s="30"/>
      <c r="D356" s="30"/>
      <c r="E356" s="30"/>
      <c r="F356" s="30"/>
      <c r="G356" s="30"/>
      <c r="H356" s="107" t="str">
        <f>IF(G356="","",IFERROR(VLOOKUP(G356&amp;"",'Presupuesto Base'!$A$7:$G$24,2,FALSE),"Ítem no encontrado"))</f>
        <v/>
      </c>
      <c r="I356" s="107" t="str">
        <f>IF(G356="","",IFERROR(VLOOKUP(G356&amp;"",'Presupuesto Base'!$A$7:$G$24,3,FALSE),""))</f>
        <v/>
      </c>
      <c r="J356" s="30"/>
      <c r="K356" s="32"/>
      <c r="L356" s="108">
        <f>IF(G356="",0,IFERROR(VLOOKUP(G356&amp;"",'Presupuesto Base'!$A$7:$G$24,5,FALSE),0))</f>
        <v>0</v>
      </c>
      <c r="M356" s="108">
        <f t="shared" si="21"/>
        <v>0</v>
      </c>
      <c r="N356" s="30"/>
      <c r="O356" s="30"/>
      <c r="P356" s="33"/>
      <c r="Q356" s="97" t="str">
        <f>IFERROR(VLOOKUP(A356,'Historial Certificados'!$A$6:$E$29,5,FALSE),"")</f>
        <v/>
      </c>
      <c r="R356" s="97" t="str">
        <f t="shared" si="22"/>
        <v/>
      </c>
    </row>
    <row r="357" spans="1:18">
      <c r="A357" s="28"/>
      <c r="B357" s="29"/>
      <c r="C357" s="30"/>
      <c r="D357" s="30"/>
      <c r="E357" s="30"/>
      <c r="F357" s="30"/>
      <c r="G357" s="30"/>
      <c r="H357" s="107" t="str">
        <f>IF(G357="","",IFERROR(VLOOKUP(G357&amp;"",'Presupuesto Base'!$A$7:$G$24,2,FALSE),"Ítem no encontrado"))</f>
        <v/>
      </c>
      <c r="I357" s="107" t="str">
        <f>IF(G357="","",IFERROR(VLOOKUP(G357&amp;"",'Presupuesto Base'!$A$7:$G$24,3,FALSE),""))</f>
        <v/>
      </c>
      <c r="J357" s="30"/>
      <c r="K357" s="32"/>
      <c r="L357" s="108">
        <f>IF(G357="",0,IFERROR(VLOOKUP(G357&amp;"",'Presupuesto Base'!$A$7:$G$24,5,FALSE),0))</f>
        <v>0</v>
      </c>
      <c r="M357" s="108">
        <f t="shared" si="21"/>
        <v>0</v>
      </c>
      <c r="N357" s="30"/>
      <c r="O357" s="30"/>
      <c r="P357" s="33"/>
      <c r="Q357" s="97" t="str">
        <f>IFERROR(VLOOKUP(A357,'Historial Certificados'!$A$6:$E$29,5,FALSE),"")</f>
        <v/>
      </c>
      <c r="R357" s="97" t="str">
        <f t="shared" si="22"/>
        <v/>
      </c>
    </row>
    <row r="358" spans="1:18">
      <c r="A358" s="28"/>
      <c r="B358" s="29"/>
      <c r="C358" s="30"/>
      <c r="D358" s="30"/>
      <c r="E358" s="30"/>
      <c r="F358" s="30"/>
      <c r="G358" s="30"/>
      <c r="H358" s="107" t="str">
        <f>IF(G358="","",IFERROR(VLOOKUP(G358&amp;"",'Presupuesto Base'!$A$7:$G$24,2,FALSE),"Ítem no encontrado"))</f>
        <v/>
      </c>
      <c r="I358" s="107" t="str">
        <f>IF(G358="","",IFERROR(VLOOKUP(G358&amp;"",'Presupuesto Base'!$A$7:$G$24,3,FALSE),""))</f>
        <v/>
      </c>
      <c r="J358" s="30"/>
      <c r="K358" s="32"/>
      <c r="L358" s="108">
        <f>IF(G358="",0,IFERROR(VLOOKUP(G358&amp;"",'Presupuesto Base'!$A$7:$G$24,5,FALSE),0))</f>
        <v>0</v>
      </c>
      <c r="M358" s="108">
        <f t="shared" si="21"/>
        <v>0</v>
      </c>
      <c r="N358" s="30"/>
      <c r="O358" s="30"/>
      <c r="P358" s="33"/>
      <c r="Q358" s="97" t="str">
        <f>IFERROR(VLOOKUP(A358,'Historial Certificados'!$A$6:$E$29,5,FALSE),"")</f>
        <v/>
      </c>
      <c r="R358" s="97" t="str">
        <f t="shared" si="22"/>
        <v/>
      </c>
    </row>
    <row r="359" spans="1:18">
      <c r="A359" s="28"/>
      <c r="B359" s="29"/>
      <c r="C359" s="30"/>
      <c r="D359" s="30"/>
      <c r="E359" s="30"/>
      <c r="F359" s="30"/>
      <c r="G359" s="30"/>
      <c r="H359" s="107" t="str">
        <f>IF(G359="","",IFERROR(VLOOKUP(G359&amp;"",'Presupuesto Base'!$A$7:$G$24,2,FALSE),"Ítem no encontrado"))</f>
        <v/>
      </c>
      <c r="I359" s="107" t="str">
        <f>IF(G359="","",IFERROR(VLOOKUP(G359&amp;"",'Presupuesto Base'!$A$7:$G$24,3,FALSE),""))</f>
        <v/>
      </c>
      <c r="J359" s="30"/>
      <c r="K359" s="32"/>
      <c r="L359" s="108">
        <f>IF(G359="",0,IFERROR(VLOOKUP(G359&amp;"",'Presupuesto Base'!$A$7:$G$24,5,FALSE),0))</f>
        <v>0</v>
      </c>
      <c r="M359" s="108">
        <f t="shared" si="21"/>
        <v>0</v>
      </c>
      <c r="N359" s="30"/>
      <c r="O359" s="30"/>
      <c r="P359" s="33"/>
      <c r="Q359" s="97" t="str">
        <f>IFERROR(VLOOKUP(A359,'Historial Certificados'!$A$6:$E$29,5,FALSE),"")</f>
        <v/>
      </c>
      <c r="R359" s="97" t="str">
        <f t="shared" si="22"/>
        <v/>
      </c>
    </row>
    <row r="360" spans="1:18">
      <c r="A360" s="28"/>
      <c r="B360" s="29"/>
      <c r="C360" s="30"/>
      <c r="D360" s="30"/>
      <c r="E360" s="30"/>
      <c r="F360" s="30"/>
      <c r="G360" s="30"/>
      <c r="H360" s="107" t="str">
        <f>IF(G360="","",IFERROR(VLOOKUP(G360&amp;"",'Presupuesto Base'!$A$7:$G$24,2,FALSE),"Ítem no encontrado"))</f>
        <v/>
      </c>
      <c r="I360" s="107" t="str">
        <f>IF(G360="","",IFERROR(VLOOKUP(G360&amp;"",'Presupuesto Base'!$A$7:$G$24,3,FALSE),""))</f>
        <v/>
      </c>
      <c r="J360" s="30"/>
      <c r="K360" s="32"/>
      <c r="L360" s="108">
        <f>IF(G360="",0,IFERROR(VLOOKUP(G360&amp;"",'Presupuesto Base'!$A$7:$G$24,5,FALSE),0))</f>
        <v>0</v>
      </c>
      <c r="M360" s="108">
        <f t="shared" si="21"/>
        <v>0</v>
      </c>
      <c r="N360" s="30"/>
      <c r="O360" s="30"/>
      <c r="P360" s="33"/>
      <c r="Q360" s="97" t="str">
        <f>IFERROR(VLOOKUP(A360,'Historial Certificados'!$A$6:$E$29,5,FALSE),"")</f>
        <v/>
      </c>
      <c r="R360" s="97" t="str">
        <f t="shared" si="22"/>
        <v/>
      </c>
    </row>
    <row r="361" spans="1:18">
      <c r="A361" s="28"/>
      <c r="B361" s="29"/>
      <c r="C361" s="30"/>
      <c r="D361" s="30"/>
      <c r="E361" s="30"/>
      <c r="F361" s="30"/>
      <c r="G361" s="30"/>
      <c r="H361" s="107" t="str">
        <f>IF(G361="","",IFERROR(VLOOKUP(G361&amp;"",'Presupuesto Base'!$A$7:$G$24,2,FALSE),"Ítem no encontrado"))</f>
        <v/>
      </c>
      <c r="I361" s="107" t="str">
        <f>IF(G361="","",IFERROR(VLOOKUP(G361&amp;"",'Presupuesto Base'!$A$7:$G$24,3,FALSE),""))</f>
        <v/>
      </c>
      <c r="J361" s="30"/>
      <c r="K361" s="32"/>
      <c r="L361" s="108">
        <f>IF(G361="",0,IFERROR(VLOOKUP(G361&amp;"",'Presupuesto Base'!$A$7:$G$24,5,FALSE),0))</f>
        <v>0</v>
      </c>
      <c r="M361" s="108">
        <f t="shared" si="21"/>
        <v>0</v>
      </c>
      <c r="N361" s="30"/>
      <c r="O361" s="30"/>
      <c r="P361" s="33"/>
      <c r="Q361" s="97" t="str">
        <f>IFERROR(VLOOKUP(A361,'Historial Certificados'!$A$6:$E$29,5,FALSE),"")</f>
        <v/>
      </c>
      <c r="R361" s="97" t="str">
        <f t="shared" si="22"/>
        <v/>
      </c>
    </row>
    <row r="362" spans="1:18">
      <c r="A362" s="28"/>
      <c r="B362" s="29"/>
      <c r="C362" s="30"/>
      <c r="D362" s="30"/>
      <c r="E362" s="30"/>
      <c r="F362" s="30"/>
      <c r="G362" s="30"/>
      <c r="H362" s="107" t="str">
        <f>IF(G362="","",IFERROR(VLOOKUP(G362&amp;"",'Presupuesto Base'!$A$7:$G$24,2,FALSE),"Ítem no encontrado"))</f>
        <v/>
      </c>
      <c r="I362" s="107" t="str">
        <f>IF(G362="","",IFERROR(VLOOKUP(G362&amp;"",'Presupuesto Base'!$A$7:$G$24,3,FALSE),""))</f>
        <v/>
      </c>
      <c r="J362" s="30"/>
      <c r="K362" s="32"/>
      <c r="L362" s="108">
        <f>IF(G362="",0,IFERROR(VLOOKUP(G362&amp;"",'Presupuesto Base'!$A$7:$G$24,5,FALSE),0))</f>
        <v>0</v>
      </c>
      <c r="M362" s="108">
        <f t="shared" si="21"/>
        <v>0</v>
      </c>
      <c r="N362" s="30"/>
      <c r="O362" s="30"/>
      <c r="P362" s="33"/>
      <c r="Q362" s="97" t="str">
        <f>IFERROR(VLOOKUP(A362,'Historial Certificados'!$A$6:$E$29,5,FALSE),"")</f>
        <v/>
      </c>
      <c r="R362" s="97" t="str">
        <f t="shared" si="22"/>
        <v/>
      </c>
    </row>
    <row r="363" spans="1:18">
      <c r="A363" s="28"/>
      <c r="B363" s="29"/>
      <c r="C363" s="30"/>
      <c r="D363" s="30"/>
      <c r="E363" s="30"/>
      <c r="F363" s="30"/>
      <c r="G363" s="30"/>
      <c r="H363" s="107" t="str">
        <f>IF(G363="","",IFERROR(VLOOKUP(G363&amp;"",'Presupuesto Base'!$A$7:$G$24,2,FALSE),"Ítem no encontrado"))</f>
        <v/>
      </c>
      <c r="I363" s="107" t="str">
        <f>IF(G363="","",IFERROR(VLOOKUP(G363&amp;"",'Presupuesto Base'!$A$7:$G$24,3,FALSE),""))</f>
        <v/>
      </c>
      <c r="J363" s="30"/>
      <c r="K363" s="32"/>
      <c r="L363" s="108">
        <f>IF(G363="",0,IFERROR(VLOOKUP(G363&amp;"",'Presupuesto Base'!$A$7:$G$24,5,FALSE),0))</f>
        <v>0</v>
      </c>
      <c r="M363" s="108">
        <f t="shared" si="21"/>
        <v>0</v>
      </c>
      <c r="N363" s="30"/>
      <c r="O363" s="30"/>
      <c r="P363" s="33"/>
      <c r="Q363" s="97" t="str">
        <f>IFERROR(VLOOKUP(A363,'Historial Certificados'!$A$6:$E$29,5,FALSE),"")</f>
        <v/>
      </c>
      <c r="R363" s="97" t="str">
        <f t="shared" si="22"/>
        <v/>
      </c>
    </row>
    <row r="364" spans="1:18">
      <c r="A364" s="28"/>
      <c r="B364" s="29"/>
      <c r="C364" s="30"/>
      <c r="D364" s="30"/>
      <c r="E364" s="30"/>
      <c r="F364" s="30"/>
      <c r="G364" s="30"/>
      <c r="H364" s="107" t="str">
        <f>IF(G364="","",IFERROR(VLOOKUP(G364&amp;"",'Presupuesto Base'!$A$7:$G$24,2,FALSE),"Ítem no encontrado"))</f>
        <v/>
      </c>
      <c r="I364" s="107" t="str">
        <f>IF(G364="","",IFERROR(VLOOKUP(G364&amp;"",'Presupuesto Base'!$A$7:$G$24,3,FALSE),""))</f>
        <v/>
      </c>
      <c r="J364" s="30"/>
      <c r="K364" s="32"/>
      <c r="L364" s="108">
        <f>IF(G364="",0,IFERROR(VLOOKUP(G364&amp;"",'Presupuesto Base'!$A$7:$G$24,5,FALSE),0))</f>
        <v>0</v>
      </c>
      <c r="M364" s="108">
        <f t="shared" si="21"/>
        <v>0</v>
      </c>
      <c r="N364" s="30"/>
      <c r="O364" s="30"/>
      <c r="P364" s="33"/>
      <c r="Q364" s="97" t="str">
        <f>IFERROR(VLOOKUP(A364,'Historial Certificados'!$A$6:$E$29,5,FALSE),"")</f>
        <v/>
      </c>
      <c r="R364" s="97" t="str">
        <f t="shared" si="22"/>
        <v/>
      </c>
    </row>
    <row r="365" spans="1:18">
      <c r="A365" s="28"/>
      <c r="B365" s="29"/>
      <c r="C365" s="30"/>
      <c r="D365" s="30"/>
      <c r="E365" s="30"/>
      <c r="F365" s="30"/>
      <c r="G365" s="30"/>
      <c r="H365" s="107" t="str">
        <f>IF(G365="","",IFERROR(VLOOKUP(G365&amp;"",'Presupuesto Base'!$A$7:$G$24,2,FALSE),"Ítem no encontrado"))</f>
        <v/>
      </c>
      <c r="I365" s="107" t="str">
        <f>IF(G365="","",IFERROR(VLOOKUP(G365&amp;"",'Presupuesto Base'!$A$7:$G$24,3,FALSE),""))</f>
        <v/>
      </c>
      <c r="J365" s="30"/>
      <c r="K365" s="32"/>
      <c r="L365" s="108">
        <f>IF(G365="",0,IFERROR(VLOOKUP(G365&amp;"",'Presupuesto Base'!$A$7:$G$24,5,FALSE),0))</f>
        <v>0</v>
      </c>
      <c r="M365" s="108">
        <f t="shared" si="21"/>
        <v>0</v>
      </c>
      <c r="N365" s="30"/>
      <c r="O365" s="30"/>
      <c r="P365" s="33"/>
      <c r="Q365" s="97" t="str">
        <f>IFERROR(VLOOKUP(A365,'Historial Certificados'!$A$6:$E$29,5,FALSE),"")</f>
        <v/>
      </c>
      <c r="R365" s="97" t="str">
        <f t="shared" si="22"/>
        <v/>
      </c>
    </row>
    <row r="366" spans="1:18">
      <c r="A366" s="28"/>
      <c r="B366" s="29"/>
      <c r="C366" s="30"/>
      <c r="D366" s="30"/>
      <c r="E366" s="30"/>
      <c r="F366" s="30"/>
      <c r="G366" s="30"/>
      <c r="H366" s="107" t="str">
        <f>IF(G366="","",IFERROR(VLOOKUP(G366&amp;"",'Presupuesto Base'!$A$7:$G$24,2,FALSE),"Ítem no encontrado"))</f>
        <v/>
      </c>
      <c r="I366" s="107" t="str">
        <f>IF(G366="","",IFERROR(VLOOKUP(G366&amp;"",'Presupuesto Base'!$A$7:$G$24,3,FALSE),""))</f>
        <v/>
      </c>
      <c r="J366" s="30"/>
      <c r="K366" s="32"/>
      <c r="L366" s="108">
        <f>IF(G366="",0,IFERROR(VLOOKUP(G366&amp;"",'Presupuesto Base'!$A$7:$G$24,5,FALSE),0))</f>
        <v>0</v>
      </c>
      <c r="M366" s="108">
        <f t="shared" si="21"/>
        <v>0</v>
      </c>
      <c r="N366" s="30"/>
      <c r="O366" s="30"/>
      <c r="P366" s="33"/>
      <c r="Q366" s="97" t="str">
        <f>IFERROR(VLOOKUP(A366,'Historial Certificados'!$A$6:$E$29,5,FALSE),"")</f>
        <v/>
      </c>
      <c r="R366" s="97" t="str">
        <f t="shared" si="22"/>
        <v/>
      </c>
    </row>
    <row r="367" spans="1:18">
      <c r="A367" s="28"/>
      <c r="B367" s="29"/>
      <c r="C367" s="30"/>
      <c r="D367" s="30"/>
      <c r="E367" s="30"/>
      <c r="F367" s="30"/>
      <c r="G367" s="30"/>
      <c r="H367" s="107" t="str">
        <f>IF(G367="","",IFERROR(VLOOKUP(G367&amp;"",'Presupuesto Base'!$A$7:$G$24,2,FALSE),"Ítem no encontrado"))</f>
        <v/>
      </c>
      <c r="I367" s="107" t="str">
        <f>IF(G367="","",IFERROR(VLOOKUP(G367&amp;"",'Presupuesto Base'!$A$7:$G$24,3,FALSE),""))</f>
        <v/>
      </c>
      <c r="J367" s="30"/>
      <c r="K367" s="32"/>
      <c r="L367" s="108">
        <f>IF(G367="",0,IFERROR(VLOOKUP(G367&amp;"",'Presupuesto Base'!$A$7:$G$24,5,FALSE),0))</f>
        <v>0</v>
      </c>
      <c r="M367" s="108">
        <f t="shared" si="21"/>
        <v>0</v>
      </c>
      <c r="N367" s="30"/>
      <c r="O367" s="30"/>
      <c r="P367" s="33"/>
      <c r="Q367" s="97" t="str">
        <f>IFERROR(VLOOKUP(A367,'Historial Certificados'!$A$6:$E$29,5,FALSE),"")</f>
        <v/>
      </c>
      <c r="R367" s="97" t="str">
        <f t="shared" si="22"/>
        <v/>
      </c>
    </row>
    <row r="368" spans="1:18">
      <c r="A368" s="28"/>
      <c r="B368" s="29"/>
      <c r="C368" s="30"/>
      <c r="D368" s="30"/>
      <c r="E368" s="30"/>
      <c r="F368" s="30"/>
      <c r="G368" s="30"/>
      <c r="H368" s="107" t="str">
        <f>IF(G368="","",IFERROR(VLOOKUP(G368&amp;"",'Presupuesto Base'!$A$7:$G$24,2,FALSE),"Ítem no encontrado"))</f>
        <v/>
      </c>
      <c r="I368" s="107" t="str">
        <f>IF(G368="","",IFERROR(VLOOKUP(G368&amp;"",'Presupuesto Base'!$A$7:$G$24,3,FALSE),""))</f>
        <v/>
      </c>
      <c r="J368" s="30"/>
      <c r="K368" s="32"/>
      <c r="L368" s="108">
        <f>IF(G368="",0,IFERROR(VLOOKUP(G368&amp;"",'Presupuesto Base'!$A$7:$G$24,5,FALSE),0))</f>
        <v>0</v>
      </c>
      <c r="M368" s="108">
        <f t="shared" si="21"/>
        <v>0</v>
      </c>
      <c r="N368" s="30"/>
      <c r="O368" s="30"/>
      <c r="P368" s="33"/>
      <c r="Q368" s="97" t="str">
        <f>IFERROR(VLOOKUP(A368,'Historial Certificados'!$A$6:$E$29,5,FALSE),"")</f>
        <v/>
      </c>
      <c r="R368" s="97" t="str">
        <f t="shared" si="22"/>
        <v/>
      </c>
    </row>
    <row r="369" spans="1:18">
      <c r="A369" s="28"/>
      <c r="B369" s="29"/>
      <c r="C369" s="30"/>
      <c r="D369" s="30"/>
      <c r="E369" s="30"/>
      <c r="F369" s="30"/>
      <c r="G369" s="30"/>
      <c r="H369" s="107" t="str">
        <f>IF(G369="","",IFERROR(VLOOKUP(G369&amp;"",'Presupuesto Base'!$A$7:$G$24,2,FALSE),"Ítem no encontrado"))</f>
        <v/>
      </c>
      <c r="I369" s="107" t="str">
        <f>IF(G369="","",IFERROR(VLOOKUP(G369&amp;"",'Presupuesto Base'!$A$7:$G$24,3,FALSE),""))</f>
        <v/>
      </c>
      <c r="J369" s="30"/>
      <c r="K369" s="32"/>
      <c r="L369" s="108">
        <f>IF(G369="",0,IFERROR(VLOOKUP(G369&amp;"",'Presupuesto Base'!$A$7:$G$24,5,FALSE),0))</f>
        <v>0</v>
      </c>
      <c r="M369" s="108">
        <f t="shared" si="21"/>
        <v>0</v>
      </c>
      <c r="N369" s="30"/>
      <c r="O369" s="30"/>
      <c r="P369" s="33"/>
      <c r="Q369" s="97" t="str">
        <f>IFERROR(VLOOKUP(A369,'Historial Certificados'!$A$6:$E$29,5,FALSE),"")</f>
        <v/>
      </c>
      <c r="R369" s="97" t="str">
        <f t="shared" si="22"/>
        <v/>
      </c>
    </row>
    <row r="370" spans="1:18">
      <c r="A370" s="28"/>
      <c r="B370" s="29"/>
      <c r="C370" s="30"/>
      <c r="D370" s="30"/>
      <c r="E370" s="30"/>
      <c r="F370" s="30"/>
      <c r="G370" s="30"/>
      <c r="H370" s="107" t="str">
        <f>IF(G370="","",IFERROR(VLOOKUP(G370&amp;"",'Presupuesto Base'!$A$7:$G$24,2,FALSE),"Ítem no encontrado"))</f>
        <v/>
      </c>
      <c r="I370" s="107" t="str">
        <f>IF(G370="","",IFERROR(VLOOKUP(G370&amp;"",'Presupuesto Base'!$A$7:$G$24,3,FALSE),""))</f>
        <v/>
      </c>
      <c r="J370" s="30"/>
      <c r="K370" s="32"/>
      <c r="L370" s="108">
        <f>IF(G370="",0,IFERROR(VLOOKUP(G370&amp;"",'Presupuesto Base'!$A$7:$G$24,5,FALSE),0))</f>
        <v>0</v>
      </c>
      <c r="M370" s="108">
        <f t="shared" si="21"/>
        <v>0</v>
      </c>
      <c r="N370" s="30"/>
      <c r="O370" s="30"/>
      <c r="P370" s="33"/>
      <c r="Q370" s="97" t="str">
        <f>IFERROR(VLOOKUP(A370,'Historial Certificados'!$A$6:$E$29,5,FALSE),"")</f>
        <v/>
      </c>
      <c r="R370" s="97" t="str">
        <f t="shared" si="22"/>
        <v/>
      </c>
    </row>
    <row r="371" spans="1:18">
      <c r="A371" s="28"/>
      <c r="B371" s="29"/>
      <c r="C371" s="30"/>
      <c r="D371" s="30"/>
      <c r="E371" s="30"/>
      <c r="F371" s="30"/>
      <c r="G371" s="30"/>
      <c r="H371" s="107" t="str">
        <f>IF(G371="","",IFERROR(VLOOKUP(G371&amp;"",'Presupuesto Base'!$A$7:$G$24,2,FALSE),"Ítem no encontrado"))</f>
        <v/>
      </c>
      <c r="I371" s="107" t="str">
        <f>IF(G371="","",IFERROR(VLOOKUP(G371&amp;"",'Presupuesto Base'!$A$7:$G$24,3,FALSE),""))</f>
        <v/>
      </c>
      <c r="J371" s="30"/>
      <c r="K371" s="32"/>
      <c r="L371" s="108">
        <f>IF(G371="",0,IFERROR(VLOOKUP(G371&amp;"",'Presupuesto Base'!$A$7:$G$24,5,FALSE),0))</f>
        <v>0</v>
      </c>
      <c r="M371" s="108">
        <f t="shared" si="21"/>
        <v>0</v>
      </c>
      <c r="N371" s="30"/>
      <c r="O371" s="30"/>
      <c r="P371" s="33"/>
      <c r="Q371" s="97" t="str">
        <f>IFERROR(VLOOKUP(A371,'Historial Certificados'!$A$6:$E$29,5,FALSE),"")</f>
        <v/>
      </c>
      <c r="R371" s="97" t="str">
        <f t="shared" si="22"/>
        <v/>
      </c>
    </row>
    <row r="372" spans="1:18">
      <c r="A372" s="28"/>
      <c r="B372" s="29"/>
      <c r="C372" s="30"/>
      <c r="D372" s="30"/>
      <c r="E372" s="30"/>
      <c r="F372" s="30"/>
      <c r="G372" s="30"/>
      <c r="H372" s="107" t="str">
        <f>IF(G372="","",IFERROR(VLOOKUP(G372&amp;"",'Presupuesto Base'!$A$7:$G$24,2,FALSE),"Ítem no encontrado"))</f>
        <v/>
      </c>
      <c r="I372" s="107" t="str">
        <f>IF(G372="","",IFERROR(VLOOKUP(G372&amp;"",'Presupuesto Base'!$A$7:$G$24,3,FALSE),""))</f>
        <v/>
      </c>
      <c r="J372" s="30"/>
      <c r="K372" s="32"/>
      <c r="L372" s="108">
        <f>IF(G372="",0,IFERROR(VLOOKUP(G372&amp;"",'Presupuesto Base'!$A$7:$G$24,5,FALSE),0))</f>
        <v>0</v>
      </c>
      <c r="M372" s="108">
        <f t="shared" si="21"/>
        <v>0</v>
      </c>
      <c r="N372" s="30"/>
      <c r="O372" s="30"/>
      <c r="P372" s="33"/>
      <c r="Q372" s="97" t="str">
        <f>IFERROR(VLOOKUP(A372,'Historial Certificados'!$A$6:$E$29,5,FALSE),"")</f>
        <v/>
      </c>
      <c r="R372" s="97" t="str">
        <f t="shared" si="22"/>
        <v/>
      </c>
    </row>
    <row r="373" spans="1:18">
      <c r="A373" s="28"/>
      <c r="B373" s="29"/>
      <c r="C373" s="30"/>
      <c r="D373" s="30"/>
      <c r="E373" s="30"/>
      <c r="F373" s="30"/>
      <c r="G373" s="30"/>
      <c r="H373" s="107" t="str">
        <f>IF(G373="","",IFERROR(VLOOKUP(G373&amp;"",'Presupuesto Base'!$A$7:$G$24,2,FALSE),"Ítem no encontrado"))</f>
        <v/>
      </c>
      <c r="I373" s="107" t="str">
        <f>IF(G373="","",IFERROR(VLOOKUP(G373&amp;"",'Presupuesto Base'!$A$7:$G$24,3,FALSE),""))</f>
        <v/>
      </c>
      <c r="J373" s="30"/>
      <c r="K373" s="32"/>
      <c r="L373" s="108">
        <f>IF(G373="",0,IFERROR(VLOOKUP(G373&amp;"",'Presupuesto Base'!$A$7:$G$24,5,FALSE),0))</f>
        <v>0</v>
      </c>
      <c r="M373" s="108">
        <f t="shared" si="21"/>
        <v>0</v>
      </c>
      <c r="N373" s="30"/>
      <c r="O373" s="30"/>
      <c r="P373" s="33"/>
      <c r="Q373" s="97" t="str">
        <f>IFERROR(VLOOKUP(A373,'Historial Certificados'!$A$6:$E$29,5,FALSE),"")</f>
        <v/>
      </c>
      <c r="R373" s="97" t="str">
        <f t="shared" si="22"/>
        <v/>
      </c>
    </row>
    <row r="374" spans="1:18">
      <c r="A374" s="28"/>
      <c r="B374" s="29"/>
      <c r="C374" s="30"/>
      <c r="D374" s="30"/>
      <c r="E374" s="30"/>
      <c r="F374" s="30"/>
      <c r="G374" s="30"/>
      <c r="H374" s="107" t="str">
        <f>IF(G374="","",IFERROR(VLOOKUP(G374&amp;"",'Presupuesto Base'!$A$7:$G$24,2,FALSE),"Ítem no encontrado"))</f>
        <v/>
      </c>
      <c r="I374" s="107" t="str">
        <f>IF(G374="","",IFERROR(VLOOKUP(G374&amp;"",'Presupuesto Base'!$A$7:$G$24,3,FALSE),""))</f>
        <v/>
      </c>
      <c r="J374" s="30"/>
      <c r="K374" s="32"/>
      <c r="L374" s="108">
        <f>IF(G374="",0,IFERROR(VLOOKUP(G374&amp;"",'Presupuesto Base'!$A$7:$G$24,5,FALSE),0))</f>
        <v>0</v>
      </c>
      <c r="M374" s="108">
        <f t="shared" si="21"/>
        <v>0</v>
      </c>
      <c r="N374" s="30"/>
      <c r="O374" s="30"/>
      <c r="P374" s="33"/>
      <c r="Q374" s="97" t="str">
        <f>IFERROR(VLOOKUP(A374,'Historial Certificados'!$A$6:$E$29,5,FALSE),"")</f>
        <v/>
      </c>
      <c r="R374" s="97" t="str">
        <f t="shared" si="22"/>
        <v/>
      </c>
    </row>
    <row r="375" spans="1:18">
      <c r="A375" s="28"/>
      <c r="B375" s="29"/>
      <c r="C375" s="30"/>
      <c r="D375" s="30"/>
      <c r="E375" s="30"/>
      <c r="F375" s="30"/>
      <c r="G375" s="30"/>
      <c r="H375" s="107" t="str">
        <f>IF(G375="","",IFERROR(VLOOKUP(G375&amp;"",'Presupuesto Base'!$A$7:$G$24,2,FALSE),"Ítem no encontrado"))</f>
        <v/>
      </c>
      <c r="I375" s="107" t="str">
        <f>IF(G375="","",IFERROR(VLOOKUP(G375&amp;"",'Presupuesto Base'!$A$7:$G$24,3,FALSE),""))</f>
        <v/>
      </c>
      <c r="J375" s="30"/>
      <c r="K375" s="32"/>
      <c r="L375" s="108">
        <f>IF(G375="",0,IFERROR(VLOOKUP(G375&amp;"",'Presupuesto Base'!$A$7:$G$24,5,FALSE),0))</f>
        <v>0</v>
      </c>
      <c r="M375" s="108">
        <f t="shared" si="21"/>
        <v>0</v>
      </c>
      <c r="N375" s="30"/>
      <c r="O375" s="30"/>
      <c r="P375" s="33"/>
      <c r="Q375" s="97" t="str">
        <f>IFERROR(VLOOKUP(A375,'Historial Certificados'!$A$6:$E$29,5,FALSE),"")</f>
        <v/>
      </c>
      <c r="R375" s="97" t="str">
        <f t="shared" si="22"/>
        <v/>
      </c>
    </row>
    <row r="376" spans="1:18">
      <c r="A376" s="28"/>
      <c r="B376" s="29"/>
      <c r="C376" s="30"/>
      <c r="D376" s="30"/>
      <c r="E376" s="30"/>
      <c r="F376" s="30"/>
      <c r="G376" s="30"/>
      <c r="H376" s="107" t="str">
        <f>IF(G376="","",IFERROR(VLOOKUP(G376&amp;"",'Presupuesto Base'!$A$7:$G$24,2,FALSE),"Ítem no encontrado"))</f>
        <v/>
      </c>
      <c r="I376" s="107" t="str">
        <f>IF(G376="","",IFERROR(VLOOKUP(G376&amp;"",'Presupuesto Base'!$A$7:$G$24,3,FALSE),""))</f>
        <v/>
      </c>
      <c r="J376" s="30"/>
      <c r="K376" s="32"/>
      <c r="L376" s="108">
        <f>IF(G376="",0,IFERROR(VLOOKUP(G376&amp;"",'Presupuesto Base'!$A$7:$G$24,5,FALSE),0))</f>
        <v>0</v>
      </c>
      <c r="M376" s="108">
        <f t="shared" si="21"/>
        <v>0</v>
      </c>
      <c r="N376" s="30"/>
      <c r="O376" s="30"/>
      <c r="P376" s="33"/>
      <c r="Q376" s="97" t="str">
        <f>IFERROR(VLOOKUP(A376,'Historial Certificados'!$A$6:$E$29,5,FALSE),"")</f>
        <v/>
      </c>
      <c r="R376" s="97" t="str">
        <f t="shared" si="22"/>
        <v/>
      </c>
    </row>
    <row r="377" spans="1:18">
      <c r="A377" s="28"/>
      <c r="B377" s="29"/>
      <c r="C377" s="30"/>
      <c r="D377" s="30"/>
      <c r="E377" s="30"/>
      <c r="F377" s="30"/>
      <c r="G377" s="30"/>
      <c r="H377" s="107" t="str">
        <f>IF(G377="","",IFERROR(VLOOKUP(G377&amp;"",'Presupuesto Base'!$A$7:$G$24,2,FALSE),"Ítem no encontrado"))</f>
        <v/>
      </c>
      <c r="I377" s="107" t="str">
        <f>IF(G377="","",IFERROR(VLOOKUP(G377&amp;"",'Presupuesto Base'!$A$7:$G$24,3,FALSE),""))</f>
        <v/>
      </c>
      <c r="J377" s="30"/>
      <c r="K377" s="32"/>
      <c r="L377" s="108">
        <f>IF(G377="",0,IFERROR(VLOOKUP(G377&amp;"",'Presupuesto Base'!$A$7:$G$24,5,FALSE),0))</f>
        <v>0</v>
      </c>
      <c r="M377" s="108">
        <f t="shared" si="21"/>
        <v>0</v>
      </c>
      <c r="N377" s="30"/>
      <c r="O377" s="30"/>
      <c r="P377" s="33"/>
      <c r="Q377" s="97" t="str">
        <f>IFERROR(VLOOKUP(A377,'Historial Certificados'!$A$6:$E$29,5,FALSE),"")</f>
        <v/>
      </c>
      <c r="R377" s="97" t="str">
        <f t="shared" si="22"/>
        <v/>
      </c>
    </row>
    <row r="378" spans="1:18">
      <c r="A378" s="28"/>
      <c r="B378" s="29"/>
      <c r="C378" s="30"/>
      <c r="D378" s="30"/>
      <c r="E378" s="30"/>
      <c r="F378" s="30"/>
      <c r="G378" s="30"/>
      <c r="H378" s="107" t="str">
        <f>IF(G378="","",IFERROR(VLOOKUP(G378&amp;"",'Presupuesto Base'!$A$7:$G$24,2,FALSE),"Ítem no encontrado"))</f>
        <v/>
      </c>
      <c r="I378" s="107" t="str">
        <f>IF(G378="","",IFERROR(VLOOKUP(G378&amp;"",'Presupuesto Base'!$A$7:$G$24,3,FALSE),""))</f>
        <v/>
      </c>
      <c r="J378" s="30"/>
      <c r="K378" s="32"/>
      <c r="L378" s="108">
        <f>IF(G378="",0,IFERROR(VLOOKUP(G378&amp;"",'Presupuesto Base'!$A$7:$G$24,5,FALSE),0))</f>
        <v>0</v>
      </c>
      <c r="M378" s="108">
        <f t="shared" si="21"/>
        <v>0</v>
      </c>
      <c r="N378" s="30"/>
      <c r="O378" s="30"/>
      <c r="P378" s="33"/>
      <c r="Q378" s="97" t="str">
        <f>IFERROR(VLOOKUP(A378,'Historial Certificados'!$A$6:$E$29,5,FALSE),"")</f>
        <v/>
      </c>
      <c r="R378" s="97" t="str">
        <f t="shared" si="22"/>
        <v/>
      </c>
    </row>
    <row r="379" spans="1:18">
      <c r="A379" s="28"/>
      <c r="B379" s="29"/>
      <c r="C379" s="30"/>
      <c r="D379" s="30"/>
      <c r="E379" s="30"/>
      <c r="F379" s="30"/>
      <c r="G379" s="30"/>
      <c r="H379" s="107" t="str">
        <f>IF(G379="","",IFERROR(VLOOKUP(G379&amp;"",'Presupuesto Base'!$A$7:$G$24,2,FALSE),"Ítem no encontrado"))</f>
        <v/>
      </c>
      <c r="I379" s="107" t="str">
        <f>IF(G379="","",IFERROR(VLOOKUP(G379&amp;"",'Presupuesto Base'!$A$7:$G$24,3,FALSE),""))</f>
        <v/>
      </c>
      <c r="J379" s="30"/>
      <c r="K379" s="32"/>
      <c r="L379" s="108">
        <f>IF(G379="",0,IFERROR(VLOOKUP(G379&amp;"",'Presupuesto Base'!$A$7:$G$24,5,FALSE),0))</f>
        <v>0</v>
      </c>
      <c r="M379" s="108">
        <f t="shared" si="21"/>
        <v>0</v>
      </c>
      <c r="N379" s="30"/>
      <c r="O379" s="30"/>
      <c r="P379" s="33"/>
      <c r="Q379" s="97" t="str">
        <f>IFERROR(VLOOKUP(A379,'Historial Certificados'!$A$6:$E$29,5,FALSE),"")</f>
        <v/>
      </c>
      <c r="R379" s="97" t="str">
        <f t="shared" si="22"/>
        <v/>
      </c>
    </row>
    <row r="380" spans="1:18">
      <c r="A380" s="28"/>
      <c r="B380" s="29"/>
      <c r="C380" s="30"/>
      <c r="D380" s="30"/>
      <c r="E380" s="30"/>
      <c r="F380" s="30"/>
      <c r="G380" s="30"/>
      <c r="H380" s="107" t="str">
        <f>IF(G380="","",IFERROR(VLOOKUP(G380&amp;"",'Presupuesto Base'!$A$7:$G$24,2,FALSE),"Ítem no encontrado"))</f>
        <v/>
      </c>
      <c r="I380" s="107" t="str">
        <f>IF(G380="","",IFERROR(VLOOKUP(G380&amp;"",'Presupuesto Base'!$A$7:$G$24,3,FALSE),""))</f>
        <v/>
      </c>
      <c r="J380" s="30"/>
      <c r="K380" s="32"/>
      <c r="L380" s="108">
        <f>IF(G380="",0,IFERROR(VLOOKUP(G380&amp;"",'Presupuesto Base'!$A$7:$G$24,5,FALSE),0))</f>
        <v>0</v>
      </c>
      <c r="M380" s="108">
        <f t="shared" si="21"/>
        <v>0</v>
      </c>
      <c r="N380" s="30"/>
      <c r="O380" s="30"/>
      <c r="P380" s="33"/>
      <c r="Q380" s="97" t="str">
        <f>IFERROR(VLOOKUP(A380,'Historial Certificados'!$A$6:$E$29,5,FALSE),"")</f>
        <v/>
      </c>
      <c r="R380" s="97" t="str">
        <f t="shared" si="22"/>
        <v/>
      </c>
    </row>
    <row r="381" spans="1:18">
      <c r="A381" s="28"/>
      <c r="B381" s="29"/>
      <c r="C381" s="30"/>
      <c r="D381" s="30"/>
      <c r="E381" s="30"/>
      <c r="F381" s="30"/>
      <c r="G381" s="30"/>
      <c r="H381" s="107" t="str">
        <f>IF(G381="","",IFERROR(VLOOKUP(G381&amp;"",'Presupuesto Base'!$A$7:$G$24,2,FALSE),"Ítem no encontrado"))</f>
        <v/>
      </c>
      <c r="I381" s="107" t="str">
        <f>IF(G381="","",IFERROR(VLOOKUP(G381&amp;"",'Presupuesto Base'!$A$7:$G$24,3,FALSE),""))</f>
        <v/>
      </c>
      <c r="J381" s="30"/>
      <c r="K381" s="32"/>
      <c r="L381" s="108">
        <f>IF(G381="",0,IFERROR(VLOOKUP(G381&amp;"",'Presupuesto Base'!$A$7:$G$24,5,FALSE),0))</f>
        <v>0</v>
      </c>
      <c r="M381" s="108">
        <f t="shared" si="21"/>
        <v>0</v>
      </c>
      <c r="N381" s="30"/>
      <c r="O381" s="30"/>
      <c r="P381" s="33"/>
      <c r="Q381" s="97" t="str">
        <f>IFERROR(VLOOKUP(A381,'Historial Certificados'!$A$6:$E$29,5,FALSE),"")</f>
        <v/>
      </c>
      <c r="R381" s="97" t="str">
        <f t="shared" si="22"/>
        <v/>
      </c>
    </row>
    <row r="382" spans="1:18">
      <c r="A382" s="28"/>
      <c r="B382" s="29"/>
      <c r="C382" s="30"/>
      <c r="D382" s="30"/>
      <c r="E382" s="30"/>
      <c r="F382" s="30"/>
      <c r="G382" s="30"/>
      <c r="H382" s="107" t="str">
        <f>IF(G382="","",IFERROR(VLOOKUP(G382&amp;"",'Presupuesto Base'!$A$7:$G$24,2,FALSE),"Ítem no encontrado"))</f>
        <v/>
      </c>
      <c r="I382" s="107" t="str">
        <f>IF(G382="","",IFERROR(VLOOKUP(G382&amp;"",'Presupuesto Base'!$A$7:$G$24,3,FALSE),""))</f>
        <v/>
      </c>
      <c r="J382" s="30"/>
      <c r="K382" s="32"/>
      <c r="L382" s="108">
        <f>IF(G382="",0,IFERROR(VLOOKUP(G382&amp;"",'Presupuesto Base'!$A$7:$G$24,5,FALSE),0))</f>
        <v>0</v>
      </c>
      <c r="M382" s="108">
        <f t="shared" si="21"/>
        <v>0</v>
      </c>
      <c r="N382" s="30"/>
      <c r="O382" s="30"/>
      <c r="P382" s="33"/>
      <c r="Q382" s="97" t="str">
        <f>IFERROR(VLOOKUP(A382,'Historial Certificados'!$A$6:$E$29,5,FALSE),"")</f>
        <v/>
      </c>
      <c r="R382" s="97" t="str">
        <f t="shared" si="22"/>
        <v/>
      </c>
    </row>
    <row r="383" spans="1:18">
      <c r="A383" s="28"/>
      <c r="B383" s="29"/>
      <c r="C383" s="30"/>
      <c r="D383" s="30"/>
      <c r="E383" s="30"/>
      <c r="F383" s="30"/>
      <c r="G383" s="30"/>
      <c r="H383" s="107" t="str">
        <f>IF(G383="","",IFERROR(VLOOKUP(G383&amp;"",'Presupuesto Base'!$A$7:$G$24,2,FALSE),"Ítem no encontrado"))</f>
        <v/>
      </c>
      <c r="I383" s="107" t="str">
        <f>IF(G383="","",IFERROR(VLOOKUP(G383&amp;"",'Presupuesto Base'!$A$7:$G$24,3,FALSE),""))</f>
        <v/>
      </c>
      <c r="J383" s="30"/>
      <c r="K383" s="32"/>
      <c r="L383" s="108">
        <f>IF(G383="",0,IFERROR(VLOOKUP(G383&amp;"",'Presupuesto Base'!$A$7:$G$24,5,FALSE),0))</f>
        <v>0</v>
      </c>
      <c r="M383" s="108">
        <f t="shared" si="21"/>
        <v>0</v>
      </c>
      <c r="N383" s="30"/>
      <c r="O383" s="30"/>
      <c r="P383" s="33"/>
      <c r="Q383" s="97" t="str">
        <f>IFERROR(VLOOKUP(A383,'Historial Certificados'!$A$6:$E$29,5,FALSE),"")</f>
        <v/>
      </c>
      <c r="R383" s="97" t="str">
        <f t="shared" si="22"/>
        <v/>
      </c>
    </row>
    <row r="384" spans="1:18">
      <c r="A384" s="28"/>
      <c r="B384" s="29"/>
      <c r="C384" s="30"/>
      <c r="D384" s="30"/>
      <c r="E384" s="30"/>
      <c r="F384" s="30"/>
      <c r="G384" s="30"/>
      <c r="H384" s="107" t="str">
        <f>IF(G384="","",IFERROR(VLOOKUP(G384&amp;"",'Presupuesto Base'!$A$7:$G$24,2,FALSE),"Ítem no encontrado"))</f>
        <v/>
      </c>
      <c r="I384" s="107" t="str">
        <f>IF(G384="","",IFERROR(VLOOKUP(G384&amp;"",'Presupuesto Base'!$A$7:$G$24,3,FALSE),""))</f>
        <v/>
      </c>
      <c r="J384" s="30"/>
      <c r="K384" s="32"/>
      <c r="L384" s="108">
        <f>IF(G384="",0,IFERROR(VLOOKUP(G384&amp;"",'Presupuesto Base'!$A$7:$G$24,5,FALSE),0))</f>
        <v>0</v>
      </c>
      <c r="M384" s="108">
        <f t="shared" si="21"/>
        <v>0</v>
      </c>
      <c r="N384" s="30"/>
      <c r="O384" s="30"/>
      <c r="P384" s="33"/>
      <c r="Q384" s="97" t="str">
        <f>IFERROR(VLOOKUP(A384,'Historial Certificados'!$A$6:$E$29,5,FALSE),"")</f>
        <v/>
      </c>
      <c r="R384" s="97" t="str">
        <f t="shared" si="22"/>
        <v/>
      </c>
    </row>
    <row r="385" spans="1:18">
      <c r="A385" s="28"/>
      <c r="B385" s="29"/>
      <c r="C385" s="30"/>
      <c r="D385" s="30"/>
      <c r="E385" s="30"/>
      <c r="F385" s="30"/>
      <c r="G385" s="30"/>
      <c r="H385" s="107" t="str">
        <f>IF(G385="","",IFERROR(VLOOKUP(G385&amp;"",'Presupuesto Base'!$A$7:$G$24,2,FALSE),"Ítem no encontrado"))</f>
        <v/>
      </c>
      <c r="I385" s="107" t="str">
        <f>IF(G385="","",IFERROR(VLOOKUP(G385&amp;"",'Presupuesto Base'!$A$7:$G$24,3,FALSE),""))</f>
        <v/>
      </c>
      <c r="J385" s="30"/>
      <c r="K385" s="32"/>
      <c r="L385" s="108">
        <f>IF(G385="",0,IFERROR(VLOOKUP(G385&amp;"",'Presupuesto Base'!$A$7:$G$24,5,FALSE),0))</f>
        <v>0</v>
      </c>
      <c r="M385" s="108">
        <f t="shared" si="21"/>
        <v>0</v>
      </c>
      <c r="N385" s="30"/>
      <c r="O385" s="30"/>
      <c r="P385" s="33"/>
      <c r="Q385" s="97" t="str">
        <f>IFERROR(VLOOKUP(A385,'Historial Certificados'!$A$6:$E$29,5,FALSE),"")</f>
        <v/>
      </c>
      <c r="R385" s="97" t="str">
        <f t="shared" si="22"/>
        <v/>
      </c>
    </row>
    <row r="386" spans="1:18">
      <c r="A386" s="28"/>
      <c r="B386" s="29"/>
      <c r="C386" s="30"/>
      <c r="D386" s="30"/>
      <c r="E386" s="30"/>
      <c r="F386" s="30"/>
      <c r="G386" s="30"/>
      <c r="H386" s="107" t="str">
        <f>IF(G386="","",IFERROR(VLOOKUP(G386&amp;"",'Presupuesto Base'!$A$7:$G$24,2,FALSE),"Ítem no encontrado"))</f>
        <v/>
      </c>
      <c r="I386" s="107" t="str">
        <f>IF(G386="","",IFERROR(VLOOKUP(G386&amp;"",'Presupuesto Base'!$A$7:$G$24,3,FALSE),""))</f>
        <v/>
      </c>
      <c r="J386" s="30"/>
      <c r="K386" s="32"/>
      <c r="L386" s="108">
        <f>IF(G386="",0,IFERROR(VLOOKUP(G386&amp;"",'Presupuesto Base'!$A$7:$G$24,5,FALSE),0))</f>
        <v>0</v>
      </c>
      <c r="M386" s="108">
        <f t="shared" si="21"/>
        <v>0</v>
      </c>
      <c r="N386" s="30"/>
      <c r="O386" s="30"/>
      <c r="P386" s="33"/>
      <c r="Q386" s="97" t="str">
        <f>IFERROR(VLOOKUP(A386,'Historial Certificados'!$A$6:$E$29,5,FALSE),"")</f>
        <v/>
      </c>
      <c r="R386" s="97" t="str">
        <f t="shared" si="22"/>
        <v/>
      </c>
    </row>
    <row r="387" spans="1:18">
      <c r="A387" s="28"/>
      <c r="B387" s="29"/>
      <c r="C387" s="30"/>
      <c r="D387" s="30"/>
      <c r="E387" s="30"/>
      <c r="F387" s="30"/>
      <c r="G387" s="30"/>
      <c r="H387" s="107" t="str">
        <f>IF(G387="","",IFERROR(VLOOKUP(G387&amp;"",'Presupuesto Base'!$A$7:$G$24,2,FALSE),"Ítem no encontrado"))</f>
        <v/>
      </c>
      <c r="I387" s="107" t="str">
        <f>IF(G387="","",IFERROR(VLOOKUP(G387&amp;"",'Presupuesto Base'!$A$7:$G$24,3,FALSE),""))</f>
        <v/>
      </c>
      <c r="J387" s="30"/>
      <c r="K387" s="32"/>
      <c r="L387" s="108">
        <f>IF(G387="",0,IFERROR(VLOOKUP(G387&amp;"",'Presupuesto Base'!$A$7:$G$24,5,FALSE),0))</f>
        <v>0</v>
      </c>
      <c r="M387" s="108">
        <f t="shared" si="21"/>
        <v>0</v>
      </c>
      <c r="N387" s="30"/>
      <c r="O387" s="30"/>
      <c r="P387" s="33"/>
      <c r="Q387" s="97" t="str">
        <f>IFERROR(VLOOKUP(A387,'Historial Certificados'!$A$6:$E$29,5,FALSE),"")</f>
        <v/>
      </c>
      <c r="R387" s="97" t="str">
        <f t="shared" si="22"/>
        <v/>
      </c>
    </row>
    <row r="388" spans="1:18">
      <c r="A388" s="28"/>
      <c r="B388" s="29"/>
      <c r="C388" s="30"/>
      <c r="D388" s="30"/>
      <c r="E388" s="30"/>
      <c r="F388" s="30"/>
      <c r="G388" s="30"/>
      <c r="H388" s="107" t="str">
        <f>IF(G388="","",IFERROR(VLOOKUP(G388&amp;"",'Presupuesto Base'!$A$7:$G$24,2,FALSE),"Ítem no encontrado"))</f>
        <v/>
      </c>
      <c r="I388" s="107" t="str">
        <f>IF(G388="","",IFERROR(VLOOKUP(G388&amp;"",'Presupuesto Base'!$A$7:$G$24,3,FALSE),""))</f>
        <v/>
      </c>
      <c r="J388" s="30"/>
      <c r="K388" s="32"/>
      <c r="L388" s="108">
        <f>IF(G388="",0,IFERROR(VLOOKUP(G388&amp;"",'Presupuesto Base'!$A$7:$G$24,5,FALSE),0))</f>
        <v>0</v>
      </c>
      <c r="M388" s="108">
        <f t="shared" si="21"/>
        <v>0</v>
      </c>
      <c r="N388" s="30"/>
      <c r="O388" s="30"/>
      <c r="P388" s="33"/>
      <c r="Q388" s="97" t="str">
        <f>IFERROR(VLOOKUP(A388,'Historial Certificados'!$A$6:$E$29,5,FALSE),"")</f>
        <v/>
      </c>
      <c r="R388" s="97" t="str">
        <f t="shared" si="22"/>
        <v/>
      </c>
    </row>
    <row r="389" spans="1:18">
      <c r="A389" s="28"/>
      <c r="B389" s="29"/>
      <c r="C389" s="30"/>
      <c r="D389" s="30"/>
      <c r="E389" s="30"/>
      <c r="F389" s="30"/>
      <c r="G389" s="30"/>
      <c r="H389" s="107" t="str">
        <f>IF(G389="","",IFERROR(VLOOKUP(G389&amp;"",'Presupuesto Base'!$A$7:$G$24,2,FALSE),"Ítem no encontrado"))</f>
        <v/>
      </c>
      <c r="I389" s="107" t="str">
        <f>IF(G389="","",IFERROR(VLOOKUP(G389&amp;"",'Presupuesto Base'!$A$7:$G$24,3,FALSE),""))</f>
        <v/>
      </c>
      <c r="J389" s="30"/>
      <c r="K389" s="32"/>
      <c r="L389" s="108">
        <f>IF(G389="",0,IFERROR(VLOOKUP(G389&amp;"",'Presupuesto Base'!$A$7:$G$24,5,FALSE),0))</f>
        <v>0</v>
      </c>
      <c r="M389" s="108">
        <f t="shared" si="21"/>
        <v>0</v>
      </c>
      <c r="N389" s="30"/>
      <c r="O389" s="30"/>
      <c r="P389" s="33"/>
      <c r="Q389" s="97" t="str">
        <f>IFERROR(VLOOKUP(A389,'Historial Certificados'!$A$6:$E$29,5,FALSE),"")</f>
        <v/>
      </c>
      <c r="R389" s="97" t="str">
        <f t="shared" si="22"/>
        <v/>
      </c>
    </row>
    <row r="390" spans="1:18">
      <c r="A390" s="28"/>
      <c r="B390" s="29"/>
      <c r="C390" s="30"/>
      <c r="D390" s="30"/>
      <c r="E390" s="30"/>
      <c r="F390" s="30"/>
      <c r="G390" s="30"/>
      <c r="H390" s="107" t="str">
        <f>IF(G390="","",IFERROR(VLOOKUP(G390&amp;"",'Presupuesto Base'!$A$7:$G$24,2,FALSE),"Ítem no encontrado"))</f>
        <v/>
      </c>
      <c r="I390" s="107" t="str">
        <f>IF(G390="","",IFERROR(VLOOKUP(G390&amp;"",'Presupuesto Base'!$A$7:$G$24,3,FALSE),""))</f>
        <v/>
      </c>
      <c r="J390" s="30"/>
      <c r="K390" s="32"/>
      <c r="L390" s="108">
        <f>IF(G390="",0,IFERROR(VLOOKUP(G390&amp;"",'Presupuesto Base'!$A$7:$G$24,5,FALSE),0))</f>
        <v>0</v>
      </c>
      <c r="M390" s="108">
        <f t="shared" si="21"/>
        <v>0</v>
      </c>
      <c r="N390" s="30"/>
      <c r="O390" s="30"/>
      <c r="P390" s="33"/>
      <c r="Q390" s="97" t="str">
        <f>IFERROR(VLOOKUP(A390,'Historial Certificados'!$A$6:$E$29,5,FALSE),"")</f>
        <v/>
      </c>
      <c r="R390" s="97" t="str">
        <f t="shared" si="22"/>
        <v/>
      </c>
    </row>
    <row r="391" spans="1:18">
      <c r="A391" s="28"/>
      <c r="B391" s="29"/>
      <c r="C391" s="30"/>
      <c r="D391" s="30"/>
      <c r="E391" s="30"/>
      <c r="F391" s="30"/>
      <c r="G391" s="30"/>
      <c r="H391" s="107" t="str">
        <f>IF(G391="","",IFERROR(VLOOKUP(G391&amp;"",'Presupuesto Base'!$A$7:$G$24,2,FALSE),"Ítem no encontrado"))</f>
        <v/>
      </c>
      <c r="I391" s="107" t="str">
        <f>IF(G391="","",IFERROR(VLOOKUP(G391&amp;"",'Presupuesto Base'!$A$7:$G$24,3,FALSE),""))</f>
        <v/>
      </c>
      <c r="J391" s="30"/>
      <c r="K391" s="32"/>
      <c r="L391" s="108">
        <f>IF(G391="",0,IFERROR(VLOOKUP(G391&amp;"",'Presupuesto Base'!$A$7:$G$24,5,FALSE),0))</f>
        <v>0</v>
      </c>
      <c r="M391" s="108">
        <f t="shared" si="21"/>
        <v>0</v>
      </c>
      <c r="N391" s="30"/>
      <c r="O391" s="30"/>
      <c r="P391" s="33"/>
      <c r="Q391" s="97" t="str">
        <f>IFERROR(VLOOKUP(A391,'Historial Certificados'!$A$6:$E$29,5,FALSE),"")</f>
        <v/>
      </c>
      <c r="R391" s="97" t="str">
        <f t="shared" si="22"/>
        <v/>
      </c>
    </row>
    <row r="392" spans="1:18">
      <c r="A392" s="28"/>
      <c r="B392" s="29"/>
      <c r="C392" s="30"/>
      <c r="D392" s="30"/>
      <c r="E392" s="30"/>
      <c r="F392" s="30"/>
      <c r="G392" s="30"/>
      <c r="H392" s="107" t="str">
        <f>IF(G392="","",IFERROR(VLOOKUP(G392&amp;"",'Presupuesto Base'!$A$7:$G$24,2,FALSE),"Ítem no encontrado"))</f>
        <v/>
      </c>
      <c r="I392" s="107" t="str">
        <f>IF(G392="","",IFERROR(VLOOKUP(G392&amp;"",'Presupuesto Base'!$A$7:$G$24,3,FALSE),""))</f>
        <v/>
      </c>
      <c r="J392" s="30"/>
      <c r="K392" s="32"/>
      <c r="L392" s="108">
        <f>IF(G392="",0,IFERROR(VLOOKUP(G392&amp;"",'Presupuesto Base'!$A$7:$G$24,5,FALSE),0))</f>
        <v>0</v>
      </c>
      <c r="M392" s="108">
        <f t="shared" si="21"/>
        <v>0</v>
      </c>
      <c r="N392" s="30"/>
      <c r="O392" s="30"/>
      <c r="P392" s="33"/>
      <c r="Q392" s="97" t="str">
        <f>IFERROR(VLOOKUP(A392,'Historial Certificados'!$A$6:$E$29,5,FALSE),"")</f>
        <v/>
      </c>
      <c r="R392" s="97" t="str">
        <f t="shared" si="22"/>
        <v/>
      </c>
    </row>
    <row r="393" spans="1:18">
      <c r="A393" s="28"/>
      <c r="B393" s="29"/>
      <c r="C393" s="30"/>
      <c r="D393" s="30"/>
      <c r="E393" s="30"/>
      <c r="F393" s="30"/>
      <c r="G393" s="30"/>
      <c r="H393" s="107" t="str">
        <f>IF(G393="","",IFERROR(VLOOKUP(G393&amp;"",'Presupuesto Base'!$A$7:$G$24,2,FALSE),"Ítem no encontrado"))</f>
        <v/>
      </c>
      <c r="I393" s="107" t="str">
        <f>IF(G393="","",IFERROR(VLOOKUP(G393&amp;"",'Presupuesto Base'!$A$7:$G$24,3,FALSE),""))</f>
        <v/>
      </c>
      <c r="J393" s="30"/>
      <c r="K393" s="32"/>
      <c r="L393" s="108">
        <f>IF(G393="",0,IFERROR(VLOOKUP(G393&amp;"",'Presupuesto Base'!$A$7:$G$24,5,FALSE),0))</f>
        <v>0</v>
      </c>
      <c r="M393" s="108">
        <f t="shared" si="21"/>
        <v>0</v>
      </c>
      <c r="N393" s="30"/>
      <c r="O393" s="30"/>
      <c r="P393" s="33"/>
      <c r="Q393" s="97" t="str">
        <f>IFERROR(VLOOKUP(A393,'Historial Certificados'!$A$6:$E$29,5,FALSE),"")</f>
        <v/>
      </c>
      <c r="R393" s="97" t="str">
        <f t="shared" si="22"/>
        <v/>
      </c>
    </row>
    <row r="394" spans="1:18">
      <c r="A394" s="28"/>
      <c r="B394" s="29"/>
      <c r="C394" s="30"/>
      <c r="D394" s="30"/>
      <c r="E394" s="30"/>
      <c r="F394" s="30"/>
      <c r="G394" s="30"/>
      <c r="H394" s="107" t="str">
        <f>IF(G394="","",IFERROR(VLOOKUP(G394&amp;"",'Presupuesto Base'!$A$7:$G$24,2,FALSE),"Ítem no encontrado"))</f>
        <v/>
      </c>
      <c r="I394" s="107" t="str">
        <f>IF(G394="","",IFERROR(VLOOKUP(G394&amp;"",'Presupuesto Base'!$A$7:$G$24,3,FALSE),""))</f>
        <v/>
      </c>
      <c r="J394" s="30"/>
      <c r="K394" s="32"/>
      <c r="L394" s="108">
        <f>IF(G394="",0,IFERROR(VLOOKUP(G394&amp;"",'Presupuesto Base'!$A$7:$G$24,5,FALSE),0))</f>
        <v>0</v>
      </c>
      <c r="M394" s="108">
        <f t="shared" si="21"/>
        <v>0</v>
      </c>
      <c r="N394" s="30"/>
      <c r="O394" s="30"/>
      <c r="P394" s="33"/>
      <c r="Q394" s="97" t="str">
        <f>IFERROR(VLOOKUP(A394,'Historial Certificados'!$A$6:$E$29,5,FALSE),"")</f>
        <v/>
      </c>
      <c r="R394" s="97" t="str">
        <f t="shared" si="22"/>
        <v/>
      </c>
    </row>
    <row r="395" spans="1:18">
      <c r="A395" s="28"/>
      <c r="B395" s="29"/>
      <c r="C395" s="30"/>
      <c r="D395" s="30"/>
      <c r="E395" s="30"/>
      <c r="F395" s="30"/>
      <c r="G395" s="30"/>
      <c r="H395" s="107" t="str">
        <f>IF(G395="","",IFERROR(VLOOKUP(G395&amp;"",'Presupuesto Base'!$A$7:$G$24,2,FALSE),"Ítem no encontrado"))</f>
        <v/>
      </c>
      <c r="I395" s="107" t="str">
        <f>IF(G395="","",IFERROR(VLOOKUP(G395&amp;"",'Presupuesto Base'!$A$7:$G$24,3,FALSE),""))</f>
        <v/>
      </c>
      <c r="J395" s="30"/>
      <c r="K395" s="32"/>
      <c r="L395" s="108">
        <f>IF(G395="",0,IFERROR(VLOOKUP(G395&amp;"",'Presupuesto Base'!$A$7:$G$24,5,FALSE),0))</f>
        <v>0</v>
      </c>
      <c r="M395" s="108">
        <f t="shared" si="21"/>
        <v>0</v>
      </c>
      <c r="N395" s="30"/>
      <c r="O395" s="30"/>
      <c r="P395" s="33"/>
      <c r="Q395" s="97" t="str">
        <f>IFERROR(VLOOKUP(A395,'Historial Certificados'!$A$6:$E$29,5,FALSE),"")</f>
        <v/>
      </c>
      <c r="R395" s="97" t="str">
        <f t="shared" si="22"/>
        <v/>
      </c>
    </row>
    <row r="396" spans="1:18">
      <c r="A396" s="28"/>
      <c r="B396" s="29"/>
      <c r="C396" s="30"/>
      <c r="D396" s="30"/>
      <c r="E396" s="30"/>
      <c r="F396" s="30"/>
      <c r="G396" s="30"/>
      <c r="H396" s="107" t="str">
        <f>IF(G396="","",IFERROR(VLOOKUP(G396&amp;"",'Presupuesto Base'!$A$7:$G$24,2,FALSE),"Ítem no encontrado"))</f>
        <v/>
      </c>
      <c r="I396" s="107" t="str">
        <f>IF(G396="","",IFERROR(VLOOKUP(G396&amp;"",'Presupuesto Base'!$A$7:$G$24,3,FALSE),""))</f>
        <v/>
      </c>
      <c r="J396" s="30"/>
      <c r="K396" s="32"/>
      <c r="L396" s="108">
        <f>IF(G396="",0,IFERROR(VLOOKUP(G396&amp;"",'Presupuesto Base'!$A$7:$G$24,5,FALSE),0))</f>
        <v>0</v>
      </c>
      <c r="M396" s="108">
        <f t="shared" ref="M396:M459" si="23">IFERROR(K396*L396,0)</f>
        <v>0</v>
      </c>
      <c r="N396" s="30"/>
      <c r="O396" s="30"/>
      <c r="P396" s="33"/>
      <c r="Q396" s="97" t="str">
        <f>IFERROR(VLOOKUP(A396,'Historial Certificados'!$A$6:$E$29,5,FALSE),"")</f>
        <v/>
      </c>
      <c r="R396" s="97" t="str">
        <f t="shared" ref="R396:R459" si="24">IF(A396="","",IF(Q396="CERRADO","CERTIFICADO CERRADO - NO MODIFICAR","ABIERTO"))</f>
        <v/>
      </c>
    </row>
    <row r="397" spans="1:18">
      <c r="A397" s="28"/>
      <c r="B397" s="29"/>
      <c r="C397" s="30"/>
      <c r="D397" s="30"/>
      <c r="E397" s="30"/>
      <c r="F397" s="30"/>
      <c r="G397" s="30"/>
      <c r="H397" s="107" t="str">
        <f>IF(G397="","",IFERROR(VLOOKUP(G397&amp;"",'Presupuesto Base'!$A$7:$G$24,2,FALSE),"Ítem no encontrado"))</f>
        <v/>
      </c>
      <c r="I397" s="107" t="str">
        <f>IF(G397="","",IFERROR(VLOOKUP(G397&amp;"",'Presupuesto Base'!$A$7:$G$24,3,FALSE),""))</f>
        <v/>
      </c>
      <c r="J397" s="30"/>
      <c r="K397" s="32"/>
      <c r="L397" s="108">
        <f>IF(G397="",0,IFERROR(VLOOKUP(G397&amp;"",'Presupuesto Base'!$A$7:$G$24,5,FALSE),0))</f>
        <v>0</v>
      </c>
      <c r="M397" s="108">
        <f t="shared" si="23"/>
        <v>0</v>
      </c>
      <c r="N397" s="30"/>
      <c r="O397" s="30"/>
      <c r="P397" s="33"/>
      <c r="Q397" s="97" t="str">
        <f>IFERROR(VLOOKUP(A397,'Historial Certificados'!$A$6:$E$29,5,FALSE),"")</f>
        <v/>
      </c>
      <c r="R397" s="97" t="str">
        <f t="shared" si="24"/>
        <v/>
      </c>
    </row>
    <row r="398" spans="1:18">
      <c r="A398" s="28"/>
      <c r="B398" s="29"/>
      <c r="C398" s="30"/>
      <c r="D398" s="30"/>
      <c r="E398" s="30"/>
      <c r="F398" s="30"/>
      <c r="G398" s="30"/>
      <c r="H398" s="107" t="str">
        <f>IF(G398="","",IFERROR(VLOOKUP(G398&amp;"",'Presupuesto Base'!$A$7:$G$24,2,FALSE),"Ítem no encontrado"))</f>
        <v/>
      </c>
      <c r="I398" s="107" t="str">
        <f>IF(G398="","",IFERROR(VLOOKUP(G398&amp;"",'Presupuesto Base'!$A$7:$G$24,3,FALSE),""))</f>
        <v/>
      </c>
      <c r="J398" s="30"/>
      <c r="K398" s="32"/>
      <c r="L398" s="108">
        <f>IF(G398="",0,IFERROR(VLOOKUP(G398&amp;"",'Presupuesto Base'!$A$7:$G$24,5,FALSE),0))</f>
        <v>0</v>
      </c>
      <c r="M398" s="108">
        <f t="shared" si="23"/>
        <v>0</v>
      </c>
      <c r="N398" s="30"/>
      <c r="O398" s="30"/>
      <c r="P398" s="33"/>
      <c r="Q398" s="97" t="str">
        <f>IFERROR(VLOOKUP(A398,'Historial Certificados'!$A$6:$E$29,5,FALSE),"")</f>
        <v/>
      </c>
      <c r="R398" s="97" t="str">
        <f t="shared" si="24"/>
        <v/>
      </c>
    </row>
    <row r="399" spans="1:18">
      <c r="A399" s="28"/>
      <c r="B399" s="29"/>
      <c r="C399" s="30"/>
      <c r="D399" s="30"/>
      <c r="E399" s="30"/>
      <c r="F399" s="30"/>
      <c r="G399" s="30"/>
      <c r="H399" s="107" t="str">
        <f>IF(G399="","",IFERROR(VLOOKUP(G399&amp;"",'Presupuesto Base'!$A$7:$G$24,2,FALSE),"Ítem no encontrado"))</f>
        <v/>
      </c>
      <c r="I399" s="107" t="str">
        <f>IF(G399="","",IFERROR(VLOOKUP(G399&amp;"",'Presupuesto Base'!$A$7:$G$24,3,FALSE),""))</f>
        <v/>
      </c>
      <c r="J399" s="30"/>
      <c r="K399" s="32"/>
      <c r="L399" s="108">
        <f>IF(G399="",0,IFERROR(VLOOKUP(G399&amp;"",'Presupuesto Base'!$A$7:$G$24,5,FALSE),0))</f>
        <v>0</v>
      </c>
      <c r="M399" s="108">
        <f t="shared" si="23"/>
        <v>0</v>
      </c>
      <c r="N399" s="30"/>
      <c r="O399" s="30"/>
      <c r="P399" s="33"/>
      <c r="Q399" s="97" t="str">
        <f>IFERROR(VLOOKUP(A399,'Historial Certificados'!$A$6:$E$29,5,FALSE),"")</f>
        <v/>
      </c>
      <c r="R399" s="97" t="str">
        <f t="shared" si="24"/>
        <v/>
      </c>
    </row>
    <row r="400" spans="1:18">
      <c r="A400" s="28"/>
      <c r="B400" s="29"/>
      <c r="C400" s="30"/>
      <c r="D400" s="30"/>
      <c r="E400" s="30"/>
      <c r="F400" s="30"/>
      <c r="G400" s="30"/>
      <c r="H400" s="107" t="str">
        <f>IF(G400="","",IFERROR(VLOOKUP(G400&amp;"",'Presupuesto Base'!$A$7:$G$24,2,FALSE),"Ítem no encontrado"))</f>
        <v/>
      </c>
      <c r="I400" s="107" t="str">
        <f>IF(G400="","",IFERROR(VLOOKUP(G400&amp;"",'Presupuesto Base'!$A$7:$G$24,3,FALSE),""))</f>
        <v/>
      </c>
      <c r="J400" s="30"/>
      <c r="K400" s="32"/>
      <c r="L400" s="108">
        <f>IF(G400="",0,IFERROR(VLOOKUP(G400&amp;"",'Presupuesto Base'!$A$7:$G$24,5,FALSE),0))</f>
        <v>0</v>
      </c>
      <c r="M400" s="108">
        <f t="shared" si="23"/>
        <v>0</v>
      </c>
      <c r="N400" s="30"/>
      <c r="O400" s="30"/>
      <c r="P400" s="33"/>
      <c r="Q400" s="97" t="str">
        <f>IFERROR(VLOOKUP(A400,'Historial Certificados'!$A$6:$E$29,5,FALSE),"")</f>
        <v/>
      </c>
      <c r="R400" s="97" t="str">
        <f t="shared" si="24"/>
        <v/>
      </c>
    </row>
    <row r="401" spans="1:18">
      <c r="A401" s="28"/>
      <c r="B401" s="29"/>
      <c r="C401" s="30"/>
      <c r="D401" s="30"/>
      <c r="E401" s="30"/>
      <c r="F401" s="30"/>
      <c r="G401" s="30"/>
      <c r="H401" s="107" t="str">
        <f>IF(G401="","",IFERROR(VLOOKUP(G401&amp;"",'Presupuesto Base'!$A$7:$G$24,2,FALSE),"Ítem no encontrado"))</f>
        <v/>
      </c>
      <c r="I401" s="107" t="str">
        <f>IF(G401="","",IFERROR(VLOOKUP(G401&amp;"",'Presupuesto Base'!$A$7:$G$24,3,FALSE),""))</f>
        <v/>
      </c>
      <c r="J401" s="30"/>
      <c r="K401" s="32"/>
      <c r="L401" s="108">
        <f>IF(G401="",0,IFERROR(VLOOKUP(G401&amp;"",'Presupuesto Base'!$A$7:$G$24,5,FALSE),0))</f>
        <v>0</v>
      </c>
      <c r="M401" s="108">
        <f t="shared" si="23"/>
        <v>0</v>
      </c>
      <c r="N401" s="30"/>
      <c r="O401" s="30"/>
      <c r="P401" s="33"/>
      <c r="Q401" s="97" t="str">
        <f>IFERROR(VLOOKUP(A401,'Historial Certificados'!$A$6:$E$29,5,FALSE),"")</f>
        <v/>
      </c>
      <c r="R401" s="97" t="str">
        <f t="shared" si="24"/>
        <v/>
      </c>
    </row>
    <row r="402" spans="1:18">
      <c r="A402" s="28"/>
      <c r="B402" s="29"/>
      <c r="C402" s="30"/>
      <c r="D402" s="30"/>
      <c r="E402" s="30"/>
      <c r="F402" s="30"/>
      <c r="G402" s="30"/>
      <c r="H402" s="107" t="str">
        <f>IF(G402="","",IFERROR(VLOOKUP(G402&amp;"",'Presupuesto Base'!$A$7:$G$24,2,FALSE),"Ítem no encontrado"))</f>
        <v/>
      </c>
      <c r="I402" s="107" t="str">
        <f>IF(G402="","",IFERROR(VLOOKUP(G402&amp;"",'Presupuesto Base'!$A$7:$G$24,3,FALSE),""))</f>
        <v/>
      </c>
      <c r="J402" s="30"/>
      <c r="K402" s="32"/>
      <c r="L402" s="108">
        <f>IF(G402="",0,IFERROR(VLOOKUP(G402&amp;"",'Presupuesto Base'!$A$7:$G$24,5,FALSE),0))</f>
        <v>0</v>
      </c>
      <c r="M402" s="108">
        <f t="shared" si="23"/>
        <v>0</v>
      </c>
      <c r="N402" s="30"/>
      <c r="O402" s="30"/>
      <c r="P402" s="33"/>
      <c r="Q402" s="97" t="str">
        <f>IFERROR(VLOOKUP(A402,'Historial Certificados'!$A$6:$E$29,5,FALSE),"")</f>
        <v/>
      </c>
      <c r="R402" s="97" t="str">
        <f t="shared" si="24"/>
        <v/>
      </c>
    </row>
    <row r="403" spans="1:18">
      <c r="A403" s="28"/>
      <c r="B403" s="29"/>
      <c r="C403" s="30"/>
      <c r="D403" s="30"/>
      <c r="E403" s="30"/>
      <c r="F403" s="30"/>
      <c r="G403" s="30"/>
      <c r="H403" s="107" t="str">
        <f>IF(G403="","",IFERROR(VLOOKUP(G403&amp;"",'Presupuesto Base'!$A$7:$G$24,2,FALSE),"Ítem no encontrado"))</f>
        <v/>
      </c>
      <c r="I403" s="107" t="str">
        <f>IF(G403="","",IFERROR(VLOOKUP(G403&amp;"",'Presupuesto Base'!$A$7:$G$24,3,FALSE),""))</f>
        <v/>
      </c>
      <c r="J403" s="30"/>
      <c r="K403" s="32"/>
      <c r="L403" s="108">
        <f>IF(G403="",0,IFERROR(VLOOKUP(G403&amp;"",'Presupuesto Base'!$A$7:$G$24,5,FALSE),0))</f>
        <v>0</v>
      </c>
      <c r="M403" s="108">
        <f t="shared" si="23"/>
        <v>0</v>
      </c>
      <c r="N403" s="30"/>
      <c r="O403" s="30"/>
      <c r="P403" s="33"/>
      <c r="Q403" s="97" t="str">
        <f>IFERROR(VLOOKUP(A403,'Historial Certificados'!$A$6:$E$29,5,FALSE),"")</f>
        <v/>
      </c>
      <c r="R403" s="97" t="str">
        <f t="shared" si="24"/>
        <v/>
      </c>
    </row>
    <row r="404" spans="1:18">
      <c r="A404" s="28"/>
      <c r="B404" s="29"/>
      <c r="C404" s="30"/>
      <c r="D404" s="30"/>
      <c r="E404" s="30"/>
      <c r="F404" s="30"/>
      <c r="G404" s="30"/>
      <c r="H404" s="107" t="str">
        <f>IF(G404="","",IFERROR(VLOOKUP(G404&amp;"",'Presupuesto Base'!$A$7:$G$24,2,FALSE),"Ítem no encontrado"))</f>
        <v/>
      </c>
      <c r="I404" s="107" t="str">
        <f>IF(G404="","",IFERROR(VLOOKUP(G404&amp;"",'Presupuesto Base'!$A$7:$G$24,3,FALSE),""))</f>
        <v/>
      </c>
      <c r="J404" s="30"/>
      <c r="K404" s="32"/>
      <c r="L404" s="108">
        <f>IF(G404="",0,IFERROR(VLOOKUP(G404&amp;"",'Presupuesto Base'!$A$7:$G$24,5,FALSE),0))</f>
        <v>0</v>
      </c>
      <c r="M404" s="108">
        <f t="shared" si="23"/>
        <v>0</v>
      </c>
      <c r="N404" s="30"/>
      <c r="O404" s="30"/>
      <c r="P404" s="33"/>
      <c r="Q404" s="97" t="str">
        <f>IFERROR(VLOOKUP(A404,'Historial Certificados'!$A$6:$E$29,5,FALSE),"")</f>
        <v/>
      </c>
      <c r="R404" s="97" t="str">
        <f t="shared" si="24"/>
        <v/>
      </c>
    </row>
    <row r="405" spans="1:18">
      <c r="A405" s="28"/>
      <c r="B405" s="29"/>
      <c r="C405" s="30"/>
      <c r="D405" s="30"/>
      <c r="E405" s="30"/>
      <c r="F405" s="30"/>
      <c r="G405" s="30"/>
      <c r="H405" s="107" t="str">
        <f>IF(G405="","",IFERROR(VLOOKUP(G405&amp;"",'Presupuesto Base'!$A$7:$G$24,2,FALSE),"Ítem no encontrado"))</f>
        <v/>
      </c>
      <c r="I405" s="107" t="str">
        <f>IF(G405="","",IFERROR(VLOOKUP(G405&amp;"",'Presupuesto Base'!$A$7:$G$24,3,FALSE),""))</f>
        <v/>
      </c>
      <c r="J405" s="30"/>
      <c r="K405" s="32"/>
      <c r="L405" s="108">
        <f>IF(G405="",0,IFERROR(VLOOKUP(G405&amp;"",'Presupuesto Base'!$A$7:$G$24,5,FALSE),0))</f>
        <v>0</v>
      </c>
      <c r="M405" s="108">
        <f t="shared" si="23"/>
        <v>0</v>
      </c>
      <c r="N405" s="30"/>
      <c r="O405" s="30"/>
      <c r="P405" s="33"/>
      <c r="Q405" s="97" t="str">
        <f>IFERROR(VLOOKUP(A405,'Historial Certificados'!$A$6:$E$29,5,FALSE),"")</f>
        <v/>
      </c>
      <c r="R405" s="97" t="str">
        <f t="shared" si="24"/>
        <v/>
      </c>
    </row>
    <row r="406" spans="1:18">
      <c r="A406" s="28"/>
      <c r="B406" s="29"/>
      <c r="C406" s="30"/>
      <c r="D406" s="30"/>
      <c r="E406" s="30"/>
      <c r="F406" s="30"/>
      <c r="G406" s="30"/>
      <c r="H406" s="107" t="str">
        <f>IF(G406="","",IFERROR(VLOOKUP(G406&amp;"",'Presupuesto Base'!$A$7:$G$24,2,FALSE),"Ítem no encontrado"))</f>
        <v/>
      </c>
      <c r="I406" s="107" t="str">
        <f>IF(G406="","",IFERROR(VLOOKUP(G406&amp;"",'Presupuesto Base'!$A$7:$G$24,3,FALSE),""))</f>
        <v/>
      </c>
      <c r="J406" s="30"/>
      <c r="K406" s="32"/>
      <c r="L406" s="108">
        <f>IF(G406="",0,IFERROR(VLOOKUP(G406&amp;"",'Presupuesto Base'!$A$7:$G$24,5,FALSE),0))</f>
        <v>0</v>
      </c>
      <c r="M406" s="108">
        <f t="shared" si="23"/>
        <v>0</v>
      </c>
      <c r="N406" s="30"/>
      <c r="O406" s="30"/>
      <c r="P406" s="33"/>
      <c r="Q406" s="97" t="str">
        <f>IFERROR(VLOOKUP(A406,'Historial Certificados'!$A$6:$E$29,5,FALSE),"")</f>
        <v/>
      </c>
      <c r="R406" s="97" t="str">
        <f t="shared" si="24"/>
        <v/>
      </c>
    </row>
    <row r="407" spans="1:18">
      <c r="A407" s="28"/>
      <c r="B407" s="29"/>
      <c r="C407" s="30"/>
      <c r="D407" s="30"/>
      <c r="E407" s="30"/>
      <c r="F407" s="30"/>
      <c r="G407" s="30"/>
      <c r="H407" s="107" t="str">
        <f>IF(G407="","",IFERROR(VLOOKUP(G407&amp;"",'Presupuesto Base'!$A$7:$G$24,2,FALSE),"Ítem no encontrado"))</f>
        <v/>
      </c>
      <c r="I407" s="107" t="str">
        <f>IF(G407="","",IFERROR(VLOOKUP(G407&amp;"",'Presupuesto Base'!$A$7:$G$24,3,FALSE),""))</f>
        <v/>
      </c>
      <c r="J407" s="30"/>
      <c r="K407" s="32"/>
      <c r="L407" s="108">
        <f>IF(G407="",0,IFERROR(VLOOKUP(G407&amp;"",'Presupuesto Base'!$A$7:$G$24,5,FALSE),0))</f>
        <v>0</v>
      </c>
      <c r="M407" s="108">
        <f t="shared" si="23"/>
        <v>0</v>
      </c>
      <c r="N407" s="30"/>
      <c r="O407" s="30"/>
      <c r="P407" s="33"/>
      <c r="Q407" s="97" t="str">
        <f>IFERROR(VLOOKUP(A407,'Historial Certificados'!$A$6:$E$29,5,FALSE),"")</f>
        <v/>
      </c>
      <c r="R407" s="97" t="str">
        <f t="shared" si="24"/>
        <v/>
      </c>
    </row>
    <row r="408" spans="1:18">
      <c r="A408" s="28"/>
      <c r="B408" s="29"/>
      <c r="C408" s="30"/>
      <c r="D408" s="30"/>
      <c r="E408" s="30"/>
      <c r="F408" s="30"/>
      <c r="G408" s="30"/>
      <c r="H408" s="107" t="str">
        <f>IF(G408="","",IFERROR(VLOOKUP(G408&amp;"",'Presupuesto Base'!$A$7:$G$24,2,FALSE),"Ítem no encontrado"))</f>
        <v/>
      </c>
      <c r="I408" s="107" t="str">
        <f>IF(G408="","",IFERROR(VLOOKUP(G408&amp;"",'Presupuesto Base'!$A$7:$G$24,3,FALSE),""))</f>
        <v/>
      </c>
      <c r="J408" s="30"/>
      <c r="K408" s="32"/>
      <c r="L408" s="108">
        <f>IF(G408="",0,IFERROR(VLOOKUP(G408&amp;"",'Presupuesto Base'!$A$7:$G$24,5,FALSE),0))</f>
        <v>0</v>
      </c>
      <c r="M408" s="108">
        <f t="shared" si="23"/>
        <v>0</v>
      </c>
      <c r="N408" s="30"/>
      <c r="O408" s="30"/>
      <c r="P408" s="33"/>
      <c r="Q408" s="97" t="str">
        <f>IFERROR(VLOOKUP(A408,'Historial Certificados'!$A$6:$E$29,5,FALSE),"")</f>
        <v/>
      </c>
      <c r="R408" s="97" t="str">
        <f t="shared" si="24"/>
        <v/>
      </c>
    </row>
    <row r="409" spans="1:18">
      <c r="A409" s="28"/>
      <c r="B409" s="29"/>
      <c r="C409" s="30"/>
      <c r="D409" s="30"/>
      <c r="E409" s="30"/>
      <c r="F409" s="30"/>
      <c r="G409" s="30"/>
      <c r="H409" s="107" t="str">
        <f>IF(G409="","",IFERROR(VLOOKUP(G409&amp;"",'Presupuesto Base'!$A$7:$G$24,2,FALSE),"Ítem no encontrado"))</f>
        <v/>
      </c>
      <c r="I409" s="107" t="str">
        <f>IF(G409="","",IFERROR(VLOOKUP(G409&amp;"",'Presupuesto Base'!$A$7:$G$24,3,FALSE),""))</f>
        <v/>
      </c>
      <c r="J409" s="30"/>
      <c r="K409" s="32"/>
      <c r="L409" s="108">
        <f>IF(G409="",0,IFERROR(VLOOKUP(G409&amp;"",'Presupuesto Base'!$A$7:$G$24,5,FALSE),0))</f>
        <v>0</v>
      </c>
      <c r="M409" s="108">
        <f t="shared" si="23"/>
        <v>0</v>
      </c>
      <c r="N409" s="30"/>
      <c r="O409" s="30"/>
      <c r="P409" s="33"/>
      <c r="Q409" s="97" t="str">
        <f>IFERROR(VLOOKUP(A409,'Historial Certificados'!$A$6:$E$29,5,FALSE),"")</f>
        <v/>
      </c>
      <c r="R409" s="97" t="str">
        <f t="shared" si="24"/>
        <v/>
      </c>
    </row>
    <row r="410" spans="1:18">
      <c r="A410" s="28"/>
      <c r="B410" s="29"/>
      <c r="C410" s="30"/>
      <c r="D410" s="30"/>
      <c r="E410" s="30"/>
      <c r="F410" s="30"/>
      <c r="G410" s="30"/>
      <c r="H410" s="107" t="str">
        <f>IF(G410="","",IFERROR(VLOOKUP(G410&amp;"",'Presupuesto Base'!$A$7:$G$24,2,FALSE),"Ítem no encontrado"))</f>
        <v/>
      </c>
      <c r="I410" s="107" t="str">
        <f>IF(G410="","",IFERROR(VLOOKUP(G410&amp;"",'Presupuesto Base'!$A$7:$G$24,3,FALSE),""))</f>
        <v/>
      </c>
      <c r="J410" s="30"/>
      <c r="K410" s="32"/>
      <c r="L410" s="108">
        <f>IF(G410="",0,IFERROR(VLOOKUP(G410&amp;"",'Presupuesto Base'!$A$7:$G$24,5,FALSE),0))</f>
        <v>0</v>
      </c>
      <c r="M410" s="108">
        <f t="shared" si="23"/>
        <v>0</v>
      </c>
      <c r="N410" s="30"/>
      <c r="O410" s="30"/>
      <c r="P410" s="33"/>
      <c r="Q410" s="97" t="str">
        <f>IFERROR(VLOOKUP(A410,'Historial Certificados'!$A$6:$E$29,5,FALSE),"")</f>
        <v/>
      </c>
      <c r="R410" s="97" t="str">
        <f t="shared" si="24"/>
        <v/>
      </c>
    </row>
    <row r="411" spans="1:18">
      <c r="A411" s="28"/>
      <c r="B411" s="29"/>
      <c r="C411" s="30"/>
      <c r="D411" s="30"/>
      <c r="E411" s="30"/>
      <c r="F411" s="30"/>
      <c r="G411" s="30"/>
      <c r="H411" s="107" t="str">
        <f>IF(G411="","",IFERROR(VLOOKUP(G411&amp;"",'Presupuesto Base'!$A$7:$G$24,2,FALSE),"Ítem no encontrado"))</f>
        <v/>
      </c>
      <c r="I411" s="107" t="str">
        <f>IF(G411="","",IFERROR(VLOOKUP(G411&amp;"",'Presupuesto Base'!$A$7:$G$24,3,FALSE),""))</f>
        <v/>
      </c>
      <c r="J411" s="30"/>
      <c r="K411" s="32"/>
      <c r="L411" s="108">
        <f>IF(G411="",0,IFERROR(VLOOKUP(G411&amp;"",'Presupuesto Base'!$A$7:$G$24,5,FALSE),0))</f>
        <v>0</v>
      </c>
      <c r="M411" s="108">
        <f t="shared" si="23"/>
        <v>0</v>
      </c>
      <c r="N411" s="30"/>
      <c r="O411" s="30"/>
      <c r="P411" s="33"/>
      <c r="Q411" s="97" t="str">
        <f>IFERROR(VLOOKUP(A411,'Historial Certificados'!$A$6:$E$29,5,FALSE),"")</f>
        <v/>
      </c>
      <c r="R411" s="97" t="str">
        <f t="shared" si="24"/>
        <v/>
      </c>
    </row>
    <row r="412" spans="1:18">
      <c r="A412" s="28"/>
      <c r="B412" s="29"/>
      <c r="C412" s="30"/>
      <c r="D412" s="30"/>
      <c r="E412" s="30"/>
      <c r="F412" s="30"/>
      <c r="G412" s="30"/>
      <c r="H412" s="107" t="str">
        <f>IF(G412="","",IFERROR(VLOOKUP(G412&amp;"",'Presupuesto Base'!$A$7:$G$24,2,FALSE),"Ítem no encontrado"))</f>
        <v/>
      </c>
      <c r="I412" s="107" t="str">
        <f>IF(G412="","",IFERROR(VLOOKUP(G412&amp;"",'Presupuesto Base'!$A$7:$G$24,3,FALSE),""))</f>
        <v/>
      </c>
      <c r="J412" s="30"/>
      <c r="K412" s="32"/>
      <c r="L412" s="108">
        <f>IF(G412="",0,IFERROR(VLOOKUP(G412&amp;"",'Presupuesto Base'!$A$7:$G$24,5,FALSE),0))</f>
        <v>0</v>
      </c>
      <c r="M412" s="108">
        <f t="shared" si="23"/>
        <v>0</v>
      </c>
      <c r="N412" s="30"/>
      <c r="O412" s="30"/>
      <c r="P412" s="33"/>
      <c r="Q412" s="97" t="str">
        <f>IFERROR(VLOOKUP(A412,'Historial Certificados'!$A$6:$E$29,5,FALSE),"")</f>
        <v/>
      </c>
      <c r="R412" s="97" t="str">
        <f t="shared" si="24"/>
        <v/>
      </c>
    </row>
    <row r="413" spans="1:18">
      <c r="A413" s="28"/>
      <c r="B413" s="29"/>
      <c r="C413" s="30"/>
      <c r="D413" s="30"/>
      <c r="E413" s="30"/>
      <c r="F413" s="30"/>
      <c r="G413" s="30"/>
      <c r="H413" s="107" t="str">
        <f>IF(G413="","",IFERROR(VLOOKUP(G413&amp;"",'Presupuesto Base'!$A$7:$G$24,2,FALSE),"Ítem no encontrado"))</f>
        <v/>
      </c>
      <c r="I413" s="107" t="str">
        <f>IF(G413="","",IFERROR(VLOOKUP(G413&amp;"",'Presupuesto Base'!$A$7:$G$24,3,FALSE),""))</f>
        <v/>
      </c>
      <c r="J413" s="30"/>
      <c r="K413" s="32"/>
      <c r="L413" s="108">
        <f>IF(G413="",0,IFERROR(VLOOKUP(G413&amp;"",'Presupuesto Base'!$A$7:$G$24,5,FALSE),0))</f>
        <v>0</v>
      </c>
      <c r="M413" s="108">
        <f t="shared" si="23"/>
        <v>0</v>
      </c>
      <c r="N413" s="30"/>
      <c r="O413" s="30"/>
      <c r="P413" s="33"/>
      <c r="Q413" s="97" t="str">
        <f>IFERROR(VLOOKUP(A413,'Historial Certificados'!$A$6:$E$29,5,FALSE),"")</f>
        <v/>
      </c>
      <c r="R413" s="97" t="str">
        <f t="shared" si="24"/>
        <v/>
      </c>
    </row>
    <row r="414" spans="1:18">
      <c r="A414" s="28"/>
      <c r="B414" s="29"/>
      <c r="C414" s="30"/>
      <c r="D414" s="30"/>
      <c r="E414" s="30"/>
      <c r="F414" s="30"/>
      <c r="G414" s="30"/>
      <c r="H414" s="107" t="str">
        <f>IF(G414="","",IFERROR(VLOOKUP(G414&amp;"",'Presupuesto Base'!$A$7:$G$24,2,FALSE),"Ítem no encontrado"))</f>
        <v/>
      </c>
      <c r="I414" s="107" t="str">
        <f>IF(G414="","",IFERROR(VLOOKUP(G414&amp;"",'Presupuesto Base'!$A$7:$G$24,3,FALSE),""))</f>
        <v/>
      </c>
      <c r="J414" s="30"/>
      <c r="K414" s="32"/>
      <c r="L414" s="108">
        <f>IF(G414="",0,IFERROR(VLOOKUP(G414&amp;"",'Presupuesto Base'!$A$7:$G$24,5,FALSE),0))</f>
        <v>0</v>
      </c>
      <c r="M414" s="108">
        <f t="shared" si="23"/>
        <v>0</v>
      </c>
      <c r="N414" s="30"/>
      <c r="O414" s="30"/>
      <c r="P414" s="33"/>
      <c r="Q414" s="97" t="str">
        <f>IFERROR(VLOOKUP(A414,'Historial Certificados'!$A$6:$E$29,5,FALSE),"")</f>
        <v/>
      </c>
      <c r="R414" s="97" t="str">
        <f t="shared" si="24"/>
        <v/>
      </c>
    </row>
    <row r="415" spans="1:18">
      <c r="A415" s="28"/>
      <c r="B415" s="29"/>
      <c r="C415" s="30"/>
      <c r="D415" s="30"/>
      <c r="E415" s="30"/>
      <c r="F415" s="30"/>
      <c r="G415" s="30"/>
      <c r="H415" s="107" t="str">
        <f>IF(G415="","",IFERROR(VLOOKUP(G415&amp;"",'Presupuesto Base'!$A$7:$G$24,2,FALSE),"Ítem no encontrado"))</f>
        <v/>
      </c>
      <c r="I415" s="107" t="str">
        <f>IF(G415="","",IFERROR(VLOOKUP(G415&amp;"",'Presupuesto Base'!$A$7:$G$24,3,FALSE),""))</f>
        <v/>
      </c>
      <c r="J415" s="30"/>
      <c r="K415" s="32"/>
      <c r="L415" s="108">
        <f>IF(G415="",0,IFERROR(VLOOKUP(G415&amp;"",'Presupuesto Base'!$A$7:$G$24,5,FALSE),0))</f>
        <v>0</v>
      </c>
      <c r="M415" s="108">
        <f t="shared" si="23"/>
        <v>0</v>
      </c>
      <c r="N415" s="30"/>
      <c r="O415" s="30"/>
      <c r="P415" s="33"/>
      <c r="Q415" s="97" t="str">
        <f>IFERROR(VLOOKUP(A415,'Historial Certificados'!$A$6:$E$29,5,FALSE),"")</f>
        <v/>
      </c>
      <c r="R415" s="97" t="str">
        <f t="shared" si="24"/>
        <v/>
      </c>
    </row>
    <row r="416" spans="1:18">
      <c r="A416" s="28"/>
      <c r="B416" s="29"/>
      <c r="C416" s="30"/>
      <c r="D416" s="30"/>
      <c r="E416" s="30"/>
      <c r="F416" s="30"/>
      <c r="G416" s="30"/>
      <c r="H416" s="107" t="str">
        <f>IF(G416="","",IFERROR(VLOOKUP(G416&amp;"",'Presupuesto Base'!$A$7:$G$24,2,FALSE),"Ítem no encontrado"))</f>
        <v/>
      </c>
      <c r="I416" s="107" t="str">
        <f>IF(G416="","",IFERROR(VLOOKUP(G416&amp;"",'Presupuesto Base'!$A$7:$G$24,3,FALSE),""))</f>
        <v/>
      </c>
      <c r="J416" s="30"/>
      <c r="K416" s="32"/>
      <c r="L416" s="108">
        <f>IF(G416="",0,IFERROR(VLOOKUP(G416&amp;"",'Presupuesto Base'!$A$7:$G$24,5,FALSE),0))</f>
        <v>0</v>
      </c>
      <c r="M416" s="108">
        <f t="shared" si="23"/>
        <v>0</v>
      </c>
      <c r="N416" s="30"/>
      <c r="O416" s="30"/>
      <c r="P416" s="33"/>
      <c r="Q416" s="97" t="str">
        <f>IFERROR(VLOOKUP(A416,'Historial Certificados'!$A$6:$E$29,5,FALSE),"")</f>
        <v/>
      </c>
      <c r="R416" s="97" t="str">
        <f t="shared" si="24"/>
        <v/>
      </c>
    </row>
    <row r="417" spans="1:18">
      <c r="A417" s="28"/>
      <c r="B417" s="29"/>
      <c r="C417" s="30"/>
      <c r="D417" s="30"/>
      <c r="E417" s="30"/>
      <c r="F417" s="30"/>
      <c r="G417" s="30"/>
      <c r="H417" s="107" t="str">
        <f>IF(G417="","",IFERROR(VLOOKUP(G417&amp;"",'Presupuesto Base'!$A$7:$G$24,2,FALSE),"Ítem no encontrado"))</f>
        <v/>
      </c>
      <c r="I417" s="107" t="str">
        <f>IF(G417="","",IFERROR(VLOOKUP(G417&amp;"",'Presupuesto Base'!$A$7:$G$24,3,FALSE),""))</f>
        <v/>
      </c>
      <c r="J417" s="30"/>
      <c r="K417" s="32"/>
      <c r="L417" s="108">
        <f>IF(G417="",0,IFERROR(VLOOKUP(G417&amp;"",'Presupuesto Base'!$A$7:$G$24,5,FALSE),0))</f>
        <v>0</v>
      </c>
      <c r="M417" s="108">
        <f t="shared" si="23"/>
        <v>0</v>
      </c>
      <c r="N417" s="30"/>
      <c r="O417" s="30"/>
      <c r="P417" s="33"/>
      <c r="Q417" s="97" t="str">
        <f>IFERROR(VLOOKUP(A417,'Historial Certificados'!$A$6:$E$29,5,FALSE),"")</f>
        <v/>
      </c>
      <c r="R417" s="97" t="str">
        <f t="shared" si="24"/>
        <v/>
      </c>
    </row>
    <row r="418" spans="1:18">
      <c r="A418" s="28"/>
      <c r="B418" s="29"/>
      <c r="C418" s="30"/>
      <c r="D418" s="30"/>
      <c r="E418" s="30"/>
      <c r="F418" s="30"/>
      <c r="G418" s="30"/>
      <c r="H418" s="107" t="str">
        <f>IF(G418="","",IFERROR(VLOOKUP(G418&amp;"",'Presupuesto Base'!$A$7:$G$24,2,FALSE),"Ítem no encontrado"))</f>
        <v/>
      </c>
      <c r="I418" s="107" t="str">
        <f>IF(G418="","",IFERROR(VLOOKUP(G418&amp;"",'Presupuesto Base'!$A$7:$G$24,3,FALSE),""))</f>
        <v/>
      </c>
      <c r="J418" s="30"/>
      <c r="K418" s="32"/>
      <c r="L418" s="108">
        <f>IF(G418="",0,IFERROR(VLOOKUP(G418&amp;"",'Presupuesto Base'!$A$7:$G$24,5,FALSE),0))</f>
        <v>0</v>
      </c>
      <c r="M418" s="108">
        <f t="shared" si="23"/>
        <v>0</v>
      </c>
      <c r="N418" s="30"/>
      <c r="O418" s="30"/>
      <c r="P418" s="33"/>
      <c r="Q418" s="97" t="str">
        <f>IFERROR(VLOOKUP(A418,'Historial Certificados'!$A$6:$E$29,5,FALSE),"")</f>
        <v/>
      </c>
      <c r="R418" s="97" t="str">
        <f t="shared" si="24"/>
        <v/>
      </c>
    </row>
    <row r="419" spans="1:18">
      <c r="A419" s="28"/>
      <c r="B419" s="29"/>
      <c r="C419" s="30"/>
      <c r="D419" s="30"/>
      <c r="E419" s="30"/>
      <c r="F419" s="30"/>
      <c r="G419" s="30"/>
      <c r="H419" s="107" t="str">
        <f>IF(G419="","",IFERROR(VLOOKUP(G419&amp;"",'Presupuesto Base'!$A$7:$G$24,2,FALSE),"Ítem no encontrado"))</f>
        <v/>
      </c>
      <c r="I419" s="107" t="str">
        <f>IF(G419="","",IFERROR(VLOOKUP(G419&amp;"",'Presupuesto Base'!$A$7:$G$24,3,FALSE),""))</f>
        <v/>
      </c>
      <c r="J419" s="30"/>
      <c r="K419" s="32"/>
      <c r="L419" s="108">
        <f>IF(G419="",0,IFERROR(VLOOKUP(G419&amp;"",'Presupuesto Base'!$A$7:$G$24,5,FALSE),0))</f>
        <v>0</v>
      </c>
      <c r="M419" s="108">
        <f t="shared" si="23"/>
        <v>0</v>
      </c>
      <c r="N419" s="30"/>
      <c r="O419" s="30"/>
      <c r="P419" s="33"/>
      <c r="Q419" s="97" t="str">
        <f>IFERROR(VLOOKUP(A419,'Historial Certificados'!$A$6:$E$29,5,FALSE),"")</f>
        <v/>
      </c>
      <c r="R419" s="97" t="str">
        <f t="shared" si="24"/>
        <v/>
      </c>
    </row>
    <row r="420" spans="1:18">
      <c r="A420" s="28"/>
      <c r="B420" s="29"/>
      <c r="C420" s="30"/>
      <c r="D420" s="30"/>
      <c r="E420" s="30"/>
      <c r="F420" s="30"/>
      <c r="G420" s="30"/>
      <c r="H420" s="107" t="str">
        <f>IF(G420="","",IFERROR(VLOOKUP(G420&amp;"",'Presupuesto Base'!$A$7:$G$24,2,FALSE),"Ítem no encontrado"))</f>
        <v/>
      </c>
      <c r="I420" s="107" t="str">
        <f>IF(G420="","",IFERROR(VLOOKUP(G420&amp;"",'Presupuesto Base'!$A$7:$G$24,3,FALSE),""))</f>
        <v/>
      </c>
      <c r="J420" s="30"/>
      <c r="K420" s="32"/>
      <c r="L420" s="108">
        <f>IF(G420="",0,IFERROR(VLOOKUP(G420&amp;"",'Presupuesto Base'!$A$7:$G$24,5,FALSE),0))</f>
        <v>0</v>
      </c>
      <c r="M420" s="108">
        <f t="shared" si="23"/>
        <v>0</v>
      </c>
      <c r="N420" s="30"/>
      <c r="O420" s="30"/>
      <c r="P420" s="33"/>
      <c r="Q420" s="97" t="str">
        <f>IFERROR(VLOOKUP(A420,'Historial Certificados'!$A$6:$E$29,5,FALSE),"")</f>
        <v/>
      </c>
      <c r="R420" s="97" t="str">
        <f t="shared" si="24"/>
        <v/>
      </c>
    </row>
    <row r="421" spans="1:18">
      <c r="A421" s="28"/>
      <c r="B421" s="29"/>
      <c r="C421" s="30"/>
      <c r="D421" s="30"/>
      <c r="E421" s="30"/>
      <c r="F421" s="30"/>
      <c r="G421" s="30"/>
      <c r="H421" s="107" t="str">
        <f>IF(G421="","",IFERROR(VLOOKUP(G421&amp;"",'Presupuesto Base'!$A$7:$G$24,2,FALSE),"Ítem no encontrado"))</f>
        <v/>
      </c>
      <c r="I421" s="107" t="str">
        <f>IF(G421="","",IFERROR(VLOOKUP(G421&amp;"",'Presupuesto Base'!$A$7:$G$24,3,FALSE),""))</f>
        <v/>
      </c>
      <c r="J421" s="30"/>
      <c r="K421" s="32"/>
      <c r="L421" s="108">
        <f>IF(G421="",0,IFERROR(VLOOKUP(G421&amp;"",'Presupuesto Base'!$A$7:$G$24,5,FALSE),0))</f>
        <v>0</v>
      </c>
      <c r="M421" s="108">
        <f t="shared" si="23"/>
        <v>0</v>
      </c>
      <c r="N421" s="30"/>
      <c r="O421" s="30"/>
      <c r="P421" s="33"/>
      <c r="Q421" s="97" t="str">
        <f>IFERROR(VLOOKUP(A421,'Historial Certificados'!$A$6:$E$29,5,FALSE),"")</f>
        <v/>
      </c>
      <c r="R421" s="97" t="str">
        <f t="shared" si="24"/>
        <v/>
      </c>
    </row>
    <row r="422" spans="1:18">
      <c r="A422" s="28"/>
      <c r="B422" s="29"/>
      <c r="C422" s="30"/>
      <c r="D422" s="30"/>
      <c r="E422" s="30"/>
      <c r="F422" s="30"/>
      <c r="G422" s="30"/>
      <c r="H422" s="107" t="str">
        <f>IF(G422="","",IFERROR(VLOOKUP(G422&amp;"",'Presupuesto Base'!$A$7:$G$24,2,FALSE),"Ítem no encontrado"))</f>
        <v/>
      </c>
      <c r="I422" s="107" t="str">
        <f>IF(G422="","",IFERROR(VLOOKUP(G422&amp;"",'Presupuesto Base'!$A$7:$G$24,3,FALSE),""))</f>
        <v/>
      </c>
      <c r="J422" s="30"/>
      <c r="K422" s="32"/>
      <c r="L422" s="108">
        <f>IF(G422="",0,IFERROR(VLOOKUP(G422&amp;"",'Presupuesto Base'!$A$7:$G$24,5,FALSE),0))</f>
        <v>0</v>
      </c>
      <c r="M422" s="108">
        <f t="shared" si="23"/>
        <v>0</v>
      </c>
      <c r="N422" s="30"/>
      <c r="O422" s="30"/>
      <c r="P422" s="33"/>
      <c r="Q422" s="97" t="str">
        <f>IFERROR(VLOOKUP(A422,'Historial Certificados'!$A$6:$E$29,5,FALSE),"")</f>
        <v/>
      </c>
      <c r="R422" s="97" t="str">
        <f t="shared" si="24"/>
        <v/>
      </c>
    </row>
    <row r="423" spans="1:18">
      <c r="A423" s="28"/>
      <c r="B423" s="29"/>
      <c r="C423" s="30"/>
      <c r="D423" s="30"/>
      <c r="E423" s="30"/>
      <c r="F423" s="30"/>
      <c r="G423" s="30"/>
      <c r="H423" s="107" t="str">
        <f>IF(G423="","",IFERROR(VLOOKUP(G423&amp;"",'Presupuesto Base'!$A$7:$G$24,2,FALSE),"Ítem no encontrado"))</f>
        <v/>
      </c>
      <c r="I423" s="107" t="str">
        <f>IF(G423="","",IFERROR(VLOOKUP(G423&amp;"",'Presupuesto Base'!$A$7:$G$24,3,FALSE),""))</f>
        <v/>
      </c>
      <c r="J423" s="30"/>
      <c r="K423" s="32"/>
      <c r="L423" s="108">
        <f>IF(G423="",0,IFERROR(VLOOKUP(G423&amp;"",'Presupuesto Base'!$A$7:$G$24,5,FALSE),0))</f>
        <v>0</v>
      </c>
      <c r="M423" s="108">
        <f t="shared" si="23"/>
        <v>0</v>
      </c>
      <c r="N423" s="30"/>
      <c r="O423" s="30"/>
      <c r="P423" s="33"/>
      <c r="Q423" s="97" t="str">
        <f>IFERROR(VLOOKUP(A423,'Historial Certificados'!$A$6:$E$29,5,FALSE),"")</f>
        <v/>
      </c>
      <c r="R423" s="97" t="str">
        <f t="shared" si="24"/>
        <v/>
      </c>
    </row>
    <row r="424" spans="1:18">
      <c r="A424" s="28"/>
      <c r="B424" s="29"/>
      <c r="C424" s="30"/>
      <c r="D424" s="30"/>
      <c r="E424" s="30"/>
      <c r="F424" s="30"/>
      <c r="G424" s="30"/>
      <c r="H424" s="107" t="str">
        <f>IF(G424="","",IFERROR(VLOOKUP(G424&amp;"",'Presupuesto Base'!$A$7:$G$24,2,FALSE),"Ítem no encontrado"))</f>
        <v/>
      </c>
      <c r="I424" s="107" t="str">
        <f>IF(G424="","",IFERROR(VLOOKUP(G424&amp;"",'Presupuesto Base'!$A$7:$G$24,3,FALSE),""))</f>
        <v/>
      </c>
      <c r="J424" s="30"/>
      <c r="K424" s="32"/>
      <c r="L424" s="108">
        <f>IF(G424="",0,IFERROR(VLOOKUP(G424&amp;"",'Presupuesto Base'!$A$7:$G$24,5,FALSE),0))</f>
        <v>0</v>
      </c>
      <c r="M424" s="108">
        <f t="shared" si="23"/>
        <v>0</v>
      </c>
      <c r="N424" s="30"/>
      <c r="O424" s="30"/>
      <c r="P424" s="33"/>
      <c r="Q424" s="97" t="str">
        <f>IFERROR(VLOOKUP(A424,'Historial Certificados'!$A$6:$E$29,5,FALSE),"")</f>
        <v/>
      </c>
      <c r="R424" s="97" t="str">
        <f t="shared" si="24"/>
        <v/>
      </c>
    </row>
    <row r="425" spans="1:18">
      <c r="A425" s="28"/>
      <c r="B425" s="29"/>
      <c r="C425" s="30"/>
      <c r="D425" s="30"/>
      <c r="E425" s="30"/>
      <c r="F425" s="30"/>
      <c r="G425" s="30"/>
      <c r="H425" s="107" t="str">
        <f>IF(G425="","",IFERROR(VLOOKUP(G425&amp;"",'Presupuesto Base'!$A$7:$G$24,2,FALSE),"Ítem no encontrado"))</f>
        <v/>
      </c>
      <c r="I425" s="107" t="str">
        <f>IF(G425="","",IFERROR(VLOOKUP(G425&amp;"",'Presupuesto Base'!$A$7:$G$24,3,FALSE),""))</f>
        <v/>
      </c>
      <c r="J425" s="30"/>
      <c r="K425" s="32"/>
      <c r="L425" s="108">
        <f>IF(G425="",0,IFERROR(VLOOKUP(G425&amp;"",'Presupuesto Base'!$A$7:$G$24,5,FALSE),0))</f>
        <v>0</v>
      </c>
      <c r="M425" s="108">
        <f t="shared" si="23"/>
        <v>0</v>
      </c>
      <c r="N425" s="30"/>
      <c r="O425" s="30"/>
      <c r="P425" s="33"/>
      <c r="Q425" s="97" t="str">
        <f>IFERROR(VLOOKUP(A425,'Historial Certificados'!$A$6:$E$29,5,FALSE),"")</f>
        <v/>
      </c>
      <c r="R425" s="97" t="str">
        <f t="shared" si="24"/>
        <v/>
      </c>
    </row>
    <row r="426" spans="1:18">
      <c r="A426" s="28"/>
      <c r="B426" s="29"/>
      <c r="C426" s="30"/>
      <c r="D426" s="30"/>
      <c r="E426" s="30"/>
      <c r="F426" s="30"/>
      <c r="G426" s="30"/>
      <c r="H426" s="107" t="str">
        <f>IF(G426="","",IFERROR(VLOOKUP(G426&amp;"",'Presupuesto Base'!$A$7:$G$24,2,FALSE),"Ítem no encontrado"))</f>
        <v/>
      </c>
      <c r="I426" s="107" t="str">
        <f>IF(G426="","",IFERROR(VLOOKUP(G426&amp;"",'Presupuesto Base'!$A$7:$G$24,3,FALSE),""))</f>
        <v/>
      </c>
      <c r="J426" s="30"/>
      <c r="K426" s="32"/>
      <c r="L426" s="108">
        <f>IF(G426="",0,IFERROR(VLOOKUP(G426&amp;"",'Presupuesto Base'!$A$7:$G$24,5,FALSE),0))</f>
        <v>0</v>
      </c>
      <c r="M426" s="108">
        <f t="shared" si="23"/>
        <v>0</v>
      </c>
      <c r="N426" s="30"/>
      <c r="O426" s="30"/>
      <c r="P426" s="33"/>
      <c r="Q426" s="97" t="str">
        <f>IFERROR(VLOOKUP(A426,'Historial Certificados'!$A$6:$E$29,5,FALSE),"")</f>
        <v/>
      </c>
      <c r="R426" s="97" t="str">
        <f t="shared" si="24"/>
        <v/>
      </c>
    </row>
    <row r="427" spans="1:18">
      <c r="A427" s="28"/>
      <c r="B427" s="29"/>
      <c r="C427" s="30"/>
      <c r="D427" s="30"/>
      <c r="E427" s="30"/>
      <c r="F427" s="30"/>
      <c r="G427" s="30"/>
      <c r="H427" s="107" t="str">
        <f>IF(G427="","",IFERROR(VLOOKUP(G427&amp;"",'Presupuesto Base'!$A$7:$G$24,2,FALSE),"Ítem no encontrado"))</f>
        <v/>
      </c>
      <c r="I427" s="107" t="str">
        <f>IF(G427="","",IFERROR(VLOOKUP(G427&amp;"",'Presupuesto Base'!$A$7:$G$24,3,FALSE),""))</f>
        <v/>
      </c>
      <c r="J427" s="30"/>
      <c r="K427" s="32"/>
      <c r="L427" s="108">
        <f>IF(G427="",0,IFERROR(VLOOKUP(G427&amp;"",'Presupuesto Base'!$A$7:$G$24,5,FALSE),0))</f>
        <v>0</v>
      </c>
      <c r="M427" s="108">
        <f t="shared" si="23"/>
        <v>0</v>
      </c>
      <c r="N427" s="30"/>
      <c r="O427" s="30"/>
      <c r="P427" s="33"/>
      <c r="Q427" s="97" t="str">
        <f>IFERROR(VLOOKUP(A427,'Historial Certificados'!$A$6:$E$29,5,FALSE),"")</f>
        <v/>
      </c>
      <c r="R427" s="97" t="str">
        <f t="shared" si="24"/>
        <v/>
      </c>
    </row>
    <row r="428" spans="1:18">
      <c r="A428" s="28"/>
      <c r="B428" s="29"/>
      <c r="C428" s="30"/>
      <c r="D428" s="30"/>
      <c r="E428" s="30"/>
      <c r="F428" s="30"/>
      <c r="G428" s="30"/>
      <c r="H428" s="107" t="str">
        <f>IF(G428="","",IFERROR(VLOOKUP(G428&amp;"",'Presupuesto Base'!$A$7:$G$24,2,FALSE),"Ítem no encontrado"))</f>
        <v/>
      </c>
      <c r="I428" s="107" t="str">
        <f>IF(G428="","",IFERROR(VLOOKUP(G428&amp;"",'Presupuesto Base'!$A$7:$G$24,3,FALSE),""))</f>
        <v/>
      </c>
      <c r="J428" s="30"/>
      <c r="K428" s="32"/>
      <c r="L428" s="108">
        <f>IF(G428="",0,IFERROR(VLOOKUP(G428&amp;"",'Presupuesto Base'!$A$7:$G$24,5,FALSE),0))</f>
        <v>0</v>
      </c>
      <c r="M428" s="108">
        <f t="shared" si="23"/>
        <v>0</v>
      </c>
      <c r="N428" s="30"/>
      <c r="O428" s="30"/>
      <c r="P428" s="33"/>
      <c r="Q428" s="97" t="str">
        <f>IFERROR(VLOOKUP(A428,'Historial Certificados'!$A$6:$E$29,5,FALSE),"")</f>
        <v/>
      </c>
      <c r="R428" s="97" t="str">
        <f t="shared" si="24"/>
        <v/>
      </c>
    </row>
    <row r="429" spans="1:18">
      <c r="A429" s="28"/>
      <c r="B429" s="29"/>
      <c r="C429" s="30"/>
      <c r="D429" s="30"/>
      <c r="E429" s="30"/>
      <c r="F429" s="30"/>
      <c r="G429" s="30"/>
      <c r="H429" s="107" t="str">
        <f>IF(G429="","",IFERROR(VLOOKUP(G429&amp;"",'Presupuesto Base'!$A$7:$G$24,2,FALSE),"Ítem no encontrado"))</f>
        <v/>
      </c>
      <c r="I429" s="107" t="str">
        <f>IF(G429="","",IFERROR(VLOOKUP(G429&amp;"",'Presupuesto Base'!$A$7:$G$24,3,FALSE),""))</f>
        <v/>
      </c>
      <c r="J429" s="30"/>
      <c r="K429" s="32"/>
      <c r="L429" s="108">
        <f>IF(G429="",0,IFERROR(VLOOKUP(G429&amp;"",'Presupuesto Base'!$A$7:$G$24,5,FALSE),0))</f>
        <v>0</v>
      </c>
      <c r="M429" s="108">
        <f t="shared" si="23"/>
        <v>0</v>
      </c>
      <c r="N429" s="30"/>
      <c r="O429" s="30"/>
      <c r="P429" s="33"/>
      <c r="Q429" s="97" t="str">
        <f>IFERROR(VLOOKUP(A429,'Historial Certificados'!$A$6:$E$29,5,FALSE),"")</f>
        <v/>
      </c>
      <c r="R429" s="97" t="str">
        <f t="shared" si="24"/>
        <v/>
      </c>
    </row>
    <row r="430" spans="1:18">
      <c r="A430" s="28"/>
      <c r="B430" s="29"/>
      <c r="C430" s="30"/>
      <c r="D430" s="30"/>
      <c r="E430" s="30"/>
      <c r="F430" s="30"/>
      <c r="G430" s="30"/>
      <c r="H430" s="107" t="str">
        <f>IF(G430="","",IFERROR(VLOOKUP(G430&amp;"",'Presupuesto Base'!$A$7:$G$24,2,FALSE),"Ítem no encontrado"))</f>
        <v/>
      </c>
      <c r="I430" s="107" t="str">
        <f>IF(G430="","",IFERROR(VLOOKUP(G430&amp;"",'Presupuesto Base'!$A$7:$G$24,3,FALSE),""))</f>
        <v/>
      </c>
      <c r="J430" s="30"/>
      <c r="K430" s="32"/>
      <c r="L430" s="108">
        <f>IF(G430="",0,IFERROR(VLOOKUP(G430&amp;"",'Presupuesto Base'!$A$7:$G$24,5,FALSE),0))</f>
        <v>0</v>
      </c>
      <c r="M430" s="108">
        <f t="shared" si="23"/>
        <v>0</v>
      </c>
      <c r="N430" s="30"/>
      <c r="O430" s="30"/>
      <c r="P430" s="33"/>
      <c r="Q430" s="97" t="str">
        <f>IFERROR(VLOOKUP(A430,'Historial Certificados'!$A$6:$E$29,5,FALSE),"")</f>
        <v/>
      </c>
      <c r="R430" s="97" t="str">
        <f t="shared" si="24"/>
        <v/>
      </c>
    </row>
    <row r="431" spans="1:18">
      <c r="A431" s="28"/>
      <c r="B431" s="29"/>
      <c r="C431" s="30"/>
      <c r="D431" s="30"/>
      <c r="E431" s="30"/>
      <c r="F431" s="30"/>
      <c r="G431" s="30"/>
      <c r="H431" s="107" t="str">
        <f>IF(G431="","",IFERROR(VLOOKUP(G431&amp;"",'Presupuesto Base'!$A$7:$G$24,2,FALSE),"Ítem no encontrado"))</f>
        <v/>
      </c>
      <c r="I431" s="107" t="str">
        <f>IF(G431="","",IFERROR(VLOOKUP(G431&amp;"",'Presupuesto Base'!$A$7:$G$24,3,FALSE),""))</f>
        <v/>
      </c>
      <c r="J431" s="30"/>
      <c r="K431" s="32"/>
      <c r="L431" s="108">
        <f>IF(G431="",0,IFERROR(VLOOKUP(G431&amp;"",'Presupuesto Base'!$A$7:$G$24,5,FALSE),0))</f>
        <v>0</v>
      </c>
      <c r="M431" s="108">
        <f t="shared" si="23"/>
        <v>0</v>
      </c>
      <c r="N431" s="30"/>
      <c r="O431" s="30"/>
      <c r="P431" s="33"/>
      <c r="Q431" s="97" t="str">
        <f>IFERROR(VLOOKUP(A431,'Historial Certificados'!$A$6:$E$29,5,FALSE),"")</f>
        <v/>
      </c>
      <c r="R431" s="97" t="str">
        <f t="shared" si="24"/>
        <v/>
      </c>
    </row>
    <row r="432" spans="1:18">
      <c r="A432" s="28"/>
      <c r="B432" s="29"/>
      <c r="C432" s="30"/>
      <c r="D432" s="30"/>
      <c r="E432" s="30"/>
      <c r="F432" s="30"/>
      <c r="G432" s="30"/>
      <c r="H432" s="107" t="str">
        <f>IF(G432="","",IFERROR(VLOOKUP(G432&amp;"",'Presupuesto Base'!$A$7:$G$24,2,FALSE),"Ítem no encontrado"))</f>
        <v/>
      </c>
      <c r="I432" s="107" t="str">
        <f>IF(G432="","",IFERROR(VLOOKUP(G432&amp;"",'Presupuesto Base'!$A$7:$G$24,3,FALSE),""))</f>
        <v/>
      </c>
      <c r="J432" s="30"/>
      <c r="K432" s="32"/>
      <c r="L432" s="108">
        <f>IF(G432="",0,IFERROR(VLOOKUP(G432&amp;"",'Presupuesto Base'!$A$7:$G$24,5,FALSE),0))</f>
        <v>0</v>
      </c>
      <c r="M432" s="108">
        <f t="shared" si="23"/>
        <v>0</v>
      </c>
      <c r="N432" s="30"/>
      <c r="O432" s="30"/>
      <c r="P432" s="33"/>
      <c r="Q432" s="97" t="str">
        <f>IFERROR(VLOOKUP(A432,'Historial Certificados'!$A$6:$E$29,5,FALSE),"")</f>
        <v/>
      </c>
      <c r="R432" s="97" t="str">
        <f t="shared" si="24"/>
        <v/>
      </c>
    </row>
    <row r="433" spans="1:18">
      <c r="A433" s="28"/>
      <c r="B433" s="29"/>
      <c r="C433" s="30"/>
      <c r="D433" s="30"/>
      <c r="E433" s="30"/>
      <c r="F433" s="30"/>
      <c r="G433" s="30"/>
      <c r="H433" s="107" t="str">
        <f>IF(G433="","",IFERROR(VLOOKUP(G433&amp;"",'Presupuesto Base'!$A$7:$G$24,2,FALSE),"Ítem no encontrado"))</f>
        <v/>
      </c>
      <c r="I433" s="107" t="str">
        <f>IF(G433="","",IFERROR(VLOOKUP(G433&amp;"",'Presupuesto Base'!$A$7:$G$24,3,FALSE),""))</f>
        <v/>
      </c>
      <c r="J433" s="30"/>
      <c r="K433" s="32"/>
      <c r="L433" s="108">
        <f>IF(G433="",0,IFERROR(VLOOKUP(G433&amp;"",'Presupuesto Base'!$A$7:$G$24,5,FALSE),0))</f>
        <v>0</v>
      </c>
      <c r="M433" s="108">
        <f t="shared" si="23"/>
        <v>0</v>
      </c>
      <c r="N433" s="30"/>
      <c r="O433" s="30"/>
      <c r="P433" s="33"/>
      <c r="Q433" s="97" t="str">
        <f>IFERROR(VLOOKUP(A433,'Historial Certificados'!$A$6:$E$29,5,FALSE),"")</f>
        <v/>
      </c>
      <c r="R433" s="97" t="str">
        <f t="shared" si="24"/>
        <v/>
      </c>
    </row>
    <row r="434" spans="1:18">
      <c r="A434" s="28"/>
      <c r="B434" s="29"/>
      <c r="C434" s="30"/>
      <c r="D434" s="30"/>
      <c r="E434" s="30"/>
      <c r="F434" s="30"/>
      <c r="G434" s="30"/>
      <c r="H434" s="107" t="str">
        <f>IF(G434="","",IFERROR(VLOOKUP(G434&amp;"",'Presupuesto Base'!$A$7:$G$24,2,FALSE),"Ítem no encontrado"))</f>
        <v/>
      </c>
      <c r="I434" s="107" t="str">
        <f>IF(G434="","",IFERROR(VLOOKUP(G434&amp;"",'Presupuesto Base'!$A$7:$G$24,3,FALSE),""))</f>
        <v/>
      </c>
      <c r="J434" s="30"/>
      <c r="K434" s="32"/>
      <c r="L434" s="108">
        <f>IF(G434="",0,IFERROR(VLOOKUP(G434&amp;"",'Presupuesto Base'!$A$7:$G$24,5,FALSE),0))</f>
        <v>0</v>
      </c>
      <c r="M434" s="108">
        <f t="shared" si="23"/>
        <v>0</v>
      </c>
      <c r="N434" s="30"/>
      <c r="O434" s="30"/>
      <c r="P434" s="33"/>
      <c r="Q434" s="97" t="str">
        <f>IFERROR(VLOOKUP(A434,'Historial Certificados'!$A$6:$E$29,5,FALSE),"")</f>
        <v/>
      </c>
      <c r="R434" s="97" t="str">
        <f t="shared" si="24"/>
        <v/>
      </c>
    </row>
    <row r="435" spans="1:18">
      <c r="A435" s="28"/>
      <c r="B435" s="29"/>
      <c r="C435" s="30"/>
      <c r="D435" s="30"/>
      <c r="E435" s="30"/>
      <c r="F435" s="30"/>
      <c r="G435" s="30"/>
      <c r="H435" s="107" t="str">
        <f>IF(G435="","",IFERROR(VLOOKUP(G435&amp;"",'Presupuesto Base'!$A$7:$G$24,2,FALSE),"Ítem no encontrado"))</f>
        <v/>
      </c>
      <c r="I435" s="107" t="str">
        <f>IF(G435="","",IFERROR(VLOOKUP(G435&amp;"",'Presupuesto Base'!$A$7:$G$24,3,FALSE),""))</f>
        <v/>
      </c>
      <c r="J435" s="30"/>
      <c r="K435" s="32"/>
      <c r="L435" s="108">
        <f>IF(G435="",0,IFERROR(VLOOKUP(G435&amp;"",'Presupuesto Base'!$A$7:$G$24,5,FALSE),0))</f>
        <v>0</v>
      </c>
      <c r="M435" s="108">
        <f t="shared" si="23"/>
        <v>0</v>
      </c>
      <c r="N435" s="30"/>
      <c r="O435" s="30"/>
      <c r="P435" s="33"/>
      <c r="Q435" s="97" t="str">
        <f>IFERROR(VLOOKUP(A435,'Historial Certificados'!$A$6:$E$29,5,FALSE),"")</f>
        <v/>
      </c>
      <c r="R435" s="97" t="str">
        <f t="shared" si="24"/>
        <v/>
      </c>
    </row>
    <row r="436" spans="1:18">
      <c r="A436" s="28"/>
      <c r="B436" s="29"/>
      <c r="C436" s="30"/>
      <c r="D436" s="30"/>
      <c r="E436" s="30"/>
      <c r="F436" s="30"/>
      <c r="G436" s="30"/>
      <c r="H436" s="107" t="str">
        <f>IF(G436="","",IFERROR(VLOOKUP(G436&amp;"",'Presupuesto Base'!$A$7:$G$24,2,FALSE),"Ítem no encontrado"))</f>
        <v/>
      </c>
      <c r="I436" s="107" t="str">
        <f>IF(G436="","",IFERROR(VLOOKUP(G436&amp;"",'Presupuesto Base'!$A$7:$G$24,3,FALSE),""))</f>
        <v/>
      </c>
      <c r="J436" s="30"/>
      <c r="K436" s="32"/>
      <c r="L436" s="108">
        <f>IF(G436="",0,IFERROR(VLOOKUP(G436&amp;"",'Presupuesto Base'!$A$7:$G$24,5,FALSE),0))</f>
        <v>0</v>
      </c>
      <c r="M436" s="108">
        <f t="shared" si="23"/>
        <v>0</v>
      </c>
      <c r="N436" s="30"/>
      <c r="O436" s="30"/>
      <c r="P436" s="33"/>
      <c r="Q436" s="97" t="str">
        <f>IFERROR(VLOOKUP(A436,'Historial Certificados'!$A$6:$E$29,5,FALSE),"")</f>
        <v/>
      </c>
      <c r="R436" s="97" t="str">
        <f t="shared" si="24"/>
        <v/>
      </c>
    </row>
    <row r="437" spans="1:18">
      <c r="A437" s="28"/>
      <c r="B437" s="29"/>
      <c r="C437" s="30"/>
      <c r="D437" s="30"/>
      <c r="E437" s="30"/>
      <c r="F437" s="30"/>
      <c r="G437" s="30"/>
      <c r="H437" s="107" t="str">
        <f>IF(G437="","",IFERROR(VLOOKUP(G437&amp;"",'Presupuesto Base'!$A$7:$G$24,2,FALSE),"Ítem no encontrado"))</f>
        <v/>
      </c>
      <c r="I437" s="107" t="str">
        <f>IF(G437="","",IFERROR(VLOOKUP(G437&amp;"",'Presupuesto Base'!$A$7:$G$24,3,FALSE),""))</f>
        <v/>
      </c>
      <c r="J437" s="30"/>
      <c r="K437" s="32"/>
      <c r="L437" s="108">
        <f>IF(G437="",0,IFERROR(VLOOKUP(G437&amp;"",'Presupuesto Base'!$A$7:$G$24,5,FALSE),0))</f>
        <v>0</v>
      </c>
      <c r="M437" s="108">
        <f t="shared" si="23"/>
        <v>0</v>
      </c>
      <c r="N437" s="30"/>
      <c r="O437" s="30"/>
      <c r="P437" s="33"/>
      <c r="Q437" s="97" t="str">
        <f>IFERROR(VLOOKUP(A437,'Historial Certificados'!$A$6:$E$29,5,FALSE),"")</f>
        <v/>
      </c>
      <c r="R437" s="97" t="str">
        <f t="shared" si="24"/>
        <v/>
      </c>
    </row>
    <row r="438" spans="1:18">
      <c r="A438" s="28"/>
      <c r="B438" s="29"/>
      <c r="C438" s="30"/>
      <c r="D438" s="30"/>
      <c r="E438" s="30"/>
      <c r="F438" s="30"/>
      <c r="G438" s="30"/>
      <c r="H438" s="107" t="str">
        <f>IF(G438="","",IFERROR(VLOOKUP(G438&amp;"",'Presupuesto Base'!$A$7:$G$24,2,FALSE),"Ítem no encontrado"))</f>
        <v/>
      </c>
      <c r="I438" s="107" t="str">
        <f>IF(G438="","",IFERROR(VLOOKUP(G438&amp;"",'Presupuesto Base'!$A$7:$G$24,3,FALSE),""))</f>
        <v/>
      </c>
      <c r="J438" s="30"/>
      <c r="K438" s="32"/>
      <c r="L438" s="108">
        <f>IF(G438="",0,IFERROR(VLOOKUP(G438&amp;"",'Presupuesto Base'!$A$7:$G$24,5,FALSE),0))</f>
        <v>0</v>
      </c>
      <c r="M438" s="108">
        <f t="shared" si="23"/>
        <v>0</v>
      </c>
      <c r="N438" s="30"/>
      <c r="O438" s="30"/>
      <c r="P438" s="33"/>
      <c r="Q438" s="97" t="str">
        <f>IFERROR(VLOOKUP(A438,'Historial Certificados'!$A$6:$E$29,5,FALSE),"")</f>
        <v/>
      </c>
      <c r="R438" s="97" t="str">
        <f t="shared" si="24"/>
        <v/>
      </c>
    </row>
    <row r="439" spans="1:18">
      <c r="A439" s="28"/>
      <c r="B439" s="29"/>
      <c r="C439" s="30"/>
      <c r="D439" s="30"/>
      <c r="E439" s="30"/>
      <c r="F439" s="30"/>
      <c r="G439" s="30"/>
      <c r="H439" s="107" t="str">
        <f>IF(G439="","",IFERROR(VLOOKUP(G439&amp;"",'Presupuesto Base'!$A$7:$G$24,2,FALSE),"Ítem no encontrado"))</f>
        <v/>
      </c>
      <c r="I439" s="107" t="str">
        <f>IF(G439="","",IFERROR(VLOOKUP(G439&amp;"",'Presupuesto Base'!$A$7:$G$24,3,FALSE),""))</f>
        <v/>
      </c>
      <c r="J439" s="30"/>
      <c r="K439" s="32"/>
      <c r="L439" s="108">
        <f>IF(G439="",0,IFERROR(VLOOKUP(G439&amp;"",'Presupuesto Base'!$A$7:$G$24,5,FALSE),0))</f>
        <v>0</v>
      </c>
      <c r="M439" s="108">
        <f t="shared" si="23"/>
        <v>0</v>
      </c>
      <c r="N439" s="30"/>
      <c r="O439" s="30"/>
      <c r="P439" s="33"/>
      <c r="Q439" s="97" t="str">
        <f>IFERROR(VLOOKUP(A439,'Historial Certificados'!$A$6:$E$29,5,FALSE),"")</f>
        <v/>
      </c>
      <c r="R439" s="97" t="str">
        <f t="shared" si="24"/>
        <v/>
      </c>
    </row>
    <row r="440" spans="1:18">
      <c r="A440" s="28"/>
      <c r="B440" s="29"/>
      <c r="C440" s="30"/>
      <c r="D440" s="30"/>
      <c r="E440" s="30"/>
      <c r="F440" s="30"/>
      <c r="G440" s="30"/>
      <c r="H440" s="107" t="str">
        <f>IF(G440="","",IFERROR(VLOOKUP(G440&amp;"",'Presupuesto Base'!$A$7:$G$24,2,FALSE),"Ítem no encontrado"))</f>
        <v/>
      </c>
      <c r="I440" s="107" t="str">
        <f>IF(G440="","",IFERROR(VLOOKUP(G440&amp;"",'Presupuesto Base'!$A$7:$G$24,3,FALSE),""))</f>
        <v/>
      </c>
      <c r="J440" s="30"/>
      <c r="K440" s="32"/>
      <c r="L440" s="108">
        <f>IF(G440="",0,IFERROR(VLOOKUP(G440&amp;"",'Presupuesto Base'!$A$7:$G$24,5,FALSE),0))</f>
        <v>0</v>
      </c>
      <c r="M440" s="108">
        <f t="shared" si="23"/>
        <v>0</v>
      </c>
      <c r="N440" s="30"/>
      <c r="O440" s="30"/>
      <c r="P440" s="33"/>
      <c r="Q440" s="97" t="str">
        <f>IFERROR(VLOOKUP(A440,'Historial Certificados'!$A$6:$E$29,5,FALSE),"")</f>
        <v/>
      </c>
      <c r="R440" s="97" t="str">
        <f t="shared" si="24"/>
        <v/>
      </c>
    </row>
    <row r="441" spans="1:18">
      <c r="A441" s="28"/>
      <c r="B441" s="29"/>
      <c r="C441" s="30"/>
      <c r="D441" s="30"/>
      <c r="E441" s="30"/>
      <c r="F441" s="30"/>
      <c r="G441" s="30"/>
      <c r="H441" s="107" t="str">
        <f>IF(G441="","",IFERROR(VLOOKUP(G441&amp;"",'Presupuesto Base'!$A$7:$G$24,2,FALSE),"Ítem no encontrado"))</f>
        <v/>
      </c>
      <c r="I441" s="107" t="str">
        <f>IF(G441="","",IFERROR(VLOOKUP(G441&amp;"",'Presupuesto Base'!$A$7:$G$24,3,FALSE),""))</f>
        <v/>
      </c>
      <c r="J441" s="30"/>
      <c r="K441" s="32"/>
      <c r="L441" s="108">
        <f>IF(G441="",0,IFERROR(VLOOKUP(G441&amp;"",'Presupuesto Base'!$A$7:$G$24,5,FALSE),0))</f>
        <v>0</v>
      </c>
      <c r="M441" s="108">
        <f t="shared" si="23"/>
        <v>0</v>
      </c>
      <c r="N441" s="30"/>
      <c r="O441" s="30"/>
      <c r="P441" s="33"/>
      <c r="Q441" s="97" t="str">
        <f>IFERROR(VLOOKUP(A441,'Historial Certificados'!$A$6:$E$29,5,FALSE),"")</f>
        <v/>
      </c>
      <c r="R441" s="97" t="str">
        <f t="shared" si="24"/>
        <v/>
      </c>
    </row>
    <row r="442" spans="1:18">
      <c r="A442" s="28"/>
      <c r="B442" s="29"/>
      <c r="C442" s="30"/>
      <c r="D442" s="30"/>
      <c r="E442" s="30"/>
      <c r="F442" s="30"/>
      <c r="G442" s="30"/>
      <c r="H442" s="107" t="str">
        <f>IF(G442="","",IFERROR(VLOOKUP(G442&amp;"",'Presupuesto Base'!$A$7:$G$24,2,FALSE),"Ítem no encontrado"))</f>
        <v/>
      </c>
      <c r="I442" s="107" t="str">
        <f>IF(G442="","",IFERROR(VLOOKUP(G442&amp;"",'Presupuesto Base'!$A$7:$G$24,3,FALSE),""))</f>
        <v/>
      </c>
      <c r="J442" s="30"/>
      <c r="K442" s="32"/>
      <c r="L442" s="108">
        <f>IF(G442="",0,IFERROR(VLOOKUP(G442&amp;"",'Presupuesto Base'!$A$7:$G$24,5,FALSE),0))</f>
        <v>0</v>
      </c>
      <c r="M442" s="108">
        <f t="shared" si="23"/>
        <v>0</v>
      </c>
      <c r="N442" s="30"/>
      <c r="O442" s="30"/>
      <c r="P442" s="33"/>
      <c r="Q442" s="97" t="str">
        <f>IFERROR(VLOOKUP(A442,'Historial Certificados'!$A$6:$E$29,5,FALSE),"")</f>
        <v/>
      </c>
      <c r="R442" s="97" t="str">
        <f t="shared" si="24"/>
        <v/>
      </c>
    </row>
    <row r="443" spans="1:18">
      <c r="A443" s="28"/>
      <c r="B443" s="29"/>
      <c r="C443" s="30"/>
      <c r="D443" s="30"/>
      <c r="E443" s="30"/>
      <c r="F443" s="30"/>
      <c r="G443" s="30"/>
      <c r="H443" s="107" t="str">
        <f>IF(G443="","",IFERROR(VLOOKUP(G443&amp;"",'Presupuesto Base'!$A$7:$G$24,2,FALSE),"Ítem no encontrado"))</f>
        <v/>
      </c>
      <c r="I443" s="107" t="str">
        <f>IF(G443="","",IFERROR(VLOOKUP(G443&amp;"",'Presupuesto Base'!$A$7:$G$24,3,FALSE),""))</f>
        <v/>
      </c>
      <c r="J443" s="30"/>
      <c r="K443" s="32"/>
      <c r="L443" s="108">
        <f>IF(G443="",0,IFERROR(VLOOKUP(G443&amp;"",'Presupuesto Base'!$A$7:$G$24,5,FALSE),0))</f>
        <v>0</v>
      </c>
      <c r="M443" s="108">
        <f t="shared" si="23"/>
        <v>0</v>
      </c>
      <c r="N443" s="30"/>
      <c r="O443" s="30"/>
      <c r="P443" s="33"/>
      <c r="Q443" s="97" t="str">
        <f>IFERROR(VLOOKUP(A443,'Historial Certificados'!$A$6:$E$29,5,FALSE),"")</f>
        <v/>
      </c>
      <c r="R443" s="97" t="str">
        <f t="shared" si="24"/>
        <v/>
      </c>
    </row>
    <row r="444" spans="1:18">
      <c r="A444" s="28"/>
      <c r="B444" s="29"/>
      <c r="C444" s="30"/>
      <c r="D444" s="30"/>
      <c r="E444" s="30"/>
      <c r="F444" s="30"/>
      <c r="G444" s="30"/>
      <c r="H444" s="107" t="str">
        <f>IF(G444="","",IFERROR(VLOOKUP(G444&amp;"",'Presupuesto Base'!$A$7:$G$24,2,FALSE),"Ítem no encontrado"))</f>
        <v/>
      </c>
      <c r="I444" s="107" t="str">
        <f>IF(G444="","",IFERROR(VLOOKUP(G444&amp;"",'Presupuesto Base'!$A$7:$G$24,3,FALSE),""))</f>
        <v/>
      </c>
      <c r="J444" s="30"/>
      <c r="K444" s="32"/>
      <c r="L444" s="108">
        <f>IF(G444="",0,IFERROR(VLOOKUP(G444&amp;"",'Presupuesto Base'!$A$7:$G$24,5,FALSE),0))</f>
        <v>0</v>
      </c>
      <c r="M444" s="108">
        <f t="shared" si="23"/>
        <v>0</v>
      </c>
      <c r="N444" s="30"/>
      <c r="O444" s="30"/>
      <c r="P444" s="33"/>
      <c r="Q444" s="97" t="str">
        <f>IFERROR(VLOOKUP(A444,'Historial Certificados'!$A$6:$E$29,5,FALSE),"")</f>
        <v/>
      </c>
      <c r="R444" s="97" t="str">
        <f t="shared" si="24"/>
        <v/>
      </c>
    </row>
    <row r="445" spans="1:18">
      <c r="A445" s="28"/>
      <c r="B445" s="29"/>
      <c r="C445" s="30"/>
      <c r="D445" s="30"/>
      <c r="E445" s="30"/>
      <c r="F445" s="30"/>
      <c r="G445" s="30"/>
      <c r="H445" s="107" t="str">
        <f>IF(G445="","",IFERROR(VLOOKUP(G445&amp;"",'Presupuesto Base'!$A$7:$G$24,2,FALSE),"Ítem no encontrado"))</f>
        <v/>
      </c>
      <c r="I445" s="107" t="str">
        <f>IF(G445="","",IFERROR(VLOOKUP(G445&amp;"",'Presupuesto Base'!$A$7:$G$24,3,FALSE),""))</f>
        <v/>
      </c>
      <c r="J445" s="30"/>
      <c r="K445" s="32"/>
      <c r="L445" s="108">
        <f>IF(G445="",0,IFERROR(VLOOKUP(G445&amp;"",'Presupuesto Base'!$A$7:$G$24,5,FALSE),0))</f>
        <v>0</v>
      </c>
      <c r="M445" s="108">
        <f t="shared" si="23"/>
        <v>0</v>
      </c>
      <c r="N445" s="30"/>
      <c r="O445" s="30"/>
      <c r="P445" s="33"/>
      <c r="Q445" s="97" t="str">
        <f>IFERROR(VLOOKUP(A445,'Historial Certificados'!$A$6:$E$29,5,FALSE),"")</f>
        <v/>
      </c>
      <c r="R445" s="97" t="str">
        <f t="shared" si="24"/>
        <v/>
      </c>
    </row>
    <row r="446" spans="1:18">
      <c r="A446" s="28"/>
      <c r="B446" s="29"/>
      <c r="C446" s="30"/>
      <c r="D446" s="30"/>
      <c r="E446" s="30"/>
      <c r="F446" s="30"/>
      <c r="G446" s="30"/>
      <c r="H446" s="107" t="str">
        <f>IF(G446="","",IFERROR(VLOOKUP(G446&amp;"",'Presupuesto Base'!$A$7:$G$24,2,FALSE),"Ítem no encontrado"))</f>
        <v/>
      </c>
      <c r="I446" s="107" t="str">
        <f>IF(G446="","",IFERROR(VLOOKUP(G446&amp;"",'Presupuesto Base'!$A$7:$G$24,3,FALSE),""))</f>
        <v/>
      </c>
      <c r="J446" s="30"/>
      <c r="K446" s="32"/>
      <c r="L446" s="108">
        <f>IF(G446="",0,IFERROR(VLOOKUP(G446&amp;"",'Presupuesto Base'!$A$7:$G$24,5,FALSE),0))</f>
        <v>0</v>
      </c>
      <c r="M446" s="108">
        <f t="shared" si="23"/>
        <v>0</v>
      </c>
      <c r="N446" s="30"/>
      <c r="O446" s="30"/>
      <c r="P446" s="33"/>
      <c r="Q446" s="97" t="str">
        <f>IFERROR(VLOOKUP(A446,'Historial Certificados'!$A$6:$E$29,5,FALSE),"")</f>
        <v/>
      </c>
      <c r="R446" s="97" t="str">
        <f t="shared" si="24"/>
        <v/>
      </c>
    </row>
    <row r="447" spans="1:18">
      <c r="A447" s="28"/>
      <c r="B447" s="29"/>
      <c r="C447" s="30"/>
      <c r="D447" s="30"/>
      <c r="E447" s="30"/>
      <c r="F447" s="30"/>
      <c r="G447" s="30"/>
      <c r="H447" s="107" t="str">
        <f>IF(G447="","",IFERROR(VLOOKUP(G447&amp;"",'Presupuesto Base'!$A$7:$G$24,2,FALSE),"Ítem no encontrado"))</f>
        <v/>
      </c>
      <c r="I447" s="107" t="str">
        <f>IF(G447="","",IFERROR(VLOOKUP(G447&amp;"",'Presupuesto Base'!$A$7:$G$24,3,FALSE),""))</f>
        <v/>
      </c>
      <c r="J447" s="30"/>
      <c r="K447" s="32"/>
      <c r="L447" s="108">
        <f>IF(G447="",0,IFERROR(VLOOKUP(G447&amp;"",'Presupuesto Base'!$A$7:$G$24,5,FALSE),0))</f>
        <v>0</v>
      </c>
      <c r="M447" s="108">
        <f t="shared" si="23"/>
        <v>0</v>
      </c>
      <c r="N447" s="30"/>
      <c r="O447" s="30"/>
      <c r="P447" s="33"/>
      <c r="Q447" s="97" t="str">
        <f>IFERROR(VLOOKUP(A447,'Historial Certificados'!$A$6:$E$29,5,FALSE),"")</f>
        <v/>
      </c>
      <c r="R447" s="97" t="str">
        <f t="shared" si="24"/>
        <v/>
      </c>
    </row>
    <row r="448" spans="1:18">
      <c r="A448" s="28"/>
      <c r="B448" s="29"/>
      <c r="C448" s="30"/>
      <c r="D448" s="30"/>
      <c r="E448" s="30"/>
      <c r="F448" s="30"/>
      <c r="G448" s="30"/>
      <c r="H448" s="107" t="str">
        <f>IF(G448="","",IFERROR(VLOOKUP(G448&amp;"",'Presupuesto Base'!$A$7:$G$24,2,FALSE),"Ítem no encontrado"))</f>
        <v/>
      </c>
      <c r="I448" s="107" t="str">
        <f>IF(G448="","",IFERROR(VLOOKUP(G448&amp;"",'Presupuesto Base'!$A$7:$G$24,3,FALSE),""))</f>
        <v/>
      </c>
      <c r="J448" s="30"/>
      <c r="K448" s="32"/>
      <c r="L448" s="108">
        <f>IF(G448="",0,IFERROR(VLOOKUP(G448&amp;"",'Presupuesto Base'!$A$7:$G$24,5,FALSE),0))</f>
        <v>0</v>
      </c>
      <c r="M448" s="108">
        <f t="shared" si="23"/>
        <v>0</v>
      </c>
      <c r="N448" s="30"/>
      <c r="O448" s="30"/>
      <c r="P448" s="33"/>
      <c r="Q448" s="97" t="str">
        <f>IFERROR(VLOOKUP(A448,'Historial Certificados'!$A$6:$E$29,5,FALSE),"")</f>
        <v/>
      </c>
      <c r="R448" s="97" t="str">
        <f t="shared" si="24"/>
        <v/>
      </c>
    </row>
    <row r="449" spans="1:18">
      <c r="A449" s="28"/>
      <c r="B449" s="29"/>
      <c r="C449" s="30"/>
      <c r="D449" s="30"/>
      <c r="E449" s="30"/>
      <c r="F449" s="30"/>
      <c r="G449" s="30"/>
      <c r="H449" s="107" t="str">
        <f>IF(G449="","",IFERROR(VLOOKUP(G449&amp;"",'Presupuesto Base'!$A$7:$G$24,2,FALSE),"Ítem no encontrado"))</f>
        <v/>
      </c>
      <c r="I449" s="107" t="str">
        <f>IF(G449="","",IFERROR(VLOOKUP(G449&amp;"",'Presupuesto Base'!$A$7:$G$24,3,FALSE),""))</f>
        <v/>
      </c>
      <c r="J449" s="30"/>
      <c r="K449" s="32"/>
      <c r="L449" s="108">
        <f>IF(G449="",0,IFERROR(VLOOKUP(G449&amp;"",'Presupuesto Base'!$A$7:$G$24,5,FALSE),0))</f>
        <v>0</v>
      </c>
      <c r="M449" s="108">
        <f t="shared" si="23"/>
        <v>0</v>
      </c>
      <c r="N449" s="30"/>
      <c r="O449" s="30"/>
      <c r="P449" s="33"/>
      <c r="Q449" s="97" t="str">
        <f>IFERROR(VLOOKUP(A449,'Historial Certificados'!$A$6:$E$29,5,FALSE),"")</f>
        <v/>
      </c>
      <c r="R449" s="97" t="str">
        <f t="shared" si="24"/>
        <v/>
      </c>
    </row>
    <row r="450" spans="1:18">
      <c r="A450" s="28"/>
      <c r="B450" s="29"/>
      <c r="C450" s="30"/>
      <c r="D450" s="30"/>
      <c r="E450" s="30"/>
      <c r="F450" s="30"/>
      <c r="G450" s="30"/>
      <c r="H450" s="107" t="str">
        <f>IF(G450="","",IFERROR(VLOOKUP(G450&amp;"",'Presupuesto Base'!$A$7:$G$24,2,FALSE),"Ítem no encontrado"))</f>
        <v/>
      </c>
      <c r="I450" s="107" t="str">
        <f>IF(G450="","",IFERROR(VLOOKUP(G450&amp;"",'Presupuesto Base'!$A$7:$G$24,3,FALSE),""))</f>
        <v/>
      </c>
      <c r="J450" s="30"/>
      <c r="K450" s="32"/>
      <c r="L450" s="108">
        <f>IF(G450="",0,IFERROR(VLOOKUP(G450&amp;"",'Presupuesto Base'!$A$7:$G$24,5,FALSE),0))</f>
        <v>0</v>
      </c>
      <c r="M450" s="108">
        <f t="shared" si="23"/>
        <v>0</v>
      </c>
      <c r="N450" s="30"/>
      <c r="O450" s="30"/>
      <c r="P450" s="33"/>
      <c r="Q450" s="97" t="str">
        <f>IFERROR(VLOOKUP(A450,'Historial Certificados'!$A$6:$E$29,5,FALSE),"")</f>
        <v/>
      </c>
      <c r="R450" s="97" t="str">
        <f t="shared" si="24"/>
        <v/>
      </c>
    </row>
    <row r="451" spans="1:18">
      <c r="A451" s="28"/>
      <c r="B451" s="29"/>
      <c r="C451" s="30"/>
      <c r="D451" s="30"/>
      <c r="E451" s="30"/>
      <c r="F451" s="30"/>
      <c r="G451" s="30"/>
      <c r="H451" s="107" t="str">
        <f>IF(G451="","",IFERROR(VLOOKUP(G451&amp;"",'Presupuesto Base'!$A$7:$G$24,2,FALSE),"Ítem no encontrado"))</f>
        <v/>
      </c>
      <c r="I451" s="107" t="str">
        <f>IF(G451="","",IFERROR(VLOOKUP(G451&amp;"",'Presupuesto Base'!$A$7:$G$24,3,FALSE),""))</f>
        <v/>
      </c>
      <c r="J451" s="30"/>
      <c r="K451" s="32"/>
      <c r="L451" s="108">
        <f>IF(G451="",0,IFERROR(VLOOKUP(G451&amp;"",'Presupuesto Base'!$A$7:$G$24,5,FALSE),0))</f>
        <v>0</v>
      </c>
      <c r="M451" s="108">
        <f t="shared" si="23"/>
        <v>0</v>
      </c>
      <c r="N451" s="30"/>
      <c r="O451" s="30"/>
      <c r="P451" s="33"/>
      <c r="Q451" s="97" t="str">
        <f>IFERROR(VLOOKUP(A451,'Historial Certificados'!$A$6:$E$29,5,FALSE),"")</f>
        <v/>
      </c>
      <c r="R451" s="97" t="str">
        <f t="shared" si="24"/>
        <v/>
      </c>
    </row>
    <row r="452" spans="1:18">
      <c r="A452" s="28"/>
      <c r="B452" s="29"/>
      <c r="C452" s="30"/>
      <c r="D452" s="30"/>
      <c r="E452" s="30"/>
      <c r="F452" s="30"/>
      <c r="G452" s="30"/>
      <c r="H452" s="107" t="str">
        <f>IF(G452="","",IFERROR(VLOOKUP(G452&amp;"",'Presupuesto Base'!$A$7:$G$24,2,FALSE),"Ítem no encontrado"))</f>
        <v/>
      </c>
      <c r="I452" s="107" t="str">
        <f>IF(G452="","",IFERROR(VLOOKUP(G452&amp;"",'Presupuesto Base'!$A$7:$G$24,3,FALSE),""))</f>
        <v/>
      </c>
      <c r="J452" s="30"/>
      <c r="K452" s="32"/>
      <c r="L452" s="108">
        <f>IF(G452="",0,IFERROR(VLOOKUP(G452&amp;"",'Presupuesto Base'!$A$7:$G$24,5,FALSE),0))</f>
        <v>0</v>
      </c>
      <c r="M452" s="108">
        <f t="shared" si="23"/>
        <v>0</v>
      </c>
      <c r="N452" s="30"/>
      <c r="O452" s="30"/>
      <c r="P452" s="33"/>
      <c r="Q452" s="97" t="str">
        <f>IFERROR(VLOOKUP(A452,'Historial Certificados'!$A$6:$E$29,5,FALSE),"")</f>
        <v/>
      </c>
      <c r="R452" s="97" t="str">
        <f t="shared" si="24"/>
        <v/>
      </c>
    </row>
    <row r="453" spans="1:18">
      <c r="A453" s="28"/>
      <c r="B453" s="29"/>
      <c r="C453" s="30"/>
      <c r="D453" s="30"/>
      <c r="E453" s="30"/>
      <c r="F453" s="30"/>
      <c r="G453" s="30"/>
      <c r="H453" s="107" t="str">
        <f>IF(G453="","",IFERROR(VLOOKUP(G453&amp;"",'Presupuesto Base'!$A$7:$G$24,2,FALSE),"Ítem no encontrado"))</f>
        <v/>
      </c>
      <c r="I453" s="107" t="str">
        <f>IF(G453="","",IFERROR(VLOOKUP(G453&amp;"",'Presupuesto Base'!$A$7:$G$24,3,FALSE),""))</f>
        <v/>
      </c>
      <c r="J453" s="30"/>
      <c r="K453" s="32"/>
      <c r="L453" s="108">
        <f>IF(G453="",0,IFERROR(VLOOKUP(G453&amp;"",'Presupuesto Base'!$A$7:$G$24,5,FALSE),0))</f>
        <v>0</v>
      </c>
      <c r="M453" s="108">
        <f t="shared" si="23"/>
        <v>0</v>
      </c>
      <c r="N453" s="30"/>
      <c r="O453" s="30"/>
      <c r="P453" s="33"/>
      <c r="Q453" s="97" t="str">
        <f>IFERROR(VLOOKUP(A453,'Historial Certificados'!$A$6:$E$29,5,FALSE),"")</f>
        <v/>
      </c>
      <c r="R453" s="97" t="str">
        <f t="shared" si="24"/>
        <v/>
      </c>
    </row>
    <row r="454" spans="1:18">
      <c r="A454" s="28"/>
      <c r="B454" s="29"/>
      <c r="C454" s="30"/>
      <c r="D454" s="30"/>
      <c r="E454" s="30"/>
      <c r="F454" s="30"/>
      <c r="G454" s="30"/>
      <c r="H454" s="107" t="str">
        <f>IF(G454="","",IFERROR(VLOOKUP(G454&amp;"",'Presupuesto Base'!$A$7:$G$24,2,FALSE),"Ítem no encontrado"))</f>
        <v/>
      </c>
      <c r="I454" s="107" t="str">
        <f>IF(G454="","",IFERROR(VLOOKUP(G454&amp;"",'Presupuesto Base'!$A$7:$G$24,3,FALSE),""))</f>
        <v/>
      </c>
      <c r="J454" s="30"/>
      <c r="K454" s="32"/>
      <c r="L454" s="108">
        <f>IF(G454="",0,IFERROR(VLOOKUP(G454&amp;"",'Presupuesto Base'!$A$7:$G$24,5,FALSE),0))</f>
        <v>0</v>
      </c>
      <c r="M454" s="108">
        <f t="shared" si="23"/>
        <v>0</v>
      </c>
      <c r="N454" s="30"/>
      <c r="O454" s="30"/>
      <c r="P454" s="33"/>
      <c r="Q454" s="97" t="str">
        <f>IFERROR(VLOOKUP(A454,'Historial Certificados'!$A$6:$E$29,5,FALSE),"")</f>
        <v/>
      </c>
      <c r="R454" s="97" t="str">
        <f t="shared" si="24"/>
        <v/>
      </c>
    </row>
    <row r="455" spans="1:18">
      <c r="A455" s="28"/>
      <c r="B455" s="29"/>
      <c r="C455" s="30"/>
      <c r="D455" s="30"/>
      <c r="E455" s="30"/>
      <c r="F455" s="30"/>
      <c r="G455" s="30"/>
      <c r="H455" s="107" t="str">
        <f>IF(G455="","",IFERROR(VLOOKUP(G455&amp;"",'Presupuesto Base'!$A$7:$G$24,2,FALSE),"Ítem no encontrado"))</f>
        <v/>
      </c>
      <c r="I455" s="107" t="str">
        <f>IF(G455="","",IFERROR(VLOOKUP(G455&amp;"",'Presupuesto Base'!$A$7:$G$24,3,FALSE),""))</f>
        <v/>
      </c>
      <c r="J455" s="30"/>
      <c r="K455" s="32"/>
      <c r="L455" s="108">
        <f>IF(G455="",0,IFERROR(VLOOKUP(G455&amp;"",'Presupuesto Base'!$A$7:$G$24,5,FALSE),0))</f>
        <v>0</v>
      </c>
      <c r="M455" s="108">
        <f t="shared" si="23"/>
        <v>0</v>
      </c>
      <c r="N455" s="30"/>
      <c r="O455" s="30"/>
      <c r="P455" s="33"/>
      <c r="Q455" s="97" t="str">
        <f>IFERROR(VLOOKUP(A455,'Historial Certificados'!$A$6:$E$29,5,FALSE),"")</f>
        <v/>
      </c>
      <c r="R455" s="97" t="str">
        <f t="shared" si="24"/>
        <v/>
      </c>
    </row>
    <row r="456" spans="1:18">
      <c r="A456" s="28"/>
      <c r="B456" s="29"/>
      <c r="C456" s="30"/>
      <c r="D456" s="30"/>
      <c r="E456" s="30"/>
      <c r="F456" s="30"/>
      <c r="G456" s="30"/>
      <c r="H456" s="107" t="str">
        <f>IF(G456="","",IFERROR(VLOOKUP(G456&amp;"",'Presupuesto Base'!$A$7:$G$24,2,FALSE),"Ítem no encontrado"))</f>
        <v/>
      </c>
      <c r="I456" s="107" t="str">
        <f>IF(G456="","",IFERROR(VLOOKUP(G456&amp;"",'Presupuesto Base'!$A$7:$G$24,3,FALSE),""))</f>
        <v/>
      </c>
      <c r="J456" s="30"/>
      <c r="K456" s="32"/>
      <c r="L456" s="108">
        <f>IF(G456="",0,IFERROR(VLOOKUP(G456&amp;"",'Presupuesto Base'!$A$7:$G$24,5,FALSE),0))</f>
        <v>0</v>
      </c>
      <c r="M456" s="108">
        <f t="shared" si="23"/>
        <v>0</v>
      </c>
      <c r="N456" s="30"/>
      <c r="O456" s="30"/>
      <c r="P456" s="33"/>
      <c r="Q456" s="97" t="str">
        <f>IFERROR(VLOOKUP(A456,'Historial Certificados'!$A$6:$E$29,5,FALSE),"")</f>
        <v/>
      </c>
      <c r="R456" s="97" t="str">
        <f t="shared" si="24"/>
        <v/>
      </c>
    </row>
    <row r="457" spans="1:18">
      <c r="A457" s="28"/>
      <c r="B457" s="29"/>
      <c r="C457" s="30"/>
      <c r="D457" s="30"/>
      <c r="E457" s="30"/>
      <c r="F457" s="30"/>
      <c r="G457" s="30"/>
      <c r="H457" s="107" t="str">
        <f>IF(G457="","",IFERROR(VLOOKUP(G457&amp;"",'Presupuesto Base'!$A$7:$G$24,2,FALSE),"Ítem no encontrado"))</f>
        <v/>
      </c>
      <c r="I457" s="107" t="str">
        <f>IF(G457="","",IFERROR(VLOOKUP(G457&amp;"",'Presupuesto Base'!$A$7:$G$24,3,FALSE),""))</f>
        <v/>
      </c>
      <c r="J457" s="30"/>
      <c r="K457" s="32"/>
      <c r="L457" s="108">
        <f>IF(G457="",0,IFERROR(VLOOKUP(G457&amp;"",'Presupuesto Base'!$A$7:$G$24,5,FALSE),0))</f>
        <v>0</v>
      </c>
      <c r="M457" s="108">
        <f t="shared" si="23"/>
        <v>0</v>
      </c>
      <c r="N457" s="30"/>
      <c r="O457" s="30"/>
      <c r="P457" s="33"/>
      <c r="Q457" s="97" t="str">
        <f>IFERROR(VLOOKUP(A457,'Historial Certificados'!$A$6:$E$29,5,FALSE),"")</f>
        <v/>
      </c>
      <c r="R457" s="97" t="str">
        <f t="shared" si="24"/>
        <v/>
      </c>
    </row>
    <row r="458" spans="1:18">
      <c r="A458" s="28"/>
      <c r="B458" s="29"/>
      <c r="C458" s="30"/>
      <c r="D458" s="30"/>
      <c r="E458" s="30"/>
      <c r="F458" s="30"/>
      <c r="G458" s="30"/>
      <c r="H458" s="107" t="str">
        <f>IF(G458="","",IFERROR(VLOOKUP(G458&amp;"",'Presupuesto Base'!$A$7:$G$24,2,FALSE),"Ítem no encontrado"))</f>
        <v/>
      </c>
      <c r="I458" s="107" t="str">
        <f>IF(G458="","",IFERROR(VLOOKUP(G458&amp;"",'Presupuesto Base'!$A$7:$G$24,3,FALSE),""))</f>
        <v/>
      </c>
      <c r="J458" s="30"/>
      <c r="K458" s="32"/>
      <c r="L458" s="108">
        <f>IF(G458="",0,IFERROR(VLOOKUP(G458&amp;"",'Presupuesto Base'!$A$7:$G$24,5,FALSE),0))</f>
        <v>0</v>
      </c>
      <c r="M458" s="108">
        <f t="shared" si="23"/>
        <v>0</v>
      </c>
      <c r="N458" s="30"/>
      <c r="O458" s="30"/>
      <c r="P458" s="33"/>
      <c r="Q458" s="97" t="str">
        <f>IFERROR(VLOOKUP(A458,'Historial Certificados'!$A$6:$E$29,5,FALSE),"")</f>
        <v/>
      </c>
      <c r="R458" s="97" t="str">
        <f t="shared" si="24"/>
        <v/>
      </c>
    </row>
    <row r="459" spans="1:18">
      <c r="A459" s="28"/>
      <c r="B459" s="29"/>
      <c r="C459" s="30"/>
      <c r="D459" s="30"/>
      <c r="E459" s="30"/>
      <c r="F459" s="30"/>
      <c r="G459" s="30"/>
      <c r="H459" s="107" t="str">
        <f>IF(G459="","",IFERROR(VLOOKUP(G459&amp;"",'Presupuesto Base'!$A$7:$G$24,2,FALSE),"Ítem no encontrado"))</f>
        <v/>
      </c>
      <c r="I459" s="107" t="str">
        <f>IF(G459="","",IFERROR(VLOOKUP(G459&amp;"",'Presupuesto Base'!$A$7:$G$24,3,FALSE),""))</f>
        <v/>
      </c>
      <c r="J459" s="30"/>
      <c r="K459" s="32"/>
      <c r="L459" s="108">
        <f>IF(G459="",0,IFERROR(VLOOKUP(G459&amp;"",'Presupuesto Base'!$A$7:$G$24,5,FALSE),0))</f>
        <v>0</v>
      </c>
      <c r="M459" s="108">
        <f t="shared" si="23"/>
        <v>0</v>
      </c>
      <c r="N459" s="30"/>
      <c r="O459" s="30"/>
      <c r="P459" s="33"/>
      <c r="Q459" s="97" t="str">
        <f>IFERROR(VLOOKUP(A459,'Historial Certificados'!$A$6:$E$29,5,FALSE),"")</f>
        <v/>
      </c>
      <c r="R459" s="97" t="str">
        <f t="shared" si="24"/>
        <v/>
      </c>
    </row>
    <row r="460" spans="1:18">
      <c r="A460" s="28"/>
      <c r="B460" s="29"/>
      <c r="C460" s="30"/>
      <c r="D460" s="30"/>
      <c r="E460" s="30"/>
      <c r="F460" s="30"/>
      <c r="G460" s="30"/>
      <c r="H460" s="107" t="str">
        <f>IF(G460="","",IFERROR(VLOOKUP(G460&amp;"",'Presupuesto Base'!$A$7:$G$24,2,FALSE),"Ítem no encontrado"))</f>
        <v/>
      </c>
      <c r="I460" s="107" t="str">
        <f>IF(G460="","",IFERROR(VLOOKUP(G460&amp;"",'Presupuesto Base'!$A$7:$G$24,3,FALSE),""))</f>
        <v/>
      </c>
      <c r="J460" s="30"/>
      <c r="K460" s="32"/>
      <c r="L460" s="108">
        <f>IF(G460="",0,IFERROR(VLOOKUP(G460&amp;"",'Presupuesto Base'!$A$7:$G$24,5,FALSE),0))</f>
        <v>0</v>
      </c>
      <c r="M460" s="108">
        <f t="shared" ref="M460:M511" si="25">IFERROR(K460*L460,0)</f>
        <v>0</v>
      </c>
      <c r="N460" s="30"/>
      <c r="O460" s="30"/>
      <c r="P460" s="33"/>
      <c r="Q460" s="97" t="str">
        <f>IFERROR(VLOOKUP(A460,'Historial Certificados'!$A$6:$E$29,5,FALSE),"")</f>
        <v/>
      </c>
      <c r="R460" s="97" t="str">
        <f t="shared" ref="R460:R511" si="26">IF(A460="","",IF(Q460="CERRADO","CERTIFICADO CERRADO - NO MODIFICAR","ABIERTO"))</f>
        <v/>
      </c>
    </row>
    <row r="461" spans="1:18">
      <c r="A461" s="28"/>
      <c r="B461" s="29"/>
      <c r="C461" s="30"/>
      <c r="D461" s="30"/>
      <c r="E461" s="30"/>
      <c r="F461" s="30"/>
      <c r="G461" s="30"/>
      <c r="H461" s="107" t="str">
        <f>IF(G461="","",IFERROR(VLOOKUP(G461&amp;"",'Presupuesto Base'!$A$7:$G$24,2,FALSE),"Ítem no encontrado"))</f>
        <v/>
      </c>
      <c r="I461" s="107" t="str">
        <f>IF(G461="","",IFERROR(VLOOKUP(G461&amp;"",'Presupuesto Base'!$A$7:$G$24,3,FALSE),""))</f>
        <v/>
      </c>
      <c r="J461" s="30"/>
      <c r="K461" s="32"/>
      <c r="L461" s="108">
        <f>IF(G461="",0,IFERROR(VLOOKUP(G461&amp;"",'Presupuesto Base'!$A$7:$G$24,5,FALSE),0))</f>
        <v>0</v>
      </c>
      <c r="M461" s="108">
        <f t="shared" si="25"/>
        <v>0</v>
      </c>
      <c r="N461" s="30"/>
      <c r="O461" s="30"/>
      <c r="P461" s="33"/>
      <c r="Q461" s="97" t="str">
        <f>IFERROR(VLOOKUP(A461,'Historial Certificados'!$A$6:$E$29,5,FALSE),"")</f>
        <v/>
      </c>
      <c r="R461" s="97" t="str">
        <f t="shared" si="26"/>
        <v/>
      </c>
    </row>
    <row r="462" spans="1:18">
      <c r="A462" s="28"/>
      <c r="B462" s="29"/>
      <c r="C462" s="30"/>
      <c r="D462" s="30"/>
      <c r="E462" s="30"/>
      <c r="F462" s="30"/>
      <c r="G462" s="30"/>
      <c r="H462" s="107" t="str">
        <f>IF(G462="","",IFERROR(VLOOKUP(G462&amp;"",'Presupuesto Base'!$A$7:$G$24,2,FALSE),"Ítem no encontrado"))</f>
        <v/>
      </c>
      <c r="I462" s="107" t="str">
        <f>IF(G462="","",IFERROR(VLOOKUP(G462&amp;"",'Presupuesto Base'!$A$7:$G$24,3,FALSE),""))</f>
        <v/>
      </c>
      <c r="J462" s="30"/>
      <c r="K462" s="32"/>
      <c r="L462" s="108">
        <f>IF(G462="",0,IFERROR(VLOOKUP(G462&amp;"",'Presupuesto Base'!$A$7:$G$24,5,FALSE),0))</f>
        <v>0</v>
      </c>
      <c r="M462" s="108">
        <f t="shared" si="25"/>
        <v>0</v>
      </c>
      <c r="N462" s="30"/>
      <c r="O462" s="30"/>
      <c r="P462" s="33"/>
      <c r="Q462" s="97" t="str">
        <f>IFERROR(VLOOKUP(A462,'Historial Certificados'!$A$6:$E$29,5,FALSE),"")</f>
        <v/>
      </c>
      <c r="R462" s="97" t="str">
        <f t="shared" si="26"/>
        <v/>
      </c>
    </row>
    <row r="463" spans="1:18">
      <c r="A463" s="28"/>
      <c r="B463" s="29"/>
      <c r="C463" s="30"/>
      <c r="D463" s="30"/>
      <c r="E463" s="30"/>
      <c r="F463" s="30"/>
      <c r="G463" s="30"/>
      <c r="H463" s="107" t="str">
        <f>IF(G463="","",IFERROR(VLOOKUP(G463&amp;"",'Presupuesto Base'!$A$7:$G$24,2,FALSE),"Ítem no encontrado"))</f>
        <v/>
      </c>
      <c r="I463" s="107" t="str">
        <f>IF(G463="","",IFERROR(VLOOKUP(G463&amp;"",'Presupuesto Base'!$A$7:$G$24,3,FALSE),""))</f>
        <v/>
      </c>
      <c r="J463" s="30"/>
      <c r="K463" s="32"/>
      <c r="L463" s="108">
        <f>IF(G463="",0,IFERROR(VLOOKUP(G463&amp;"",'Presupuesto Base'!$A$7:$G$24,5,FALSE),0))</f>
        <v>0</v>
      </c>
      <c r="M463" s="108">
        <f t="shared" si="25"/>
        <v>0</v>
      </c>
      <c r="N463" s="30"/>
      <c r="O463" s="30"/>
      <c r="P463" s="33"/>
      <c r="Q463" s="97" t="str">
        <f>IFERROR(VLOOKUP(A463,'Historial Certificados'!$A$6:$E$29,5,FALSE),"")</f>
        <v/>
      </c>
      <c r="R463" s="97" t="str">
        <f t="shared" si="26"/>
        <v/>
      </c>
    </row>
    <row r="464" spans="1:18">
      <c r="A464" s="28"/>
      <c r="B464" s="29"/>
      <c r="C464" s="30"/>
      <c r="D464" s="30"/>
      <c r="E464" s="30"/>
      <c r="F464" s="30"/>
      <c r="G464" s="30"/>
      <c r="H464" s="107" t="str">
        <f>IF(G464="","",IFERROR(VLOOKUP(G464&amp;"",'Presupuesto Base'!$A$7:$G$24,2,FALSE),"Ítem no encontrado"))</f>
        <v/>
      </c>
      <c r="I464" s="107" t="str">
        <f>IF(G464="","",IFERROR(VLOOKUP(G464&amp;"",'Presupuesto Base'!$A$7:$G$24,3,FALSE),""))</f>
        <v/>
      </c>
      <c r="J464" s="30"/>
      <c r="K464" s="32"/>
      <c r="L464" s="108">
        <f>IF(G464="",0,IFERROR(VLOOKUP(G464&amp;"",'Presupuesto Base'!$A$7:$G$24,5,FALSE),0))</f>
        <v>0</v>
      </c>
      <c r="M464" s="108">
        <f t="shared" si="25"/>
        <v>0</v>
      </c>
      <c r="N464" s="30"/>
      <c r="O464" s="30"/>
      <c r="P464" s="33"/>
      <c r="Q464" s="97" t="str">
        <f>IFERROR(VLOOKUP(A464,'Historial Certificados'!$A$6:$E$29,5,FALSE),"")</f>
        <v/>
      </c>
      <c r="R464" s="97" t="str">
        <f t="shared" si="26"/>
        <v/>
      </c>
    </row>
    <row r="465" spans="1:18">
      <c r="A465" s="28"/>
      <c r="B465" s="29"/>
      <c r="C465" s="30"/>
      <c r="D465" s="30"/>
      <c r="E465" s="30"/>
      <c r="F465" s="30"/>
      <c r="G465" s="30"/>
      <c r="H465" s="107" t="str">
        <f>IF(G465="","",IFERROR(VLOOKUP(G465&amp;"",'Presupuesto Base'!$A$7:$G$24,2,FALSE),"Ítem no encontrado"))</f>
        <v/>
      </c>
      <c r="I465" s="107" t="str">
        <f>IF(G465="","",IFERROR(VLOOKUP(G465&amp;"",'Presupuesto Base'!$A$7:$G$24,3,FALSE),""))</f>
        <v/>
      </c>
      <c r="J465" s="30"/>
      <c r="K465" s="32"/>
      <c r="L465" s="108">
        <f>IF(G465="",0,IFERROR(VLOOKUP(G465&amp;"",'Presupuesto Base'!$A$7:$G$24,5,FALSE),0))</f>
        <v>0</v>
      </c>
      <c r="M465" s="108">
        <f t="shared" si="25"/>
        <v>0</v>
      </c>
      <c r="N465" s="30"/>
      <c r="O465" s="30"/>
      <c r="P465" s="33"/>
      <c r="Q465" s="97" t="str">
        <f>IFERROR(VLOOKUP(A465,'Historial Certificados'!$A$6:$E$29,5,FALSE),"")</f>
        <v/>
      </c>
      <c r="R465" s="97" t="str">
        <f t="shared" si="26"/>
        <v/>
      </c>
    </row>
    <row r="466" spans="1:18">
      <c r="A466" s="28"/>
      <c r="B466" s="29"/>
      <c r="C466" s="30"/>
      <c r="D466" s="30"/>
      <c r="E466" s="30"/>
      <c r="F466" s="30"/>
      <c r="G466" s="30"/>
      <c r="H466" s="107" t="str">
        <f>IF(G466="","",IFERROR(VLOOKUP(G466&amp;"",'Presupuesto Base'!$A$7:$G$24,2,FALSE),"Ítem no encontrado"))</f>
        <v/>
      </c>
      <c r="I466" s="107" t="str">
        <f>IF(G466="","",IFERROR(VLOOKUP(G466&amp;"",'Presupuesto Base'!$A$7:$G$24,3,FALSE),""))</f>
        <v/>
      </c>
      <c r="J466" s="30"/>
      <c r="K466" s="32"/>
      <c r="L466" s="108">
        <f>IF(G466="",0,IFERROR(VLOOKUP(G466&amp;"",'Presupuesto Base'!$A$7:$G$24,5,FALSE),0))</f>
        <v>0</v>
      </c>
      <c r="M466" s="108">
        <f t="shared" si="25"/>
        <v>0</v>
      </c>
      <c r="N466" s="30"/>
      <c r="O466" s="30"/>
      <c r="P466" s="33"/>
      <c r="Q466" s="97" t="str">
        <f>IFERROR(VLOOKUP(A466,'Historial Certificados'!$A$6:$E$29,5,FALSE),"")</f>
        <v/>
      </c>
      <c r="R466" s="97" t="str">
        <f t="shared" si="26"/>
        <v/>
      </c>
    </row>
    <row r="467" spans="1:18">
      <c r="A467" s="28"/>
      <c r="B467" s="29"/>
      <c r="C467" s="30"/>
      <c r="D467" s="30"/>
      <c r="E467" s="30"/>
      <c r="F467" s="30"/>
      <c r="G467" s="30"/>
      <c r="H467" s="107" t="str">
        <f>IF(G467="","",IFERROR(VLOOKUP(G467&amp;"",'Presupuesto Base'!$A$7:$G$24,2,FALSE),"Ítem no encontrado"))</f>
        <v/>
      </c>
      <c r="I467" s="107" t="str">
        <f>IF(G467="","",IFERROR(VLOOKUP(G467&amp;"",'Presupuesto Base'!$A$7:$G$24,3,FALSE),""))</f>
        <v/>
      </c>
      <c r="J467" s="30"/>
      <c r="K467" s="32"/>
      <c r="L467" s="108">
        <f>IF(G467="",0,IFERROR(VLOOKUP(G467&amp;"",'Presupuesto Base'!$A$7:$G$24,5,FALSE),0))</f>
        <v>0</v>
      </c>
      <c r="M467" s="108">
        <f t="shared" si="25"/>
        <v>0</v>
      </c>
      <c r="N467" s="30"/>
      <c r="O467" s="30"/>
      <c r="P467" s="33"/>
      <c r="Q467" s="97" t="str">
        <f>IFERROR(VLOOKUP(A467,'Historial Certificados'!$A$6:$E$29,5,FALSE),"")</f>
        <v/>
      </c>
      <c r="R467" s="97" t="str">
        <f t="shared" si="26"/>
        <v/>
      </c>
    </row>
    <row r="468" spans="1:18">
      <c r="A468" s="28"/>
      <c r="B468" s="29"/>
      <c r="C468" s="30"/>
      <c r="D468" s="30"/>
      <c r="E468" s="30"/>
      <c r="F468" s="30"/>
      <c r="G468" s="30"/>
      <c r="H468" s="107" t="str">
        <f>IF(G468="","",IFERROR(VLOOKUP(G468&amp;"",'Presupuesto Base'!$A$7:$G$24,2,FALSE),"Ítem no encontrado"))</f>
        <v/>
      </c>
      <c r="I468" s="107" t="str">
        <f>IF(G468="","",IFERROR(VLOOKUP(G468&amp;"",'Presupuesto Base'!$A$7:$G$24,3,FALSE),""))</f>
        <v/>
      </c>
      <c r="J468" s="30"/>
      <c r="K468" s="32"/>
      <c r="L468" s="108">
        <f>IF(G468="",0,IFERROR(VLOOKUP(G468&amp;"",'Presupuesto Base'!$A$7:$G$24,5,FALSE),0))</f>
        <v>0</v>
      </c>
      <c r="M468" s="108">
        <f t="shared" si="25"/>
        <v>0</v>
      </c>
      <c r="N468" s="30"/>
      <c r="O468" s="30"/>
      <c r="P468" s="33"/>
      <c r="Q468" s="97" t="str">
        <f>IFERROR(VLOOKUP(A468,'Historial Certificados'!$A$6:$E$29,5,FALSE),"")</f>
        <v/>
      </c>
      <c r="R468" s="97" t="str">
        <f t="shared" si="26"/>
        <v/>
      </c>
    </row>
    <row r="469" spans="1:18">
      <c r="A469" s="28"/>
      <c r="B469" s="29"/>
      <c r="C469" s="30"/>
      <c r="D469" s="30"/>
      <c r="E469" s="30"/>
      <c r="F469" s="30"/>
      <c r="G469" s="30"/>
      <c r="H469" s="107" t="str">
        <f>IF(G469="","",IFERROR(VLOOKUP(G469&amp;"",'Presupuesto Base'!$A$7:$G$24,2,FALSE),"Ítem no encontrado"))</f>
        <v/>
      </c>
      <c r="I469" s="107" t="str">
        <f>IF(G469="","",IFERROR(VLOOKUP(G469&amp;"",'Presupuesto Base'!$A$7:$G$24,3,FALSE),""))</f>
        <v/>
      </c>
      <c r="J469" s="30"/>
      <c r="K469" s="32"/>
      <c r="L469" s="108">
        <f>IF(G469="",0,IFERROR(VLOOKUP(G469&amp;"",'Presupuesto Base'!$A$7:$G$24,5,FALSE),0))</f>
        <v>0</v>
      </c>
      <c r="M469" s="108">
        <f t="shared" si="25"/>
        <v>0</v>
      </c>
      <c r="N469" s="30"/>
      <c r="O469" s="30"/>
      <c r="P469" s="33"/>
      <c r="Q469" s="97" t="str">
        <f>IFERROR(VLOOKUP(A469,'Historial Certificados'!$A$6:$E$29,5,FALSE),"")</f>
        <v/>
      </c>
      <c r="R469" s="97" t="str">
        <f t="shared" si="26"/>
        <v/>
      </c>
    </row>
    <row r="470" spans="1:18">
      <c r="A470" s="28"/>
      <c r="B470" s="29"/>
      <c r="C470" s="30"/>
      <c r="D470" s="30"/>
      <c r="E470" s="30"/>
      <c r="F470" s="30"/>
      <c r="G470" s="30"/>
      <c r="H470" s="107" t="str">
        <f>IF(G470="","",IFERROR(VLOOKUP(G470&amp;"",'Presupuesto Base'!$A$7:$G$24,2,FALSE),"Ítem no encontrado"))</f>
        <v/>
      </c>
      <c r="I470" s="107" t="str">
        <f>IF(G470="","",IFERROR(VLOOKUP(G470&amp;"",'Presupuesto Base'!$A$7:$G$24,3,FALSE),""))</f>
        <v/>
      </c>
      <c r="J470" s="30"/>
      <c r="K470" s="32"/>
      <c r="L470" s="108">
        <f>IF(G470="",0,IFERROR(VLOOKUP(G470&amp;"",'Presupuesto Base'!$A$7:$G$24,5,FALSE),0))</f>
        <v>0</v>
      </c>
      <c r="M470" s="108">
        <f t="shared" si="25"/>
        <v>0</v>
      </c>
      <c r="N470" s="30"/>
      <c r="O470" s="30"/>
      <c r="P470" s="33"/>
      <c r="Q470" s="97" t="str">
        <f>IFERROR(VLOOKUP(A470,'Historial Certificados'!$A$6:$E$29,5,FALSE),"")</f>
        <v/>
      </c>
      <c r="R470" s="97" t="str">
        <f t="shared" si="26"/>
        <v/>
      </c>
    </row>
    <row r="471" spans="1:18">
      <c r="A471" s="28"/>
      <c r="B471" s="29"/>
      <c r="C471" s="30"/>
      <c r="D471" s="30"/>
      <c r="E471" s="30"/>
      <c r="F471" s="30"/>
      <c r="G471" s="30"/>
      <c r="H471" s="107" t="str">
        <f>IF(G471="","",IFERROR(VLOOKUP(G471&amp;"",'Presupuesto Base'!$A$7:$G$24,2,FALSE),"Ítem no encontrado"))</f>
        <v/>
      </c>
      <c r="I471" s="107" t="str">
        <f>IF(G471="","",IFERROR(VLOOKUP(G471&amp;"",'Presupuesto Base'!$A$7:$G$24,3,FALSE),""))</f>
        <v/>
      </c>
      <c r="J471" s="30"/>
      <c r="K471" s="32"/>
      <c r="L471" s="108">
        <f>IF(G471="",0,IFERROR(VLOOKUP(G471&amp;"",'Presupuesto Base'!$A$7:$G$24,5,FALSE),0))</f>
        <v>0</v>
      </c>
      <c r="M471" s="108">
        <f t="shared" si="25"/>
        <v>0</v>
      </c>
      <c r="N471" s="30"/>
      <c r="O471" s="30"/>
      <c r="P471" s="33"/>
      <c r="Q471" s="97" t="str">
        <f>IFERROR(VLOOKUP(A471,'Historial Certificados'!$A$6:$E$29,5,FALSE),"")</f>
        <v/>
      </c>
      <c r="R471" s="97" t="str">
        <f t="shared" si="26"/>
        <v/>
      </c>
    </row>
    <row r="472" spans="1:18">
      <c r="A472" s="28"/>
      <c r="B472" s="29"/>
      <c r="C472" s="30"/>
      <c r="D472" s="30"/>
      <c r="E472" s="30"/>
      <c r="F472" s="30"/>
      <c r="G472" s="30"/>
      <c r="H472" s="107" t="str">
        <f>IF(G472="","",IFERROR(VLOOKUP(G472&amp;"",'Presupuesto Base'!$A$7:$G$24,2,FALSE),"Ítem no encontrado"))</f>
        <v/>
      </c>
      <c r="I472" s="107" t="str">
        <f>IF(G472="","",IFERROR(VLOOKUP(G472&amp;"",'Presupuesto Base'!$A$7:$G$24,3,FALSE),""))</f>
        <v/>
      </c>
      <c r="J472" s="30"/>
      <c r="K472" s="32"/>
      <c r="L472" s="108">
        <f>IF(G472="",0,IFERROR(VLOOKUP(G472&amp;"",'Presupuesto Base'!$A$7:$G$24,5,FALSE),0))</f>
        <v>0</v>
      </c>
      <c r="M472" s="108">
        <f t="shared" si="25"/>
        <v>0</v>
      </c>
      <c r="N472" s="30"/>
      <c r="O472" s="30"/>
      <c r="P472" s="33"/>
      <c r="Q472" s="97" t="str">
        <f>IFERROR(VLOOKUP(A472,'Historial Certificados'!$A$6:$E$29,5,FALSE),"")</f>
        <v/>
      </c>
      <c r="R472" s="97" t="str">
        <f t="shared" si="26"/>
        <v/>
      </c>
    </row>
    <row r="473" spans="1:18">
      <c r="A473" s="28"/>
      <c r="B473" s="29"/>
      <c r="C473" s="30"/>
      <c r="D473" s="30"/>
      <c r="E473" s="30"/>
      <c r="F473" s="30"/>
      <c r="G473" s="30"/>
      <c r="H473" s="107" t="str">
        <f>IF(G473="","",IFERROR(VLOOKUP(G473&amp;"",'Presupuesto Base'!$A$7:$G$24,2,FALSE),"Ítem no encontrado"))</f>
        <v/>
      </c>
      <c r="I473" s="107" t="str">
        <f>IF(G473="","",IFERROR(VLOOKUP(G473&amp;"",'Presupuesto Base'!$A$7:$G$24,3,FALSE),""))</f>
        <v/>
      </c>
      <c r="J473" s="30"/>
      <c r="K473" s="32"/>
      <c r="L473" s="108">
        <f>IF(G473="",0,IFERROR(VLOOKUP(G473&amp;"",'Presupuesto Base'!$A$7:$G$24,5,FALSE),0))</f>
        <v>0</v>
      </c>
      <c r="M473" s="108">
        <f t="shared" si="25"/>
        <v>0</v>
      </c>
      <c r="N473" s="30"/>
      <c r="O473" s="30"/>
      <c r="P473" s="33"/>
      <c r="Q473" s="97" t="str">
        <f>IFERROR(VLOOKUP(A473,'Historial Certificados'!$A$6:$E$29,5,FALSE),"")</f>
        <v/>
      </c>
      <c r="R473" s="97" t="str">
        <f t="shared" si="26"/>
        <v/>
      </c>
    </row>
    <row r="474" spans="1:18">
      <c r="A474" s="28"/>
      <c r="B474" s="29"/>
      <c r="C474" s="30"/>
      <c r="D474" s="30"/>
      <c r="E474" s="30"/>
      <c r="F474" s="30"/>
      <c r="G474" s="30"/>
      <c r="H474" s="107" t="str">
        <f>IF(G474="","",IFERROR(VLOOKUP(G474&amp;"",'Presupuesto Base'!$A$7:$G$24,2,FALSE),"Ítem no encontrado"))</f>
        <v/>
      </c>
      <c r="I474" s="107" t="str">
        <f>IF(G474="","",IFERROR(VLOOKUP(G474&amp;"",'Presupuesto Base'!$A$7:$G$24,3,FALSE),""))</f>
        <v/>
      </c>
      <c r="J474" s="30"/>
      <c r="K474" s="32"/>
      <c r="L474" s="108">
        <f>IF(G474="",0,IFERROR(VLOOKUP(G474&amp;"",'Presupuesto Base'!$A$7:$G$24,5,FALSE),0))</f>
        <v>0</v>
      </c>
      <c r="M474" s="108">
        <f t="shared" si="25"/>
        <v>0</v>
      </c>
      <c r="N474" s="30"/>
      <c r="O474" s="30"/>
      <c r="P474" s="33"/>
      <c r="Q474" s="97" t="str">
        <f>IFERROR(VLOOKUP(A474,'Historial Certificados'!$A$6:$E$29,5,FALSE),"")</f>
        <v/>
      </c>
      <c r="R474" s="97" t="str">
        <f t="shared" si="26"/>
        <v/>
      </c>
    </row>
    <row r="475" spans="1:18">
      <c r="A475" s="28"/>
      <c r="B475" s="29"/>
      <c r="C475" s="30"/>
      <c r="D475" s="30"/>
      <c r="E475" s="30"/>
      <c r="F475" s="30"/>
      <c r="G475" s="30"/>
      <c r="H475" s="107" t="str">
        <f>IF(G475="","",IFERROR(VLOOKUP(G475&amp;"",'Presupuesto Base'!$A$7:$G$24,2,FALSE),"Ítem no encontrado"))</f>
        <v/>
      </c>
      <c r="I475" s="107" t="str">
        <f>IF(G475="","",IFERROR(VLOOKUP(G475&amp;"",'Presupuesto Base'!$A$7:$G$24,3,FALSE),""))</f>
        <v/>
      </c>
      <c r="J475" s="30"/>
      <c r="K475" s="32"/>
      <c r="L475" s="108">
        <f>IF(G475="",0,IFERROR(VLOOKUP(G475&amp;"",'Presupuesto Base'!$A$7:$G$24,5,FALSE),0))</f>
        <v>0</v>
      </c>
      <c r="M475" s="108">
        <f t="shared" si="25"/>
        <v>0</v>
      </c>
      <c r="N475" s="30"/>
      <c r="O475" s="30"/>
      <c r="P475" s="33"/>
      <c r="Q475" s="97" t="str">
        <f>IFERROR(VLOOKUP(A475,'Historial Certificados'!$A$6:$E$29,5,FALSE),"")</f>
        <v/>
      </c>
      <c r="R475" s="97" t="str">
        <f t="shared" si="26"/>
        <v/>
      </c>
    </row>
    <row r="476" spans="1:18">
      <c r="A476" s="28"/>
      <c r="B476" s="29"/>
      <c r="C476" s="30"/>
      <c r="D476" s="30"/>
      <c r="E476" s="30"/>
      <c r="F476" s="30"/>
      <c r="G476" s="30"/>
      <c r="H476" s="107" t="str">
        <f>IF(G476="","",IFERROR(VLOOKUP(G476&amp;"",'Presupuesto Base'!$A$7:$G$24,2,FALSE),"Ítem no encontrado"))</f>
        <v/>
      </c>
      <c r="I476" s="107" t="str">
        <f>IF(G476="","",IFERROR(VLOOKUP(G476&amp;"",'Presupuesto Base'!$A$7:$G$24,3,FALSE),""))</f>
        <v/>
      </c>
      <c r="J476" s="30"/>
      <c r="K476" s="32"/>
      <c r="L476" s="108">
        <f>IF(G476="",0,IFERROR(VLOOKUP(G476&amp;"",'Presupuesto Base'!$A$7:$G$24,5,FALSE),0))</f>
        <v>0</v>
      </c>
      <c r="M476" s="108">
        <f t="shared" si="25"/>
        <v>0</v>
      </c>
      <c r="N476" s="30"/>
      <c r="O476" s="30"/>
      <c r="P476" s="33"/>
      <c r="Q476" s="97" t="str">
        <f>IFERROR(VLOOKUP(A476,'Historial Certificados'!$A$6:$E$29,5,FALSE),"")</f>
        <v/>
      </c>
      <c r="R476" s="97" t="str">
        <f t="shared" si="26"/>
        <v/>
      </c>
    </row>
    <row r="477" spans="1:18">
      <c r="A477" s="28"/>
      <c r="B477" s="29"/>
      <c r="C477" s="30"/>
      <c r="D477" s="30"/>
      <c r="E477" s="30"/>
      <c r="F477" s="30"/>
      <c r="G477" s="30"/>
      <c r="H477" s="107" t="str">
        <f>IF(G477="","",IFERROR(VLOOKUP(G477&amp;"",'Presupuesto Base'!$A$7:$G$24,2,FALSE),"Ítem no encontrado"))</f>
        <v/>
      </c>
      <c r="I477" s="107" t="str">
        <f>IF(G477="","",IFERROR(VLOOKUP(G477&amp;"",'Presupuesto Base'!$A$7:$G$24,3,FALSE),""))</f>
        <v/>
      </c>
      <c r="J477" s="30"/>
      <c r="K477" s="32"/>
      <c r="L477" s="108">
        <f>IF(G477="",0,IFERROR(VLOOKUP(G477&amp;"",'Presupuesto Base'!$A$7:$G$24,5,FALSE),0))</f>
        <v>0</v>
      </c>
      <c r="M477" s="108">
        <f t="shared" si="25"/>
        <v>0</v>
      </c>
      <c r="N477" s="30"/>
      <c r="O477" s="30"/>
      <c r="P477" s="33"/>
      <c r="Q477" s="97" t="str">
        <f>IFERROR(VLOOKUP(A477,'Historial Certificados'!$A$6:$E$29,5,FALSE),"")</f>
        <v/>
      </c>
      <c r="R477" s="97" t="str">
        <f t="shared" si="26"/>
        <v/>
      </c>
    </row>
    <row r="478" spans="1:18">
      <c r="A478" s="28"/>
      <c r="B478" s="29"/>
      <c r="C478" s="30"/>
      <c r="D478" s="30"/>
      <c r="E478" s="30"/>
      <c r="F478" s="30"/>
      <c r="G478" s="30"/>
      <c r="H478" s="107" t="str">
        <f>IF(G478="","",IFERROR(VLOOKUP(G478&amp;"",'Presupuesto Base'!$A$7:$G$24,2,FALSE),"Ítem no encontrado"))</f>
        <v/>
      </c>
      <c r="I478" s="107" t="str">
        <f>IF(G478="","",IFERROR(VLOOKUP(G478&amp;"",'Presupuesto Base'!$A$7:$G$24,3,FALSE),""))</f>
        <v/>
      </c>
      <c r="J478" s="30"/>
      <c r="K478" s="32"/>
      <c r="L478" s="108">
        <f>IF(G478="",0,IFERROR(VLOOKUP(G478&amp;"",'Presupuesto Base'!$A$7:$G$24,5,FALSE),0))</f>
        <v>0</v>
      </c>
      <c r="M478" s="108">
        <f t="shared" si="25"/>
        <v>0</v>
      </c>
      <c r="N478" s="30"/>
      <c r="O478" s="30"/>
      <c r="P478" s="33"/>
      <c r="Q478" s="97" t="str">
        <f>IFERROR(VLOOKUP(A478,'Historial Certificados'!$A$6:$E$29,5,FALSE),"")</f>
        <v/>
      </c>
      <c r="R478" s="97" t="str">
        <f t="shared" si="26"/>
        <v/>
      </c>
    </row>
    <row r="479" spans="1:18">
      <c r="A479" s="28"/>
      <c r="B479" s="29"/>
      <c r="C479" s="30"/>
      <c r="D479" s="30"/>
      <c r="E479" s="30"/>
      <c r="F479" s="30"/>
      <c r="G479" s="30"/>
      <c r="H479" s="107" t="str">
        <f>IF(G479="","",IFERROR(VLOOKUP(G479&amp;"",'Presupuesto Base'!$A$7:$G$24,2,FALSE),"Ítem no encontrado"))</f>
        <v/>
      </c>
      <c r="I479" s="107" t="str">
        <f>IF(G479="","",IFERROR(VLOOKUP(G479&amp;"",'Presupuesto Base'!$A$7:$G$24,3,FALSE),""))</f>
        <v/>
      </c>
      <c r="J479" s="30"/>
      <c r="K479" s="32"/>
      <c r="L479" s="108">
        <f>IF(G479="",0,IFERROR(VLOOKUP(G479&amp;"",'Presupuesto Base'!$A$7:$G$24,5,FALSE),0))</f>
        <v>0</v>
      </c>
      <c r="M479" s="108">
        <f t="shared" si="25"/>
        <v>0</v>
      </c>
      <c r="N479" s="30"/>
      <c r="O479" s="30"/>
      <c r="P479" s="33"/>
      <c r="Q479" s="97" t="str">
        <f>IFERROR(VLOOKUP(A479,'Historial Certificados'!$A$6:$E$29,5,FALSE),"")</f>
        <v/>
      </c>
      <c r="R479" s="97" t="str">
        <f t="shared" si="26"/>
        <v/>
      </c>
    </row>
    <row r="480" spans="1:18">
      <c r="A480" s="28"/>
      <c r="B480" s="29"/>
      <c r="C480" s="30"/>
      <c r="D480" s="30"/>
      <c r="E480" s="30"/>
      <c r="F480" s="30"/>
      <c r="G480" s="30"/>
      <c r="H480" s="107" t="str">
        <f>IF(G480="","",IFERROR(VLOOKUP(G480&amp;"",'Presupuesto Base'!$A$7:$G$24,2,FALSE),"Ítem no encontrado"))</f>
        <v/>
      </c>
      <c r="I480" s="107" t="str">
        <f>IF(G480="","",IFERROR(VLOOKUP(G480&amp;"",'Presupuesto Base'!$A$7:$G$24,3,FALSE),""))</f>
        <v/>
      </c>
      <c r="J480" s="30"/>
      <c r="K480" s="32"/>
      <c r="L480" s="108">
        <f>IF(G480="",0,IFERROR(VLOOKUP(G480&amp;"",'Presupuesto Base'!$A$7:$G$24,5,FALSE),0))</f>
        <v>0</v>
      </c>
      <c r="M480" s="108">
        <f t="shared" si="25"/>
        <v>0</v>
      </c>
      <c r="N480" s="30"/>
      <c r="O480" s="30"/>
      <c r="P480" s="33"/>
      <c r="Q480" s="97" t="str">
        <f>IFERROR(VLOOKUP(A480,'Historial Certificados'!$A$6:$E$29,5,FALSE),"")</f>
        <v/>
      </c>
      <c r="R480" s="97" t="str">
        <f t="shared" si="26"/>
        <v/>
      </c>
    </row>
    <row r="481" spans="1:18">
      <c r="A481" s="28"/>
      <c r="B481" s="29"/>
      <c r="C481" s="30"/>
      <c r="D481" s="30"/>
      <c r="E481" s="30"/>
      <c r="F481" s="30"/>
      <c r="G481" s="30"/>
      <c r="H481" s="107" t="str">
        <f>IF(G481="","",IFERROR(VLOOKUP(G481&amp;"",'Presupuesto Base'!$A$7:$G$24,2,FALSE),"Ítem no encontrado"))</f>
        <v/>
      </c>
      <c r="I481" s="107" t="str">
        <f>IF(G481="","",IFERROR(VLOOKUP(G481&amp;"",'Presupuesto Base'!$A$7:$G$24,3,FALSE),""))</f>
        <v/>
      </c>
      <c r="J481" s="30"/>
      <c r="K481" s="32"/>
      <c r="L481" s="108">
        <f>IF(G481="",0,IFERROR(VLOOKUP(G481&amp;"",'Presupuesto Base'!$A$7:$G$24,5,FALSE),0))</f>
        <v>0</v>
      </c>
      <c r="M481" s="108">
        <f t="shared" si="25"/>
        <v>0</v>
      </c>
      <c r="N481" s="30"/>
      <c r="O481" s="30"/>
      <c r="P481" s="33"/>
      <c r="Q481" s="97" t="str">
        <f>IFERROR(VLOOKUP(A481,'Historial Certificados'!$A$6:$E$29,5,FALSE),"")</f>
        <v/>
      </c>
      <c r="R481" s="97" t="str">
        <f t="shared" si="26"/>
        <v/>
      </c>
    </row>
    <row r="482" spans="1:18">
      <c r="A482" s="28"/>
      <c r="B482" s="29"/>
      <c r="C482" s="30"/>
      <c r="D482" s="30"/>
      <c r="E482" s="30"/>
      <c r="F482" s="30"/>
      <c r="G482" s="30"/>
      <c r="H482" s="107" t="str">
        <f>IF(G482="","",IFERROR(VLOOKUP(G482&amp;"",'Presupuesto Base'!$A$7:$G$24,2,FALSE),"Ítem no encontrado"))</f>
        <v/>
      </c>
      <c r="I482" s="107" t="str">
        <f>IF(G482="","",IFERROR(VLOOKUP(G482&amp;"",'Presupuesto Base'!$A$7:$G$24,3,FALSE),""))</f>
        <v/>
      </c>
      <c r="J482" s="30"/>
      <c r="K482" s="32"/>
      <c r="L482" s="108">
        <f>IF(G482="",0,IFERROR(VLOOKUP(G482&amp;"",'Presupuesto Base'!$A$7:$G$24,5,FALSE),0))</f>
        <v>0</v>
      </c>
      <c r="M482" s="108">
        <f t="shared" si="25"/>
        <v>0</v>
      </c>
      <c r="N482" s="30"/>
      <c r="O482" s="30"/>
      <c r="P482" s="33"/>
      <c r="Q482" s="97" t="str">
        <f>IFERROR(VLOOKUP(A482,'Historial Certificados'!$A$6:$E$29,5,FALSE),"")</f>
        <v/>
      </c>
      <c r="R482" s="97" t="str">
        <f t="shared" si="26"/>
        <v/>
      </c>
    </row>
    <row r="483" spans="1:18">
      <c r="A483" s="28"/>
      <c r="B483" s="29"/>
      <c r="C483" s="30"/>
      <c r="D483" s="30"/>
      <c r="E483" s="30"/>
      <c r="F483" s="30"/>
      <c r="G483" s="30"/>
      <c r="H483" s="107" t="str">
        <f>IF(G483="","",IFERROR(VLOOKUP(G483&amp;"",'Presupuesto Base'!$A$7:$G$24,2,FALSE),"Ítem no encontrado"))</f>
        <v/>
      </c>
      <c r="I483" s="107" t="str">
        <f>IF(G483="","",IFERROR(VLOOKUP(G483&amp;"",'Presupuesto Base'!$A$7:$G$24,3,FALSE),""))</f>
        <v/>
      </c>
      <c r="J483" s="30"/>
      <c r="K483" s="32"/>
      <c r="L483" s="108">
        <f>IF(G483="",0,IFERROR(VLOOKUP(G483&amp;"",'Presupuesto Base'!$A$7:$G$24,5,FALSE),0))</f>
        <v>0</v>
      </c>
      <c r="M483" s="108">
        <f t="shared" si="25"/>
        <v>0</v>
      </c>
      <c r="N483" s="30"/>
      <c r="O483" s="30"/>
      <c r="P483" s="33"/>
      <c r="Q483" s="97" t="str">
        <f>IFERROR(VLOOKUP(A483,'Historial Certificados'!$A$6:$E$29,5,FALSE),"")</f>
        <v/>
      </c>
      <c r="R483" s="97" t="str">
        <f t="shared" si="26"/>
        <v/>
      </c>
    </row>
    <row r="484" spans="1:18">
      <c r="A484" s="28"/>
      <c r="B484" s="29"/>
      <c r="C484" s="30"/>
      <c r="D484" s="30"/>
      <c r="E484" s="30"/>
      <c r="F484" s="30"/>
      <c r="G484" s="30"/>
      <c r="H484" s="107" t="str">
        <f>IF(G484="","",IFERROR(VLOOKUP(G484&amp;"",'Presupuesto Base'!$A$7:$G$24,2,FALSE),"Ítem no encontrado"))</f>
        <v/>
      </c>
      <c r="I484" s="107" t="str">
        <f>IF(G484="","",IFERROR(VLOOKUP(G484&amp;"",'Presupuesto Base'!$A$7:$G$24,3,FALSE),""))</f>
        <v/>
      </c>
      <c r="J484" s="30"/>
      <c r="K484" s="32"/>
      <c r="L484" s="108">
        <f>IF(G484="",0,IFERROR(VLOOKUP(G484&amp;"",'Presupuesto Base'!$A$7:$G$24,5,FALSE),0))</f>
        <v>0</v>
      </c>
      <c r="M484" s="108">
        <f t="shared" si="25"/>
        <v>0</v>
      </c>
      <c r="N484" s="30"/>
      <c r="O484" s="30"/>
      <c r="P484" s="33"/>
      <c r="Q484" s="97" t="str">
        <f>IFERROR(VLOOKUP(A484,'Historial Certificados'!$A$6:$E$29,5,FALSE),"")</f>
        <v/>
      </c>
      <c r="R484" s="97" t="str">
        <f t="shared" si="26"/>
        <v/>
      </c>
    </row>
    <row r="485" spans="1:18">
      <c r="A485" s="28"/>
      <c r="B485" s="29"/>
      <c r="C485" s="30"/>
      <c r="D485" s="30"/>
      <c r="E485" s="30"/>
      <c r="F485" s="30"/>
      <c r="G485" s="30"/>
      <c r="H485" s="107" t="str">
        <f>IF(G485="","",IFERROR(VLOOKUP(G485&amp;"",'Presupuesto Base'!$A$7:$G$24,2,FALSE),"Ítem no encontrado"))</f>
        <v/>
      </c>
      <c r="I485" s="107" t="str">
        <f>IF(G485="","",IFERROR(VLOOKUP(G485&amp;"",'Presupuesto Base'!$A$7:$G$24,3,FALSE),""))</f>
        <v/>
      </c>
      <c r="J485" s="30"/>
      <c r="K485" s="32"/>
      <c r="L485" s="108">
        <f>IF(G485="",0,IFERROR(VLOOKUP(G485&amp;"",'Presupuesto Base'!$A$7:$G$24,5,FALSE),0))</f>
        <v>0</v>
      </c>
      <c r="M485" s="108">
        <f t="shared" si="25"/>
        <v>0</v>
      </c>
      <c r="N485" s="30"/>
      <c r="O485" s="30"/>
      <c r="P485" s="33"/>
      <c r="Q485" s="97" t="str">
        <f>IFERROR(VLOOKUP(A485,'Historial Certificados'!$A$6:$E$29,5,FALSE),"")</f>
        <v/>
      </c>
      <c r="R485" s="97" t="str">
        <f t="shared" si="26"/>
        <v/>
      </c>
    </row>
    <row r="486" spans="1:18">
      <c r="A486" s="28"/>
      <c r="B486" s="29"/>
      <c r="C486" s="30"/>
      <c r="D486" s="30"/>
      <c r="E486" s="30"/>
      <c r="F486" s="30"/>
      <c r="G486" s="30"/>
      <c r="H486" s="107" t="str">
        <f>IF(G486="","",IFERROR(VLOOKUP(G486&amp;"",'Presupuesto Base'!$A$7:$G$24,2,FALSE),"Ítem no encontrado"))</f>
        <v/>
      </c>
      <c r="I486" s="107" t="str">
        <f>IF(G486="","",IFERROR(VLOOKUP(G486&amp;"",'Presupuesto Base'!$A$7:$G$24,3,FALSE),""))</f>
        <v/>
      </c>
      <c r="J486" s="30"/>
      <c r="K486" s="32"/>
      <c r="L486" s="108">
        <f>IF(G486="",0,IFERROR(VLOOKUP(G486&amp;"",'Presupuesto Base'!$A$7:$G$24,5,FALSE),0))</f>
        <v>0</v>
      </c>
      <c r="M486" s="108">
        <f t="shared" si="25"/>
        <v>0</v>
      </c>
      <c r="N486" s="30"/>
      <c r="O486" s="30"/>
      <c r="P486" s="33"/>
      <c r="Q486" s="97" t="str">
        <f>IFERROR(VLOOKUP(A486,'Historial Certificados'!$A$6:$E$29,5,FALSE),"")</f>
        <v/>
      </c>
      <c r="R486" s="97" t="str">
        <f t="shared" si="26"/>
        <v/>
      </c>
    </row>
    <row r="487" spans="1:18">
      <c r="A487" s="28"/>
      <c r="B487" s="29"/>
      <c r="C487" s="30"/>
      <c r="D487" s="30"/>
      <c r="E487" s="30"/>
      <c r="F487" s="30"/>
      <c r="G487" s="30"/>
      <c r="H487" s="107" t="str">
        <f>IF(G487="","",IFERROR(VLOOKUP(G487&amp;"",'Presupuesto Base'!$A$7:$G$24,2,FALSE),"Ítem no encontrado"))</f>
        <v/>
      </c>
      <c r="I487" s="107" t="str">
        <f>IF(G487="","",IFERROR(VLOOKUP(G487&amp;"",'Presupuesto Base'!$A$7:$G$24,3,FALSE),""))</f>
        <v/>
      </c>
      <c r="J487" s="30"/>
      <c r="K487" s="32"/>
      <c r="L487" s="108">
        <f>IF(G487="",0,IFERROR(VLOOKUP(G487&amp;"",'Presupuesto Base'!$A$7:$G$24,5,FALSE),0))</f>
        <v>0</v>
      </c>
      <c r="M487" s="108">
        <f t="shared" si="25"/>
        <v>0</v>
      </c>
      <c r="N487" s="30"/>
      <c r="O487" s="30"/>
      <c r="P487" s="33"/>
      <c r="Q487" s="97" t="str">
        <f>IFERROR(VLOOKUP(A487,'Historial Certificados'!$A$6:$E$29,5,FALSE),"")</f>
        <v/>
      </c>
      <c r="R487" s="97" t="str">
        <f t="shared" si="26"/>
        <v/>
      </c>
    </row>
    <row r="488" spans="1:18">
      <c r="A488" s="28"/>
      <c r="B488" s="29"/>
      <c r="C488" s="30"/>
      <c r="D488" s="30"/>
      <c r="E488" s="30"/>
      <c r="F488" s="30"/>
      <c r="G488" s="30"/>
      <c r="H488" s="107" t="str">
        <f>IF(G488="","",IFERROR(VLOOKUP(G488&amp;"",'Presupuesto Base'!$A$7:$G$24,2,FALSE),"Ítem no encontrado"))</f>
        <v/>
      </c>
      <c r="I488" s="107" t="str">
        <f>IF(G488="","",IFERROR(VLOOKUP(G488&amp;"",'Presupuesto Base'!$A$7:$G$24,3,FALSE),""))</f>
        <v/>
      </c>
      <c r="J488" s="30"/>
      <c r="K488" s="32"/>
      <c r="L488" s="108">
        <f>IF(G488="",0,IFERROR(VLOOKUP(G488&amp;"",'Presupuesto Base'!$A$7:$G$24,5,FALSE),0))</f>
        <v>0</v>
      </c>
      <c r="M488" s="108">
        <f t="shared" si="25"/>
        <v>0</v>
      </c>
      <c r="N488" s="30"/>
      <c r="O488" s="30"/>
      <c r="P488" s="33"/>
      <c r="Q488" s="97" t="str">
        <f>IFERROR(VLOOKUP(A488,'Historial Certificados'!$A$6:$E$29,5,FALSE),"")</f>
        <v/>
      </c>
      <c r="R488" s="97" t="str">
        <f t="shared" si="26"/>
        <v/>
      </c>
    </row>
    <row r="489" spans="1:18">
      <c r="A489" s="28"/>
      <c r="B489" s="29"/>
      <c r="C489" s="30"/>
      <c r="D489" s="30"/>
      <c r="E489" s="30"/>
      <c r="F489" s="30"/>
      <c r="G489" s="30"/>
      <c r="H489" s="107" t="str">
        <f>IF(G489="","",IFERROR(VLOOKUP(G489&amp;"",'Presupuesto Base'!$A$7:$G$24,2,FALSE),"Ítem no encontrado"))</f>
        <v/>
      </c>
      <c r="I489" s="107" t="str">
        <f>IF(G489="","",IFERROR(VLOOKUP(G489&amp;"",'Presupuesto Base'!$A$7:$G$24,3,FALSE),""))</f>
        <v/>
      </c>
      <c r="J489" s="30"/>
      <c r="K489" s="32"/>
      <c r="L489" s="108">
        <f>IF(G489="",0,IFERROR(VLOOKUP(G489&amp;"",'Presupuesto Base'!$A$7:$G$24,5,FALSE),0))</f>
        <v>0</v>
      </c>
      <c r="M489" s="108">
        <f t="shared" si="25"/>
        <v>0</v>
      </c>
      <c r="N489" s="30"/>
      <c r="O489" s="30"/>
      <c r="P489" s="33"/>
      <c r="Q489" s="97" t="str">
        <f>IFERROR(VLOOKUP(A489,'Historial Certificados'!$A$6:$E$29,5,FALSE),"")</f>
        <v/>
      </c>
      <c r="R489" s="97" t="str">
        <f t="shared" si="26"/>
        <v/>
      </c>
    </row>
    <row r="490" spans="1:18">
      <c r="A490" s="28"/>
      <c r="B490" s="29"/>
      <c r="C490" s="30"/>
      <c r="D490" s="30"/>
      <c r="E490" s="30"/>
      <c r="F490" s="30"/>
      <c r="G490" s="30"/>
      <c r="H490" s="107" t="str">
        <f>IF(G490="","",IFERROR(VLOOKUP(G490&amp;"",'Presupuesto Base'!$A$7:$G$24,2,FALSE),"Ítem no encontrado"))</f>
        <v/>
      </c>
      <c r="I490" s="107" t="str">
        <f>IF(G490="","",IFERROR(VLOOKUP(G490&amp;"",'Presupuesto Base'!$A$7:$G$24,3,FALSE),""))</f>
        <v/>
      </c>
      <c r="J490" s="30"/>
      <c r="K490" s="32"/>
      <c r="L490" s="108">
        <f>IF(G490="",0,IFERROR(VLOOKUP(G490&amp;"",'Presupuesto Base'!$A$7:$G$24,5,FALSE),0))</f>
        <v>0</v>
      </c>
      <c r="M490" s="108">
        <f t="shared" si="25"/>
        <v>0</v>
      </c>
      <c r="N490" s="30"/>
      <c r="O490" s="30"/>
      <c r="P490" s="33"/>
      <c r="Q490" s="97" t="str">
        <f>IFERROR(VLOOKUP(A490,'Historial Certificados'!$A$6:$E$29,5,FALSE),"")</f>
        <v/>
      </c>
      <c r="R490" s="97" t="str">
        <f t="shared" si="26"/>
        <v/>
      </c>
    </row>
    <row r="491" spans="1:18">
      <c r="A491" s="28"/>
      <c r="B491" s="29"/>
      <c r="C491" s="30"/>
      <c r="D491" s="30"/>
      <c r="E491" s="30"/>
      <c r="F491" s="30"/>
      <c r="G491" s="30"/>
      <c r="H491" s="107" t="str">
        <f>IF(G491="","",IFERROR(VLOOKUP(G491&amp;"",'Presupuesto Base'!$A$7:$G$24,2,FALSE),"Ítem no encontrado"))</f>
        <v/>
      </c>
      <c r="I491" s="107" t="str">
        <f>IF(G491="","",IFERROR(VLOOKUP(G491&amp;"",'Presupuesto Base'!$A$7:$G$24,3,FALSE),""))</f>
        <v/>
      </c>
      <c r="J491" s="30"/>
      <c r="K491" s="32"/>
      <c r="L491" s="108">
        <f>IF(G491="",0,IFERROR(VLOOKUP(G491&amp;"",'Presupuesto Base'!$A$7:$G$24,5,FALSE),0))</f>
        <v>0</v>
      </c>
      <c r="M491" s="108">
        <f t="shared" si="25"/>
        <v>0</v>
      </c>
      <c r="N491" s="30"/>
      <c r="O491" s="30"/>
      <c r="P491" s="33"/>
      <c r="Q491" s="97" t="str">
        <f>IFERROR(VLOOKUP(A491,'Historial Certificados'!$A$6:$E$29,5,FALSE),"")</f>
        <v/>
      </c>
      <c r="R491" s="97" t="str">
        <f t="shared" si="26"/>
        <v/>
      </c>
    </row>
    <row r="492" spans="1:18">
      <c r="A492" s="28"/>
      <c r="B492" s="29"/>
      <c r="C492" s="30"/>
      <c r="D492" s="30"/>
      <c r="E492" s="30"/>
      <c r="F492" s="30"/>
      <c r="G492" s="30"/>
      <c r="H492" s="107" t="str">
        <f>IF(G492="","",IFERROR(VLOOKUP(G492&amp;"",'Presupuesto Base'!$A$7:$G$24,2,FALSE),"Ítem no encontrado"))</f>
        <v/>
      </c>
      <c r="I492" s="107" t="str">
        <f>IF(G492="","",IFERROR(VLOOKUP(G492&amp;"",'Presupuesto Base'!$A$7:$G$24,3,FALSE),""))</f>
        <v/>
      </c>
      <c r="J492" s="30"/>
      <c r="K492" s="32"/>
      <c r="L492" s="108">
        <f>IF(G492="",0,IFERROR(VLOOKUP(G492&amp;"",'Presupuesto Base'!$A$7:$G$24,5,FALSE),0))</f>
        <v>0</v>
      </c>
      <c r="M492" s="108">
        <f t="shared" si="25"/>
        <v>0</v>
      </c>
      <c r="N492" s="30"/>
      <c r="O492" s="30"/>
      <c r="P492" s="33"/>
      <c r="Q492" s="97" t="str">
        <f>IFERROR(VLOOKUP(A492,'Historial Certificados'!$A$6:$E$29,5,FALSE),"")</f>
        <v/>
      </c>
      <c r="R492" s="97" t="str">
        <f t="shared" si="26"/>
        <v/>
      </c>
    </row>
    <row r="493" spans="1:18">
      <c r="A493" s="28"/>
      <c r="B493" s="29"/>
      <c r="C493" s="30"/>
      <c r="D493" s="30"/>
      <c r="E493" s="30"/>
      <c r="F493" s="30"/>
      <c r="G493" s="30"/>
      <c r="H493" s="107" t="str">
        <f>IF(G493="","",IFERROR(VLOOKUP(G493&amp;"",'Presupuesto Base'!$A$7:$G$24,2,FALSE),"Ítem no encontrado"))</f>
        <v/>
      </c>
      <c r="I493" s="107" t="str">
        <f>IF(G493="","",IFERROR(VLOOKUP(G493&amp;"",'Presupuesto Base'!$A$7:$G$24,3,FALSE),""))</f>
        <v/>
      </c>
      <c r="J493" s="30"/>
      <c r="K493" s="32"/>
      <c r="L493" s="108">
        <f>IF(G493="",0,IFERROR(VLOOKUP(G493&amp;"",'Presupuesto Base'!$A$7:$G$24,5,FALSE),0))</f>
        <v>0</v>
      </c>
      <c r="M493" s="108">
        <f t="shared" si="25"/>
        <v>0</v>
      </c>
      <c r="N493" s="30"/>
      <c r="O493" s="30"/>
      <c r="P493" s="33"/>
      <c r="Q493" s="97" t="str">
        <f>IFERROR(VLOOKUP(A493,'Historial Certificados'!$A$6:$E$29,5,FALSE),"")</f>
        <v/>
      </c>
      <c r="R493" s="97" t="str">
        <f t="shared" si="26"/>
        <v/>
      </c>
    </row>
    <row r="494" spans="1:18">
      <c r="A494" s="28"/>
      <c r="B494" s="29"/>
      <c r="C494" s="30"/>
      <c r="D494" s="30"/>
      <c r="E494" s="30"/>
      <c r="F494" s="30"/>
      <c r="G494" s="30"/>
      <c r="H494" s="107" t="str">
        <f>IF(G494="","",IFERROR(VLOOKUP(G494&amp;"",'Presupuesto Base'!$A$7:$G$24,2,FALSE),"Ítem no encontrado"))</f>
        <v/>
      </c>
      <c r="I494" s="107" t="str">
        <f>IF(G494="","",IFERROR(VLOOKUP(G494&amp;"",'Presupuesto Base'!$A$7:$G$24,3,FALSE),""))</f>
        <v/>
      </c>
      <c r="J494" s="30"/>
      <c r="K494" s="32"/>
      <c r="L494" s="108">
        <f>IF(G494="",0,IFERROR(VLOOKUP(G494&amp;"",'Presupuesto Base'!$A$7:$G$24,5,FALSE),0))</f>
        <v>0</v>
      </c>
      <c r="M494" s="108">
        <f t="shared" si="25"/>
        <v>0</v>
      </c>
      <c r="N494" s="30"/>
      <c r="O494" s="30"/>
      <c r="P494" s="33"/>
      <c r="Q494" s="97" t="str">
        <f>IFERROR(VLOOKUP(A494,'Historial Certificados'!$A$6:$E$29,5,FALSE),"")</f>
        <v/>
      </c>
      <c r="R494" s="97" t="str">
        <f t="shared" si="26"/>
        <v/>
      </c>
    </row>
    <row r="495" spans="1:18">
      <c r="A495" s="28"/>
      <c r="B495" s="29"/>
      <c r="C495" s="30"/>
      <c r="D495" s="30"/>
      <c r="E495" s="30"/>
      <c r="F495" s="30"/>
      <c r="G495" s="30"/>
      <c r="H495" s="107" t="str">
        <f>IF(G495="","",IFERROR(VLOOKUP(G495&amp;"",'Presupuesto Base'!$A$7:$G$24,2,FALSE),"Ítem no encontrado"))</f>
        <v/>
      </c>
      <c r="I495" s="107" t="str">
        <f>IF(G495="","",IFERROR(VLOOKUP(G495&amp;"",'Presupuesto Base'!$A$7:$G$24,3,FALSE),""))</f>
        <v/>
      </c>
      <c r="J495" s="30"/>
      <c r="K495" s="32"/>
      <c r="L495" s="108">
        <f>IF(G495="",0,IFERROR(VLOOKUP(G495&amp;"",'Presupuesto Base'!$A$7:$G$24,5,FALSE),0))</f>
        <v>0</v>
      </c>
      <c r="M495" s="108">
        <f t="shared" si="25"/>
        <v>0</v>
      </c>
      <c r="N495" s="30"/>
      <c r="O495" s="30"/>
      <c r="P495" s="33"/>
      <c r="Q495" s="97" t="str">
        <f>IFERROR(VLOOKUP(A495,'Historial Certificados'!$A$6:$E$29,5,FALSE),"")</f>
        <v/>
      </c>
      <c r="R495" s="97" t="str">
        <f t="shared" si="26"/>
        <v/>
      </c>
    </row>
    <row r="496" spans="1:18">
      <c r="A496" s="28"/>
      <c r="B496" s="29"/>
      <c r="C496" s="30"/>
      <c r="D496" s="30"/>
      <c r="E496" s="30"/>
      <c r="F496" s="30"/>
      <c r="G496" s="30"/>
      <c r="H496" s="107" t="str">
        <f>IF(G496="","",IFERROR(VLOOKUP(G496&amp;"",'Presupuesto Base'!$A$7:$G$24,2,FALSE),"Ítem no encontrado"))</f>
        <v/>
      </c>
      <c r="I496" s="107" t="str">
        <f>IF(G496="","",IFERROR(VLOOKUP(G496&amp;"",'Presupuesto Base'!$A$7:$G$24,3,FALSE),""))</f>
        <v/>
      </c>
      <c r="J496" s="30"/>
      <c r="K496" s="32"/>
      <c r="L496" s="108">
        <f>IF(G496="",0,IFERROR(VLOOKUP(G496&amp;"",'Presupuesto Base'!$A$7:$G$24,5,FALSE),0))</f>
        <v>0</v>
      </c>
      <c r="M496" s="108">
        <f t="shared" si="25"/>
        <v>0</v>
      </c>
      <c r="N496" s="30"/>
      <c r="O496" s="30"/>
      <c r="P496" s="33"/>
      <c r="Q496" s="97" t="str">
        <f>IFERROR(VLOOKUP(A496,'Historial Certificados'!$A$6:$E$29,5,FALSE),"")</f>
        <v/>
      </c>
      <c r="R496" s="97" t="str">
        <f t="shared" si="26"/>
        <v/>
      </c>
    </row>
    <row r="497" spans="1:18">
      <c r="A497" s="28"/>
      <c r="B497" s="29"/>
      <c r="C497" s="30"/>
      <c r="D497" s="30"/>
      <c r="E497" s="30"/>
      <c r="F497" s="30"/>
      <c r="G497" s="30"/>
      <c r="H497" s="107" t="str">
        <f>IF(G497="","",IFERROR(VLOOKUP(G497&amp;"",'Presupuesto Base'!$A$7:$G$24,2,FALSE),"Ítem no encontrado"))</f>
        <v/>
      </c>
      <c r="I497" s="107" t="str">
        <f>IF(G497="","",IFERROR(VLOOKUP(G497&amp;"",'Presupuesto Base'!$A$7:$G$24,3,FALSE),""))</f>
        <v/>
      </c>
      <c r="J497" s="30"/>
      <c r="K497" s="32"/>
      <c r="L497" s="108">
        <f>IF(G497="",0,IFERROR(VLOOKUP(G497&amp;"",'Presupuesto Base'!$A$7:$G$24,5,FALSE),0))</f>
        <v>0</v>
      </c>
      <c r="M497" s="108">
        <f t="shared" si="25"/>
        <v>0</v>
      </c>
      <c r="N497" s="30"/>
      <c r="O497" s="30"/>
      <c r="P497" s="33"/>
      <c r="Q497" s="97" t="str">
        <f>IFERROR(VLOOKUP(A497,'Historial Certificados'!$A$6:$E$29,5,FALSE),"")</f>
        <v/>
      </c>
      <c r="R497" s="97" t="str">
        <f t="shared" si="26"/>
        <v/>
      </c>
    </row>
    <row r="498" spans="1:18">
      <c r="A498" s="28"/>
      <c r="B498" s="29"/>
      <c r="C498" s="30"/>
      <c r="D498" s="30"/>
      <c r="E498" s="30"/>
      <c r="F498" s="30"/>
      <c r="G498" s="30"/>
      <c r="H498" s="107" t="str">
        <f>IF(G498="","",IFERROR(VLOOKUP(G498&amp;"",'Presupuesto Base'!$A$7:$G$24,2,FALSE),"Ítem no encontrado"))</f>
        <v/>
      </c>
      <c r="I498" s="107" t="str">
        <f>IF(G498="","",IFERROR(VLOOKUP(G498&amp;"",'Presupuesto Base'!$A$7:$G$24,3,FALSE),""))</f>
        <v/>
      </c>
      <c r="J498" s="30"/>
      <c r="K498" s="32"/>
      <c r="L498" s="108">
        <f>IF(G498="",0,IFERROR(VLOOKUP(G498&amp;"",'Presupuesto Base'!$A$7:$G$24,5,FALSE),0))</f>
        <v>0</v>
      </c>
      <c r="M498" s="108">
        <f t="shared" si="25"/>
        <v>0</v>
      </c>
      <c r="N498" s="30"/>
      <c r="O498" s="30"/>
      <c r="P498" s="33"/>
      <c r="Q498" s="97" t="str">
        <f>IFERROR(VLOOKUP(A498,'Historial Certificados'!$A$6:$E$29,5,FALSE),"")</f>
        <v/>
      </c>
      <c r="R498" s="97" t="str">
        <f t="shared" si="26"/>
        <v/>
      </c>
    </row>
    <row r="499" spans="1:18">
      <c r="A499" s="28"/>
      <c r="B499" s="29"/>
      <c r="C499" s="30"/>
      <c r="D499" s="30"/>
      <c r="E499" s="30"/>
      <c r="F499" s="30"/>
      <c r="G499" s="30"/>
      <c r="H499" s="107" t="str">
        <f>IF(G499="","",IFERROR(VLOOKUP(G499&amp;"",'Presupuesto Base'!$A$7:$G$24,2,FALSE),"Ítem no encontrado"))</f>
        <v/>
      </c>
      <c r="I499" s="107" t="str">
        <f>IF(G499="","",IFERROR(VLOOKUP(G499&amp;"",'Presupuesto Base'!$A$7:$G$24,3,FALSE),""))</f>
        <v/>
      </c>
      <c r="J499" s="30"/>
      <c r="K499" s="32"/>
      <c r="L499" s="108">
        <f>IF(G499="",0,IFERROR(VLOOKUP(G499&amp;"",'Presupuesto Base'!$A$7:$G$24,5,FALSE),0))</f>
        <v>0</v>
      </c>
      <c r="M499" s="108">
        <f t="shared" si="25"/>
        <v>0</v>
      </c>
      <c r="N499" s="30"/>
      <c r="O499" s="30"/>
      <c r="P499" s="33"/>
      <c r="Q499" s="97" t="str">
        <f>IFERROR(VLOOKUP(A499,'Historial Certificados'!$A$6:$E$29,5,FALSE),"")</f>
        <v/>
      </c>
      <c r="R499" s="97" t="str">
        <f t="shared" si="26"/>
        <v/>
      </c>
    </row>
    <row r="500" spans="1:18">
      <c r="A500" s="28"/>
      <c r="B500" s="29"/>
      <c r="C500" s="30"/>
      <c r="D500" s="30"/>
      <c r="E500" s="30"/>
      <c r="F500" s="30"/>
      <c r="G500" s="30"/>
      <c r="H500" s="107" t="str">
        <f>IF(G500="","",IFERROR(VLOOKUP(G500&amp;"",'Presupuesto Base'!$A$7:$G$24,2,FALSE),"Ítem no encontrado"))</f>
        <v/>
      </c>
      <c r="I500" s="107" t="str">
        <f>IF(G500="","",IFERROR(VLOOKUP(G500&amp;"",'Presupuesto Base'!$A$7:$G$24,3,FALSE),""))</f>
        <v/>
      </c>
      <c r="J500" s="30"/>
      <c r="K500" s="32"/>
      <c r="L500" s="108">
        <f>IF(G500="",0,IFERROR(VLOOKUP(G500&amp;"",'Presupuesto Base'!$A$7:$G$24,5,FALSE),0))</f>
        <v>0</v>
      </c>
      <c r="M500" s="108">
        <f t="shared" si="25"/>
        <v>0</v>
      </c>
      <c r="N500" s="30"/>
      <c r="O500" s="30"/>
      <c r="P500" s="33"/>
      <c r="Q500" s="97" t="str">
        <f>IFERROR(VLOOKUP(A500,'Historial Certificados'!$A$6:$E$29,5,FALSE),"")</f>
        <v/>
      </c>
      <c r="R500" s="97" t="str">
        <f t="shared" si="26"/>
        <v/>
      </c>
    </row>
    <row r="501" spans="1:18">
      <c r="A501" s="28"/>
      <c r="B501" s="29"/>
      <c r="C501" s="30"/>
      <c r="D501" s="30"/>
      <c r="E501" s="30"/>
      <c r="F501" s="30"/>
      <c r="G501" s="30"/>
      <c r="H501" s="107" t="str">
        <f>IF(G501="","",IFERROR(VLOOKUP(G501&amp;"",'Presupuesto Base'!$A$7:$G$24,2,FALSE),"Ítem no encontrado"))</f>
        <v/>
      </c>
      <c r="I501" s="107" t="str">
        <f>IF(G501="","",IFERROR(VLOOKUP(G501&amp;"",'Presupuesto Base'!$A$7:$G$24,3,FALSE),""))</f>
        <v/>
      </c>
      <c r="J501" s="30"/>
      <c r="K501" s="32"/>
      <c r="L501" s="108">
        <f>IF(G501="",0,IFERROR(VLOOKUP(G501&amp;"",'Presupuesto Base'!$A$7:$G$24,5,FALSE),0))</f>
        <v>0</v>
      </c>
      <c r="M501" s="108">
        <f t="shared" si="25"/>
        <v>0</v>
      </c>
      <c r="N501" s="30"/>
      <c r="O501" s="30"/>
      <c r="P501" s="33"/>
      <c r="Q501" s="97" t="str">
        <f>IFERROR(VLOOKUP(A501,'Historial Certificados'!$A$6:$E$29,5,FALSE),"")</f>
        <v/>
      </c>
      <c r="R501" s="97" t="str">
        <f t="shared" si="26"/>
        <v/>
      </c>
    </row>
    <row r="502" spans="1:18">
      <c r="A502" s="28"/>
      <c r="B502" s="29"/>
      <c r="C502" s="30"/>
      <c r="D502" s="30"/>
      <c r="E502" s="30"/>
      <c r="F502" s="30"/>
      <c r="G502" s="30"/>
      <c r="H502" s="107" t="str">
        <f>IF(G502="","",IFERROR(VLOOKUP(G502&amp;"",'Presupuesto Base'!$A$7:$G$24,2,FALSE),"Ítem no encontrado"))</f>
        <v/>
      </c>
      <c r="I502" s="107" t="str">
        <f>IF(G502="","",IFERROR(VLOOKUP(G502&amp;"",'Presupuesto Base'!$A$7:$G$24,3,FALSE),""))</f>
        <v/>
      </c>
      <c r="J502" s="30"/>
      <c r="K502" s="32"/>
      <c r="L502" s="108">
        <f>IF(G502="",0,IFERROR(VLOOKUP(G502&amp;"",'Presupuesto Base'!$A$7:$G$24,5,FALSE),0))</f>
        <v>0</v>
      </c>
      <c r="M502" s="108">
        <f t="shared" si="25"/>
        <v>0</v>
      </c>
      <c r="N502" s="30"/>
      <c r="O502" s="30"/>
      <c r="P502" s="33"/>
      <c r="Q502" s="97" t="str">
        <f>IFERROR(VLOOKUP(A502,'Historial Certificados'!$A$6:$E$29,5,FALSE),"")</f>
        <v/>
      </c>
      <c r="R502" s="97" t="str">
        <f t="shared" si="26"/>
        <v/>
      </c>
    </row>
    <row r="503" spans="1:18">
      <c r="A503" s="28"/>
      <c r="B503" s="29"/>
      <c r="C503" s="30"/>
      <c r="D503" s="30"/>
      <c r="E503" s="30"/>
      <c r="F503" s="30"/>
      <c r="G503" s="30"/>
      <c r="H503" s="107" t="str">
        <f>IF(G503="","",IFERROR(VLOOKUP(G503&amp;"",'Presupuesto Base'!$A$7:$G$24,2,FALSE),"Ítem no encontrado"))</f>
        <v/>
      </c>
      <c r="I503" s="107" t="str">
        <f>IF(G503="","",IFERROR(VLOOKUP(G503&amp;"",'Presupuesto Base'!$A$7:$G$24,3,FALSE),""))</f>
        <v/>
      </c>
      <c r="J503" s="30"/>
      <c r="K503" s="32"/>
      <c r="L503" s="108">
        <f>IF(G503="",0,IFERROR(VLOOKUP(G503&amp;"",'Presupuesto Base'!$A$7:$G$24,5,FALSE),0))</f>
        <v>0</v>
      </c>
      <c r="M503" s="108">
        <f t="shared" si="25"/>
        <v>0</v>
      </c>
      <c r="N503" s="30"/>
      <c r="O503" s="30"/>
      <c r="P503" s="33"/>
      <c r="Q503" s="97" t="str">
        <f>IFERROR(VLOOKUP(A503,'Historial Certificados'!$A$6:$E$29,5,FALSE),"")</f>
        <v/>
      </c>
      <c r="R503" s="97" t="str">
        <f t="shared" si="26"/>
        <v/>
      </c>
    </row>
    <row r="504" spans="1:18">
      <c r="A504" s="28"/>
      <c r="B504" s="29"/>
      <c r="C504" s="30"/>
      <c r="D504" s="30"/>
      <c r="E504" s="30"/>
      <c r="F504" s="30"/>
      <c r="G504" s="30"/>
      <c r="H504" s="107" t="str">
        <f>IF(G504="","",IFERROR(VLOOKUP(G504&amp;"",'Presupuesto Base'!$A$7:$G$24,2,FALSE),"Ítem no encontrado"))</f>
        <v/>
      </c>
      <c r="I504" s="107" t="str">
        <f>IF(G504="","",IFERROR(VLOOKUP(G504&amp;"",'Presupuesto Base'!$A$7:$G$24,3,FALSE),""))</f>
        <v/>
      </c>
      <c r="J504" s="30"/>
      <c r="K504" s="32"/>
      <c r="L504" s="108">
        <f>IF(G504="",0,IFERROR(VLOOKUP(G504&amp;"",'Presupuesto Base'!$A$7:$G$24,5,FALSE),0))</f>
        <v>0</v>
      </c>
      <c r="M504" s="108">
        <f t="shared" si="25"/>
        <v>0</v>
      </c>
      <c r="N504" s="30"/>
      <c r="O504" s="30"/>
      <c r="P504" s="33"/>
      <c r="Q504" s="97" t="str">
        <f>IFERROR(VLOOKUP(A504,'Historial Certificados'!$A$6:$E$29,5,FALSE),"")</f>
        <v/>
      </c>
      <c r="R504" s="97" t="str">
        <f t="shared" si="26"/>
        <v/>
      </c>
    </row>
    <row r="505" spans="1:18">
      <c r="A505" s="28"/>
      <c r="B505" s="29"/>
      <c r="C505" s="30"/>
      <c r="D505" s="30"/>
      <c r="E505" s="30"/>
      <c r="F505" s="30"/>
      <c r="G505" s="30"/>
      <c r="H505" s="107" t="str">
        <f>IF(G505="","",IFERROR(VLOOKUP(G505&amp;"",'Presupuesto Base'!$A$7:$G$24,2,FALSE),"Ítem no encontrado"))</f>
        <v/>
      </c>
      <c r="I505" s="107" t="str">
        <f>IF(G505="","",IFERROR(VLOOKUP(G505&amp;"",'Presupuesto Base'!$A$7:$G$24,3,FALSE),""))</f>
        <v/>
      </c>
      <c r="J505" s="30"/>
      <c r="K505" s="32"/>
      <c r="L505" s="108">
        <f>IF(G505="",0,IFERROR(VLOOKUP(G505&amp;"",'Presupuesto Base'!$A$7:$G$24,5,FALSE),0))</f>
        <v>0</v>
      </c>
      <c r="M505" s="108">
        <f t="shared" si="25"/>
        <v>0</v>
      </c>
      <c r="N505" s="30"/>
      <c r="O505" s="30"/>
      <c r="P505" s="33"/>
      <c r="Q505" s="97" t="str">
        <f>IFERROR(VLOOKUP(A505,'Historial Certificados'!$A$6:$E$29,5,FALSE),"")</f>
        <v/>
      </c>
      <c r="R505" s="97" t="str">
        <f t="shared" si="26"/>
        <v/>
      </c>
    </row>
    <row r="506" spans="1:18">
      <c r="A506" s="28"/>
      <c r="B506" s="29"/>
      <c r="C506" s="30"/>
      <c r="D506" s="30"/>
      <c r="E506" s="30"/>
      <c r="F506" s="30"/>
      <c r="G506" s="30"/>
      <c r="H506" s="107" t="str">
        <f>IF(G506="","",IFERROR(VLOOKUP(G506&amp;"",'Presupuesto Base'!$A$7:$G$24,2,FALSE),"Ítem no encontrado"))</f>
        <v/>
      </c>
      <c r="I506" s="107" t="str">
        <f>IF(G506="","",IFERROR(VLOOKUP(G506&amp;"",'Presupuesto Base'!$A$7:$G$24,3,FALSE),""))</f>
        <v/>
      </c>
      <c r="J506" s="30"/>
      <c r="K506" s="32"/>
      <c r="L506" s="108">
        <f>IF(G506="",0,IFERROR(VLOOKUP(G506&amp;"",'Presupuesto Base'!$A$7:$G$24,5,FALSE),0))</f>
        <v>0</v>
      </c>
      <c r="M506" s="108">
        <f t="shared" si="25"/>
        <v>0</v>
      </c>
      <c r="N506" s="30"/>
      <c r="O506" s="30"/>
      <c r="P506" s="33"/>
      <c r="Q506" s="97" t="str">
        <f>IFERROR(VLOOKUP(A506,'Historial Certificados'!$A$6:$E$29,5,FALSE),"")</f>
        <v/>
      </c>
      <c r="R506" s="97" t="str">
        <f t="shared" si="26"/>
        <v/>
      </c>
    </row>
    <row r="507" spans="1:18">
      <c r="A507" s="28"/>
      <c r="B507" s="29"/>
      <c r="C507" s="30"/>
      <c r="D507" s="30"/>
      <c r="E507" s="30"/>
      <c r="F507" s="30"/>
      <c r="G507" s="30"/>
      <c r="H507" s="107" t="str">
        <f>IF(G507="","",IFERROR(VLOOKUP(G507&amp;"",'Presupuesto Base'!$A$7:$G$24,2,FALSE),"Ítem no encontrado"))</f>
        <v/>
      </c>
      <c r="I507" s="107" t="str">
        <f>IF(G507="","",IFERROR(VLOOKUP(G507&amp;"",'Presupuesto Base'!$A$7:$G$24,3,FALSE),""))</f>
        <v/>
      </c>
      <c r="J507" s="30"/>
      <c r="K507" s="32"/>
      <c r="L507" s="108">
        <f>IF(G507="",0,IFERROR(VLOOKUP(G507&amp;"",'Presupuesto Base'!$A$7:$G$24,5,FALSE),0))</f>
        <v>0</v>
      </c>
      <c r="M507" s="108">
        <f t="shared" si="25"/>
        <v>0</v>
      </c>
      <c r="N507" s="30"/>
      <c r="O507" s="30"/>
      <c r="P507" s="33"/>
      <c r="Q507" s="97" t="str">
        <f>IFERROR(VLOOKUP(A507,'Historial Certificados'!$A$6:$E$29,5,FALSE),"")</f>
        <v/>
      </c>
      <c r="R507" s="97" t="str">
        <f t="shared" si="26"/>
        <v/>
      </c>
    </row>
    <row r="508" spans="1:18">
      <c r="A508" s="28"/>
      <c r="B508" s="29"/>
      <c r="C508" s="30"/>
      <c r="D508" s="30"/>
      <c r="E508" s="30"/>
      <c r="F508" s="30"/>
      <c r="G508" s="30"/>
      <c r="H508" s="107" t="str">
        <f>IF(G508="","",IFERROR(VLOOKUP(G508&amp;"",'Presupuesto Base'!$A$7:$G$24,2,FALSE),"Ítem no encontrado"))</f>
        <v/>
      </c>
      <c r="I508" s="107" t="str">
        <f>IF(G508="","",IFERROR(VLOOKUP(G508&amp;"",'Presupuesto Base'!$A$7:$G$24,3,FALSE),""))</f>
        <v/>
      </c>
      <c r="J508" s="30"/>
      <c r="K508" s="32"/>
      <c r="L508" s="108">
        <f>IF(G508="",0,IFERROR(VLOOKUP(G508&amp;"",'Presupuesto Base'!$A$7:$G$24,5,FALSE),0))</f>
        <v>0</v>
      </c>
      <c r="M508" s="108">
        <f t="shared" si="25"/>
        <v>0</v>
      </c>
      <c r="N508" s="30"/>
      <c r="O508" s="30"/>
      <c r="P508" s="33"/>
      <c r="Q508" s="97" t="str">
        <f>IFERROR(VLOOKUP(A508,'Historial Certificados'!$A$6:$E$29,5,FALSE),"")</f>
        <v/>
      </c>
      <c r="R508" s="97" t="str">
        <f t="shared" si="26"/>
        <v/>
      </c>
    </row>
    <row r="509" spans="1:18">
      <c r="A509" s="28"/>
      <c r="B509" s="29"/>
      <c r="C509" s="30"/>
      <c r="D509" s="30"/>
      <c r="E509" s="30"/>
      <c r="F509" s="30"/>
      <c r="G509" s="30"/>
      <c r="H509" s="107" t="str">
        <f>IF(G509="","",IFERROR(VLOOKUP(G509&amp;"",'Presupuesto Base'!$A$7:$G$24,2,FALSE),"Ítem no encontrado"))</f>
        <v/>
      </c>
      <c r="I509" s="107" t="str">
        <f>IF(G509="","",IFERROR(VLOOKUP(G509&amp;"",'Presupuesto Base'!$A$7:$G$24,3,FALSE),""))</f>
        <v/>
      </c>
      <c r="J509" s="30"/>
      <c r="K509" s="32"/>
      <c r="L509" s="108">
        <f>IF(G509="",0,IFERROR(VLOOKUP(G509&amp;"",'Presupuesto Base'!$A$7:$G$24,5,FALSE),0))</f>
        <v>0</v>
      </c>
      <c r="M509" s="108">
        <f t="shared" si="25"/>
        <v>0</v>
      </c>
      <c r="N509" s="30"/>
      <c r="O509" s="30"/>
      <c r="P509" s="33"/>
      <c r="Q509" s="97" t="str">
        <f>IFERROR(VLOOKUP(A509,'Historial Certificados'!$A$6:$E$29,5,FALSE),"")</f>
        <v/>
      </c>
      <c r="R509" s="97" t="str">
        <f t="shared" si="26"/>
        <v/>
      </c>
    </row>
    <row r="510" spans="1:18">
      <c r="A510" s="28"/>
      <c r="B510" s="29"/>
      <c r="C510" s="30"/>
      <c r="D510" s="30"/>
      <c r="E510" s="30"/>
      <c r="F510" s="30"/>
      <c r="G510" s="30"/>
      <c r="H510" s="107" t="str">
        <f>IF(G510="","",IFERROR(VLOOKUP(G510&amp;"",'Presupuesto Base'!$A$7:$G$24,2,FALSE),"Ítem no encontrado"))</f>
        <v/>
      </c>
      <c r="I510" s="107" t="str">
        <f>IF(G510="","",IFERROR(VLOOKUP(G510&amp;"",'Presupuesto Base'!$A$7:$G$24,3,FALSE),""))</f>
        <v/>
      </c>
      <c r="J510" s="30"/>
      <c r="K510" s="32"/>
      <c r="L510" s="108">
        <f>IF(G510="",0,IFERROR(VLOOKUP(G510&amp;"",'Presupuesto Base'!$A$7:$G$24,5,FALSE),0))</f>
        <v>0</v>
      </c>
      <c r="M510" s="108">
        <f t="shared" si="25"/>
        <v>0</v>
      </c>
      <c r="N510" s="30"/>
      <c r="O510" s="30"/>
      <c r="P510" s="33"/>
      <c r="Q510" s="97" t="str">
        <f>IFERROR(VLOOKUP(A510,'Historial Certificados'!$A$6:$E$29,5,FALSE),"")</f>
        <v/>
      </c>
      <c r="R510" s="97" t="str">
        <f t="shared" si="26"/>
        <v/>
      </c>
    </row>
    <row r="511" spans="1:18">
      <c r="A511" s="34"/>
      <c r="B511" s="35"/>
      <c r="C511" s="36"/>
      <c r="D511" s="36"/>
      <c r="E511" s="36"/>
      <c r="F511" s="36"/>
      <c r="G511" s="36"/>
      <c r="H511" s="107" t="str">
        <f>IF(G511="","",IFERROR(VLOOKUP(G511&amp;"",'Presupuesto Base'!$A$7:$G$24,2,FALSE),"Ítem no encontrado"))</f>
        <v/>
      </c>
      <c r="I511" s="107" t="str">
        <f>IF(G511="","",IFERROR(VLOOKUP(G511&amp;"",'Presupuesto Base'!$A$7:$G$24,3,FALSE),""))</f>
        <v/>
      </c>
      <c r="J511" s="36"/>
      <c r="K511" s="38"/>
      <c r="L511" s="108">
        <f>IF(G511="",0,IFERROR(VLOOKUP(G511&amp;"",'Presupuesto Base'!$A$7:$G$24,5,FALSE),0))</f>
        <v>0</v>
      </c>
      <c r="M511" s="108">
        <f t="shared" si="25"/>
        <v>0</v>
      </c>
      <c r="N511" s="36"/>
      <c r="O511" s="36"/>
      <c r="P511" s="39"/>
      <c r="Q511" s="97" t="str">
        <f>IFERROR(VLOOKUP(A511,'Historial Certificados'!$A$6:$E$29,5,FALSE),"")</f>
        <v/>
      </c>
      <c r="R511" s="97" t="str">
        <f t="shared" si="26"/>
        <v/>
      </c>
    </row>
  </sheetData>
  <autoFilter ref="A5:R511" xr:uid="{00000000-0001-0000-0300-000000000000}"/>
  <mergeCells count="2">
    <mergeCell ref="A1:P2"/>
    <mergeCell ref="A3:R3"/>
  </mergeCells>
  <conditionalFormatting sqref="A6:R511">
    <cfRule type="expression" dxfId="8" priority="3">
      <formula>$Q6="CERRADO"</formula>
    </cfRule>
  </conditionalFormatting>
  <conditionalFormatting sqref="K6:K511">
    <cfRule type="cellIs" dxfId="7" priority="1" operator="lessThan">
      <formula>0</formula>
    </cfRule>
    <cfRule type="expression" dxfId="6" priority="2">
      <formula>AND(LEFT($G6,2)="13",$K6&gt;1)</formula>
    </cfRule>
  </conditionalFormatting>
  <conditionalFormatting sqref="R6:R511">
    <cfRule type="expression" dxfId="5" priority="4">
      <formula>$R6="CERTIFICADO CERRADO - NO MODIFICAR"</formula>
    </cfRule>
  </conditionalFormatting>
  <dataValidations count="3">
    <dataValidation type="list" sqref="G6:G511" xr:uid="{00000000-0002-0000-0300-000000000000}">
      <formula1>"1,2,3,4,5.1,5.2,6,7,8,9,10.1,10.2,11.1,11.2,12,13.1,13.2,13.3"</formula1>
    </dataValidation>
    <dataValidation type="list" sqref="N6:N511" xr:uid="{00000000-0002-0000-0300-000001000000}">
      <formula1>"No solicitado,Pendiente,Solicitado,Observado,Aprobado"</formula1>
    </dataValidation>
    <dataValidation type="list" sqref="A6:A511" xr:uid="{00000000-0002-0000-0300-000002000000}">
      <formula1>"1,2,3,4,5,6,7,8,9,10,11,12,13,14,15,16,17,18,19,20,21,22,23,24"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6"/>
  <sheetViews>
    <sheetView topLeftCell="A8" zoomScale="145" zoomScaleNormal="145" workbookViewId="0">
      <selection activeCell="B30" sqref="B30"/>
    </sheetView>
  </sheetViews>
  <sheetFormatPr baseColWidth="10" defaultColWidth="8.796875" defaultRowHeight="13.8"/>
  <cols>
    <col min="1" max="1" width="12" customWidth="1"/>
    <col min="2" max="2" width="38" customWidth="1"/>
    <col min="3" max="3" width="7" customWidth="1"/>
    <col min="4" max="4" width="16" customWidth="1"/>
    <col min="5" max="6" width="18" customWidth="1"/>
    <col min="7" max="9" width="14" customWidth="1"/>
    <col min="10" max="10" width="17" customWidth="1"/>
    <col min="11" max="11" width="12" customWidth="1"/>
    <col min="12" max="13" width="13" bestFit="1" customWidth="1"/>
    <col min="14" max="15" width="16" customWidth="1"/>
  </cols>
  <sheetData>
    <row r="1" spans="1:15">
      <c r="A1" s="143" t="s">
        <v>160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</row>
    <row r="4" spans="1:15" ht="19.2" customHeight="1">
      <c r="A4" s="2" t="s">
        <v>161</v>
      </c>
      <c r="B4" s="3">
        <v>1</v>
      </c>
      <c r="D4" s="2" t="s">
        <v>36</v>
      </c>
      <c r="E4" s="150" t="str">
        <f>Configuracion!B5</f>
        <v>Red Distribuidora de Agua Potable – Loteo Roque</v>
      </c>
      <c r="F4" s="151"/>
      <c r="G4" s="151"/>
      <c r="H4" s="152" t="s">
        <v>141</v>
      </c>
      <c r="I4" s="97">
        <f>IFERROR(VLOOKUP($B$4,'Historial Certificados'!$A$6:$O$29,5,FALSE),"")</f>
        <v>0</v>
      </c>
    </row>
    <row r="5" spans="1:15" ht="19.2" customHeight="1">
      <c r="A5" s="2" t="s">
        <v>162</v>
      </c>
      <c r="B5" s="6">
        <f>IFERROR(VLOOKUP($B$4,'Historial Certificados'!$A$6:$O$29,2,FALSE),"")</f>
        <v>0</v>
      </c>
      <c r="D5" s="2" t="s">
        <v>46</v>
      </c>
      <c r="E5" s="150" t="str">
        <f>Configuracion!B7</f>
        <v>VALDIVIESO GROUP S.R.L.</v>
      </c>
      <c r="F5" s="151"/>
      <c r="G5" s="151"/>
      <c r="H5" s="152" t="s">
        <v>139</v>
      </c>
      <c r="I5" s="97" t="str">
        <f>IFERROR(VLOOKUP($B$4,'Historial Certificados'!$A$6:$O$29,14,FALSE),"")</f>
        <v>OK</v>
      </c>
    </row>
    <row r="6" spans="1:15" ht="19.2" customHeight="1">
      <c r="A6" s="2" t="s">
        <v>163</v>
      </c>
      <c r="B6" s="6">
        <f>IFERROR(VLOOKUP($B$4,'Historial Certificados'!$A$6:$O$29,3,FALSE),"")</f>
        <v>0</v>
      </c>
      <c r="D6" s="2" t="s">
        <v>51</v>
      </c>
      <c r="E6" s="150" t="str">
        <f>Configuracion!B8</f>
        <v>ECAR SAS</v>
      </c>
      <c r="F6" s="151"/>
      <c r="G6" s="151"/>
      <c r="H6" s="152" t="s">
        <v>164</v>
      </c>
      <c r="I6" s="97">
        <f>IFERROR(VLOOKUP($B$4,'Historial Certificados'!$A$6:$O$29,6,FALSE),0)</f>
        <v>72</v>
      </c>
    </row>
    <row r="7" spans="1:15" ht="19.2" customHeight="1">
      <c r="A7" s="2" t="s">
        <v>165</v>
      </c>
      <c r="B7" s="6">
        <f>IFERROR(VLOOKUP($B$4,'Historial Certificados'!$A$6:$O$29,4,FALSE),"")</f>
        <v>0</v>
      </c>
      <c r="D7" s="2" t="s">
        <v>166</v>
      </c>
      <c r="E7" s="153" t="s">
        <v>8</v>
      </c>
      <c r="F7" s="151">
        <f>Configuracion!B18</f>
        <v>114600550.96418734</v>
      </c>
      <c r="G7" s="151"/>
      <c r="H7" s="151"/>
    </row>
    <row r="9" spans="1:15" ht="28.8">
      <c r="A9" s="8" t="s">
        <v>93</v>
      </c>
      <c r="B9" s="9" t="s">
        <v>35</v>
      </c>
      <c r="C9" s="9" t="s">
        <v>167</v>
      </c>
      <c r="D9" s="9" t="s">
        <v>168</v>
      </c>
      <c r="E9" s="9" t="s">
        <v>153</v>
      </c>
      <c r="F9" s="9" t="s">
        <v>169</v>
      </c>
      <c r="G9" s="9" t="s">
        <v>170</v>
      </c>
      <c r="H9" s="9" t="s">
        <v>171</v>
      </c>
      <c r="I9" s="9" t="s">
        <v>172</v>
      </c>
      <c r="J9" s="9" t="s">
        <v>173</v>
      </c>
      <c r="K9" s="9" t="s">
        <v>174</v>
      </c>
      <c r="L9" s="9" t="s">
        <v>175</v>
      </c>
      <c r="M9" s="9" t="s">
        <v>176</v>
      </c>
      <c r="N9" s="9" t="s">
        <v>177</v>
      </c>
      <c r="O9" s="10" t="s">
        <v>139</v>
      </c>
    </row>
    <row r="10" spans="1:15">
      <c r="A10" s="22" t="str">
        <f>'Presupuesto Base'!A7</f>
        <v>1</v>
      </c>
      <c r="B10" s="23" t="str">
        <f>'Presupuesto Base'!B7</f>
        <v>Replanteo y marcación de traza</v>
      </c>
      <c r="C10" s="23" t="str">
        <f>'Presupuesto Base'!C7</f>
        <v>ml</v>
      </c>
      <c r="D10" s="41">
        <f>'Presupuesto Base'!D7</f>
        <v>4200</v>
      </c>
      <c r="E10" s="69">
        <f>'Presupuesto Base'!E7</f>
        <v>204.64384100747739</v>
      </c>
      <c r="F10" s="69">
        <f>'Presupuesto Base'!F7</f>
        <v>859504.132231405</v>
      </c>
      <c r="G10" s="41">
        <f>SUMIFS(Medicion!$K$6:$K$511,Medicion!$G$6:$G$511,$A10,Medicion!$A$6:$A$511,"&lt;"&amp;$B$4)</f>
        <v>0</v>
      </c>
      <c r="H10" s="41">
        <f>SUMIFS(Medicion!$K$6:$K$511,Medicion!$G$6:$G$511,$A10,Medicion!$A$6:$A$511,$B$4)</f>
        <v>845</v>
      </c>
      <c r="I10" s="41">
        <f t="shared" ref="I10:I27" si="0">MIN(D10,G10+H10)</f>
        <v>845</v>
      </c>
      <c r="J10" s="72">
        <f t="shared" ref="J10:J27" si="1">IFERROR(I10/D10,0)</f>
        <v>0.2011904761904762</v>
      </c>
      <c r="K10" s="69">
        <f t="shared" ref="K10:K27" si="2">MIN(F10,G10*E10)</f>
        <v>0</v>
      </c>
      <c r="L10" s="69">
        <f t="shared" ref="L10:L27" si="3">MIN(F10-K10,H10*E10)</f>
        <v>172924.04565131839</v>
      </c>
      <c r="M10" s="69">
        <f t="shared" ref="M10:M27" si="4">K10+L10</f>
        <v>172924.04565131839</v>
      </c>
      <c r="N10" s="69">
        <f t="shared" ref="N10:N27" si="5">MAX(0,F10-M10)</f>
        <v>686580.08658008662</v>
      </c>
      <c r="O10" s="119" t="str">
        <f t="shared" ref="O10:O27" si="6">IF(OR(G10+H10&gt;D10+0.000001,G10&lt;0,H10&lt;0),"REVISAR","OK")</f>
        <v>OK</v>
      </c>
    </row>
    <row r="11" spans="1:15">
      <c r="A11" s="22" t="str">
        <f>'Presupuesto Base'!A8</f>
        <v>2</v>
      </c>
      <c r="B11" s="23" t="str">
        <f>'Presupuesto Base'!B8</f>
        <v>Excavación de zanja</v>
      </c>
      <c r="C11" s="23" t="str">
        <f>'Presupuesto Base'!C8</f>
        <v>ml</v>
      </c>
      <c r="D11" s="41">
        <f>'Presupuesto Base'!D8</f>
        <v>4200</v>
      </c>
      <c r="E11" s="69">
        <f>'Presupuesto Base'!E8</f>
        <v>3683.5891381345932</v>
      </c>
      <c r="F11" s="69">
        <f>'Presupuesto Base'!F8</f>
        <v>15471074.380165292</v>
      </c>
      <c r="G11" s="41">
        <f>SUMIFS(Medicion!$K$6:$K$511,Medicion!$G$6:$G$511,$A11,Medicion!$A$6:$A$511,"&lt;"&amp;$B$4)</f>
        <v>0</v>
      </c>
      <c r="H11" s="41">
        <f>SUMIFS(Medicion!$K$6:$K$511,Medicion!$G$6:$G$511,$A11,Medicion!$A$6:$A$511,$B$4)</f>
        <v>845</v>
      </c>
      <c r="I11" s="41">
        <f t="shared" si="0"/>
        <v>845</v>
      </c>
      <c r="J11" s="72">
        <f t="shared" si="1"/>
        <v>0.2011904761904762</v>
      </c>
      <c r="K11" s="69">
        <f t="shared" si="2"/>
        <v>0</v>
      </c>
      <c r="L11" s="69">
        <f t="shared" si="3"/>
        <v>3112632.8217237312</v>
      </c>
      <c r="M11" s="69">
        <f t="shared" si="4"/>
        <v>3112632.8217237312</v>
      </c>
      <c r="N11" s="69">
        <f t="shared" si="5"/>
        <v>12358441.558441561</v>
      </c>
      <c r="O11" s="119" t="str">
        <f t="shared" si="6"/>
        <v>OK</v>
      </c>
    </row>
    <row r="12" spans="1:15">
      <c r="A12" s="22" t="str">
        <f>'Presupuesto Base'!A9</f>
        <v>3</v>
      </c>
      <c r="B12" s="23" t="str">
        <f>'Presupuesto Base'!B9</f>
        <v>Nivelación y conformación del fondo de zanja</v>
      </c>
      <c r="C12" s="23" t="str">
        <f>'Presupuesto Base'!C9</f>
        <v>ml</v>
      </c>
      <c r="D12" s="41">
        <f>'Presupuesto Base'!D9</f>
        <v>4200</v>
      </c>
      <c r="E12" s="69">
        <f>'Presupuesto Base'!E9</f>
        <v>477.50229568411396</v>
      </c>
      <c r="F12" s="69">
        <f>'Presupuesto Base'!F9</f>
        <v>2005509.6418732787</v>
      </c>
      <c r="G12" s="41">
        <f>SUMIFS(Medicion!$K$6:$K$511,Medicion!$G$6:$G$511,$A12,Medicion!$A$6:$A$511,"&lt;"&amp;$B$4)</f>
        <v>0</v>
      </c>
      <c r="H12" s="41">
        <f>SUMIFS(Medicion!$K$6:$K$511,Medicion!$G$6:$G$511,$A12,Medicion!$A$6:$A$511,$B$4)</f>
        <v>845</v>
      </c>
      <c r="I12" s="41">
        <f t="shared" si="0"/>
        <v>845</v>
      </c>
      <c r="J12" s="72">
        <f t="shared" si="1"/>
        <v>0.2011904761904762</v>
      </c>
      <c r="K12" s="69">
        <f t="shared" si="2"/>
        <v>0</v>
      </c>
      <c r="L12" s="69">
        <f t="shared" si="3"/>
        <v>403489.4398530763</v>
      </c>
      <c r="M12" s="69">
        <f t="shared" si="4"/>
        <v>403489.4398530763</v>
      </c>
      <c r="N12" s="69">
        <f t="shared" si="5"/>
        <v>1602020.2020202023</v>
      </c>
      <c r="O12" s="119" t="str">
        <f t="shared" si="6"/>
        <v>OK</v>
      </c>
    </row>
    <row r="13" spans="1:15">
      <c r="A13" s="22" t="str">
        <f>'Presupuesto Base'!A10</f>
        <v>4</v>
      </c>
      <c r="B13" s="23" t="str">
        <f>'Presupuesto Base'!B10</f>
        <v>Cama de asiento compactada</v>
      </c>
      <c r="C13" s="23" t="str">
        <f>'Presupuesto Base'!C10</f>
        <v>ml</v>
      </c>
      <c r="D13" s="41">
        <f>'Presupuesto Base'!D10</f>
        <v>4200</v>
      </c>
      <c r="E13" s="69">
        <f>'Presupuesto Base'!E10</f>
        <v>1705.3653417289784</v>
      </c>
      <c r="F13" s="69">
        <f>'Presupuesto Base'!F10</f>
        <v>7162534.4352617087</v>
      </c>
      <c r="G13" s="41">
        <f>SUMIFS(Medicion!$K$6:$K$511,Medicion!$G$6:$G$511,$A13,Medicion!$A$6:$A$511,"&lt;"&amp;$B$4)</f>
        <v>0</v>
      </c>
      <c r="H13" s="41">
        <f>SUMIFS(Medicion!$K$6:$K$511,Medicion!$G$6:$G$511,$A13,Medicion!$A$6:$A$511,$B$4)</f>
        <v>845</v>
      </c>
      <c r="I13" s="41">
        <f t="shared" si="0"/>
        <v>845</v>
      </c>
      <c r="J13" s="72">
        <f t="shared" si="1"/>
        <v>0.2011904761904762</v>
      </c>
      <c r="K13" s="69">
        <f t="shared" si="2"/>
        <v>0</v>
      </c>
      <c r="L13" s="69">
        <f t="shared" si="3"/>
        <v>1441033.7137609867</v>
      </c>
      <c r="M13" s="69">
        <f t="shared" si="4"/>
        <v>1441033.7137609867</v>
      </c>
      <c r="N13" s="69">
        <f t="shared" si="5"/>
        <v>5721500.7215007218</v>
      </c>
      <c r="O13" s="119" t="str">
        <f t="shared" si="6"/>
        <v>OK</v>
      </c>
    </row>
    <row r="14" spans="1:15">
      <c r="A14" s="22" t="str">
        <f>'Presupuesto Base'!A11</f>
        <v>5.1</v>
      </c>
      <c r="B14" s="23" t="str">
        <f>'Presupuesto Base'!B11</f>
        <v>PEAD PN10 Ø75 – provisión e instalación</v>
      </c>
      <c r="C14" s="23" t="str">
        <f>'Presupuesto Base'!C11</f>
        <v>ml</v>
      </c>
      <c r="D14" s="41">
        <f>'Presupuesto Base'!D11</f>
        <v>3170</v>
      </c>
      <c r="E14" s="69">
        <f>'Presupuesto Base'!E11</f>
        <v>5784.2549382555126</v>
      </c>
      <c r="F14" s="69">
        <f>'Presupuesto Base'!F11</f>
        <v>18336088.154269975</v>
      </c>
      <c r="G14" s="41">
        <f>SUMIFS(Medicion!$K$6:$K$511,Medicion!$G$6:$G$511,$A14,Medicion!$A$6:$A$511,"&lt;"&amp;$B$4)</f>
        <v>0</v>
      </c>
      <c r="H14" s="41">
        <f>SUMIFS(Medicion!$K$6:$K$511,Medicion!$G$6:$G$511,$A14,Medicion!$A$6:$A$511,$B$4)</f>
        <v>558</v>
      </c>
      <c r="I14" s="41">
        <f t="shared" si="0"/>
        <v>558</v>
      </c>
      <c r="J14" s="72">
        <f t="shared" si="1"/>
        <v>0.17602523659305994</v>
      </c>
      <c r="K14" s="69">
        <f t="shared" si="2"/>
        <v>0</v>
      </c>
      <c r="L14" s="69">
        <f t="shared" si="3"/>
        <v>3227614.2555465759</v>
      </c>
      <c r="M14" s="69">
        <f t="shared" si="4"/>
        <v>3227614.2555465759</v>
      </c>
      <c r="N14" s="69">
        <f t="shared" si="5"/>
        <v>15108473.898723399</v>
      </c>
      <c r="O14" s="119" t="str">
        <f t="shared" si="6"/>
        <v>OK</v>
      </c>
    </row>
    <row r="15" spans="1:15">
      <c r="A15" s="22" t="str">
        <f>'Presupuesto Base'!A12</f>
        <v>5.2</v>
      </c>
      <c r="B15" s="23" t="str">
        <f>'Presupuesto Base'!B12</f>
        <v>PEAD PN10 Ø110 – provisión e instalación</v>
      </c>
      <c r="C15" s="23" t="str">
        <f>'Presupuesto Base'!C12</f>
        <v>ml</v>
      </c>
      <c r="D15" s="41">
        <f>'Presupuesto Base'!D12</f>
        <v>1030</v>
      </c>
      <c r="E15" s="69">
        <f>'Presupuesto Base'!E12</f>
        <v>12238.893792291852</v>
      </c>
      <c r="F15" s="69">
        <f>'Presupuesto Base'!F12</f>
        <v>12606060.606060607</v>
      </c>
      <c r="G15" s="41">
        <f>SUMIFS(Medicion!$K$6:$K$511,Medicion!$G$6:$G$511,$A15,Medicion!$A$6:$A$511,"&lt;"&amp;$B$4)</f>
        <v>0</v>
      </c>
      <c r="H15" s="41">
        <f>SUMIFS(Medicion!$K$6:$K$511,Medicion!$G$6:$G$511,$A15,Medicion!$A$6:$A$511,$B$4)</f>
        <v>287</v>
      </c>
      <c r="I15" s="41">
        <f t="shared" si="0"/>
        <v>287</v>
      </c>
      <c r="J15" s="72">
        <f t="shared" si="1"/>
        <v>0.27864077669902915</v>
      </c>
      <c r="K15" s="69">
        <f t="shared" si="2"/>
        <v>0</v>
      </c>
      <c r="L15" s="69">
        <f t="shared" si="3"/>
        <v>3512562.5183877614</v>
      </c>
      <c r="M15" s="69">
        <f t="shared" si="4"/>
        <v>3512562.5183877614</v>
      </c>
      <c r="N15" s="69">
        <f t="shared" si="5"/>
        <v>9093498.0876728464</v>
      </c>
      <c r="O15" s="119" t="str">
        <f t="shared" si="6"/>
        <v>OK</v>
      </c>
    </row>
    <row r="16" spans="1:15">
      <c r="A16" s="22" t="str">
        <f>'Presupuesto Base'!A13</f>
        <v>6</v>
      </c>
      <c r="B16" s="23" t="str">
        <f>'Presupuesto Base'!B13</f>
        <v>Ejecución de paquete estructural de 30 cm</v>
      </c>
      <c r="C16" s="23" t="str">
        <f>'Presupuesto Base'!C13</f>
        <v>ml</v>
      </c>
      <c r="D16" s="41">
        <f>'Presupuesto Base'!D13</f>
        <v>4200</v>
      </c>
      <c r="E16" s="69">
        <f>'Presupuesto Base'!E13</f>
        <v>3274.3014561196383</v>
      </c>
      <c r="F16" s="69">
        <f>'Presupuesto Base'!F13</f>
        <v>13752066.11570248</v>
      </c>
      <c r="G16" s="41">
        <f>SUMIFS(Medicion!$K$6:$K$511,Medicion!$G$6:$G$511,$A16,Medicion!$A$6:$A$511,"&lt;"&amp;$B$4)</f>
        <v>0</v>
      </c>
      <c r="H16" s="41">
        <f>SUMIFS(Medicion!$K$6:$K$511,Medicion!$G$6:$G$511,$A16,Medicion!$A$6:$A$511,$B$4)</f>
        <v>763</v>
      </c>
      <c r="I16" s="41">
        <f t="shared" si="0"/>
        <v>763</v>
      </c>
      <c r="J16" s="72">
        <f t="shared" si="1"/>
        <v>0.18166666666666667</v>
      </c>
      <c r="K16" s="69">
        <f t="shared" si="2"/>
        <v>0</v>
      </c>
      <c r="L16" s="69">
        <f t="shared" si="3"/>
        <v>2498292.0110192839</v>
      </c>
      <c r="M16" s="69">
        <f t="shared" si="4"/>
        <v>2498292.0110192839</v>
      </c>
      <c r="N16" s="69">
        <f t="shared" si="5"/>
        <v>11253774.104683196</v>
      </c>
      <c r="O16" s="119" t="str">
        <f t="shared" si="6"/>
        <v>OK</v>
      </c>
    </row>
    <row r="17" spans="1:15">
      <c r="A17" s="22" t="str">
        <f>'Presupuesto Base'!A14</f>
        <v>7</v>
      </c>
      <c r="B17" s="23" t="str">
        <f>'Presupuesto Base'!B14</f>
        <v>Compactación del paquete estructural de 30 cm</v>
      </c>
      <c r="C17" s="23" t="str">
        <f>'Presupuesto Base'!C14</f>
        <v>ml</v>
      </c>
      <c r="D17" s="41">
        <f>'Presupuesto Base'!D14</f>
        <v>4200</v>
      </c>
      <c r="E17" s="69">
        <f>'Presupuesto Base'!E14</f>
        <v>1227.8630460448644</v>
      </c>
      <c r="F17" s="69">
        <f>'Presupuesto Base'!F14</f>
        <v>5157024.79338843</v>
      </c>
      <c r="G17" s="41">
        <f>SUMIFS(Medicion!$K$6:$K$511,Medicion!$G$6:$G$511,$A17,Medicion!$A$6:$A$511,"&lt;"&amp;$B$4)</f>
        <v>0</v>
      </c>
      <c r="H17" s="41">
        <f>SUMIFS(Medicion!$K$6:$K$511,Medicion!$G$6:$G$511,$A17,Medicion!$A$6:$A$511,$B$4)</f>
        <v>0</v>
      </c>
      <c r="I17" s="41">
        <f t="shared" si="0"/>
        <v>0</v>
      </c>
      <c r="J17" s="72">
        <f t="shared" si="1"/>
        <v>0</v>
      </c>
      <c r="K17" s="69">
        <f t="shared" si="2"/>
        <v>0</v>
      </c>
      <c r="L17" s="69">
        <f t="shared" si="3"/>
        <v>0</v>
      </c>
      <c r="M17" s="69">
        <f t="shared" si="4"/>
        <v>0</v>
      </c>
      <c r="N17" s="69">
        <f t="shared" si="5"/>
        <v>5157024.79338843</v>
      </c>
      <c r="O17" s="119" t="str">
        <f t="shared" si="6"/>
        <v>OK</v>
      </c>
    </row>
    <row r="18" spans="1:15">
      <c r="A18" s="22" t="str">
        <f>'Presupuesto Base'!A15</f>
        <v>8</v>
      </c>
      <c r="B18" s="23" t="str">
        <f>'Presupuesto Base'!B15</f>
        <v>Ejecución y compactación de capa cota -0,60</v>
      </c>
      <c r="C18" s="23" t="str">
        <f>'Presupuesto Base'!C15</f>
        <v>ml</v>
      </c>
      <c r="D18" s="41">
        <f>'Presupuesto Base'!D15</f>
        <v>4200</v>
      </c>
      <c r="E18" s="69">
        <f>'Presupuesto Base'!E15</f>
        <v>2592.1553194280468</v>
      </c>
      <c r="F18" s="69">
        <f>'Presupuesto Base'!F15</f>
        <v>10887052.341597797</v>
      </c>
      <c r="G18" s="41">
        <f>SUMIFS(Medicion!$K$6:$K$511,Medicion!$G$6:$G$511,$A18,Medicion!$A$6:$A$511,"&lt;"&amp;$B$4)</f>
        <v>0</v>
      </c>
      <c r="H18" s="41">
        <f>SUMIFS(Medicion!$K$6:$K$511,Medicion!$G$6:$G$511,$A18,Medicion!$A$6:$A$511,$B$4)</f>
        <v>0</v>
      </c>
      <c r="I18" s="41">
        <f t="shared" si="0"/>
        <v>0</v>
      </c>
      <c r="J18" s="72">
        <f t="shared" si="1"/>
        <v>0</v>
      </c>
      <c r="K18" s="69">
        <f t="shared" si="2"/>
        <v>0</v>
      </c>
      <c r="L18" s="69">
        <f t="shared" si="3"/>
        <v>0</v>
      </c>
      <c r="M18" s="69">
        <f t="shared" si="4"/>
        <v>0</v>
      </c>
      <c r="N18" s="69">
        <f t="shared" si="5"/>
        <v>10887052.341597797</v>
      </c>
      <c r="O18" s="119" t="str">
        <f t="shared" si="6"/>
        <v>OK</v>
      </c>
    </row>
    <row r="19" spans="1:15">
      <c r="A19" s="22" t="str">
        <f>'Presupuesto Base'!A16</f>
        <v>9</v>
      </c>
      <c r="B19" s="23" t="str">
        <f>'Presupuesto Base'!B16</f>
        <v>Ejecución y compactación de capa cota -0,30</v>
      </c>
      <c r="C19" s="23" t="str">
        <f>'Presupuesto Base'!C16</f>
        <v>ml</v>
      </c>
      <c r="D19" s="41">
        <f>'Presupuesto Base'!D16</f>
        <v>4200</v>
      </c>
      <c r="E19" s="69">
        <f>'Presupuesto Base'!E16</f>
        <v>2182.8676374130923</v>
      </c>
      <c r="F19" s="69">
        <f>'Presupuesto Base'!F16</f>
        <v>9168044.0771349873</v>
      </c>
      <c r="G19" s="41">
        <f>SUMIFS(Medicion!$K$6:$K$511,Medicion!$G$6:$G$511,$A19,Medicion!$A$6:$A$511,"&lt;"&amp;$B$4)</f>
        <v>0</v>
      </c>
      <c r="H19" s="41">
        <f>SUMIFS(Medicion!$K$6:$K$511,Medicion!$G$6:$G$511,$A19,Medicion!$A$6:$A$511,$B$4)</f>
        <v>0</v>
      </c>
      <c r="I19" s="41">
        <f t="shared" si="0"/>
        <v>0</v>
      </c>
      <c r="J19" s="72">
        <f t="shared" si="1"/>
        <v>0</v>
      </c>
      <c r="K19" s="69">
        <f t="shared" si="2"/>
        <v>0</v>
      </c>
      <c r="L19" s="69">
        <f t="shared" si="3"/>
        <v>0</v>
      </c>
      <c r="M19" s="69">
        <f t="shared" si="4"/>
        <v>0</v>
      </c>
      <c r="N19" s="69">
        <f t="shared" si="5"/>
        <v>9168044.0771349873</v>
      </c>
      <c r="O19" s="119" t="str">
        <f t="shared" si="6"/>
        <v>OK</v>
      </c>
    </row>
    <row r="20" spans="1:15">
      <c r="A20" s="22" t="str">
        <f>'Presupuesto Base'!A17</f>
        <v>10.1</v>
      </c>
      <c r="B20" s="23" t="str">
        <f>'Presupuesto Base'!B17</f>
        <v>Conexión domiciliaria sobre red Ø75</v>
      </c>
      <c r="C20" s="23" t="str">
        <f>'Presupuesto Base'!C17</f>
        <v>un</v>
      </c>
      <c r="D20" s="41">
        <f>'Presupuesto Base'!D17</f>
        <v>165</v>
      </c>
      <c r="E20" s="69">
        <f>'Presupuesto Base'!E17</f>
        <v>48618.415560564332</v>
      </c>
      <c r="F20" s="69">
        <f>'Presupuesto Base'!F17</f>
        <v>8022038.5674931146</v>
      </c>
      <c r="G20" s="41">
        <f>SUMIFS(Medicion!$K$6:$K$511,Medicion!$G$6:$G$511,$A20,Medicion!$A$6:$A$511,"&lt;"&amp;$B$4)</f>
        <v>0</v>
      </c>
      <c r="H20" s="41">
        <f>SUMIFS(Medicion!$K$6:$K$511,Medicion!$G$6:$G$511,$A20,Medicion!$A$6:$A$511,$B$4)</f>
        <v>5</v>
      </c>
      <c r="I20" s="41">
        <f t="shared" si="0"/>
        <v>5</v>
      </c>
      <c r="J20" s="72">
        <f t="shared" si="1"/>
        <v>3.0303030303030304E-2</v>
      </c>
      <c r="K20" s="69">
        <f t="shared" si="2"/>
        <v>0</v>
      </c>
      <c r="L20" s="69">
        <f t="shared" si="3"/>
        <v>243092.07780282164</v>
      </c>
      <c r="M20" s="69">
        <f t="shared" si="4"/>
        <v>243092.07780282164</v>
      </c>
      <c r="N20" s="69">
        <f t="shared" si="5"/>
        <v>7778946.4896902926</v>
      </c>
      <c r="O20" s="119" t="str">
        <f t="shared" si="6"/>
        <v>OK</v>
      </c>
    </row>
    <row r="21" spans="1:15">
      <c r="A21" s="22" t="str">
        <f>'Presupuesto Base'!A18</f>
        <v>10.2</v>
      </c>
      <c r="B21" s="23" t="str">
        <f>'Presupuesto Base'!B18</f>
        <v>Conexión domiciliaria sobre red Ø110</v>
      </c>
      <c r="C21" s="23" t="str">
        <f>'Presupuesto Base'!C18</f>
        <v>un</v>
      </c>
      <c r="D21" s="41">
        <f>'Presupuesto Base'!D18</f>
        <v>62</v>
      </c>
      <c r="E21" s="69">
        <f>'Presupuesto Base'!E18</f>
        <v>55451.879498800321</v>
      </c>
      <c r="F21" s="69">
        <f>'Presupuesto Base'!F18</f>
        <v>3438016.52892562</v>
      </c>
      <c r="G21" s="41">
        <f>SUMIFS(Medicion!$K$6:$K$511,Medicion!$G$6:$G$511,$A21,Medicion!$A$6:$A$511,"&lt;"&amp;$B$4)</f>
        <v>0</v>
      </c>
      <c r="H21" s="41">
        <f>SUMIFS(Medicion!$K$6:$K$511,Medicion!$G$6:$G$511,$A21,Medicion!$A$6:$A$511,$B$4)</f>
        <v>2</v>
      </c>
      <c r="I21" s="41">
        <f t="shared" si="0"/>
        <v>2</v>
      </c>
      <c r="J21" s="72">
        <f t="shared" si="1"/>
        <v>3.2258064516129031E-2</v>
      </c>
      <c r="K21" s="69">
        <f t="shared" si="2"/>
        <v>0</v>
      </c>
      <c r="L21" s="69">
        <f t="shared" si="3"/>
        <v>110903.75899760064</v>
      </c>
      <c r="M21" s="69">
        <f t="shared" si="4"/>
        <v>110903.75899760064</v>
      </c>
      <c r="N21" s="69">
        <f t="shared" si="5"/>
        <v>3327112.7699280195</v>
      </c>
      <c r="O21" s="119" t="str">
        <f t="shared" si="6"/>
        <v>OK</v>
      </c>
    </row>
    <row r="22" spans="1:15">
      <c r="A22" s="22" t="str">
        <f>'Presupuesto Base'!A19</f>
        <v>11.1</v>
      </c>
      <c r="B22" s="23" t="str">
        <f>'Presupuesto Base'!B19</f>
        <v>Válvula esclusa Ø75 completa e instalada</v>
      </c>
      <c r="C22" s="23" t="str">
        <f>'Presupuesto Base'!C19</f>
        <v>un</v>
      </c>
      <c r="D22" s="41">
        <f>'Presupuesto Base'!D19</f>
        <v>2</v>
      </c>
      <c r="E22" s="69">
        <f>'Presupuesto Base'!E19</f>
        <v>286501.37741046835</v>
      </c>
      <c r="F22" s="69">
        <f>'Presupuesto Base'!F19</f>
        <v>573002.75482093671</v>
      </c>
      <c r="G22" s="41">
        <f>SUMIFS(Medicion!$K$6:$K$511,Medicion!$G$6:$G$511,$A22,Medicion!$A$6:$A$511,"&lt;"&amp;$B$4)</f>
        <v>0</v>
      </c>
      <c r="H22" s="41">
        <f>SUMIFS(Medicion!$K$6:$K$511,Medicion!$G$6:$G$511,$A22,Medicion!$A$6:$A$511,$B$4)</f>
        <v>0</v>
      </c>
      <c r="I22" s="41">
        <f t="shared" si="0"/>
        <v>0</v>
      </c>
      <c r="J22" s="72">
        <f t="shared" si="1"/>
        <v>0</v>
      </c>
      <c r="K22" s="69">
        <f t="shared" si="2"/>
        <v>0</v>
      </c>
      <c r="L22" s="69">
        <f t="shared" si="3"/>
        <v>0</v>
      </c>
      <c r="M22" s="69">
        <f t="shared" si="4"/>
        <v>0</v>
      </c>
      <c r="N22" s="69">
        <f t="shared" si="5"/>
        <v>573002.75482093671</v>
      </c>
      <c r="O22" s="119" t="str">
        <f t="shared" si="6"/>
        <v>OK</v>
      </c>
    </row>
    <row r="23" spans="1:15">
      <c r="A23" s="22" t="str">
        <f>'Presupuesto Base'!A20</f>
        <v>11.2</v>
      </c>
      <c r="B23" s="23" t="str">
        <f>'Presupuesto Base'!B20</f>
        <v>Válvula esclusa Ø100 completa e instalada</v>
      </c>
      <c r="C23" s="23" t="str">
        <f>'Presupuesto Base'!C20</f>
        <v>un</v>
      </c>
      <c r="D23" s="41">
        <f>'Presupuesto Base'!D20</f>
        <v>4</v>
      </c>
      <c r="E23" s="69">
        <f>'Presupuesto Base'!E20</f>
        <v>429752.0661157025</v>
      </c>
      <c r="F23" s="69">
        <f>'Presupuesto Base'!F20</f>
        <v>1719008.26446281</v>
      </c>
      <c r="G23" s="41">
        <f>SUMIFS(Medicion!$K$6:$K$511,Medicion!$G$6:$G$511,$A23,Medicion!$A$6:$A$511,"&lt;"&amp;$B$4)</f>
        <v>0</v>
      </c>
      <c r="H23" s="41">
        <f>SUMIFS(Medicion!$K$6:$K$511,Medicion!$G$6:$G$511,$A23,Medicion!$A$6:$A$511,$B$4)</f>
        <v>0</v>
      </c>
      <c r="I23" s="41">
        <f t="shared" si="0"/>
        <v>0</v>
      </c>
      <c r="J23" s="72">
        <f t="shared" si="1"/>
        <v>0</v>
      </c>
      <c r="K23" s="69">
        <f t="shared" si="2"/>
        <v>0</v>
      </c>
      <c r="L23" s="69">
        <f t="shared" si="3"/>
        <v>0</v>
      </c>
      <c r="M23" s="69">
        <f t="shared" si="4"/>
        <v>0</v>
      </c>
      <c r="N23" s="69">
        <f t="shared" si="5"/>
        <v>1719008.26446281</v>
      </c>
      <c r="O23" s="119" t="str">
        <f t="shared" si="6"/>
        <v>OK</v>
      </c>
    </row>
    <row r="24" spans="1:15">
      <c r="A24" s="22" t="str">
        <f>'Presupuesto Base'!A21</f>
        <v>12</v>
      </c>
      <c r="B24" s="23" t="str">
        <f>'Presupuesto Base'!B21</f>
        <v>Hidrante a bola completo e instalado</v>
      </c>
      <c r="C24" s="23" t="str">
        <f>'Presupuesto Base'!C21</f>
        <v>un</v>
      </c>
      <c r="D24" s="41">
        <f>'Presupuesto Base'!D21</f>
        <v>15</v>
      </c>
      <c r="E24" s="69">
        <f>'Presupuesto Base'!E21</f>
        <v>114600.55096418734</v>
      </c>
      <c r="F24" s="69">
        <f>'Presupuesto Base'!F21</f>
        <v>1719008.26446281</v>
      </c>
      <c r="G24" s="41">
        <f>SUMIFS(Medicion!$K$6:$K$511,Medicion!$G$6:$G$511,$A24,Medicion!$A$6:$A$511,"&lt;"&amp;$B$4)</f>
        <v>0</v>
      </c>
      <c r="H24" s="41">
        <f>SUMIFS(Medicion!$K$6:$K$511,Medicion!$G$6:$G$511,$A24,Medicion!$A$6:$A$511,$B$4)</f>
        <v>0</v>
      </c>
      <c r="I24" s="41">
        <f t="shared" si="0"/>
        <v>0</v>
      </c>
      <c r="J24" s="72">
        <f t="shared" si="1"/>
        <v>0</v>
      </c>
      <c r="K24" s="69">
        <f t="shared" si="2"/>
        <v>0</v>
      </c>
      <c r="L24" s="69">
        <f t="shared" si="3"/>
        <v>0</v>
      </c>
      <c r="M24" s="69">
        <f t="shared" si="4"/>
        <v>0</v>
      </c>
      <c r="N24" s="69">
        <f t="shared" si="5"/>
        <v>1719008.26446281</v>
      </c>
      <c r="O24" s="119" t="str">
        <f t="shared" si="6"/>
        <v>OK</v>
      </c>
    </row>
    <row r="25" spans="1:15">
      <c r="A25" s="22" t="str">
        <f>'Presupuesto Base'!A22</f>
        <v>13.1</v>
      </c>
      <c r="B25" s="23" t="str">
        <f>'Presupuesto Base'!B22</f>
        <v>Pruebas hidráulicas y operativas</v>
      </c>
      <c r="C25" s="23" t="str">
        <f>'Presupuesto Base'!C22</f>
        <v>gl</v>
      </c>
      <c r="D25" s="41">
        <f>'Presupuesto Base'!D22</f>
        <v>1</v>
      </c>
      <c r="E25" s="69">
        <f>'Presupuesto Base'!E22</f>
        <v>1719008.26446281</v>
      </c>
      <c r="F25" s="69">
        <f>'Presupuesto Base'!F22</f>
        <v>1719008.26446281</v>
      </c>
      <c r="G25" s="41">
        <f>SUMIFS(Medicion!$K$6:$K$511,Medicion!$G$6:$G$511,$A25,Medicion!$A$6:$A$511,"&lt;"&amp;$B$4)</f>
        <v>0</v>
      </c>
      <c r="H25" s="41">
        <f>SUMIFS(Medicion!$K$6:$K$511,Medicion!$G$6:$G$511,$A25,Medicion!$A$6:$A$511,$B$4)</f>
        <v>0</v>
      </c>
      <c r="I25" s="41">
        <f t="shared" si="0"/>
        <v>0</v>
      </c>
      <c r="J25" s="72">
        <f t="shared" si="1"/>
        <v>0</v>
      </c>
      <c r="K25" s="69">
        <f t="shared" si="2"/>
        <v>0</v>
      </c>
      <c r="L25" s="69">
        <f t="shared" si="3"/>
        <v>0</v>
      </c>
      <c r="M25" s="69">
        <f t="shared" si="4"/>
        <v>0</v>
      </c>
      <c r="N25" s="69">
        <f t="shared" si="5"/>
        <v>1719008.26446281</v>
      </c>
      <c r="O25" s="119" t="str">
        <f t="shared" si="6"/>
        <v>OK</v>
      </c>
    </row>
    <row r="26" spans="1:15">
      <c r="A26" s="22" t="str">
        <f>'Presupuesto Base'!A23</f>
        <v>13.2</v>
      </c>
      <c r="B26" s="23" t="str">
        <f>'Presupuesto Base'!B23</f>
        <v>Terminaciones y acondicionamiento final</v>
      </c>
      <c r="C26" s="23" t="str">
        <f>'Presupuesto Base'!C23</f>
        <v>gl</v>
      </c>
      <c r="D26" s="41">
        <f>'Presupuesto Base'!D23</f>
        <v>1</v>
      </c>
      <c r="E26" s="69">
        <f>'Presupuesto Base'!E23</f>
        <v>1146005.5096418734</v>
      </c>
      <c r="F26" s="69">
        <f>'Presupuesto Base'!F23</f>
        <v>1146005.5096418734</v>
      </c>
      <c r="G26" s="41">
        <f>SUMIFS(Medicion!$K$6:$K$511,Medicion!$G$6:$G$511,$A26,Medicion!$A$6:$A$511,"&lt;"&amp;$B$4)</f>
        <v>0</v>
      </c>
      <c r="H26" s="41">
        <f>SUMIFS(Medicion!$K$6:$K$511,Medicion!$G$6:$G$511,$A26,Medicion!$A$6:$A$511,$B$4)</f>
        <v>0</v>
      </c>
      <c r="I26" s="41">
        <f t="shared" si="0"/>
        <v>0</v>
      </c>
      <c r="J26" s="72">
        <f t="shared" si="1"/>
        <v>0</v>
      </c>
      <c r="K26" s="69">
        <f t="shared" si="2"/>
        <v>0</v>
      </c>
      <c r="L26" s="69">
        <f t="shared" si="3"/>
        <v>0</v>
      </c>
      <c r="M26" s="69">
        <f t="shared" si="4"/>
        <v>0</v>
      </c>
      <c r="N26" s="69">
        <f t="shared" si="5"/>
        <v>1146005.5096418734</v>
      </c>
      <c r="O26" s="119" t="str">
        <f t="shared" si="6"/>
        <v>OK</v>
      </c>
    </row>
    <row r="27" spans="1:15">
      <c r="A27" s="22" t="str">
        <f>'Presupuesto Base'!A24</f>
        <v>13.3</v>
      </c>
      <c r="B27" s="23" t="str">
        <f>'Presupuesto Base'!B24</f>
        <v>Documentación conforme a obra y cierre</v>
      </c>
      <c r="C27" s="23" t="str">
        <f>'Presupuesto Base'!C24</f>
        <v>gl</v>
      </c>
      <c r="D27" s="41">
        <f>'Presupuesto Base'!D24</f>
        <v>1</v>
      </c>
      <c r="E27" s="69">
        <f>'Presupuesto Base'!E24</f>
        <v>859504.132231405</v>
      </c>
      <c r="F27" s="69">
        <f>'Presupuesto Base'!F24</f>
        <v>859504.132231405</v>
      </c>
      <c r="G27" s="41">
        <f>SUMIFS(Medicion!$K$6:$K$511,Medicion!$G$6:$G$511,$A27,Medicion!$A$6:$A$511,"&lt;"&amp;$B$4)</f>
        <v>0</v>
      </c>
      <c r="H27" s="41">
        <f>SUMIFS(Medicion!$K$6:$K$511,Medicion!$G$6:$G$511,$A27,Medicion!$A$6:$A$511,$B$4)</f>
        <v>0</v>
      </c>
      <c r="I27" s="41">
        <f t="shared" si="0"/>
        <v>0</v>
      </c>
      <c r="J27" s="72">
        <f t="shared" si="1"/>
        <v>0</v>
      </c>
      <c r="K27" s="69">
        <f t="shared" si="2"/>
        <v>0</v>
      </c>
      <c r="L27" s="69">
        <f t="shared" si="3"/>
        <v>0</v>
      </c>
      <c r="M27" s="69">
        <f t="shared" si="4"/>
        <v>0</v>
      </c>
      <c r="N27" s="69">
        <f t="shared" si="5"/>
        <v>859504.132231405</v>
      </c>
      <c r="O27" s="119" t="str">
        <f t="shared" si="6"/>
        <v>OK</v>
      </c>
    </row>
    <row r="28" spans="1:15" ht="14.4">
      <c r="A28" s="15"/>
      <c r="B28" s="16" t="s">
        <v>178</v>
      </c>
      <c r="C28" s="16"/>
      <c r="D28" s="16"/>
      <c r="E28" s="70"/>
      <c r="F28" s="70"/>
      <c r="G28" s="16"/>
      <c r="H28" s="16"/>
      <c r="I28" s="16"/>
      <c r="J28" s="16"/>
      <c r="K28" s="70">
        <f>SUM(K10:K27)</f>
        <v>0</v>
      </c>
      <c r="L28" s="70">
        <f>SUM(L10:L27)</f>
        <v>14722544.642743155</v>
      </c>
      <c r="M28" s="70">
        <f>SUM(M10:M27)</f>
        <v>14722544.642743155</v>
      </c>
      <c r="N28" s="70">
        <f>SUM(N10:N27)</f>
        <v>99878006.321444184</v>
      </c>
      <c r="O28" s="42"/>
    </row>
    <row r="29" spans="1:15">
      <c r="A29" s="5"/>
      <c r="B29" s="5"/>
      <c r="C29" s="5"/>
      <c r="D29" s="5"/>
      <c r="E29" s="5"/>
      <c r="F29" s="5"/>
      <c r="G29" s="5"/>
      <c r="H29" s="5"/>
      <c r="I29" s="5"/>
      <c r="J29" s="5"/>
      <c r="K29" s="71"/>
      <c r="L29" s="71"/>
      <c r="M29" s="71"/>
      <c r="N29" s="71"/>
      <c r="O29" s="5"/>
    </row>
    <row r="30" spans="1:15">
      <c r="A30" s="5"/>
      <c r="B30" s="5"/>
      <c r="C30" s="5"/>
      <c r="D30" s="5"/>
      <c r="E30" s="5"/>
      <c r="F30" s="5"/>
      <c r="G30" s="5"/>
      <c r="H30" s="5"/>
      <c r="I30" s="5"/>
      <c r="J30" s="5"/>
      <c r="K30" s="71"/>
      <c r="L30" s="71"/>
      <c r="M30" s="71"/>
      <c r="N30" s="71"/>
      <c r="O30" s="5"/>
    </row>
    <row r="31" spans="1:15" ht="14.4">
      <c r="A31" s="56"/>
      <c r="B31" s="57"/>
      <c r="C31" s="58"/>
      <c r="D31" s="58"/>
      <c r="E31" s="59"/>
      <c r="F31" s="59"/>
      <c r="G31" s="59"/>
      <c r="H31" s="59"/>
      <c r="I31" s="5"/>
      <c r="J31" s="154" t="s">
        <v>179</v>
      </c>
      <c r="K31" s="155"/>
      <c r="L31" s="155"/>
      <c r="M31" s="155"/>
      <c r="N31" s="155"/>
      <c r="O31" s="156"/>
    </row>
    <row r="32" spans="1:15">
      <c r="A32" s="60"/>
      <c r="B32" s="61"/>
      <c r="C32" s="59"/>
      <c r="D32" s="59"/>
      <c r="E32" s="59"/>
      <c r="F32" s="59"/>
      <c r="G32" s="59"/>
      <c r="H32" s="59"/>
      <c r="I32" s="5"/>
      <c r="J32" s="157" t="s">
        <v>180</v>
      </c>
      <c r="K32" s="158"/>
      <c r="L32" s="158"/>
      <c r="M32" s="158"/>
      <c r="N32" s="159">
        <f>Configuracion!B18</f>
        <v>114600550.96418734</v>
      </c>
      <c r="O32" s="160"/>
    </row>
    <row r="33" spans="1:15">
      <c r="A33" s="60"/>
      <c r="B33" s="61"/>
      <c r="C33" s="59"/>
      <c r="D33" s="59"/>
      <c r="E33" s="59"/>
      <c r="F33" s="59"/>
      <c r="G33" s="59"/>
      <c r="H33" s="59"/>
      <c r="I33" s="5"/>
      <c r="J33" s="157" t="s">
        <v>181</v>
      </c>
      <c r="K33" s="158"/>
      <c r="L33" s="158"/>
      <c r="M33" s="158"/>
      <c r="N33" s="159">
        <f>K28</f>
        <v>0</v>
      </c>
      <c r="O33" s="160"/>
    </row>
    <row r="34" spans="1:15">
      <c r="A34" s="60"/>
      <c r="B34" s="61"/>
      <c r="C34" s="59"/>
      <c r="D34" s="59"/>
      <c r="E34" s="59"/>
      <c r="F34" s="59"/>
      <c r="G34" s="59"/>
      <c r="H34" s="59"/>
      <c r="I34" s="5"/>
      <c r="J34" s="157" t="s">
        <v>182</v>
      </c>
      <c r="K34" s="158"/>
      <c r="L34" s="158"/>
      <c r="M34" s="158"/>
      <c r="N34" s="159">
        <f>L28</f>
        <v>14722544.642743155</v>
      </c>
      <c r="O34" s="160"/>
    </row>
    <row r="35" spans="1:15">
      <c r="A35" s="60"/>
      <c r="B35" s="61"/>
      <c r="C35" s="59"/>
      <c r="D35" s="59"/>
      <c r="E35" s="59"/>
      <c r="F35" s="59"/>
      <c r="G35" s="59"/>
      <c r="H35" s="59"/>
      <c r="I35" s="5"/>
      <c r="J35" s="157" t="s">
        <v>183</v>
      </c>
      <c r="K35" s="158"/>
      <c r="L35" s="158"/>
      <c r="M35" s="158"/>
      <c r="N35" s="159">
        <f>M28</f>
        <v>14722544.642743155</v>
      </c>
      <c r="O35" s="160"/>
    </row>
    <row r="36" spans="1:15">
      <c r="A36" s="60"/>
      <c r="B36" s="61"/>
      <c r="C36" s="59"/>
      <c r="D36" s="59"/>
      <c r="E36" s="59"/>
      <c r="F36" s="59"/>
      <c r="G36" s="59"/>
      <c r="H36" s="59"/>
      <c r="I36" s="5"/>
      <c r="J36" s="157" t="s">
        <v>184</v>
      </c>
      <c r="K36" s="158"/>
      <c r="L36" s="158"/>
      <c r="M36" s="158"/>
      <c r="N36" s="159">
        <f>N28</f>
        <v>99878006.321444184</v>
      </c>
      <c r="O36" s="160"/>
    </row>
    <row r="37" spans="1:15">
      <c r="A37" s="60"/>
      <c r="B37" s="61"/>
      <c r="C37" s="59"/>
      <c r="D37" s="59"/>
      <c r="E37" s="59"/>
      <c r="F37" s="59"/>
      <c r="G37" s="59"/>
      <c r="H37" s="59"/>
      <c r="I37" s="5"/>
      <c r="J37" s="157" t="s">
        <v>185</v>
      </c>
      <c r="K37" s="158"/>
      <c r="L37" s="158"/>
      <c r="M37" s="158"/>
      <c r="N37" s="159">
        <f>N34*Configuracion!B16</f>
        <v>3091734.3749760627</v>
      </c>
      <c r="O37" s="160"/>
    </row>
    <row r="38" spans="1:15">
      <c r="A38" s="60"/>
      <c r="B38" s="61"/>
      <c r="C38" s="59"/>
      <c r="D38" s="59"/>
      <c r="E38" s="59"/>
      <c r="F38" s="59"/>
      <c r="G38" s="59"/>
      <c r="H38" s="59"/>
      <c r="I38" s="5"/>
      <c r="J38" s="157" t="s">
        <v>186</v>
      </c>
      <c r="K38" s="158"/>
      <c r="L38" s="158"/>
      <c r="M38" s="158"/>
      <c r="N38" s="159">
        <f>N34+N37</f>
        <v>17814279.017719217</v>
      </c>
      <c r="O38" s="160"/>
    </row>
    <row r="39" spans="1:15">
      <c r="A39" s="60"/>
      <c r="B39" s="61"/>
      <c r="C39" s="59"/>
      <c r="D39" s="62"/>
      <c r="E39" s="62"/>
      <c r="F39" s="62"/>
      <c r="G39" s="62"/>
      <c r="H39" s="62"/>
      <c r="I39" s="5"/>
      <c r="J39" s="157" t="s">
        <v>187</v>
      </c>
      <c r="K39" s="158"/>
      <c r="L39" s="158"/>
      <c r="M39" s="158"/>
      <c r="N39" s="161">
        <v>0</v>
      </c>
      <c r="O39" s="162"/>
    </row>
    <row r="40" spans="1:15">
      <c r="A40" s="60"/>
      <c r="B40" s="61"/>
      <c r="C40" s="59"/>
      <c r="D40" s="62"/>
      <c r="E40" s="62"/>
      <c r="F40" s="62"/>
      <c r="G40" s="62"/>
      <c r="H40" s="62"/>
      <c r="I40" s="5"/>
      <c r="J40" s="157" t="s">
        <v>188</v>
      </c>
      <c r="K40" s="158"/>
      <c r="L40" s="158"/>
      <c r="M40" s="158"/>
      <c r="N40" s="161">
        <v>0</v>
      </c>
      <c r="O40" s="162"/>
    </row>
    <row r="41" spans="1:15">
      <c r="A41" s="60"/>
      <c r="B41" s="61"/>
      <c r="C41" s="59"/>
      <c r="D41" s="62"/>
      <c r="E41" s="62"/>
      <c r="F41" s="62"/>
      <c r="G41" s="62"/>
      <c r="H41" s="62"/>
      <c r="I41" s="5"/>
      <c r="J41" s="157" t="s">
        <v>189</v>
      </c>
      <c r="K41" s="158"/>
      <c r="L41" s="158"/>
      <c r="M41" s="158"/>
      <c r="N41" s="161">
        <v>0</v>
      </c>
      <c r="O41" s="162"/>
    </row>
    <row r="42" spans="1:15">
      <c r="A42" s="63"/>
      <c r="B42" s="64"/>
      <c r="C42" s="59"/>
      <c r="D42" s="59"/>
      <c r="E42" s="59"/>
      <c r="F42" s="59"/>
      <c r="G42" s="59"/>
      <c r="H42" s="59"/>
      <c r="I42" s="5"/>
      <c r="J42" s="165" t="s">
        <v>190</v>
      </c>
      <c r="K42" s="158"/>
      <c r="L42" s="158"/>
      <c r="M42" s="158"/>
      <c r="N42" s="159">
        <f>N38-N39-N40-N41</f>
        <v>17814279.017719217</v>
      </c>
      <c r="O42" s="166"/>
    </row>
    <row r="43" spans="1:15">
      <c r="A43" s="65"/>
      <c r="B43" s="65"/>
      <c r="C43" s="65"/>
      <c r="D43" s="65"/>
      <c r="E43" s="65"/>
      <c r="F43" s="65"/>
      <c r="G43" s="65"/>
      <c r="H43" s="65"/>
    </row>
    <row r="44" spans="1:15">
      <c r="A44" s="65"/>
      <c r="B44" s="65"/>
      <c r="C44" s="65"/>
      <c r="D44" s="65"/>
      <c r="E44" s="65"/>
      <c r="F44" s="65"/>
      <c r="G44" s="65"/>
      <c r="H44" s="65"/>
      <c r="J44" s="163" t="s">
        <v>191</v>
      </c>
      <c r="K44" s="163"/>
      <c r="L44" s="163"/>
      <c r="M44" s="163"/>
      <c r="N44" s="163"/>
      <c r="O44" s="163"/>
    </row>
    <row r="45" spans="1:15" ht="345.6">
      <c r="A45" s="106" t="s">
        <v>192</v>
      </c>
      <c r="B45" s="106"/>
      <c r="C45" s="106"/>
      <c r="D45" s="106"/>
      <c r="E45" s="106"/>
      <c r="F45" s="106"/>
      <c r="G45" s="106"/>
      <c r="H45" s="106"/>
      <c r="I45" s="106"/>
      <c r="J45" s="164"/>
      <c r="K45" s="164"/>
      <c r="L45" s="164"/>
      <c r="M45" s="164"/>
      <c r="N45" s="164"/>
      <c r="O45" s="164"/>
    </row>
    <row r="46" spans="1:15" ht="14.4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</row>
  </sheetData>
  <mergeCells count="29">
    <mergeCell ref="J44:O45"/>
    <mergeCell ref="J40:M40"/>
    <mergeCell ref="N40:O40"/>
    <mergeCell ref="J41:M41"/>
    <mergeCell ref="N41:O41"/>
    <mergeCell ref="J42:M42"/>
    <mergeCell ref="N42:O42"/>
    <mergeCell ref="J37:M37"/>
    <mergeCell ref="N37:O37"/>
    <mergeCell ref="J38:M38"/>
    <mergeCell ref="N38:O38"/>
    <mergeCell ref="J39:M39"/>
    <mergeCell ref="N39:O39"/>
    <mergeCell ref="J34:M34"/>
    <mergeCell ref="N34:O34"/>
    <mergeCell ref="J35:M35"/>
    <mergeCell ref="N35:O35"/>
    <mergeCell ref="J36:M36"/>
    <mergeCell ref="N36:O36"/>
    <mergeCell ref="J31:O31"/>
    <mergeCell ref="J32:M32"/>
    <mergeCell ref="N32:O32"/>
    <mergeCell ref="J33:M33"/>
    <mergeCell ref="N33:O33"/>
    <mergeCell ref="A1:O2"/>
    <mergeCell ref="E4:H4"/>
    <mergeCell ref="E5:H5"/>
    <mergeCell ref="E6:H6"/>
    <mergeCell ref="E7:H7"/>
  </mergeCells>
  <conditionalFormatting sqref="O10:O27">
    <cfRule type="expression" dxfId="4" priority="1">
      <formula>O10="OK"</formula>
    </cfRule>
    <cfRule type="expression" dxfId="3" priority="2">
      <formula>O10="EXCEDE CANT."</formula>
    </cfRule>
  </conditionalFormatting>
  <dataValidations disablePrompts="1" count="1">
    <dataValidation type="list" sqref="B4" xr:uid="{00000000-0002-0000-0400-000000000000}">
      <formula1>"1,2,3,4,5,6,7,8,9,10,11,12,13,14,15,16,17,18,19,20,21,22,23,24"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2"/>
  <sheetViews>
    <sheetView workbookViewId="0">
      <selection sqref="A1:L2"/>
    </sheetView>
  </sheetViews>
  <sheetFormatPr baseColWidth="10" defaultColWidth="8.796875" defaultRowHeight="13.8"/>
  <cols>
    <col min="1" max="1" width="7" customWidth="1"/>
    <col min="2" max="3" width="10" customWidth="1"/>
    <col min="4" max="4" width="16" customWidth="1"/>
    <col min="5" max="5" width="14" customWidth="1"/>
    <col min="6" max="6" width="10" customWidth="1"/>
    <col min="7" max="9" width="13" customWidth="1"/>
    <col min="10" max="10" width="20" customWidth="1"/>
    <col min="11" max="11" width="16" customWidth="1"/>
    <col min="12" max="12" width="34" customWidth="1"/>
  </cols>
  <sheetData>
    <row r="1" spans="1:12">
      <c r="A1" s="143" t="s">
        <v>193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ht="14.4">
      <c r="A3" s="147" t="s">
        <v>194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5" spans="1:12" ht="28.8">
      <c r="A5" s="8" t="s">
        <v>195</v>
      </c>
      <c r="B5" s="9" t="s">
        <v>196</v>
      </c>
      <c r="C5" s="9" t="s">
        <v>197</v>
      </c>
      <c r="D5" s="9" t="s">
        <v>198</v>
      </c>
      <c r="E5" s="9" t="s">
        <v>199</v>
      </c>
      <c r="F5" s="9" t="s">
        <v>200</v>
      </c>
      <c r="G5" s="9" t="s">
        <v>201</v>
      </c>
      <c r="H5" s="9" t="s">
        <v>202</v>
      </c>
      <c r="I5" s="9" t="s">
        <v>203</v>
      </c>
      <c r="J5" s="9" t="s">
        <v>141</v>
      </c>
      <c r="K5" s="9" t="s">
        <v>204</v>
      </c>
      <c r="L5" s="10" t="s">
        <v>157</v>
      </c>
    </row>
    <row r="6" spans="1:12">
      <c r="A6" s="43">
        <v>1</v>
      </c>
      <c r="B6" s="30"/>
      <c r="C6" s="30"/>
      <c r="D6" s="30"/>
      <c r="E6" s="30"/>
      <c r="F6" s="31" t="str">
        <f t="shared" ref="F6:F69" si="0">IF(E6="Ø75","10.1",IF(E6="Ø110","10.2",""))</f>
        <v/>
      </c>
      <c r="G6" s="29"/>
      <c r="H6" s="29"/>
      <c r="I6" s="29"/>
      <c r="J6" s="30"/>
      <c r="K6" s="30"/>
      <c r="L6" s="33"/>
    </row>
    <row r="7" spans="1:12">
      <c r="A7" s="43">
        <v>2</v>
      </c>
      <c r="B7" s="30"/>
      <c r="C7" s="30"/>
      <c r="D7" s="30"/>
      <c r="E7" s="30"/>
      <c r="F7" s="31" t="str">
        <f t="shared" si="0"/>
        <v/>
      </c>
      <c r="G7" s="29"/>
      <c r="H7" s="29"/>
      <c r="I7" s="29"/>
      <c r="J7" s="30"/>
      <c r="K7" s="30"/>
      <c r="L7" s="33"/>
    </row>
    <row r="8" spans="1:12">
      <c r="A8" s="43">
        <v>3</v>
      </c>
      <c r="B8" s="30"/>
      <c r="C8" s="30"/>
      <c r="D8" s="30"/>
      <c r="E8" s="30"/>
      <c r="F8" s="31" t="str">
        <f t="shared" si="0"/>
        <v/>
      </c>
      <c r="G8" s="29"/>
      <c r="H8" s="29"/>
      <c r="I8" s="29"/>
      <c r="J8" s="30"/>
      <c r="K8" s="30"/>
      <c r="L8" s="33"/>
    </row>
    <row r="9" spans="1:12">
      <c r="A9" s="43">
        <v>4</v>
      </c>
      <c r="B9" s="30"/>
      <c r="C9" s="30"/>
      <c r="D9" s="30"/>
      <c r="E9" s="30"/>
      <c r="F9" s="31" t="str">
        <f t="shared" si="0"/>
        <v/>
      </c>
      <c r="G9" s="29"/>
      <c r="H9" s="29"/>
      <c r="I9" s="29"/>
      <c r="J9" s="30"/>
      <c r="K9" s="30"/>
      <c r="L9" s="33"/>
    </row>
    <row r="10" spans="1:12">
      <c r="A10" s="43">
        <v>5</v>
      </c>
      <c r="B10" s="30"/>
      <c r="C10" s="30"/>
      <c r="D10" s="30"/>
      <c r="E10" s="30"/>
      <c r="F10" s="31" t="str">
        <f t="shared" si="0"/>
        <v/>
      </c>
      <c r="G10" s="29"/>
      <c r="H10" s="29"/>
      <c r="I10" s="29"/>
      <c r="J10" s="30"/>
      <c r="K10" s="30"/>
      <c r="L10" s="33"/>
    </row>
    <row r="11" spans="1:12">
      <c r="A11" s="43">
        <v>6</v>
      </c>
      <c r="B11" s="30"/>
      <c r="C11" s="30"/>
      <c r="D11" s="30"/>
      <c r="E11" s="30"/>
      <c r="F11" s="31" t="str">
        <f t="shared" si="0"/>
        <v/>
      </c>
      <c r="G11" s="29"/>
      <c r="H11" s="29"/>
      <c r="I11" s="29"/>
      <c r="J11" s="30"/>
      <c r="K11" s="30"/>
      <c r="L11" s="33"/>
    </row>
    <row r="12" spans="1:12">
      <c r="A12" s="43">
        <v>7</v>
      </c>
      <c r="B12" s="30"/>
      <c r="C12" s="30"/>
      <c r="D12" s="30"/>
      <c r="E12" s="30"/>
      <c r="F12" s="31" t="str">
        <f t="shared" si="0"/>
        <v/>
      </c>
      <c r="G12" s="29"/>
      <c r="H12" s="29"/>
      <c r="I12" s="29"/>
      <c r="J12" s="30"/>
      <c r="K12" s="30"/>
      <c r="L12" s="33"/>
    </row>
    <row r="13" spans="1:12">
      <c r="A13" s="43">
        <v>8</v>
      </c>
      <c r="B13" s="30"/>
      <c r="C13" s="30"/>
      <c r="D13" s="30"/>
      <c r="E13" s="30"/>
      <c r="F13" s="31" t="str">
        <f t="shared" si="0"/>
        <v/>
      </c>
      <c r="G13" s="29"/>
      <c r="H13" s="29"/>
      <c r="I13" s="29"/>
      <c r="J13" s="30"/>
      <c r="K13" s="30"/>
      <c r="L13" s="33"/>
    </row>
    <row r="14" spans="1:12">
      <c r="A14" s="43">
        <v>9</v>
      </c>
      <c r="B14" s="30"/>
      <c r="C14" s="30"/>
      <c r="D14" s="30"/>
      <c r="E14" s="30"/>
      <c r="F14" s="31" t="str">
        <f t="shared" si="0"/>
        <v/>
      </c>
      <c r="G14" s="29"/>
      <c r="H14" s="29"/>
      <c r="I14" s="29"/>
      <c r="J14" s="30"/>
      <c r="K14" s="30"/>
      <c r="L14" s="33"/>
    </row>
    <row r="15" spans="1:12">
      <c r="A15" s="43">
        <v>10</v>
      </c>
      <c r="B15" s="30"/>
      <c r="C15" s="30"/>
      <c r="D15" s="30"/>
      <c r="E15" s="30"/>
      <c r="F15" s="31" t="str">
        <f t="shared" si="0"/>
        <v/>
      </c>
      <c r="G15" s="29"/>
      <c r="H15" s="29"/>
      <c r="I15" s="29"/>
      <c r="J15" s="30"/>
      <c r="K15" s="30"/>
      <c r="L15" s="33"/>
    </row>
    <row r="16" spans="1:12">
      <c r="A16" s="43">
        <v>11</v>
      </c>
      <c r="B16" s="30"/>
      <c r="C16" s="30"/>
      <c r="D16" s="30"/>
      <c r="E16" s="30"/>
      <c r="F16" s="31" t="str">
        <f t="shared" si="0"/>
        <v/>
      </c>
      <c r="G16" s="29"/>
      <c r="H16" s="29"/>
      <c r="I16" s="29"/>
      <c r="J16" s="30"/>
      <c r="K16" s="30"/>
      <c r="L16" s="33"/>
    </row>
    <row r="17" spans="1:12">
      <c r="A17" s="43">
        <v>12</v>
      </c>
      <c r="B17" s="30"/>
      <c r="C17" s="30"/>
      <c r="D17" s="30"/>
      <c r="E17" s="30"/>
      <c r="F17" s="31" t="str">
        <f t="shared" si="0"/>
        <v/>
      </c>
      <c r="G17" s="29"/>
      <c r="H17" s="29"/>
      <c r="I17" s="29"/>
      <c r="J17" s="30"/>
      <c r="K17" s="30"/>
      <c r="L17" s="33"/>
    </row>
    <row r="18" spans="1:12">
      <c r="A18" s="43">
        <v>13</v>
      </c>
      <c r="B18" s="30"/>
      <c r="C18" s="30"/>
      <c r="D18" s="30"/>
      <c r="E18" s="30"/>
      <c r="F18" s="31" t="str">
        <f t="shared" si="0"/>
        <v/>
      </c>
      <c r="G18" s="29"/>
      <c r="H18" s="29"/>
      <c r="I18" s="29"/>
      <c r="J18" s="30"/>
      <c r="K18" s="30"/>
      <c r="L18" s="33"/>
    </row>
    <row r="19" spans="1:12">
      <c r="A19" s="43">
        <v>14</v>
      </c>
      <c r="B19" s="30"/>
      <c r="C19" s="30"/>
      <c r="D19" s="30"/>
      <c r="E19" s="30"/>
      <c r="F19" s="31" t="str">
        <f t="shared" si="0"/>
        <v/>
      </c>
      <c r="G19" s="29"/>
      <c r="H19" s="29"/>
      <c r="I19" s="29"/>
      <c r="J19" s="30"/>
      <c r="K19" s="30"/>
      <c r="L19" s="33"/>
    </row>
    <row r="20" spans="1:12">
      <c r="A20" s="43">
        <v>15</v>
      </c>
      <c r="B20" s="30"/>
      <c r="C20" s="30"/>
      <c r="D20" s="30"/>
      <c r="E20" s="30"/>
      <c r="F20" s="31" t="str">
        <f t="shared" si="0"/>
        <v/>
      </c>
      <c r="G20" s="29"/>
      <c r="H20" s="29"/>
      <c r="I20" s="29"/>
      <c r="J20" s="30"/>
      <c r="K20" s="30"/>
      <c r="L20" s="33"/>
    </row>
    <row r="21" spans="1:12">
      <c r="A21" s="43">
        <v>16</v>
      </c>
      <c r="B21" s="30"/>
      <c r="C21" s="30"/>
      <c r="D21" s="30"/>
      <c r="E21" s="30"/>
      <c r="F21" s="31" t="str">
        <f t="shared" si="0"/>
        <v/>
      </c>
      <c r="G21" s="29"/>
      <c r="H21" s="29"/>
      <c r="I21" s="29"/>
      <c r="J21" s="30"/>
      <c r="K21" s="30"/>
      <c r="L21" s="33"/>
    </row>
    <row r="22" spans="1:12">
      <c r="A22" s="43">
        <v>17</v>
      </c>
      <c r="B22" s="30"/>
      <c r="C22" s="30"/>
      <c r="D22" s="30"/>
      <c r="E22" s="30"/>
      <c r="F22" s="31" t="str">
        <f t="shared" si="0"/>
        <v/>
      </c>
      <c r="G22" s="29"/>
      <c r="H22" s="29"/>
      <c r="I22" s="29"/>
      <c r="J22" s="30"/>
      <c r="K22" s="30"/>
      <c r="L22" s="33"/>
    </row>
    <row r="23" spans="1:12">
      <c r="A23" s="43">
        <v>18</v>
      </c>
      <c r="B23" s="30"/>
      <c r="C23" s="30"/>
      <c r="D23" s="30"/>
      <c r="E23" s="30"/>
      <c r="F23" s="31" t="str">
        <f t="shared" si="0"/>
        <v/>
      </c>
      <c r="G23" s="29"/>
      <c r="H23" s="29"/>
      <c r="I23" s="29"/>
      <c r="J23" s="30"/>
      <c r="K23" s="30"/>
      <c r="L23" s="33"/>
    </row>
    <row r="24" spans="1:12">
      <c r="A24" s="43">
        <v>19</v>
      </c>
      <c r="B24" s="30"/>
      <c r="C24" s="30"/>
      <c r="D24" s="30"/>
      <c r="E24" s="30"/>
      <c r="F24" s="31" t="str">
        <f t="shared" si="0"/>
        <v/>
      </c>
      <c r="G24" s="29"/>
      <c r="H24" s="29"/>
      <c r="I24" s="29"/>
      <c r="J24" s="30"/>
      <c r="K24" s="30"/>
      <c r="L24" s="33"/>
    </row>
    <row r="25" spans="1:12">
      <c r="A25" s="43">
        <v>20</v>
      </c>
      <c r="B25" s="30"/>
      <c r="C25" s="30"/>
      <c r="D25" s="30"/>
      <c r="E25" s="30"/>
      <c r="F25" s="31" t="str">
        <f t="shared" si="0"/>
        <v/>
      </c>
      <c r="G25" s="29"/>
      <c r="H25" s="29"/>
      <c r="I25" s="29"/>
      <c r="J25" s="30"/>
      <c r="K25" s="30"/>
      <c r="L25" s="33"/>
    </row>
    <row r="26" spans="1:12">
      <c r="A26" s="43">
        <v>21</v>
      </c>
      <c r="B26" s="30"/>
      <c r="C26" s="30"/>
      <c r="D26" s="30"/>
      <c r="E26" s="30"/>
      <c r="F26" s="31" t="str">
        <f t="shared" si="0"/>
        <v/>
      </c>
      <c r="G26" s="29"/>
      <c r="H26" s="29"/>
      <c r="I26" s="29"/>
      <c r="J26" s="30"/>
      <c r="K26" s="30"/>
      <c r="L26" s="33"/>
    </row>
    <row r="27" spans="1:12">
      <c r="A27" s="43">
        <v>22</v>
      </c>
      <c r="B27" s="30"/>
      <c r="C27" s="30"/>
      <c r="D27" s="30"/>
      <c r="E27" s="30"/>
      <c r="F27" s="31" t="str">
        <f t="shared" si="0"/>
        <v/>
      </c>
      <c r="G27" s="29"/>
      <c r="H27" s="29"/>
      <c r="I27" s="29"/>
      <c r="J27" s="30"/>
      <c r="K27" s="30"/>
      <c r="L27" s="33"/>
    </row>
    <row r="28" spans="1:12">
      <c r="A28" s="43">
        <v>23</v>
      </c>
      <c r="B28" s="30"/>
      <c r="C28" s="30"/>
      <c r="D28" s="30"/>
      <c r="E28" s="30"/>
      <c r="F28" s="31" t="str">
        <f t="shared" si="0"/>
        <v/>
      </c>
      <c r="G28" s="29"/>
      <c r="H28" s="29"/>
      <c r="I28" s="29"/>
      <c r="J28" s="30"/>
      <c r="K28" s="30"/>
      <c r="L28" s="33"/>
    </row>
    <row r="29" spans="1:12">
      <c r="A29" s="43">
        <v>24</v>
      </c>
      <c r="B29" s="30"/>
      <c r="C29" s="30"/>
      <c r="D29" s="30"/>
      <c r="E29" s="30"/>
      <c r="F29" s="31" t="str">
        <f t="shared" si="0"/>
        <v/>
      </c>
      <c r="G29" s="29"/>
      <c r="H29" s="29"/>
      <c r="I29" s="29"/>
      <c r="J29" s="30"/>
      <c r="K29" s="30"/>
      <c r="L29" s="33"/>
    </row>
    <row r="30" spans="1:12">
      <c r="A30" s="43">
        <v>25</v>
      </c>
      <c r="B30" s="30"/>
      <c r="C30" s="30"/>
      <c r="D30" s="30"/>
      <c r="E30" s="30"/>
      <c r="F30" s="31" t="str">
        <f t="shared" si="0"/>
        <v/>
      </c>
      <c r="G30" s="29"/>
      <c r="H30" s="29"/>
      <c r="I30" s="29"/>
      <c r="J30" s="30"/>
      <c r="K30" s="30"/>
      <c r="L30" s="33"/>
    </row>
    <row r="31" spans="1:12">
      <c r="A31" s="43">
        <v>26</v>
      </c>
      <c r="B31" s="30"/>
      <c r="C31" s="30"/>
      <c r="D31" s="30"/>
      <c r="E31" s="30"/>
      <c r="F31" s="31" t="str">
        <f t="shared" si="0"/>
        <v/>
      </c>
      <c r="G31" s="29"/>
      <c r="H31" s="29"/>
      <c r="I31" s="29"/>
      <c r="J31" s="30"/>
      <c r="K31" s="30"/>
      <c r="L31" s="33"/>
    </row>
    <row r="32" spans="1:12">
      <c r="A32" s="43">
        <v>27</v>
      </c>
      <c r="B32" s="30"/>
      <c r="C32" s="30"/>
      <c r="D32" s="30"/>
      <c r="E32" s="30"/>
      <c r="F32" s="31" t="str">
        <f t="shared" si="0"/>
        <v/>
      </c>
      <c r="G32" s="29"/>
      <c r="H32" s="29"/>
      <c r="I32" s="29"/>
      <c r="J32" s="30"/>
      <c r="K32" s="30"/>
      <c r="L32" s="33"/>
    </row>
    <row r="33" spans="1:12">
      <c r="A33" s="43">
        <v>28</v>
      </c>
      <c r="B33" s="30"/>
      <c r="C33" s="30"/>
      <c r="D33" s="30"/>
      <c r="E33" s="30"/>
      <c r="F33" s="31" t="str">
        <f t="shared" si="0"/>
        <v/>
      </c>
      <c r="G33" s="29"/>
      <c r="H33" s="29"/>
      <c r="I33" s="29"/>
      <c r="J33" s="30"/>
      <c r="K33" s="30"/>
      <c r="L33" s="33"/>
    </row>
    <row r="34" spans="1:12">
      <c r="A34" s="43">
        <v>29</v>
      </c>
      <c r="B34" s="30"/>
      <c r="C34" s="30"/>
      <c r="D34" s="30"/>
      <c r="E34" s="30"/>
      <c r="F34" s="31" t="str">
        <f t="shared" si="0"/>
        <v/>
      </c>
      <c r="G34" s="29"/>
      <c r="H34" s="29"/>
      <c r="I34" s="29"/>
      <c r="J34" s="30"/>
      <c r="K34" s="30"/>
      <c r="L34" s="33"/>
    </row>
    <row r="35" spans="1:12">
      <c r="A35" s="43">
        <v>30</v>
      </c>
      <c r="B35" s="30"/>
      <c r="C35" s="30"/>
      <c r="D35" s="30"/>
      <c r="E35" s="30"/>
      <c r="F35" s="31" t="str">
        <f t="shared" si="0"/>
        <v/>
      </c>
      <c r="G35" s="29"/>
      <c r="H35" s="29"/>
      <c r="I35" s="29"/>
      <c r="J35" s="30"/>
      <c r="K35" s="30"/>
      <c r="L35" s="33"/>
    </row>
    <row r="36" spans="1:12">
      <c r="A36" s="43">
        <v>31</v>
      </c>
      <c r="B36" s="30"/>
      <c r="C36" s="30"/>
      <c r="D36" s="30"/>
      <c r="E36" s="30"/>
      <c r="F36" s="31" t="str">
        <f t="shared" si="0"/>
        <v/>
      </c>
      <c r="G36" s="29"/>
      <c r="H36" s="29"/>
      <c r="I36" s="29"/>
      <c r="J36" s="30"/>
      <c r="K36" s="30"/>
      <c r="L36" s="33"/>
    </row>
    <row r="37" spans="1:12">
      <c r="A37" s="43">
        <v>32</v>
      </c>
      <c r="B37" s="30"/>
      <c r="C37" s="30"/>
      <c r="D37" s="30"/>
      <c r="E37" s="30"/>
      <c r="F37" s="31" t="str">
        <f t="shared" si="0"/>
        <v/>
      </c>
      <c r="G37" s="29"/>
      <c r="H37" s="29"/>
      <c r="I37" s="29"/>
      <c r="J37" s="30"/>
      <c r="K37" s="30"/>
      <c r="L37" s="33"/>
    </row>
    <row r="38" spans="1:12">
      <c r="A38" s="43">
        <v>33</v>
      </c>
      <c r="B38" s="30"/>
      <c r="C38" s="30"/>
      <c r="D38" s="30"/>
      <c r="E38" s="30"/>
      <c r="F38" s="31" t="str">
        <f t="shared" si="0"/>
        <v/>
      </c>
      <c r="G38" s="29"/>
      <c r="H38" s="29"/>
      <c r="I38" s="29"/>
      <c r="J38" s="30"/>
      <c r="K38" s="30"/>
      <c r="L38" s="33"/>
    </row>
    <row r="39" spans="1:12">
      <c r="A39" s="43">
        <v>34</v>
      </c>
      <c r="B39" s="30"/>
      <c r="C39" s="30"/>
      <c r="D39" s="30"/>
      <c r="E39" s="30"/>
      <c r="F39" s="31" t="str">
        <f t="shared" si="0"/>
        <v/>
      </c>
      <c r="G39" s="29"/>
      <c r="H39" s="29"/>
      <c r="I39" s="29"/>
      <c r="J39" s="30"/>
      <c r="K39" s="30"/>
      <c r="L39" s="33"/>
    </row>
    <row r="40" spans="1:12">
      <c r="A40" s="43">
        <v>35</v>
      </c>
      <c r="B40" s="30"/>
      <c r="C40" s="30"/>
      <c r="D40" s="30"/>
      <c r="E40" s="30"/>
      <c r="F40" s="31" t="str">
        <f t="shared" si="0"/>
        <v/>
      </c>
      <c r="G40" s="29"/>
      <c r="H40" s="29"/>
      <c r="I40" s="29"/>
      <c r="J40" s="30"/>
      <c r="K40" s="30"/>
      <c r="L40" s="33"/>
    </row>
    <row r="41" spans="1:12">
      <c r="A41" s="43">
        <v>36</v>
      </c>
      <c r="B41" s="30"/>
      <c r="C41" s="30"/>
      <c r="D41" s="30"/>
      <c r="E41" s="30"/>
      <c r="F41" s="31" t="str">
        <f t="shared" si="0"/>
        <v/>
      </c>
      <c r="G41" s="29"/>
      <c r="H41" s="29"/>
      <c r="I41" s="29"/>
      <c r="J41" s="30"/>
      <c r="K41" s="30"/>
      <c r="L41" s="33"/>
    </row>
    <row r="42" spans="1:12">
      <c r="A42" s="43">
        <v>37</v>
      </c>
      <c r="B42" s="30"/>
      <c r="C42" s="30"/>
      <c r="D42" s="30"/>
      <c r="E42" s="30"/>
      <c r="F42" s="31" t="str">
        <f t="shared" si="0"/>
        <v/>
      </c>
      <c r="G42" s="29"/>
      <c r="H42" s="29"/>
      <c r="I42" s="29"/>
      <c r="J42" s="30"/>
      <c r="K42" s="30"/>
      <c r="L42" s="33"/>
    </row>
    <row r="43" spans="1:12">
      <c r="A43" s="43">
        <v>38</v>
      </c>
      <c r="B43" s="30"/>
      <c r="C43" s="30"/>
      <c r="D43" s="30"/>
      <c r="E43" s="30"/>
      <c r="F43" s="31" t="str">
        <f t="shared" si="0"/>
        <v/>
      </c>
      <c r="G43" s="29"/>
      <c r="H43" s="29"/>
      <c r="I43" s="29"/>
      <c r="J43" s="30"/>
      <c r="K43" s="30"/>
      <c r="L43" s="33"/>
    </row>
    <row r="44" spans="1:12">
      <c r="A44" s="43">
        <v>39</v>
      </c>
      <c r="B44" s="30"/>
      <c r="C44" s="30"/>
      <c r="D44" s="30"/>
      <c r="E44" s="30"/>
      <c r="F44" s="31" t="str">
        <f t="shared" si="0"/>
        <v/>
      </c>
      <c r="G44" s="29"/>
      <c r="H44" s="29"/>
      <c r="I44" s="29"/>
      <c r="J44" s="30"/>
      <c r="K44" s="30"/>
      <c r="L44" s="33"/>
    </row>
    <row r="45" spans="1:12">
      <c r="A45" s="43">
        <v>40</v>
      </c>
      <c r="B45" s="30"/>
      <c r="C45" s="30"/>
      <c r="D45" s="30"/>
      <c r="E45" s="30"/>
      <c r="F45" s="31" t="str">
        <f t="shared" si="0"/>
        <v/>
      </c>
      <c r="G45" s="29"/>
      <c r="H45" s="29"/>
      <c r="I45" s="29"/>
      <c r="J45" s="30"/>
      <c r="K45" s="30"/>
      <c r="L45" s="33"/>
    </row>
    <row r="46" spans="1:12">
      <c r="A46" s="43">
        <v>41</v>
      </c>
      <c r="B46" s="30"/>
      <c r="C46" s="30"/>
      <c r="D46" s="30"/>
      <c r="E46" s="30"/>
      <c r="F46" s="31" t="str">
        <f t="shared" si="0"/>
        <v/>
      </c>
      <c r="G46" s="29"/>
      <c r="H46" s="29"/>
      <c r="I46" s="29"/>
      <c r="J46" s="30"/>
      <c r="K46" s="30"/>
      <c r="L46" s="33"/>
    </row>
    <row r="47" spans="1:12">
      <c r="A47" s="43">
        <v>42</v>
      </c>
      <c r="B47" s="30"/>
      <c r="C47" s="30"/>
      <c r="D47" s="30"/>
      <c r="E47" s="30"/>
      <c r="F47" s="31" t="str">
        <f t="shared" si="0"/>
        <v/>
      </c>
      <c r="G47" s="29"/>
      <c r="H47" s="29"/>
      <c r="I47" s="29"/>
      <c r="J47" s="30"/>
      <c r="K47" s="30"/>
      <c r="L47" s="33"/>
    </row>
    <row r="48" spans="1:12">
      <c r="A48" s="43">
        <v>43</v>
      </c>
      <c r="B48" s="30"/>
      <c r="C48" s="30"/>
      <c r="D48" s="30"/>
      <c r="E48" s="30"/>
      <c r="F48" s="31" t="str">
        <f t="shared" si="0"/>
        <v/>
      </c>
      <c r="G48" s="29"/>
      <c r="H48" s="29"/>
      <c r="I48" s="29"/>
      <c r="J48" s="30"/>
      <c r="K48" s="30"/>
      <c r="L48" s="33"/>
    </row>
    <row r="49" spans="1:12">
      <c r="A49" s="43">
        <v>44</v>
      </c>
      <c r="B49" s="30"/>
      <c r="C49" s="30"/>
      <c r="D49" s="30"/>
      <c r="E49" s="30"/>
      <c r="F49" s="31" t="str">
        <f t="shared" si="0"/>
        <v/>
      </c>
      <c r="G49" s="29"/>
      <c r="H49" s="29"/>
      <c r="I49" s="29"/>
      <c r="J49" s="30"/>
      <c r="K49" s="30"/>
      <c r="L49" s="33"/>
    </row>
    <row r="50" spans="1:12">
      <c r="A50" s="43">
        <v>45</v>
      </c>
      <c r="B50" s="30"/>
      <c r="C50" s="30"/>
      <c r="D50" s="30"/>
      <c r="E50" s="30"/>
      <c r="F50" s="31" t="str">
        <f t="shared" si="0"/>
        <v/>
      </c>
      <c r="G50" s="29"/>
      <c r="H50" s="29"/>
      <c r="I50" s="29"/>
      <c r="J50" s="30"/>
      <c r="K50" s="30"/>
      <c r="L50" s="33"/>
    </row>
    <row r="51" spans="1:12">
      <c r="A51" s="43">
        <v>46</v>
      </c>
      <c r="B51" s="30"/>
      <c r="C51" s="30"/>
      <c r="D51" s="30"/>
      <c r="E51" s="30"/>
      <c r="F51" s="31" t="str">
        <f t="shared" si="0"/>
        <v/>
      </c>
      <c r="G51" s="29"/>
      <c r="H51" s="29"/>
      <c r="I51" s="29"/>
      <c r="J51" s="30"/>
      <c r="K51" s="30"/>
      <c r="L51" s="33"/>
    </row>
    <row r="52" spans="1:12">
      <c r="A52" s="43">
        <v>47</v>
      </c>
      <c r="B52" s="30"/>
      <c r="C52" s="30"/>
      <c r="D52" s="30"/>
      <c r="E52" s="30"/>
      <c r="F52" s="31" t="str">
        <f t="shared" si="0"/>
        <v/>
      </c>
      <c r="G52" s="29"/>
      <c r="H52" s="29"/>
      <c r="I52" s="29"/>
      <c r="J52" s="30"/>
      <c r="K52" s="30"/>
      <c r="L52" s="33"/>
    </row>
    <row r="53" spans="1:12">
      <c r="A53" s="43">
        <v>48</v>
      </c>
      <c r="B53" s="30"/>
      <c r="C53" s="30"/>
      <c r="D53" s="30"/>
      <c r="E53" s="30"/>
      <c r="F53" s="31" t="str">
        <f t="shared" si="0"/>
        <v/>
      </c>
      <c r="G53" s="29"/>
      <c r="H53" s="29"/>
      <c r="I53" s="29"/>
      <c r="J53" s="30"/>
      <c r="K53" s="30"/>
      <c r="L53" s="33"/>
    </row>
    <row r="54" spans="1:12">
      <c r="A54" s="43">
        <v>49</v>
      </c>
      <c r="B54" s="30"/>
      <c r="C54" s="30"/>
      <c r="D54" s="30"/>
      <c r="E54" s="30"/>
      <c r="F54" s="31" t="str">
        <f t="shared" si="0"/>
        <v/>
      </c>
      <c r="G54" s="29"/>
      <c r="H54" s="29"/>
      <c r="I54" s="29"/>
      <c r="J54" s="30"/>
      <c r="K54" s="30"/>
      <c r="L54" s="33"/>
    </row>
    <row r="55" spans="1:12">
      <c r="A55" s="43">
        <v>50</v>
      </c>
      <c r="B55" s="30"/>
      <c r="C55" s="30"/>
      <c r="D55" s="30"/>
      <c r="E55" s="30"/>
      <c r="F55" s="31" t="str">
        <f t="shared" si="0"/>
        <v/>
      </c>
      <c r="G55" s="29"/>
      <c r="H55" s="29"/>
      <c r="I55" s="29"/>
      <c r="J55" s="30"/>
      <c r="K55" s="30"/>
      <c r="L55" s="33"/>
    </row>
    <row r="56" spans="1:12">
      <c r="A56" s="43">
        <v>51</v>
      </c>
      <c r="B56" s="30"/>
      <c r="C56" s="30"/>
      <c r="D56" s="30"/>
      <c r="E56" s="30"/>
      <c r="F56" s="31" t="str">
        <f t="shared" si="0"/>
        <v/>
      </c>
      <c r="G56" s="29"/>
      <c r="H56" s="29"/>
      <c r="I56" s="29"/>
      <c r="J56" s="30"/>
      <c r="K56" s="30"/>
      <c r="L56" s="33"/>
    </row>
    <row r="57" spans="1:12">
      <c r="A57" s="43">
        <v>52</v>
      </c>
      <c r="B57" s="30"/>
      <c r="C57" s="30"/>
      <c r="D57" s="30"/>
      <c r="E57" s="30"/>
      <c r="F57" s="31" t="str">
        <f t="shared" si="0"/>
        <v/>
      </c>
      <c r="G57" s="29"/>
      <c r="H57" s="29"/>
      <c r="I57" s="29"/>
      <c r="J57" s="30"/>
      <c r="K57" s="30"/>
      <c r="L57" s="33"/>
    </row>
    <row r="58" spans="1:12">
      <c r="A58" s="43">
        <v>53</v>
      </c>
      <c r="B58" s="30"/>
      <c r="C58" s="30"/>
      <c r="D58" s="30"/>
      <c r="E58" s="30"/>
      <c r="F58" s="31" t="str">
        <f t="shared" si="0"/>
        <v/>
      </c>
      <c r="G58" s="29"/>
      <c r="H58" s="29"/>
      <c r="I58" s="29"/>
      <c r="J58" s="30"/>
      <c r="K58" s="30"/>
      <c r="L58" s="33"/>
    </row>
    <row r="59" spans="1:12">
      <c r="A59" s="43">
        <v>54</v>
      </c>
      <c r="B59" s="30"/>
      <c r="C59" s="30"/>
      <c r="D59" s="30"/>
      <c r="E59" s="30"/>
      <c r="F59" s="31" t="str">
        <f t="shared" si="0"/>
        <v/>
      </c>
      <c r="G59" s="29"/>
      <c r="H59" s="29"/>
      <c r="I59" s="29"/>
      <c r="J59" s="30"/>
      <c r="K59" s="30"/>
      <c r="L59" s="33"/>
    </row>
    <row r="60" spans="1:12">
      <c r="A60" s="43">
        <v>55</v>
      </c>
      <c r="B60" s="30"/>
      <c r="C60" s="30"/>
      <c r="D60" s="30"/>
      <c r="E60" s="30"/>
      <c r="F60" s="31" t="str">
        <f t="shared" si="0"/>
        <v/>
      </c>
      <c r="G60" s="29"/>
      <c r="H60" s="29"/>
      <c r="I60" s="29"/>
      <c r="J60" s="30"/>
      <c r="K60" s="30"/>
      <c r="L60" s="33"/>
    </row>
    <row r="61" spans="1:12">
      <c r="A61" s="43">
        <v>56</v>
      </c>
      <c r="B61" s="30"/>
      <c r="C61" s="30"/>
      <c r="D61" s="30"/>
      <c r="E61" s="30"/>
      <c r="F61" s="31" t="str">
        <f t="shared" si="0"/>
        <v/>
      </c>
      <c r="G61" s="29"/>
      <c r="H61" s="29"/>
      <c r="I61" s="29"/>
      <c r="J61" s="30"/>
      <c r="K61" s="30"/>
      <c r="L61" s="33"/>
    </row>
    <row r="62" spans="1:12">
      <c r="A62" s="43">
        <v>57</v>
      </c>
      <c r="B62" s="30"/>
      <c r="C62" s="30"/>
      <c r="D62" s="30"/>
      <c r="E62" s="30"/>
      <c r="F62" s="31" t="str">
        <f t="shared" si="0"/>
        <v/>
      </c>
      <c r="G62" s="29"/>
      <c r="H62" s="29"/>
      <c r="I62" s="29"/>
      <c r="J62" s="30"/>
      <c r="K62" s="30"/>
      <c r="L62" s="33"/>
    </row>
    <row r="63" spans="1:12">
      <c r="A63" s="43">
        <v>58</v>
      </c>
      <c r="B63" s="30"/>
      <c r="C63" s="30"/>
      <c r="D63" s="30"/>
      <c r="E63" s="30"/>
      <c r="F63" s="31" t="str">
        <f t="shared" si="0"/>
        <v/>
      </c>
      <c r="G63" s="29"/>
      <c r="H63" s="29"/>
      <c r="I63" s="29"/>
      <c r="J63" s="30"/>
      <c r="K63" s="30"/>
      <c r="L63" s="33"/>
    </row>
    <row r="64" spans="1:12">
      <c r="A64" s="43">
        <v>59</v>
      </c>
      <c r="B64" s="30"/>
      <c r="C64" s="30"/>
      <c r="D64" s="30"/>
      <c r="E64" s="30"/>
      <c r="F64" s="31" t="str">
        <f t="shared" si="0"/>
        <v/>
      </c>
      <c r="G64" s="29"/>
      <c r="H64" s="29"/>
      <c r="I64" s="29"/>
      <c r="J64" s="30"/>
      <c r="K64" s="30"/>
      <c r="L64" s="33"/>
    </row>
    <row r="65" spans="1:12">
      <c r="A65" s="43">
        <v>60</v>
      </c>
      <c r="B65" s="30"/>
      <c r="C65" s="30"/>
      <c r="D65" s="30"/>
      <c r="E65" s="30"/>
      <c r="F65" s="31" t="str">
        <f t="shared" si="0"/>
        <v/>
      </c>
      <c r="G65" s="29"/>
      <c r="H65" s="29"/>
      <c r="I65" s="29"/>
      <c r="J65" s="30"/>
      <c r="K65" s="30"/>
      <c r="L65" s="33"/>
    </row>
    <row r="66" spans="1:12">
      <c r="A66" s="43">
        <v>61</v>
      </c>
      <c r="B66" s="30"/>
      <c r="C66" s="30"/>
      <c r="D66" s="30"/>
      <c r="E66" s="30"/>
      <c r="F66" s="31" t="str">
        <f t="shared" si="0"/>
        <v/>
      </c>
      <c r="G66" s="29"/>
      <c r="H66" s="29"/>
      <c r="I66" s="29"/>
      <c r="J66" s="30"/>
      <c r="K66" s="30"/>
      <c r="L66" s="33"/>
    </row>
    <row r="67" spans="1:12">
      <c r="A67" s="43">
        <v>62</v>
      </c>
      <c r="B67" s="30"/>
      <c r="C67" s="30"/>
      <c r="D67" s="30"/>
      <c r="E67" s="30"/>
      <c r="F67" s="31" t="str">
        <f t="shared" si="0"/>
        <v/>
      </c>
      <c r="G67" s="29"/>
      <c r="H67" s="29"/>
      <c r="I67" s="29"/>
      <c r="J67" s="30"/>
      <c r="K67" s="30"/>
      <c r="L67" s="33"/>
    </row>
    <row r="68" spans="1:12">
      <c r="A68" s="43">
        <v>63</v>
      </c>
      <c r="B68" s="30"/>
      <c r="C68" s="30"/>
      <c r="D68" s="30"/>
      <c r="E68" s="30"/>
      <c r="F68" s="31" t="str">
        <f t="shared" si="0"/>
        <v/>
      </c>
      <c r="G68" s="29"/>
      <c r="H68" s="29"/>
      <c r="I68" s="29"/>
      <c r="J68" s="30"/>
      <c r="K68" s="30"/>
      <c r="L68" s="33"/>
    </row>
    <row r="69" spans="1:12">
      <c r="A69" s="43">
        <v>64</v>
      </c>
      <c r="B69" s="30"/>
      <c r="C69" s="30"/>
      <c r="D69" s="30"/>
      <c r="E69" s="30"/>
      <c r="F69" s="31" t="str">
        <f t="shared" si="0"/>
        <v/>
      </c>
      <c r="G69" s="29"/>
      <c r="H69" s="29"/>
      <c r="I69" s="29"/>
      <c r="J69" s="30"/>
      <c r="K69" s="30"/>
      <c r="L69" s="33"/>
    </row>
    <row r="70" spans="1:12">
      <c r="A70" s="43">
        <v>65</v>
      </c>
      <c r="B70" s="30"/>
      <c r="C70" s="30"/>
      <c r="D70" s="30"/>
      <c r="E70" s="30"/>
      <c r="F70" s="31" t="str">
        <f t="shared" ref="F70:F133" si="1">IF(E70="Ø75","10.1",IF(E70="Ø110","10.2",""))</f>
        <v/>
      </c>
      <c r="G70" s="29"/>
      <c r="H70" s="29"/>
      <c r="I70" s="29"/>
      <c r="J70" s="30"/>
      <c r="K70" s="30"/>
      <c r="L70" s="33"/>
    </row>
    <row r="71" spans="1:12">
      <c r="A71" s="43">
        <v>66</v>
      </c>
      <c r="B71" s="30"/>
      <c r="C71" s="30"/>
      <c r="D71" s="30"/>
      <c r="E71" s="30"/>
      <c r="F71" s="31" t="str">
        <f t="shared" si="1"/>
        <v/>
      </c>
      <c r="G71" s="29"/>
      <c r="H71" s="29"/>
      <c r="I71" s="29"/>
      <c r="J71" s="30"/>
      <c r="K71" s="30"/>
      <c r="L71" s="33"/>
    </row>
    <row r="72" spans="1:12">
      <c r="A72" s="43">
        <v>67</v>
      </c>
      <c r="B72" s="30"/>
      <c r="C72" s="30"/>
      <c r="D72" s="30"/>
      <c r="E72" s="30"/>
      <c r="F72" s="31" t="str">
        <f t="shared" si="1"/>
        <v/>
      </c>
      <c r="G72" s="29"/>
      <c r="H72" s="29"/>
      <c r="I72" s="29"/>
      <c r="J72" s="30"/>
      <c r="K72" s="30"/>
      <c r="L72" s="33"/>
    </row>
    <row r="73" spans="1:12">
      <c r="A73" s="43">
        <v>68</v>
      </c>
      <c r="B73" s="30"/>
      <c r="C73" s="30"/>
      <c r="D73" s="30"/>
      <c r="E73" s="30"/>
      <c r="F73" s="31" t="str">
        <f t="shared" si="1"/>
        <v/>
      </c>
      <c r="G73" s="29"/>
      <c r="H73" s="29"/>
      <c r="I73" s="29"/>
      <c r="J73" s="30"/>
      <c r="K73" s="30"/>
      <c r="L73" s="33"/>
    </row>
    <row r="74" spans="1:12">
      <c r="A74" s="43">
        <v>69</v>
      </c>
      <c r="B74" s="30"/>
      <c r="C74" s="30"/>
      <c r="D74" s="30"/>
      <c r="E74" s="30"/>
      <c r="F74" s="31" t="str">
        <f t="shared" si="1"/>
        <v/>
      </c>
      <c r="G74" s="29"/>
      <c r="H74" s="29"/>
      <c r="I74" s="29"/>
      <c r="J74" s="30"/>
      <c r="K74" s="30"/>
      <c r="L74" s="33"/>
    </row>
    <row r="75" spans="1:12">
      <c r="A75" s="43">
        <v>70</v>
      </c>
      <c r="B75" s="30"/>
      <c r="C75" s="30"/>
      <c r="D75" s="30"/>
      <c r="E75" s="30"/>
      <c r="F75" s="31" t="str">
        <f t="shared" si="1"/>
        <v/>
      </c>
      <c r="G75" s="29"/>
      <c r="H75" s="29"/>
      <c r="I75" s="29"/>
      <c r="J75" s="30"/>
      <c r="K75" s="30"/>
      <c r="L75" s="33"/>
    </row>
    <row r="76" spans="1:12">
      <c r="A76" s="43">
        <v>71</v>
      </c>
      <c r="B76" s="30"/>
      <c r="C76" s="30"/>
      <c r="D76" s="30"/>
      <c r="E76" s="30"/>
      <c r="F76" s="31" t="str">
        <f t="shared" si="1"/>
        <v/>
      </c>
      <c r="G76" s="29"/>
      <c r="H76" s="29"/>
      <c r="I76" s="29"/>
      <c r="J76" s="30"/>
      <c r="K76" s="30"/>
      <c r="L76" s="33"/>
    </row>
    <row r="77" spans="1:12">
      <c r="A77" s="43">
        <v>72</v>
      </c>
      <c r="B77" s="30"/>
      <c r="C77" s="30"/>
      <c r="D77" s="30"/>
      <c r="E77" s="30"/>
      <c r="F77" s="31" t="str">
        <f t="shared" si="1"/>
        <v/>
      </c>
      <c r="G77" s="29"/>
      <c r="H77" s="29"/>
      <c r="I77" s="29"/>
      <c r="J77" s="30"/>
      <c r="K77" s="30"/>
      <c r="L77" s="33"/>
    </row>
    <row r="78" spans="1:12">
      <c r="A78" s="43">
        <v>73</v>
      </c>
      <c r="B78" s="30"/>
      <c r="C78" s="30"/>
      <c r="D78" s="30"/>
      <c r="E78" s="30"/>
      <c r="F78" s="31" t="str">
        <f t="shared" si="1"/>
        <v/>
      </c>
      <c r="G78" s="29"/>
      <c r="H78" s="29"/>
      <c r="I78" s="29"/>
      <c r="J78" s="30"/>
      <c r="K78" s="30"/>
      <c r="L78" s="33"/>
    </row>
    <row r="79" spans="1:12">
      <c r="A79" s="43">
        <v>74</v>
      </c>
      <c r="B79" s="30"/>
      <c r="C79" s="30"/>
      <c r="D79" s="30"/>
      <c r="E79" s="30"/>
      <c r="F79" s="31" t="str">
        <f t="shared" si="1"/>
        <v/>
      </c>
      <c r="G79" s="29"/>
      <c r="H79" s="29"/>
      <c r="I79" s="29"/>
      <c r="J79" s="30"/>
      <c r="K79" s="30"/>
      <c r="L79" s="33"/>
    </row>
    <row r="80" spans="1:12">
      <c r="A80" s="43">
        <v>75</v>
      </c>
      <c r="B80" s="30"/>
      <c r="C80" s="30"/>
      <c r="D80" s="30"/>
      <c r="E80" s="30"/>
      <c r="F80" s="31" t="str">
        <f t="shared" si="1"/>
        <v/>
      </c>
      <c r="G80" s="29"/>
      <c r="H80" s="29"/>
      <c r="I80" s="29"/>
      <c r="J80" s="30"/>
      <c r="K80" s="30"/>
      <c r="L80" s="33"/>
    </row>
    <row r="81" spans="1:12">
      <c r="A81" s="43">
        <v>76</v>
      </c>
      <c r="B81" s="30"/>
      <c r="C81" s="30"/>
      <c r="D81" s="30"/>
      <c r="E81" s="30"/>
      <c r="F81" s="31" t="str">
        <f t="shared" si="1"/>
        <v/>
      </c>
      <c r="G81" s="29"/>
      <c r="H81" s="29"/>
      <c r="I81" s="29"/>
      <c r="J81" s="30"/>
      <c r="K81" s="30"/>
      <c r="L81" s="33"/>
    </row>
    <row r="82" spans="1:12">
      <c r="A82" s="43">
        <v>77</v>
      </c>
      <c r="B82" s="30"/>
      <c r="C82" s="30"/>
      <c r="D82" s="30"/>
      <c r="E82" s="30"/>
      <c r="F82" s="31" t="str">
        <f t="shared" si="1"/>
        <v/>
      </c>
      <c r="G82" s="29"/>
      <c r="H82" s="29"/>
      <c r="I82" s="29"/>
      <c r="J82" s="30"/>
      <c r="K82" s="30"/>
      <c r="L82" s="33"/>
    </row>
    <row r="83" spans="1:12">
      <c r="A83" s="43">
        <v>78</v>
      </c>
      <c r="B83" s="30"/>
      <c r="C83" s="30"/>
      <c r="D83" s="30"/>
      <c r="E83" s="30"/>
      <c r="F83" s="31" t="str">
        <f t="shared" si="1"/>
        <v/>
      </c>
      <c r="G83" s="29"/>
      <c r="H83" s="29"/>
      <c r="I83" s="29"/>
      <c r="J83" s="30"/>
      <c r="K83" s="30"/>
      <c r="L83" s="33"/>
    </row>
    <row r="84" spans="1:12">
      <c r="A84" s="43">
        <v>79</v>
      </c>
      <c r="B84" s="30"/>
      <c r="C84" s="30"/>
      <c r="D84" s="30"/>
      <c r="E84" s="30"/>
      <c r="F84" s="31" t="str">
        <f t="shared" si="1"/>
        <v/>
      </c>
      <c r="G84" s="29"/>
      <c r="H84" s="29"/>
      <c r="I84" s="29"/>
      <c r="J84" s="30"/>
      <c r="K84" s="30"/>
      <c r="L84" s="33"/>
    </row>
    <row r="85" spans="1:12">
      <c r="A85" s="43">
        <v>80</v>
      </c>
      <c r="B85" s="30"/>
      <c r="C85" s="30"/>
      <c r="D85" s="30"/>
      <c r="E85" s="30"/>
      <c r="F85" s="31" t="str">
        <f t="shared" si="1"/>
        <v/>
      </c>
      <c r="G85" s="29"/>
      <c r="H85" s="29"/>
      <c r="I85" s="29"/>
      <c r="J85" s="30"/>
      <c r="K85" s="30"/>
      <c r="L85" s="33"/>
    </row>
    <row r="86" spans="1:12">
      <c r="A86" s="43">
        <v>81</v>
      </c>
      <c r="B86" s="30"/>
      <c r="C86" s="30"/>
      <c r="D86" s="30"/>
      <c r="E86" s="30"/>
      <c r="F86" s="31" t="str">
        <f t="shared" si="1"/>
        <v/>
      </c>
      <c r="G86" s="29"/>
      <c r="H86" s="29"/>
      <c r="I86" s="29"/>
      <c r="J86" s="30"/>
      <c r="K86" s="30"/>
      <c r="L86" s="33"/>
    </row>
    <row r="87" spans="1:12">
      <c r="A87" s="43">
        <v>82</v>
      </c>
      <c r="B87" s="30"/>
      <c r="C87" s="30"/>
      <c r="D87" s="30"/>
      <c r="E87" s="30"/>
      <c r="F87" s="31" t="str">
        <f t="shared" si="1"/>
        <v/>
      </c>
      <c r="G87" s="29"/>
      <c r="H87" s="29"/>
      <c r="I87" s="29"/>
      <c r="J87" s="30"/>
      <c r="K87" s="30"/>
      <c r="L87" s="33"/>
    </row>
    <row r="88" spans="1:12">
      <c r="A88" s="43">
        <v>83</v>
      </c>
      <c r="B88" s="30"/>
      <c r="C88" s="30"/>
      <c r="D88" s="30"/>
      <c r="E88" s="30"/>
      <c r="F88" s="31" t="str">
        <f t="shared" si="1"/>
        <v/>
      </c>
      <c r="G88" s="29"/>
      <c r="H88" s="29"/>
      <c r="I88" s="29"/>
      <c r="J88" s="30"/>
      <c r="K88" s="30"/>
      <c r="L88" s="33"/>
    </row>
    <row r="89" spans="1:12">
      <c r="A89" s="43">
        <v>84</v>
      </c>
      <c r="B89" s="30"/>
      <c r="C89" s="30"/>
      <c r="D89" s="30"/>
      <c r="E89" s="30"/>
      <c r="F89" s="31" t="str">
        <f t="shared" si="1"/>
        <v/>
      </c>
      <c r="G89" s="29"/>
      <c r="H89" s="29"/>
      <c r="I89" s="29"/>
      <c r="J89" s="30"/>
      <c r="K89" s="30"/>
      <c r="L89" s="33"/>
    </row>
    <row r="90" spans="1:12">
      <c r="A90" s="43">
        <v>85</v>
      </c>
      <c r="B90" s="30"/>
      <c r="C90" s="30"/>
      <c r="D90" s="30"/>
      <c r="E90" s="30"/>
      <c r="F90" s="31" t="str">
        <f t="shared" si="1"/>
        <v/>
      </c>
      <c r="G90" s="29"/>
      <c r="H90" s="29"/>
      <c r="I90" s="29"/>
      <c r="J90" s="30"/>
      <c r="K90" s="30"/>
      <c r="L90" s="33"/>
    </row>
    <row r="91" spans="1:12">
      <c r="A91" s="43">
        <v>86</v>
      </c>
      <c r="B91" s="30"/>
      <c r="C91" s="30"/>
      <c r="D91" s="30"/>
      <c r="E91" s="30"/>
      <c r="F91" s="31" t="str">
        <f t="shared" si="1"/>
        <v/>
      </c>
      <c r="G91" s="29"/>
      <c r="H91" s="29"/>
      <c r="I91" s="29"/>
      <c r="J91" s="30"/>
      <c r="K91" s="30"/>
      <c r="L91" s="33"/>
    </row>
    <row r="92" spans="1:12">
      <c r="A92" s="43">
        <v>87</v>
      </c>
      <c r="B92" s="30"/>
      <c r="C92" s="30"/>
      <c r="D92" s="30"/>
      <c r="E92" s="30"/>
      <c r="F92" s="31" t="str">
        <f t="shared" si="1"/>
        <v/>
      </c>
      <c r="G92" s="29"/>
      <c r="H92" s="29"/>
      <c r="I92" s="29"/>
      <c r="J92" s="30"/>
      <c r="K92" s="30"/>
      <c r="L92" s="33"/>
    </row>
    <row r="93" spans="1:12">
      <c r="A93" s="43">
        <v>88</v>
      </c>
      <c r="B93" s="30"/>
      <c r="C93" s="30"/>
      <c r="D93" s="30"/>
      <c r="E93" s="30"/>
      <c r="F93" s="31" t="str">
        <f t="shared" si="1"/>
        <v/>
      </c>
      <c r="G93" s="29"/>
      <c r="H93" s="29"/>
      <c r="I93" s="29"/>
      <c r="J93" s="30"/>
      <c r="K93" s="30"/>
      <c r="L93" s="33"/>
    </row>
    <row r="94" spans="1:12">
      <c r="A94" s="43">
        <v>89</v>
      </c>
      <c r="B94" s="30"/>
      <c r="C94" s="30"/>
      <c r="D94" s="30"/>
      <c r="E94" s="30"/>
      <c r="F94" s="31" t="str">
        <f t="shared" si="1"/>
        <v/>
      </c>
      <c r="G94" s="29"/>
      <c r="H94" s="29"/>
      <c r="I94" s="29"/>
      <c r="J94" s="30"/>
      <c r="K94" s="30"/>
      <c r="L94" s="33"/>
    </row>
    <row r="95" spans="1:12">
      <c r="A95" s="43">
        <v>90</v>
      </c>
      <c r="B95" s="30"/>
      <c r="C95" s="30"/>
      <c r="D95" s="30"/>
      <c r="E95" s="30"/>
      <c r="F95" s="31" t="str">
        <f t="shared" si="1"/>
        <v/>
      </c>
      <c r="G95" s="29"/>
      <c r="H95" s="29"/>
      <c r="I95" s="29"/>
      <c r="J95" s="30"/>
      <c r="K95" s="30"/>
      <c r="L95" s="33"/>
    </row>
    <row r="96" spans="1:12">
      <c r="A96" s="43">
        <v>91</v>
      </c>
      <c r="B96" s="30"/>
      <c r="C96" s="30"/>
      <c r="D96" s="30"/>
      <c r="E96" s="30"/>
      <c r="F96" s="31" t="str">
        <f t="shared" si="1"/>
        <v/>
      </c>
      <c r="G96" s="29"/>
      <c r="H96" s="29"/>
      <c r="I96" s="29"/>
      <c r="J96" s="30"/>
      <c r="K96" s="30"/>
      <c r="L96" s="33"/>
    </row>
    <row r="97" spans="1:12">
      <c r="A97" s="43">
        <v>92</v>
      </c>
      <c r="B97" s="30"/>
      <c r="C97" s="30"/>
      <c r="D97" s="30"/>
      <c r="E97" s="30"/>
      <c r="F97" s="31" t="str">
        <f t="shared" si="1"/>
        <v/>
      </c>
      <c r="G97" s="29"/>
      <c r="H97" s="29"/>
      <c r="I97" s="29"/>
      <c r="J97" s="30"/>
      <c r="K97" s="30"/>
      <c r="L97" s="33"/>
    </row>
    <row r="98" spans="1:12">
      <c r="A98" s="43">
        <v>93</v>
      </c>
      <c r="B98" s="30"/>
      <c r="C98" s="30"/>
      <c r="D98" s="30"/>
      <c r="E98" s="30"/>
      <c r="F98" s="31" t="str">
        <f t="shared" si="1"/>
        <v/>
      </c>
      <c r="G98" s="29"/>
      <c r="H98" s="29"/>
      <c r="I98" s="29"/>
      <c r="J98" s="30"/>
      <c r="K98" s="30"/>
      <c r="L98" s="33"/>
    </row>
    <row r="99" spans="1:12">
      <c r="A99" s="43">
        <v>94</v>
      </c>
      <c r="B99" s="30"/>
      <c r="C99" s="30"/>
      <c r="D99" s="30"/>
      <c r="E99" s="30"/>
      <c r="F99" s="31" t="str">
        <f t="shared" si="1"/>
        <v/>
      </c>
      <c r="G99" s="29"/>
      <c r="H99" s="29"/>
      <c r="I99" s="29"/>
      <c r="J99" s="30"/>
      <c r="K99" s="30"/>
      <c r="L99" s="33"/>
    </row>
    <row r="100" spans="1:12">
      <c r="A100" s="43">
        <v>95</v>
      </c>
      <c r="B100" s="30"/>
      <c r="C100" s="30"/>
      <c r="D100" s="30"/>
      <c r="E100" s="30"/>
      <c r="F100" s="31" t="str">
        <f t="shared" si="1"/>
        <v/>
      </c>
      <c r="G100" s="29"/>
      <c r="H100" s="29"/>
      <c r="I100" s="29"/>
      <c r="J100" s="30"/>
      <c r="K100" s="30"/>
      <c r="L100" s="33"/>
    </row>
    <row r="101" spans="1:12">
      <c r="A101" s="43">
        <v>96</v>
      </c>
      <c r="B101" s="30"/>
      <c r="C101" s="30"/>
      <c r="D101" s="30"/>
      <c r="E101" s="30"/>
      <c r="F101" s="31" t="str">
        <f t="shared" si="1"/>
        <v/>
      </c>
      <c r="G101" s="29"/>
      <c r="H101" s="29"/>
      <c r="I101" s="29"/>
      <c r="J101" s="30"/>
      <c r="K101" s="30"/>
      <c r="L101" s="33"/>
    </row>
    <row r="102" spans="1:12">
      <c r="A102" s="43">
        <v>97</v>
      </c>
      <c r="B102" s="30"/>
      <c r="C102" s="30"/>
      <c r="D102" s="30"/>
      <c r="E102" s="30"/>
      <c r="F102" s="31" t="str">
        <f t="shared" si="1"/>
        <v/>
      </c>
      <c r="G102" s="29"/>
      <c r="H102" s="29"/>
      <c r="I102" s="29"/>
      <c r="J102" s="30"/>
      <c r="K102" s="30"/>
      <c r="L102" s="33"/>
    </row>
    <row r="103" spans="1:12">
      <c r="A103" s="43">
        <v>98</v>
      </c>
      <c r="B103" s="30"/>
      <c r="C103" s="30"/>
      <c r="D103" s="30"/>
      <c r="E103" s="30"/>
      <c r="F103" s="31" t="str">
        <f t="shared" si="1"/>
        <v/>
      </c>
      <c r="G103" s="29"/>
      <c r="H103" s="29"/>
      <c r="I103" s="29"/>
      <c r="J103" s="30"/>
      <c r="K103" s="30"/>
      <c r="L103" s="33"/>
    </row>
    <row r="104" spans="1:12">
      <c r="A104" s="43">
        <v>99</v>
      </c>
      <c r="B104" s="30"/>
      <c r="C104" s="30"/>
      <c r="D104" s="30"/>
      <c r="E104" s="30"/>
      <c r="F104" s="31" t="str">
        <f t="shared" si="1"/>
        <v/>
      </c>
      <c r="G104" s="29"/>
      <c r="H104" s="29"/>
      <c r="I104" s="29"/>
      <c r="J104" s="30"/>
      <c r="K104" s="30"/>
      <c r="L104" s="33"/>
    </row>
    <row r="105" spans="1:12">
      <c r="A105" s="43">
        <v>100</v>
      </c>
      <c r="B105" s="30"/>
      <c r="C105" s="30"/>
      <c r="D105" s="30"/>
      <c r="E105" s="30"/>
      <c r="F105" s="31" t="str">
        <f t="shared" si="1"/>
        <v/>
      </c>
      <c r="G105" s="29"/>
      <c r="H105" s="29"/>
      <c r="I105" s="29"/>
      <c r="J105" s="30"/>
      <c r="K105" s="30"/>
      <c r="L105" s="33"/>
    </row>
    <row r="106" spans="1:12">
      <c r="A106" s="43">
        <v>101</v>
      </c>
      <c r="B106" s="30"/>
      <c r="C106" s="30"/>
      <c r="D106" s="30"/>
      <c r="E106" s="30"/>
      <c r="F106" s="31" t="str">
        <f t="shared" si="1"/>
        <v/>
      </c>
      <c r="G106" s="29"/>
      <c r="H106" s="29"/>
      <c r="I106" s="29"/>
      <c r="J106" s="30"/>
      <c r="K106" s="30"/>
      <c r="L106" s="33"/>
    </row>
    <row r="107" spans="1:12">
      <c r="A107" s="43">
        <v>102</v>
      </c>
      <c r="B107" s="30"/>
      <c r="C107" s="30"/>
      <c r="D107" s="30"/>
      <c r="E107" s="30"/>
      <c r="F107" s="31" t="str">
        <f t="shared" si="1"/>
        <v/>
      </c>
      <c r="G107" s="29"/>
      <c r="H107" s="29"/>
      <c r="I107" s="29"/>
      <c r="J107" s="30"/>
      <c r="K107" s="30"/>
      <c r="L107" s="33"/>
    </row>
    <row r="108" spans="1:12">
      <c r="A108" s="43">
        <v>103</v>
      </c>
      <c r="B108" s="30"/>
      <c r="C108" s="30"/>
      <c r="D108" s="30"/>
      <c r="E108" s="30"/>
      <c r="F108" s="31" t="str">
        <f t="shared" si="1"/>
        <v/>
      </c>
      <c r="G108" s="29"/>
      <c r="H108" s="29"/>
      <c r="I108" s="29"/>
      <c r="J108" s="30"/>
      <c r="K108" s="30"/>
      <c r="L108" s="33"/>
    </row>
    <row r="109" spans="1:12">
      <c r="A109" s="43">
        <v>104</v>
      </c>
      <c r="B109" s="30"/>
      <c r="C109" s="30"/>
      <c r="D109" s="30"/>
      <c r="E109" s="30"/>
      <c r="F109" s="31" t="str">
        <f t="shared" si="1"/>
        <v/>
      </c>
      <c r="G109" s="29"/>
      <c r="H109" s="29"/>
      <c r="I109" s="29"/>
      <c r="J109" s="30"/>
      <c r="K109" s="30"/>
      <c r="L109" s="33"/>
    </row>
    <row r="110" spans="1:12">
      <c r="A110" s="43">
        <v>105</v>
      </c>
      <c r="B110" s="30"/>
      <c r="C110" s="30"/>
      <c r="D110" s="30"/>
      <c r="E110" s="30"/>
      <c r="F110" s="31" t="str">
        <f t="shared" si="1"/>
        <v/>
      </c>
      <c r="G110" s="29"/>
      <c r="H110" s="29"/>
      <c r="I110" s="29"/>
      <c r="J110" s="30"/>
      <c r="K110" s="30"/>
      <c r="L110" s="33"/>
    </row>
    <row r="111" spans="1:12">
      <c r="A111" s="43">
        <v>106</v>
      </c>
      <c r="B111" s="30"/>
      <c r="C111" s="30"/>
      <c r="D111" s="30"/>
      <c r="E111" s="30"/>
      <c r="F111" s="31" t="str">
        <f t="shared" si="1"/>
        <v/>
      </c>
      <c r="G111" s="29"/>
      <c r="H111" s="29"/>
      <c r="I111" s="29"/>
      <c r="J111" s="30"/>
      <c r="K111" s="30"/>
      <c r="L111" s="33"/>
    </row>
    <row r="112" spans="1:12">
      <c r="A112" s="43">
        <v>107</v>
      </c>
      <c r="B112" s="30"/>
      <c r="C112" s="30"/>
      <c r="D112" s="30"/>
      <c r="E112" s="30"/>
      <c r="F112" s="31" t="str">
        <f t="shared" si="1"/>
        <v/>
      </c>
      <c r="G112" s="29"/>
      <c r="H112" s="29"/>
      <c r="I112" s="29"/>
      <c r="J112" s="30"/>
      <c r="K112" s="30"/>
      <c r="L112" s="33"/>
    </row>
    <row r="113" spans="1:12">
      <c r="A113" s="43">
        <v>108</v>
      </c>
      <c r="B113" s="30"/>
      <c r="C113" s="30"/>
      <c r="D113" s="30"/>
      <c r="E113" s="30"/>
      <c r="F113" s="31" t="str">
        <f t="shared" si="1"/>
        <v/>
      </c>
      <c r="G113" s="29"/>
      <c r="H113" s="29"/>
      <c r="I113" s="29"/>
      <c r="J113" s="30"/>
      <c r="K113" s="30"/>
      <c r="L113" s="33"/>
    </row>
    <row r="114" spans="1:12">
      <c r="A114" s="43">
        <v>109</v>
      </c>
      <c r="B114" s="30"/>
      <c r="C114" s="30"/>
      <c r="D114" s="30"/>
      <c r="E114" s="30"/>
      <c r="F114" s="31" t="str">
        <f t="shared" si="1"/>
        <v/>
      </c>
      <c r="G114" s="29"/>
      <c r="H114" s="29"/>
      <c r="I114" s="29"/>
      <c r="J114" s="30"/>
      <c r="K114" s="30"/>
      <c r="L114" s="33"/>
    </row>
    <row r="115" spans="1:12">
      <c r="A115" s="43">
        <v>110</v>
      </c>
      <c r="B115" s="30"/>
      <c r="C115" s="30"/>
      <c r="D115" s="30"/>
      <c r="E115" s="30"/>
      <c r="F115" s="31" t="str">
        <f t="shared" si="1"/>
        <v/>
      </c>
      <c r="G115" s="29"/>
      <c r="H115" s="29"/>
      <c r="I115" s="29"/>
      <c r="J115" s="30"/>
      <c r="K115" s="30"/>
      <c r="L115" s="33"/>
    </row>
    <row r="116" spans="1:12">
      <c r="A116" s="43">
        <v>111</v>
      </c>
      <c r="B116" s="30"/>
      <c r="C116" s="30"/>
      <c r="D116" s="30"/>
      <c r="E116" s="30"/>
      <c r="F116" s="31" t="str">
        <f t="shared" si="1"/>
        <v/>
      </c>
      <c r="G116" s="29"/>
      <c r="H116" s="29"/>
      <c r="I116" s="29"/>
      <c r="J116" s="30"/>
      <c r="K116" s="30"/>
      <c r="L116" s="33"/>
    </row>
    <row r="117" spans="1:12">
      <c r="A117" s="43">
        <v>112</v>
      </c>
      <c r="B117" s="30"/>
      <c r="C117" s="30"/>
      <c r="D117" s="30"/>
      <c r="E117" s="30"/>
      <c r="F117" s="31" t="str">
        <f t="shared" si="1"/>
        <v/>
      </c>
      <c r="G117" s="29"/>
      <c r="H117" s="29"/>
      <c r="I117" s="29"/>
      <c r="J117" s="30"/>
      <c r="K117" s="30"/>
      <c r="L117" s="33"/>
    </row>
    <row r="118" spans="1:12">
      <c r="A118" s="43">
        <v>113</v>
      </c>
      <c r="B118" s="30"/>
      <c r="C118" s="30"/>
      <c r="D118" s="30"/>
      <c r="E118" s="30"/>
      <c r="F118" s="31" t="str">
        <f t="shared" si="1"/>
        <v/>
      </c>
      <c r="G118" s="29"/>
      <c r="H118" s="29"/>
      <c r="I118" s="29"/>
      <c r="J118" s="30"/>
      <c r="K118" s="30"/>
      <c r="L118" s="33"/>
    </row>
    <row r="119" spans="1:12">
      <c r="A119" s="43">
        <v>114</v>
      </c>
      <c r="B119" s="30"/>
      <c r="C119" s="30"/>
      <c r="D119" s="30"/>
      <c r="E119" s="30"/>
      <c r="F119" s="31" t="str">
        <f t="shared" si="1"/>
        <v/>
      </c>
      <c r="G119" s="29"/>
      <c r="H119" s="29"/>
      <c r="I119" s="29"/>
      <c r="J119" s="30"/>
      <c r="K119" s="30"/>
      <c r="L119" s="33"/>
    </row>
    <row r="120" spans="1:12">
      <c r="A120" s="43">
        <v>115</v>
      </c>
      <c r="B120" s="30"/>
      <c r="C120" s="30"/>
      <c r="D120" s="30"/>
      <c r="E120" s="30"/>
      <c r="F120" s="31" t="str">
        <f t="shared" si="1"/>
        <v/>
      </c>
      <c r="G120" s="29"/>
      <c r="H120" s="29"/>
      <c r="I120" s="29"/>
      <c r="J120" s="30"/>
      <c r="K120" s="30"/>
      <c r="L120" s="33"/>
    </row>
    <row r="121" spans="1:12">
      <c r="A121" s="43">
        <v>116</v>
      </c>
      <c r="B121" s="30"/>
      <c r="C121" s="30"/>
      <c r="D121" s="30"/>
      <c r="E121" s="30"/>
      <c r="F121" s="31" t="str">
        <f t="shared" si="1"/>
        <v/>
      </c>
      <c r="G121" s="29"/>
      <c r="H121" s="29"/>
      <c r="I121" s="29"/>
      <c r="J121" s="30"/>
      <c r="K121" s="30"/>
      <c r="L121" s="33"/>
    </row>
    <row r="122" spans="1:12">
      <c r="A122" s="43">
        <v>117</v>
      </c>
      <c r="B122" s="30"/>
      <c r="C122" s="30"/>
      <c r="D122" s="30"/>
      <c r="E122" s="30"/>
      <c r="F122" s="31" t="str">
        <f t="shared" si="1"/>
        <v/>
      </c>
      <c r="G122" s="29"/>
      <c r="H122" s="29"/>
      <c r="I122" s="29"/>
      <c r="J122" s="30"/>
      <c r="K122" s="30"/>
      <c r="L122" s="33"/>
    </row>
    <row r="123" spans="1:12">
      <c r="A123" s="43">
        <v>118</v>
      </c>
      <c r="B123" s="30"/>
      <c r="C123" s="30"/>
      <c r="D123" s="30"/>
      <c r="E123" s="30"/>
      <c r="F123" s="31" t="str">
        <f t="shared" si="1"/>
        <v/>
      </c>
      <c r="G123" s="29"/>
      <c r="H123" s="29"/>
      <c r="I123" s="29"/>
      <c r="J123" s="30"/>
      <c r="K123" s="30"/>
      <c r="L123" s="33"/>
    </row>
    <row r="124" spans="1:12">
      <c r="A124" s="43">
        <v>119</v>
      </c>
      <c r="B124" s="30"/>
      <c r="C124" s="30"/>
      <c r="D124" s="30"/>
      <c r="E124" s="30"/>
      <c r="F124" s="31" t="str">
        <f t="shared" si="1"/>
        <v/>
      </c>
      <c r="G124" s="29"/>
      <c r="H124" s="29"/>
      <c r="I124" s="29"/>
      <c r="J124" s="30"/>
      <c r="K124" s="30"/>
      <c r="L124" s="33"/>
    </row>
    <row r="125" spans="1:12">
      <c r="A125" s="43">
        <v>120</v>
      </c>
      <c r="B125" s="30"/>
      <c r="C125" s="30"/>
      <c r="D125" s="30"/>
      <c r="E125" s="30"/>
      <c r="F125" s="31" t="str">
        <f t="shared" si="1"/>
        <v/>
      </c>
      <c r="G125" s="29"/>
      <c r="H125" s="29"/>
      <c r="I125" s="29"/>
      <c r="J125" s="30"/>
      <c r="K125" s="30"/>
      <c r="L125" s="33"/>
    </row>
    <row r="126" spans="1:12">
      <c r="A126" s="43">
        <v>121</v>
      </c>
      <c r="B126" s="30"/>
      <c r="C126" s="30"/>
      <c r="D126" s="30"/>
      <c r="E126" s="30"/>
      <c r="F126" s="31" t="str">
        <f t="shared" si="1"/>
        <v/>
      </c>
      <c r="G126" s="29"/>
      <c r="H126" s="29"/>
      <c r="I126" s="29"/>
      <c r="J126" s="30"/>
      <c r="K126" s="30"/>
      <c r="L126" s="33"/>
    </row>
    <row r="127" spans="1:12">
      <c r="A127" s="43">
        <v>122</v>
      </c>
      <c r="B127" s="30"/>
      <c r="C127" s="30"/>
      <c r="D127" s="30"/>
      <c r="E127" s="30"/>
      <c r="F127" s="31" t="str">
        <f t="shared" si="1"/>
        <v/>
      </c>
      <c r="G127" s="29"/>
      <c r="H127" s="29"/>
      <c r="I127" s="29"/>
      <c r="J127" s="30"/>
      <c r="K127" s="30"/>
      <c r="L127" s="33"/>
    </row>
    <row r="128" spans="1:12">
      <c r="A128" s="43">
        <v>123</v>
      </c>
      <c r="B128" s="30"/>
      <c r="C128" s="30"/>
      <c r="D128" s="30"/>
      <c r="E128" s="30"/>
      <c r="F128" s="31" t="str">
        <f t="shared" si="1"/>
        <v/>
      </c>
      <c r="G128" s="29"/>
      <c r="H128" s="29"/>
      <c r="I128" s="29"/>
      <c r="J128" s="30"/>
      <c r="K128" s="30"/>
      <c r="L128" s="33"/>
    </row>
    <row r="129" spans="1:12">
      <c r="A129" s="43">
        <v>124</v>
      </c>
      <c r="B129" s="30"/>
      <c r="C129" s="30"/>
      <c r="D129" s="30"/>
      <c r="E129" s="30"/>
      <c r="F129" s="31" t="str">
        <f t="shared" si="1"/>
        <v/>
      </c>
      <c r="G129" s="29"/>
      <c r="H129" s="29"/>
      <c r="I129" s="29"/>
      <c r="J129" s="30"/>
      <c r="K129" s="30"/>
      <c r="L129" s="33"/>
    </row>
    <row r="130" spans="1:12">
      <c r="A130" s="43">
        <v>125</v>
      </c>
      <c r="B130" s="30"/>
      <c r="C130" s="30"/>
      <c r="D130" s="30"/>
      <c r="E130" s="30"/>
      <c r="F130" s="31" t="str">
        <f t="shared" si="1"/>
        <v/>
      </c>
      <c r="G130" s="29"/>
      <c r="H130" s="29"/>
      <c r="I130" s="29"/>
      <c r="J130" s="30"/>
      <c r="K130" s="30"/>
      <c r="L130" s="33"/>
    </row>
    <row r="131" spans="1:12">
      <c r="A131" s="43">
        <v>126</v>
      </c>
      <c r="B131" s="30"/>
      <c r="C131" s="30"/>
      <c r="D131" s="30"/>
      <c r="E131" s="30"/>
      <c r="F131" s="31" t="str">
        <f t="shared" si="1"/>
        <v/>
      </c>
      <c r="G131" s="29"/>
      <c r="H131" s="29"/>
      <c r="I131" s="29"/>
      <c r="J131" s="30"/>
      <c r="K131" s="30"/>
      <c r="L131" s="33"/>
    </row>
    <row r="132" spans="1:12">
      <c r="A132" s="43">
        <v>127</v>
      </c>
      <c r="B132" s="30"/>
      <c r="C132" s="30"/>
      <c r="D132" s="30"/>
      <c r="E132" s="30"/>
      <c r="F132" s="31" t="str">
        <f t="shared" si="1"/>
        <v/>
      </c>
      <c r="G132" s="29"/>
      <c r="H132" s="29"/>
      <c r="I132" s="29"/>
      <c r="J132" s="30"/>
      <c r="K132" s="30"/>
      <c r="L132" s="33"/>
    </row>
    <row r="133" spans="1:12">
      <c r="A133" s="43">
        <v>128</v>
      </c>
      <c r="B133" s="30"/>
      <c r="C133" s="30"/>
      <c r="D133" s="30"/>
      <c r="E133" s="30"/>
      <c r="F133" s="31" t="str">
        <f t="shared" si="1"/>
        <v/>
      </c>
      <c r="G133" s="29"/>
      <c r="H133" s="29"/>
      <c r="I133" s="29"/>
      <c r="J133" s="30"/>
      <c r="K133" s="30"/>
      <c r="L133" s="33"/>
    </row>
    <row r="134" spans="1:12">
      <c r="A134" s="43">
        <v>129</v>
      </c>
      <c r="B134" s="30"/>
      <c r="C134" s="30"/>
      <c r="D134" s="30"/>
      <c r="E134" s="30"/>
      <c r="F134" s="31" t="str">
        <f t="shared" ref="F134:F197" si="2">IF(E134="Ø75","10.1",IF(E134="Ø110","10.2",""))</f>
        <v/>
      </c>
      <c r="G134" s="29"/>
      <c r="H134" s="29"/>
      <c r="I134" s="29"/>
      <c r="J134" s="30"/>
      <c r="K134" s="30"/>
      <c r="L134" s="33"/>
    </row>
    <row r="135" spans="1:12">
      <c r="A135" s="43">
        <v>130</v>
      </c>
      <c r="B135" s="30"/>
      <c r="C135" s="30"/>
      <c r="D135" s="30"/>
      <c r="E135" s="30"/>
      <c r="F135" s="31" t="str">
        <f t="shared" si="2"/>
        <v/>
      </c>
      <c r="G135" s="29"/>
      <c r="H135" s="29"/>
      <c r="I135" s="29"/>
      <c r="J135" s="30"/>
      <c r="K135" s="30"/>
      <c r="L135" s="33"/>
    </row>
    <row r="136" spans="1:12">
      <c r="A136" s="43">
        <v>131</v>
      </c>
      <c r="B136" s="30"/>
      <c r="C136" s="30"/>
      <c r="D136" s="30"/>
      <c r="E136" s="30"/>
      <c r="F136" s="31" t="str">
        <f t="shared" si="2"/>
        <v/>
      </c>
      <c r="G136" s="29"/>
      <c r="H136" s="29"/>
      <c r="I136" s="29"/>
      <c r="J136" s="30"/>
      <c r="K136" s="30"/>
      <c r="L136" s="33"/>
    </row>
    <row r="137" spans="1:12">
      <c r="A137" s="43">
        <v>132</v>
      </c>
      <c r="B137" s="30"/>
      <c r="C137" s="30"/>
      <c r="D137" s="30"/>
      <c r="E137" s="30"/>
      <c r="F137" s="31" t="str">
        <f t="shared" si="2"/>
        <v/>
      </c>
      <c r="G137" s="29"/>
      <c r="H137" s="29"/>
      <c r="I137" s="29"/>
      <c r="J137" s="30"/>
      <c r="K137" s="30"/>
      <c r="L137" s="33"/>
    </row>
    <row r="138" spans="1:12">
      <c r="A138" s="43">
        <v>133</v>
      </c>
      <c r="B138" s="30"/>
      <c r="C138" s="30"/>
      <c r="D138" s="30"/>
      <c r="E138" s="30"/>
      <c r="F138" s="31" t="str">
        <f t="shared" si="2"/>
        <v/>
      </c>
      <c r="G138" s="29"/>
      <c r="H138" s="29"/>
      <c r="I138" s="29"/>
      <c r="J138" s="30"/>
      <c r="K138" s="30"/>
      <c r="L138" s="33"/>
    </row>
    <row r="139" spans="1:12">
      <c r="A139" s="43">
        <v>134</v>
      </c>
      <c r="B139" s="30"/>
      <c r="C139" s="30"/>
      <c r="D139" s="30"/>
      <c r="E139" s="30"/>
      <c r="F139" s="31" t="str">
        <f t="shared" si="2"/>
        <v/>
      </c>
      <c r="G139" s="29"/>
      <c r="H139" s="29"/>
      <c r="I139" s="29"/>
      <c r="J139" s="30"/>
      <c r="K139" s="30"/>
      <c r="L139" s="33"/>
    </row>
    <row r="140" spans="1:12">
      <c r="A140" s="43">
        <v>135</v>
      </c>
      <c r="B140" s="30"/>
      <c r="C140" s="30"/>
      <c r="D140" s="30"/>
      <c r="E140" s="30"/>
      <c r="F140" s="31" t="str">
        <f t="shared" si="2"/>
        <v/>
      </c>
      <c r="G140" s="29"/>
      <c r="H140" s="29"/>
      <c r="I140" s="29"/>
      <c r="J140" s="30"/>
      <c r="K140" s="30"/>
      <c r="L140" s="33"/>
    </row>
    <row r="141" spans="1:12">
      <c r="A141" s="43">
        <v>136</v>
      </c>
      <c r="B141" s="30"/>
      <c r="C141" s="30"/>
      <c r="D141" s="30"/>
      <c r="E141" s="30"/>
      <c r="F141" s="31" t="str">
        <f t="shared" si="2"/>
        <v/>
      </c>
      <c r="G141" s="29"/>
      <c r="H141" s="29"/>
      <c r="I141" s="29"/>
      <c r="J141" s="30"/>
      <c r="K141" s="30"/>
      <c r="L141" s="33"/>
    </row>
    <row r="142" spans="1:12">
      <c r="A142" s="43">
        <v>137</v>
      </c>
      <c r="B142" s="30"/>
      <c r="C142" s="30"/>
      <c r="D142" s="30"/>
      <c r="E142" s="30"/>
      <c r="F142" s="31" t="str">
        <f t="shared" si="2"/>
        <v/>
      </c>
      <c r="G142" s="29"/>
      <c r="H142" s="29"/>
      <c r="I142" s="29"/>
      <c r="J142" s="30"/>
      <c r="K142" s="30"/>
      <c r="L142" s="33"/>
    </row>
    <row r="143" spans="1:12">
      <c r="A143" s="43">
        <v>138</v>
      </c>
      <c r="B143" s="30"/>
      <c r="C143" s="30"/>
      <c r="D143" s="30"/>
      <c r="E143" s="30"/>
      <c r="F143" s="31" t="str">
        <f t="shared" si="2"/>
        <v/>
      </c>
      <c r="G143" s="29"/>
      <c r="H143" s="29"/>
      <c r="I143" s="29"/>
      <c r="J143" s="30"/>
      <c r="K143" s="30"/>
      <c r="L143" s="33"/>
    </row>
    <row r="144" spans="1:12">
      <c r="A144" s="43">
        <v>139</v>
      </c>
      <c r="B144" s="30"/>
      <c r="C144" s="30"/>
      <c r="D144" s="30"/>
      <c r="E144" s="30"/>
      <c r="F144" s="31" t="str">
        <f t="shared" si="2"/>
        <v/>
      </c>
      <c r="G144" s="29"/>
      <c r="H144" s="29"/>
      <c r="I144" s="29"/>
      <c r="J144" s="30"/>
      <c r="K144" s="30"/>
      <c r="L144" s="33"/>
    </row>
    <row r="145" spans="1:12">
      <c r="A145" s="43">
        <v>140</v>
      </c>
      <c r="B145" s="30"/>
      <c r="C145" s="30"/>
      <c r="D145" s="30"/>
      <c r="E145" s="30"/>
      <c r="F145" s="31" t="str">
        <f t="shared" si="2"/>
        <v/>
      </c>
      <c r="G145" s="29"/>
      <c r="H145" s="29"/>
      <c r="I145" s="29"/>
      <c r="J145" s="30"/>
      <c r="K145" s="30"/>
      <c r="L145" s="33"/>
    </row>
    <row r="146" spans="1:12">
      <c r="A146" s="43">
        <v>141</v>
      </c>
      <c r="B146" s="30"/>
      <c r="C146" s="30"/>
      <c r="D146" s="30"/>
      <c r="E146" s="30"/>
      <c r="F146" s="31" t="str">
        <f t="shared" si="2"/>
        <v/>
      </c>
      <c r="G146" s="29"/>
      <c r="H146" s="29"/>
      <c r="I146" s="29"/>
      <c r="J146" s="30"/>
      <c r="K146" s="30"/>
      <c r="L146" s="33"/>
    </row>
    <row r="147" spans="1:12">
      <c r="A147" s="43">
        <v>142</v>
      </c>
      <c r="B147" s="30"/>
      <c r="C147" s="30"/>
      <c r="D147" s="30"/>
      <c r="E147" s="30"/>
      <c r="F147" s="31" t="str">
        <f t="shared" si="2"/>
        <v/>
      </c>
      <c r="G147" s="29"/>
      <c r="H147" s="29"/>
      <c r="I147" s="29"/>
      <c r="J147" s="30"/>
      <c r="K147" s="30"/>
      <c r="L147" s="33"/>
    </row>
    <row r="148" spans="1:12">
      <c r="A148" s="43">
        <v>143</v>
      </c>
      <c r="B148" s="30"/>
      <c r="C148" s="30"/>
      <c r="D148" s="30"/>
      <c r="E148" s="30"/>
      <c r="F148" s="31" t="str">
        <f t="shared" si="2"/>
        <v/>
      </c>
      <c r="G148" s="29"/>
      <c r="H148" s="29"/>
      <c r="I148" s="29"/>
      <c r="J148" s="30"/>
      <c r="K148" s="30"/>
      <c r="L148" s="33"/>
    </row>
    <row r="149" spans="1:12">
      <c r="A149" s="43">
        <v>144</v>
      </c>
      <c r="B149" s="30"/>
      <c r="C149" s="30"/>
      <c r="D149" s="30"/>
      <c r="E149" s="30"/>
      <c r="F149" s="31" t="str">
        <f t="shared" si="2"/>
        <v/>
      </c>
      <c r="G149" s="29"/>
      <c r="H149" s="29"/>
      <c r="I149" s="29"/>
      <c r="J149" s="30"/>
      <c r="K149" s="30"/>
      <c r="L149" s="33"/>
    </row>
    <row r="150" spans="1:12">
      <c r="A150" s="43">
        <v>145</v>
      </c>
      <c r="B150" s="30"/>
      <c r="C150" s="30"/>
      <c r="D150" s="30"/>
      <c r="E150" s="30"/>
      <c r="F150" s="31" t="str">
        <f t="shared" si="2"/>
        <v/>
      </c>
      <c r="G150" s="29"/>
      <c r="H150" s="29"/>
      <c r="I150" s="29"/>
      <c r="J150" s="30"/>
      <c r="K150" s="30"/>
      <c r="L150" s="33"/>
    </row>
    <row r="151" spans="1:12">
      <c r="A151" s="43">
        <v>146</v>
      </c>
      <c r="B151" s="30"/>
      <c r="C151" s="30"/>
      <c r="D151" s="30"/>
      <c r="E151" s="30"/>
      <c r="F151" s="31" t="str">
        <f t="shared" si="2"/>
        <v/>
      </c>
      <c r="G151" s="29"/>
      <c r="H151" s="29"/>
      <c r="I151" s="29"/>
      <c r="J151" s="30"/>
      <c r="K151" s="30"/>
      <c r="L151" s="33"/>
    </row>
    <row r="152" spans="1:12">
      <c r="A152" s="43">
        <v>147</v>
      </c>
      <c r="B152" s="30"/>
      <c r="C152" s="30"/>
      <c r="D152" s="30"/>
      <c r="E152" s="30"/>
      <c r="F152" s="31" t="str">
        <f t="shared" si="2"/>
        <v/>
      </c>
      <c r="G152" s="29"/>
      <c r="H152" s="29"/>
      <c r="I152" s="29"/>
      <c r="J152" s="30"/>
      <c r="K152" s="30"/>
      <c r="L152" s="33"/>
    </row>
    <row r="153" spans="1:12">
      <c r="A153" s="43">
        <v>148</v>
      </c>
      <c r="B153" s="30"/>
      <c r="C153" s="30"/>
      <c r="D153" s="30"/>
      <c r="E153" s="30"/>
      <c r="F153" s="31" t="str">
        <f t="shared" si="2"/>
        <v/>
      </c>
      <c r="G153" s="29"/>
      <c r="H153" s="29"/>
      <c r="I153" s="29"/>
      <c r="J153" s="30"/>
      <c r="K153" s="30"/>
      <c r="L153" s="33"/>
    </row>
    <row r="154" spans="1:12">
      <c r="A154" s="43">
        <v>149</v>
      </c>
      <c r="B154" s="30"/>
      <c r="C154" s="30"/>
      <c r="D154" s="30"/>
      <c r="E154" s="30"/>
      <c r="F154" s="31" t="str">
        <f t="shared" si="2"/>
        <v/>
      </c>
      <c r="G154" s="29"/>
      <c r="H154" s="29"/>
      <c r="I154" s="29"/>
      <c r="J154" s="30"/>
      <c r="K154" s="30"/>
      <c r="L154" s="33"/>
    </row>
    <row r="155" spans="1:12">
      <c r="A155" s="43">
        <v>150</v>
      </c>
      <c r="B155" s="30"/>
      <c r="C155" s="30"/>
      <c r="D155" s="30"/>
      <c r="E155" s="30"/>
      <c r="F155" s="31" t="str">
        <f t="shared" si="2"/>
        <v/>
      </c>
      <c r="G155" s="29"/>
      <c r="H155" s="29"/>
      <c r="I155" s="29"/>
      <c r="J155" s="30"/>
      <c r="K155" s="30"/>
      <c r="L155" s="33"/>
    </row>
    <row r="156" spans="1:12">
      <c r="A156" s="43">
        <v>151</v>
      </c>
      <c r="B156" s="30"/>
      <c r="C156" s="30"/>
      <c r="D156" s="30"/>
      <c r="E156" s="30"/>
      <c r="F156" s="31" t="str">
        <f t="shared" si="2"/>
        <v/>
      </c>
      <c r="G156" s="29"/>
      <c r="H156" s="29"/>
      <c r="I156" s="29"/>
      <c r="J156" s="30"/>
      <c r="K156" s="30"/>
      <c r="L156" s="33"/>
    </row>
    <row r="157" spans="1:12">
      <c r="A157" s="43">
        <v>152</v>
      </c>
      <c r="B157" s="30"/>
      <c r="C157" s="30"/>
      <c r="D157" s="30"/>
      <c r="E157" s="30"/>
      <c r="F157" s="31" t="str">
        <f t="shared" si="2"/>
        <v/>
      </c>
      <c r="G157" s="29"/>
      <c r="H157" s="29"/>
      <c r="I157" s="29"/>
      <c r="J157" s="30"/>
      <c r="K157" s="30"/>
      <c r="L157" s="33"/>
    </row>
    <row r="158" spans="1:12">
      <c r="A158" s="43">
        <v>153</v>
      </c>
      <c r="B158" s="30"/>
      <c r="C158" s="30"/>
      <c r="D158" s="30"/>
      <c r="E158" s="30"/>
      <c r="F158" s="31" t="str">
        <f t="shared" si="2"/>
        <v/>
      </c>
      <c r="G158" s="29"/>
      <c r="H158" s="29"/>
      <c r="I158" s="29"/>
      <c r="J158" s="30"/>
      <c r="K158" s="30"/>
      <c r="L158" s="33"/>
    </row>
    <row r="159" spans="1:12">
      <c r="A159" s="43">
        <v>154</v>
      </c>
      <c r="B159" s="30"/>
      <c r="C159" s="30"/>
      <c r="D159" s="30"/>
      <c r="E159" s="30"/>
      <c r="F159" s="31" t="str">
        <f t="shared" si="2"/>
        <v/>
      </c>
      <c r="G159" s="29"/>
      <c r="H159" s="29"/>
      <c r="I159" s="29"/>
      <c r="J159" s="30"/>
      <c r="K159" s="30"/>
      <c r="L159" s="33"/>
    </row>
    <row r="160" spans="1:12">
      <c r="A160" s="43">
        <v>155</v>
      </c>
      <c r="B160" s="30"/>
      <c r="C160" s="30"/>
      <c r="D160" s="30"/>
      <c r="E160" s="30"/>
      <c r="F160" s="31" t="str">
        <f t="shared" si="2"/>
        <v/>
      </c>
      <c r="G160" s="29"/>
      <c r="H160" s="29"/>
      <c r="I160" s="29"/>
      <c r="J160" s="30"/>
      <c r="K160" s="30"/>
      <c r="L160" s="33"/>
    </row>
    <row r="161" spans="1:12">
      <c r="A161" s="43">
        <v>156</v>
      </c>
      <c r="B161" s="30"/>
      <c r="C161" s="30"/>
      <c r="D161" s="30"/>
      <c r="E161" s="30"/>
      <c r="F161" s="31" t="str">
        <f t="shared" si="2"/>
        <v/>
      </c>
      <c r="G161" s="29"/>
      <c r="H161" s="29"/>
      <c r="I161" s="29"/>
      <c r="J161" s="30"/>
      <c r="K161" s="30"/>
      <c r="L161" s="33"/>
    </row>
    <row r="162" spans="1:12">
      <c r="A162" s="43">
        <v>157</v>
      </c>
      <c r="B162" s="30"/>
      <c r="C162" s="30"/>
      <c r="D162" s="30"/>
      <c r="E162" s="30"/>
      <c r="F162" s="31" t="str">
        <f t="shared" si="2"/>
        <v/>
      </c>
      <c r="G162" s="29"/>
      <c r="H162" s="29"/>
      <c r="I162" s="29"/>
      <c r="J162" s="30"/>
      <c r="K162" s="30"/>
      <c r="L162" s="33"/>
    </row>
    <row r="163" spans="1:12">
      <c r="A163" s="43">
        <v>158</v>
      </c>
      <c r="B163" s="30"/>
      <c r="C163" s="30"/>
      <c r="D163" s="30"/>
      <c r="E163" s="30"/>
      <c r="F163" s="31" t="str">
        <f t="shared" si="2"/>
        <v/>
      </c>
      <c r="G163" s="29"/>
      <c r="H163" s="29"/>
      <c r="I163" s="29"/>
      <c r="J163" s="30"/>
      <c r="K163" s="30"/>
      <c r="L163" s="33"/>
    </row>
    <row r="164" spans="1:12">
      <c r="A164" s="43">
        <v>159</v>
      </c>
      <c r="B164" s="30"/>
      <c r="C164" s="30"/>
      <c r="D164" s="30"/>
      <c r="E164" s="30"/>
      <c r="F164" s="31" t="str">
        <f t="shared" si="2"/>
        <v/>
      </c>
      <c r="G164" s="29"/>
      <c r="H164" s="29"/>
      <c r="I164" s="29"/>
      <c r="J164" s="30"/>
      <c r="K164" s="30"/>
      <c r="L164" s="33"/>
    </row>
    <row r="165" spans="1:12">
      <c r="A165" s="43">
        <v>160</v>
      </c>
      <c r="B165" s="30"/>
      <c r="C165" s="30"/>
      <c r="D165" s="30"/>
      <c r="E165" s="30"/>
      <c r="F165" s="31" t="str">
        <f t="shared" si="2"/>
        <v/>
      </c>
      <c r="G165" s="29"/>
      <c r="H165" s="29"/>
      <c r="I165" s="29"/>
      <c r="J165" s="30"/>
      <c r="K165" s="30"/>
      <c r="L165" s="33"/>
    </row>
    <row r="166" spans="1:12">
      <c r="A166" s="43">
        <v>161</v>
      </c>
      <c r="B166" s="30"/>
      <c r="C166" s="30"/>
      <c r="D166" s="30"/>
      <c r="E166" s="30"/>
      <c r="F166" s="31" t="str">
        <f t="shared" si="2"/>
        <v/>
      </c>
      <c r="G166" s="29"/>
      <c r="H166" s="29"/>
      <c r="I166" s="29"/>
      <c r="J166" s="30"/>
      <c r="K166" s="30"/>
      <c r="L166" s="33"/>
    </row>
    <row r="167" spans="1:12">
      <c r="A167" s="43">
        <v>162</v>
      </c>
      <c r="B167" s="30"/>
      <c r="C167" s="30"/>
      <c r="D167" s="30"/>
      <c r="E167" s="30"/>
      <c r="F167" s="31" t="str">
        <f t="shared" si="2"/>
        <v/>
      </c>
      <c r="G167" s="29"/>
      <c r="H167" s="29"/>
      <c r="I167" s="29"/>
      <c r="J167" s="30"/>
      <c r="K167" s="30"/>
      <c r="L167" s="33"/>
    </row>
    <row r="168" spans="1:12">
      <c r="A168" s="43">
        <v>163</v>
      </c>
      <c r="B168" s="30"/>
      <c r="C168" s="30"/>
      <c r="D168" s="30"/>
      <c r="E168" s="30"/>
      <c r="F168" s="31" t="str">
        <f t="shared" si="2"/>
        <v/>
      </c>
      <c r="G168" s="29"/>
      <c r="H168" s="29"/>
      <c r="I168" s="29"/>
      <c r="J168" s="30"/>
      <c r="K168" s="30"/>
      <c r="L168" s="33"/>
    </row>
    <row r="169" spans="1:12">
      <c r="A169" s="43">
        <v>164</v>
      </c>
      <c r="B169" s="30"/>
      <c r="C169" s="30"/>
      <c r="D169" s="30"/>
      <c r="E169" s="30"/>
      <c r="F169" s="31" t="str">
        <f t="shared" si="2"/>
        <v/>
      </c>
      <c r="G169" s="29"/>
      <c r="H169" s="29"/>
      <c r="I169" s="29"/>
      <c r="J169" s="30"/>
      <c r="K169" s="30"/>
      <c r="L169" s="33"/>
    </row>
    <row r="170" spans="1:12">
      <c r="A170" s="43">
        <v>165</v>
      </c>
      <c r="B170" s="30"/>
      <c r="C170" s="30"/>
      <c r="D170" s="30"/>
      <c r="E170" s="30"/>
      <c r="F170" s="31" t="str">
        <f t="shared" si="2"/>
        <v/>
      </c>
      <c r="G170" s="29"/>
      <c r="H170" s="29"/>
      <c r="I170" s="29"/>
      <c r="J170" s="30"/>
      <c r="K170" s="30"/>
      <c r="L170" s="33"/>
    </row>
    <row r="171" spans="1:12">
      <c r="A171" s="43">
        <v>166</v>
      </c>
      <c r="B171" s="30"/>
      <c r="C171" s="30"/>
      <c r="D171" s="30"/>
      <c r="E171" s="30"/>
      <c r="F171" s="31" t="str">
        <f t="shared" si="2"/>
        <v/>
      </c>
      <c r="G171" s="29"/>
      <c r="H171" s="29"/>
      <c r="I171" s="29"/>
      <c r="J171" s="30"/>
      <c r="K171" s="30"/>
      <c r="L171" s="33"/>
    </row>
    <row r="172" spans="1:12">
      <c r="A172" s="43">
        <v>167</v>
      </c>
      <c r="B172" s="30"/>
      <c r="C172" s="30"/>
      <c r="D172" s="30"/>
      <c r="E172" s="30"/>
      <c r="F172" s="31" t="str">
        <f t="shared" si="2"/>
        <v/>
      </c>
      <c r="G172" s="29"/>
      <c r="H172" s="29"/>
      <c r="I172" s="29"/>
      <c r="J172" s="30"/>
      <c r="K172" s="30"/>
      <c r="L172" s="33"/>
    </row>
    <row r="173" spans="1:12">
      <c r="A173" s="43">
        <v>168</v>
      </c>
      <c r="B173" s="30"/>
      <c r="C173" s="30"/>
      <c r="D173" s="30"/>
      <c r="E173" s="30"/>
      <c r="F173" s="31" t="str">
        <f t="shared" si="2"/>
        <v/>
      </c>
      <c r="G173" s="29"/>
      <c r="H173" s="29"/>
      <c r="I173" s="29"/>
      <c r="J173" s="30"/>
      <c r="K173" s="30"/>
      <c r="L173" s="33"/>
    </row>
    <row r="174" spans="1:12">
      <c r="A174" s="43">
        <v>169</v>
      </c>
      <c r="B174" s="30"/>
      <c r="C174" s="30"/>
      <c r="D174" s="30"/>
      <c r="E174" s="30"/>
      <c r="F174" s="31" t="str">
        <f t="shared" si="2"/>
        <v/>
      </c>
      <c r="G174" s="29"/>
      <c r="H174" s="29"/>
      <c r="I174" s="29"/>
      <c r="J174" s="30"/>
      <c r="K174" s="30"/>
      <c r="L174" s="33"/>
    </row>
    <row r="175" spans="1:12">
      <c r="A175" s="43">
        <v>170</v>
      </c>
      <c r="B175" s="30"/>
      <c r="C175" s="30"/>
      <c r="D175" s="30"/>
      <c r="E175" s="30"/>
      <c r="F175" s="31" t="str">
        <f t="shared" si="2"/>
        <v/>
      </c>
      <c r="G175" s="29"/>
      <c r="H175" s="29"/>
      <c r="I175" s="29"/>
      <c r="J175" s="30"/>
      <c r="K175" s="30"/>
      <c r="L175" s="33"/>
    </row>
    <row r="176" spans="1:12">
      <c r="A176" s="43">
        <v>171</v>
      </c>
      <c r="B176" s="30"/>
      <c r="C176" s="30"/>
      <c r="D176" s="30"/>
      <c r="E176" s="30"/>
      <c r="F176" s="31" t="str">
        <f t="shared" si="2"/>
        <v/>
      </c>
      <c r="G176" s="29"/>
      <c r="H176" s="29"/>
      <c r="I176" s="29"/>
      <c r="J176" s="30"/>
      <c r="K176" s="30"/>
      <c r="L176" s="33"/>
    </row>
    <row r="177" spans="1:12">
      <c r="A177" s="43">
        <v>172</v>
      </c>
      <c r="B177" s="30"/>
      <c r="C177" s="30"/>
      <c r="D177" s="30"/>
      <c r="E177" s="30"/>
      <c r="F177" s="31" t="str">
        <f t="shared" si="2"/>
        <v/>
      </c>
      <c r="G177" s="29"/>
      <c r="H177" s="29"/>
      <c r="I177" s="29"/>
      <c r="J177" s="30"/>
      <c r="K177" s="30"/>
      <c r="L177" s="33"/>
    </row>
    <row r="178" spans="1:12">
      <c r="A178" s="43">
        <v>173</v>
      </c>
      <c r="B178" s="30"/>
      <c r="C178" s="30"/>
      <c r="D178" s="30"/>
      <c r="E178" s="30"/>
      <c r="F178" s="31" t="str">
        <f t="shared" si="2"/>
        <v/>
      </c>
      <c r="G178" s="29"/>
      <c r="H178" s="29"/>
      <c r="I178" s="29"/>
      <c r="J178" s="30"/>
      <c r="K178" s="30"/>
      <c r="L178" s="33"/>
    </row>
    <row r="179" spans="1:12">
      <c r="A179" s="43">
        <v>174</v>
      </c>
      <c r="B179" s="30"/>
      <c r="C179" s="30"/>
      <c r="D179" s="30"/>
      <c r="E179" s="30"/>
      <c r="F179" s="31" t="str">
        <f t="shared" si="2"/>
        <v/>
      </c>
      <c r="G179" s="29"/>
      <c r="H179" s="29"/>
      <c r="I179" s="29"/>
      <c r="J179" s="30"/>
      <c r="K179" s="30"/>
      <c r="L179" s="33"/>
    </row>
    <row r="180" spans="1:12">
      <c r="A180" s="43">
        <v>175</v>
      </c>
      <c r="B180" s="30"/>
      <c r="C180" s="30"/>
      <c r="D180" s="30"/>
      <c r="E180" s="30"/>
      <c r="F180" s="31" t="str">
        <f t="shared" si="2"/>
        <v/>
      </c>
      <c r="G180" s="29"/>
      <c r="H180" s="29"/>
      <c r="I180" s="29"/>
      <c r="J180" s="30"/>
      <c r="K180" s="30"/>
      <c r="L180" s="33"/>
    </row>
    <row r="181" spans="1:12">
      <c r="A181" s="43">
        <v>176</v>
      </c>
      <c r="B181" s="30"/>
      <c r="C181" s="30"/>
      <c r="D181" s="30"/>
      <c r="E181" s="30"/>
      <c r="F181" s="31" t="str">
        <f t="shared" si="2"/>
        <v/>
      </c>
      <c r="G181" s="29"/>
      <c r="H181" s="29"/>
      <c r="I181" s="29"/>
      <c r="J181" s="30"/>
      <c r="K181" s="30"/>
      <c r="L181" s="33"/>
    </row>
    <row r="182" spans="1:12">
      <c r="A182" s="43">
        <v>177</v>
      </c>
      <c r="B182" s="30"/>
      <c r="C182" s="30"/>
      <c r="D182" s="30"/>
      <c r="E182" s="30"/>
      <c r="F182" s="31" t="str">
        <f t="shared" si="2"/>
        <v/>
      </c>
      <c r="G182" s="29"/>
      <c r="H182" s="29"/>
      <c r="I182" s="29"/>
      <c r="J182" s="30"/>
      <c r="K182" s="30"/>
      <c r="L182" s="33"/>
    </row>
    <row r="183" spans="1:12">
      <c r="A183" s="43">
        <v>178</v>
      </c>
      <c r="B183" s="30"/>
      <c r="C183" s="30"/>
      <c r="D183" s="30"/>
      <c r="E183" s="30"/>
      <c r="F183" s="31" t="str">
        <f t="shared" si="2"/>
        <v/>
      </c>
      <c r="G183" s="29"/>
      <c r="H183" s="29"/>
      <c r="I183" s="29"/>
      <c r="J183" s="30"/>
      <c r="K183" s="30"/>
      <c r="L183" s="33"/>
    </row>
    <row r="184" spans="1:12">
      <c r="A184" s="43">
        <v>179</v>
      </c>
      <c r="B184" s="30"/>
      <c r="C184" s="30"/>
      <c r="D184" s="30"/>
      <c r="E184" s="30"/>
      <c r="F184" s="31" t="str">
        <f t="shared" si="2"/>
        <v/>
      </c>
      <c r="G184" s="29"/>
      <c r="H184" s="29"/>
      <c r="I184" s="29"/>
      <c r="J184" s="30"/>
      <c r="K184" s="30"/>
      <c r="L184" s="33"/>
    </row>
    <row r="185" spans="1:12">
      <c r="A185" s="43">
        <v>180</v>
      </c>
      <c r="B185" s="30"/>
      <c r="C185" s="30"/>
      <c r="D185" s="30"/>
      <c r="E185" s="30"/>
      <c r="F185" s="31" t="str">
        <f t="shared" si="2"/>
        <v/>
      </c>
      <c r="G185" s="29"/>
      <c r="H185" s="29"/>
      <c r="I185" s="29"/>
      <c r="J185" s="30"/>
      <c r="K185" s="30"/>
      <c r="L185" s="33"/>
    </row>
    <row r="186" spans="1:12">
      <c r="A186" s="43">
        <v>181</v>
      </c>
      <c r="B186" s="30"/>
      <c r="C186" s="30"/>
      <c r="D186" s="30"/>
      <c r="E186" s="30"/>
      <c r="F186" s="31" t="str">
        <f t="shared" si="2"/>
        <v/>
      </c>
      <c r="G186" s="29"/>
      <c r="H186" s="29"/>
      <c r="I186" s="29"/>
      <c r="J186" s="30"/>
      <c r="K186" s="30"/>
      <c r="L186" s="33"/>
    </row>
    <row r="187" spans="1:12">
      <c r="A187" s="43">
        <v>182</v>
      </c>
      <c r="B187" s="30"/>
      <c r="C187" s="30"/>
      <c r="D187" s="30"/>
      <c r="E187" s="30"/>
      <c r="F187" s="31" t="str">
        <f t="shared" si="2"/>
        <v/>
      </c>
      <c r="G187" s="29"/>
      <c r="H187" s="29"/>
      <c r="I187" s="29"/>
      <c r="J187" s="30"/>
      <c r="K187" s="30"/>
      <c r="L187" s="33"/>
    </row>
    <row r="188" spans="1:12">
      <c r="A188" s="43">
        <v>183</v>
      </c>
      <c r="B188" s="30"/>
      <c r="C188" s="30"/>
      <c r="D188" s="30"/>
      <c r="E188" s="30"/>
      <c r="F188" s="31" t="str">
        <f t="shared" si="2"/>
        <v/>
      </c>
      <c r="G188" s="29"/>
      <c r="H188" s="29"/>
      <c r="I188" s="29"/>
      <c r="J188" s="30"/>
      <c r="K188" s="30"/>
      <c r="L188" s="33"/>
    </row>
    <row r="189" spans="1:12">
      <c r="A189" s="43">
        <v>184</v>
      </c>
      <c r="B189" s="30"/>
      <c r="C189" s="30"/>
      <c r="D189" s="30"/>
      <c r="E189" s="30"/>
      <c r="F189" s="31" t="str">
        <f t="shared" si="2"/>
        <v/>
      </c>
      <c r="G189" s="29"/>
      <c r="H189" s="29"/>
      <c r="I189" s="29"/>
      <c r="J189" s="30"/>
      <c r="K189" s="30"/>
      <c r="L189" s="33"/>
    </row>
    <row r="190" spans="1:12">
      <c r="A190" s="43">
        <v>185</v>
      </c>
      <c r="B190" s="30"/>
      <c r="C190" s="30"/>
      <c r="D190" s="30"/>
      <c r="E190" s="30"/>
      <c r="F190" s="31" t="str">
        <f t="shared" si="2"/>
        <v/>
      </c>
      <c r="G190" s="29"/>
      <c r="H190" s="29"/>
      <c r="I190" s="29"/>
      <c r="J190" s="30"/>
      <c r="K190" s="30"/>
      <c r="L190" s="33"/>
    </row>
    <row r="191" spans="1:12">
      <c r="A191" s="43">
        <v>186</v>
      </c>
      <c r="B191" s="30"/>
      <c r="C191" s="30"/>
      <c r="D191" s="30"/>
      <c r="E191" s="30"/>
      <c r="F191" s="31" t="str">
        <f t="shared" si="2"/>
        <v/>
      </c>
      <c r="G191" s="29"/>
      <c r="H191" s="29"/>
      <c r="I191" s="29"/>
      <c r="J191" s="30"/>
      <c r="K191" s="30"/>
      <c r="L191" s="33"/>
    </row>
    <row r="192" spans="1:12">
      <c r="A192" s="43">
        <v>187</v>
      </c>
      <c r="B192" s="30"/>
      <c r="C192" s="30"/>
      <c r="D192" s="30"/>
      <c r="E192" s="30"/>
      <c r="F192" s="31" t="str">
        <f t="shared" si="2"/>
        <v/>
      </c>
      <c r="G192" s="29"/>
      <c r="H192" s="29"/>
      <c r="I192" s="29"/>
      <c r="J192" s="30"/>
      <c r="K192" s="30"/>
      <c r="L192" s="33"/>
    </row>
    <row r="193" spans="1:12">
      <c r="A193" s="43">
        <v>188</v>
      </c>
      <c r="B193" s="30"/>
      <c r="C193" s="30"/>
      <c r="D193" s="30"/>
      <c r="E193" s="30"/>
      <c r="F193" s="31" t="str">
        <f t="shared" si="2"/>
        <v/>
      </c>
      <c r="G193" s="29"/>
      <c r="H193" s="29"/>
      <c r="I193" s="29"/>
      <c r="J193" s="30"/>
      <c r="K193" s="30"/>
      <c r="L193" s="33"/>
    </row>
    <row r="194" spans="1:12">
      <c r="A194" s="43">
        <v>189</v>
      </c>
      <c r="B194" s="30"/>
      <c r="C194" s="30"/>
      <c r="D194" s="30"/>
      <c r="E194" s="30"/>
      <c r="F194" s="31" t="str">
        <f t="shared" si="2"/>
        <v/>
      </c>
      <c r="G194" s="29"/>
      <c r="H194" s="29"/>
      <c r="I194" s="29"/>
      <c r="J194" s="30"/>
      <c r="K194" s="30"/>
      <c r="L194" s="33"/>
    </row>
    <row r="195" spans="1:12">
      <c r="A195" s="43">
        <v>190</v>
      </c>
      <c r="B195" s="30"/>
      <c r="C195" s="30"/>
      <c r="D195" s="30"/>
      <c r="E195" s="30"/>
      <c r="F195" s="31" t="str">
        <f t="shared" si="2"/>
        <v/>
      </c>
      <c r="G195" s="29"/>
      <c r="H195" s="29"/>
      <c r="I195" s="29"/>
      <c r="J195" s="30"/>
      <c r="K195" s="30"/>
      <c r="L195" s="33"/>
    </row>
    <row r="196" spans="1:12">
      <c r="A196" s="43">
        <v>191</v>
      </c>
      <c r="B196" s="30"/>
      <c r="C196" s="30"/>
      <c r="D196" s="30"/>
      <c r="E196" s="30"/>
      <c r="F196" s="31" t="str">
        <f t="shared" si="2"/>
        <v/>
      </c>
      <c r="G196" s="29"/>
      <c r="H196" s="29"/>
      <c r="I196" s="29"/>
      <c r="J196" s="30"/>
      <c r="K196" s="30"/>
      <c r="L196" s="33"/>
    </row>
    <row r="197" spans="1:12">
      <c r="A197" s="43">
        <v>192</v>
      </c>
      <c r="B197" s="30"/>
      <c r="C197" s="30"/>
      <c r="D197" s="30"/>
      <c r="E197" s="30"/>
      <c r="F197" s="31" t="str">
        <f t="shared" si="2"/>
        <v/>
      </c>
      <c r="G197" s="29"/>
      <c r="H197" s="29"/>
      <c r="I197" s="29"/>
      <c r="J197" s="30"/>
      <c r="K197" s="30"/>
      <c r="L197" s="33"/>
    </row>
    <row r="198" spans="1:12">
      <c r="A198" s="43">
        <v>193</v>
      </c>
      <c r="B198" s="30"/>
      <c r="C198" s="30"/>
      <c r="D198" s="30"/>
      <c r="E198" s="30"/>
      <c r="F198" s="31" t="str">
        <f t="shared" ref="F198:F232" si="3">IF(E198="Ø75","10.1",IF(E198="Ø110","10.2",""))</f>
        <v/>
      </c>
      <c r="G198" s="29"/>
      <c r="H198" s="29"/>
      <c r="I198" s="29"/>
      <c r="J198" s="30"/>
      <c r="K198" s="30"/>
      <c r="L198" s="33"/>
    </row>
    <row r="199" spans="1:12">
      <c r="A199" s="43">
        <v>194</v>
      </c>
      <c r="B199" s="30"/>
      <c r="C199" s="30"/>
      <c r="D199" s="30"/>
      <c r="E199" s="30"/>
      <c r="F199" s="31" t="str">
        <f t="shared" si="3"/>
        <v/>
      </c>
      <c r="G199" s="29"/>
      <c r="H199" s="29"/>
      <c r="I199" s="29"/>
      <c r="J199" s="30"/>
      <c r="K199" s="30"/>
      <c r="L199" s="33"/>
    </row>
    <row r="200" spans="1:12">
      <c r="A200" s="43">
        <v>195</v>
      </c>
      <c r="B200" s="30"/>
      <c r="C200" s="30"/>
      <c r="D200" s="30"/>
      <c r="E200" s="30"/>
      <c r="F200" s="31" t="str">
        <f t="shared" si="3"/>
        <v/>
      </c>
      <c r="G200" s="29"/>
      <c r="H200" s="29"/>
      <c r="I200" s="29"/>
      <c r="J200" s="30"/>
      <c r="K200" s="30"/>
      <c r="L200" s="33"/>
    </row>
    <row r="201" spans="1:12">
      <c r="A201" s="43">
        <v>196</v>
      </c>
      <c r="B201" s="30"/>
      <c r="C201" s="30"/>
      <c r="D201" s="30"/>
      <c r="E201" s="30"/>
      <c r="F201" s="31" t="str">
        <f t="shared" si="3"/>
        <v/>
      </c>
      <c r="G201" s="29"/>
      <c r="H201" s="29"/>
      <c r="I201" s="29"/>
      <c r="J201" s="30"/>
      <c r="K201" s="30"/>
      <c r="L201" s="33"/>
    </row>
    <row r="202" spans="1:12">
      <c r="A202" s="43">
        <v>197</v>
      </c>
      <c r="B202" s="30"/>
      <c r="C202" s="30"/>
      <c r="D202" s="30"/>
      <c r="E202" s="30"/>
      <c r="F202" s="31" t="str">
        <f t="shared" si="3"/>
        <v/>
      </c>
      <c r="G202" s="29"/>
      <c r="H202" s="29"/>
      <c r="I202" s="29"/>
      <c r="J202" s="30"/>
      <c r="K202" s="30"/>
      <c r="L202" s="33"/>
    </row>
    <row r="203" spans="1:12">
      <c r="A203" s="43">
        <v>198</v>
      </c>
      <c r="B203" s="30"/>
      <c r="C203" s="30"/>
      <c r="D203" s="30"/>
      <c r="E203" s="30"/>
      <c r="F203" s="31" t="str">
        <f t="shared" si="3"/>
        <v/>
      </c>
      <c r="G203" s="29"/>
      <c r="H203" s="29"/>
      <c r="I203" s="29"/>
      <c r="J203" s="30"/>
      <c r="K203" s="30"/>
      <c r="L203" s="33"/>
    </row>
    <row r="204" spans="1:12">
      <c r="A204" s="43">
        <v>199</v>
      </c>
      <c r="B204" s="30"/>
      <c r="C204" s="30"/>
      <c r="D204" s="30"/>
      <c r="E204" s="30"/>
      <c r="F204" s="31" t="str">
        <f t="shared" si="3"/>
        <v/>
      </c>
      <c r="G204" s="29"/>
      <c r="H204" s="29"/>
      <c r="I204" s="29"/>
      <c r="J204" s="30"/>
      <c r="K204" s="30"/>
      <c r="L204" s="33"/>
    </row>
    <row r="205" spans="1:12">
      <c r="A205" s="43">
        <v>200</v>
      </c>
      <c r="B205" s="30"/>
      <c r="C205" s="30"/>
      <c r="D205" s="30"/>
      <c r="E205" s="30"/>
      <c r="F205" s="31" t="str">
        <f t="shared" si="3"/>
        <v/>
      </c>
      <c r="G205" s="29"/>
      <c r="H205" s="29"/>
      <c r="I205" s="29"/>
      <c r="J205" s="30"/>
      <c r="K205" s="30"/>
      <c r="L205" s="33"/>
    </row>
    <row r="206" spans="1:12">
      <c r="A206" s="43">
        <v>201</v>
      </c>
      <c r="B206" s="30"/>
      <c r="C206" s="30"/>
      <c r="D206" s="30"/>
      <c r="E206" s="30"/>
      <c r="F206" s="31" t="str">
        <f t="shared" si="3"/>
        <v/>
      </c>
      <c r="G206" s="29"/>
      <c r="H206" s="29"/>
      <c r="I206" s="29"/>
      <c r="J206" s="30"/>
      <c r="K206" s="30"/>
      <c r="L206" s="33"/>
    </row>
    <row r="207" spans="1:12">
      <c r="A207" s="43">
        <v>202</v>
      </c>
      <c r="B207" s="30"/>
      <c r="C207" s="30"/>
      <c r="D207" s="30"/>
      <c r="E207" s="30"/>
      <c r="F207" s="31" t="str">
        <f t="shared" si="3"/>
        <v/>
      </c>
      <c r="G207" s="29"/>
      <c r="H207" s="29"/>
      <c r="I207" s="29"/>
      <c r="J207" s="30"/>
      <c r="K207" s="30"/>
      <c r="L207" s="33"/>
    </row>
    <row r="208" spans="1:12">
      <c r="A208" s="43">
        <v>203</v>
      </c>
      <c r="B208" s="30"/>
      <c r="C208" s="30"/>
      <c r="D208" s="30"/>
      <c r="E208" s="30"/>
      <c r="F208" s="31" t="str">
        <f t="shared" si="3"/>
        <v/>
      </c>
      <c r="G208" s="29"/>
      <c r="H208" s="29"/>
      <c r="I208" s="29"/>
      <c r="J208" s="30"/>
      <c r="K208" s="30"/>
      <c r="L208" s="33"/>
    </row>
    <row r="209" spans="1:12">
      <c r="A209" s="43">
        <v>204</v>
      </c>
      <c r="B209" s="30"/>
      <c r="C209" s="30"/>
      <c r="D209" s="30"/>
      <c r="E209" s="30"/>
      <c r="F209" s="31" t="str">
        <f t="shared" si="3"/>
        <v/>
      </c>
      <c r="G209" s="29"/>
      <c r="H209" s="29"/>
      <c r="I209" s="29"/>
      <c r="J209" s="30"/>
      <c r="K209" s="30"/>
      <c r="L209" s="33"/>
    </row>
    <row r="210" spans="1:12">
      <c r="A210" s="43">
        <v>205</v>
      </c>
      <c r="B210" s="30"/>
      <c r="C210" s="30"/>
      <c r="D210" s="30"/>
      <c r="E210" s="30"/>
      <c r="F210" s="31" t="str">
        <f t="shared" si="3"/>
        <v/>
      </c>
      <c r="G210" s="29"/>
      <c r="H210" s="29"/>
      <c r="I210" s="29"/>
      <c r="J210" s="30"/>
      <c r="K210" s="30"/>
      <c r="L210" s="33"/>
    </row>
    <row r="211" spans="1:12">
      <c r="A211" s="43">
        <v>206</v>
      </c>
      <c r="B211" s="30"/>
      <c r="C211" s="30"/>
      <c r="D211" s="30"/>
      <c r="E211" s="30"/>
      <c r="F211" s="31" t="str">
        <f t="shared" si="3"/>
        <v/>
      </c>
      <c r="G211" s="29"/>
      <c r="H211" s="29"/>
      <c r="I211" s="29"/>
      <c r="J211" s="30"/>
      <c r="K211" s="30"/>
      <c r="L211" s="33"/>
    </row>
    <row r="212" spans="1:12">
      <c r="A212" s="43">
        <v>207</v>
      </c>
      <c r="B212" s="30"/>
      <c r="C212" s="30"/>
      <c r="D212" s="30"/>
      <c r="E212" s="30"/>
      <c r="F212" s="31" t="str">
        <f t="shared" si="3"/>
        <v/>
      </c>
      <c r="G212" s="29"/>
      <c r="H212" s="29"/>
      <c r="I212" s="29"/>
      <c r="J212" s="30"/>
      <c r="K212" s="30"/>
      <c r="L212" s="33"/>
    </row>
    <row r="213" spans="1:12">
      <c r="A213" s="43">
        <v>208</v>
      </c>
      <c r="B213" s="30"/>
      <c r="C213" s="30"/>
      <c r="D213" s="30"/>
      <c r="E213" s="30"/>
      <c r="F213" s="31" t="str">
        <f t="shared" si="3"/>
        <v/>
      </c>
      <c r="G213" s="29"/>
      <c r="H213" s="29"/>
      <c r="I213" s="29"/>
      <c r="J213" s="30"/>
      <c r="K213" s="30"/>
      <c r="L213" s="33"/>
    </row>
    <row r="214" spans="1:12">
      <c r="A214" s="43">
        <v>209</v>
      </c>
      <c r="B214" s="30"/>
      <c r="C214" s="30"/>
      <c r="D214" s="30"/>
      <c r="E214" s="30"/>
      <c r="F214" s="31" t="str">
        <f t="shared" si="3"/>
        <v/>
      </c>
      <c r="G214" s="29"/>
      <c r="H214" s="29"/>
      <c r="I214" s="29"/>
      <c r="J214" s="30"/>
      <c r="K214" s="30"/>
      <c r="L214" s="33"/>
    </row>
    <row r="215" spans="1:12">
      <c r="A215" s="43">
        <v>210</v>
      </c>
      <c r="B215" s="30"/>
      <c r="C215" s="30"/>
      <c r="D215" s="30"/>
      <c r="E215" s="30"/>
      <c r="F215" s="31" t="str">
        <f t="shared" si="3"/>
        <v/>
      </c>
      <c r="G215" s="29"/>
      <c r="H215" s="29"/>
      <c r="I215" s="29"/>
      <c r="J215" s="30"/>
      <c r="K215" s="30"/>
      <c r="L215" s="33"/>
    </row>
    <row r="216" spans="1:12">
      <c r="A216" s="43">
        <v>211</v>
      </c>
      <c r="B216" s="30"/>
      <c r="C216" s="30"/>
      <c r="D216" s="30"/>
      <c r="E216" s="30"/>
      <c r="F216" s="31" t="str">
        <f t="shared" si="3"/>
        <v/>
      </c>
      <c r="G216" s="29"/>
      <c r="H216" s="29"/>
      <c r="I216" s="29"/>
      <c r="J216" s="30"/>
      <c r="K216" s="30"/>
      <c r="L216" s="33"/>
    </row>
    <row r="217" spans="1:12">
      <c r="A217" s="43">
        <v>212</v>
      </c>
      <c r="B217" s="30"/>
      <c r="C217" s="30"/>
      <c r="D217" s="30"/>
      <c r="E217" s="30"/>
      <c r="F217" s="31" t="str">
        <f t="shared" si="3"/>
        <v/>
      </c>
      <c r="G217" s="29"/>
      <c r="H217" s="29"/>
      <c r="I217" s="29"/>
      <c r="J217" s="30"/>
      <c r="K217" s="30"/>
      <c r="L217" s="33"/>
    </row>
    <row r="218" spans="1:12">
      <c r="A218" s="43">
        <v>213</v>
      </c>
      <c r="B218" s="30"/>
      <c r="C218" s="30"/>
      <c r="D218" s="30"/>
      <c r="E218" s="30"/>
      <c r="F218" s="31" t="str">
        <f t="shared" si="3"/>
        <v/>
      </c>
      <c r="G218" s="29"/>
      <c r="H218" s="29"/>
      <c r="I218" s="29"/>
      <c r="J218" s="30"/>
      <c r="K218" s="30"/>
      <c r="L218" s="33"/>
    </row>
    <row r="219" spans="1:12">
      <c r="A219" s="43">
        <v>214</v>
      </c>
      <c r="B219" s="30"/>
      <c r="C219" s="30"/>
      <c r="D219" s="30"/>
      <c r="E219" s="30"/>
      <c r="F219" s="31" t="str">
        <f t="shared" si="3"/>
        <v/>
      </c>
      <c r="G219" s="29"/>
      <c r="H219" s="29"/>
      <c r="I219" s="29"/>
      <c r="J219" s="30"/>
      <c r="K219" s="30"/>
      <c r="L219" s="33"/>
    </row>
    <row r="220" spans="1:12">
      <c r="A220" s="43">
        <v>215</v>
      </c>
      <c r="B220" s="30"/>
      <c r="C220" s="30"/>
      <c r="D220" s="30"/>
      <c r="E220" s="30"/>
      <c r="F220" s="31" t="str">
        <f t="shared" si="3"/>
        <v/>
      </c>
      <c r="G220" s="29"/>
      <c r="H220" s="29"/>
      <c r="I220" s="29"/>
      <c r="J220" s="30"/>
      <c r="K220" s="30"/>
      <c r="L220" s="33"/>
    </row>
    <row r="221" spans="1:12">
      <c r="A221" s="43">
        <v>216</v>
      </c>
      <c r="B221" s="30"/>
      <c r="C221" s="30"/>
      <c r="D221" s="30"/>
      <c r="E221" s="30"/>
      <c r="F221" s="31" t="str">
        <f t="shared" si="3"/>
        <v/>
      </c>
      <c r="G221" s="29"/>
      <c r="H221" s="29"/>
      <c r="I221" s="29"/>
      <c r="J221" s="30"/>
      <c r="K221" s="30"/>
      <c r="L221" s="33"/>
    </row>
    <row r="222" spans="1:12">
      <c r="A222" s="43">
        <v>217</v>
      </c>
      <c r="B222" s="30"/>
      <c r="C222" s="30"/>
      <c r="D222" s="30"/>
      <c r="E222" s="30"/>
      <c r="F222" s="31" t="str">
        <f t="shared" si="3"/>
        <v/>
      </c>
      <c r="G222" s="29"/>
      <c r="H222" s="29"/>
      <c r="I222" s="29"/>
      <c r="J222" s="30"/>
      <c r="K222" s="30"/>
      <c r="L222" s="33"/>
    </row>
    <row r="223" spans="1:12">
      <c r="A223" s="43">
        <v>218</v>
      </c>
      <c r="B223" s="30"/>
      <c r="C223" s="30"/>
      <c r="D223" s="30"/>
      <c r="E223" s="30"/>
      <c r="F223" s="31" t="str">
        <f t="shared" si="3"/>
        <v/>
      </c>
      <c r="G223" s="29"/>
      <c r="H223" s="29"/>
      <c r="I223" s="29"/>
      <c r="J223" s="30"/>
      <c r="K223" s="30"/>
      <c r="L223" s="33"/>
    </row>
    <row r="224" spans="1:12">
      <c r="A224" s="43">
        <v>219</v>
      </c>
      <c r="B224" s="30"/>
      <c r="C224" s="30"/>
      <c r="D224" s="30"/>
      <c r="E224" s="30"/>
      <c r="F224" s="31" t="str">
        <f t="shared" si="3"/>
        <v/>
      </c>
      <c r="G224" s="29"/>
      <c r="H224" s="29"/>
      <c r="I224" s="29"/>
      <c r="J224" s="30"/>
      <c r="K224" s="30"/>
      <c r="L224" s="33"/>
    </row>
    <row r="225" spans="1:12">
      <c r="A225" s="43">
        <v>220</v>
      </c>
      <c r="B225" s="30"/>
      <c r="C225" s="30"/>
      <c r="D225" s="30"/>
      <c r="E225" s="30"/>
      <c r="F225" s="31" t="str">
        <f t="shared" si="3"/>
        <v/>
      </c>
      <c r="G225" s="29"/>
      <c r="H225" s="29"/>
      <c r="I225" s="29"/>
      <c r="J225" s="30"/>
      <c r="K225" s="30"/>
      <c r="L225" s="33"/>
    </row>
    <row r="226" spans="1:12">
      <c r="A226" s="43">
        <v>221</v>
      </c>
      <c r="B226" s="30"/>
      <c r="C226" s="30"/>
      <c r="D226" s="30"/>
      <c r="E226" s="30"/>
      <c r="F226" s="31" t="str">
        <f t="shared" si="3"/>
        <v/>
      </c>
      <c r="G226" s="29"/>
      <c r="H226" s="29"/>
      <c r="I226" s="29"/>
      <c r="J226" s="30"/>
      <c r="K226" s="30"/>
      <c r="L226" s="33"/>
    </row>
    <row r="227" spans="1:12">
      <c r="A227" s="43">
        <v>222</v>
      </c>
      <c r="B227" s="30"/>
      <c r="C227" s="30"/>
      <c r="D227" s="30"/>
      <c r="E227" s="30"/>
      <c r="F227" s="31" t="str">
        <f t="shared" si="3"/>
        <v/>
      </c>
      <c r="G227" s="29"/>
      <c r="H227" s="29"/>
      <c r="I227" s="29"/>
      <c r="J227" s="30"/>
      <c r="K227" s="30"/>
      <c r="L227" s="33"/>
    </row>
    <row r="228" spans="1:12">
      <c r="A228" s="43">
        <v>223</v>
      </c>
      <c r="B228" s="30"/>
      <c r="C228" s="30"/>
      <c r="D228" s="30"/>
      <c r="E228" s="30"/>
      <c r="F228" s="31" t="str">
        <f t="shared" si="3"/>
        <v/>
      </c>
      <c r="G228" s="29"/>
      <c r="H228" s="29"/>
      <c r="I228" s="29"/>
      <c r="J228" s="30"/>
      <c r="K228" s="30"/>
      <c r="L228" s="33"/>
    </row>
    <row r="229" spans="1:12">
      <c r="A229" s="43">
        <v>224</v>
      </c>
      <c r="B229" s="30"/>
      <c r="C229" s="30"/>
      <c r="D229" s="30"/>
      <c r="E229" s="30"/>
      <c r="F229" s="31" t="str">
        <f t="shared" si="3"/>
        <v/>
      </c>
      <c r="G229" s="29"/>
      <c r="H229" s="29"/>
      <c r="I229" s="29"/>
      <c r="J229" s="30"/>
      <c r="K229" s="30"/>
      <c r="L229" s="33"/>
    </row>
    <row r="230" spans="1:12">
      <c r="A230" s="43">
        <v>225</v>
      </c>
      <c r="B230" s="30"/>
      <c r="C230" s="30"/>
      <c r="D230" s="30"/>
      <c r="E230" s="30"/>
      <c r="F230" s="31" t="str">
        <f t="shared" si="3"/>
        <v/>
      </c>
      <c r="G230" s="29"/>
      <c r="H230" s="29"/>
      <c r="I230" s="29"/>
      <c r="J230" s="30"/>
      <c r="K230" s="30"/>
      <c r="L230" s="33"/>
    </row>
    <row r="231" spans="1:12">
      <c r="A231" s="43">
        <v>226</v>
      </c>
      <c r="B231" s="30"/>
      <c r="C231" s="30"/>
      <c r="D231" s="30"/>
      <c r="E231" s="30"/>
      <c r="F231" s="31" t="str">
        <f t="shared" si="3"/>
        <v/>
      </c>
      <c r="G231" s="29"/>
      <c r="H231" s="29"/>
      <c r="I231" s="29"/>
      <c r="J231" s="30"/>
      <c r="K231" s="30"/>
      <c r="L231" s="33"/>
    </row>
    <row r="232" spans="1:12">
      <c r="A232" s="44">
        <v>227</v>
      </c>
      <c r="B232" s="36"/>
      <c r="C232" s="36"/>
      <c r="D232" s="36"/>
      <c r="E232" s="36"/>
      <c r="F232" s="37" t="str">
        <f t="shared" si="3"/>
        <v/>
      </c>
      <c r="G232" s="35"/>
      <c r="H232" s="35"/>
      <c r="I232" s="35"/>
      <c r="J232" s="36"/>
      <c r="K232" s="36"/>
      <c r="L232" s="39"/>
    </row>
  </sheetData>
  <mergeCells count="2">
    <mergeCell ref="A1:L2"/>
    <mergeCell ref="A3:L3"/>
  </mergeCells>
  <dataValidations count="3">
    <dataValidation type="list" sqref="E6:E232" xr:uid="{00000000-0002-0000-0500-000000000000}">
      <formula1>"Ø75,Ø110"</formula1>
    </dataValidation>
    <dataValidation type="list" sqref="J6:J232" xr:uid="{00000000-0002-0000-0500-000001000000}">
      <formula1>"Pendiente,Abierta,Cañería descubierta,Conexión ejecutada,Tapada,Compactada,Terminada,Observada"</formula1>
    </dataValidation>
    <dataValidation type="list" sqref="K6:K232" xr:uid="{00000000-0002-0000-0500-000002000000}">
      <formula1>"No solicitado,Pendiente,Solicitado,Observado,Aprobado"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topLeftCell="A3" workbookViewId="0">
      <selection sqref="A1:H2"/>
    </sheetView>
  </sheetViews>
  <sheetFormatPr baseColWidth="10" defaultColWidth="8.796875" defaultRowHeight="13.8"/>
  <cols>
    <col min="1" max="1" width="8" customWidth="1"/>
    <col min="2" max="2" width="38" customWidth="1"/>
    <col min="3" max="3" width="10" customWidth="1"/>
    <col min="4" max="4" width="45" customWidth="1"/>
    <col min="5" max="5" width="42" customWidth="1"/>
    <col min="6" max="6" width="38" customWidth="1"/>
    <col min="7" max="7" width="42" customWidth="1"/>
    <col min="8" max="8" width="32" customWidth="1"/>
  </cols>
  <sheetData>
    <row r="1" spans="1:8" ht="19.2" customHeight="1">
      <c r="A1" s="143" t="s">
        <v>205</v>
      </c>
      <c r="B1" s="143"/>
      <c r="C1" s="143"/>
      <c r="D1" s="143"/>
      <c r="E1" s="143"/>
      <c r="F1" s="143"/>
      <c r="G1" s="143"/>
      <c r="H1" s="143"/>
    </row>
    <row r="2" spans="1:8" ht="19.2" customHeight="1">
      <c r="A2" s="143"/>
      <c r="B2" s="143"/>
      <c r="C2" s="143"/>
      <c r="D2" s="143"/>
      <c r="E2" s="143"/>
      <c r="F2" s="143"/>
      <c r="G2" s="143"/>
      <c r="H2" s="143"/>
    </row>
    <row r="4" spans="1:8" ht="14.4">
      <c r="A4" s="147" t="s">
        <v>206</v>
      </c>
      <c r="B4" s="147"/>
      <c r="C4" s="147"/>
      <c r="D4" s="147"/>
      <c r="E4" s="147"/>
      <c r="F4" s="147"/>
      <c r="G4" s="147"/>
      <c r="H4" s="147"/>
    </row>
    <row r="6" spans="1:8" ht="22.35" customHeight="1">
      <c r="A6" s="8" t="s">
        <v>93</v>
      </c>
      <c r="B6" s="9" t="s">
        <v>207</v>
      </c>
      <c r="C6" s="9" t="s">
        <v>94</v>
      </c>
      <c r="D6" s="9" t="s">
        <v>208</v>
      </c>
      <c r="E6" s="9" t="s">
        <v>209</v>
      </c>
      <c r="F6" s="9" t="s">
        <v>210</v>
      </c>
      <c r="G6" s="9" t="s">
        <v>211</v>
      </c>
      <c r="H6" s="10" t="s">
        <v>212</v>
      </c>
    </row>
    <row r="7" spans="1:8" ht="19.2" customHeight="1">
      <c r="A7" s="22" t="s">
        <v>99</v>
      </c>
      <c r="B7" s="23" t="s">
        <v>213</v>
      </c>
      <c r="C7" s="23" t="s">
        <v>101</v>
      </c>
      <c r="D7" s="12" t="s">
        <v>214</v>
      </c>
      <c r="E7" s="12" t="s">
        <v>215</v>
      </c>
      <c r="F7" s="12" t="s">
        <v>216</v>
      </c>
      <c r="G7" s="12" t="s">
        <v>217</v>
      </c>
      <c r="H7" s="24" t="s">
        <v>218</v>
      </c>
    </row>
    <row r="8" spans="1:8" ht="19.2" customHeight="1">
      <c r="A8" s="22" t="s">
        <v>102</v>
      </c>
      <c r="B8" s="23" t="s">
        <v>103</v>
      </c>
      <c r="C8" s="23" t="s">
        <v>101</v>
      </c>
      <c r="D8" s="12" t="s">
        <v>219</v>
      </c>
      <c r="E8" s="12" t="s">
        <v>220</v>
      </c>
      <c r="F8" s="12" t="s">
        <v>221</v>
      </c>
      <c r="G8" s="12" t="s">
        <v>222</v>
      </c>
      <c r="H8" s="24" t="s">
        <v>223</v>
      </c>
    </row>
    <row r="9" spans="1:8" ht="19.2" customHeight="1">
      <c r="A9" s="22" t="s">
        <v>104</v>
      </c>
      <c r="B9" s="23" t="s">
        <v>224</v>
      </c>
      <c r="C9" s="23" t="s">
        <v>101</v>
      </c>
      <c r="D9" s="12" t="s">
        <v>225</v>
      </c>
      <c r="E9" s="12" t="s">
        <v>226</v>
      </c>
      <c r="F9" s="12" t="s">
        <v>216</v>
      </c>
      <c r="G9" s="12" t="s">
        <v>227</v>
      </c>
      <c r="H9" s="24" t="s">
        <v>228</v>
      </c>
    </row>
    <row r="10" spans="1:8" ht="19.2" customHeight="1">
      <c r="A10" s="22" t="s">
        <v>106</v>
      </c>
      <c r="B10" s="23" t="s">
        <v>107</v>
      </c>
      <c r="C10" s="23" t="s">
        <v>101</v>
      </c>
      <c r="D10" s="12" t="s">
        <v>229</v>
      </c>
      <c r="E10" s="12" t="s">
        <v>230</v>
      </c>
      <c r="F10" s="12" t="s">
        <v>216</v>
      </c>
      <c r="G10" s="12" t="s">
        <v>231</v>
      </c>
      <c r="H10" s="24" t="s">
        <v>232</v>
      </c>
    </row>
    <row r="11" spans="1:8" ht="19.2" customHeight="1">
      <c r="A11" s="22" t="s">
        <v>108</v>
      </c>
      <c r="B11" s="23" t="s">
        <v>109</v>
      </c>
      <c r="C11" s="23" t="s">
        <v>101</v>
      </c>
      <c r="D11" s="12" t="s">
        <v>233</v>
      </c>
      <c r="E11" s="12" t="s">
        <v>234</v>
      </c>
      <c r="F11" s="12" t="s">
        <v>235</v>
      </c>
      <c r="G11" s="12" t="s">
        <v>236</v>
      </c>
      <c r="H11" s="24" t="s">
        <v>237</v>
      </c>
    </row>
    <row r="12" spans="1:8" ht="19.2" customHeight="1">
      <c r="A12" s="22" t="s">
        <v>110</v>
      </c>
      <c r="B12" s="23" t="s">
        <v>111</v>
      </c>
      <c r="C12" s="23" t="s">
        <v>101</v>
      </c>
      <c r="D12" s="12" t="s">
        <v>238</v>
      </c>
      <c r="E12" s="12" t="s">
        <v>234</v>
      </c>
      <c r="F12" s="12" t="s">
        <v>235</v>
      </c>
      <c r="G12" s="12" t="s">
        <v>236</v>
      </c>
      <c r="H12" s="24" t="s">
        <v>239</v>
      </c>
    </row>
    <row r="13" spans="1:8" ht="19.2" customHeight="1">
      <c r="A13" s="22" t="s">
        <v>112</v>
      </c>
      <c r="B13" s="23" t="s">
        <v>240</v>
      </c>
      <c r="C13" s="23" t="s">
        <v>101</v>
      </c>
      <c r="D13" s="12" t="s">
        <v>241</v>
      </c>
      <c r="E13" s="12" t="s">
        <v>242</v>
      </c>
      <c r="F13" s="12" t="s">
        <v>216</v>
      </c>
      <c r="G13" s="12" t="s">
        <v>243</v>
      </c>
      <c r="H13" s="24" t="s">
        <v>244</v>
      </c>
    </row>
    <row r="14" spans="1:8" ht="19.2" customHeight="1">
      <c r="A14" s="22" t="s">
        <v>114</v>
      </c>
      <c r="B14" s="23" t="s">
        <v>245</v>
      </c>
      <c r="C14" s="23" t="s">
        <v>101</v>
      </c>
      <c r="D14" s="12" t="s">
        <v>246</v>
      </c>
      <c r="E14" s="12" t="s">
        <v>247</v>
      </c>
      <c r="F14" s="12" t="s">
        <v>248</v>
      </c>
      <c r="G14" s="12" t="s">
        <v>249</v>
      </c>
      <c r="H14" s="24" t="s">
        <v>250</v>
      </c>
    </row>
    <row r="15" spans="1:8" ht="19.2" customHeight="1">
      <c r="A15" s="22" t="s">
        <v>116</v>
      </c>
      <c r="B15" s="23" t="s">
        <v>251</v>
      </c>
      <c r="C15" s="23" t="s">
        <v>101</v>
      </c>
      <c r="D15" s="12" t="s">
        <v>252</v>
      </c>
      <c r="E15" s="12" t="s">
        <v>253</v>
      </c>
      <c r="F15" s="12" t="s">
        <v>216</v>
      </c>
      <c r="G15" s="12" t="s">
        <v>254</v>
      </c>
      <c r="H15" s="24" t="s">
        <v>255</v>
      </c>
    </row>
    <row r="16" spans="1:8" ht="19.2" customHeight="1">
      <c r="A16" s="22" t="s">
        <v>118</v>
      </c>
      <c r="B16" s="23" t="s">
        <v>256</v>
      </c>
      <c r="C16" s="23" t="s">
        <v>101</v>
      </c>
      <c r="D16" s="12" t="s">
        <v>257</v>
      </c>
      <c r="E16" s="12" t="s">
        <v>253</v>
      </c>
      <c r="F16" s="12" t="s">
        <v>216</v>
      </c>
      <c r="G16" s="12" t="s">
        <v>258</v>
      </c>
      <c r="H16" s="24" t="s">
        <v>259</v>
      </c>
    </row>
    <row r="17" spans="1:8" ht="19.2" customHeight="1">
      <c r="A17" s="22" t="s">
        <v>120</v>
      </c>
      <c r="B17" s="23" t="s">
        <v>260</v>
      </c>
      <c r="C17" s="23" t="s">
        <v>122</v>
      </c>
      <c r="D17" s="12" t="s">
        <v>261</v>
      </c>
      <c r="E17" s="12" t="s">
        <v>262</v>
      </c>
      <c r="F17" s="12" t="s">
        <v>263</v>
      </c>
      <c r="G17" s="12" t="s">
        <v>264</v>
      </c>
      <c r="H17" s="24" t="s">
        <v>265</v>
      </c>
    </row>
    <row r="18" spans="1:8" ht="19.2" customHeight="1">
      <c r="A18" s="22" t="s">
        <v>123</v>
      </c>
      <c r="B18" s="23" t="s">
        <v>266</v>
      </c>
      <c r="C18" s="23" t="s">
        <v>122</v>
      </c>
      <c r="D18" s="12" t="s">
        <v>267</v>
      </c>
      <c r="E18" s="12" t="s">
        <v>262</v>
      </c>
      <c r="F18" s="12" t="s">
        <v>263</v>
      </c>
      <c r="G18" s="12" t="s">
        <v>264</v>
      </c>
      <c r="H18" s="24" t="s">
        <v>268</v>
      </c>
    </row>
    <row r="19" spans="1:8" ht="19.2" customHeight="1">
      <c r="A19" s="22" t="s">
        <v>125</v>
      </c>
      <c r="B19" s="23" t="s">
        <v>269</v>
      </c>
      <c r="C19" s="23" t="s">
        <v>122</v>
      </c>
      <c r="D19" s="12" t="s">
        <v>270</v>
      </c>
      <c r="E19" s="12" t="s">
        <v>271</v>
      </c>
      <c r="F19" s="12" t="s">
        <v>263</v>
      </c>
      <c r="G19" s="12" t="s">
        <v>272</v>
      </c>
      <c r="H19" s="24" t="s">
        <v>273</v>
      </c>
    </row>
    <row r="20" spans="1:8" ht="19.2" customHeight="1">
      <c r="A20" s="22" t="s">
        <v>127</v>
      </c>
      <c r="B20" s="23" t="s">
        <v>274</v>
      </c>
      <c r="C20" s="23" t="s">
        <v>122</v>
      </c>
      <c r="D20" s="12" t="s">
        <v>275</v>
      </c>
      <c r="E20" s="12" t="s">
        <v>271</v>
      </c>
      <c r="F20" s="12" t="s">
        <v>263</v>
      </c>
      <c r="G20" s="12" t="s">
        <v>272</v>
      </c>
      <c r="H20" s="24" t="s">
        <v>273</v>
      </c>
    </row>
    <row r="21" spans="1:8" ht="12" customHeight="1">
      <c r="A21" s="22" t="s">
        <v>129</v>
      </c>
      <c r="B21" s="23" t="s">
        <v>276</v>
      </c>
      <c r="C21" s="23" t="s">
        <v>122</v>
      </c>
      <c r="D21" s="12" t="s">
        <v>277</v>
      </c>
      <c r="E21" s="12" t="s">
        <v>278</v>
      </c>
      <c r="F21" s="12" t="s">
        <v>263</v>
      </c>
      <c r="G21" s="12" t="s">
        <v>279</v>
      </c>
      <c r="H21" s="24" t="s">
        <v>280</v>
      </c>
    </row>
    <row r="22" spans="1:8" ht="19.2" customHeight="1">
      <c r="A22" s="22" t="s">
        <v>131</v>
      </c>
      <c r="B22" s="23" t="s">
        <v>132</v>
      </c>
      <c r="C22" s="23" t="s">
        <v>133</v>
      </c>
      <c r="D22" s="12" t="s">
        <v>281</v>
      </c>
      <c r="E22" s="12" t="s">
        <v>282</v>
      </c>
      <c r="F22" s="12" t="s">
        <v>283</v>
      </c>
      <c r="G22" s="12" t="s">
        <v>284</v>
      </c>
      <c r="H22" s="24" t="s">
        <v>285</v>
      </c>
    </row>
    <row r="23" spans="1:8" ht="19.2" customHeight="1">
      <c r="A23" s="22" t="s">
        <v>134</v>
      </c>
      <c r="B23" s="23" t="s">
        <v>135</v>
      </c>
      <c r="C23" s="23" t="s">
        <v>133</v>
      </c>
      <c r="D23" s="12" t="s">
        <v>286</v>
      </c>
      <c r="E23" s="12" t="s">
        <v>287</v>
      </c>
      <c r="F23" s="12" t="s">
        <v>288</v>
      </c>
      <c r="G23" s="12" t="s">
        <v>289</v>
      </c>
      <c r="H23" s="24" t="s">
        <v>290</v>
      </c>
    </row>
    <row r="24" spans="1:8" ht="19.2" customHeight="1">
      <c r="A24" s="96" t="s">
        <v>136</v>
      </c>
      <c r="B24" s="25" t="s">
        <v>137</v>
      </c>
      <c r="C24" s="25" t="s">
        <v>133</v>
      </c>
      <c r="D24" s="26" t="s">
        <v>291</v>
      </c>
      <c r="E24" s="26" t="s">
        <v>292</v>
      </c>
      <c r="F24" s="26" t="s">
        <v>293</v>
      </c>
      <c r="G24" s="26" t="s">
        <v>294</v>
      </c>
      <c r="H24" s="27" t="s">
        <v>295</v>
      </c>
    </row>
    <row r="26" spans="1:8" ht="24" customHeight="1">
      <c r="A26" s="137" t="s">
        <v>296</v>
      </c>
      <c r="B26" s="137" t="s">
        <v>297</v>
      </c>
      <c r="C26" s="137"/>
      <c r="D26" s="137"/>
      <c r="E26" s="137"/>
      <c r="F26" s="137"/>
      <c r="G26" s="137"/>
      <c r="H26" s="137"/>
    </row>
  </sheetData>
  <mergeCells count="3">
    <mergeCell ref="A1:H2"/>
    <mergeCell ref="A4:H4"/>
    <mergeCell ref="A26:H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5"/>
  <sheetViews>
    <sheetView workbookViewId="0">
      <selection sqref="A1:O1"/>
    </sheetView>
  </sheetViews>
  <sheetFormatPr baseColWidth="10" defaultColWidth="8.796875" defaultRowHeight="13.8"/>
  <cols>
    <col min="1" max="1" width="9" customWidth="1"/>
    <col min="2" max="4" width="13" customWidth="1"/>
    <col min="5" max="6" width="12" customWidth="1"/>
    <col min="7" max="10" width="17" customWidth="1"/>
    <col min="11" max="14" width="14" customWidth="1"/>
    <col min="15" max="15" width="28" customWidth="1"/>
  </cols>
  <sheetData>
    <row r="1" spans="1:15" ht="22.35" customHeight="1">
      <c r="A1" s="167" t="s">
        <v>314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3" spans="1:15" ht="24" customHeight="1">
      <c r="A3" s="168" t="s">
        <v>315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5" spans="1:15" ht="27.15" customHeight="1">
      <c r="A5" s="99" t="s">
        <v>145</v>
      </c>
      <c r="B5" s="99" t="s">
        <v>162</v>
      </c>
      <c r="C5" s="99" t="s">
        <v>163</v>
      </c>
      <c r="D5" s="99" t="s">
        <v>165</v>
      </c>
      <c r="E5" s="99" t="s">
        <v>141</v>
      </c>
      <c r="F5" s="99" t="s">
        <v>164</v>
      </c>
      <c r="G5" s="99" t="s">
        <v>316</v>
      </c>
      <c r="H5" s="99" t="s">
        <v>317</v>
      </c>
      <c r="I5" s="99" t="s">
        <v>318</v>
      </c>
      <c r="J5" s="99" t="s">
        <v>319</v>
      </c>
      <c r="K5" s="99" t="s">
        <v>320</v>
      </c>
      <c r="L5" s="99" t="s">
        <v>321</v>
      </c>
      <c r="M5" s="99" t="s">
        <v>322</v>
      </c>
      <c r="N5" s="99" t="s">
        <v>139</v>
      </c>
      <c r="O5" s="99" t="s">
        <v>157</v>
      </c>
    </row>
    <row r="6" spans="1:15">
      <c r="A6">
        <v>1</v>
      </c>
      <c r="B6" s="101"/>
      <c r="C6" s="101"/>
      <c r="D6" s="101"/>
      <c r="E6" s="102"/>
      <c r="F6" s="97">
        <f>COUNTIF(Medicion!$A$6:$A$511,$A6)</f>
        <v>72</v>
      </c>
      <c r="G6" s="103">
        <f>SUMIFS('Historial Detalle'!$K$6:$K$437,'Historial Detalle'!$A$6:$A$437,$A6)</f>
        <v>0</v>
      </c>
      <c r="H6" s="103">
        <f>SUMIFS('Historial Detalle'!$L$6:$L$437,'Historial Detalle'!$A$6:$A$437,$A6)</f>
        <v>14722544.642743155</v>
      </c>
      <c r="I6" s="103">
        <f>SUMIFS('Historial Detalle'!$M$6:$M$437,'Historial Detalle'!$A$6:$A$437,$A6)</f>
        <v>14722544.642743155</v>
      </c>
      <c r="J6" s="103">
        <f>MAX(0,Configuracion!$B$18-I6)</f>
        <v>99878006.321444184</v>
      </c>
      <c r="K6" s="104">
        <f>IFERROR(I6/Configuracion!$B$18,0)</f>
        <v>0.12846835830085973</v>
      </c>
      <c r="L6" s="103">
        <f>H6*Configuracion!$B$16</f>
        <v>3091734.3749760627</v>
      </c>
      <c r="M6" s="103">
        <f t="shared" ref="M6:M29" si="0">H6+L6</f>
        <v>17814279.017719217</v>
      </c>
      <c r="N6" s="97" t="str">
        <f>IF(COUNTIFS('Historial Detalle'!$A$6:$A$437,$A6,'Historial Detalle'!$P$6:$P$437,"REVISAR")&gt;0,"REVISAR",IF(F6=0,"SIN MOVIMIENTO","OK"))</f>
        <v>OK</v>
      </c>
      <c r="O6" s="102"/>
    </row>
    <row r="7" spans="1:15">
      <c r="A7">
        <v>2</v>
      </c>
      <c r="B7" s="101"/>
      <c r="C7" s="101"/>
      <c r="D7" s="101"/>
      <c r="E7" s="102"/>
      <c r="F7" s="97">
        <f>COUNTIF(Medicion!$A$6:$A$511,$A7)</f>
        <v>0</v>
      </c>
      <c r="G7" s="103">
        <f>SUMIFS('Historial Detalle'!$K$6:$K$437,'Historial Detalle'!$A$6:$A$437,$A7)</f>
        <v>14722544.642743155</v>
      </c>
      <c r="H7" s="103">
        <f>SUMIFS('Historial Detalle'!$L$6:$L$437,'Historial Detalle'!$A$6:$A$437,$A7)</f>
        <v>0</v>
      </c>
      <c r="I7" s="103">
        <f>SUMIFS('Historial Detalle'!$M$6:$M$437,'Historial Detalle'!$A$6:$A$437,$A7)</f>
        <v>14722544.642743155</v>
      </c>
      <c r="J7" s="103">
        <f>MAX(0,Configuracion!$B$18-I7)</f>
        <v>99878006.321444184</v>
      </c>
      <c r="K7" s="104">
        <f>IFERROR(I7/Configuracion!$B$18,0)</f>
        <v>0.12846835830085973</v>
      </c>
      <c r="L7" s="103">
        <f>H7*Configuracion!$B$16</f>
        <v>0</v>
      </c>
      <c r="M7" s="103">
        <f t="shared" si="0"/>
        <v>0</v>
      </c>
      <c r="N7" s="97" t="str">
        <f>IF(COUNTIFS('Historial Detalle'!$A$6:$A$437,$A7,'Historial Detalle'!$P$6:$P$437,"REVISAR")&gt;0,"REVISAR",IF(F7=0,"SIN MOVIMIENTO","OK"))</f>
        <v>SIN MOVIMIENTO</v>
      </c>
      <c r="O7" s="102"/>
    </row>
    <row r="8" spans="1:15">
      <c r="A8">
        <v>3</v>
      </c>
      <c r="B8" s="101"/>
      <c r="C8" s="101"/>
      <c r="D8" s="101"/>
      <c r="E8" s="102"/>
      <c r="F8" s="97">
        <f>COUNTIF(Medicion!$A$6:$A$511,$A8)</f>
        <v>0</v>
      </c>
      <c r="G8" s="103">
        <f>SUMIFS('Historial Detalle'!$K$6:$K$437,'Historial Detalle'!$A$6:$A$437,$A8)</f>
        <v>14722544.642743155</v>
      </c>
      <c r="H8" s="103">
        <f>SUMIFS('Historial Detalle'!$L$6:$L$437,'Historial Detalle'!$A$6:$A$437,$A8)</f>
        <v>0</v>
      </c>
      <c r="I8" s="103">
        <f>SUMIFS('Historial Detalle'!$M$6:$M$437,'Historial Detalle'!$A$6:$A$437,$A8)</f>
        <v>14722544.642743155</v>
      </c>
      <c r="J8" s="103">
        <f>MAX(0,Configuracion!$B$18-I8)</f>
        <v>99878006.321444184</v>
      </c>
      <c r="K8" s="104">
        <f>IFERROR(I8/Configuracion!$B$18,0)</f>
        <v>0.12846835830085973</v>
      </c>
      <c r="L8" s="103">
        <f>H8*Configuracion!$B$16</f>
        <v>0</v>
      </c>
      <c r="M8" s="103">
        <f t="shared" si="0"/>
        <v>0</v>
      </c>
      <c r="N8" s="97" t="str">
        <f>IF(COUNTIFS('Historial Detalle'!$A$6:$A$437,$A8,'Historial Detalle'!$P$6:$P$437,"REVISAR")&gt;0,"REVISAR",IF(F8=0,"SIN MOVIMIENTO","OK"))</f>
        <v>SIN MOVIMIENTO</v>
      </c>
      <c r="O8" s="102"/>
    </row>
    <row r="9" spans="1:15">
      <c r="A9">
        <v>4</v>
      </c>
      <c r="B9" s="101"/>
      <c r="C9" s="101"/>
      <c r="D9" s="101"/>
      <c r="E9" s="102"/>
      <c r="F9" s="97">
        <f>COUNTIF(Medicion!$A$6:$A$511,$A9)</f>
        <v>0</v>
      </c>
      <c r="G9" s="103">
        <f>SUMIFS('Historial Detalle'!$K$6:$K$437,'Historial Detalle'!$A$6:$A$437,$A9)</f>
        <v>14722544.642743155</v>
      </c>
      <c r="H9" s="103">
        <f>SUMIFS('Historial Detalle'!$L$6:$L$437,'Historial Detalle'!$A$6:$A$437,$A9)</f>
        <v>0</v>
      </c>
      <c r="I9" s="103">
        <f>SUMIFS('Historial Detalle'!$M$6:$M$437,'Historial Detalle'!$A$6:$A$437,$A9)</f>
        <v>14722544.642743155</v>
      </c>
      <c r="J9" s="103">
        <f>MAX(0,Configuracion!$B$18-I9)</f>
        <v>99878006.321444184</v>
      </c>
      <c r="K9" s="104">
        <f>IFERROR(I9/Configuracion!$B$18,0)</f>
        <v>0.12846835830085973</v>
      </c>
      <c r="L9" s="103">
        <f>H9*Configuracion!$B$16</f>
        <v>0</v>
      </c>
      <c r="M9" s="103">
        <f t="shared" si="0"/>
        <v>0</v>
      </c>
      <c r="N9" s="97" t="str">
        <f>IF(COUNTIFS('Historial Detalle'!$A$6:$A$437,$A9,'Historial Detalle'!$P$6:$P$437,"REVISAR")&gt;0,"REVISAR",IF(F9=0,"SIN MOVIMIENTO","OK"))</f>
        <v>SIN MOVIMIENTO</v>
      </c>
      <c r="O9" s="102"/>
    </row>
    <row r="10" spans="1:15">
      <c r="A10">
        <v>5</v>
      </c>
      <c r="B10" s="101"/>
      <c r="C10" s="101"/>
      <c r="D10" s="101"/>
      <c r="E10" s="102"/>
      <c r="F10" s="97">
        <f>COUNTIF(Medicion!$A$6:$A$511,$A10)</f>
        <v>0</v>
      </c>
      <c r="G10" s="103">
        <f>SUMIFS('Historial Detalle'!$K$6:$K$437,'Historial Detalle'!$A$6:$A$437,$A10)</f>
        <v>14722544.642743155</v>
      </c>
      <c r="H10" s="103">
        <f>SUMIFS('Historial Detalle'!$L$6:$L$437,'Historial Detalle'!$A$6:$A$437,$A10)</f>
        <v>0</v>
      </c>
      <c r="I10" s="103">
        <f>SUMIFS('Historial Detalle'!$M$6:$M$437,'Historial Detalle'!$A$6:$A$437,$A10)</f>
        <v>14722544.642743155</v>
      </c>
      <c r="J10" s="103">
        <f>MAX(0,Configuracion!$B$18-I10)</f>
        <v>99878006.321444184</v>
      </c>
      <c r="K10" s="104">
        <f>IFERROR(I10/Configuracion!$B$18,0)</f>
        <v>0.12846835830085973</v>
      </c>
      <c r="L10" s="103">
        <f>H10*Configuracion!$B$16</f>
        <v>0</v>
      </c>
      <c r="M10" s="103">
        <f t="shared" si="0"/>
        <v>0</v>
      </c>
      <c r="N10" s="97" t="str">
        <f>IF(COUNTIFS('Historial Detalle'!$A$6:$A$437,$A10,'Historial Detalle'!$P$6:$P$437,"REVISAR")&gt;0,"REVISAR",IF(F10=0,"SIN MOVIMIENTO","OK"))</f>
        <v>SIN MOVIMIENTO</v>
      </c>
      <c r="O10" s="102"/>
    </row>
    <row r="11" spans="1:15">
      <c r="A11">
        <v>6</v>
      </c>
      <c r="B11" s="101"/>
      <c r="C11" s="101"/>
      <c r="D11" s="101"/>
      <c r="E11" s="102"/>
      <c r="F11" s="97">
        <f>COUNTIF(Medicion!$A$6:$A$511,$A11)</f>
        <v>0</v>
      </c>
      <c r="G11" s="103">
        <f>SUMIFS('Historial Detalle'!$K$6:$K$437,'Historial Detalle'!$A$6:$A$437,$A11)</f>
        <v>14722544.642743155</v>
      </c>
      <c r="H11" s="103">
        <f>SUMIFS('Historial Detalle'!$L$6:$L$437,'Historial Detalle'!$A$6:$A$437,$A11)</f>
        <v>0</v>
      </c>
      <c r="I11" s="103">
        <f>SUMIFS('Historial Detalle'!$M$6:$M$437,'Historial Detalle'!$A$6:$A$437,$A11)</f>
        <v>14722544.642743155</v>
      </c>
      <c r="J11" s="103">
        <f>MAX(0,Configuracion!$B$18-I11)</f>
        <v>99878006.321444184</v>
      </c>
      <c r="K11" s="104">
        <f>IFERROR(I11/Configuracion!$B$18,0)</f>
        <v>0.12846835830085973</v>
      </c>
      <c r="L11" s="103">
        <f>H11*Configuracion!$B$16</f>
        <v>0</v>
      </c>
      <c r="M11" s="103">
        <f t="shared" si="0"/>
        <v>0</v>
      </c>
      <c r="N11" s="97" t="str">
        <f>IF(COUNTIFS('Historial Detalle'!$A$6:$A$437,$A11,'Historial Detalle'!$P$6:$P$437,"REVISAR")&gt;0,"REVISAR",IF(F11=0,"SIN MOVIMIENTO","OK"))</f>
        <v>SIN MOVIMIENTO</v>
      </c>
      <c r="O11" s="102"/>
    </row>
    <row r="12" spans="1:15">
      <c r="A12">
        <v>7</v>
      </c>
      <c r="B12" s="101"/>
      <c r="C12" s="101"/>
      <c r="D12" s="101"/>
      <c r="E12" s="102"/>
      <c r="F12" s="97">
        <f>COUNTIF(Medicion!$A$6:$A$511,$A12)</f>
        <v>0</v>
      </c>
      <c r="G12" s="103">
        <f>SUMIFS('Historial Detalle'!$K$6:$K$437,'Historial Detalle'!$A$6:$A$437,$A12)</f>
        <v>14722544.642743155</v>
      </c>
      <c r="H12" s="103">
        <f>SUMIFS('Historial Detalle'!$L$6:$L$437,'Historial Detalle'!$A$6:$A$437,$A12)</f>
        <v>0</v>
      </c>
      <c r="I12" s="103">
        <f>SUMIFS('Historial Detalle'!$M$6:$M$437,'Historial Detalle'!$A$6:$A$437,$A12)</f>
        <v>14722544.642743155</v>
      </c>
      <c r="J12" s="103">
        <f>MAX(0,Configuracion!$B$18-I12)</f>
        <v>99878006.321444184</v>
      </c>
      <c r="K12" s="104">
        <f>IFERROR(I12/Configuracion!$B$18,0)</f>
        <v>0.12846835830085973</v>
      </c>
      <c r="L12" s="103">
        <f>H12*Configuracion!$B$16</f>
        <v>0</v>
      </c>
      <c r="M12" s="103">
        <f t="shared" si="0"/>
        <v>0</v>
      </c>
      <c r="N12" s="97" t="str">
        <f>IF(COUNTIFS('Historial Detalle'!$A$6:$A$437,$A12,'Historial Detalle'!$P$6:$P$437,"REVISAR")&gt;0,"REVISAR",IF(F12=0,"SIN MOVIMIENTO","OK"))</f>
        <v>SIN MOVIMIENTO</v>
      </c>
      <c r="O12" s="102"/>
    </row>
    <row r="13" spans="1:15">
      <c r="A13">
        <v>8</v>
      </c>
      <c r="B13" s="101"/>
      <c r="C13" s="101"/>
      <c r="D13" s="101"/>
      <c r="E13" s="102"/>
      <c r="F13" s="97">
        <f>COUNTIF(Medicion!$A$6:$A$511,$A13)</f>
        <v>0</v>
      </c>
      <c r="G13" s="103">
        <f>SUMIFS('Historial Detalle'!$K$6:$K$437,'Historial Detalle'!$A$6:$A$437,$A13)</f>
        <v>14722544.642743155</v>
      </c>
      <c r="H13" s="103">
        <f>SUMIFS('Historial Detalle'!$L$6:$L$437,'Historial Detalle'!$A$6:$A$437,$A13)</f>
        <v>0</v>
      </c>
      <c r="I13" s="103">
        <f>SUMIFS('Historial Detalle'!$M$6:$M$437,'Historial Detalle'!$A$6:$A$437,$A13)</f>
        <v>14722544.642743155</v>
      </c>
      <c r="J13" s="103">
        <f>MAX(0,Configuracion!$B$18-I13)</f>
        <v>99878006.321444184</v>
      </c>
      <c r="K13" s="104">
        <f>IFERROR(I13/Configuracion!$B$18,0)</f>
        <v>0.12846835830085973</v>
      </c>
      <c r="L13" s="103">
        <f>H13*Configuracion!$B$16</f>
        <v>0</v>
      </c>
      <c r="M13" s="103">
        <f t="shared" si="0"/>
        <v>0</v>
      </c>
      <c r="N13" s="97" t="str">
        <f>IF(COUNTIFS('Historial Detalle'!$A$6:$A$437,$A13,'Historial Detalle'!$P$6:$P$437,"REVISAR")&gt;0,"REVISAR",IF(F13=0,"SIN MOVIMIENTO","OK"))</f>
        <v>SIN MOVIMIENTO</v>
      </c>
      <c r="O13" s="102"/>
    </row>
    <row r="14" spans="1:15">
      <c r="A14">
        <v>9</v>
      </c>
      <c r="B14" s="101"/>
      <c r="C14" s="101"/>
      <c r="D14" s="101"/>
      <c r="E14" s="102"/>
      <c r="F14" s="97">
        <f>COUNTIF(Medicion!$A$6:$A$511,$A14)</f>
        <v>0</v>
      </c>
      <c r="G14" s="103">
        <f>SUMIFS('Historial Detalle'!$K$6:$K$437,'Historial Detalle'!$A$6:$A$437,$A14)</f>
        <v>14722544.642743155</v>
      </c>
      <c r="H14" s="103">
        <f>SUMIFS('Historial Detalle'!$L$6:$L$437,'Historial Detalle'!$A$6:$A$437,$A14)</f>
        <v>0</v>
      </c>
      <c r="I14" s="103">
        <f>SUMIFS('Historial Detalle'!$M$6:$M$437,'Historial Detalle'!$A$6:$A$437,$A14)</f>
        <v>14722544.642743155</v>
      </c>
      <c r="J14" s="103">
        <f>MAX(0,Configuracion!$B$18-I14)</f>
        <v>99878006.321444184</v>
      </c>
      <c r="K14" s="104">
        <f>IFERROR(I14/Configuracion!$B$18,0)</f>
        <v>0.12846835830085973</v>
      </c>
      <c r="L14" s="103">
        <f>H14*Configuracion!$B$16</f>
        <v>0</v>
      </c>
      <c r="M14" s="103">
        <f t="shared" si="0"/>
        <v>0</v>
      </c>
      <c r="N14" s="97" t="str">
        <f>IF(COUNTIFS('Historial Detalle'!$A$6:$A$437,$A14,'Historial Detalle'!$P$6:$P$437,"REVISAR")&gt;0,"REVISAR",IF(F14=0,"SIN MOVIMIENTO","OK"))</f>
        <v>SIN MOVIMIENTO</v>
      </c>
      <c r="O14" s="102"/>
    </row>
    <row r="15" spans="1:15">
      <c r="A15">
        <v>10</v>
      </c>
      <c r="B15" s="101"/>
      <c r="C15" s="101"/>
      <c r="D15" s="101"/>
      <c r="E15" s="102"/>
      <c r="F15" s="97">
        <f>COUNTIF(Medicion!$A$6:$A$511,$A15)</f>
        <v>0</v>
      </c>
      <c r="G15" s="103">
        <f>SUMIFS('Historial Detalle'!$K$6:$K$437,'Historial Detalle'!$A$6:$A$437,$A15)</f>
        <v>14722544.642743155</v>
      </c>
      <c r="H15" s="103">
        <f>SUMIFS('Historial Detalle'!$L$6:$L$437,'Historial Detalle'!$A$6:$A$437,$A15)</f>
        <v>0</v>
      </c>
      <c r="I15" s="103">
        <f>SUMIFS('Historial Detalle'!$M$6:$M$437,'Historial Detalle'!$A$6:$A$437,$A15)</f>
        <v>14722544.642743155</v>
      </c>
      <c r="J15" s="103">
        <f>MAX(0,Configuracion!$B$18-I15)</f>
        <v>99878006.321444184</v>
      </c>
      <c r="K15" s="104">
        <f>IFERROR(I15/Configuracion!$B$18,0)</f>
        <v>0.12846835830085973</v>
      </c>
      <c r="L15" s="103">
        <f>H15*Configuracion!$B$16</f>
        <v>0</v>
      </c>
      <c r="M15" s="103">
        <f t="shared" si="0"/>
        <v>0</v>
      </c>
      <c r="N15" s="97" t="str">
        <f>IF(COUNTIFS('Historial Detalle'!$A$6:$A$437,$A15,'Historial Detalle'!$P$6:$P$437,"REVISAR")&gt;0,"REVISAR",IF(F15=0,"SIN MOVIMIENTO","OK"))</f>
        <v>SIN MOVIMIENTO</v>
      </c>
      <c r="O15" s="102"/>
    </row>
    <row r="16" spans="1:15">
      <c r="A16">
        <v>11</v>
      </c>
      <c r="B16" s="101"/>
      <c r="C16" s="101"/>
      <c r="D16" s="101"/>
      <c r="E16" s="102"/>
      <c r="F16" s="97">
        <f>COUNTIF(Medicion!$A$6:$A$511,$A16)</f>
        <v>0</v>
      </c>
      <c r="G16" s="103">
        <f>SUMIFS('Historial Detalle'!$K$6:$K$437,'Historial Detalle'!$A$6:$A$437,$A16)</f>
        <v>14722544.642743155</v>
      </c>
      <c r="H16" s="103">
        <f>SUMIFS('Historial Detalle'!$L$6:$L$437,'Historial Detalle'!$A$6:$A$437,$A16)</f>
        <v>0</v>
      </c>
      <c r="I16" s="103">
        <f>SUMIFS('Historial Detalle'!$M$6:$M$437,'Historial Detalle'!$A$6:$A$437,$A16)</f>
        <v>14722544.642743155</v>
      </c>
      <c r="J16" s="103">
        <f>MAX(0,Configuracion!$B$18-I16)</f>
        <v>99878006.321444184</v>
      </c>
      <c r="K16" s="104">
        <f>IFERROR(I16/Configuracion!$B$18,0)</f>
        <v>0.12846835830085973</v>
      </c>
      <c r="L16" s="103">
        <f>H16*Configuracion!$B$16</f>
        <v>0</v>
      </c>
      <c r="M16" s="103">
        <f t="shared" si="0"/>
        <v>0</v>
      </c>
      <c r="N16" s="97" t="str">
        <f>IF(COUNTIFS('Historial Detalle'!$A$6:$A$437,$A16,'Historial Detalle'!$P$6:$P$437,"REVISAR")&gt;0,"REVISAR",IF(F16=0,"SIN MOVIMIENTO","OK"))</f>
        <v>SIN MOVIMIENTO</v>
      </c>
      <c r="O16" s="102"/>
    </row>
    <row r="17" spans="1:15">
      <c r="A17">
        <v>12</v>
      </c>
      <c r="B17" s="101"/>
      <c r="C17" s="101"/>
      <c r="D17" s="101"/>
      <c r="E17" s="102"/>
      <c r="F17" s="97">
        <f>COUNTIF(Medicion!$A$6:$A$511,$A17)</f>
        <v>0</v>
      </c>
      <c r="G17" s="103">
        <f>SUMIFS('Historial Detalle'!$K$6:$K$437,'Historial Detalle'!$A$6:$A$437,$A17)</f>
        <v>14722544.642743155</v>
      </c>
      <c r="H17" s="103">
        <f>SUMIFS('Historial Detalle'!$L$6:$L$437,'Historial Detalle'!$A$6:$A$437,$A17)</f>
        <v>0</v>
      </c>
      <c r="I17" s="103">
        <f>SUMIFS('Historial Detalle'!$M$6:$M$437,'Historial Detalle'!$A$6:$A$437,$A17)</f>
        <v>14722544.642743155</v>
      </c>
      <c r="J17" s="103">
        <f>MAX(0,Configuracion!$B$18-I17)</f>
        <v>99878006.321444184</v>
      </c>
      <c r="K17" s="104">
        <f>IFERROR(I17/Configuracion!$B$18,0)</f>
        <v>0.12846835830085973</v>
      </c>
      <c r="L17" s="103">
        <f>H17*Configuracion!$B$16</f>
        <v>0</v>
      </c>
      <c r="M17" s="103">
        <f t="shared" si="0"/>
        <v>0</v>
      </c>
      <c r="N17" s="97" t="str">
        <f>IF(COUNTIFS('Historial Detalle'!$A$6:$A$437,$A17,'Historial Detalle'!$P$6:$P$437,"REVISAR")&gt;0,"REVISAR",IF(F17=0,"SIN MOVIMIENTO","OK"))</f>
        <v>SIN MOVIMIENTO</v>
      </c>
      <c r="O17" s="102"/>
    </row>
    <row r="18" spans="1:15">
      <c r="A18">
        <v>13</v>
      </c>
      <c r="B18" s="101"/>
      <c r="C18" s="101"/>
      <c r="D18" s="101"/>
      <c r="E18" s="102"/>
      <c r="F18" s="97">
        <f>COUNTIF(Medicion!$A$6:$A$511,$A18)</f>
        <v>0</v>
      </c>
      <c r="G18" s="103">
        <f>SUMIFS('Historial Detalle'!$K$6:$K$437,'Historial Detalle'!$A$6:$A$437,$A18)</f>
        <v>14722544.642743155</v>
      </c>
      <c r="H18" s="103">
        <f>SUMIFS('Historial Detalle'!$L$6:$L$437,'Historial Detalle'!$A$6:$A$437,$A18)</f>
        <v>0</v>
      </c>
      <c r="I18" s="103">
        <f>SUMIFS('Historial Detalle'!$M$6:$M$437,'Historial Detalle'!$A$6:$A$437,$A18)</f>
        <v>14722544.642743155</v>
      </c>
      <c r="J18" s="103">
        <f>MAX(0,Configuracion!$B$18-I18)</f>
        <v>99878006.321444184</v>
      </c>
      <c r="K18" s="104">
        <f>IFERROR(I18/Configuracion!$B$18,0)</f>
        <v>0.12846835830085973</v>
      </c>
      <c r="L18" s="103">
        <f>H18*Configuracion!$B$16</f>
        <v>0</v>
      </c>
      <c r="M18" s="103">
        <f t="shared" si="0"/>
        <v>0</v>
      </c>
      <c r="N18" s="97" t="str">
        <f>IF(COUNTIFS('Historial Detalle'!$A$6:$A$437,$A18,'Historial Detalle'!$P$6:$P$437,"REVISAR")&gt;0,"REVISAR",IF(F18=0,"SIN MOVIMIENTO","OK"))</f>
        <v>SIN MOVIMIENTO</v>
      </c>
      <c r="O18" s="102"/>
    </row>
    <row r="19" spans="1:15">
      <c r="A19">
        <v>14</v>
      </c>
      <c r="B19" s="101"/>
      <c r="C19" s="101"/>
      <c r="D19" s="101"/>
      <c r="E19" s="102"/>
      <c r="F19" s="97">
        <f>COUNTIF(Medicion!$A$6:$A$511,$A19)</f>
        <v>0</v>
      </c>
      <c r="G19" s="103">
        <f>SUMIFS('Historial Detalle'!$K$6:$K$437,'Historial Detalle'!$A$6:$A$437,$A19)</f>
        <v>14722544.642743155</v>
      </c>
      <c r="H19" s="103">
        <f>SUMIFS('Historial Detalle'!$L$6:$L$437,'Historial Detalle'!$A$6:$A$437,$A19)</f>
        <v>0</v>
      </c>
      <c r="I19" s="103">
        <f>SUMIFS('Historial Detalle'!$M$6:$M$437,'Historial Detalle'!$A$6:$A$437,$A19)</f>
        <v>14722544.642743155</v>
      </c>
      <c r="J19" s="103">
        <f>MAX(0,Configuracion!$B$18-I19)</f>
        <v>99878006.321444184</v>
      </c>
      <c r="K19" s="104">
        <f>IFERROR(I19/Configuracion!$B$18,0)</f>
        <v>0.12846835830085973</v>
      </c>
      <c r="L19" s="103">
        <f>H19*Configuracion!$B$16</f>
        <v>0</v>
      </c>
      <c r="M19" s="103">
        <f t="shared" si="0"/>
        <v>0</v>
      </c>
      <c r="N19" s="97" t="str">
        <f>IF(COUNTIFS('Historial Detalle'!$A$6:$A$437,$A19,'Historial Detalle'!$P$6:$P$437,"REVISAR")&gt;0,"REVISAR",IF(F19=0,"SIN MOVIMIENTO","OK"))</f>
        <v>SIN MOVIMIENTO</v>
      </c>
      <c r="O19" s="102"/>
    </row>
    <row r="20" spans="1:15">
      <c r="A20">
        <v>15</v>
      </c>
      <c r="B20" s="101"/>
      <c r="C20" s="101"/>
      <c r="D20" s="101"/>
      <c r="E20" s="102"/>
      <c r="F20" s="97">
        <f>COUNTIF(Medicion!$A$6:$A$511,$A20)</f>
        <v>0</v>
      </c>
      <c r="G20" s="103">
        <f>SUMIFS('Historial Detalle'!$K$6:$K$437,'Historial Detalle'!$A$6:$A$437,$A20)</f>
        <v>14722544.642743155</v>
      </c>
      <c r="H20" s="103">
        <f>SUMIFS('Historial Detalle'!$L$6:$L$437,'Historial Detalle'!$A$6:$A$437,$A20)</f>
        <v>0</v>
      </c>
      <c r="I20" s="103">
        <f>SUMIFS('Historial Detalle'!$M$6:$M$437,'Historial Detalle'!$A$6:$A$437,$A20)</f>
        <v>14722544.642743155</v>
      </c>
      <c r="J20" s="103">
        <f>MAX(0,Configuracion!$B$18-I20)</f>
        <v>99878006.321444184</v>
      </c>
      <c r="K20" s="104">
        <f>IFERROR(I20/Configuracion!$B$18,0)</f>
        <v>0.12846835830085973</v>
      </c>
      <c r="L20" s="103">
        <f>H20*Configuracion!$B$16</f>
        <v>0</v>
      </c>
      <c r="M20" s="103">
        <f t="shared" si="0"/>
        <v>0</v>
      </c>
      <c r="N20" s="97" t="str">
        <f>IF(COUNTIFS('Historial Detalle'!$A$6:$A$437,$A20,'Historial Detalle'!$P$6:$P$437,"REVISAR")&gt;0,"REVISAR",IF(F20=0,"SIN MOVIMIENTO","OK"))</f>
        <v>SIN MOVIMIENTO</v>
      </c>
      <c r="O20" s="102"/>
    </row>
    <row r="21" spans="1:15">
      <c r="A21">
        <v>16</v>
      </c>
      <c r="B21" s="101"/>
      <c r="C21" s="101"/>
      <c r="D21" s="101"/>
      <c r="E21" s="102"/>
      <c r="F21" s="97">
        <f>COUNTIF(Medicion!$A$6:$A$511,$A21)</f>
        <v>0</v>
      </c>
      <c r="G21" s="103">
        <f>SUMIFS('Historial Detalle'!$K$6:$K$437,'Historial Detalle'!$A$6:$A$437,$A21)</f>
        <v>14722544.642743155</v>
      </c>
      <c r="H21" s="103">
        <f>SUMIFS('Historial Detalle'!$L$6:$L$437,'Historial Detalle'!$A$6:$A$437,$A21)</f>
        <v>0</v>
      </c>
      <c r="I21" s="103">
        <f>SUMIFS('Historial Detalle'!$M$6:$M$437,'Historial Detalle'!$A$6:$A$437,$A21)</f>
        <v>14722544.642743155</v>
      </c>
      <c r="J21" s="103">
        <f>MAX(0,Configuracion!$B$18-I21)</f>
        <v>99878006.321444184</v>
      </c>
      <c r="K21" s="104">
        <f>IFERROR(I21/Configuracion!$B$18,0)</f>
        <v>0.12846835830085973</v>
      </c>
      <c r="L21" s="103">
        <f>H21*Configuracion!$B$16</f>
        <v>0</v>
      </c>
      <c r="M21" s="103">
        <f t="shared" si="0"/>
        <v>0</v>
      </c>
      <c r="N21" s="97" t="str">
        <f>IF(COUNTIFS('Historial Detalle'!$A$6:$A$437,$A21,'Historial Detalle'!$P$6:$P$437,"REVISAR")&gt;0,"REVISAR",IF(F21=0,"SIN MOVIMIENTO","OK"))</f>
        <v>SIN MOVIMIENTO</v>
      </c>
      <c r="O21" s="102"/>
    </row>
    <row r="22" spans="1:15">
      <c r="A22">
        <v>17</v>
      </c>
      <c r="B22" s="101"/>
      <c r="C22" s="101"/>
      <c r="D22" s="101"/>
      <c r="E22" s="102"/>
      <c r="F22" s="97">
        <f>COUNTIF(Medicion!$A$6:$A$511,$A22)</f>
        <v>0</v>
      </c>
      <c r="G22" s="103">
        <f>SUMIFS('Historial Detalle'!$K$6:$K$437,'Historial Detalle'!$A$6:$A$437,$A22)</f>
        <v>14722544.642743155</v>
      </c>
      <c r="H22" s="103">
        <f>SUMIFS('Historial Detalle'!$L$6:$L$437,'Historial Detalle'!$A$6:$A$437,$A22)</f>
        <v>0</v>
      </c>
      <c r="I22" s="103">
        <f>SUMIFS('Historial Detalle'!$M$6:$M$437,'Historial Detalle'!$A$6:$A$437,$A22)</f>
        <v>14722544.642743155</v>
      </c>
      <c r="J22" s="103">
        <f>MAX(0,Configuracion!$B$18-I22)</f>
        <v>99878006.321444184</v>
      </c>
      <c r="K22" s="104">
        <f>IFERROR(I22/Configuracion!$B$18,0)</f>
        <v>0.12846835830085973</v>
      </c>
      <c r="L22" s="103">
        <f>H22*Configuracion!$B$16</f>
        <v>0</v>
      </c>
      <c r="M22" s="103">
        <f t="shared" si="0"/>
        <v>0</v>
      </c>
      <c r="N22" s="97" t="str">
        <f>IF(COUNTIFS('Historial Detalle'!$A$6:$A$437,$A22,'Historial Detalle'!$P$6:$P$437,"REVISAR")&gt;0,"REVISAR",IF(F22=0,"SIN MOVIMIENTO","OK"))</f>
        <v>SIN MOVIMIENTO</v>
      </c>
      <c r="O22" s="102"/>
    </row>
    <row r="23" spans="1:15">
      <c r="A23">
        <v>18</v>
      </c>
      <c r="B23" s="101"/>
      <c r="C23" s="101"/>
      <c r="D23" s="101"/>
      <c r="E23" s="102"/>
      <c r="F23" s="97">
        <f>COUNTIF(Medicion!$A$6:$A$511,$A23)</f>
        <v>0</v>
      </c>
      <c r="G23" s="103">
        <f>SUMIFS('Historial Detalle'!$K$6:$K$437,'Historial Detalle'!$A$6:$A$437,$A23)</f>
        <v>14722544.642743155</v>
      </c>
      <c r="H23" s="103">
        <f>SUMIFS('Historial Detalle'!$L$6:$L$437,'Historial Detalle'!$A$6:$A$437,$A23)</f>
        <v>0</v>
      </c>
      <c r="I23" s="103">
        <f>SUMIFS('Historial Detalle'!$M$6:$M$437,'Historial Detalle'!$A$6:$A$437,$A23)</f>
        <v>14722544.642743155</v>
      </c>
      <c r="J23" s="103">
        <f>MAX(0,Configuracion!$B$18-I23)</f>
        <v>99878006.321444184</v>
      </c>
      <c r="K23" s="104">
        <f>IFERROR(I23/Configuracion!$B$18,0)</f>
        <v>0.12846835830085973</v>
      </c>
      <c r="L23" s="103">
        <f>H23*Configuracion!$B$16</f>
        <v>0</v>
      </c>
      <c r="M23" s="103">
        <f t="shared" si="0"/>
        <v>0</v>
      </c>
      <c r="N23" s="97" t="str">
        <f>IF(COUNTIFS('Historial Detalle'!$A$6:$A$437,$A23,'Historial Detalle'!$P$6:$P$437,"REVISAR")&gt;0,"REVISAR",IF(F23=0,"SIN MOVIMIENTO","OK"))</f>
        <v>SIN MOVIMIENTO</v>
      </c>
      <c r="O23" s="102"/>
    </row>
    <row r="24" spans="1:15">
      <c r="A24">
        <v>19</v>
      </c>
      <c r="B24" s="101"/>
      <c r="C24" s="101"/>
      <c r="D24" s="101"/>
      <c r="E24" s="102"/>
      <c r="F24" s="97">
        <f>COUNTIF(Medicion!$A$6:$A$511,$A24)</f>
        <v>0</v>
      </c>
      <c r="G24" s="103">
        <f>SUMIFS('Historial Detalle'!$K$6:$K$437,'Historial Detalle'!$A$6:$A$437,$A24)</f>
        <v>14722544.642743155</v>
      </c>
      <c r="H24" s="103">
        <f>SUMIFS('Historial Detalle'!$L$6:$L$437,'Historial Detalle'!$A$6:$A$437,$A24)</f>
        <v>0</v>
      </c>
      <c r="I24" s="103">
        <f>SUMIFS('Historial Detalle'!$M$6:$M$437,'Historial Detalle'!$A$6:$A$437,$A24)</f>
        <v>14722544.642743155</v>
      </c>
      <c r="J24" s="103">
        <f>MAX(0,Configuracion!$B$18-I24)</f>
        <v>99878006.321444184</v>
      </c>
      <c r="K24" s="104">
        <f>IFERROR(I24/Configuracion!$B$18,0)</f>
        <v>0.12846835830085973</v>
      </c>
      <c r="L24" s="103">
        <f>H24*Configuracion!$B$16</f>
        <v>0</v>
      </c>
      <c r="M24" s="103">
        <f t="shared" si="0"/>
        <v>0</v>
      </c>
      <c r="N24" s="97" t="str">
        <f>IF(COUNTIFS('Historial Detalle'!$A$6:$A$437,$A24,'Historial Detalle'!$P$6:$P$437,"REVISAR")&gt;0,"REVISAR",IF(F24=0,"SIN MOVIMIENTO","OK"))</f>
        <v>SIN MOVIMIENTO</v>
      </c>
      <c r="O24" s="102"/>
    </row>
    <row r="25" spans="1:15">
      <c r="A25">
        <v>20</v>
      </c>
      <c r="B25" s="101"/>
      <c r="C25" s="101"/>
      <c r="D25" s="101"/>
      <c r="E25" s="102"/>
      <c r="F25" s="97">
        <f>COUNTIF(Medicion!$A$6:$A$511,$A25)</f>
        <v>0</v>
      </c>
      <c r="G25" s="103">
        <f>SUMIFS('Historial Detalle'!$K$6:$K$437,'Historial Detalle'!$A$6:$A$437,$A25)</f>
        <v>14722544.642743155</v>
      </c>
      <c r="H25" s="103">
        <f>SUMIFS('Historial Detalle'!$L$6:$L$437,'Historial Detalle'!$A$6:$A$437,$A25)</f>
        <v>0</v>
      </c>
      <c r="I25" s="103">
        <f>SUMIFS('Historial Detalle'!$M$6:$M$437,'Historial Detalle'!$A$6:$A$437,$A25)</f>
        <v>14722544.642743155</v>
      </c>
      <c r="J25" s="103">
        <f>MAX(0,Configuracion!$B$18-I25)</f>
        <v>99878006.321444184</v>
      </c>
      <c r="K25" s="104">
        <f>IFERROR(I25/Configuracion!$B$18,0)</f>
        <v>0.12846835830085973</v>
      </c>
      <c r="L25" s="103">
        <f>H25*Configuracion!$B$16</f>
        <v>0</v>
      </c>
      <c r="M25" s="103">
        <f t="shared" si="0"/>
        <v>0</v>
      </c>
      <c r="N25" s="97" t="str">
        <f>IF(COUNTIFS('Historial Detalle'!$A$6:$A$437,$A25,'Historial Detalle'!$P$6:$P$437,"REVISAR")&gt;0,"REVISAR",IF(F25=0,"SIN MOVIMIENTO","OK"))</f>
        <v>SIN MOVIMIENTO</v>
      </c>
      <c r="O25" s="102"/>
    </row>
    <row r="26" spans="1:15">
      <c r="A26">
        <v>21</v>
      </c>
      <c r="B26" s="101"/>
      <c r="C26" s="101"/>
      <c r="D26" s="101"/>
      <c r="E26" s="102"/>
      <c r="F26" s="97">
        <f>COUNTIF(Medicion!$A$6:$A$511,$A26)</f>
        <v>0</v>
      </c>
      <c r="G26" s="103">
        <f>SUMIFS('Historial Detalle'!$K$6:$K$437,'Historial Detalle'!$A$6:$A$437,$A26)</f>
        <v>14722544.642743155</v>
      </c>
      <c r="H26" s="103">
        <f>SUMIFS('Historial Detalle'!$L$6:$L$437,'Historial Detalle'!$A$6:$A$437,$A26)</f>
        <v>0</v>
      </c>
      <c r="I26" s="103">
        <f>SUMIFS('Historial Detalle'!$M$6:$M$437,'Historial Detalle'!$A$6:$A$437,$A26)</f>
        <v>14722544.642743155</v>
      </c>
      <c r="J26" s="103">
        <f>MAX(0,Configuracion!$B$18-I26)</f>
        <v>99878006.321444184</v>
      </c>
      <c r="K26" s="104">
        <f>IFERROR(I26/Configuracion!$B$18,0)</f>
        <v>0.12846835830085973</v>
      </c>
      <c r="L26" s="103">
        <f>H26*Configuracion!$B$16</f>
        <v>0</v>
      </c>
      <c r="M26" s="103">
        <f t="shared" si="0"/>
        <v>0</v>
      </c>
      <c r="N26" s="97" t="str">
        <f>IF(COUNTIFS('Historial Detalle'!$A$6:$A$437,$A26,'Historial Detalle'!$P$6:$P$437,"REVISAR")&gt;0,"REVISAR",IF(F26=0,"SIN MOVIMIENTO","OK"))</f>
        <v>SIN MOVIMIENTO</v>
      </c>
      <c r="O26" s="102"/>
    </row>
    <row r="27" spans="1:15">
      <c r="A27">
        <v>22</v>
      </c>
      <c r="B27" s="101"/>
      <c r="C27" s="101"/>
      <c r="D27" s="101"/>
      <c r="E27" s="102"/>
      <c r="F27" s="97">
        <f>COUNTIF(Medicion!$A$6:$A$511,$A27)</f>
        <v>0</v>
      </c>
      <c r="G27" s="103">
        <f>SUMIFS('Historial Detalle'!$K$6:$K$437,'Historial Detalle'!$A$6:$A$437,$A27)</f>
        <v>14722544.642743155</v>
      </c>
      <c r="H27" s="103">
        <f>SUMIFS('Historial Detalle'!$L$6:$L$437,'Historial Detalle'!$A$6:$A$437,$A27)</f>
        <v>0</v>
      </c>
      <c r="I27" s="103">
        <f>SUMIFS('Historial Detalle'!$M$6:$M$437,'Historial Detalle'!$A$6:$A$437,$A27)</f>
        <v>14722544.642743155</v>
      </c>
      <c r="J27" s="103">
        <f>MAX(0,Configuracion!$B$18-I27)</f>
        <v>99878006.321444184</v>
      </c>
      <c r="K27" s="104">
        <f>IFERROR(I27/Configuracion!$B$18,0)</f>
        <v>0.12846835830085973</v>
      </c>
      <c r="L27" s="103">
        <f>H27*Configuracion!$B$16</f>
        <v>0</v>
      </c>
      <c r="M27" s="103">
        <f t="shared" si="0"/>
        <v>0</v>
      </c>
      <c r="N27" s="97" t="str">
        <f>IF(COUNTIFS('Historial Detalle'!$A$6:$A$437,$A27,'Historial Detalle'!$P$6:$P$437,"REVISAR")&gt;0,"REVISAR",IF(F27=0,"SIN MOVIMIENTO","OK"))</f>
        <v>SIN MOVIMIENTO</v>
      </c>
      <c r="O27" s="102"/>
    </row>
    <row r="28" spans="1:15">
      <c r="A28">
        <v>23</v>
      </c>
      <c r="B28" s="101"/>
      <c r="C28" s="101"/>
      <c r="D28" s="101"/>
      <c r="E28" s="102"/>
      <c r="F28" s="97">
        <f>COUNTIF(Medicion!$A$6:$A$511,$A28)</f>
        <v>0</v>
      </c>
      <c r="G28" s="103">
        <f>SUMIFS('Historial Detalle'!$K$6:$K$437,'Historial Detalle'!$A$6:$A$437,$A28)</f>
        <v>14722544.642743155</v>
      </c>
      <c r="H28" s="103">
        <f>SUMIFS('Historial Detalle'!$L$6:$L$437,'Historial Detalle'!$A$6:$A$437,$A28)</f>
        <v>0</v>
      </c>
      <c r="I28" s="103">
        <f>SUMIFS('Historial Detalle'!$M$6:$M$437,'Historial Detalle'!$A$6:$A$437,$A28)</f>
        <v>14722544.642743155</v>
      </c>
      <c r="J28" s="103">
        <f>MAX(0,Configuracion!$B$18-I28)</f>
        <v>99878006.321444184</v>
      </c>
      <c r="K28" s="104">
        <f>IFERROR(I28/Configuracion!$B$18,0)</f>
        <v>0.12846835830085973</v>
      </c>
      <c r="L28" s="103">
        <f>H28*Configuracion!$B$16</f>
        <v>0</v>
      </c>
      <c r="M28" s="103">
        <f t="shared" si="0"/>
        <v>0</v>
      </c>
      <c r="N28" s="97" t="str">
        <f>IF(COUNTIFS('Historial Detalle'!$A$6:$A$437,$A28,'Historial Detalle'!$P$6:$P$437,"REVISAR")&gt;0,"REVISAR",IF(F28=0,"SIN MOVIMIENTO","OK"))</f>
        <v>SIN MOVIMIENTO</v>
      </c>
      <c r="O28" s="102"/>
    </row>
    <row r="29" spans="1:15">
      <c r="A29">
        <v>24</v>
      </c>
      <c r="B29" s="101"/>
      <c r="C29" s="101"/>
      <c r="D29" s="101"/>
      <c r="E29" s="102"/>
      <c r="F29" s="97">
        <f>COUNTIF(Medicion!$A$6:$A$511,$A29)</f>
        <v>0</v>
      </c>
      <c r="G29" s="103">
        <f>SUMIFS('Historial Detalle'!$K$6:$K$437,'Historial Detalle'!$A$6:$A$437,$A29)</f>
        <v>14722544.642743155</v>
      </c>
      <c r="H29" s="103">
        <f>SUMIFS('Historial Detalle'!$L$6:$L$437,'Historial Detalle'!$A$6:$A$437,$A29)</f>
        <v>0</v>
      </c>
      <c r="I29" s="103">
        <f>SUMIFS('Historial Detalle'!$M$6:$M$437,'Historial Detalle'!$A$6:$A$437,$A29)</f>
        <v>14722544.642743155</v>
      </c>
      <c r="J29" s="103">
        <f>MAX(0,Configuracion!$B$18-I29)</f>
        <v>99878006.321444184</v>
      </c>
      <c r="K29" s="104">
        <f>IFERROR(I29/Configuracion!$B$18,0)</f>
        <v>0.12846835830085973</v>
      </c>
      <c r="L29" s="103">
        <f>H29*Configuracion!$B$16</f>
        <v>0</v>
      </c>
      <c r="M29" s="103">
        <f t="shared" si="0"/>
        <v>0</v>
      </c>
      <c r="N29" s="97" t="str">
        <f>IF(COUNTIFS('Historial Detalle'!$A$6:$A$437,$A29,'Historial Detalle'!$P$6:$P$437,"REVISAR")&gt;0,"REVISAR",IF(F29=0,"SIN MOVIMIENTO","OK"))</f>
        <v>SIN MOVIMIENTO</v>
      </c>
      <c r="O29" s="102"/>
    </row>
    <row r="31" spans="1:15">
      <c r="A31" s="169" t="s">
        <v>323</v>
      </c>
      <c r="B31" s="169"/>
      <c r="C31" s="169"/>
      <c r="D31" s="169"/>
    </row>
    <row r="32" spans="1:15" ht="69">
      <c r="A32" s="105" t="s">
        <v>14</v>
      </c>
      <c r="B32" s="5">
        <f>MAX(Medicion!$A$6:$A$511)</f>
        <v>1</v>
      </c>
    </row>
    <row r="33" spans="1:2" ht="41.4">
      <c r="A33" s="105" t="s">
        <v>15</v>
      </c>
      <c r="B33" s="5">
        <f>COUNTIF($E$6:$E$29,"CERRADO")</f>
        <v>0</v>
      </c>
    </row>
    <row r="34" spans="1:2" ht="55.2">
      <c r="A34" s="105" t="s">
        <v>324</v>
      </c>
      <c r="B34" s="71">
        <f>Configuracion!$B$18</f>
        <v>114600550.96418734</v>
      </c>
    </row>
    <row r="35" spans="1:2" ht="55.2">
      <c r="A35" s="105" t="s">
        <v>325</v>
      </c>
      <c r="B35" s="5" t="s">
        <v>326</v>
      </c>
    </row>
  </sheetData>
  <mergeCells count="3">
    <mergeCell ref="A1:O1"/>
    <mergeCell ref="A3:O3"/>
    <mergeCell ref="A31:D31"/>
  </mergeCells>
  <conditionalFormatting sqref="E6:E29">
    <cfRule type="expression" dxfId="2" priority="1">
      <formula>E6="CERRADO"</formula>
    </cfRule>
  </conditionalFormatting>
  <conditionalFormatting sqref="N6:N29">
    <cfRule type="expression" dxfId="1" priority="2">
      <formula>N6="REVISAR"</formula>
    </cfRule>
  </conditionalFormatting>
  <dataValidations count="1">
    <dataValidation type="list" sqref="E6:E29" xr:uid="{00000000-0002-0000-0800-000000000000}">
      <formula1>"BORRADOR,EMITIDO,CERRADO"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37"/>
  <sheetViews>
    <sheetView workbookViewId="0">
      <selection sqref="A1:P1"/>
    </sheetView>
  </sheetViews>
  <sheetFormatPr baseColWidth="10" defaultColWidth="8.796875" defaultRowHeight="13.8"/>
  <cols>
    <col min="1" max="2" width="9" customWidth="1"/>
    <col min="3" max="3" width="34" customWidth="1"/>
    <col min="4" max="4" width="8" customWidth="1"/>
    <col min="5" max="16" width="15" customWidth="1"/>
  </cols>
  <sheetData>
    <row r="1" spans="1:16" ht="17.399999999999999">
      <c r="A1" s="170" t="s">
        <v>327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3" spans="1:16" ht="14.4">
      <c r="A3" s="168" t="s">
        <v>328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5" spans="1:16" ht="27.6">
      <c r="A5" s="98" t="s">
        <v>145</v>
      </c>
      <c r="B5" s="98" t="s">
        <v>93</v>
      </c>
      <c r="C5" s="98" t="s">
        <v>35</v>
      </c>
      <c r="D5" s="98" t="s">
        <v>167</v>
      </c>
      <c r="E5" s="98" t="s">
        <v>168</v>
      </c>
      <c r="F5" s="98" t="s">
        <v>153</v>
      </c>
      <c r="G5" s="98" t="s">
        <v>169</v>
      </c>
      <c r="H5" s="98" t="s">
        <v>170</v>
      </c>
      <c r="I5" s="98" t="s">
        <v>329</v>
      </c>
      <c r="J5" s="98" t="s">
        <v>172</v>
      </c>
      <c r="K5" s="98" t="s">
        <v>174</v>
      </c>
      <c r="L5" s="98" t="s">
        <v>330</v>
      </c>
      <c r="M5" s="98" t="s">
        <v>176</v>
      </c>
      <c r="N5" s="98" t="s">
        <v>177</v>
      </c>
      <c r="O5" s="98" t="s">
        <v>173</v>
      </c>
      <c r="P5" s="98" t="s">
        <v>139</v>
      </c>
    </row>
    <row r="6" spans="1:16">
      <c r="A6">
        <v>1</v>
      </c>
      <c r="B6" t="str">
        <f>'Presupuesto Base'!A7</f>
        <v>1</v>
      </c>
      <c r="C6" t="str">
        <f>'Presupuesto Base'!B7</f>
        <v>Replanteo y marcación de traza</v>
      </c>
      <c r="D6" t="str">
        <f>'Presupuesto Base'!C7</f>
        <v>ml</v>
      </c>
      <c r="E6">
        <f>'Presupuesto Base'!D7</f>
        <v>4200</v>
      </c>
      <c r="F6" s="77">
        <f>'Presupuesto Base'!E7</f>
        <v>204.64384100747739</v>
      </c>
      <c r="G6" s="77">
        <f>'Presupuesto Base'!F7</f>
        <v>859504.132231405</v>
      </c>
      <c r="H6">
        <f>SUMIFS(Medicion!$K$6:$K$511,Medicion!$G$6:$G$511,$B6,Medicion!$A$6:$A$511,"&lt;"&amp;$A6)</f>
        <v>0</v>
      </c>
      <c r="I6">
        <f>SUMIFS(Medicion!$K$6:$K$511,Medicion!$G$6:$G$511,$B6,Medicion!$A$6:$A$511,$A6)</f>
        <v>845</v>
      </c>
      <c r="J6">
        <f t="shared" ref="J6:J69" si="0">MIN(E6,H6+I6)</f>
        <v>845</v>
      </c>
      <c r="K6" s="77">
        <f t="shared" ref="K6:K69" si="1">MIN(G6,H6*F6)</f>
        <v>0</v>
      </c>
      <c r="L6" s="77">
        <f t="shared" ref="L6:L69" si="2">MIN(G6-K6,I6*F6)</f>
        <v>172924.04565131839</v>
      </c>
      <c r="M6" s="77">
        <f t="shared" ref="M6:M69" si="3">K6+L6</f>
        <v>172924.04565131839</v>
      </c>
      <c r="N6" s="77">
        <f t="shared" ref="N6:N69" si="4">MAX(0,G6-M6)</f>
        <v>686580.08658008662</v>
      </c>
      <c r="O6" s="100">
        <f t="shared" ref="O6:O69" si="5">IFERROR(J6/E6,0)</f>
        <v>0.2011904761904762</v>
      </c>
      <c r="P6" t="str">
        <f t="shared" ref="P6:P69" si="6">IF(OR(H6+I6&gt;E6+0.000001,H6&lt;0,I6&lt;0),"REVISAR","OK")</f>
        <v>OK</v>
      </c>
    </row>
    <row r="7" spans="1:16">
      <c r="A7">
        <v>1</v>
      </c>
      <c r="B7" t="str">
        <f>'Presupuesto Base'!A8</f>
        <v>2</v>
      </c>
      <c r="C7" t="str">
        <f>'Presupuesto Base'!B8</f>
        <v>Excavación de zanja</v>
      </c>
      <c r="D7" t="str">
        <f>'Presupuesto Base'!C8</f>
        <v>ml</v>
      </c>
      <c r="E7">
        <f>'Presupuesto Base'!D8</f>
        <v>4200</v>
      </c>
      <c r="F7" s="77">
        <f>'Presupuesto Base'!E8</f>
        <v>3683.5891381345932</v>
      </c>
      <c r="G7" s="77">
        <f>'Presupuesto Base'!F8</f>
        <v>15471074.380165292</v>
      </c>
      <c r="H7">
        <f>SUMIFS(Medicion!$K$6:$K$511,Medicion!$G$6:$G$511,$B7,Medicion!$A$6:$A$511,"&lt;"&amp;$A7)</f>
        <v>0</v>
      </c>
      <c r="I7">
        <f>SUMIFS(Medicion!$K$6:$K$511,Medicion!$G$6:$G$511,$B7,Medicion!$A$6:$A$511,$A7)</f>
        <v>845</v>
      </c>
      <c r="J7">
        <f t="shared" si="0"/>
        <v>845</v>
      </c>
      <c r="K7" s="77">
        <f t="shared" si="1"/>
        <v>0</v>
      </c>
      <c r="L7" s="77">
        <f t="shared" si="2"/>
        <v>3112632.8217237312</v>
      </c>
      <c r="M7" s="77">
        <f t="shared" si="3"/>
        <v>3112632.8217237312</v>
      </c>
      <c r="N7" s="77">
        <f t="shared" si="4"/>
        <v>12358441.558441561</v>
      </c>
      <c r="O7" s="100">
        <f t="shared" si="5"/>
        <v>0.2011904761904762</v>
      </c>
      <c r="P7" t="str">
        <f t="shared" si="6"/>
        <v>OK</v>
      </c>
    </row>
    <row r="8" spans="1:16">
      <c r="A8">
        <v>1</v>
      </c>
      <c r="B8" t="str">
        <f>'Presupuesto Base'!A9</f>
        <v>3</v>
      </c>
      <c r="C8" t="str">
        <f>'Presupuesto Base'!B9</f>
        <v>Nivelación y conformación del fondo de zanja</v>
      </c>
      <c r="D8" t="str">
        <f>'Presupuesto Base'!C9</f>
        <v>ml</v>
      </c>
      <c r="E8">
        <f>'Presupuesto Base'!D9</f>
        <v>4200</v>
      </c>
      <c r="F8" s="77">
        <f>'Presupuesto Base'!E9</f>
        <v>477.50229568411396</v>
      </c>
      <c r="G8" s="77">
        <f>'Presupuesto Base'!F9</f>
        <v>2005509.6418732787</v>
      </c>
      <c r="H8">
        <f>SUMIFS(Medicion!$K$6:$K$511,Medicion!$G$6:$G$511,$B8,Medicion!$A$6:$A$511,"&lt;"&amp;$A8)</f>
        <v>0</v>
      </c>
      <c r="I8">
        <f>SUMIFS(Medicion!$K$6:$K$511,Medicion!$G$6:$G$511,$B8,Medicion!$A$6:$A$511,$A8)</f>
        <v>845</v>
      </c>
      <c r="J8">
        <f t="shared" si="0"/>
        <v>845</v>
      </c>
      <c r="K8" s="77">
        <f t="shared" si="1"/>
        <v>0</v>
      </c>
      <c r="L8" s="77">
        <f t="shared" si="2"/>
        <v>403489.4398530763</v>
      </c>
      <c r="M8" s="77">
        <f t="shared" si="3"/>
        <v>403489.4398530763</v>
      </c>
      <c r="N8" s="77">
        <f t="shared" si="4"/>
        <v>1602020.2020202023</v>
      </c>
      <c r="O8" s="100">
        <f t="shared" si="5"/>
        <v>0.2011904761904762</v>
      </c>
      <c r="P8" t="str">
        <f t="shared" si="6"/>
        <v>OK</v>
      </c>
    </row>
    <row r="9" spans="1:16">
      <c r="A9">
        <v>1</v>
      </c>
      <c r="B9" t="str">
        <f>'Presupuesto Base'!A10</f>
        <v>4</v>
      </c>
      <c r="C9" t="str">
        <f>'Presupuesto Base'!B10</f>
        <v>Cama de asiento compactada</v>
      </c>
      <c r="D9" t="str">
        <f>'Presupuesto Base'!C10</f>
        <v>ml</v>
      </c>
      <c r="E9">
        <f>'Presupuesto Base'!D10</f>
        <v>4200</v>
      </c>
      <c r="F9" s="77">
        <f>'Presupuesto Base'!E10</f>
        <v>1705.3653417289784</v>
      </c>
      <c r="G9" s="77">
        <f>'Presupuesto Base'!F10</f>
        <v>7162534.4352617087</v>
      </c>
      <c r="H9">
        <f>SUMIFS(Medicion!$K$6:$K$511,Medicion!$G$6:$G$511,$B9,Medicion!$A$6:$A$511,"&lt;"&amp;$A9)</f>
        <v>0</v>
      </c>
      <c r="I9">
        <f>SUMIFS(Medicion!$K$6:$K$511,Medicion!$G$6:$G$511,$B9,Medicion!$A$6:$A$511,$A9)</f>
        <v>845</v>
      </c>
      <c r="J9">
        <f t="shared" si="0"/>
        <v>845</v>
      </c>
      <c r="K9" s="77">
        <f t="shared" si="1"/>
        <v>0</v>
      </c>
      <c r="L9" s="77">
        <f t="shared" si="2"/>
        <v>1441033.7137609867</v>
      </c>
      <c r="M9" s="77">
        <f t="shared" si="3"/>
        <v>1441033.7137609867</v>
      </c>
      <c r="N9" s="77">
        <f t="shared" si="4"/>
        <v>5721500.7215007218</v>
      </c>
      <c r="O9" s="100">
        <f t="shared" si="5"/>
        <v>0.2011904761904762</v>
      </c>
      <c r="P9" t="str">
        <f t="shared" si="6"/>
        <v>OK</v>
      </c>
    </row>
    <row r="10" spans="1:16">
      <c r="A10">
        <v>1</v>
      </c>
      <c r="B10" t="str">
        <f>'Presupuesto Base'!A11</f>
        <v>5.1</v>
      </c>
      <c r="C10" t="str">
        <f>'Presupuesto Base'!B11</f>
        <v>PEAD PN10 Ø75 – provisión e instalación</v>
      </c>
      <c r="D10" t="str">
        <f>'Presupuesto Base'!C11</f>
        <v>ml</v>
      </c>
      <c r="E10">
        <f>'Presupuesto Base'!D11</f>
        <v>3170</v>
      </c>
      <c r="F10" s="77">
        <f>'Presupuesto Base'!E11</f>
        <v>5784.2549382555126</v>
      </c>
      <c r="G10" s="77">
        <f>'Presupuesto Base'!F11</f>
        <v>18336088.154269975</v>
      </c>
      <c r="H10">
        <f>SUMIFS(Medicion!$K$6:$K$511,Medicion!$G$6:$G$511,$B10,Medicion!$A$6:$A$511,"&lt;"&amp;$A10)</f>
        <v>0</v>
      </c>
      <c r="I10">
        <f>SUMIFS(Medicion!$K$6:$K$511,Medicion!$G$6:$G$511,$B10,Medicion!$A$6:$A$511,$A10)</f>
        <v>558</v>
      </c>
      <c r="J10">
        <f t="shared" si="0"/>
        <v>558</v>
      </c>
      <c r="K10" s="77">
        <f t="shared" si="1"/>
        <v>0</v>
      </c>
      <c r="L10" s="77">
        <f t="shared" si="2"/>
        <v>3227614.2555465759</v>
      </c>
      <c r="M10" s="77">
        <f t="shared" si="3"/>
        <v>3227614.2555465759</v>
      </c>
      <c r="N10" s="77">
        <f t="shared" si="4"/>
        <v>15108473.898723399</v>
      </c>
      <c r="O10" s="100">
        <f t="shared" si="5"/>
        <v>0.17602523659305994</v>
      </c>
      <c r="P10" t="str">
        <f t="shared" si="6"/>
        <v>OK</v>
      </c>
    </row>
    <row r="11" spans="1:16">
      <c r="A11">
        <v>1</v>
      </c>
      <c r="B11" t="str">
        <f>'Presupuesto Base'!A12</f>
        <v>5.2</v>
      </c>
      <c r="C11" t="str">
        <f>'Presupuesto Base'!B12</f>
        <v>PEAD PN10 Ø110 – provisión e instalación</v>
      </c>
      <c r="D11" t="str">
        <f>'Presupuesto Base'!C12</f>
        <v>ml</v>
      </c>
      <c r="E11">
        <f>'Presupuesto Base'!D12</f>
        <v>1030</v>
      </c>
      <c r="F11" s="77">
        <f>'Presupuesto Base'!E12</f>
        <v>12238.893792291852</v>
      </c>
      <c r="G11" s="77">
        <f>'Presupuesto Base'!F12</f>
        <v>12606060.606060607</v>
      </c>
      <c r="H11">
        <f>SUMIFS(Medicion!$K$6:$K$511,Medicion!$G$6:$G$511,$B11,Medicion!$A$6:$A$511,"&lt;"&amp;$A11)</f>
        <v>0</v>
      </c>
      <c r="I11">
        <f>SUMIFS(Medicion!$K$6:$K$511,Medicion!$G$6:$G$511,$B11,Medicion!$A$6:$A$511,$A11)</f>
        <v>287</v>
      </c>
      <c r="J11">
        <f t="shared" si="0"/>
        <v>287</v>
      </c>
      <c r="K11" s="77">
        <f t="shared" si="1"/>
        <v>0</v>
      </c>
      <c r="L11" s="77">
        <f t="shared" si="2"/>
        <v>3512562.5183877614</v>
      </c>
      <c r="M11" s="77">
        <f t="shared" si="3"/>
        <v>3512562.5183877614</v>
      </c>
      <c r="N11" s="77">
        <f t="shared" si="4"/>
        <v>9093498.0876728464</v>
      </c>
      <c r="O11" s="100">
        <f t="shared" si="5"/>
        <v>0.27864077669902915</v>
      </c>
      <c r="P11" t="str">
        <f t="shared" si="6"/>
        <v>OK</v>
      </c>
    </row>
    <row r="12" spans="1:16">
      <c r="A12">
        <v>1</v>
      </c>
      <c r="B12" t="str">
        <f>'Presupuesto Base'!A13</f>
        <v>6</v>
      </c>
      <c r="C12" t="str">
        <f>'Presupuesto Base'!B13</f>
        <v>Ejecución de paquete estructural de 30 cm</v>
      </c>
      <c r="D12" t="str">
        <f>'Presupuesto Base'!C13</f>
        <v>ml</v>
      </c>
      <c r="E12">
        <f>'Presupuesto Base'!D13</f>
        <v>4200</v>
      </c>
      <c r="F12" s="77">
        <f>'Presupuesto Base'!E13</f>
        <v>3274.3014561196383</v>
      </c>
      <c r="G12" s="77">
        <f>'Presupuesto Base'!F13</f>
        <v>13752066.11570248</v>
      </c>
      <c r="H12">
        <f>SUMIFS(Medicion!$K$6:$K$511,Medicion!$G$6:$G$511,$B12,Medicion!$A$6:$A$511,"&lt;"&amp;$A12)</f>
        <v>0</v>
      </c>
      <c r="I12">
        <f>SUMIFS(Medicion!$K$6:$K$511,Medicion!$G$6:$G$511,$B12,Medicion!$A$6:$A$511,$A12)</f>
        <v>763</v>
      </c>
      <c r="J12">
        <f t="shared" si="0"/>
        <v>763</v>
      </c>
      <c r="K12" s="77">
        <f t="shared" si="1"/>
        <v>0</v>
      </c>
      <c r="L12" s="77">
        <f t="shared" si="2"/>
        <v>2498292.0110192839</v>
      </c>
      <c r="M12" s="77">
        <f t="shared" si="3"/>
        <v>2498292.0110192839</v>
      </c>
      <c r="N12" s="77">
        <f t="shared" si="4"/>
        <v>11253774.104683196</v>
      </c>
      <c r="O12" s="100">
        <f t="shared" si="5"/>
        <v>0.18166666666666667</v>
      </c>
      <c r="P12" t="str">
        <f t="shared" si="6"/>
        <v>OK</v>
      </c>
    </row>
    <row r="13" spans="1:16">
      <c r="A13">
        <v>1</v>
      </c>
      <c r="B13" t="str">
        <f>'Presupuesto Base'!A14</f>
        <v>7</v>
      </c>
      <c r="C13" t="str">
        <f>'Presupuesto Base'!B14</f>
        <v>Compactación del paquete estructural de 30 cm</v>
      </c>
      <c r="D13" t="str">
        <f>'Presupuesto Base'!C14</f>
        <v>ml</v>
      </c>
      <c r="E13">
        <f>'Presupuesto Base'!D14</f>
        <v>4200</v>
      </c>
      <c r="F13" s="77">
        <f>'Presupuesto Base'!E14</f>
        <v>1227.8630460448644</v>
      </c>
      <c r="G13" s="77">
        <f>'Presupuesto Base'!F14</f>
        <v>5157024.79338843</v>
      </c>
      <c r="H13">
        <f>SUMIFS(Medicion!$K$6:$K$511,Medicion!$G$6:$G$511,$B13,Medicion!$A$6:$A$511,"&lt;"&amp;$A13)</f>
        <v>0</v>
      </c>
      <c r="I13">
        <f>SUMIFS(Medicion!$K$6:$K$511,Medicion!$G$6:$G$511,$B13,Medicion!$A$6:$A$511,$A13)</f>
        <v>0</v>
      </c>
      <c r="J13">
        <f t="shared" si="0"/>
        <v>0</v>
      </c>
      <c r="K13" s="77">
        <f t="shared" si="1"/>
        <v>0</v>
      </c>
      <c r="L13" s="77">
        <f t="shared" si="2"/>
        <v>0</v>
      </c>
      <c r="M13" s="77">
        <f t="shared" si="3"/>
        <v>0</v>
      </c>
      <c r="N13" s="77">
        <f t="shared" si="4"/>
        <v>5157024.79338843</v>
      </c>
      <c r="O13" s="100">
        <f t="shared" si="5"/>
        <v>0</v>
      </c>
      <c r="P13" t="str">
        <f t="shared" si="6"/>
        <v>OK</v>
      </c>
    </row>
    <row r="14" spans="1:16">
      <c r="A14">
        <v>1</v>
      </c>
      <c r="B14" t="str">
        <f>'Presupuesto Base'!A15</f>
        <v>8</v>
      </c>
      <c r="C14" t="str">
        <f>'Presupuesto Base'!B15</f>
        <v>Ejecución y compactación de capa cota -0,60</v>
      </c>
      <c r="D14" t="str">
        <f>'Presupuesto Base'!C15</f>
        <v>ml</v>
      </c>
      <c r="E14">
        <f>'Presupuesto Base'!D15</f>
        <v>4200</v>
      </c>
      <c r="F14" s="77">
        <f>'Presupuesto Base'!E15</f>
        <v>2592.1553194280468</v>
      </c>
      <c r="G14" s="77">
        <f>'Presupuesto Base'!F15</f>
        <v>10887052.341597797</v>
      </c>
      <c r="H14">
        <f>SUMIFS(Medicion!$K$6:$K$511,Medicion!$G$6:$G$511,$B14,Medicion!$A$6:$A$511,"&lt;"&amp;$A14)</f>
        <v>0</v>
      </c>
      <c r="I14">
        <f>SUMIFS(Medicion!$K$6:$K$511,Medicion!$G$6:$G$511,$B14,Medicion!$A$6:$A$511,$A14)</f>
        <v>0</v>
      </c>
      <c r="J14">
        <f t="shared" si="0"/>
        <v>0</v>
      </c>
      <c r="K14" s="77">
        <f t="shared" si="1"/>
        <v>0</v>
      </c>
      <c r="L14" s="77">
        <f t="shared" si="2"/>
        <v>0</v>
      </c>
      <c r="M14" s="77">
        <f t="shared" si="3"/>
        <v>0</v>
      </c>
      <c r="N14" s="77">
        <f t="shared" si="4"/>
        <v>10887052.341597797</v>
      </c>
      <c r="O14" s="100">
        <f t="shared" si="5"/>
        <v>0</v>
      </c>
      <c r="P14" t="str">
        <f t="shared" si="6"/>
        <v>OK</v>
      </c>
    </row>
    <row r="15" spans="1:16">
      <c r="A15">
        <v>1</v>
      </c>
      <c r="B15" t="str">
        <f>'Presupuesto Base'!A16</f>
        <v>9</v>
      </c>
      <c r="C15" t="str">
        <f>'Presupuesto Base'!B16</f>
        <v>Ejecución y compactación de capa cota -0,30</v>
      </c>
      <c r="D15" t="str">
        <f>'Presupuesto Base'!C16</f>
        <v>ml</v>
      </c>
      <c r="E15">
        <f>'Presupuesto Base'!D16</f>
        <v>4200</v>
      </c>
      <c r="F15" s="77">
        <f>'Presupuesto Base'!E16</f>
        <v>2182.8676374130923</v>
      </c>
      <c r="G15" s="77">
        <f>'Presupuesto Base'!F16</f>
        <v>9168044.0771349873</v>
      </c>
      <c r="H15">
        <f>SUMIFS(Medicion!$K$6:$K$511,Medicion!$G$6:$G$511,$B15,Medicion!$A$6:$A$511,"&lt;"&amp;$A15)</f>
        <v>0</v>
      </c>
      <c r="I15">
        <f>SUMIFS(Medicion!$K$6:$K$511,Medicion!$G$6:$G$511,$B15,Medicion!$A$6:$A$511,$A15)</f>
        <v>0</v>
      </c>
      <c r="J15">
        <f t="shared" si="0"/>
        <v>0</v>
      </c>
      <c r="K15" s="77">
        <f t="shared" si="1"/>
        <v>0</v>
      </c>
      <c r="L15" s="77">
        <f t="shared" si="2"/>
        <v>0</v>
      </c>
      <c r="M15" s="77">
        <f t="shared" si="3"/>
        <v>0</v>
      </c>
      <c r="N15" s="77">
        <f t="shared" si="4"/>
        <v>9168044.0771349873</v>
      </c>
      <c r="O15" s="100">
        <f t="shared" si="5"/>
        <v>0</v>
      </c>
      <c r="P15" t="str">
        <f t="shared" si="6"/>
        <v>OK</v>
      </c>
    </row>
    <row r="16" spans="1:16">
      <c r="A16">
        <v>1</v>
      </c>
      <c r="B16" t="str">
        <f>'Presupuesto Base'!A17</f>
        <v>10.1</v>
      </c>
      <c r="C16" t="str">
        <f>'Presupuesto Base'!B17</f>
        <v>Conexión domiciliaria sobre red Ø75</v>
      </c>
      <c r="D16" t="str">
        <f>'Presupuesto Base'!C17</f>
        <v>un</v>
      </c>
      <c r="E16">
        <f>'Presupuesto Base'!D17</f>
        <v>165</v>
      </c>
      <c r="F16" s="77">
        <f>'Presupuesto Base'!E17</f>
        <v>48618.415560564332</v>
      </c>
      <c r="G16" s="77">
        <f>'Presupuesto Base'!F17</f>
        <v>8022038.5674931146</v>
      </c>
      <c r="H16">
        <f>SUMIFS(Medicion!$K$6:$K$511,Medicion!$G$6:$G$511,$B16,Medicion!$A$6:$A$511,"&lt;"&amp;$A16)</f>
        <v>0</v>
      </c>
      <c r="I16">
        <f>SUMIFS(Medicion!$K$6:$K$511,Medicion!$G$6:$G$511,$B16,Medicion!$A$6:$A$511,$A16)</f>
        <v>5</v>
      </c>
      <c r="J16">
        <f t="shared" si="0"/>
        <v>5</v>
      </c>
      <c r="K16" s="77">
        <f t="shared" si="1"/>
        <v>0</v>
      </c>
      <c r="L16" s="77">
        <f t="shared" si="2"/>
        <v>243092.07780282164</v>
      </c>
      <c r="M16" s="77">
        <f t="shared" si="3"/>
        <v>243092.07780282164</v>
      </c>
      <c r="N16" s="77">
        <f t="shared" si="4"/>
        <v>7778946.4896902926</v>
      </c>
      <c r="O16" s="100">
        <f t="shared" si="5"/>
        <v>3.0303030303030304E-2</v>
      </c>
      <c r="P16" t="str">
        <f t="shared" si="6"/>
        <v>OK</v>
      </c>
    </row>
    <row r="17" spans="1:16">
      <c r="A17">
        <v>1</v>
      </c>
      <c r="B17" t="str">
        <f>'Presupuesto Base'!A18</f>
        <v>10.2</v>
      </c>
      <c r="C17" t="str">
        <f>'Presupuesto Base'!B18</f>
        <v>Conexión domiciliaria sobre red Ø110</v>
      </c>
      <c r="D17" t="str">
        <f>'Presupuesto Base'!C18</f>
        <v>un</v>
      </c>
      <c r="E17">
        <f>'Presupuesto Base'!D18</f>
        <v>62</v>
      </c>
      <c r="F17" s="77">
        <f>'Presupuesto Base'!E18</f>
        <v>55451.879498800321</v>
      </c>
      <c r="G17" s="77">
        <f>'Presupuesto Base'!F18</f>
        <v>3438016.52892562</v>
      </c>
      <c r="H17">
        <f>SUMIFS(Medicion!$K$6:$K$511,Medicion!$G$6:$G$511,$B17,Medicion!$A$6:$A$511,"&lt;"&amp;$A17)</f>
        <v>0</v>
      </c>
      <c r="I17">
        <f>SUMIFS(Medicion!$K$6:$K$511,Medicion!$G$6:$G$511,$B17,Medicion!$A$6:$A$511,$A17)</f>
        <v>2</v>
      </c>
      <c r="J17">
        <f t="shared" si="0"/>
        <v>2</v>
      </c>
      <c r="K17" s="77">
        <f t="shared" si="1"/>
        <v>0</v>
      </c>
      <c r="L17" s="77">
        <f t="shared" si="2"/>
        <v>110903.75899760064</v>
      </c>
      <c r="M17" s="77">
        <f t="shared" si="3"/>
        <v>110903.75899760064</v>
      </c>
      <c r="N17" s="77">
        <f t="shared" si="4"/>
        <v>3327112.7699280195</v>
      </c>
      <c r="O17" s="100">
        <f t="shared" si="5"/>
        <v>3.2258064516129031E-2</v>
      </c>
      <c r="P17" t="str">
        <f t="shared" si="6"/>
        <v>OK</v>
      </c>
    </row>
    <row r="18" spans="1:16">
      <c r="A18">
        <v>1</v>
      </c>
      <c r="B18" t="str">
        <f>'Presupuesto Base'!A19</f>
        <v>11.1</v>
      </c>
      <c r="C18" t="str">
        <f>'Presupuesto Base'!B19</f>
        <v>Válvula esclusa Ø75 completa e instalada</v>
      </c>
      <c r="D18" t="str">
        <f>'Presupuesto Base'!C19</f>
        <v>un</v>
      </c>
      <c r="E18">
        <f>'Presupuesto Base'!D19</f>
        <v>2</v>
      </c>
      <c r="F18" s="77">
        <f>'Presupuesto Base'!E19</f>
        <v>286501.37741046835</v>
      </c>
      <c r="G18" s="77">
        <f>'Presupuesto Base'!F19</f>
        <v>573002.75482093671</v>
      </c>
      <c r="H18">
        <f>SUMIFS(Medicion!$K$6:$K$511,Medicion!$G$6:$G$511,$B18,Medicion!$A$6:$A$511,"&lt;"&amp;$A18)</f>
        <v>0</v>
      </c>
      <c r="I18">
        <f>SUMIFS(Medicion!$K$6:$K$511,Medicion!$G$6:$G$511,$B18,Medicion!$A$6:$A$511,$A18)</f>
        <v>0</v>
      </c>
      <c r="J18">
        <f t="shared" si="0"/>
        <v>0</v>
      </c>
      <c r="K18" s="77">
        <f t="shared" si="1"/>
        <v>0</v>
      </c>
      <c r="L18" s="77">
        <f t="shared" si="2"/>
        <v>0</v>
      </c>
      <c r="M18" s="77">
        <f t="shared" si="3"/>
        <v>0</v>
      </c>
      <c r="N18" s="77">
        <f t="shared" si="4"/>
        <v>573002.75482093671</v>
      </c>
      <c r="O18" s="100">
        <f t="shared" si="5"/>
        <v>0</v>
      </c>
      <c r="P18" t="str">
        <f t="shared" si="6"/>
        <v>OK</v>
      </c>
    </row>
    <row r="19" spans="1:16">
      <c r="A19">
        <v>1</v>
      </c>
      <c r="B19" t="str">
        <f>'Presupuesto Base'!A20</f>
        <v>11.2</v>
      </c>
      <c r="C19" t="str">
        <f>'Presupuesto Base'!B20</f>
        <v>Válvula esclusa Ø100 completa e instalada</v>
      </c>
      <c r="D19" t="str">
        <f>'Presupuesto Base'!C20</f>
        <v>un</v>
      </c>
      <c r="E19">
        <f>'Presupuesto Base'!D20</f>
        <v>4</v>
      </c>
      <c r="F19" s="77">
        <f>'Presupuesto Base'!E20</f>
        <v>429752.0661157025</v>
      </c>
      <c r="G19" s="77">
        <f>'Presupuesto Base'!F20</f>
        <v>1719008.26446281</v>
      </c>
      <c r="H19">
        <f>SUMIFS(Medicion!$K$6:$K$511,Medicion!$G$6:$G$511,$B19,Medicion!$A$6:$A$511,"&lt;"&amp;$A19)</f>
        <v>0</v>
      </c>
      <c r="I19">
        <f>SUMIFS(Medicion!$K$6:$K$511,Medicion!$G$6:$G$511,$B19,Medicion!$A$6:$A$511,$A19)</f>
        <v>0</v>
      </c>
      <c r="J19">
        <f t="shared" si="0"/>
        <v>0</v>
      </c>
      <c r="K19" s="77">
        <f t="shared" si="1"/>
        <v>0</v>
      </c>
      <c r="L19" s="77">
        <f t="shared" si="2"/>
        <v>0</v>
      </c>
      <c r="M19" s="77">
        <f t="shared" si="3"/>
        <v>0</v>
      </c>
      <c r="N19" s="77">
        <f t="shared" si="4"/>
        <v>1719008.26446281</v>
      </c>
      <c r="O19" s="100">
        <f t="shared" si="5"/>
        <v>0</v>
      </c>
      <c r="P19" t="str">
        <f t="shared" si="6"/>
        <v>OK</v>
      </c>
    </row>
    <row r="20" spans="1:16">
      <c r="A20">
        <v>1</v>
      </c>
      <c r="B20" t="str">
        <f>'Presupuesto Base'!A21</f>
        <v>12</v>
      </c>
      <c r="C20" t="str">
        <f>'Presupuesto Base'!B21</f>
        <v>Hidrante a bola completo e instalado</v>
      </c>
      <c r="D20" t="str">
        <f>'Presupuesto Base'!C21</f>
        <v>un</v>
      </c>
      <c r="E20">
        <f>'Presupuesto Base'!D21</f>
        <v>15</v>
      </c>
      <c r="F20" s="77">
        <f>'Presupuesto Base'!E21</f>
        <v>114600.55096418734</v>
      </c>
      <c r="G20" s="77">
        <f>'Presupuesto Base'!F21</f>
        <v>1719008.26446281</v>
      </c>
      <c r="H20">
        <f>SUMIFS(Medicion!$K$6:$K$511,Medicion!$G$6:$G$511,$B20,Medicion!$A$6:$A$511,"&lt;"&amp;$A20)</f>
        <v>0</v>
      </c>
      <c r="I20">
        <f>SUMIFS(Medicion!$K$6:$K$511,Medicion!$G$6:$G$511,$B20,Medicion!$A$6:$A$511,$A20)</f>
        <v>0</v>
      </c>
      <c r="J20">
        <f t="shared" si="0"/>
        <v>0</v>
      </c>
      <c r="K20" s="77">
        <f t="shared" si="1"/>
        <v>0</v>
      </c>
      <c r="L20" s="77">
        <f t="shared" si="2"/>
        <v>0</v>
      </c>
      <c r="M20" s="77">
        <f t="shared" si="3"/>
        <v>0</v>
      </c>
      <c r="N20" s="77">
        <f t="shared" si="4"/>
        <v>1719008.26446281</v>
      </c>
      <c r="O20" s="100">
        <f t="shared" si="5"/>
        <v>0</v>
      </c>
      <c r="P20" t="str">
        <f t="shared" si="6"/>
        <v>OK</v>
      </c>
    </row>
    <row r="21" spans="1:16">
      <c r="A21">
        <v>1</v>
      </c>
      <c r="B21" t="str">
        <f>'Presupuesto Base'!A22</f>
        <v>13.1</v>
      </c>
      <c r="C21" t="str">
        <f>'Presupuesto Base'!B22</f>
        <v>Pruebas hidráulicas y operativas</v>
      </c>
      <c r="D21" t="str">
        <f>'Presupuesto Base'!C22</f>
        <v>gl</v>
      </c>
      <c r="E21">
        <f>'Presupuesto Base'!D22</f>
        <v>1</v>
      </c>
      <c r="F21" s="77">
        <f>'Presupuesto Base'!E22</f>
        <v>1719008.26446281</v>
      </c>
      <c r="G21" s="77">
        <f>'Presupuesto Base'!F22</f>
        <v>1719008.26446281</v>
      </c>
      <c r="H21">
        <f>SUMIFS(Medicion!$K$6:$K$511,Medicion!$G$6:$G$511,$B21,Medicion!$A$6:$A$511,"&lt;"&amp;$A21)</f>
        <v>0</v>
      </c>
      <c r="I21">
        <f>SUMIFS(Medicion!$K$6:$K$511,Medicion!$G$6:$G$511,$B21,Medicion!$A$6:$A$511,$A21)</f>
        <v>0</v>
      </c>
      <c r="J21">
        <f t="shared" si="0"/>
        <v>0</v>
      </c>
      <c r="K21" s="77">
        <f t="shared" si="1"/>
        <v>0</v>
      </c>
      <c r="L21" s="77">
        <f t="shared" si="2"/>
        <v>0</v>
      </c>
      <c r="M21" s="77">
        <f t="shared" si="3"/>
        <v>0</v>
      </c>
      <c r="N21" s="77">
        <f t="shared" si="4"/>
        <v>1719008.26446281</v>
      </c>
      <c r="O21" s="100">
        <f t="shared" si="5"/>
        <v>0</v>
      </c>
      <c r="P21" t="str">
        <f t="shared" si="6"/>
        <v>OK</v>
      </c>
    </row>
    <row r="22" spans="1:16">
      <c r="A22">
        <v>1</v>
      </c>
      <c r="B22" t="str">
        <f>'Presupuesto Base'!A23</f>
        <v>13.2</v>
      </c>
      <c r="C22" t="str">
        <f>'Presupuesto Base'!B23</f>
        <v>Terminaciones y acondicionamiento final</v>
      </c>
      <c r="D22" t="str">
        <f>'Presupuesto Base'!C23</f>
        <v>gl</v>
      </c>
      <c r="E22">
        <f>'Presupuesto Base'!D23</f>
        <v>1</v>
      </c>
      <c r="F22" s="77">
        <f>'Presupuesto Base'!E23</f>
        <v>1146005.5096418734</v>
      </c>
      <c r="G22" s="77">
        <f>'Presupuesto Base'!F23</f>
        <v>1146005.5096418734</v>
      </c>
      <c r="H22">
        <f>SUMIFS(Medicion!$K$6:$K$511,Medicion!$G$6:$G$511,$B22,Medicion!$A$6:$A$511,"&lt;"&amp;$A22)</f>
        <v>0</v>
      </c>
      <c r="I22">
        <f>SUMIFS(Medicion!$K$6:$K$511,Medicion!$G$6:$G$511,$B22,Medicion!$A$6:$A$511,$A22)</f>
        <v>0</v>
      </c>
      <c r="J22">
        <f t="shared" si="0"/>
        <v>0</v>
      </c>
      <c r="K22" s="77">
        <f t="shared" si="1"/>
        <v>0</v>
      </c>
      <c r="L22" s="77">
        <f t="shared" si="2"/>
        <v>0</v>
      </c>
      <c r="M22" s="77">
        <f t="shared" si="3"/>
        <v>0</v>
      </c>
      <c r="N22" s="77">
        <f t="shared" si="4"/>
        <v>1146005.5096418734</v>
      </c>
      <c r="O22" s="100">
        <f t="shared" si="5"/>
        <v>0</v>
      </c>
      <c r="P22" t="str">
        <f t="shared" si="6"/>
        <v>OK</v>
      </c>
    </row>
    <row r="23" spans="1:16">
      <c r="A23">
        <v>1</v>
      </c>
      <c r="B23" t="str">
        <f>'Presupuesto Base'!A24</f>
        <v>13.3</v>
      </c>
      <c r="C23" t="str">
        <f>'Presupuesto Base'!B24</f>
        <v>Documentación conforme a obra y cierre</v>
      </c>
      <c r="D23" t="str">
        <f>'Presupuesto Base'!C24</f>
        <v>gl</v>
      </c>
      <c r="E23">
        <f>'Presupuesto Base'!D24</f>
        <v>1</v>
      </c>
      <c r="F23" s="77">
        <f>'Presupuesto Base'!E24</f>
        <v>859504.132231405</v>
      </c>
      <c r="G23" s="77">
        <f>'Presupuesto Base'!F24</f>
        <v>859504.132231405</v>
      </c>
      <c r="H23">
        <f>SUMIFS(Medicion!$K$6:$K$511,Medicion!$G$6:$G$511,$B23,Medicion!$A$6:$A$511,"&lt;"&amp;$A23)</f>
        <v>0</v>
      </c>
      <c r="I23">
        <f>SUMIFS(Medicion!$K$6:$K$511,Medicion!$G$6:$G$511,$B23,Medicion!$A$6:$A$511,$A23)</f>
        <v>0</v>
      </c>
      <c r="J23">
        <f t="shared" si="0"/>
        <v>0</v>
      </c>
      <c r="K23" s="77">
        <f t="shared" si="1"/>
        <v>0</v>
      </c>
      <c r="L23" s="77">
        <f t="shared" si="2"/>
        <v>0</v>
      </c>
      <c r="M23" s="77">
        <f t="shared" si="3"/>
        <v>0</v>
      </c>
      <c r="N23" s="77">
        <f t="shared" si="4"/>
        <v>859504.132231405</v>
      </c>
      <c r="O23" s="100">
        <f t="shared" si="5"/>
        <v>0</v>
      </c>
      <c r="P23" t="str">
        <f t="shared" si="6"/>
        <v>OK</v>
      </c>
    </row>
    <row r="24" spans="1:16">
      <c r="A24">
        <v>2</v>
      </c>
      <c r="B24" t="str">
        <f>'Presupuesto Base'!A7</f>
        <v>1</v>
      </c>
      <c r="C24" t="str">
        <f>'Presupuesto Base'!B7</f>
        <v>Replanteo y marcación de traza</v>
      </c>
      <c r="D24" t="str">
        <f>'Presupuesto Base'!C7</f>
        <v>ml</v>
      </c>
      <c r="E24">
        <f>'Presupuesto Base'!D7</f>
        <v>4200</v>
      </c>
      <c r="F24" s="77">
        <f>'Presupuesto Base'!E7</f>
        <v>204.64384100747739</v>
      </c>
      <c r="G24" s="77">
        <f>'Presupuesto Base'!F7</f>
        <v>859504.132231405</v>
      </c>
      <c r="H24">
        <f>SUMIFS(Medicion!$K$6:$K$511,Medicion!$G$6:$G$511,$B24,Medicion!$A$6:$A$511,"&lt;"&amp;$A24)</f>
        <v>845</v>
      </c>
      <c r="I24">
        <f>SUMIFS(Medicion!$K$6:$K$511,Medicion!$G$6:$G$511,$B24,Medicion!$A$6:$A$511,$A24)</f>
        <v>0</v>
      </c>
      <c r="J24">
        <f t="shared" si="0"/>
        <v>845</v>
      </c>
      <c r="K24" s="77">
        <f t="shared" si="1"/>
        <v>172924.04565131839</v>
      </c>
      <c r="L24" s="77">
        <f t="shared" si="2"/>
        <v>0</v>
      </c>
      <c r="M24" s="77">
        <f t="shared" si="3"/>
        <v>172924.04565131839</v>
      </c>
      <c r="N24" s="77">
        <f t="shared" si="4"/>
        <v>686580.08658008662</v>
      </c>
      <c r="O24" s="100">
        <f t="shared" si="5"/>
        <v>0.2011904761904762</v>
      </c>
      <c r="P24" t="str">
        <f t="shared" si="6"/>
        <v>OK</v>
      </c>
    </row>
    <row r="25" spans="1:16">
      <c r="A25">
        <v>2</v>
      </c>
      <c r="B25" t="str">
        <f>'Presupuesto Base'!A8</f>
        <v>2</v>
      </c>
      <c r="C25" t="str">
        <f>'Presupuesto Base'!B8</f>
        <v>Excavación de zanja</v>
      </c>
      <c r="D25" t="str">
        <f>'Presupuesto Base'!C8</f>
        <v>ml</v>
      </c>
      <c r="E25">
        <f>'Presupuesto Base'!D8</f>
        <v>4200</v>
      </c>
      <c r="F25" s="77">
        <f>'Presupuesto Base'!E8</f>
        <v>3683.5891381345932</v>
      </c>
      <c r="G25" s="77">
        <f>'Presupuesto Base'!F8</f>
        <v>15471074.380165292</v>
      </c>
      <c r="H25">
        <f>SUMIFS(Medicion!$K$6:$K$511,Medicion!$G$6:$G$511,$B25,Medicion!$A$6:$A$511,"&lt;"&amp;$A25)</f>
        <v>845</v>
      </c>
      <c r="I25">
        <f>SUMIFS(Medicion!$K$6:$K$511,Medicion!$G$6:$G$511,$B25,Medicion!$A$6:$A$511,$A25)</f>
        <v>0</v>
      </c>
      <c r="J25">
        <f t="shared" si="0"/>
        <v>845</v>
      </c>
      <c r="K25" s="77">
        <f t="shared" si="1"/>
        <v>3112632.8217237312</v>
      </c>
      <c r="L25" s="77">
        <f t="shared" si="2"/>
        <v>0</v>
      </c>
      <c r="M25" s="77">
        <f t="shared" si="3"/>
        <v>3112632.8217237312</v>
      </c>
      <c r="N25" s="77">
        <f t="shared" si="4"/>
        <v>12358441.558441561</v>
      </c>
      <c r="O25" s="100">
        <f t="shared" si="5"/>
        <v>0.2011904761904762</v>
      </c>
      <c r="P25" t="str">
        <f t="shared" si="6"/>
        <v>OK</v>
      </c>
    </row>
    <row r="26" spans="1:16">
      <c r="A26">
        <v>2</v>
      </c>
      <c r="B26" t="str">
        <f>'Presupuesto Base'!A9</f>
        <v>3</v>
      </c>
      <c r="C26" t="str">
        <f>'Presupuesto Base'!B9</f>
        <v>Nivelación y conformación del fondo de zanja</v>
      </c>
      <c r="D26" t="str">
        <f>'Presupuesto Base'!C9</f>
        <v>ml</v>
      </c>
      <c r="E26">
        <f>'Presupuesto Base'!D9</f>
        <v>4200</v>
      </c>
      <c r="F26" s="77">
        <f>'Presupuesto Base'!E9</f>
        <v>477.50229568411396</v>
      </c>
      <c r="G26" s="77">
        <f>'Presupuesto Base'!F9</f>
        <v>2005509.6418732787</v>
      </c>
      <c r="H26">
        <f>SUMIFS(Medicion!$K$6:$K$511,Medicion!$G$6:$G$511,$B26,Medicion!$A$6:$A$511,"&lt;"&amp;$A26)</f>
        <v>845</v>
      </c>
      <c r="I26">
        <f>SUMIFS(Medicion!$K$6:$K$511,Medicion!$G$6:$G$511,$B26,Medicion!$A$6:$A$511,$A26)</f>
        <v>0</v>
      </c>
      <c r="J26">
        <f t="shared" si="0"/>
        <v>845</v>
      </c>
      <c r="K26" s="77">
        <f t="shared" si="1"/>
        <v>403489.4398530763</v>
      </c>
      <c r="L26" s="77">
        <f t="shared" si="2"/>
        <v>0</v>
      </c>
      <c r="M26" s="77">
        <f t="shared" si="3"/>
        <v>403489.4398530763</v>
      </c>
      <c r="N26" s="77">
        <f t="shared" si="4"/>
        <v>1602020.2020202023</v>
      </c>
      <c r="O26" s="100">
        <f t="shared" si="5"/>
        <v>0.2011904761904762</v>
      </c>
      <c r="P26" t="str">
        <f t="shared" si="6"/>
        <v>OK</v>
      </c>
    </row>
    <row r="27" spans="1:16">
      <c r="A27">
        <v>2</v>
      </c>
      <c r="B27" t="str">
        <f>'Presupuesto Base'!A10</f>
        <v>4</v>
      </c>
      <c r="C27" t="str">
        <f>'Presupuesto Base'!B10</f>
        <v>Cama de asiento compactada</v>
      </c>
      <c r="D27" t="str">
        <f>'Presupuesto Base'!C10</f>
        <v>ml</v>
      </c>
      <c r="E27">
        <f>'Presupuesto Base'!D10</f>
        <v>4200</v>
      </c>
      <c r="F27" s="77">
        <f>'Presupuesto Base'!E10</f>
        <v>1705.3653417289784</v>
      </c>
      <c r="G27" s="77">
        <f>'Presupuesto Base'!F10</f>
        <v>7162534.4352617087</v>
      </c>
      <c r="H27">
        <f>SUMIFS(Medicion!$K$6:$K$511,Medicion!$G$6:$G$511,$B27,Medicion!$A$6:$A$511,"&lt;"&amp;$A27)</f>
        <v>845</v>
      </c>
      <c r="I27">
        <f>SUMIFS(Medicion!$K$6:$K$511,Medicion!$G$6:$G$511,$B27,Medicion!$A$6:$A$511,$A27)</f>
        <v>0</v>
      </c>
      <c r="J27">
        <f t="shared" si="0"/>
        <v>845</v>
      </c>
      <c r="K27" s="77">
        <f t="shared" si="1"/>
        <v>1441033.7137609867</v>
      </c>
      <c r="L27" s="77">
        <f t="shared" si="2"/>
        <v>0</v>
      </c>
      <c r="M27" s="77">
        <f t="shared" si="3"/>
        <v>1441033.7137609867</v>
      </c>
      <c r="N27" s="77">
        <f t="shared" si="4"/>
        <v>5721500.7215007218</v>
      </c>
      <c r="O27" s="100">
        <f t="shared" si="5"/>
        <v>0.2011904761904762</v>
      </c>
      <c r="P27" t="str">
        <f t="shared" si="6"/>
        <v>OK</v>
      </c>
    </row>
    <row r="28" spans="1:16">
      <c r="A28">
        <v>2</v>
      </c>
      <c r="B28" t="str">
        <f>'Presupuesto Base'!A11</f>
        <v>5.1</v>
      </c>
      <c r="C28" t="str">
        <f>'Presupuesto Base'!B11</f>
        <v>PEAD PN10 Ø75 – provisión e instalación</v>
      </c>
      <c r="D28" t="str">
        <f>'Presupuesto Base'!C11</f>
        <v>ml</v>
      </c>
      <c r="E28">
        <f>'Presupuesto Base'!D11</f>
        <v>3170</v>
      </c>
      <c r="F28" s="77">
        <f>'Presupuesto Base'!E11</f>
        <v>5784.2549382555126</v>
      </c>
      <c r="G28" s="77">
        <f>'Presupuesto Base'!F11</f>
        <v>18336088.154269975</v>
      </c>
      <c r="H28">
        <f>SUMIFS(Medicion!$K$6:$K$511,Medicion!$G$6:$G$511,$B28,Medicion!$A$6:$A$511,"&lt;"&amp;$A28)</f>
        <v>558</v>
      </c>
      <c r="I28">
        <f>SUMIFS(Medicion!$K$6:$K$511,Medicion!$G$6:$G$511,$B28,Medicion!$A$6:$A$511,$A28)</f>
        <v>0</v>
      </c>
      <c r="J28">
        <f t="shared" si="0"/>
        <v>558</v>
      </c>
      <c r="K28" s="77">
        <f t="shared" si="1"/>
        <v>3227614.2555465759</v>
      </c>
      <c r="L28" s="77">
        <f t="shared" si="2"/>
        <v>0</v>
      </c>
      <c r="M28" s="77">
        <f t="shared" si="3"/>
        <v>3227614.2555465759</v>
      </c>
      <c r="N28" s="77">
        <f t="shared" si="4"/>
        <v>15108473.898723399</v>
      </c>
      <c r="O28" s="100">
        <f t="shared" si="5"/>
        <v>0.17602523659305994</v>
      </c>
      <c r="P28" t="str">
        <f t="shared" si="6"/>
        <v>OK</v>
      </c>
    </row>
    <row r="29" spans="1:16">
      <c r="A29">
        <v>2</v>
      </c>
      <c r="B29" t="str">
        <f>'Presupuesto Base'!A12</f>
        <v>5.2</v>
      </c>
      <c r="C29" t="str">
        <f>'Presupuesto Base'!B12</f>
        <v>PEAD PN10 Ø110 – provisión e instalación</v>
      </c>
      <c r="D29" t="str">
        <f>'Presupuesto Base'!C12</f>
        <v>ml</v>
      </c>
      <c r="E29">
        <f>'Presupuesto Base'!D12</f>
        <v>1030</v>
      </c>
      <c r="F29" s="77">
        <f>'Presupuesto Base'!E12</f>
        <v>12238.893792291852</v>
      </c>
      <c r="G29" s="77">
        <f>'Presupuesto Base'!F12</f>
        <v>12606060.606060607</v>
      </c>
      <c r="H29">
        <f>SUMIFS(Medicion!$K$6:$K$511,Medicion!$G$6:$G$511,$B29,Medicion!$A$6:$A$511,"&lt;"&amp;$A29)</f>
        <v>287</v>
      </c>
      <c r="I29">
        <f>SUMIFS(Medicion!$K$6:$K$511,Medicion!$G$6:$G$511,$B29,Medicion!$A$6:$A$511,$A29)</f>
        <v>0</v>
      </c>
      <c r="J29">
        <f t="shared" si="0"/>
        <v>287</v>
      </c>
      <c r="K29" s="77">
        <f t="shared" si="1"/>
        <v>3512562.5183877614</v>
      </c>
      <c r="L29" s="77">
        <f t="shared" si="2"/>
        <v>0</v>
      </c>
      <c r="M29" s="77">
        <f t="shared" si="3"/>
        <v>3512562.5183877614</v>
      </c>
      <c r="N29" s="77">
        <f t="shared" si="4"/>
        <v>9093498.0876728464</v>
      </c>
      <c r="O29" s="100">
        <f t="shared" si="5"/>
        <v>0.27864077669902915</v>
      </c>
      <c r="P29" t="str">
        <f t="shared" si="6"/>
        <v>OK</v>
      </c>
    </row>
    <row r="30" spans="1:16">
      <c r="A30">
        <v>2</v>
      </c>
      <c r="B30" t="str">
        <f>'Presupuesto Base'!A13</f>
        <v>6</v>
      </c>
      <c r="C30" t="str">
        <f>'Presupuesto Base'!B13</f>
        <v>Ejecución de paquete estructural de 30 cm</v>
      </c>
      <c r="D30" t="str">
        <f>'Presupuesto Base'!C13</f>
        <v>ml</v>
      </c>
      <c r="E30">
        <f>'Presupuesto Base'!D13</f>
        <v>4200</v>
      </c>
      <c r="F30" s="77">
        <f>'Presupuesto Base'!E13</f>
        <v>3274.3014561196383</v>
      </c>
      <c r="G30" s="77">
        <f>'Presupuesto Base'!F13</f>
        <v>13752066.11570248</v>
      </c>
      <c r="H30">
        <f>SUMIFS(Medicion!$K$6:$K$511,Medicion!$G$6:$G$511,$B30,Medicion!$A$6:$A$511,"&lt;"&amp;$A30)</f>
        <v>763</v>
      </c>
      <c r="I30">
        <f>SUMIFS(Medicion!$K$6:$K$511,Medicion!$G$6:$G$511,$B30,Medicion!$A$6:$A$511,$A30)</f>
        <v>0</v>
      </c>
      <c r="J30">
        <f t="shared" si="0"/>
        <v>763</v>
      </c>
      <c r="K30" s="77">
        <f t="shared" si="1"/>
        <v>2498292.0110192839</v>
      </c>
      <c r="L30" s="77">
        <f t="shared" si="2"/>
        <v>0</v>
      </c>
      <c r="M30" s="77">
        <f t="shared" si="3"/>
        <v>2498292.0110192839</v>
      </c>
      <c r="N30" s="77">
        <f t="shared" si="4"/>
        <v>11253774.104683196</v>
      </c>
      <c r="O30" s="100">
        <f t="shared" si="5"/>
        <v>0.18166666666666667</v>
      </c>
      <c r="P30" t="str">
        <f t="shared" si="6"/>
        <v>OK</v>
      </c>
    </row>
    <row r="31" spans="1:16">
      <c r="A31">
        <v>2</v>
      </c>
      <c r="B31" t="str">
        <f>'Presupuesto Base'!A14</f>
        <v>7</v>
      </c>
      <c r="C31" t="str">
        <f>'Presupuesto Base'!B14</f>
        <v>Compactación del paquete estructural de 30 cm</v>
      </c>
      <c r="D31" t="str">
        <f>'Presupuesto Base'!C14</f>
        <v>ml</v>
      </c>
      <c r="E31">
        <f>'Presupuesto Base'!D14</f>
        <v>4200</v>
      </c>
      <c r="F31" s="77">
        <f>'Presupuesto Base'!E14</f>
        <v>1227.8630460448644</v>
      </c>
      <c r="G31" s="77">
        <f>'Presupuesto Base'!F14</f>
        <v>5157024.79338843</v>
      </c>
      <c r="H31">
        <f>SUMIFS(Medicion!$K$6:$K$511,Medicion!$G$6:$G$511,$B31,Medicion!$A$6:$A$511,"&lt;"&amp;$A31)</f>
        <v>0</v>
      </c>
      <c r="I31">
        <f>SUMIFS(Medicion!$K$6:$K$511,Medicion!$G$6:$G$511,$B31,Medicion!$A$6:$A$511,$A31)</f>
        <v>0</v>
      </c>
      <c r="J31">
        <f t="shared" si="0"/>
        <v>0</v>
      </c>
      <c r="K31" s="77">
        <f t="shared" si="1"/>
        <v>0</v>
      </c>
      <c r="L31" s="77">
        <f t="shared" si="2"/>
        <v>0</v>
      </c>
      <c r="M31" s="77">
        <f t="shared" si="3"/>
        <v>0</v>
      </c>
      <c r="N31" s="77">
        <f t="shared" si="4"/>
        <v>5157024.79338843</v>
      </c>
      <c r="O31" s="100">
        <f t="shared" si="5"/>
        <v>0</v>
      </c>
      <c r="P31" t="str">
        <f t="shared" si="6"/>
        <v>OK</v>
      </c>
    </row>
    <row r="32" spans="1:16">
      <c r="A32">
        <v>2</v>
      </c>
      <c r="B32" t="str">
        <f>'Presupuesto Base'!A15</f>
        <v>8</v>
      </c>
      <c r="C32" t="str">
        <f>'Presupuesto Base'!B15</f>
        <v>Ejecución y compactación de capa cota -0,60</v>
      </c>
      <c r="D32" t="str">
        <f>'Presupuesto Base'!C15</f>
        <v>ml</v>
      </c>
      <c r="E32">
        <f>'Presupuesto Base'!D15</f>
        <v>4200</v>
      </c>
      <c r="F32" s="77">
        <f>'Presupuesto Base'!E15</f>
        <v>2592.1553194280468</v>
      </c>
      <c r="G32" s="77">
        <f>'Presupuesto Base'!F15</f>
        <v>10887052.341597797</v>
      </c>
      <c r="H32">
        <f>SUMIFS(Medicion!$K$6:$K$511,Medicion!$G$6:$G$511,$B32,Medicion!$A$6:$A$511,"&lt;"&amp;$A32)</f>
        <v>0</v>
      </c>
      <c r="I32">
        <f>SUMIFS(Medicion!$K$6:$K$511,Medicion!$G$6:$G$511,$B32,Medicion!$A$6:$A$511,$A32)</f>
        <v>0</v>
      </c>
      <c r="J32">
        <f t="shared" si="0"/>
        <v>0</v>
      </c>
      <c r="K32" s="77">
        <f t="shared" si="1"/>
        <v>0</v>
      </c>
      <c r="L32" s="77">
        <f t="shared" si="2"/>
        <v>0</v>
      </c>
      <c r="M32" s="77">
        <f t="shared" si="3"/>
        <v>0</v>
      </c>
      <c r="N32" s="77">
        <f t="shared" si="4"/>
        <v>10887052.341597797</v>
      </c>
      <c r="O32" s="100">
        <f t="shared" si="5"/>
        <v>0</v>
      </c>
      <c r="P32" t="str">
        <f t="shared" si="6"/>
        <v>OK</v>
      </c>
    </row>
    <row r="33" spans="1:16">
      <c r="A33">
        <v>2</v>
      </c>
      <c r="B33" t="str">
        <f>'Presupuesto Base'!A16</f>
        <v>9</v>
      </c>
      <c r="C33" t="str">
        <f>'Presupuesto Base'!B16</f>
        <v>Ejecución y compactación de capa cota -0,30</v>
      </c>
      <c r="D33" t="str">
        <f>'Presupuesto Base'!C16</f>
        <v>ml</v>
      </c>
      <c r="E33">
        <f>'Presupuesto Base'!D16</f>
        <v>4200</v>
      </c>
      <c r="F33" s="77">
        <f>'Presupuesto Base'!E16</f>
        <v>2182.8676374130923</v>
      </c>
      <c r="G33" s="77">
        <f>'Presupuesto Base'!F16</f>
        <v>9168044.0771349873</v>
      </c>
      <c r="H33">
        <f>SUMIFS(Medicion!$K$6:$K$511,Medicion!$G$6:$G$511,$B33,Medicion!$A$6:$A$511,"&lt;"&amp;$A33)</f>
        <v>0</v>
      </c>
      <c r="I33">
        <f>SUMIFS(Medicion!$K$6:$K$511,Medicion!$G$6:$G$511,$B33,Medicion!$A$6:$A$511,$A33)</f>
        <v>0</v>
      </c>
      <c r="J33">
        <f t="shared" si="0"/>
        <v>0</v>
      </c>
      <c r="K33" s="77">
        <f t="shared" si="1"/>
        <v>0</v>
      </c>
      <c r="L33" s="77">
        <f t="shared" si="2"/>
        <v>0</v>
      </c>
      <c r="M33" s="77">
        <f t="shared" si="3"/>
        <v>0</v>
      </c>
      <c r="N33" s="77">
        <f t="shared" si="4"/>
        <v>9168044.0771349873</v>
      </c>
      <c r="O33" s="100">
        <f t="shared" si="5"/>
        <v>0</v>
      </c>
      <c r="P33" t="str">
        <f t="shared" si="6"/>
        <v>OK</v>
      </c>
    </row>
    <row r="34" spans="1:16">
      <c r="A34">
        <v>2</v>
      </c>
      <c r="B34" t="str">
        <f>'Presupuesto Base'!A17</f>
        <v>10.1</v>
      </c>
      <c r="C34" t="str">
        <f>'Presupuesto Base'!B17</f>
        <v>Conexión domiciliaria sobre red Ø75</v>
      </c>
      <c r="D34" t="str">
        <f>'Presupuesto Base'!C17</f>
        <v>un</v>
      </c>
      <c r="E34">
        <f>'Presupuesto Base'!D17</f>
        <v>165</v>
      </c>
      <c r="F34" s="77">
        <f>'Presupuesto Base'!E17</f>
        <v>48618.415560564332</v>
      </c>
      <c r="G34" s="77">
        <f>'Presupuesto Base'!F17</f>
        <v>8022038.5674931146</v>
      </c>
      <c r="H34">
        <f>SUMIFS(Medicion!$K$6:$K$511,Medicion!$G$6:$G$511,$B34,Medicion!$A$6:$A$511,"&lt;"&amp;$A34)</f>
        <v>5</v>
      </c>
      <c r="I34">
        <f>SUMIFS(Medicion!$K$6:$K$511,Medicion!$G$6:$G$511,$B34,Medicion!$A$6:$A$511,$A34)</f>
        <v>0</v>
      </c>
      <c r="J34">
        <f t="shared" si="0"/>
        <v>5</v>
      </c>
      <c r="K34" s="77">
        <f t="shared" si="1"/>
        <v>243092.07780282164</v>
      </c>
      <c r="L34" s="77">
        <f t="shared" si="2"/>
        <v>0</v>
      </c>
      <c r="M34" s="77">
        <f t="shared" si="3"/>
        <v>243092.07780282164</v>
      </c>
      <c r="N34" s="77">
        <f t="shared" si="4"/>
        <v>7778946.4896902926</v>
      </c>
      <c r="O34" s="100">
        <f t="shared" si="5"/>
        <v>3.0303030303030304E-2</v>
      </c>
      <c r="P34" t="str">
        <f t="shared" si="6"/>
        <v>OK</v>
      </c>
    </row>
    <row r="35" spans="1:16">
      <c r="A35">
        <v>2</v>
      </c>
      <c r="B35" t="str">
        <f>'Presupuesto Base'!A18</f>
        <v>10.2</v>
      </c>
      <c r="C35" t="str">
        <f>'Presupuesto Base'!B18</f>
        <v>Conexión domiciliaria sobre red Ø110</v>
      </c>
      <c r="D35" t="str">
        <f>'Presupuesto Base'!C18</f>
        <v>un</v>
      </c>
      <c r="E35">
        <f>'Presupuesto Base'!D18</f>
        <v>62</v>
      </c>
      <c r="F35" s="77">
        <f>'Presupuesto Base'!E18</f>
        <v>55451.879498800321</v>
      </c>
      <c r="G35" s="77">
        <f>'Presupuesto Base'!F18</f>
        <v>3438016.52892562</v>
      </c>
      <c r="H35">
        <f>SUMIFS(Medicion!$K$6:$K$511,Medicion!$G$6:$G$511,$B35,Medicion!$A$6:$A$511,"&lt;"&amp;$A35)</f>
        <v>2</v>
      </c>
      <c r="I35">
        <f>SUMIFS(Medicion!$K$6:$K$511,Medicion!$G$6:$G$511,$B35,Medicion!$A$6:$A$511,$A35)</f>
        <v>0</v>
      </c>
      <c r="J35">
        <f t="shared" si="0"/>
        <v>2</v>
      </c>
      <c r="K35" s="77">
        <f t="shared" si="1"/>
        <v>110903.75899760064</v>
      </c>
      <c r="L35" s="77">
        <f t="shared" si="2"/>
        <v>0</v>
      </c>
      <c r="M35" s="77">
        <f t="shared" si="3"/>
        <v>110903.75899760064</v>
      </c>
      <c r="N35" s="77">
        <f t="shared" si="4"/>
        <v>3327112.7699280195</v>
      </c>
      <c r="O35" s="100">
        <f t="shared" si="5"/>
        <v>3.2258064516129031E-2</v>
      </c>
      <c r="P35" t="str">
        <f t="shared" si="6"/>
        <v>OK</v>
      </c>
    </row>
    <row r="36" spans="1:16">
      <c r="A36">
        <v>2</v>
      </c>
      <c r="B36" t="str">
        <f>'Presupuesto Base'!A19</f>
        <v>11.1</v>
      </c>
      <c r="C36" t="str">
        <f>'Presupuesto Base'!B19</f>
        <v>Válvula esclusa Ø75 completa e instalada</v>
      </c>
      <c r="D36" t="str">
        <f>'Presupuesto Base'!C19</f>
        <v>un</v>
      </c>
      <c r="E36">
        <f>'Presupuesto Base'!D19</f>
        <v>2</v>
      </c>
      <c r="F36" s="77">
        <f>'Presupuesto Base'!E19</f>
        <v>286501.37741046835</v>
      </c>
      <c r="G36" s="77">
        <f>'Presupuesto Base'!F19</f>
        <v>573002.75482093671</v>
      </c>
      <c r="H36">
        <f>SUMIFS(Medicion!$K$6:$K$511,Medicion!$G$6:$G$511,$B36,Medicion!$A$6:$A$511,"&lt;"&amp;$A36)</f>
        <v>0</v>
      </c>
      <c r="I36">
        <f>SUMIFS(Medicion!$K$6:$K$511,Medicion!$G$6:$G$511,$B36,Medicion!$A$6:$A$511,$A36)</f>
        <v>0</v>
      </c>
      <c r="J36">
        <f t="shared" si="0"/>
        <v>0</v>
      </c>
      <c r="K36" s="77">
        <f t="shared" si="1"/>
        <v>0</v>
      </c>
      <c r="L36" s="77">
        <f t="shared" si="2"/>
        <v>0</v>
      </c>
      <c r="M36" s="77">
        <f t="shared" si="3"/>
        <v>0</v>
      </c>
      <c r="N36" s="77">
        <f t="shared" si="4"/>
        <v>573002.75482093671</v>
      </c>
      <c r="O36" s="100">
        <f t="shared" si="5"/>
        <v>0</v>
      </c>
      <c r="P36" t="str">
        <f t="shared" si="6"/>
        <v>OK</v>
      </c>
    </row>
    <row r="37" spans="1:16">
      <c r="A37">
        <v>2</v>
      </c>
      <c r="B37" t="str">
        <f>'Presupuesto Base'!A20</f>
        <v>11.2</v>
      </c>
      <c r="C37" t="str">
        <f>'Presupuesto Base'!B20</f>
        <v>Válvula esclusa Ø100 completa e instalada</v>
      </c>
      <c r="D37" t="str">
        <f>'Presupuesto Base'!C20</f>
        <v>un</v>
      </c>
      <c r="E37">
        <f>'Presupuesto Base'!D20</f>
        <v>4</v>
      </c>
      <c r="F37" s="77">
        <f>'Presupuesto Base'!E20</f>
        <v>429752.0661157025</v>
      </c>
      <c r="G37" s="77">
        <f>'Presupuesto Base'!F20</f>
        <v>1719008.26446281</v>
      </c>
      <c r="H37">
        <f>SUMIFS(Medicion!$K$6:$K$511,Medicion!$G$6:$G$511,$B37,Medicion!$A$6:$A$511,"&lt;"&amp;$A37)</f>
        <v>0</v>
      </c>
      <c r="I37">
        <f>SUMIFS(Medicion!$K$6:$K$511,Medicion!$G$6:$G$511,$B37,Medicion!$A$6:$A$511,$A37)</f>
        <v>0</v>
      </c>
      <c r="J37">
        <f t="shared" si="0"/>
        <v>0</v>
      </c>
      <c r="K37" s="77">
        <f t="shared" si="1"/>
        <v>0</v>
      </c>
      <c r="L37" s="77">
        <f t="shared" si="2"/>
        <v>0</v>
      </c>
      <c r="M37" s="77">
        <f t="shared" si="3"/>
        <v>0</v>
      </c>
      <c r="N37" s="77">
        <f t="shared" si="4"/>
        <v>1719008.26446281</v>
      </c>
      <c r="O37" s="100">
        <f t="shared" si="5"/>
        <v>0</v>
      </c>
      <c r="P37" t="str">
        <f t="shared" si="6"/>
        <v>OK</v>
      </c>
    </row>
    <row r="38" spans="1:16">
      <c r="A38">
        <v>2</v>
      </c>
      <c r="B38" t="str">
        <f>'Presupuesto Base'!A21</f>
        <v>12</v>
      </c>
      <c r="C38" t="str">
        <f>'Presupuesto Base'!B21</f>
        <v>Hidrante a bola completo e instalado</v>
      </c>
      <c r="D38" t="str">
        <f>'Presupuesto Base'!C21</f>
        <v>un</v>
      </c>
      <c r="E38">
        <f>'Presupuesto Base'!D21</f>
        <v>15</v>
      </c>
      <c r="F38" s="77">
        <f>'Presupuesto Base'!E21</f>
        <v>114600.55096418734</v>
      </c>
      <c r="G38" s="77">
        <f>'Presupuesto Base'!F21</f>
        <v>1719008.26446281</v>
      </c>
      <c r="H38">
        <f>SUMIFS(Medicion!$K$6:$K$511,Medicion!$G$6:$G$511,$B38,Medicion!$A$6:$A$511,"&lt;"&amp;$A38)</f>
        <v>0</v>
      </c>
      <c r="I38">
        <f>SUMIFS(Medicion!$K$6:$K$511,Medicion!$G$6:$G$511,$B38,Medicion!$A$6:$A$511,$A38)</f>
        <v>0</v>
      </c>
      <c r="J38">
        <f t="shared" si="0"/>
        <v>0</v>
      </c>
      <c r="K38" s="77">
        <f t="shared" si="1"/>
        <v>0</v>
      </c>
      <c r="L38" s="77">
        <f t="shared" si="2"/>
        <v>0</v>
      </c>
      <c r="M38" s="77">
        <f t="shared" si="3"/>
        <v>0</v>
      </c>
      <c r="N38" s="77">
        <f t="shared" si="4"/>
        <v>1719008.26446281</v>
      </c>
      <c r="O38" s="100">
        <f t="shared" si="5"/>
        <v>0</v>
      </c>
      <c r="P38" t="str">
        <f t="shared" si="6"/>
        <v>OK</v>
      </c>
    </row>
    <row r="39" spans="1:16">
      <c r="A39">
        <v>2</v>
      </c>
      <c r="B39" t="str">
        <f>'Presupuesto Base'!A22</f>
        <v>13.1</v>
      </c>
      <c r="C39" t="str">
        <f>'Presupuesto Base'!B22</f>
        <v>Pruebas hidráulicas y operativas</v>
      </c>
      <c r="D39" t="str">
        <f>'Presupuesto Base'!C22</f>
        <v>gl</v>
      </c>
      <c r="E39">
        <f>'Presupuesto Base'!D22</f>
        <v>1</v>
      </c>
      <c r="F39" s="77">
        <f>'Presupuesto Base'!E22</f>
        <v>1719008.26446281</v>
      </c>
      <c r="G39" s="77">
        <f>'Presupuesto Base'!F22</f>
        <v>1719008.26446281</v>
      </c>
      <c r="H39">
        <f>SUMIFS(Medicion!$K$6:$K$511,Medicion!$G$6:$G$511,$B39,Medicion!$A$6:$A$511,"&lt;"&amp;$A39)</f>
        <v>0</v>
      </c>
      <c r="I39">
        <f>SUMIFS(Medicion!$K$6:$K$511,Medicion!$G$6:$G$511,$B39,Medicion!$A$6:$A$511,$A39)</f>
        <v>0</v>
      </c>
      <c r="J39">
        <f t="shared" si="0"/>
        <v>0</v>
      </c>
      <c r="K39" s="77">
        <f t="shared" si="1"/>
        <v>0</v>
      </c>
      <c r="L39" s="77">
        <f t="shared" si="2"/>
        <v>0</v>
      </c>
      <c r="M39" s="77">
        <f t="shared" si="3"/>
        <v>0</v>
      </c>
      <c r="N39" s="77">
        <f t="shared" si="4"/>
        <v>1719008.26446281</v>
      </c>
      <c r="O39" s="100">
        <f t="shared" si="5"/>
        <v>0</v>
      </c>
      <c r="P39" t="str">
        <f t="shared" si="6"/>
        <v>OK</v>
      </c>
    </row>
    <row r="40" spans="1:16">
      <c r="A40">
        <v>2</v>
      </c>
      <c r="B40" t="str">
        <f>'Presupuesto Base'!A23</f>
        <v>13.2</v>
      </c>
      <c r="C40" t="str">
        <f>'Presupuesto Base'!B23</f>
        <v>Terminaciones y acondicionamiento final</v>
      </c>
      <c r="D40" t="str">
        <f>'Presupuesto Base'!C23</f>
        <v>gl</v>
      </c>
      <c r="E40">
        <f>'Presupuesto Base'!D23</f>
        <v>1</v>
      </c>
      <c r="F40" s="77">
        <f>'Presupuesto Base'!E23</f>
        <v>1146005.5096418734</v>
      </c>
      <c r="G40" s="77">
        <f>'Presupuesto Base'!F23</f>
        <v>1146005.5096418734</v>
      </c>
      <c r="H40">
        <f>SUMIFS(Medicion!$K$6:$K$511,Medicion!$G$6:$G$511,$B40,Medicion!$A$6:$A$511,"&lt;"&amp;$A40)</f>
        <v>0</v>
      </c>
      <c r="I40">
        <f>SUMIFS(Medicion!$K$6:$K$511,Medicion!$G$6:$G$511,$B40,Medicion!$A$6:$A$511,$A40)</f>
        <v>0</v>
      </c>
      <c r="J40">
        <f t="shared" si="0"/>
        <v>0</v>
      </c>
      <c r="K40" s="77">
        <f t="shared" si="1"/>
        <v>0</v>
      </c>
      <c r="L40" s="77">
        <f t="shared" si="2"/>
        <v>0</v>
      </c>
      <c r="M40" s="77">
        <f t="shared" si="3"/>
        <v>0</v>
      </c>
      <c r="N40" s="77">
        <f t="shared" si="4"/>
        <v>1146005.5096418734</v>
      </c>
      <c r="O40" s="100">
        <f t="shared" si="5"/>
        <v>0</v>
      </c>
      <c r="P40" t="str">
        <f t="shared" si="6"/>
        <v>OK</v>
      </c>
    </row>
    <row r="41" spans="1:16">
      <c r="A41">
        <v>2</v>
      </c>
      <c r="B41" t="str">
        <f>'Presupuesto Base'!A24</f>
        <v>13.3</v>
      </c>
      <c r="C41" t="str">
        <f>'Presupuesto Base'!B24</f>
        <v>Documentación conforme a obra y cierre</v>
      </c>
      <c r="D41" t="str">
        <f>'Presupuesto Base'!C24</f>
        <v>gl</v>
      </c>
      <c r="E41">
        <f>'Presupuesto Base'!D24</f>
        <v>1</v>
      </c>
      <c r="F41" s="77">
        <f>'Presupuesto Base'!E24</f>
        <v>859504.132231405</v>
      </c>
      <c r="G41" s="77">
        <f>'Presupuesto Base'!F24</f>
        <v>859504.132231405</v>
      </c>
      <c r="H41">
        <f>SUMIFS(Medicion!$K$6:$K$511,Medicion!$G$6:$G$511,$B41,Medicion!$A$6:$A$511,"&lt;"&amp;$A41)</f>
        <v>0</v>
      </c>
      <c r="I41">
        <f>SUMIFS(Medicion!$K$6:$K$511,Medicion!$G$6:$G$511,$B41,Medicion!$A$6:$A$511,$A41)</f>
        <v>0</v>
      </c>
      <c r="J41">
        <f t="shared" si="0"/>
        <v>0</v>
      </c>
      <c r="K41" s="77">
        <f t="shared" si="1"/>
        <v>0</v>
      </c>
      <c r="L41" s="77">
        <f t="shared" si="2"/>
        <v>0</v>
      </c>
      <c r="M41" s="77">
        <f t="shared" si="3"/>
        <v>0</v>
      </c>
      <c r="N41" s="77">
        <f t="shared" si="4"/>
        <v>859504.132231405</v>
      </c>
      <c r="O41" s="100">
        <f t="shared" si="5"/>
        <v>0</v>
      </c>
      <c r="P41" t="str">
        <f t="shared" si="6"/>
        <v>OK</v>
      </c>
    </row>
    <row r="42" spans="1:16">
      <c r="A42">
        <v>3</v>
      </c>
      <c r="B42" t="str">
        <f>'Presupuesto Base'!A7</f>
        <v>1</v>
      </c>
      <c r="C42" t="str">
        <f>'Presupuesto Base'!B7</f>
        <v>Replanteo y marcación de traza</v>
      </c>
      <c r="D42" t="str">
        <f>'Presupuesto Base'!C7</f>
        <v>ml</v>
      </c>
      <c r="E42">
        <f>'Presupuesto Base'!D7</f>
        <v>4200</v>
      </c>
      <c r="F42" s="77">
        <f>'Presupuesto Base'!E7</f>
        <v>204.64384100747739</v>
      </c>
      <c r="G42" s="77">
        <f>'Presupuesto Base'!F7</f>
        <v>859504.132231405</v>
      </c>
      <c r="H42">
        <f>SUMIFS(Medicion!$K$6:$K$511,Medicion!$G$6:$G$511,$B42,Medicion!$A$6:$A$511,"&lt;"&amp;$A42)</f>
        <v>845</v>
      </c>
      <c r="I42">
        <f>SUMIFS(Medicion!$K$6:$K$511,Medicion!$G$6:$G$511,$B42,Medicion!$A$6:$A$511,$A42)</f>
        <v>0</v>
      </c>
      <c r="J42">
        <f t="shared" si="0"/>
        <v>845</v>
      </c>
      <c r="K42" s="77">
        <f t="shared" si="1"/>
        <v>172924.04565131839</v>
      </c>
      <c r="L42" s="77">
        <f t="shared" si="2"/>
        <v>0</v>
      </c>
      <c r="M42" s="77">
        <f t="shared" si="3"/>
        <v>172924.04565131839</v>
      </c>
      <c r="N42" s="77">
        <f t="shared" si="4"/>
        <v>686580.08658008662</v>
      </c>
      <c r="O42" s="100">
        <f t="shared" si="5"/>
        <v>0.2011904761904762</v>
      </c>
      <c r="P42" t="str">
        <f t="shared" si="6"/>
        <v>OK</v>
      </c>
    </row>
    <row r="43" spans="1:16">
      <c r="A43">
        <v>3</v>
      </c>
      <c r="B43" t="str">
        <f>'Presupuesto Base'!A8</f>
        <v>2</v>
      </c>
      <c r="C43" t="str">
        <f>'Presupuesto Base'!B8</f>
        <v>Excavación de zanja</v>
      </c>
      <c r="D43" t="str">
        <f>'Presupuesto Base'!C8</f>
        <v>ml</v>
      </c>
      <c r="E43">
        <f>'Presupuesto Base'!D8</f>
        <v>4200</v>
      </c>
      <c r="F43" s="77">
        <f>'Presupuesto Base'!E8</f>
        <v>3683.5891381345932</v>
      </c>
      <c r="G43" s="77">
        <f>'Presupuesto Base'!F8</f>
        <v>15471074.380165292</v>
      </c>
      <c r="H43">
        <f>SUMIFS(Medicion!$K$6:$K$511,Medicion!$G$6:$G$511,$B43,Medicion!$A$6:$A$511,"&lt;"&amp;$A43)</f>
        <v>845</v>
      </c>
      <c r="I43">
        <f>SUMIFS(Medicion!$K$6:$K$511,Medicion!$G$6:$G$511,$B43,Medicion!$A$6:$A$511,$A43)</f>
        <v>0</v>
      </c>
      <c r="J43">
        <f t="shared" si="0"/>
        <v>845</v>
      </c>
      <c r="K43" s="77">
        <f t="shared" si="1"/>
        <v>3112632.8217237312</v>
      </c>
      <c r="L43" s="77">
        <f t="shared" si="2"/>
        <v>0</v>
      </c>
      <c r="M43" s="77">
        <f t="shared" si="3"/>
        <v>3112632.8217237312</v>
      </c>
      <c r="N43" s="77">
        <f t="shared" si="4"/>
        <v>12358441.558441561</v>
      </c>
      <c r="O43" s="100">
        <f t="shared" si="5"/>
        <v>0.2011904761904762</v>
      </c>
      <c r="P43" t="str">
        <f t="shared" si="6"/>
        <v>OK</v>
      </c>
    </row>
    <row r="44" spans="1:16">
      <c r="A44">
        <v>3</v>
      </c>
      <c r="B44" t="str">
        <f>'Presupuesto Base'!A9</f>
        <v>3</v>
      </c>
      <c r="C44" t="str">
        <f>'Presupuesto Base'!B9</f>
        <v>Nivelación y conformación del fondo de zanja</v>
      </c>
      <c r="D44" t="str">
        <f>'Presupuesto Base'!C9</f>
        <v>ml</v>
      </c>
      <c r="E44">
        <f>'Presupuesto Base'!D9</f>
        <v>4200</v>
      </c>
      <c r="F44" s="77">
        <f>'Presupuesto Base'!E9</f>
        <v>477.50229568411396</v>
      </c>
      <c r="G44" s="77">
        <f>'Presupuesto Base'!F9</f>
        <v>2005509.6418732787</v>
      </c>
      <c r="H44">
        <f>SUMIFS(Medicion!$K$6:$K$511,Medicion!$G$6:$G$511,$B44,Medicion!$A$6:$A$511,"&lt;"&amp;$A44)</f>
        <v>845</v>
      </c>
      <c r="I44">
        <f>SUMIFS(Medicion!$K$6:$K$511,Medicion!$G$6:$G$511,$B44,Medicion!$A$6:$A$511,$A44)</f>
        <v>0</v>
      </c>
      <c r="J44">
        <f t="shared" si="0"/>
        <v>845</v>
      </c>
      <c r="K44" s="77">
        <f t="shared" si="1"/>
        <v>403489.4398530763</v>
      </c>
      <c r="L44" s="77">
        <f t="shared" si="2"/>
        <v>0</v>
      </c>
      <c r="M44" s="77">
        <f t="shared" si="3"/>
        <v>403489.4398530763</v>
      </c>
      <c r="N44" s="77">
        <f t="shared" si="4"/>
        <v>1602020.2020202023</v>
      </c>
      <c r="O44" s="100">
        <f t="shared" si="5"/>
        <v>0.2011904761904762</v>
      </c>
      <c r="P44" t="str">
        <f t="shared" si="6"/>
        <v>OK</v>
      </c>
    </row>
    <row r="45" spans="1:16">
      <c r="A45">
        <v>3</v>
      </c>
      <c r="B45" t="str">
        <f>'Presupuesto Base'!A10</f>
        <v>4</v>
      </c>
      <c r="C45" t="str">
        <f>'Presupuesto Base'!B10</f>
        <v>Cama de asiento compactada</v>
      </c>
      <c r="D45" t="str">
        <f>'Presupuesto Base'!C10</f>
        <v>ml</v>
      </c>
      <c r="E45">
        <f>'Presupuesto Base'!D10</f>
        <v>4200</v>
      </c>
      <c r="F45" s="77">
        <f>'Presupuesto Base'!E10</f>
        <v>1705.3653417289784</v>
      </c>
      <c r="G45" s="77">
        <f>'Presupuesto Base'!F10</f>
        <v>7162534.4352617087</v>
      </c>
      <c r="H45">
        <f>SUMIFS(Medicion!$K$6:$K$511,Medicion!$G$6:$G$511,$B45,Medicion!$A$6:$A$511,"&lt;"&amp;$A45)</f>
        <v>845</v>
      </c>
      <c r="I45">
        <f>SUMIFS(Medicion!$K$6:$K$511,Medicion!$G$6:$G$511,$B45,Medicion!$A$6:$A$511,$A45)</f>
        <v>0</v>
      </c>
      <c r="J45">
        <f t="shared" si="0"/>
        <v>845</v>
      </c>
      <c r="K45" s="77">
        <f t="shared" si="1"/>
        <v>1441033.7137609867</v>
      </c>
      <c r="L45" s="77">
        <f t="shared" si="2"/>
        <v>0</v>
      </c>
      <c r="M45" s="77">
        <f t="shared" si="3"/>
        <v>1441033.7137609867</v>
      </c>
      <c r="N45" s="77">
        <f t="shared" si="4"/>
        <v>5721500.7215007218</v>
      </c>
      <c r="O45" s="100">
        <f t="shared" si="5"/>
        <v>0.2011904761904762</v>
      </c>
      <c r="P45" t="str">
        <f t="shared" si="6"/>
        <v>OK</v>
      </c>
    </row>
    <row r="46" spans="1:16">
      <c r="A46">
        <v>3</v>
      </c>
      <c r="B46" t="str">
        <f>'Presupuesto Base'!A11</f>
        <v>5.1</v>
      </c>
      <c r="C46" t="str">
        <f>'Presupuesto Base'!B11</f>
        <v>PEAD PN10 Ø75 – provisión e instalación</v>
      </c>
      <c r="D46" t="str">
        <f>'Presupuesto Base'!C11</f>
        <v>ml</v>
      </c>
      <c r="E46">
        <f>'Presupuesto Base'!D11</f>
        <v>3170</v>
      </c>
      <c r="F46" s="77">
        <f>'Presupuesto Base'!E11</f>
        <v>5784.2549382555126</v>
      </c>
      <c r="G46" s="77">
        <f>'Presupuesto Base'!F11</f>
        <v>18336088.154269975</v>
      </c>
      <c r="H46">
        <f>SUMIFS(Medicion!$K$6:$K$511,Medicion!$G$6:$G$511,$B46,Medicion!$A$6:$A$511,"&lt;"&amp;$A46)</f>
        <v>558</v>
      </c>
      <c r="I46">
        <f>SUMIFS(Medicion!$K$6:$K$511,Medicion!$G$6:$G$511,$B46,Medicion!$A$6:$A$511,$A46)</f>
        <v>0</v>
      </c>
      <c r="J46">
        <f t="shared" si="0"/>
        <v>558</v>
      </c>
      <c r="K46" s="77">
        <f t="shared" si="1"/>
        <v>3227614.2555465759</v>
      </c>
      <c r="L46" s="77">
        <f t="shared" si="2"/>
        <v>0</v>
      </c>
      <c r="M46" s="77">
        <f t="shared" si="3"/>
        <v>3227614.2555465759</v>
      </c>
      <c r="N46" s="77">
        <f t="shared" si="4"/>
        <v>15108473.898723399</v>
      </c>
      <c r="O46" s="100">
        <f t="shared" si="5"/>
        <v>0.17602523659305994</v>
      </c>
      <c r="P46" t="str">
        <f t="shared" si="6"/>
        <v>OK</v>
      </c>
    </row>
    <row r="47" spans="1:16">
      <c r="A47">
        <v>3</v>
      </c>
      <c r="B47" t="str">
        <f>'Presupuesto Base'!A12</f>
        <v>5.2</v>
      </c>
      <c r="C47" t="str">
        <f>'Presupuesto Base'!B12</f>
        <v>PEAD PN10 Ø110 – provisión e instalación</v>
      </c>
      <c r="D47" t="str">
        <f>'Presupuesto Base'!C12</f>
        <v>ml</v>
      </c>
      <c r="E47">
        <f>'Presupuesto Base'!D12</f>
        <v>1030</v>
      </c>
      <c r="F47" s="77">
        <f>'Presupuesto Base'!E12</f>
        <v>12238.893792291852</v>
      </c>
      <c r="G47" s="77">
        <f>'Presupuesto Base'!F12</f>
        <v>12606060.606060607</v>
      </c>
      <c r="H47">
        <f>SUMIFS(Medicion!$K$6:$K$511,Medicion!$G$6:$G$511,$B47,Medicion!$A$6:$A$511,"&lt;"&amp;$A47)</f>
        <v>287</v>
      </c>
      <c r="I47">
        <f>SUMIFS(Medicion!$K$6:$K$511,Medicion!$G$6:$G$511,$B47,Medicion!$A$6:$A$511,$A47)</f>
        <v>0</v>
      </c>
      <c r="J47">
        <f t="shared" si="0"/>
        <v>287</v>
      </c>
      <c r="K47" s="77">
        <f t="shared" si="1"/>
        <v>3512562.5183877614</v>
      </c>
      <c r="L47" s="77">
        <f t="shared" si="2"/>
        <v>0</v>
      </c>
      <c r="M47" s="77">
        <f t="shared" si="3"/>
        <v>3512562.5183877614</v>
      </c>
      <c r="N47" s="77">
        <f t="shared" si="4"/>
        <v>9093498.0876728464</v>
      </c>
      <c r="O47" s="100">
        <f t="shared" si="5"/>
        <v>0.27864077669902915</v>
      </c>
      <c r="P47" t="str">
        <f t="shared" si="6"/>
        <v>OK</v>
      </c>
    </row>
    <row r="48" spans="1:16">
      <c r="A48">
        <v>3</v>
      </c>
      <c r="B48" t="str">
        <f>'Presupuesto Base'!A13</f>
        <v>6</v>
      </c>
      <c r="C48" t="str">
        <f>'Presupuesto Base'!B13</f>
        <v>Ejecución de paquete estructural de 30 cm</v>
      </c>
      <c r="D48" t="str">
        <f>'Presupuesto Base'!C13</f>
        <v>ml</v>
      </c>
      <c r="E48">
        <f>'Presupuesto Base'!D13</f>
        <v>4200</v>
      </c>
      <c r="F48" s="77">
        <f>'Presupuesto Base'!E13</f>
        <v>3274.3014561196383</v>
      </c>
      <c r="G48" s="77">
        <f>'Presupuesto Base'!F13</f>
        <v>13752066.11570248</v>
      </c>
      <c r="H48">
        <f>SUMIFS(Medicion!$K$6:$K$511,Medicion!$G$6:$G$511,$B48,Medicion!$A$6:$A$511,"&lt;"&amp;$A48)</f>
        <v>763</v>
      </c>
      <c r="I48">
        <f>SUMIFS(Medicion!$K$6:$K$511,Medicion!$G$6:$G$511,$B48,Medicion!$A$6:$A$511,$A48)</f>
        <v>0</v>
      </c>
      <c r="J48">
        <f t="shared" si="0"/>
        <v>763</v>
      </c>
      <c r="K48" s="77">
        <f t="shared" si="1"/>
        <v>2498292.0110192839</v>
      </c>
      <c r="L48" s="77">
        <f t="shared" si="2"/>
        <v>0</v>
      </c>
      <c r="M48" s="77">
        <f t="shared" si="3"/>
        <v>2498292.0110192839</v>
      </c>
      <c r="N48" s="77">
        <f t="shared" si="4"/>
        <v>11253774.104683196</v>
      </c>
      <c r="O48" s="100">
        <f t="shared" si="5"/>
        <v>0.18166666666666667</v>
      </c>
      <c r="P48" t="str">
        <f t="shared" si="6"/>
        <v>OK</v>
      </c>
    </row>
    <row r="49" spans="1:16">
      <c r="A49">
        <v>3</v>
      </c>
      <c r="B49" t="str">
        <f>'Presupuesto Base'!A14</f>
        <v>7</v>
      </c>
      <c r="C49" t="str">
        <f>'Presupuesto Base'!B14</f>
        <v>Compactación del paquete estructural de 30 cm</v>
      </c>
      <c r="D49" t="str">
        <f>'Presupuesto Base'!C14</f>
        <v>ml</v>
      </c>
      <c r="E49">
        <f>'Presupuesto Base'!D14</f>
        <v>4200</v>
      </c>
      <c r="F49" s="77">
        <f>'Presupuesto Base'!E14</f>
        <v>1227.8630460448644</v>
      </c>
      <c r="G49" s="77">
        <f>'Presupuesto Base'!F14</f>
        <v>5157024.79338843</v>
      </c>
      <c r="H49">
        <f>SUMIFS(Medicion!$K$6:$K$511,Medicion!$G$6:$G$511,$B49,Medicion!$A$6:$A$511,"&lt;"&amp;$A49)</f>
        <v>0</v>
      </c>
      <c r="I49">
        <f>SUMIFS(Medicion!$K$6:$K$511,Medicion!$G$6:$G$511,$B49,Medicion!$A$6:$A$511,$A49)</f>
        <v>0</v>
      </c>
      <c r="J49">
        <f t="shared" si="0"/>
        <v>0</v>
      </c>
      <c r="K49" s="77">
        <f t="shared" si="1"/>
        <v>0</v>
      </c>
      <c r="L49" s="77">
        <f t="shared" si="2"/>
        <v>0</v>
      </c>
      <c r="M49" s="77">
        <f t="shared" si="3"/>
        <v>0</v>
      </c>
      <c r="N49" s="77">
        <f t="shared" si="4"/>
        <v>5157024.79338843</v>
      </c>
      <c r="O49" s="100">
        <f t="shared" si="5"/>
        <v>0</v>
      </c>
      <c r="P49" t="str">
        <f t="shared" si="6"/>
        <v>OK</v>
      </c>
    </row>
    <row r="50" spans="1:16">
      <c r="A50">
        <v>3</v>
      </c>
      <c r="B50" t="str">
        <f>'Presupuesto Base'!A15</f>
        <v>8</v>
      </c>
      <c r="C50" t="str">
        <f>'Presupuesto Base'!B15</f>
        <v>Ejecución y compactación de capa cota -0,60</v>
      </c>
      <c r="D50" t="str">
        <f>'Presupuesto Base'!C15</f>
        <v>ml</v>
      </c>
      <c r="E50">
        <f>'Presupuesto Base'!D15</f>
        <v>4200</v>
      </c>
      <c r="F50" s="77">
        <f>'Presupuesto Base'!E15</f>
        <v>2592.1553194280468</v>
      </c>
      <c r="G50" s="77">
        <f>'Presupuesto Base'!F15</f>
        <v>10887052.341597797</v>
      </c>
      <c r="H50">
        <f>SUMIFS(Medicion!$K$6:$K$511,Medicion!$G$6:$G$511,$B50,Medicion!$A$6:$A$511,"&lt;"&amp;$A50)</f>
        <v>0</v>
      </c>
      <c r="I50">
        <f>SUMIFS(Medicion!$K$6:$K$511,Medicion!$G$6:$G$511,$B50,Medicion!$A$6:$A$511,$A50)</f>
        <v>0</v>
      </c>
      <c r="J50">
        <f t="shared" si="0"/>
        <v>0</v>
      </c>
      <c r="K50" s="77">
        <f t="shared" si="1"/>
        <v>0</v>
      </c>
      <c r="L50" s="77">
        <f t="shared" si="2"/>
        <v>0</v>
      </c>
      <c r="M50" s="77">
        <f t="shared" si="3"/>
        <v>0</v>
      </c>
      <c r="N50" s="77">
        <f t="shared" si="4"/>
        <v>10887052.341597797</v>
      </c>
      <c r="O50" s="100">
        <f t="shared" si="5"/>
        <v>0</v>
      </c>
      <c r="P50" t="str">
        <f t="shared" si="6"/>
        <v>OK</v>
      </c>
    </row>
    <row r="51" spans="1:16">
      <c r="A51">
        <v>3</v>
      </c>
      <c r="B51" t="str">
        <f>'Presupuesto Base'!A16</f>
        <v>9</v>
      </c>
      <c r="C51" t="str">
        <f>'Presupuesto Base'!B16</f>
        <v>Ejecución y compactación de capa cota -0,30</v>
      </c>
      <c r="D51" t="str">
        <f>'Presupuesto Base'!C16</f>
        <v>ml</v>
      </c>
      <c r="E51">
        <f>'Presupuesto Base'!D16</f>
        <v>4200</v>
      </c>
      <c r="F51" s="77">
        <f>'Presupuesto Base'!E16</f>
        <v>2182.8676374130923</v>
      </c>
      <c r="G51" s="77">
        <f>'Presupuesto Base'!F16</f>
        <v>9168044.0771349873</v>
      </c>
      <c r="H51">
        <f>SUMIFS(Medicion!$K$6:$K$511,Medicion!$G$6:$G$511,$B51,Medicion!$A$6:$A$511,"&lt;"&amp;$A51)</f>
        <v>0</v>
      </c>
      <c r="I51">
        <f>SUMIFS(Medicion!$K$6:$K$511,Medicion!$G$6:$G$511,$B51,Medicion!$A$6:$A$511,$A51)</f>
        <v>0</v>
      </c>
      <c r="J51">
        <f t="shared" si="0"/>
        <v>0</v>
      </c>
      <c r="K51" s="77">
        <f t="shared" si="1"/>
        <v>0</v>
      </c>
      <c r="L51" s="77">
        <f t="shared" si="2"/>
        <v>0</v>
      </c>
      <c r="M51" s="77">
        <f t="shared" si="3"/>
        <v>0</v>
      </c>
      <c r="N51" s="77">
        <f t="shared" si="4"/>
        <v>9168044.0771349873</v>
      </c>
      <c r="O51" s="100">
        <f t="shared" si="5"/>
        <v>0</v>
      </c>
      <c r="P51" t="str">
        <f t="shared" si="6"/>
        <v>OK</v>
      </c>
    </row>
    <row r="52" spans="1:16">
      <c r="A52">
        <v>3</v>
      </c>
      <c r="B52" t="str">
        <f>'Presupuesto Base'!A17</f>
        <v>10.1</v>
      </c>
      <c r="C52" t="str">
        <f>'Presupuesto Base'!B17</f>
        <v>Conexión domiciliaria sobre red Ø75</v>
      </c>
      <c r="D52" t="str">
        <f>'Presupuesto Base'!C17</f>
        <v>un</v>
      </c>
      <c r="E52">
        <f>'Presupuesto Base'!D17</f>
        <v>165</v>
      </c>
      <c r="F52" s="77">
        <f>'Presupuesto Base'!E17</f>
        <v>48618.415560564332</v>
      </c>
      <c r="G52" s="77">
        <f>'Presupuesto Base'!F17</f>
        <v>8022038.5674931146</v>
      </c>
      <c r="H52">
        <f>SUMIFS(Medicion!$K$6:$K$511,Medicion!$G$6:$G$511,$B52,Medicion!$A$6:$A$511,"&lt;"&amp;$A52)</f>
        <v>5</v>
      </c>
      <c r="I52">
        <f>SUMIFS(Medicion!$K$6:$K$511,Medicion!$G$6:$G$511,$B52,Medicion!$A$6:$A$511,$A52)</f>
        <v>0</v>
      </c>
      <c r="J52">
        <f t="shared" si="0"/>
        <v>5</v>
      </c>
      <c r="K52" s="77">
        <f t="shared" si="1"/>
        <v>243092.07780282164</v>
      </c>
      <c r="L52" s="77">
        <f t="shared" si="2"/>
        <v>0</v>
      </c>
      <c r="M52" s="77">
        <f t="shared" si="3"/>
        <v>243092.07780282164</v>
      </c>
      <c r="N52" s="77">
        <f t="shared" si="4"/>
        <v>7778946.4896902926</v>
      </c>
      <c r="O52" s="100">
        <f t="shared" si="5"/>
        <v>3.0303030303030304E-2</v>
      </c>
      <c r="P52" t="str">
        <f t="shared" si="6"/>
        <v>OK</v>
      </c>
    </row>
    <row r="53" spans="1:16">
      <c r="A53">
        <v>3</v>
      </c>
      <c r="B53" t="str">
        <f>'Presupuesto Base'!A18</f>
        <v>10.2</v>
      </c>
      <c r="C53" t="str">
        <f>'Presupuesto Base'!B18</f>
        <v>Conexión domiciliaria sobre red Ø110</v>
      </c>
      <c r="D53" t="str">
        <f>'Presupuesto Base'!C18</f>
        <v>un</v>
      </c>
      <c r="E53">
        <f>'Presupuesto Base'!D18</f>
        <v>62</v>
      </c>
      <c r="F53" s="77">
        <f>'Presupuesto Base'!E18</f>
        <v>55451.879498800321</v>
      </c>
      <c r="G53" s="77">
        <f>'Presupuesto Base'!F18</f>
        <v>3438016.52892562</v>
      </c>
      <c r="H53">
        <f>SUMIFS(Medicion!$K$6:$K$511,Medicion!$G$6:$G$511,$B53,Medicion!$A$6:$A$511,"&lt;"&amp;$A53)</f>
        <v>2</v>
      </c>
      <c r="I53">
        <f>SUMIFS(Medicion!$K$6:$K$511,Medicion!$G$6:$G$511,$B53,Medicion!$A$6:$A$511,$A53)</f>
        <v>0</v>
      </c>
      <c r="J53">
        <f t="shared" si="0"/>
        <v>2</v>
      </c>
      <c r="K53" s="77">
        <f t="shared" si="1"/>
        <v>110903.75899760064</v>
      </c>
      <c r="L53" s="77">
        <f t="shared" si="2"/>
        <v>0</v>
      </c>
      <c r="M53" s="77">
        <f t="shared" si="3"/>
        <v>110903.75899760064</v>
      </c>
      <c r="N53" s="77">
        <f t="shared" si="4"/>
        <v>3327112.7699280195</v>
      </c>
      <c r="O53" s="100">
        <f t="shared" si="5"/>
        <v>3.2258064516129031E-2</v>
      </c>
      <c r="P53" t="str">
        <f t="shared" si="6"/>
        <v>OK</v>
      </c>
    </row>
    <row r="54" spans="1:16">
      <c r="A54">
        <v>3</v>
      </c>
      <c r="B54" t="str">
        <f>'Presupuesto Base'!A19</f>
        <v>11.1</v>
      </c>
      <c r="C54" t="str">
        <f>'Presupuesto Base'!B19</f>
        <v>Válvula esclusa Ø75 completa e instalada</v>
      </c>
      <c r="D54" t="str">
        <f>'Presupuesto Base'!C19</f>
        <v>un</v>
      </c>
      <c r="E54">
        <f>'Presupuesto Base'!D19</f>
        <v>2</v>
      </c>
      <c r="F54" s="77">
        <f>'Presupuesto Base'!E19</f>
        <v>286501.37741046835</v>
      </c>
      <c r="G54" s="77">
        <f>'Presupuesto Base'!F19</f>
        <v>573002.75482093671</v>
      </c>
      <c r="H54">
        <f>SUMIFS(Medicion!$K$6:$K$511,Medicion!$G$6:$G$511,$B54,Medicion!$A$6:$A$511,"&lt;"&amp;$A54)</f>
        <v>0</v>
      </c>
      <c r="I54">
        <f>SUMIFS(Medicion!$K$6:$K$511,Medicion!$G$6:$G$511,$B54,Medicion!$A$6:$A$511,$A54)</f>
        <v>0</v>
      </c>
      <c r="J54">
        <f t="shared" si="0"/>
        <v>0</v>
      </c>
      <c r="K54" s="77">
        <f t="shared" si="1"/>
        <v>0</v>
      </c>
      <c r="L54" s="77">
        <f t="shared" si="2"/>
        <v>0</v>
      </c>
      <c r="M54" s="77">
        <f t="shared" si="3"/>
        <v>0</v>
      </c>
      <c r="N54" s="77">
        <f t="shared" si="4"/>
        <v>573002.75482093671</v>
      </c>
      <c r="O54" s="100">
        <f t="shared" si="5"/>
        <v>0</v>
      </c>
      <c r="P54" t="str">
        <f t="shared" si="6"/>
        <v>OK</v>
      </c>
    </row>
    <row r="55" spans="1:16">
      <c r="A55">
        <v>3</v>
      </c>
      <c r="B55" t="str">
        <f>'Presupuesto Base'!A20</f>
        <v>11.2</v>
      </c>
      <c r="C55" t="str">
        <f>'Presupuesto Base'!B20</f>
        <v>Válvula esclusa Ø100 completa e instalada</v>
      </c>
      <c r="D55" t="str">
        <f>'Presupuesto Base'!C20</f>
        <v>un</v>
      </c>
      <c r="E55">
        <f>'Presupuesto Base'!D20</f>
        <v>4</v>
      </c>
      <c r="F55" s="77">
        <f>'Presupuesto Base'!E20</f>
        <v>429752.0661157025</v>
      </c>
      <c r="G55" s="77">
        <f>'Presupuesto Base'!F20</f>
        <v>1719008.26446281</v>
      </c>
      <c r="H55">
        <f>SUMIFS(Medicion!$K$6:$K$511,Medicion!$G$6:$G$511,$B55,Medicion!$A$6:$A$511,"&lt;"&amp;$A55)</f>
        <v>0</v>
      </c>
      <c r="I55">
        <f>SUMIFS(Medicion!$K$6:$K$511,Medicion!$G$6:$G$511,$B55,Medicion!$A$6:$A$511,$A55)</f>
        <v>0</v>
      </c>
      <c r="J55">
        <f t="shared" si="0"/>
        <v>0</v>
      </c>
      <c r="K55" s="77">
        <f t="shared" si="1"/>
        <v>0</v>
      </c>
      <c r="L55" s="77">
        <f t="shared" si="2"/>
        <v>0</v>
      </c>
      <c r="M55" s="77">
        <f t="shared" si="3"/>
        <v>0</v>
      </c>
      <c r="N55" s="77">
        <f t="shared" si="4"/>
        <v>1719008.26446281</v>
      </c>
      <c r="O55" s="100">
        <f t="shared" si="5"/>
        <v>0</v>
      </c>
      <c r="P55" t="str">
        <f t="shared" si="6"/>
        <v>OK</v>
      </c>
    </row>
    <row r="56" spans="1:16">
      <c r="A56">
        <v>3</v>
      </c>
      <c r="B56" t="str">
        <f>'Presupuesto Base'!A21</f>
        <v>12</v>
      </c>
      <c r="C56" t="str">
        <f>'Presupuesto Base'!B21</f>
        <v>Hidrante a bola completo e instalado</v>
      </c>
      <c r="D56" t="str">
        <f>'Presupuesto Base'!C21</f>
        <v>un</v>
      </c>
      <c r="E56">
        <f>'Presupuesto Base'!D21</f>
        <v>15</v>
      </c>
      <c r="F56" s="77">
        <f>'Presupuesto Base'!E21</f>
        <v>114600.55096418734</v>
      </c>
      <c r="G56" s="77">
        <f>'Presupuesto Base'!F21</f>
        <v>1719008.26446281</v>
      </c>
      <c r="H56">
        <f>SUMIFS(Medicion!$K$6:$K$511,Medicion!$G$6:$G$511,$B56,Medicion!$A$6:$A$511,"&lt;"&amp;$A56)</f>
        <v>0</v>
      </c>
      <c r="I56">
        <f>SUMIFS(Medicion!$K$6:$K$511,Medicion!$G$6:$G$511,$B56,Medicion!$A$6:$A$511,$A56)</f>
        <v>0</v>
      </c>
      <c r="J56">
        <f t="shared" si="0"/>
        <v>0</v>
      </c>
      <c r="K56" s="77">
        <f t="shared" si="1"/>
        <v>0</v>
      </c>
      <c r="L56" s="77">
        <f t="shared" si="2"/>
        <v>0</v>
      </c>
      <c r="M56" s="77">
        <f t="shared" si="3"/>
        <v>0</v>
      </c>
      <c r="N56" s="77">
        <f t="shared" si="4"/>
        <v>1719008.26446281</v>
      </c>
      <c r="O56" s="100">
        <f t="shared" si="5"/>
        <v>0</v>
      </c>
      <c r="P56" t="str">
        <f t="shared" si="6"/>
        <v>OK</v>
      </c>
    </row>
    <row r="57" spans="1:16">
      <c r="A57">
        <v>3</v>
      </c>
      <c r="B57" t="str">
        <f>'Presupuesto Base'!A22</f>
        <v>13.1</v>
      </c>
      <c r="C57" t="str">
        <f>'Presupuesto Base'!B22</f>
        <v>Pruebas hidráulicas y operativas</v>
      </c>
      <c r="D57" t="str">
        <f>'Presupuesto Base'!C22</f>
        <v>gl</v>
      </c>
      <c r="E57">
        <f>'Presupuesto Base'!D22</f>
        <v>1</v>
      </c>
      <c r="F57" s="77">
        <f>'Presupuesto Base'!E22</f>
        <v>1719008.26446281</v>
      </c>
      <c r="G57" s="77">
        <f>'Presupuesto Base'!F22</f>
        <v>1719008.26446281</v>
      </c>
      <c r="H57">
        <f>SUMIFS(Medicion!$K$6:$K$511,Medicion!$G$6:$G$511,$B57,Medicion!$A$6:$A$511,"&lt;"&amp;$A57)</f>
        <v>0</v>
      </c>
      <c r="I57">
        <f>SUMIFS(Medicion!$K$6:$K$511,Medicion!$G$6:$G$511,$B57,Medicion!$A$6:$A$511,$A57)</f>
        <v>0</v>
      </c>
      <c r="J57">
        <f t="shared" si="0"/>
        <v>0</v>
      </c>
      <c r="K57" s="77">
        <f t="shared" si="1"/>
        <v>0</v>
      </c>
      <c r="L57" s="77">
        <f t="shared" si="2"/>
        <v>0</v>
      </c>
      <c r="M57" s="77">
        <f t="shared" si="3"/>
        <v>0</v>
      </c>
      <c r="N57" s="77">
        <f t="shared" si="4"/>
        <v>1719008.26446281</v>
      </c>
      <c r="O57" s="100">
        <f t="shared" si="5"/>
        <v>0</v>
      </c>
      <c r="P57" t="str">
        <f t="shared" si="6"/>
        <v>OK</v>
      </c>
    </row>
    <row r="58" spans="1:16">
      <c r="A58">
        <v>3</v>
      </c>
      <c r="B58" t="str">
        <f>'Presupuesto Base'!A23</f>
        <v>13.2</v>
      </c>
      <c r="C58" t="str">
        <f>'Presupuesto Base'!B23</f>
        <v>Terminaciones y acondicionamiento final</v>
      </c>
      <c r="D58" t="str">
        <f>'Presupuesto Base'!C23</f>
        <v>gl</v>
      </c>
      <c r="E58">
        <f>'Presupuesto Base'!D23</f>
        <v>1</v>
      </c>
      <c r="F58" s="77">
        <f>'Presupuesto Base'!E23</f>
        <v>1146005.5096418734</v>
      </c>
      <c r="G58" s="77">
        <f>'Presupuesto Base'!F23</f>
        <v>1146005.5096418734</v>
      </c>
      <c r="H58">
        <f>SUMIFS(Medicion!$K$6:$K$511,Medicion!$G$6:$G$511,$B58,Medicion!$A$6:$A$511,"&lt;"&amp;$A58)</f>
        <v>0</v>
      </c>
      <c r="I58">
        <f>SUMIFS(Medicion!$K$6:$K$511,Medicion!$G$6:$G$511,$B58,Medicion!$A$6:$A$511,$A58)</f>
        <v>0</v>
      </c>
      <c r="J58">
        <f t="shared" si="0"/>
        <v>0</v>
      </c>
      <c r="K58" s="77">
        <f t="shared" si="1"/>
        <v>0</v>
      </c>
      <c r="L58" s="77">
        <f t="shared" si="2"/>
        <v>0</v>
      </c>
      <c r="M58" s="77">
        <f t="shared" si="3"/>
        <v>0</v>
      </c>
      <c r="N58" s="77">
        <f t="shared" si="4"/>
        <v>1146005.5096418734</v>
      </c>
      <c r="O58" s="100">
        <f t="shared" si="5"/>
        <v>0</v>
      </c>
      <c r="P58" t="str">
        <f t="shared" si="6"/>
        <v>OK</v>
      </c>
    </row>
    <row r="59" spans="1:16">
      <c r="A59">
        <v>3</v>
      </c>
      <c r="B59" t="str">
        <f>'Presupuesto Base'!A24</f>
        <v>13.3</v>
      </c>
      <c r="C59" t="str">
        <f>'Presupuesto Base'!B24</f>
        <v>Documentación conforme a obra y cierre</v>
      </c>
      <c r="D59" t="str">
        <f>'Presupuesto Base'!C24</f>
        <v>gl</v>
      </c>
      <c r="E59">
        <f>'Presupuesto Base'!D24</f>
        <v>1</v>
      </c>
      <c r="F59" s="77">
        <f>'Presupuesto Base'!E24</f>
        <v>859504.132231405</v>
      </c>
      <c r="G59" s="77">
        <f>'Presupuesto Base'!F24</f>
        <v>859504.132231405</v>
      </c>
      <c r="H59">
        <f>SUMIFS(Medicion!$K$6:$K$511,Medicion!$G$6:$G$511,$B59,Medicion!$A$6:$A$511,"&lt;"&amp;$A59)</f>
        <v>0</v>
      </c>
      <c r="I59">
        <f>SUMIFS(Medicion!$K$6:$K$511,Medicion!$G$6:$G$511,$B59,Medicion!$A$6:$A$511,$A59)</f>
        <v>0</v>
      </c>
      <c r="J59">
        <f t="shared" si="0"/>
        <v>0</v>
      </c>
      <c r="K59" s="77">
        <f t="shared" si="1"/>
        <v>0</v>
      </c>
      <c r="L59" s="77">
        <f t="shared" si="2"/>
        <v>0</v>
      </c>
      <c r="M59" s="77">
        <f t="shared" si="3"/>
        <v>0</v>
      </c>
      <c r="N59" s="77">
        <f t="shared" si="4"/>
        <v>859504.132231405</v>
      </c>
      <c r="O59" s="100">
        <f t="shared" si="5"/>
        <v>0</v>
      </c>
      <c r="P59" t="str">
        <f t="shared" si="6"/>
        <v>OK</v>
      </c>
    </row>
    <row r="60" spans="1:16">
      <c r="A60">
        <v>4</v>
      </c>
      <c r="B60" t="str">
        <f>'Presupuesto Base'!A7</f>
        <v>1</v>
      </c>
      <c r="C60" t="str">
        <f>'Presupuesto Base'!B7</f>
        <v>Replanteo y marcación de traza</v>
      </c>
      <c r="D60" t="str">
        <f>'Presupuesto Base'!C7</f>
        <v>ml</v>
      </c>
      <c r="E60">
        <f>'Presupuesto Base'!D7</f>
        <v>4200</v>
      </c>
      <c r="F60" s="77">
        <f>'Presupuesto Base'!E7</f>
        <v>204.64384100747739</v>
      </c>
      <c r="G60" s="77">
        <f>'Presupuesto Base'!F7</f>
        <v>859504.132231405</v>
      </c>
      <c r="H60">
        <f>SUMIFS(Medicion!$K$6:$K$511,Medicion!$G$6:$G$511,$B60,Medicion!$A$6:$A$511,"&lt;"&amp;$A60)</f>
        <v>845</v>
      </c>
      <c r="I60">
        <f>SUMIFS(Medicion!$K$6:$K$511,Medicion!$G$6:$G$511,$B60,Medicion!$A$6:$A$511,$A60)</f>
        <v>0</v>
      </c>
      <c r="J60">
        <f t="shared" si="0"/>
        <v>845</v>
      </c>
      <c r="K60" s="77">
        <f t="shared" si="1"/>
        <v>172924.04565131839</v>
      </c>
      <c r="L60" s="77">
        <f t="shared" si="2"/>
        <v>0</v>
      </c>
      <c r="M60" s="77">
        <f t="shared" si="3"/>
        <v>172924.04565131839</v>
      </c>
      <c r="N60" s="77">
        <f t="shared" si="4"/>
        <v>686580.08658008662</v>
      </c>
      <c r="O60" s="100">
        <f t="shared" si="5"/>
        <v>0.2011904761904762</v>
      </c>
      <c r="P60" t="str">
        <f t="shared" si="6"/>
        <v>OK</v>
      </c>
    </row>
    <row r="61" spans="1:16">
      <c r="A61">
        <v>4</v>
      </c>
      <c r="B61" t="str">
        <f>'Presupuesto Base'!A8</f>
        <v>2</v>
      </c>
      <c r="C61" t="str">
        <f>'Presupuesto Base'!B8</f>
        <v>Excavación de zanja</v>
      </c>
      <c r="D61" t="str">
        <f>'Presupuesto Base'!C8</f>
        <v>ml</v>
      </c>
      <c r="E61">
        <f>'Presupuesto Base'!D8</f>
        <v>4200</v>
      </c>
      <c r="F61" s="77">
        <f>'Presupuesto Base'!E8</f>
        <v>3683.5891381345932</v>
      </c>
      <c r="G61" s="77">
        <f>'Presupuesto Base'!F8</f>
        <v>15471074.380165292</v>
      </c>
      <c r="H61">
        <f>SUMIFS(Medicion!$K$6:$K$511,Medicion!$G$6:$G$511,$B61,Medicion!$A$6:$A$511,"&lt;"&amp;$A61)</f>
        <v>845</v>
      </c>
      <c r="I61">
        <f>SUMIFS(Medicion!$K$6:$K$511,Medicion!$G$6:$G$511,$B61,Medicion!$A$6:$A$511,$A61)</f>
        <v>0</v>
      </c>
      <c r="J61">
        <f t="shared" si="0"/>
        <v>845</v>
      </c>
      <c r="K61" s="77">
        <f t="shared" si="1"/>
        <v>3112632.8217237312</v>
      </c>
      <c r="L61" s="77">
        <f t="shared" si="2"/>
        <v>0</v>
      </c>
      <c r="M61" s="77">
        <f t="shared" si="3"/>
        <v>3112632.8217237312</v>
      </c>
      <c r="N61" s="77">
        <f t="shared" si="4"/>
        <v>12358441.558441561</v>
      </c>
      <c r="O61" s="100">
        <f t="shared" si="5"/>
        <v>0.2011904761904762</v>
      </c>
      <c r="P61" t="str">
        <f t="shared" si="6"/>
        <v>OK</v>
      </c>
    </row>
    <row r="62" spans="1:16">
      <c r="A62">
        <v>4</v>
      </c>
      <c r="B62" t="str">
        <f>'Presupuesto Base'!A9</f>
        <v>3</v>
      </c>
      <c r="C62" t="str">
        <f>'Presupuesto Base'!B9</f>
        <v>Nivelación y conformación del fondo de zanja</v>
      </c>
      <c r="D62" t="str">
        <f>'Presupuesto Base'!C9</f>
        <v>ml</v>
      </c>
      <c r="E62">
        <f>'Presupuesto Base'!D9</f>
        <v>4200</v>
      </c>
      <c r="F62" s="77">
        <f>'Presupuesto Base'!E9</f>
        <v>477.50229568411396</v>
      </c>
      <c r="G62" s="77">
        <f>'Presupuesto Base'!F9</f>
        <v>2005509.6418732787</v>
      </c>
      <c r="H62">
        <f>SUMIFS(Medicion!$K$6:$K$511,Medicion!$G$6:$G$511,$B62,Medicion!$A$6:$A$511,"&lt;"&amp;$A62)</f>
        <v>845</v>
      </c>
      <c r="I62">
        <f>SUMIFS(Medicion!$K$6:$K$511,Medicion!$G$6:$G$511,$B62,Medicion!$A$6:$A$511,$A62)</f>
        <v>0</v>
      </c>
      <c r="J62">
        <f t="shared" si="0"/>
        <v>845</v>
      </c>
      <c r="K62" s="77">
        <f t="shared" si="1"/>
        <v>403489.4398530763</v>
      </c>
      <c r="L62" s="77">
        <f t="shared" si="2"/>
        <v>0</v>
      </c>
      <c r="M62" s="77">
        <f t="shared" si="3"/>
        <v>403489.4398530763</v>
      </c>
      <c r="N62" s="77">
        <f t="shared" si="4"/>
        <v>1602020.2020202023</v>
      </c>
      <c r="O62" s="100">
        <f t="shared" si="5"/>
        <v>0.2011904761904762</v>
      </c>
      <c r="P62" t="str">
        <f t="shared" si="6"/>
        <v>OK</v>
      </c>
    </row>
    <row r="63" spans="1:16">
      <c r="A63">
        <v>4</v>
      </c>
      <c r="B63" t="str">
        <f>'Presupuesto Base'!A10</f>
        <v>4</v>
      </c>
      <c r="C63" t="str">
        <f>'Presupuesto Base'!B10</f>
        <v>Cama de asiento compactada</v>
      </c>
      <c r="D63" t="str">
        <f>'Presupuesto Base'!C10</f>
        <v>ml</v>
      </c>
      <c r="E63">
        <f>'Presupuesto Base'!D10</f>
        <v>4200</v>
      </c>
      <c r="F63" s="77">
        <f>'Presupuesto Base'!E10</f>
        <v>1705.3653417289784</v>
      </c>
      <c r="G63" s="77">
        <f>'Presupuesto Base'!F10</f>
        <v>7162534.4352617087</v>
      </c>
      <c r="H63">
        <f>SUMIFS(Medicion!$K$6:$K$511,Medicion!$G$6:$G$511,$B63,Medicion!$A$6:$A$511,"&lt;"&amp;$A63)</f>
        <v>845</v>
      </c>
      <c r="I63">
        <f>SUMIFS(Medicion!$K$6:$K$511,Medicion!$G$6:$G$511,$B63,Medicion!$A$6:$A$511,$A63)</f>
        <v>0</v>
      </c>
      <c r="J63">
        <f t="shared" si="0"/>
        <v>845</v>
      </c>
      <c r="K63" s="77">
        <f t="shared" si="1"/>
        <v>1441033.7137609867</v>
      </c>
      <c r="L63" s="77">
        <f t="shared" si="2"/>
        <v>0</v>
      </c>
      <c r="M63" s="77">
        <f t="shared" si="3"/>
        <v>1441033.7137609867</v>
      </c>
      <c r="N63" s="77">
        <f t="shared" si="4"/>
        <v>5721500.7215007218</v>
      </c>
      <c r="O63" s="100">
        <f t="shared" si="5"/>
        <v>0.2011904761904762</v>
      </c>
      <c r="P63" t="str">
        <f t="shared" si="6"/>
        <v>OK</v>
      </c>
    </row>
    <row r="64" spans="1:16">
      <c r="A64">
        <v>4</v>
      </c>
      <c r="B64" t="str">
        <f>'Presupuesto Base'!A11</f>
        <v>5.1</v>
      </c>
      <c r="C64" t="str">
        <f>'Presupuesto Base'!B11</f>
        <v>PEAD PN10 Ø75 – provisión e instalación</v>
      </c>
      <c r="D64" t="str">
        <f>'Presupuesto Base'!C11</f>
        <v>ml</v>
      </c>
      <c r="E64">
        <f>'Presupuesto Base'!D11</f>
        <v>3170</v>
      </c>
      <c r="F64" s="77">
        <f>'Presupuesto Base'!E11</f>
        <v>5784.2549382555126</v>
      </c>
      <c r="G64" s="77">
        <f>'Presupuesto Base'!F11</f>
        <v>18336088.154269975</v>
      </c>
      <c r="H64">
        <f>SUMIFS(Medicion!$K$6:$K$511,Medicion!$G$6:$G$511,$B64,Medicion!$A$6:$A$511,"&lt;"&amp;$A64)</f>
        <v>558</v>
      </c>
      <c r="I64">
        <f>SUMIFS(Medicion!$K$6:$K$511,Medicion!$G$6:$G$511,$B64,Medicion!$A$6:$A$511,$A64)</f>
        <v>0</v>
      </c>
      <c r="J64">
        <f t="shared" si="0"/>
        <v>558</v>
      </c>
      <c r="K64" s="77">
        <f t="shared" si="1"/>
        <v>3227614.2555465759</v>
      </c>
      <c r="L64" s="77">
        <f t="shared" si="2"/>
        <v>0</v>
      </c>
      <c r="M64" s="77">
        <f t="shared" si="3"/>
        <v>3227614.2555465759</v>
      </c>
      <c r="N64" s="77">
        <f t="shared" si="4"/>
        <v>15108473.898723399</v>
      </c>
      <c r="O64" s="100">
        <f t="shared" si="5"/>
        <v>0.17602523659305994</v>
      </c>
      <c r="P64" t="str">
        <f t="shared" si="6"/>
        <v>OK</v>
      </c>
    </row>
    <row r="65" spans="1:16">
      <c r="A65">
        <v>4</v>
      </c>
      <c r="B65" t="str">
        <f>'Presupuesto Base'!A12</f>
        <v>5.2</v>
      </c>
      <c r="C65" t="str">
        <f>'Presupuesto Base'!B12</f>
        <v>PEAD PN10 Ø110 – provisión e instalación</v>
      </c>
      <c r="D65" t="str">
        <f>'Presupuesto Base'!C12</f>
        <v>ml</v>
      </c>
      <c r="E65">
        <f>'Presupuesto Base'!D12</f>
        <v>1030</v>
      </c>
      <c r="F65" s="77">
        <f>'Presupuesto Base'!E12</f>
        <v>12238.893792291852</v>
      </c>
      <c r="G65" s="77">
        <f>'Presupuesto Base'!F12</f>
        <v>12606060.606060607</v>
      </c>
      <c r="H65">
        <f>SUMIFS(Medicion!$K$6:$K$511,Medicion!$G$6:$G$511,$B65,Medicion!$A$6:$A$511,"&lt;"&amp;$A65)</f>
        <v>287</v>
      </c>
      <c r="I65">
        <f>SUMIFS(Medicion!$K$6:$K$511,Medicion!$G$6:$G$511,$B65,Medicion!$A$6:$A$511,$A65)</f>
        <v>0</v>
      </c>
      <c r="J65">
        <f t="shared" si="0"/>
        <v>287</v>
      </c>
      <c r="K65" s="77">
        <f t="shared" si="1"/>
        <v>3512562.5183877614</v>
      </c>
      <c r="L65" s="77">
        <f t="shared" si="2"/>
        <v>0</v>
      </c>
      <c r="M65" s="77">
        <f t="shared" si="3"/>
        <v>3512562.5183877614</v>
      </c>
      <c r="N65" s="77">
        <f t="shared" si="4"/>
        <v>9093498.0876728464</v>
      </c>
      <c r="O65" s="100">
        <f t="shared" si="5"/>
        <v>0.27864077669902915</v>
      </c>
      <c r="P65" t="str">
        <f t="shared" si="6"/>
        <v>OK</v>
      </c>
    </row>
    <row r="66" spans="1:16">
      <c r="A66">
        <v>4</v>
      </c>
      <c r="B66" t="str">
        <f>'Presupuesto Base'!A13</f>
        <v>6</v>
      </c>
      <c r="C66" t="str">
        <f>'Presupuesto Base'!B13</f>
        <v>Ejecución de paquete estructural de 30 cm</v>
      </c>
      <c r="D66" t="str">
        <f>'Presupuesto Base'!C13</f>
        <v>ml</v>
      </c>
      <c r="E66">
        <f>'Presupuesto Base'!D13</f>
        <v>4200</v>
      </c>
      <c r="F66" s="77">
        <f>'Presupuesto Base'!E13</f>
        <v>3274.3014561196383</v>
      </c>
      <c r="G66" s="77">
        <f>'Presupuesto Base'!F13</f>
        <v>13752066.11570248</v>
      </c>
      <c r="H66">
        <f>SUMIFS(Medicion!$K$6:$K$511,Medicion!$G$6:$G$511,$B66,Medicion!$A$6:$A$511,"&lt;"&amp;$A66)</f>
        <v>763</v>
      </c>
      <c r="I66">
        <f>SUMIFS(Medicion!$K$6:$K$511,Medicion!$G$6:$G$511,$B66,Medicion!$A$6:$A$511,$A66)</f>
        <v>0</v>
      </c>
      <c r="J66">
        <f t="shared" si="0"/>
        <v>763</v>
      </c>
      <c r="K66" s="77">
        <f t="shared" si="1"/>
        <v>2498292.0110192839</v>
      </c>
      <c r="L66" s="77">
        <f t="shared" si="2"/>
        <v>0</v>
      </c>
      <c r="M66" s="77">
        <f t="shared" si="3"/>
        <v>2498292.0110192839</v>
      </c>
      <c r="N66" s="77">
        <f t="shared" si="4"/>
        <v>11253774.104683196</v>
      </c>
      <c r="O66" s="100">
        <f t="shared" si="5"/>
        <v>0.18166666666666667</v>
      </c>
      <c r="P66" t="str">
        <f t="shared" si="6"/>
        <v>OK</v>
      </c>
    </row>
    <row r="67" spans="1:16">
      <c r="A67">
        <v>4</v>
      </c>
      <c r="B67" t="str">
        <f>'Presupuesto Base'!A14</f>
        <v>7</v>
      </c>
      <c r="C67" t="str">
        <f>'Presupuesto Base'!B14</f>
        <v>Compactación del paquete estructural de 30 cm</v>
      </c>
      <c r="D67" t="str">
        <f>'Presupuesto Base'!C14</f>
        <v>ml</v>
      </c>
      <c r="E67">
        <f>'Presupuesto Base'!D14</f>
        <v>4200</v>
      </c>
      <c r="F67" s="77">
        <f>'Presupuesto Base'!E14</f>
        <v>1227.8630460448644</v>
      </c>
      <c r="G67" s="77">
        <f>'Presupuesto Base'!F14</f>
        <v>5157024.79338843</v>
      </c>
      <c r="H67">
        <f>SUMIFS(Medicion!$K$6:$K$511,Medicion!$G$6:$G$511,$B67,Medicion!$A$6:$A$511,"&lt;"&amp;$A67)</f>
        <v>0</v>
      </c>
      <c r="I67">
        <f>SUMIFS(Medicion!$K$6:$K$511,Medicion!$G$6:$G$511,$B67,Medicion!$A$6:$A$511,$A67)</f>
        <v>0</v>
      </c>
      <c r="J67">
        <f t="shared" si="0"/>
        <v>0</v>
      </c>
      <c r="K67" s="77">
        <f t="shared" si="1"/>
        <v>0</v>
      </c>
      <c r="L67" s="77">
        <f t="shared" si="2"/>
        <v>0</v>
      </c>
      <c r="M67" s="77">
        <f t="shared" si="3"/>
        <v>0</v>
      </c>
      <c r="N67" s="77">
        <f t="shared" si="4"/>
        <v>5157024.79338843</v>
      </c>
      <c r="O67" s="100">
        <f t="shared" si="5"/>
        <v>0</v>
      </c>
      <c r="P67" t="str">
        <f t="shared" si="6"/>
        <v>OK</v>
      </c>
    </row>
    <row r="68" spans="1:16">
      <c r="A68">
        <v>4</v>
      </c>
      <c r="B68" t="str">
        <f>'Presupuesto Base'!A15</f>
        <v>8</v>
      </c>
      <c r="C68" t="str">
        <f>'Presupuesto Base'!B15</f>
        <v>Ejecución y compactación de capa cota -0,60</v>
      </c>
      <c r="D68" t="str">
        <f>'Presupuesto Base'!C15</f>
        <v>ml</v>
      </c>
      <c r="E68">
        <f>'Presupuesto Base'!D15</f>
        <v>4200</v>
      </c>
      <c r="F68" s="77">
        <f>'Presupuesto Base'!E15</f>
        <v>2592.1553194280468</v>
      </c>
      <c r="G68" s="77">
        <f>'Presupuesto Base'!F15</f>
        <v>10887052.341597797</v>
      </c>
      <c r="H68">
        <f>SUMIFS(Medicion!$K$6:$K$511,Medicion!$G$6:$G$511,$B68,Medicion!$A$6:$A$511,"&lt;"&amp;$A68)</f>
        <v>0</v>
      </c>
      <c r="I68">
        <f>SUMIFS(Medicion!$K$6:$K$511,Medicion!$G$6:$G$511,$B68,Medicion!$A$6:$A$511,$A68)</f>
        <v>0</v>
      </c>
      <c r="J68">
        <f t="shared" si="0"/>
        <v>0</v>
      </c>
      <c r="K68" s="77">
        <f t="shared" si="1"/>
        <v>0</v>
      </c>
      <c r="L68" s="77">
        <f t="shared" si="2"/>
        <v>0</v>
      </c>
      <c r="M68" s="77">
        <f t="shared" si="3"/>
        <v>0</v>
      </c>
      <c r="N68" s="77">
        <f t="shared" si="4"/>
        <v>10887052.341597797</v>
      </c>
      <c r="O68" s="100">
        <f t="shared" si="5"/>
        <v>0</v>
      </c>
      <c r="P68" t="str">
        <f t="shared" si="6"/>
        <v>OK</v>
      </c>
    </row>
    <row r="69" spans="1:16">
      <c r="A69">
        <v>4</v>
      </c>
      <c r="B69" t="str">
        <f>'Presupuesto Base'!A16</f>
        <v>9</v>
      </c>
      <c r="C69" t="str">
        <f>'Presupuesto Base'!B16</f>
        <v>Ejecución y compactación de capa cota -0,30</v>
      </c>
      <c r="D69" t="str">
        <f>'Presupuesto Base'!C16</f>
        <v>ml</v>
      </c>
      <c r="E69">
        <f>'Presupuesto Base'!D16</f>
        <v>4200</v>
      </c>
      <c r="F69" s="77">
        <f>'Presupuesto Base'!E16</f>
        <v>2182.8676374130923</v>
      </c>
      <c r="G69" s="77">
        <f>'Presupuesto Base'!F16</f>
        <v>9168044.0771349873</v>
      </c>
      <c r="H69">
        <f>SUMIFS(Medicion!$K$6:$K$511,Medicion!$G$6:$G$511,$B69,Medicion!$A$6:$A$511,"&lt;"&amp;$A69)</f>
        <v>0</v>
      </c>
      <c r="I69">
        <f>SUMIFS(Medicion!$K$6:$K$511,Medicion!$G$6:$G$511,$B69,Medicion!$A$6:$A$511,$A69)</f>
        <v>0</v>
      </c>
      <c r="J69">
        <f t="shared" si="0"/>
        <v>0</v>
      </c>
      <c r="K69" s="77">
        <f t="shared" si="1"/>
        <v>0</v>
      </c>
      <c r="L69" s="77">
        <f t="shared" si="2"/>
        <v>0</v>
      </c>
      <c r="M69" s="77">
        <f t="shared" si="3"/>
        <v>0</v>
      </c>
      <c r="N69" s="77">
        <f t="shared" si="4"/>
        <v>9168044.0771349873</v>
      </c>
      <c r="O69" s="100">
        <f t="shared" si="5"/>
        <v>0</v>
      </c>
      <c r="P69" t="str">
        <f t="shared" si="6"/>
        <v>OK</v>
      </c>
    </row>
    <row r="70" spans="1:16">
      <c r="A70">
        <v>4</v>
      </c>
      <c r="B70" t="str">
        <f>'Presupuesto Base'!A17</f>
        <v>10.1</v>
      </c>
      <c r="C70" t="str">
        <f>'Presupuesto Base'!B17</f>
        <v>Conexión domiciliaria sobre red Ø75</v>
      </c>
      <c r="D70" t="str">
        <f>'Presupuesto Base'!C17</f>
        <v>un</v>
      </c>
      <c r="E70">
        <f>'Presupuesto Base'!D17</f>
        <v>165</v>
      </c>
      <c r="F70" s="77">
        <f>'Presupuesto Base'!E17</f>
        <v>48618.415560564332</v>
      </c>
      <c r="G70" s="77">
        <f>'Presupuesto Base'!F17</f>
        <v>8022038.5674931146</v>
      </c>
      <c r="H70">
        <f>SUMIFS(Medicion!$K$6:$K$511,Medicion!$G$6:$G$511,$B70,Medicion!$A$6:$A$511,"&lt;"&amp;$A70)</f>
        <v>5</v>
      </c>
      <c r="I70">
        <f>SUMIFS(Medicion!$K$6:$K$511,Medicion!$G$6:$G$511,$B70,Medicion!$A$6:$A$511,$A70)</f>
        <v>0</v>
      </c>
      <c r="J70">
        <f t="shared" ref="J70:J133" si="7">MIN(E70,H70+I70)</f>
        <v>5</v>
      </c>
      <c r="K70" s="77">
        <f t="shared" ref="K70:K133" si="8">MIN(G70,H70*F70)</f>
        <v>243092.07780282164</v>
      </c>
      <c r="L70" s="77">
        <f t="shared" ref="L70:L133" si="9">MIN(G70-K70,I70*F70)</f>
        <v>0</v>
      </c>
      <c r="M70" s="77">
        <f t="shared" ref="M70:M133" si="10">K70+L70</f>
        <v>243092.07780282164</v>
      </c>
      <c r="N70" s="77">
        <f t="shared" ref="N70:N133" si="11">MAX(0,G70-M70)</f>
        <v>7778946.4896902926</v>
      </c>
      <c r="O70" s="100">
        <f t="shared" ref="O70:O133" si="12">IFERROR(J70/E70,0)</f>
        <v>3.0303030303030304E-2</v>
      </c>
      <c r="P70" t="str">
        <f t="shared" ref="P70:P133" si="13">IF(OR(H70+I70&gt;E70+0.000001,H70&lt;0,I70&lt;0),"REVISAR","OK")</f>
        <v>OK</v>
      </c>
    </row>
    <row r="71" spans="1:16">
      <c r="A71">
        <v>4</v>
      </c>
      <c r="B71" t="str">
        <f>'Presupuesto Base'!A18</f>
        <v>10.2</v>
      </c>
      <c r="C71" t="str">
        <f>'Presupuesto Base'!B18</f>
        <v>Conexión domiciliaria sobre red Ø110</v>
      </c>
      <c r="D71" t="str">
        <f>'Presupuesto Base'!C18</f>
        <v>un</v>
      </c>
      <c r="E71">
        <f>'Presupuesto Base'!D18</f>
        <v>62</v>
      </c>
      <c r="F71" s="77">
        <f>'Presupuesto Base'!E18</f>
        <v>55451.879498800321</v>
      </c>
      <c r="G71" s="77">
        <f>'Presupuesto Base'!F18</f>
        <v>3438016.52892562</v>
      </c>
      <c r="H71">
        <f>SUMIFS(Medicion!$K$6:$K$511,Medicion!$G$6:$G$511,$B71,Medicion!$A$6:$A$511,"&lt;"&amp;$A71)</f>
        <v>2</v>
      </c>
      <c r="I71">
        <f>SUMIFS(Medicion!$K$6:$K$511,Medicion!$G$6:$G$511,$B71,Medicion!$A$6:$A$511,$A71)</f>
        <v>0</v>
      </c>
      <c r="J71">
        <f t="shared" si="7"/>
        <v>2</v>
      </c>
      <c r="K71" s="77">
        <f t="shared" si="8"/>
        <v>110903.75899760064</v>
      </c>
      <c r="L71" s="77">
        <f t="shared" si="9"/>
        <v>0</v>
      </c>
      <c r="M71" s="77">
        <f t="shared" si="10"/>
        <v>110903.75899760064</v>
      </c>
      <c r="N71" s="77">
        <f t="shared" si="11"/>
        <v>3327112.7699280195</v>
      </c>
      <c r="O71" s="100">
        <f t="shared" si="12"/>
        <v>3.2258064516129031E-2</v>
      </c>
      <c r="P71" t="str">
        <f t="shared" si="13"/>
        <v>OK</v>
      </c>
    </row>
    <row r="72" spans="1:16">
      <c r="A72">
        <v>4</v>
      </c>
      <c r="B72" t="str">
        <f>'Presupuesto Base'!A19</f>
        <v>11.1</v>
      </c>
      <c r="C72" t="str">
        <f>'Presupuesto Base'!B19</f>
        <v>Válvula esclusa Ø75 completa e instalada</v>
      </c>
      <c r="D72" t="str">
        <f>'Presupuesto Base'!C19</f>
        <v>un</v>
      </c>
      <c r="E72">
        <f>'Presupuesto Base'!D19</f>
        <v>2</v>
      </c>
      <c r="F72" s="77">
        <f>'Presupuesto Base'!E19</f>
        <v>286501.37741046835</v>
      </c>
      <c r="G72" s="77">
        <f>'Presupuesto Base'!F19</f>
        <v>573002.75482093671</v>
      </c>
      <c r="H72">
        <f>SUMIFS(Medicion!$K$6:$K$511,Medicion!$G$6:$G$511,$B72,Medicion!$A$6:$A$511,"&lt;"&amp;$A72)</f>
        <v>0</v>
      </c>
      <c r="I72">
        <f>SUMIFS(Medicion!$K$6:$K$511,Medicion!$G$6:$G$511,$B72,Medicion!$A$6:$A$511,$A72)</f>
        <v>0</v>
      </c>
      <c r="J72">
        <f t="shared" si="7"/>
        <v>0</v>
      </c>
      <c r="K72" s="77">
        <f t="shared" si="8"/>
        <v>0</v>
      </c>
      <c r="L72" s="77">
        <f t="shared" si="9"/>
        <v>0</v>
      </c>
      <c r="M72" s="77">
        <f t="shared" si="10"/>
        <v>0</v>
      </c>
      <c r="N72" s="77">
        <f t="shared" si="11"/>
        <v>573002.75482093671</v>
      </c>
      <c r="O72" s="100">
        <f t="shared" si="12"/>
        <v>0</v>
      </c>
      <c r="P72" t="str">
        <f t="shared" si="13"/>
        <v>OK</v>
      </c>
    </row>
    <row r="73" spans="1:16">
      <c r="A73">
        <v>4</v>
      </c>
      <c r="B73" t="str">
        <f>'Presupuesto Base'!A20</f>
        <v>11.2</v>
      </c>
      <c r="C73" t="str">
        <f>'Presupuesto Base'!B20</f>
        <v>Válvula esclusa Ø100 completa e instalada</v>
      </c>
      <c r="D73" t="str">
        <f>'Presupuesto Base'!C20</f>
        <v>un</v>
      </c>
      <c r="E73">
        <f>'Presupuesto Base'!D20</f>
        <v>4</v>
      </c>
      <c r="F73" s="77">
        <f>'Presupuesto Base'!E20</f>
        <v>429752.0661157025</v>
      </c>
      <c r="G73" s="77">
        <f>'Presupuesto Base'!F20</f>
        <v>1719008.26446281</v>
      </c>
      <c r="H73">
        <f>SUMIFS(Medicion!$K$6:$K$511,Medicion!$G$6:$G$511,$B73,Medicion!$A$6:$A$511,"&lt;"&amp;$A73)</f>
        <v>0</v>
      </c>
      <c r="I73">
        <f>SUMIFS(Medicion!$K$6:$K$511,Medicion!$G$6:$G$511,$B73,Medicion!$A$6:$A$511,$A73)</f>
        <v>0</v>
      </c>
      <c r="J73">
        <f t="shared" si="7"/>
        <v>0</v>
      </c>
      <c r="K73" s="77">
        <f t="shared" si="8"/>
        <v>0</v>
      </c>
      <c r="L73" s="77">
        <f t="shared" si="9"/>
        <v>0</v>
      </c>
      <c r="M73" s="77">
        <f t="shared" si="10"/>
        <v>0</v>
      </c>
      <c r="N73" s="77">
        <f t="shared" si="11"/>
        <v>1719008.26446281</v>
      </c>
      <c r="O73" s="100">
        <f t="shared" si="12"/>
        <v>0</v>
      </c>
      <c r="P73" t="str">
        <f t="shared" si="13"/>
        <v>OK</v>
      </c>
    </row>
    <row r="74" spans="1:16">
      <c r="A74">
        <v>4</v>
      </c>
      <c r="B74" t="str">
        <f>'Presupuesto Base'!A21</f>
        <v>12</v>
      </c>
      <c r="C74" t="str">
        <f>'Presupuesto Base'!B21</f>
        <v>Hidrante a bola completo e instalado</v>
      </c>
      <c r="D74" t="str">
        <f>'Presupuesto Base'!C21</f>
        <v>un</v>
      </c>
      <c r="E74">
        <f>'Presupuesto Base'!D21</f>
        <v>15</v>
      </c>
      <c r="F74" s="77">
        <f>'Presupuesto Base'!E21</f>
        <v>114600.55096418734</v>
      </c>
      <c r="G74" s="77">
        <f>'Presupuesto Base'!F21</f>
        <v>1719008.26446281</v>
      </c>
      <c r="H74">
        <f>SUMIFS(Medicion!$K$6:$K$511,Medicion!$G$6:$G$511,$B74,Medicion!$A$6:$A$511,"&lt;"&amp;$A74)</f>
        <v>0</v>
      </c>
      <c r="I74">
        <f>SUMIFS(Medicion!$K$6:$K$511,Medicion!$G$6:$G$511,$B74,Medicion!$A$6:$A$511,$A74)</f>
        <v>0</v>
      </c>
      <c r="J74">
        <f t="shared" si="7"/>
        <v>0</v>
      </c>
      <c r="K74" s="77">
        <f t="shared" si="8"/>
        <v>0</v>
      </c>
      <c r="L74" s="77">
        <f t="shared" si="9"/>
        <v>0</v>
      </c>
      <c r="M74" s="77">
        <f t="shared" si="10"/>
        <v>0</v>
      </c>
      <c r="N74" s="77">
        <f t="shared" si="11"/>
        <v>1719008.26446281</v>
      </c>
      <c r="O74" s="100">
        <f t="shared" si="12"/>
        <v>0</v>
      </c>
      <c r="P74" t="str">
        <f t="shared" si="13"/>
        <v>OK</v>
      </c>
    </row>
    <row r="75" spans="1:16">
      <c r="A75">
        <v>4</v>
      </c>
      <c r="B75" t="str">
        <f>'Presupuesto Base'!A22</f>
        <v>13.1</v>
      </c>
      <c r="C75" t="str">
        <f>'Presupuesto Base'!B22</f>
        <v>Pruebas hidráulicas y operativas</v>
      </c>
      <c r="D75" t="str">
        <f>'Presupuesto Base'!C22</f>
        <v>gl</v>
      </c>
      <c r="E75">
        <f>'Presupuesto Base'!D22</f>
        <v>1</v>
      </c>
      <c r="F75" s="77">
        <f>'Presupuesto Base'!E22</f>
        <v>1719008.26446281</v>
      </c>
      <c r="G75" s="77">
        <f>'Presupuesto Base'!F22</f>
        <v>1719008.26446281</v>
      </c>
      <c r="H75">
        <f>SUMIFS(Medicion!$K$6:$K$511,Medicion!$G$6:$G$511,$B75,Medicion!$A$6:$A$511,"&lt;"&amp;$A75)</f>
        <v>0</v>
      </c>
      <c r="I75">
        <f>SUMIFS(Medicion!$K$6:$K$511,Medicion!$G$6:$G$511,$B75,Medicion!$A$6:$A$511,$A75)</f>
        <v>0</v>
      </c>
      <c r="J75">
        <f t="shared" si="7"/>
        <v>0</v>
      </c>
      <c r="K75" s="77">
        <f t="shared" si="8"/>
        <v>0</v>
      </c>
      <c r="L75" s="77">
        <f t="shared" si="9"/>
        <v>0</v>
      </c>
      <c r="M75" s="77">
        <f t="shared" si="10"/>
        <v>0</v>
      </c>
      <c r="N75" s="77">
        <f t="shared" si="11"/>
        <v>1719008.26446281</v>
      </c>
      <c r="O75" s="100">
        <f t="shared" si="12"/>
        <v>0</v>
      </c>
      <c r="P75" t="str">
        <f t="shared" si="13"/>
        <v>OK</v>
      </c>
    </row>
    <row r="76" spans="1:16">
      <c r="A76">
        <v>4</v>
      </c>
      <c r="B76" t="str">
        <f>'Presupuesto Base'!A23</f>
        <v>13.2</v>
      </c>
      <c r="C76" t="str">
        <f>'Presupuesto Base'!B23</f>
        <v>Terminaciones y acondicionamiento final</v>
      </c>
      <c r="D76" t="str">
        <f>'Presupuesto Base'!C23</f>
        <v>gl</v>
      </c>
      <c r="E76">
        <f>'Presupuesto Base'!D23</f>
        <v>1</v>
      </c>
      <c r="F76" s="77">
        <f>'Presupuesto Base'!E23</f>
        <v>1146005.5096418734</v>
      </c>
      <c r="G76" s="77">
        <f>'Presupuesto Base'!F23</f>
        <v>1146005.5096418734</v>
      </c>
      <c r="H76">
        <f>SUMIFS(Medicion!$K$6:$K$511,Medicion!$G$6:$G$511,$B76,Medicion!$A$6:$A$511,"&lt;"&amp;$A76)</f>
        <v>0</v>
      </c>
      <c r="I76">
        <f>SUMIFS(Medicion!$K$6:$K$511,Medicion!$G$6:$G$511,$B76,Medicion!$A$6:$A$511,$A76)</f>
        <v>0</v>
      </c>
      <c r="J76">
        <f t="shared" si="7"/>
        <v>0</v>
      </c>
      <c r="K76" s="77">
        <f t="shared" si="8"/>
        <v>0</v>
      </c>
      <c r="L76" s="77">
        <f t="shared" si="9"/>
        <v>0</v>
      </c>
      <c r="M76" s="77">
        <f t="shared" si="10"/>
        <v>0</v>
      </c>
      <c r="N76" s="77">
        <f t="shared" si="11"/>
        <v>1146005.5096418734</v>
      </c>
      <c r="O76" s="100">
        <f t="shared" si="12"/>
        <v>0</v>
      </c>
      <c r="P76" t="str">
        <f t="shared" si="13"/>
        <v>OK</v>
      </c>
    </row>
    <row r="77" spans="1:16">
      <c r="A77">
        <v>4</v>
      </c>
      <c r="B77" t="str">
        <f>'Presupuesto Base'!A24</f>
        <v>13.3</v>
      </c>
      <c r="C77" t="str">
        <f>'Presupuesto Base'!B24</f>
        <v>Documentación conforme a obra y cierre</v>
      </c>
      <c r="D77" t="str">
        <f>'Presupuesto Base'!C24</f>
        <v>gl</v>
      </c>
      <c r="E77">
        <f>'Presupuesto Base'!D24</f>
        <v>1</v>
      </c>
      <c r="F77" s="77">
        <f>'Presupuesto Base'!E24</f>
        <v>859504.132231405</v>
      </c>
      <c r="G77" s="77">
        <f>'Presupuesto Base'!F24</f>
        <v>859504.132231405</v>
      </c>
      <c r="H77">
        <f>SUMIFS(Medicion!$K$6:$K$511,Medicion!$G$6:$G$511,$B77,Medicion!$A$6:$A$511,"&lt;"&amp;$A77)</f>
        <v>0</v>
      </c>
      <c r="I77">
        <f>SUMIFS(Medicion!$K$6:$K$511,Medicion!$G$6:$G$511,$B77,Medicion!$A$6:$A$511,$A77)</f>
        <v>0</v>
      </c>
      <c r="J77">
        <f t="shared" si="7"/>
        <v>0</v>
      </c>
      <c r="K77" s="77">
        <f t="shared" si="8"/>
        <v>0</v>
      </c>
      <c r="L77" s="77">
        <f t="shared" si="9"/>
        <v>0</v>
      </c>
      <c r="M77" s="77">
        <f t="shared" si="10"/>
        <v>0</v>
      </c>
      <c r="N77" s="77">
        <f t="shared" si="11"/>
        <v>859504.132231405</v>
      </c>
      <c r="O77" s="100">
        <f t="shared" si="12"/>
        <v>0</v>
      </c>
      <c r="P77" t="str">
        <f t="shared" si="13"/>
        <v>OK</v>
      </c>
    </row>
    <row r="78" spans="1:16">
      <c r="A78">
        <v>5</v>
      </c>
      <c r="B78" t="str">
        <f>'Presupuesto Base'!A7</f>
        <v>1</v>
      </c>
      <c r="C78" t="str">
        <f>'Presupuesto Base'!B7</f>
        <v>Replanteo y marcación de traza</v>
      </c>
      <c r="D78" t="str">
        <f>'Presupuesto Base'!C7</f>
        <v>ml</v>
      </c>
      <c r="E78">
        <f>'Presupuesto Base'!D7</f>
        <v>4200</v>
      </c>
      <c r="F78" s="77">
        <f>'Presupuesto Base'!E7</f>
        <v>204.64384100747739</v>
      </c>
      <c r="G78" s="77">
        <f>'Presupuesto Base'!F7</f>
        <v>859504.132231405</v>
      </c>
      <c r="H78">
        <f>SUMIFS(Medicion!$K$6:$K$511,Medicion!$G$6:$G$511,$B78,Medicion!$A$6:$A$511,"&lt;"&amp;$A78)</f>
        <v>845</v>
      </c>
      <c r="I78">
        <f>SUMIFS(Medicion!$K$6:$K$511,Medicion!$G$6:$G$511,$B78,Medicion!$A$6:$A$511,$A78)</f>
        <v>0</v>
      </c>
      <c r="J78">
        <f t="shared" si="7"/>
        <v>845</v>
      </c>
      <c r="K78" s="77">
        <f t="shared" si="8"/>
        <v>172924.04565131839</v>
      </c>
      <c r="L78" s="77">
        <f t="shared" si="9"/>
        <v>0</v>
      </c>
      <c r="M78" s="77">
        <f t="shared" si="10"/>
        <v>172924.04565131839</v>
      </c>
      <c r="N78" s="77">
        <f t="shared" si="11"/>
        <v>686580.08658008662</v>
      </c>
      <c r="O78" s="100">
        <f t="shared" si="12"/>
        <v>0.2011904761904762</v>
      </c>
      <c r="P78" t="str">
        <f t="shared" si="13"/>
        <v>OK</v>
      </c>
    </row>
    <row r="79" spans="1:16">
      <c r="A79">
        <v>5</v>
      </c>
      <c r="B79" t="str">
        <f>'Presupuesto Base'!A8</f>
        <v>2</v>
      </c>
      <c r="C79" t="str">
        <f>'Presupuesto Base'!B8</f>
        <v>Excavación de zanja</v>
      </c>
      <c r="D79" t="str">
        <f>'Presupuesto Base'!C8</f>
        <v>ml</v>
      </c>
      <c r="E79">
        <f>'Presupuesto Base'!D8</f>
        <v>4200</v>
      </c>
      <c r="F79" s="77">
        <f>'Presupuesto Base'!E8</f>
        <v>3683.5891381345932</v>
      </c>
      <c r="G79" s="77">
        <f>'Presupuesto Base'!F8</f>
        <v>15471074.380165292</v>
      </c>
      <c r="H79">
        <f>SUMIFS(Medicion!$K$6:$K$511,Medicion!$G$6:$G$511,$B79,Medicion!$A$6:$A$511,"&lt;"&amp;$A79)</f>
        <v>845</v>
      </c>
      <c r="I79">
        <f>SUMIFS(Medicion!$K$6:$K$511,Medicion!$G$6:$G$511,$B79,Medicion!$A$6:$A$511,$A79)</f>
        <v>0</v>
      </c>
      <c r="J79">
        <f t="shared" si="7"/>
        <v>845</v>
      </c>
      <c r="K79" s="77">
        <f t="shared" si="8"/>
        <v>3112632.8217237312</v>
      </c>
      <c r="L79" s="77">
        <f t="shared" si="9"/>
        <v>0</v>
      </c>
      <c r="M79" s="77">
        <f t="shared" si="10"/>
        <v>3112632.8217237312</v>
      </c>
      <c r="N79" s="77">
        <f t="shared" si="11"/>
        <v>12358441.558441561</v>
      </c>
      <c r="O79" s="100">
        <f t="shared" si="12"/>
        <v>0.2011904761904762</v>
      </c>
      <c r="P79" t="str">
        <f t="shared" si="13"/>
        <v>OK</v>
      </c>
    </row>
    <row r="80" spans="1:16">
      <c r="A80">
        <v>5</v>
      </c>
      <c r="B80" t="str">
        <f>'Presupuesto Base'!A9</f>
        <v>3</v>
      </c>
      <c r="C80" t="str">
        <f>'Presupuesto Base'!B9</f>
        <v>Nivelación y conformación del fondo de zanja</v>
      </c>
      <c r="D80" t="str">
        <f>'Presupuesto Base'!C9</f>
        <v>ml</v>
      </c>
      <c r="E80">
        <f>'Presupuesto Base'!D9</f>
        <v>4200</v>
      </c>
      <c r="F80" s="77">
        <f>'Presupuesto Base'!E9</f>
        <v>477.50229568411396</v>
      </c>
      <c r="G80" s="77">
        <f>'Presupuesto Base'!F9</f>
        <v>2005509.6418732787</v>
      </c>
      <c r="H80">
        <f>SUMIFS(Medicion!$K$6:$K$511,Medicion!$G$6:$G$511,$B80,Medicion!$A$6:$A$511,"&lt;"&amp;$A80)</f>
        <v>845</v>
      </c>
      <c r="I80">
        <f>SUMIFS(Medicion!$K$6:$K$511,Medicion!$G$6:$G$511,$B80,Medicion!$A$6:$A$511,$A80)</f>
        <v>0</v>
      </c>
      <c r="J80">
        <f t="shared" si="7"/>
        <v>845</v>
      </c>
      <c r="K80" s="77">
        <f t="shared" si="8"/>
        <v>403489.4398530763</v>
      </c>
      <c r="L80" s="77">
        <f t="shared" si="9"/>
        <v>0</v>
      </c>
      <c r="M80" s="77">
        <f t="shared" si="10"/>
        <v>403489.4398530763</v>
      </c>
      <c r="N80" s="77">
        <f t="shared" si="11"/>
        <v>1602020.2020202023</v>
      </c>
      <c r="O80" s="100">
        <f t="shared" si="12"/>
        <v>0.2011904761904762</v>
      </c>
      <c r="P80" t="str">
        <f t="shared" si="13"/>
        <v>OK</v>
      </c>
    </row>
    <row r="81" spans="1:16">
      <c r="A81">
        <v>5</v>
      </c>
      <c r="B81" t="str">
        <f>'Presupuesto Base'!A10</f>
        <v>4</v>
      </c>
      <c r="C81" t="str">
        <f>'Presupuesto Base'!B10</f>
        <v>Cama de asiento compactada</v>
      </c>
      <c r="D81" t="str">
        <f>'Presupuesto Base'!C10</f>
        <v>ml</v>
      </c>
      <c r="E81">
        <f>'Presupuesto Base'!D10</f>
        <v>4200</v>
      </c>
      <c r="F81" s="77">
        <f>'Presupuesto Base'!E10</f>
        <v>1705.3653417289784</v>
      </c>
      <c r="G81" s="77">
        <f>'Presupuesto Base'!F10</f>
        <v>7162534.4352617087</v>
      </c>
      <c r="H81">
        <f>SUMIFS(Medicion!$K$6:$K$511,Medicion!$G$6:$G$511,$B81,Medicion!$A$6:$A$511,"&lt;"&amp;$A81)</f>
        <v>845</v>
      </c>
      <c r="I81">
        <f>SUMIFS(Medicion!$K$6:$K$511,Medicion!$G$6:$G$511,$B81,Medicion!$A$6:$A$511,$A81)</f>
        <v>0</v>
      </c>
      <c r="J81">
        <f t="shared" si="7"/>
        <v>845</v>
      </c>
      <c r="K81" s="77">
        <f t="shared" si="8"/>
        <v>1441033.7137609867</v>
      </c>
      <c r="L81" s="77">
        <f t="shared" si="9"/>
        <v>0</v>
      </c>
      <c r="M81" s="77">
        <f t="shared" si="10"/>
        <v>1441033.7137609867</v>
      </c>
      <c r="N81" s="77">
        <f t="shared" si="11"/>
        <v>5721500.7215007218</v>
      </c>
      <c r="O81" s="100">
        <f t="shared" si="12"/>
        <v>0.2011904761904762</v>
      </c>
      <c r="P81" t="str">
        <f t="shared" si="13"/>
        <v>OK</v>
      </c>
    </row>
    <row r="82" spans="1:16">
      <c r="A82">
        <v>5</v>
      </c>
      <c r="B82" t="str">
        <f>'Presupuesto Base'!A11</f>
        <v>5.1</v>
      </c>
      <c r="C82" t="str">
        <f>'Presupuesto Base'!B11</f>
        <v>PEAD PN10 Ø75 – provisión e instalación</v>
      </c>
      <c r="D82" t="str">
        <f>'Presupuesto Base'!C11</f>
        <v>ml</v>
      </c>
      <c r="E82">
        <f>'Presupuesto Base'!D11</f>
        <v>3170</v>
      </c>
      <c r="F82" s="77">
        <f>'Presupuesto Base'!E11</f>
        <v>5784.2549382555126</v>
      </c>
      <c r="G82" s="77">
        <f>'Presupuesto Base'!F11</f>
        <v>18336088.154269975</v>
      </c>
      <c r="H82">
        <f>SUMIFS(Medicion!$K$6:$K$511,Medicion!$G$6:$G$511,$B82,Medicion!$A$6:$A$511,"&lt;"&amp;$A82)</f>
        <v>558</v>
      </c>
      <c r="I82">
        <f>SUMIFS(Medicion!$K$6:$K$511,Medicion!$G$6:$G$511,$B82,Medicion!$A$6:$A$511,$A82)</f>
        <v>0</v>
      </c>
      <c r="J82">
        <f t="shared" si="7"/>
        <v>558</v>
      </c>
      <c r="K82" s="77">
        <f t="shared" si="8"/>
        <v>3227614.2555465759</v>
      </c>
      <c r="L82" s="77">
        <f t="shared" si="9"/>
        <v>0</v>
      </c>
      <c r="M82" s="77">
        <f t="shared" si="10"/>
        <v>3227614.2555465759</v>
      </c>
      <c r="N82" s="77">
        <f t="shared" si="11"/>
        <v>15108473.898723399</v>
      </c>
      <c r="O82" s="100">
        <f t="shared" si="12"/>
        <v>0.17602523659305994</v>
      </c>
      <c r="P82" t="str">
        <f t="shared" si="13"/>
        <v>OK</v>
      </c>
    </row>
    <row r="83" spans="1:16">
      <c r="A83">
        <v>5</v>
      </c>
      <c r="B83" t="str">
        <f>'Presupuesto Base'!A12</f>
        <v>5.2</v>
      </c>
      <c r="C83" t="str">
        <f>'Presupuesto Base'!B12</f>
        <v>PEAD PN10 Ø110 – provisión e instalación</v>
      </c>
      <c r="D83" t="str">
        <f>'Presupuesto Base'!C12</f>
        <v>ml</v>
      </c>
      <c r="E83">
        <f>'Presupuesto Base'!D12</f>
        <v>1030</v>
      </c>
      <c r="F83" s="77">
        <f>'Presupuesto Base'!E12</f>
        <v>12238.893792291852</v>
      </c>
      <c r="G83" s="77">
        <f>'Presupuesto Base'!F12</f>
        <v>12606060.606060607</v>
      </c>
      <c r="H83">
        <f>SUMIFS(Medicion!$K$6:$K$511,Medicion!$G$6:$G$511,$B83,Medicion!$A$6:$A$511,"&lt;"&amp;$A83)</f>
        <v>287</v>
      </c>
      <c r="I83">
        <f>SUMIFS(Medicion!$K$6:$K$511,Medicion!$G$6:$G$511,$B83,Medicion!$A$6:$A$511,$A83)</f>
        <v>0</v>
      </c>
      <c r="J83">
        <f t="shared" si="7"/>
        <v>287</v>
      </c>
      <c r="K83" s="77">
        <f t="shared" si="8"/>
        <v>3512562.5183877614</v>
      </c>
      <c r="L83" s="77">
        <f t="shared" si="9"/>
        <v>0</v>
      </c>
      <c r="M83" s="77">
        <f t="shared" si="10"/>
        <v>3512562.5183877614</v>
      </c>
      <c r="N83" s="77">
        <f t="shared" si="11"/>
        <v>9093498.0876728464</v>
      </c>
      <c r="O83" s="100">
        <f t="shared" si="12"/>
        <v>0.27864077669902915</v>
      </c>
      <c r="P83" t="str">
        <f t="shared" si="13"/>
        <v>OK</v>
      </c>
    </row>
    <row r="84" spans="1:16">
      <c r="A84">
        <v>5</v>
      </c>
      <c r="B84" t="str">
        <f>'Presupuesto Base'!A13</f>
        <v>6</v>
      </c>
      <c r="C84" t="str">
        <f>'Presupuesto Base'!B13</f>
        <v>Ejecución de paquete estructural de 30 cm</v>
      </c>
      <c r="D84" t="str">
        <f>'Presupuesto Base'!C13</f>
        <v>ml</v>
      </c>
      <c r="E84">
        <f>'Presupuesto Base'!D13</f>
        <v>4200</v>
      </c>
      <c r="F84" s="77">
        <f>'Presupuesto Base'!E13</f>
        <v>3274.3014561196383</v>
      </c>
      <c r="G84" s="77">
        <f>'Presupuesto Base'!F13</f>
        <v>13752066.11570248</v>
      </c>
      <c r="H84">
        <f>SUMIFS(Medicion!$K$6:$K$511,Medicion!$G$6:$G$511,$B84,Medicion!$A$6:$A$511,"&lt;"&amp;$A84)</f>
        <v>763</v>
      </c>
      <c r="I84">
        <f>SUMIFS(Medicion!$K$6:$K$511,Medicion!$G$6:$G$511,$B84,Medicion!$A$6:$A$511,$A84)</f>
        <v>0</v>
      </c>
      <c r="J84">
        <f t="shared" si="7"/>
        <v>763</v>
      </c>
      <c r="K84" s="77">
        <f t="shared" si="8"/>
        <v>2498292.0110192839</v>
      </c>
      <c r="L84" s="77">
        <f t="shared" si="9"/>
        <v>0</v>
      </c>
      <c r="M84" s="77">
        <f t="shared" si="10"/>
        <v>2498292.0110192839</v>
      </c>
      <c r="N84" s="77">
        <f t="shared" si="11"/>
        <v>11253774.104683196</v>
      </c>
      <c r="O84" s="100">
        <f t="shared" si="12"/>
        <v>0.18166666666666667</v>
      </c>
      <c r="P84" t="str">
        <f t="shared" si="13"/>
        <v>OK</v>
      </c>
    </row>
    <row r="85" spans="1:16">
      <c r="A85">
        <v>5</v>
      </c>
      <c r="B85" t="str">
        <f>'Presupuesto Base'!A14</f>
        <v>7</v>
      </c>
      <c r="C85" t="str">
        <f>'Presupuesto Base'!B14</f>
        <v>Compactación del paquete estructural de 30 cm</v>
      </c>
      <c r="D85" t="str">
        <f>'Presupuesto Base'!C14</f>
        <v>ml</v>
      </c>
      <c r="E85">
        <f>'Presupuesto Base'!D14</f>
        <v>4200</v>
      </c>
      <c r="F85" s="77">
        <f>'Presupuesto Base'!E14</f>
        <v>1227.8630460448644</v>
      </c>
      <c r="G85" s="77">
        <f>'Presupuesto Base'!F14</f>
        <v>5157024.79338843</v>
      </c>
      <c r="H85">
        <f>SUMIFS(Medicion!$K$6:$K$511,Medicion!$G$6:$G$511,$B85,Medicion!$A$6:$A$511,"&lt;"&amp;$A85)</f>
        <v>0</v>
      </c>
      <c r="I85">
        <f>SUMIFS(Medicion!$K$6:$K$511,Medicion!$G$6:$G$511,$B85,Medicion!$A$6:$A$511,$A85)</f>
        <v>0</v>
      </c>
      <c r="J85">
        <f t="shared" si="7"/>
        <v>0</v>
      </c>
      <c r="K85" s="77">
        <f t="shared" si="8"/>
        <v>0</v>
      </c>
      <c r="L85" s="77">
        <f t="shared" si="9"/>
        <v>0</v>
      </c>
      <c r="M85" s="77">
        <f t="shared" si="10"/>
        <v>0</v>
      </c>
      <c r="N85" s="77">
        <f t="shared" si="11"/>
        <v>5157024.79338843</v>
      </c>
      <c r="O85" s="100">
        <f t="shared" si="12"/>
        <v>0</v>
      </c>
      <c r="P85" t="str">
        <f t="shared" si="13"/>
        <v>OK</v>
      </c>
    </row>
    <row r="86" spans="1:16">
      <c r="A86">
        <v>5</v>
      </c>
      <c r="B86" t="str">
        <f>'Presupuesto Base'!A15</f>
        <v>8</v>
      </c>
      <c r="C86" t="str">
        <f>'Presupuesto Base'!B15</f>
        <v>Ejecución y compactación de capa cota -0,60</v>
      </c>
      <c r="D86" t="str">
        <f>'Presupuesto Base'!C15</f>
        <v>ml</v>
      </c>
      <c r="E86">
        <f>'Presupuesto Base'!D15</f>
        <v>4200</v>
      </c>
      <c r="F86" s="77">
        <f>'Presupuesto Base'!E15</f>
        <v>2592.1553194280468</v>
      </c>
      <c r="G86" s="77">
        <f>'Presupuesto Base'!F15</f>
        <v>10887052.341597797</v>
      </c>
      <c r="H86">
        <f>SUMIFS(Medicion!$K$6:$K$511,Medicion!$G$6:$G$511,$B86,Medicion!$A$6:$A$511,"&lt;"&amp;$A86)</f>
        <v>0</v>
      </c>
      <c r="I86">
        <f>SUMIFS(Medicion!$K$6:$K$511,Medicion!$G$6:$G$511,$B86,Medicion!$A$6:$A$511,$A86)</f>
        <v>0</v>
      </c>
      <c r="J86">
        <f t="shared" si="7"/>
        <v>0</v>
      </c>
      <c r="K86" s="77">
        <f t="shared" si="8"/>
        <v>0</v>
      </c>
      <c r="L86" s="77">
        <f t="shared" si="9"/>
        <v>0</v>
      </c>
      <c r="M86" s="77">
        <f t="shared" si="10"/>
        <v>0</v>
      </c>
      <c r="N86" s="77">
        <f t="shared" si="11"/>
        <v>10887052.341597797</v>
      </c>
      <c r="O86" s="100">
        <f t="shared" si="12"/>
        <v>0</v>
      </c>
      <c r="P86" t="str">
        <f t="shared" si="13"/>
        <v>OK</v>
      </c>
    </row>
    <row r="87" spans="1:16">
      <c r="A87">
        <v>5</v>
      </c>
      <c r="B87" t="str">
        <f>'Presupuesto Base'!A16</f>
        <v>9</v>
      </c>
      <c r="C87" t="str">
        <f>'Presupuesto Base'!B16</f>
        <v>Ejecución y compactación de capa cota -0,30</v>
      </c>
      <c r="D87" t="str">
        <f>'Presupuesto Base'!C16</f>
        <v>ml</v>
      </c>
      <c r="E87">
        <f>'Presupuesto Base'!D16</f>
        <v>4200</v>
      </c>
      <c r="F87" s="77">
        <f>'Presupuesto Base'!E16</f>
        <v>2182.8676374130923</v>
      </c>
      <c r="G87" s="77">
        <f>'Presupuesto Base'!F16</f>
        <v>9168044.0771349873</v>
      </c>
      <c r="H87">
        <f>SUMIFS(Medicion!$K$6:$K$511,Medicion!$G$6:$G$511,$B87,Medicion!$A$6:$A$511,"&lt;"&amp;$A87)</f>
        <v>0</v>
      </c>
      <c r="I87">
        <f>SUMIFS(Medicion!$K$6:$K$511,Medicion!$G$6:$G$511,$B87,Medicion!$A$6:$A$511,$A87)</f>
        <v>0</v>
      </c>
      <c r="J87">
        <f t="shared" si="7"/>
        <v>0</v>
      </c>
      <c r="K87" s="77">
        <f t="shared" si="8"/>
        <v>0</v>
      </c>
      <c r="L87" s="77">
        <f t="shared" si="9"/>
        <v>0</v>
      </c>
      <c r="M87" s="77">
        <f t="shared" si="10"/>
        <v>0</v>
      </c>
      <c r="N87" s="77">
        <f t="shared" si="11"/>
        <v>9168044.0771349873</v>
      </c>
      <c r="O87" s="100">
        <f t="shared" si="12"/>
        <v>0</v>
      </c>
      <c r="P87" t="str">
        <f t="shared" si="13"/>
        <v>OK</v>
      </c>
    </row>
    <row r="88" spans="1:16">
      <c r="A88">
        <v>5</v>
      </c>
      <c r="B88" t="str">
        <f>'Presupuesto Base'!A17</f>
        <v>10.1</v>
      </c>
      <c r="C88" t="str">
        <f>'Presupuesto Base'!B17</f>
        <v>Conexión domiciliaria sobre red Ø75</v>
      </c>
      <c r="D88" t="str">
        <f>'Presupuesto Base'!C17</f>
        <v>un</v>
      </c>
      <c r="E88">
        <f>'Presupuesto Base'!D17</f>
        <v>165</v>
      </c>
      <c r="F88" s="77">
        <f>'Presupuesto Base'!E17</f>
        <v>48618.415560564332</v>
      </c>
      <c r="G88" s="77">
        <f>'Presupuesto Base'!F17</f>
        <v>8022038.5674931146</v>
      </c>
      <c r="H88">
        <f>SUMIFS(Medicion!$K$6:$K$511,Medicion!$G$6:$G$511,$B88,Medicion!$A$6:$A$511,"&lt;"&amp;$A88)</f>
        <v>5</v>
      </c>
      <c r="I88">
        <f>SUMIFS(Medicion!$K$6:$K$511,Medicion!$G$6:$G$511,$B88,Medicion!$A$6:$A$511,$A88)</f>
        <v>0</v>
      </c>
      <c r="J88">
        <f t="shared" si="7"/>
        <v>5</v>
      </c>
      <c r="K88" s="77">
        <f t="shared" si="8"/>
        <v>243092.07780282164</v>
      </c>
      <c r="L88" s="77">
        <f t="shared" si="9"/>
        <v>0</v>
      </c>
      <c r="M88" s="77">
        <f t="shared" si="10"/>
        <v>243092.07780282164</v>
      </c>
      <c r="N88" s="77">
        <f t="shared" si="11"/>
        <v>7778946.4896902926</v>
      </c>
      <c r="O88" s="100">
        <f t="shared" si="12"/>
        <v>3.0303030303030304E-2</v>
      </c>
      <c r="P88" t="str">
        <f t="shared" si="13"/>
        <v>OK</v>
      </c>
    </row>
    <row r="89" spans="1:16">
      <c r="A89">
        <v>5</v>
      </c>
      <c r="B89" t="str">
        <f>'Presupuesto Base'!A18</f>
        <v>10.2</v>
      </c>
      <c r="C89" t="str">
        <f>'Presupuesto Base'!B18</f>
        <v>Conexión domiciliaria sobre red Ø110</v>
      </c>
      <c r="D89" t="str">
        <f>'Presupuesto Base'!C18</f>
        <v>un</v>
      </c>
      <c r="E89">
        <f>'Presupuesto Base'!D18</f>
        <v>62</v>
      </c>
      <c r="F89" s="77">
        <f>'Presupuesto Base'!E18</f>
        <v>55451.879498800321</v>
      </c>
      <c r="G89" s="77">
        <f>'Presupuesto Base'!F18</f>
        <v>3438016.52892562</v>
      </c>
      <c r="H89">
        <f>SUMIFS(Medicion!$K$6:$K$511,Medicion!$G$6:$G$511,$B89,Medicion!$A$6:$A$511,"&lt;"&amp;$A89)</f>
        <v>2</v>
      </c>
      <c r="I89">
        <f>SUMIFS(Medicion!$K$6:$K$511,Medicion!$G$6:$G$511,$B89,Medicion!$A$6:$A$511,$A89)</f>
        <v>0</v>
      </c>
      <c r="J89">
        <f t="shared" si="7"/>
        <v>2</v>
      </c>
      <c r="K89" s="77">
        <f t="shared" si="8"/>
        <v>110903.75899760064</v>
      </c>
      <c r="L89" s="77">
        <f t="shared" si="9"/>
        <v>0</v>
      </c>
      <c r="M89" s="77">
        <f t="shared" si="10"/>
        <v>110903.75899760064</v>
      </c>
      <c r="N89" s="77">
        <f t="shared" si="11"/>
        <v>3327112.7699280195</v>
      </c>
      <c r="O89" s="100">
        <f t="shared" si="12"/>
        <v>3.2258064516129031E-2</v>
      </c>
      <c r="P89" t="str">
        <f t="shared" si="13"/>
        <v>OK</v>
      </c>
    </row>
    <row r="90" spans="1:16">
      <c r="A90">
        <v>5</v>
      </c>
      <c r="B90" t="str">
        <f>'Presupuesto Base'!A19</f>
        <v>11.1</v>
      </c>
      <c r="C90" t="str">
        <f>'Presupuesto Base'!B19</f>
        <v>Válvula esclusa Ø75 completa e instalada</v>
      </c>
      <c r="D90" t="str">
        <f>'Presupuesto Base'!C19</f>
        <v>un</v>
      </c>
      <c r="E90">
        <f>'Presupuesto Base'!D19</f>
        <v>2</v>
      </c>
      <c r="F90" s="77">
        <f>'Presupuesto Base'!E19</f>
        <v>286501.37741046835</v>
      </c>
      <c r="G90" s="77">
        <f>'Presupuesto Base'!F19</f>
        <v>573002.75482093671</v>
      </c>
      <c r="H90">
        <f>SUMIFS(Medicion!$K$6:$K$511,Medicion!$G$6:$G$511,$B90,Medicion!$A$6:$A$511,"&lt;"&amp;$A90)</f>
        <v>0</v>
      </c>
      <c r="I90">
        <f>SUMIFS(Medicion!$K$6:$K$511,Medicion!$G$6:$G$511,$B90,Medicion!$A$6:$A$511,$A90)</f>
        <v>0</v>
      </c>
      <c r="J90">
        <f t="shared" si="7"/>
        <v>0</v>
      </c>
      <c r="K90" s="77">
        <f t="shared" si="8"/>
        <v>0</v>
      </c>
      <c r="L90" s="77">
        <f t="shared" si="9"/>
        <v>0</v>
      </c>
      <c r="M90" s="77">
        <f t="shared" si="10"/>
        <v>0</v>
      </c>
      <c r="N90" s="77">
        <f t="shared" si="11"/>
        <v>573002.75482093671</v>
      </c>
      <c r="O90" s="100">
        <f t="shared" si="12"/>
        <v>0</v>
      </c>
      <c r="P90" t="str">
        <f t="shared" si="13"/>
        <v>OK</v>
      </c>
    </row>
    <row r="91" spans="1:16">
      <c r="A91">
        <v>5</v>
      </c>
      <c r="B91" t="str">
        <f>'Presupuesto Base'!A20</f>
        <v>11.2</v>
      </c>
      <c r="C91" t="str">
        <f>'Presupuesto Base'!B20</f>
        <v>Válvula esclusa Ø100 completa e instalada</v>
      </c>
      <c r="D91" t="str">
        <f>'Presupuesto Base'!C20</f>
        <v>un</v>
      </c>
      <c r="E91">
        <f>'Presupuesto Base'!D20</f>
        <v>4</v>
      </c>
      <c r="F91" s="77">
        <f>'Presupuesto Base'!E20</f>
        <v>429752.0661157025</v>
      </c>
      <c r="G91" s="77">
        <f>'Presupuesto Base'!F20</f>
        <v>1719008.26446281</v>
      </c>
      <c r="H91">
        <f>SUMIFS(Medicion!$K$6:$K$511,Medicion!$G$6:$G$511,$B91,Medicion!$A$6:$A$511,"&lt;"&amp;$A91)</f>
        <v>0</v>
      </c>
      <c r="I91">
        <f>SUMIFS(Medicion!$K$6:$K$511,Medicion!$G$6:$G$511,$B91,Medicion!$A$6:$A$511,$A91)</f>
        <v>0</v>
      </c>
      <c r="J91">
        <f t="shared" si="7"/>
        <v>0</v>
      </c>
      <c r="K91" s="77">
        <f t="shared" si="8"/>
        <v>0</v>
      </c>
      <c r="L91" s="77">
        <f t="shared" si="9"/>
        <v>0</v>
      </c>
      <c r="M91" s="77">
        <f t="shared" si="10"/>
        <v>0</v>
      </c>
      <c r="N91" s="77">
        <f t="shared" si="11"/>
        <v>1719008.26446281</v>
      </c>
      <c r="O91" s="100">
        <f t="shared" si="12"/>
        <v>0</v>
      </c>
      <c r="P91" t="str">
        <f t="shared" si="13"/>
        <v>OK</v>
      </c>
    </row>
    <row r="92" spans="1:16">
      <c r="A92">
        <v>5</v>
      </c>
      <c r="B92" t="str">
        <f>'Presupuesto Base'!A21</f>
        <v>12</v>
      </c>
      <c r="C92" t="str">
        <f>'Presupuesto Base'!B21</f>
        <v>Hidrante a bola completo e instalado</v>
      </c>
      <c r="D92" t="str">
        <f>'Presupuesto Base'!C21</f>
        <v>un</v>
      </c>
      <c r="E92">
        <f>'Presupuesto Base'!D21</f>
        <v>15</v>
      </c>
      <c r="F92" s="77">
        <f>'Presupuesto Base'!E21</f>
        <v>114600.55096418734</v>
      </c>
      <c r="G92" s="77">
        <f>'Presupuesto Base'!F21</f>
        <v>1719008.26446281</v>
      </c>
      <c r="H92">
        <f>SUMIFS(Medicion!$K$6:$K$511,Medicion!$G$6:$G$511,$B92,Medicion!$A$6:$A$511,"&lt;"&amp;$A92)</f>
        <v>0</v>
      </c>
      <c r="I92">
        <f>SUMIFS(Medicion!$K$6:$K$511,Medicion!$G$6:$G$511,$B92,Medicion!$A$6:$A$511,$A92)</f>
        <v>0</v>
      </c>
      <c r="J92">
        <f t="shared" si="7"/>
        <v>0</v>
      </c>
      <c r="K92" s="77">
        <f t="shared" si="8"/>
        <v>0</v>
      </c>
      <c r="L92" s="77">
        <f t="shared" si="9"/>
        <v>0</v>
      </c>
      <c r="M92" s="77">
        <f t="shared" si="10"/>
        <v>0</v>
      </c>
      <c r="N92" s="77">
        <f t="shared" si="11"/>
        <v>1719008.26446281</v>
      </c>
      <c r="O92" s="100">
        <f t="shared" si="12"/>
        <v>0</v>
      </c>
      <c r="P92" t="str">
        <f t="shared" si="13"/>
        <v>OK</v>
      </c>
    </row>
    <row r="93" spans="1:16">
      <c r="A93">
        <v>5</v>
      </c>
      <c r="B93" t="str">
        <f>'Presupuesto Base'!A22</f>
        <v>13.1</v>
      </c>
      <c r="C93" t="str">
        <f>'Presupuesto Base'!B22</f>
        <v>Pruebas hidráulicas y operativas</v>
      </c>
      <c r="D93" t="str">
        <f>'Presupuesto Base'!C22</f>
        <v>gl</v>
      </c>
      <c r="E93">
        <f>'Presupuesto Base'!D22</f>
        <v>1</v>
      </c>
      <c r="F93" s="77">
        <f>'Presupuesto Base'!E22</f>
        <v>1719008.26446281</v>
      </c>
      <c r="G93" s="77">
        <f>'Presupuesto Base'!F22</f>
        <v>1719008.26446281</v>
      </c>
      <c r="H93">
        <f>SUMIFS(Medicion!$K$6:$K$511,Medicion!$G$6:$G$511,$B93,Medicion!$A$6:$A$511,"&lt;"&amp;$A93)</f>
        <v>0</v>
      </c>
      <c r="I93">
        <f>SUMIFS(Medicion!$K$6:$K$511,Medicion!$G$6:$G$511,$B93,Medicion!$A$6:$A$511,$A93)</f>
        <v>0</v>
      </c>
      <c r="J93">
        <f t="shared" si="7"/>
        <v>0</v>
      </c>
      <c r="K93" s="77">
        <f t="shared" si="8"/>
        <v>0</v>
      </c>
      <c r="L93" s="77">
        <f t="shared" si="9"/>
        <v>0</v>
      </c>
      <c r="M93" s="77">
        <f t="shared" si="10"/>
        <v>0</v>
      </c>
      <c r="N93" s="77">
        <f t="shared" si="11"/>
        <v>1719008.26446281</v>
      </c>
      <c r="O93" s="100">
        <f t="shared" si="12"/>
        <v>0</v>
      </c>
      <c r="P93" t="str">
        <f t="shared" si="13"/>
        <v>OK</v>
      </c>
    </row>
    <row r="94" spans="1:16">
      <c r="A94">
        <v>5</v>
      </c>
      <c r="B94" t="str">
        <f>'Presupuesto Base'!A23</f>
        <v>13.2</v>
      </c>
      <c r="C94" t="str">
        <f>'Presupuesto Base'!B23</f>
        <v>Terminaciones y acondicionamiento final</v>
      </c>
      <c r="D94" t="str">
        <f>'Presupuesto Base'!C23</f>
        <v>gl</v>
      </c>
      <c r="E94">
        <f>'Presupuesto Base'!D23</f>
        <v>1</v>
      </c>
      <c r="F94" s="77">
        <f>'Presupuesto Base'!E23</f>
        <v>1146005.5096418734</v>
      </c>
      <c r="G94" s="77">
        <f>'Presupuesto Base'!F23</f>
        <v>1146005.5096418734</v>
      </c>
      <c r="H94">
        <f>SUMIFS(Medicion!$K$6:$K$511,Medicion!$G$6:$G$511,$B94,Medicion!$A$6:$A$511,"&lt;"&amp;$A94)</f>
        <v>0</v>
      </c>
      <c r="I94">
        <f>SUMIFS(Medicion!$K$6:$K$511,Medicion!$G$6:$G$511,$B94,Medicion!$A$6:$A$511,$A94)</f>
        <v>0</v>
      </c>
      <c r="J94">
        <f t="shared" si="7"/>
        <v>0</v>
      </c>
      <c r="K94" s="77">
        <f t="shared" si="8"/>
        <v>0</v>
      </c>
      <c r="L94" s="77">
        <f t="shared" si="9"/>
        <v>0</v>
      </c>
      <c r="M94" s="77">
        <f t="shared" si="10"/>
        <v>0</v>
      </c>
      <c r="N94" s="77">
        <f t="shared" si="11"/>
        <v>1146005.5096418734</v>
      </c>
      <c r="O94" s="100">
        <f t="shared" si="12"/>
        <v>0</v>
      </c>
      <c r="P94" t="str">
        <f t="shared" si="13"/>
        <v>OK</v>
      </c>
    </row>
    <row r="95" spans="1:16">
      <c r="A95">
        <v>5</v>
      </c>
      <c r="B95" t="str">
        <f>'Presupuesto Base'!A24</f>
        <v>13.3</v>
      </c>
      <c r="C95" t="str">
        <f>'Presupuesto Base'!B24</f>
        <v>Documentación conforme a obra y cierre</v>
      </c>
      <c r="D95" t="str">
        <f>'Presupuesto Base'!C24</f>
        <v>gl</v>
      </c>
      <c r="E95">
        <f>'Presupuesto Base'!D24</f>
        <v>1</v>
      </c>
      <c r="F95" s="77">
        <f>'Presupuesto Base'!E24</f>
        <v>859504.132231405</v>
      </c>
      <c r="G95" s="77">
        <f>'Presupuesto Base'!F24</f>
        <v>859504.132231405</v>
      </c>
      <c r="H95">
        <f>SUMIFS(Medicion!$K$6:$K$511,Medicion!$G$6:$G$511,$B95,Medicion!$A$6:$A$511,"&lt;"&amp;$A95)</f>
        <v>0</v>
      </c>
      <c r="I95">
        <f>SUMIFS(Medicion!$K$6:$K$511,Medicion!$G$6:$G$511,$B95,Medicion!$A$6:$A$511,$A95)</f>
        <v>0</v>
      </c>
      <c r="J95">
        <f t="shared" si="7"/>
        <v>0</v>
      </c>
      <c r="K95" s="77">
        <f t="shared" si="8"/>
        <v>0</v>
      </c>
      <c r="L95" s="77">
        <f t="shared" si="9"/>
        <v>0</v>
      </c>
      <c r="M95" s="77">
        <f t="shared" si="10"/>
        <v>0</v>
      </c>
      <c r="N95" s="77">
        <f t="shared" si="11"/>
        <v>859504.132231405</v>
      </c>
      <c r="O95" s="100">
        <f t="shared" si="12"/>
        <v>0</v>
      </c>
      <c r="P95" t="str">
        <f t="shared" si="13"/>
        <v>OK</v>
      </c>
    </row>
    <row r="96" spans="1:16">
      <c r="A96">
        <v>6</v>
      </c>
      <c r="B96" t="str">
        <f>'Presupuesto Base'!A7</f>
        <v>1</v>
      </c>
      <c r="C96" t="str">
        <f>'Presupuesto Base'!B7</f>
        <v>Replanteo y marcación de traza</v>
      </c>
      <c r="D96" t="str">
        <f>'Presupuesto Base'!C7</f>
        <v>ml</v>
      </c>
      <c r="E96">
        <f>'Presupuesto Base'!D7</f>
        <v>4200</v>
      </c>
      <c r="F96" s="77">
        <f>'Presupuesto Base'!E7</f>
        <v>204.64384100747739</v>
      </c>
      <c r="G96" s="77">
        <f>'Presupuesto Base'!F7</f>
        <v>859504.132231405</v>
      </c>
      <c r="H96">
        <f>SUMIFS(Medicion!$K$6:$K$511,Medicion!$G$6:$G$511,$B96,Medicion!$A$6:$A$511,"&lt;"&amp;$A96)</f>
        <v>845</v>
      </c>
      <c r="I96">
        <f>SUMIFS(Medicion!$K$6:$K$511,Medicion!$G$6:$G$511,$B96,Medicion!$A$6:$A$511,$A96)</f>
        <v>0</v>
      </c>
      <c r="J96">
        <f t="shared" si="7"/>
        <v>845</v>
      </c>
      <c r="K96" s="77">
        <f t="shared" si="8"/>
        <v>172924.04565131839</v>
      </c>
      <c r="L96" s="77">
        <f t="shared" si="9"/>
        <v>0</v>
      </c>
      <c r="M96" s="77">
        <f t="shared" si="10"/>
        <v>172924.04565131839</v>
      </c>
      <c r="N96" s="77">
        <f t="shared" si="11"/>
        <v>686580.08658008662</v>
      </c>
      <c r="O96" s="100">
        <f t="shared" si="12"/>
        <v>0.2011904761904762</v>
      </c>
      <c r="P96" t="str">
        <f t="shared" si="13"/>
        <v>OK</v>
      </c>
    </row>
    <row r="97" spans="1:16">
      <c r="A97">
        <v>6</v>
      </c>
      <c r="B97" t="str">
        <f>'Presupuesto Base'!A8</f>
        <v>2</v>
      </c>
      <c r="C97" t="str">
        <f>'Presupuesto Base'!B8</f>
        <v>Excavación de zanja</v>
      </c>
      <c r="D97" t="str">
        <f>'Presupuesto Base'!C8</f>
        <v>ml</v>
      </c>
      <c r="E97">
        <f>'Presupuesto Base'!D8</f>
        <v>4200</v>
      </c>
      <c r="F97" s="77">
        <f>'Presupuesto Base'!E8</f>
        <v>3683.5891381345932</v>
      </c>
      <c r="G97" s="77">
        <f>'Presupuesto Base'!F8</f>
        <v>15471074.380165292</v>
      </c>
      <c r="H97">
        <f>SUMIFS(Medicion!$K$6:$K$511,Medicion!$G$6:$G$511,$B97,Medicion!$A$6:$A$511,"&lt;"&amp;$A97)</f>
        <v>845</v>
      </c>
      <c r="I97">
        <f>SUMIFS(Medicion!$K$6:$K$511,Medicion!$G$6:$G$511,$B97,Medicion!$A$6:$A$511,$A97)</f>
        <v>0</v>
      </c>
      <c r="J97">
        <f t="shared" si="7"/>
        <v>845</v>
      </c>
      <c r="K97" s="77">
        <f t="shared" si="8"/>
        <v>3112632.8217237312</v>
      </c>
      <c r="L97" s="77">
        <f t="shared" si="9"/>
        <v>0</v>
      </c>
      <c r="M97" s="77">
        <f t="shared" si="10"/>
        <v>3112632.8217237312</v>
      </c>
      <c r="N97" s="77">
        <f t="shared" si="11"/>
        <v>12358441.558441561</v>
      </c>
      <c r="O97" s="100">
        <f t="shared" si="12"/>
        <v>0.2011904761904762</v>
      </c>
      <c r="P97" t="str">
        <f t="shared" si="13"/>
        <v>OK</v>
      </c>
    </row>
    <row r="98" spans="1:16">
      <c r="A98">
        <v>6</v>
      </c>
      <c r="B98" t="str">
        <f>'Presupuesto Base'!A9</f>
        <v>3</v>
      </c>
      <c r="C98" t="str">
        <f>'Presupuesto Base'!B9</f>
        <v>Nivelación y conformación del fondo de zanja</v>
      </c>
      <c r="D98" t="str">
        <f>'Presupuesto Base'!C9</f>
        <v>ml</v>
      </c>
      <c r="E98">
        <f>'Presupuesto Base'!D9</f>
        <v>4200</v>
      </c>
      <c r="F98" s="77">
        <f>'Presupuesto Base'!E9</f>
        <v>477.50229568411396</v>
      </c>
      <c r="G98" s="77">
        <f>'Presupuesto Base'!F9</f>
        <v>2005509.6418732787</v>
      </c>
      <c r="H98">
        <f>SUMIFS(Medicion!$K$6:$K$511,Medicion!$G$6:$G$511,$B98,Medicion!$A$6:$A$511,"&lt;"&amp;$A98)</f>
        <v>845</v>
      </c>
      <c r="I98">
        <f>SUMIFS(Medicion!$K$6:$K$511,Medicion!$G$6:$G$511,$B98,Medicion!$A$6:$A$511,$A98)</f>
        <v>0</v>
      </c>
      <c r="J98">
        <f t="shared" si="7"/>
        <v>845</v>
      </c>
      <c r="K98" s="77">
        <f t="shared" si="8"/>
        <v>403489.4398530763</v>
      </c>
      <c r="L98" s="77">
        <f t="shared" si="9"/>
        <v>0</v>
      </c>
      <c r="M98" s="77">
        <f t="shared" si="10"/>
        <v>403489.4398530763</v>
      </c>
      <c r="N98" s="77">
        <f t="shared" si="11"/>
        <v>1602020.2020202023</v>
      </c>
      <c r="O98" s="100">
        <f t="shared" si="12"/>
        <v>0.2011904761904762</v>
      </c>
      <c r="P98" t="str">
        <f t="shared" si="13"/>
        <v>OK</v>
      </c>
    </row>
    <row r="99" spans="1:16">
      <c r="A99">
        <v>6</v>
      </c>
      <c r="B99" t="str">
        <f>'Presupuesto Base'!A10</f>
        <v>4</v>
      </c>
      <c r="C99" t="str">
        <f>'Presupuesto Base'!B10</f>
        <v>Cama de asiento compactada</v>
      </c>
      <c r="D99" t="str">
        <f>'Presupuesto Base'!C10</f>
        <v>ml</v>
      </c>
      <c r="E99">
        <f>'Presupuesto Base'!D10</f>
        <v>4200</v>
      </c>
      <c r="F99" s="77">
        <f>'Presupuesto Base'!E10</f>
        <v>1705.3653417289784</v>
      </c>
      <c r="G99" s="77">
        <f>'Presupuesto Base'!F10</f>
        <v>7162534.4352617087</v>
      </c>
      <c r="H99">
        <f>SUMIFS(Medicion!$K$6:$K$511,Medicion!$G$6:$G$511,$B99,Medicion!$A$6:$A$511,"&lt;"&amp;$A99)</f>
        <v>845</v>
      </c>
      <c r="I99">
        <f>SUMIFS(Medicion!$K$6:$K$511,Medicion!$G$6:$G$511,$B99,Medicion!$A$6:$A$511,$A99)</f>
        <v>0</v>
      </c>
      <c r="J99">
        <f t="shared" si="7"/>
        <v>845</v>
      </c>
      <c r="K99" s="77">
        <f t="shared" si="8"/>
        <v>1441033.7137609867</v>
      </c>
      <c r="L99" s="77">
        <f t="shared" si="9"/>
        <v>0</v>
      </c>
      <c r="M99" s="77">
        <f t="shared" si="10"/>
        <v>1441033.7137609867</v>
      </c>
      <c r="N99" s="77">
        <f t="shared" si="11"/>
        <v>5721500.7215007218</v>
      </c>
      <c r="O99" s="100">
        <f t="shared" si="12"/>
        <v>0.2011904761904762</v>
      </c>
      <c r="P99" t="str">
        <f t="shared" si="13"/>
        <v>OK</v>
      </c>
    </row>
    <row r="100" spans="1:16">
      <c r="A100">
        <v>6</v>
      </c>
      <c r="B100" t="str">
        <f>'Presupuesto Base'!A11</f>
        <v>5.1</v>
      </c>
      <c r="C100" t="str">
        <f>'Presupuesto Base'!B11</f>
        <v>PEAD PN10 Ø75 – provisión e instalación</v>
      </c>
      <c r="D100" t="str">
        <f>'Presupuesto Base'!C11</f>
        <v>ml</v>
      </c>
      <c r="E100">
        <f>'Presupuesto Base'!D11</f>
        <v>3170</v>
      </c>
      <c r="F100" s="77">
        <f>'Presupuesto Base'!E11</f>
        <v>5784.2549382555126</v>
      </c>
      <c r="G100" s="77">
        <f>'Presupuesto Base'!F11</f>
        <v>18336088.154269975</v>
      </c>
      <c r="H100">
        <f>SUMIFS(Medicion!$K$6:$K$511,Medicion!$G$6:$G$511,$B100,Medicion!$A$6:$A$511,"&lt;"&amp;$A100)</f>
        <v>558</v>
      </c>
      <c r="I100">
        <f>SUMIFS(Medicion!$K$6:$K$511,Medicion!$G$6:$G$511,$B100,Medicion!$A$6:$A$511,$A100)</f>
        <v>0</v>
      </c>
      <c r="J100">
        <f t="shared" si="7"/>
        <v>558</v>
      </c>
      <c r="K100" s="77">
        <f t="shared" si="8"/>
        <v>3227614.2555465759</v>
      </c>
      <c r="L100" s="77">
        <f t="shared" si="9"/>
        <v>0</v>
      </c>
      <c r="M100" s="77">
        <f t="shared" si="10"/>
        <v>3227614.2555465759</v>
      </c>
      <c r="N100" s="77">
        <f t="shared" si="11"/>
        <v>15108473.898723399</v>
      </c>
      <c r="O100" s="100">
        <f t="shared" si="12"/>
        <v>0.17602523659305994</v>
      </c>
      <c r="P100" t="str">
        <f t="shared" si="13"/>
        <v>OK</v>
      </c>
    </row>
    <row r="101" spans="1:16">
      <c r="A101">
        <v>6</v>
      </c>
      <c r="B101" t="str">
        <f>'Presupuesto Base'!A12</f>
        <v>5.2</v>
      </c>
      <c r="C101" t="str">
        <f>'Presupuesto Base'!B12</f>
        <v>PEAD PN10 Ø110 – provisión e instalación</v>
      </c>
      <c r="D101" t="str">
        <f>'Presupuesto Base'!C12</f>
        <v>ml</v>
      </c>
      <c r="E101">
        <f>'Presupuesto Base'!D12</f>
        <v>1030</v>
      </c>
      <c r="F101" s="77">
        <f>'Presupuesto Base'!E12</f>
        <v>12238.893792291852</v>
      </c>
      <c r="G101" s="77">
        <f>'Presupuesto Base'!F12</f>
        <v>12606060.606060607</v>
      </c>
      <c r="H101">
        <f>SUMIFS(Medicion!$K$6:$K$511,Medicion!$G$6:$G$511,$B101,Medicion!$A$6:$A$511,"&lt;"&amp;$A101)</f>
        <v>287</v>
      </c>
      <c r="I101">
        <f>SUMIFS(Medicion!$K$6:$K$511,Medicion!$G$6:$G$511,$B101,Medicion!$A$6:$A$511,$A101)</f>
        <v>0</v>
      </c>
      <c r="J101">
        <f t="shared" si="7"/>
        <v>287</v>
      </c>
      <c r="K101" s="77">
        <f t="shared" si="8"/>
        <v>3512562.5183877614</v>
      </c>
      <c r="L101" s="77">
        <f t="shared" si="9"/>
        <v>0</v>
      </c>
      <c r="M101" s="77">
        <f t="shared" si="10"/>
        <v>3512562.5183877614</v>
      </c>
      <c r="N101" s="77">
        <f t="shared" si="11"/>
        <v>9093498.0876728464</v>
      </c>
      <c r="O101" s="100">
        <f t="shared" si="12"/>
        <v>0.27864077669902915</v>
      </c>
      <c r="P101" t="str">
        <f t="shared" si="13"/>
        <v>OK</v>
      </c>
    </row>
    <row r="102" spans="1:16">
      <c r="A102">
        <v>6</v>
      </c>
      <c r="B102" t="str">
        <f>'Presupuesto Base'!A13</f>
        <v>6</v>
      </c>
      <c r="C102" t="str">
        <f>'Presupuesto Base'!B13</f>
        <v>Ejecución de paquete estructural de 30 cm</v>
      </c>
      <c r="D102" t="str">
        <f>'Presupuesto Base'!C13</f>
        <v>ml</v>
      </c>
      <c r="E102">
        <f>'Presupuesto Base'!D13</f>
        <v>4200</v>
      </c>
      <c r="F102" s="77">
        <f>'Presupuesto Base'!E13</f>
        <v>3274.3014561196383</v>
      </c>
      <c r="G102" s="77">
        <f>'Presupuesto Base'!F13</f>
        <v>13752066.11570248</v>
      </c>
      <c r="H102">
        <f>SUMIFS(Medicion!$K$6:$K$511,Medicion!$G$6:$G$511,$B102,Medicion!$A$6:$A$511,"&lt;"&amp;$A102)</f>
        <v>763</v>
      </c>
      <c r="I102">
        <f>SUMIFS(Medicion!$K$6:$K$511,Medicion!$G$6:$G$511,$B102,Medicion!$A$6:$A$511,$A102)</f>
        <v>0</v>
      </c>
      <c r="J102">
        <f t="shared" si="7"/>
        <v>763</v>
      </c>
      <c r="K102" s="77">
        <f t="shared" si="8"/>
        <v>2498292.0110192839</v>
      </c>
      <c r="L102" s="77">
        <f t="shared" si="9"/>
        <v>0</v>
      </c>
      <c r="M102" s="77">
        <f t="shared" si="10"/>
        <v>2498292.0110192839</v>
      </c>
      <c r="N102" s="77">
        <f t="shared" si="11"/>
        <v>11253774.104683196</v>
      </c>
      <c r="O102" s="100">
        <f t="shared" si="12"/>
        <v>0.18166666666666667</v>
      </c>
      <c r="P102" t="str">
        <f t="shared" si="13"/>
        <v>OK</v>
      </c>
    </row>
    <row r="103" spans="1:16">
      <c r="A103">
        <v>6</v>
      </c>
      <c r="B103" t="str">
        <f>'Presupuesto Base'!A14</f>
        <v>7</v>
      </c>
      <c r="C103" t="str">
        <f>'Presupuesto Base'!B14</f>
        <v>Compactación del paquete estructural de 30 cm</v>
      </c>
      <c r="D103" t="str">
        <f>'Presupuesto Base'!C14</f>
        <v>ml</v>
      </c>
      <c r="E103">
        <f>'Presupuesto Base'!D14</f>
        <v>4200</v>
      </c>
      <c r="F103" s="77">
        <f>'Presupuesto Base'!E14</f>
        <v>1227.8630460448644</v>
      </c>
      <c r="G103" s="77">
        <f>'Presupuesto Base'!F14</f>
        <v>5157024.79338843</v>
      </c>
      <c r="H103">
        <f>SUMIFS(Medicion!$K$6:$K$511,Medicion!$G$6:$G$511,$B103,Medicion!$A$6:$A$511,"&lt;"&amp;$A103)</f>
        <v>0</v>
      </c>
      <c r="I103">
        <f>SUMIFS(Medicion!$K$6:$K$511,Medicion!$G$6:$G$511,$B103,Medicion!$A$6:$A$511,$A103)</f>
        <v>0</v>
      </c>
      <c r="J103">
        <f t="shared" si="7"/>
        <v>0</v>
      </c>
      <c r="K103" s="77">
        <f t="shared" si="8"/>
        <v>0</v>
      </c>
      <c r="L103" s="77">
        <f t="shared" si="9"/>
        <v>0</v>
      </c>
      <c r="M103" s="77">
        <f t="shared" si="10"/>
        <v>0</v>
      </c>
      <c r="N103" s="77">
        <f t="shared" si="11"/>
        <v>5157024.79338843</v>
      </c>
      <c r="O103" s="100">
        <f t="shared" si="12"/>
        <v>0</v>
      </c>
      <c r="P103" t="str">
        <f t="shared" si="13"/>
        <v>OK</v>
      </c>
    </row>
    <row r="104" spans="1:16">
      <c r="A104">
        <v>6</v>
      </c>
      <c r="B104" t="str">
        <f>'Presupuesto Base'!A15</f>
        <v>8</v>
      </c>
      <c r="C104" t="str">
        <f>'Presupuesto Base'!B15</f>
        <v>Ejecución y compactación de capa cota -0,60</v>
      </c>
      <c r="D104" t="str">
        <f>'Presupuesto Base'!C15</f>
        <v>ml</v>
      </c>
      <c r="E104">
        <f>'Presupuesto Base'!D15</f>
        <v>4200</v>
      </c>
      <c r="F104" s="77">
        <f>'Presupuesto Base'!E15</f>
        <v>2592.1553194280468</v>
      </c>
      <c r="G104" s="77">
        <f>'Presupuesto Base'!F15</f>
        <v>10887052.341597797</v>
      </c>
      <c r="H104">
        <f>SUMIFS(Medicion!$K$6:$K$511,Medicion!$G$6:$G$511,$B104,Medicion!$A$6:$A$511,"&lt;"&amp;$A104)</f>
        <v>0</v>
      </c>
      <c r="I104">
        <f>SUMIFS(Medicion!$K$6:$K$511,Medicion!$G$6:$G$511,$B104,Medicion!$A$6:$A$511,$A104)</f>
        <v>0</v>
      </c>
      <c r="J104">
        <f t="shared" si="7"/>
        <v>0</v>
      </c>
      <c r="K104" s="77">
        <f t="shared" si="8"/>
        <v>0</v>
      </c>
      <c r="L104" s="77">
        <f t="shared" si="9"/>
        <v>0</v>
      </c>
      <c r="M104" s="77">
        <f t="shared" si="10"/>
        <v>0</v>
      </c>
      <c r="N104" s="77">
        <f t="shared" si="11"/>
        <v>10887052.341597797</v>
      </c>
      <c r="O104" s="100">
        <f t="shared" si="12"/>
        <v>0</v>
      </c>
      <c r="P104" t="str">
        <f t="shared" si="13"/>
        <v>OK</v>
      </c>
    </row>
    <row r="105" spans="1:16">
      <c r="A105">
        <v>6</v>
      </c>
      <c r="B105" t="str">
        <f>'Presupuesto Base'!A16</f>
        <v>9</v>
      </c>
      <c r="C105" t="str">
        <f>'Presupuesto Base'!B16</f>
        <v>Ejecución y compactación de capa cota -0,30</v>
      </c>
      <c r="D105" t="str">
        <f>'Presupuesto Base'!C16</f>
        <v>ml</v>
      </c>
      <c r="E105">
        <f>'Presupuesto Base'!D16</f>
        <v>4200</v>
      </c>
      <c r="F105" s="77">
        <f>'Presupuesto Base'!E16</f>
        <v>2182.8676374130923</v>
      </c>
      <c r="G105" s="77">
        <f>'Presupuesto Base'!F16</f>
        <v>9168044.0771349873</v>
      </c>
      <c r="H105">
        <f>SUMIFS(Medicion!$K$6:$K$511,Medicion!$G$6:$G$511,$B105,Medicion!$A$6:$A$511,"&lt;"&amp;$A105)</f>
        <v>0</v>
      </c>
      <c r="I105">
        <f>SUMIFS(Medicion!$K$6:$K$511,Medicion!$G$6:$G$511,$B105,Medicion!$A$6:$A$511,$A105)</f>
        <v>0</v>
      </c>
      <c r="J105">
        <f t="shared" si="7"/>
        <v>0</v>
      </c>
      <c r="K105" s="77">
        <f t="shared" si="8"/>
        <v>0</v>
      </c>
      <c r="L105" s="77">
        <f t="shared" si="9"/>
        <v>0</v>
      </c>
      <c r="M105" s="77">
        <f t="shared" si="10"/>
        <v>0</v>
      </c>
      <c r="N105" s="77">
        <f t="shared" si="11"/>
        <v>9168044.0771349873</v>
      </c>
      <c r="O105" s="100">
        <f t="shared" si="12"/>
        <v>0</v>
      </c>
      <c r="P105" t="str">
        <f t="shared" si="13"/>
        <v>OK</v>
      </c>
    </row>
    <row r="106" spans="1:16">
      <c r="A106">
        <v>6</v>
      </c>
      <c r="B106" t="str">
        <f>'Presupuesto Base'!A17</f>
        <v>10.1</v>
      </c>
      <c r="C106" t="str">
        <f>'Presupuesto Base'!B17</f>
        <v>Conexión domiciliaria sobre red Ø75</v>
      </c>
      <c r="D106" t="str">
        <f>'Presupuesto Base'!C17</f>
        <v>un</v>
      </c>
      <c r="E106">
        <f>'Presupuesto Base'!D17</f>
        <v>165</v>
      </c>
      <c r="F106" s="77">
        <f>'Presupuesto Base'!E17</f>
        <v>48618.415560564332</v>
      </c>
      <c r="G106" s="77">
        <f>'Presupuesto Base'!F17</f>
        <v>8022038.5674931146</v>
      </c>
      <c r="H106">
        <f>SUMIFS(Medicion!$K$6:$K$511,Medicion!$G$6:$G$511,$B106,Medicion!$A$6:$A$511,"&lt;"&amp;$A106)</f>
        <v>5</v>
      </c>
      <c r="I106">
        <f>SUMIFS(Medicion!$K$6:$K$511,Medicion!$G$6:$G$511,$B106,Medicion!$A$6:$A$511,$A106)</f>
        <v>0</v>
      </c>
      <c r="J106">
        <f t="shared" si="7"/>
        <v>5</v>
      </c>
      <c r="K106" s="77">
        <f t="shared" si="8"/>
        <v>243092.07780282164</v>
      </c>
      <c r="L106" s="77">
        <f t="shared" si="9"/>
        <v>0</v>
      </c>
      <c r="M106" s="77">
        <f t="shared" si="10"/>
        <v>243092.07780282164</v>
      </c>
      <c r="N106" s="77">
        <f t="shared" si="11"/>
        <v>7778946.4896902926</v>
      </c>
      <c r="O106" s="100">
        <f t="shared" si="12"/>
        <v>3.0303030303030304E-2</v>
      </c>
      <c r="P106" t="str">
        <f t="shared" si="13"/>
        <v>OK</v>
      </c>
    </row>
    <row r="107" spans="1:16">
      <c r="A107">
        <v>6</v>
      </c>
      <c r="B107" t="str">
        <f>'Presupuesto Base'!A18</f>
        <v>10.2</v>
      </c>
      <c r="C107" t="str">
        <f>'Presupuesto Base'!B18</f>
        <v>Conexión domiciliaria sobre red Ø110</v>
      </c>
      <c r="D107" t="str">
        <f>'Presupuesto Base'!C18</f>
        <v>un</v>
      </c>
      <c r="E107">
        <f>'Presupuesto Base'!D18</f>
        <v>62</v>
      </c>
      <c r="F107" s="77">
        <f>'Presupuesto Base'!E18</f>
        <v>55451.879498800321</v>
      </c>
      <c r="G107" s="77">
        <f>'Presupuesto Base'!F18</f>
        <v>3438016.52892562</v>
      </c>
      <c r="H107">
        <f>SUMIFS(Medicion!$K$6:$K$511,Medicion!$G$6:$G$511,$B107,Medicion!$A$6:$A$511,"&lt;"&amp;$A107)</f>
        <v>2</v>
      </c>
      <c r="I107">
        <f>SUMIFS(Medicion!$K$6:$K$511,Medicion!$G$6:$G$511,$B107,Medicion!$A$6:$A$511,$A107)</f>
        <v>0</v>
      </c>
      <c r="J107">
        <f t="shared" si="7"/>
        <v>2</v>
      </c>
      <c r="K107" s="77">
        <f t="shared" si="8"/>
        <v>110903.75899760064</v>
      </c>
      <c r="L107" s="77">
        <f t="shared" si="9"/>
        <v>0</v>
      </c>
      <c r="M107" s="77">
        <f t="shared" si="10"/>
        <v>110903.75899760064</v>
      </c>
      <c r="N107" s="77">
        <f t="shared" si="11"/>
        <v>3327112.7699280195</v>
      </c>
      <c r="O107" s="100">
        <f t="shared" si="12"/>
        <v>3.2258064516129031E-2</v>
      </c>
      <c r="P107" t="str">
        <f t="shared" si="13"/>
        <v>OK</v>
      </c>
    </row>
    <row r="108" spans="1:16">
      <c r="A108">
        <v>6</v>
      </c>
      <c r="B108" t="str">
        <f>'Presupuesto Base'!A19</f>
        <v>11.1</v>
      </c>
      <c r="C108" t="str">
        <f>'Presupuesto Base'!B19</f>
        <v>Válvula esclusa Ø75 completa e instalada</v>
      </c>
      <c r="D108" t="str">
        <f>'Presupuesto Base'!C19</f>
        <v>un</v>
      </c>
      <c r="E108">
        <f>'Presupuesto Base'!D19</f>
        <v>2</v>
      </c>
      <c r="F108" s="77">
        <f>'Presupuesto Base'!E19</f>
        <v>286501.37741046835</v>
      </c>
      <c r="G108" s="77">
        <f>'Presupuesto Base'!F19</f>
        <v>573002.75482093671</v>
      </c>
      <c r="H108">
        <f>SUMIFS(Medicion!$K$6:$K$511,Medicion!$G$6:$G$511,$B108,Medicion!$A$6:$A$511,"&lt;"&amp;$A108)</f>
        <v>0</v>
      </c>
      <c r="I108">
        <f>SUMIFS(Medicion!$K$6:$K$511,Medicion!$G$6:$G$511,$B108,Medicion!$A$6:$A$511,$A108)</f>
        <v>0</v>
      </c>
      <c r="J108">
        <f t="shared" si="7"/>
        <v>0</v>
      </c>
      <c r="K108" s="77">
        <f t="shared" si="8"/>
        <v>0</v>
      </c>
      <c r="L108" s="77">
        <f t="shared" si="9"/>
        <v>0</v>
      </c>
      <c r="M108" s="77">
        <f t="shared" si="10"/>
        <v>0</v>
      </c>
      <c r="N108" s="77">
        <f t="shared" si="11"/>
        <v>573002.75482093671</v>
      </c>
      <c r="O108" s="100">
        <f t="shared" si="12"/>
        <v>0</v>
      </c>
      <c r="P108" t="str">
        <f t="shared" si="13"/>
        <v>OK</v>
      </c>
    </row>
    <row r="109" spans="1:16">
      <c r="A109">
        <v>6</v>
      </c>
      <c r="B109" t="str">
        <f>'Presupuesto Base'!A20</f>
        <v>11.2</v>
      </c>
      <c r="C109" t="str">
        <f>'Presupuesto Base'!B20</f>
        <v>Válvula esclusa Ø100 completa e instalada</v>
      </c>
      <c r="D109" t="str">
        <f>'Presupuesto Base'!C20</f>
        <v>un</v>
      </c>
      <c r="E109">
        <f>'Presupuesto Base'!D20</f>
        <v>4</v>
      </c>
      <c r="F109" s="77">
        <f>'Presupuesto Base'!E20</f>
        <v>429752.0661157025</v>
      </c>
      <c r="G109" s="77">
        <f>'Presupuesto Base'!F20</f>
        <v>1719008.26446281</v>
      </c>
      <c r="H109">
        <f>SUMIFS(Medicion!$K$6:$K$511,Medicion!$G$6:$G$511,$B109,Medicion!$A$6:$A$511,"&lt;"&amp;$A109)</f>
        <v>0</v>
      </c>
      <c r="I109">
        <f>SUMIFS(Medicion!$K$6:$K$511,Medicion!$G$6:$G$511,$B109,Medicion!$A$6:$A$511,$A109)</f>
        <v>0</v>
      </c>
      <c r="J109">
        <f t="shared" si="7"/>
        <v>0</v>
      </c>
      <c r="K109" s="77">
        <f t="shared" si="8"/>
        <v>0</v>
      </c>
      <c r="L109" s="77">
        <f t="shared" si="9"/>
        <v>0</v>
      </c>
      <c r="M109" s="77">
        <f t="shared" si="10"/>
        <v>0</v>
      </c>
      <c r="N109" s="77">
        <f t="shared" si="11"/>
        <v>1719008.26446281</v>
      </c>
      <c r="O109" s="100">
        <f t="shared" si="12"/>
        <v>0</v>
      </c>
      <c r="P109" t="str">
        <f t="shared" si="13"/>
        <v>OK</v>
      </c>
    </row>
    <row r="110" spans="1:16">
      <c r="A110">
        <v>6</v>
      </c>
      <c r="B110" t="str">
        <f>'Presupuesto Base'!A21</f>
        <v>12</v>
      </c>
      <c r="C110" t="str">
        <f>'Presupuesto Base'!B21</f>
        <v>Hidrante a bola completo e instalado</v>
      </c>
      <c r="D110" t="str">
        <f>'Presupuesto Base'!C21</f>
        <v>un</v>
      </c>
      <c r="E110">
        <f>'Presupuesto Base'!D21</f>
        <v>15</v>
      </c>
      <c r="F110" s="77">
        <f>'Presupuesto Base'!E21</f>
        <v>114600.55096418734</v>
      </c>
      <c r="G110" s="77">
        <f>'Presupuesto Base'!F21</f>
        <v>1719008.26446281</v>
      </c>
      <c r="H110">
        <f>SUMIFS(Medicion!$K$6:$K$511,Medicion!$G$6:$G$511,$B110,Medicion!$A$6:$A$511,"&lt;"&amp;$A110)</f>
        <v>0</v>
      </c>
      <c r="I110">
        <f>SUMIFS(Medicion!$K$6:$K$511,Medicion!$G$6:$G$511,$B110,Medicion!$A$6:$A$511,$A110)</f>
        <v>0</v>
      </c>
      <c r="J110">
        <f t="shared" si="7"/>
        <v>0</v>
      </c>
      <c r="K110" s="77">
        <f t="shared" si="8"/>
        <v>0</v>
      </c>
      <c r="L110" s="77">
        <f t="shared" si="9"/>
        <v>0</v>
      </c>
      <c r="M110" s="77">
        <f t="shared" si="10"/>
        <v>0</v>
      </c>
      <c r="N110" s="77">
        <f t="shared" si="11"/>
        <v>1719008.26446281</v>
      </c>
      <c r="O110" s="100">
        <f t="shared" si="12"/>
        <v>0</v>
      </c>
      <c r="P110" t="str">
        <f t="shared" si="13"/>
        <v>OK</v>
      </c>
    </row>
    <row r="111" spans="1:16">
      <c r="A111">
        <v>6</v>
      </c>
      <c r="B111" t="str">
        <f>'Presupuesto Base'!A22</f>
        <v>13.1</v>
      </c>
      <c r="C111" t="str">
        <f>'Presupuesto Base'!B22</f>
        <v>Pruebas hidráulicas y operativas</v>
      </c>
      <c r="D111" t="str">
        <f>'Presupuesto Base'!C22</f>
        <v>gl</v>
      </c>
      <c r="E111">
        <f>'Presupuesto Base'!D22</f>
        <v>1</v>
      </c>
      <c r="F111" s="77">
        <f>'Presupuesto Base'!E22</f>
        <v>1719008.26446281</v>
      </c>
      <c r="G111" s="77">
        <f>'Presupuesto Base'!F22</f>
        <v>1719008.26446281</v>
      </c>
      <c r="H111">
        <f>SUMIFS(Medicion!$K$6:$K$511,Medicion!$G$6:$G$511,$B111,Medicion!$A$6:$A$511,"&lt;"&amp;$A111)</f>
        <v>0</v>
      </c>
      <c r="I111">
        <f>SUMIFS(Medicion!$K$6:$K$511,Medicion!$G$6:$G$511,$B111,Medicion!$A$6:$A$511,$A111)</f>
        <v>0</v>
      </c>
      <c r="J111">
        <f t="shared" si="7"/>
        <v>0</v>
      </c>
      <c r="K111" s="77">
        <f t="shared" si="8"/>
        <v>0</v>
      </c>
      <c r="L111" s="77">
        <f t="shared" si="9"/>
        <v>0</v>
      </c>
      <c r="M111" s="77">
        <f t="shared" si="10"/>
        <v>0</v>
      </c>
      <c r="N111" s="77">
        <f t="shared" si="11"/>
        <v>1719008.26446281</v>
      </c>
      <c r="O111" s="100">
        <f t="shared" si="12"/>
        <v>0</v>
      </c>
      <c r="P111" t="str">
        <f t="shared" si="13"/>
        <v>OK</v>
      </c>
    </row>
    <row r="112" spans="1:16">
      <c r="A112">
        <v>6</v>
      </c>
      <c r="B112" t="str">
        <f>'Presupuesto Base'!A23</f>
        <v>13.2</v>
      </c>
      <c r="C112" t="str">
        <f>'Presupuesto Base'!B23</f>
        <v>Terminaciones y acondicionamiento final</v>
      </c>
      <c r="D112" t="str">
        <f>'Presupuesto Base'!C23</f>
        <v>gl</v>
      </c>
      <c r="E112">
        <f>'Presupuesto Base'!D23</f>
        <v>1</v>
      </c>
      <c r="F112" s="77">
        <f>'Presupuesto Base'!E23</f>
        <v>1146005.5096418734</v>
      </c>
      <c r="G112" s="77">
        <f>'Presupuesto Base'!F23</f>
        <v>1146005.5096418734</v>
      </c>
      <c r="H112">
        <f>SUMIFS(Medicion!$K$6:$K$511,Medicion!$G$6:$G$511,$B112,Medicion!$A$6:$A$511,"&lt;"&amp;$A112)</f>
        <v>0</v>
      </c>
      <c r="I112">
        <f>SUMIFS(Medicion!$K$6:$K$511,Medicion!$G$6:$G$511,$B112,Medicion!$A$6:$A$511,$A112)</f>
        <v>0</v>
      </c>
      <c r="J112">
        <f t="shared" si="7"/>
        <v>0</v>
      </c>
      <c r="K112" s="77">
        <f t="shared" si="8"/>
        <v>0</v>
      </c>
      <c r="L112" s="77">
        <f t="shared" si="9"/>
        <v>0</v>
      </c>
      <c r="M112" s="77">
        <f t="shared" si="10"/>
        <v>0</v>
      </c>
      <c r="N112" s="77">
        <f t="shared" si="11"/>
        <v>1146005.5096418734</v>
      </c>
      <c r="O112" s="100">
        <f t="shared" si="12"/>
        <v>0</v>
      </c>
      <c r="P112" t="str">
        <f t="shared" si="13"/>
        <v>OK</v>
      </c>
    </row>
    <row r="113" spans="1:16">
      <c r="A113">
        <v>6</v>
      </c>
      <c r="B113" t="str">
        <f>'Presupuesto Base'!A24</f>
        <v>13.3</v>
      </c>
      <c r="C113" t="str">
        <f>'Presupuesto Base'!B24</f>
        <v>Documentación conforme a obra y cierre</v>
      </c>
      <c r="D113" t="str">
        <f>'Presupuesto Base'!C24</f>
        <v>gl</v>
      </c>
      <c r="E113">
        <f>'Presupuesto Base'!D24</f>
        <v>1</v>
      </c>
      <c r="F113" s="77">
        <f>'Presupuesto Base'!E24</f>
        <v>859504.132231405</v>
      </c>
      <c r="G113" s="77">
        <f>'Presupuesto Base'!F24</f>
        <v>859504.132231405</v>
      </c>
      <c r="H113">
        <f>SUMIFS(Medicion!$K$6:$K$511,Medicion!$G$6:$G$511,$B113,Medicion!$A$6:$A$511,"&lt;"&amp;$A113)</f>
        <v>0</v>
      </c>
      <c r="I113">
        <f>SUMIFS(Medicion!$K$6:$K$511,Medicion!$G$6:$G$511,$B113,Medicion!$A$6:$A$511,$A113)</f>
        <v>0</v>
      </c>
      <c r="J113">
        <f t="shared" si="7"/>
        <v>0</v>
      </c>
      <c r="K113" s="77">
        <f t="shared" si="8"/>
        <v>0</v>
      </c>
      <c r="L113" s="77">
        <f t="shared" si="9"/>
        <v>0</v>
      </c>
      <c r="M113" s="77">
        <f t="shared" si="10"/>
        <v>0</v>
      </c>
      <c r="N113" s="77">
        <f t="shared" si="11"/>
        <v>859504.132231405</v>
      </c>
      <c r="O113" s="100">
        <f t="shared" si="12"/>
        <v>0</v>
      </c>
      <c r="P113" t="str">
        <f t="shared" si="13"/>
        <v>OK</v>
      </c>
    </row>
    <row r="114" spans="1:16">
      <c r="A114">
        <v>7</v>
      </c>
      <c r="B114" t="str">
        <f>'Presupuesto Base'!A7</f>
        <v>1</v>
      </c>
      <c r="C114" t="str">
        <f>'Presupuesto Base'!B7</f>
        <v>Replanteo y marcación de traza</v>
      </c>
      <c r="D114" t="str">
        <f>'Presupuesto Base'!C7</f>
        <v>ml</v>
      </c>
      <c r="E114">
        <f>'Presupuesto Base'!D7</f>
        <v>4200</v>
      </c>
      <c r="F114" s="77">
        <f>'Presupuesto Base'!E7</f>
        <v>204.64384100747739</v>
      </c>
      <c r="G114" s="77">
        <f>'Presupuesto Base'!F7</f>
        <v>859504.132231405</v>
      </c>
      <c r="H114">
        <f>SUMIFS(Medicion!$K$6:$K$511,Medicion!$G$6:$G$511,$B114,Medicion!$A$6:$A$511,"&lt;"&amp;$A114)</f>
        <v>845</v>
      </c>
      <c r="I114">
        <f>SUMIFS(Medicion!$K$6:$K$511,Medicion!$G$6:$G$511,$B114,Medicion!$A$6:$A$511,$A114)</f>
        <v>0</v>
      </c>
      <c r="J114">
        <f t="shared" si="7"/>
        <v>845</v>
      </c>
      <c r="K114" s="77">
        <f t="shared" si="8"/>
        <v>172924.04565131839</v>
      </c>
      <c r="L114" s="77">
        <f t="shared" si="9"/>
        <v>0</v>
      </c>
      <c r="M114" s="77">
        <f t="shared" si="10"/>
        <v>172924.04565131839</v>
      </c>
      <c r="N114" s="77">
        <f t="shared" si="11"/>
        <v>686580.08658008662</v>
      </c>
      <c r="O114" s="100">
        <f t="shared" si="12"/>
        <v>0.2011904761904762</v>
      </c>
      <c r="P114" t="str">
        <f t="shared" si="13"/>
        <v>OK</v>
      </c>
    </row>
    <row r="115" spans="1:16">
      <c r="A115">
        <v>7</v>
      </c>
      <c r="B115" t="str">
        <f>'Presupuesto Base'!A8</f>
        <v>2</v>
      </c>
      <c r="C115" t="str">
        <f>'Presupuesto Base'!B8</f>
        <v>Excavación de zanja</v>
      </c>
      <c r="D115" t="str">
        <f>'Presupuesto Base'!C8</f>
        <v>ml</v>
      </c>
      <c r="E115">
        <f>'Presupuesto Base'!D8</f>
        <v>4200</v>
      </c>
      <c r="F115" s="77">
        <f>'Presupuesto Base'!E8</f>
        <v>3683.5891381345932</v>
      </c>
      <c r="G115" s="77">
        <f>'Presupuesto Base'!F8</f>
        <v>15471074.380165292</v>
      </c>
      <c r="H115">
        <f>SUMIFS(Medicion!$K$6:$K$511,Medicion!$G$6:$G$511,$B115,Medicion!$A$6:$A$511,"&lt;"&amp;$A115)</f>
        <v>845</v>
      </c>
      <c r="I115">
        <f>SUMIFS(Medicion!$K$6:$K$511,Medicion!$G$6:$G$511,$B115,Medicion!$A$6:$A$511,$A115)</f>
        <v>0</v>
      </c>
      <c r="J115">
        <f t="shared" si="7"/>
        <v>845</v>
      </c>
      <c r="K115" s="77">
        <f t="shared" si="8"/>
        <v>3112632.8217237312</v>
      </c>
      <c r="L115" s="77">
        <f t="shared" si="9"/>
        <v>0</v>
      </c>
      <c r="M115" s="77">
        <f t="shared" si="10"/>
        <v>3112632.8217237312</v>
      </c>
      <c r="N115" s="77">
        <f t="shared" si="11"/>
        <v>12358441.558441561</v>
      </c>
      <c r="O115" s="100">
        <f t="shared" si="12"/>
        <v>0.2011904761904762</v>
      </c>
      <c r="P115" t="str">
        <f t="shared" si="13"/>
        <v>OK</v>
      </c>
    </row>
    <row r="116" spans="1:16">
      <c r="A116">
        <v>7</v>
      </c>
      <c r="B116" t="str">
        <f>'Presupuesto Base'!A9</f>
        <v>3</v>
      </c>
      <c r="C116" t="str">
        <f>'Presupuesto Base'!B9</f>
        <v>Nivelación y conformación del fondo de zanja</v>
      </c>
      <c r="D116" t="str">
        <f>'Presupuesto Base'!C9</f>
        <v>ml</v>
      </c>
      <c r="E116">
        <f>'Presupuesto Base'!D9</f>
        <v>4200</v>
      </c>
      <c r="F116" s="77">
        <f>'Presupuesto Base'!E9</f>
        <v>477.50229568411396</v>
      </c>
      <c r="G116" s="77">
        <f>'Presupuesto Base'!F9</f>
        <v>2005509.6418732787</v>
      </c>
      <c r="H116">
        <f>SUMIFS(Medicion!$K$6:$K$511,Medicion!$G$6:$G$511,$B116,Medicion!$A$6:$A$511,"&lt;"&amp;$A116)</f>
        <v>845</v>
      </c>
      <c r="I116">
        <f>SUMIFS(Medicion!$K$6:$K$511,Medicion!$G$6:$G$511,$B116,Medicion!$A$6:$A$511,$A116)</f>
        <v>0</v>
      </c>
      <c r="J116">
        <f t="shared" si="7"/>
        <v>845</v>
      </c>
      <c r="K116" s="77">
        <f t="shared" si="8"/>
        <v>403489.4398530763</v>
      </c>
      <c r="L116" s="77">
        <f t="shared" si="9"/>
        <v>0</v>
      </c>
      <c r="M116" s="77">
        <f t="shared" si="10"/>
        <v>403489.4398530763</v>
      </c>
      <c r="N116" s="77">
        <f t="shared" si="11"/>
        <v>1602020.2020202023</v>
      </c>
      <c r="O116" s="100">
        <f t="shared" si="12"/>
        <v>0.2011904761904762</v>
      </c>
      <c r="P116" t="str">
        <f t="shared" si="13"/>
        <v>OK</v>
      </c>
    </row>
    <row r="117" spans="1:16">
      <c r="A117">
        <v>7</v>
      </c>
      <c r="B117" t="str">
        <f>'Presupuesto Base'!A10</f>
        <v>4</v>
      </c>
      <c r="C117" t="str">
        <f>'Presupuesto Base'!B10</f>
        <v>Cama de asiento compactada</v>
      </c>
      <c r="D117" t="str">
        <f>'Presupuesto Base'!C10</f>
        <v>ml</v>
      </c>
      <c r="E117">
        <f>'Presupuesto Base'!D10</f>
        <v>4200</v>
      </c>
      <c r="F117" s="77">
        <f>'Presupuesto Base'!E10</f>
        <v>1705.3653417289784</v>
      </c>
      <c r="G117" s="77">
        <f>'Presupuesto Base'!F10</f>
        <v>7162534.4352617087</v>
      </c>
      <c r="H117">
        <f>SUMIFS(Medicion!$K$6:$K$511,Medicion!$G$6:$G$511,$B117,Medicion!$A$6:$A$511,"&lt;"&amp;$A117)</f>
        <v>845</v>
      </c>
      <c r="I117">
        <f>SUMIFS(Medicion!$K$6:$K$511,Medicion!$G$6:$G$511,$B117,Medicion!$A$6:$A$511,$A117)</f>
        <v>0</v>
      </c>
      <c r="J117">
        <f t="shared" si="7"/>
        <v>845</v>
      </c>
      <c r="K117" s="77">
        <f t="shared" si="8"/>
        <v>1441033.7137609867</v>
      </c>
      <c r="L117" s="77">
        <f t="shared" si="9"/>
        <v>0</v>
      </c>
      <c r="M117" s="77">
        <f t="shared" si="10"/>
        <v>1441033.7137609867</v>
      </c>
      <c r="N117" s="77">
        <f t="shared" si="11"/>
        <v>5721500.7215007218</v>
      </c>
      <c r="O117" s="100">
        <f t="shared" si="12"/>
        <v>0.2011904761904762</v>
      </c>
      <c r="P117" t="str">
        <f t="shared" si="13"/>
        <v>OK</v>
      </c>
    </row>
    <row r="118" spans="1:16">
      <c r="A118">
        <v>7</v>
      </c>
      <c r="B118" t="str">
        <f>'Presupuesto Base'!A11</f>
        <v>5.1</v>
      </c>
      <c r="C118" t="str">
        <f>'Presupuesto Base'!B11</f>
        <v>PEAD PN10 Ø75 – provisión e instalación</v>
      </c>
      <c r="D118" t="str">
        <f>'Presupuesto Base'!C11</f>
        <v>ml</v>
      </c>
      <c r="E118">
        <f>'Presupuesto Base'!D11</f>
        <v>3170</v>
      </c>
      <c r="F118" s="77">
        <f>'Presupuesto Base'!E11</f>
        <v>5784.2549382555126</v>
      </c>
      <c r="G118" s="77">
        <f>'Presupuesto Base'!F11</f>
        <v>18336088.154269975</v>
      </c>
      <c r="H118">
        <f>SUMIFS(Medicion!$K$6:$K$511,Medicion!$G$6:$G$511,$B118,Medicion!$A$6:$A$511,"&lt;"&amp;$A118)</f>
        <v>558</v>
      </c>
      <c r="I118">
        <f>SUMIFS(Medicion!$K$6:$K$511,Medicion!$G$6:$G$511,$B118,Medicion!$A$6:$A$511,$A118)</f>
        <v>0</v>
      </c>
      <c r="J118">
        <f t="shared" si="7"/>
        <v>558</v>
      </c>
      <c r="K118" s="77">
        <f t="shared" si="8"/>
        <v>3227614.2555465759</v>
      </c>
      <c r="L118" s="77">
        <f t="shared" si="9"/>
        <v>0</v>
      </c>
      <c r="M118" s="77">
        <f t="shared" si="10"/>
        <v>3227614.2555465759</v>
      </c>
      <c r="N118" s="77">
        <f t="shared" si="11"/>
        <v>15108473.898723399</v>
      </c>
      <c r="O118" s="100">
        <f t="shared" si="12"/>
        <v>0.17602523659305994</v>
      </c>
      <c r="P118" t="str">
        <f t="shared" si="13"/>
        <v>OK</v>
      </c>
    </row>
    <row r="119" spans="1:16">
      <c r="A119">
        <v>7</v>
      </c>
      <c r="B119" t="str">
        <f>'Presupuesto Base'!A12</f>
        <v>5.2</v>
      </c>
      <c r="C119" t="str">
        <f>'Presupuesto Base'!B12</f>
        <v>PEAD PN10 Ø110 – provisión e instalación</v>
      </c>
      <c r="D119" t="str">
        <f>'Presupuesto Base'!C12</f>
        <v>ml</v>
      </c>
      <c r="E119">
        <f>'Presupuesto Base'!D12</f>
        <v>1030</v>
      </c>
      <c r="F119" s="77">
        <f>'Presupuesto Base'!E12</f>
        <v>12238.893792291852</v>
      </c>
      <c r="G119" s="77">
        <f>'Presupuesto Base'!F12</f>
        <v>12606060.606060607</v>
      </c>
      <c r="H119">
        <f>SUMIFS(Medicion!$K$6:$K$511,Medicion!$G$6:$G$511,$B119,Medicion!$A$6:$A$511,"&lt;"&amp;$A119)</f>
        <v>287</v>
      </c>
      <c r="I119">
        <f>SUMIFS(Medicion!$K$6:$K$511,Medicion!$G$6:$G$511,$B119,Medicion!$A$6:$A$511,$A119)</f>
        <v>0</v>
      </c>
      <c r="J119">
        <f t="shared" si="7"/>
        <v>287</v>
      </c>
      <c r="K119" s="77">
        <f t="shared" si="8"/>
        <v>3512562.5183877614</v>
      </c>
      <c r="L119" s="77">
        <f t="shared" si="9"/>
        <v>0</v>
      </c>
      <c r="M119" s="77">
        <f t="shared" si="10"/>
        <v>3512562.5183877614</v>
      </c>
      <c r="N119" s="77">
        <f t="shared" si="11"/>
        <v>9093498.0876728464</v>
      </c>
      <c r="O119" s="100">
        <f t="shared" si="12"/>
        <v>0.27864077669902915</v>
      </c>
      <c r="P119" t="str">
        <f t="shared" si="13"/>
        <v>OK</v>
      </c>
    </row>
    <row r="120" spans="1:16">
      <c r="A120">
        <v>7</v>
      </c>
      <c r="B120" t="str">
        <f>'Presupuesto Base'!A13</f>
        <v>6</v>
      </c>
      <c r="C120" t="str">
        <f>'Presupuesto Base'!B13</f>
        <v>Ejecución de paquete estructural de 30 cm</v>
      </c>
      <c r="D120" t="str">
        <f>'Presupuesto Base'!C13</f>
        <v>ml</v>
      </c>
      <c r="E120">
        <f>'Presupuesto Base'!D13</f>
        <v>4200</v>
      </c>
      <c r="F120" s="77">
        <f>'Presupuesto Base'!E13</f>
        <v>3274.3014561196383</v>
      </c>
      <c r="G120" s="77">
        <f>'Presupuesto Base'!F13</f>
        <v>13752066.11570248</v>
      </c>
      <c r="H120">
        <f>SUMIFS(Medicion!$K$6:$K$511,Medicion!$G$6:$G$511,$B120,Medicion!$A$6:$A$511,"&lt;"&amp;$A120)</f>
        <v>763</v>
      </c>
      <c r="I120">
        <f>SUMIFS(Medicion!$K$6:$K$511,Medicion!$G$6:$G$511,$B120,Medicion!$A$6:$A$511,$A120)</f>
        <v>0</v>
      </c>
      <c r="J120">
        <f t="shared" si="7"/>
        <v>763</v>
      </c>
      <c r="K120" s="77">
        <f t="shared" si="8"/>
        <v>2498292.0110192839</v>
      </c>
      <c r="L120" s="77">
        <f t="shared" si="9"/>
        <v>0</v>
      </c>
      <c r="M120" s="77">
        <f t="shared" si="10"/>
        <v>2498292.0110192839</v>
      </c>
      <c r="N120" s="77">
        <f t="shared" si="11"/>
        <v>11253774.104683196</v>
      </c>
      <c r="O120" s="100">
        <f t="shared" si="12"/>
        <v>0.18166666666666667</v>
      </c>
      <c r="P120" t="str">
        <f t="shared" si="13"/>
        <v>OK</v>
      </c>
    </row>
    <row r="121" spans="1:16">
      <c r="A121">
        <v>7</v>
      </c>
      <c r="B121" t="str">
        <f>'Presupuesto Base'!A14</f>
        <v>7</v>
      </c>
      <c r="C121" t="str">
        <f>'Presupuesto Base'!B14</f>
        <v>Compactación del paquete estructural de 30 cm</v>
      </c>
      <c r="D121" t="str">
        <f>'Presupuesto Base'!C14</f>
        <v>ml</v>
      </c>
      <c r="E121">
        <f>'Presupuesto Base'!D14</f>
        <v>4200</v>
      </c>
      <c r="F121" s="77">
        <f>'Presupuesto Base'!E14</f>
        <v>1227.8630460448644</v>
      </c>
      <c r="G121" s="77">
        <f>'Presupuesto Base'!F14</f>
        <v>5157024.79338843</v>
      </c>
      <c r="H121">
        <f>SUMIFS(Medicion!$K$6:$K$511,Medicion!$G$6:$G$511,$B121,Medicion!$A$6:$A$511,"&lt;"&amp;$A121)</f>
        <v>0</v>
      </c>
      <c r="I121">
        <f>SUMIFS(Medicion!$K$6:$K$511,Medicion!$G$6:$G$511,$B121,Medicion!$A$6:$A$511,$A121)</f>
        <v>0</v>
      </c>
      <c r="J121">
        <f t="shared" si="7"/>
        <v>0</v>
      </c>
      <c r="K121" s="77">
        <f t="shared" si="8"/>
        <v>0</v>
      </c>
      <c r="L121" s="77">
        <f t="shared" si="9"/>
        <v>0</v>
      </c>
      <c r="M121" s="77">
        <f t="shared" si="10"/>
        <v>0</v>
      </c>
      <c r="N121" s="77">
        <f t="shared" si="11"/>
        <v>5157024.79338843</v>
      </c>
      <c r="O121" s="100">
        <f t="shared" si="12"/>
        <v>0</v>
      </c>
      <c r="P121" t="str">
        <f t="shared" si="13"/>
        <v>OK</v>
      </c>
    </row>
    <row r="122" spans="1:16">
      <c r="A122">
        <v>7</v>
      </c>
      <c r="B122" t="str">
        <f>'Presupuesto Base'!A15</f>
        <v>8</v>
      </c>
      <c r="C122" t="str">
        <f>'Presupuesto Base'!B15</f>
        <v>Ejecución y compactación de capa cota -0,60</v>
      </c>
      <c r="D122" t="str">
        <f>'Presupuesto Base'!C15</f>
        <v>ml</v>
      </c>
      <c r="E122">
        <f>'Presupuesto Base'!D15</f>
        <v>4200</v>
      </c>
      <c r="F122" s="77">
        <f>'Presupuesto Base'!E15</f>
        <v>2592.1553194280468</v>
      </c>
      <c r="G122" s="77">
        <f>'Presupuesto Base'!F15</f>
        <v>10887052.341597797</v>
      </c>
      <c r="H122">
        <f>SUMIFS(Medicion!$K$6:$K$511,Medicion!$G$6:$G$511,$B122,Medicion!$A$6:$A$511,"&lt;"&amp;$A122)</f>
        <v>0</v>
      </c>
      <c r="I122">
        <f>SUMIFS(Medicion!$K$6:$K$511,Medicion!$G$6:$G$511,$B122,Medicion!$A$6:$A$511,$A122)</f>
        <v>0</v>
      </c>
      <c r="J122">
        <f t="shared" si="7"/>
        <v>0</v>
      </c>
      <c r="K122" s="77">
        <f t="shared" si="8"/>
        <v>0</v>
      </c>
      <c r="L122" s="77">
        <f t="shared" si="9"/>
        <v>0</v>
      </c>
      <c r="M122" s="77">
        <f t="shared" si="10"/>
        <v>0</v>
      </c>
      <c r="N122" s="77">
        <f t="shared" si="11"/>
        <v>10887052.341597797</v>
      </c>
      <c r="O122" s="100">
        <f t="shared" si="12"/>
        <v>0</v>
      </c>
      <c r="P122" t="str">
        <f t="shared" si="13"/>
        <v>OK</v>
      </c>
    </row>
    <row r="123" spans="1:16">
      <c r="A123">
        <v>7</v>
      </c>
      <c r="B123" t="str">
        <f>'Presupuesto Base'!A16</f>
        <v>9</v>
      </c>
      <c r="C123" t="str">
        <f>'Presupuesto Base'!B16</f>
        <v>Ejecución y compactación de capa cota -0,30</v>
      </c>
      <c r="D123" t="str">
        <f>'Presupuesto Base'!C16</f>
        <v>ml</v>
      </c>
      <c r="E123">
        <f>'Presupuesto Base'!D16</f>
        <v>4200</v>
      </c>
      <c r="F123" s="77">
        <f>'Presupuesto Base'!E16</f>
        <v>2182.8676374130923</v>
      </c>
      <c r="G123" s="77">
        <f>'Presupuesto Base'!F16</f>
        <v>9168044.0771349873</v>
      </c>
      <c r="H123">
        <f>SUMIFS(Medicion!$K$6:$K$511,Medicion!$G$6:$G$511,$B123,Medicion!$A$6:$A$511,"&lt;"&amp;$A123)</f>
        <v>0</v>
      </c>
      <c r="I123">
        <f>SUMIFS(Medicion!$K$6:$K$511,Medicion!$G$6:$G$511,$B123,Medicion!$A$6:$A$511,$A123)</f>
        <v>0</v>
      </c>
      <c r="J123">
        <f t="shared" si="7"/>
        <v>0</v>
      </c>
      <c r="K123" s="77">
        <f t="shared" si="8"/>
        <v>0</v>
      </c>
      <c r="L123" s="77">
        <f t="shared" si="9"/>
        <v>0</v>
      </c>
      <c r="M123" s="77">
        <f t="shared" si="10"/>
        <v>0</v>
      </c>
      <c r="N123" s="77">
        <f t="shared" si="11"/>
        <v>9168044.0771349873</v>
      </c>
      <c r="O123" s="100">
        <f t="shared" si="12"/>
        <v>0</v>
      </c>
      <c r="P123" t="str">
        <f t="shared" si="13"/>
        <v>OK</v>
      </c>
    </row>
    <row r="124" spans="1:16">
      <c r="A124">
        <v>7</v>
      </c>
      <c r="B124" t="str">
        <f>'Presupuesto Base'!A17</f>
        <v>10.1</v>
      </c>
      <c r="C124" t="str">
        <f>'Presupuesto Base'!B17</f>
        <v>Conexión domiciliaria sobre red Ø75</v>
      </c>
      <c r="D124" t="str">
        <f>'Presupuesto Base'!C17</f>
        <v>un</v>
      </c>
      <c r="E124">
        <f>'Presupuesto Base'!D17</f>
        <v>165</v>
      </c>
      <c r="F124" s="77">
        <f>'Presupuesto Base'!E17</f>
        <v>48618.415560564332</v>
      </c>
      <c r="G124" s="77">
        <f>'Presupuesto Base'!F17</f>
        <v>8022038.5674931146</v>
      </c>
      <c r="H124">
        <f>SUMIFS(Medicion!$K$6:$K$511,Medicion!$G$6:$G$511,$B124,Medicion!$A$6:$A$511,"&lt;"&amp;$A124)</f>
        <v>5</v>
      </c>
      <c r="I124">
        <f>SUMIFS(Medicion!$K$6:$K$511,Medicion!$G$6:$G$511,$B124,Medicion!$A$6:$A$511,$A124)</f>
        <v>0</v>
      </c>
      <c r="J124">
        <f t="shared" si="7"/>
        <v>5</v>
      </c>
      <c r="K124" s="77">
        <f t="shared" si="8"/>
        <v>243092.07780282164</v>
      </c>
      <c r="L124" s="77">
        <f t="shared" si="9"/>
        <v>0</v>
      </c>
      <c r="M124" s="77">
        <f t="shared" si="10"/>
        <v>243092.07780282164</v>
      </c>
      <c r="N124" s="77">
        <f t="shared" si="11"/>
        <v>7778946.4896902926</v>
      </c>
      <c r="O124" s="100">
        <f t="shared" si="12"/>
        <v>3.0303030303030304E-2</v>
      </c>
      <c r="P124" t="str">
        <f t="shared" si="13"/>
        <v>OK</v>
      </c>
    </row>
    <row r="125" spans="1:16">
      <c r="A125">
        <v>7</v>
      </c>
      <c r="B125" t="str">
        <f>'Presupuesto Base'!A18</f>
        <v>10.2</v>
      </c>
      <c r="C125" t="str">
        <f>'Presupuesto Base'!B18</f>
        <v>Conexión domiciliaria sobre red Ø110</v>
      </c>
      <c r="D125" t="str">
        <f>'Presupuesto Base'!C18</f>
        <v>un</v>
      </c>
      <c r="E125">
        <f>'Presupuesto Base'!D18</f>
        <v>62</v>
      </c>
      <c r="F125" s="77">
        <f>'Presupuesto Base'!E18</f>
        <v>55451.879498800321</v>
      </c>
      <c r="G125" s="77">
        <f>'Presupuesto Base'!F18</f>
        <v>3438016.52892562</v>
      </c>
      <c r="H125">
        <f>SUMIFS(Medicion!$K$6:$K$511,Medicion!$G$6:$G$511,$B125,Medicion!$A$6:$A$511,"&lt;"&amp;$A125)</f>
        <v>2</v>
      </c>
      <c r="I125">
        <f>SUMIFS(Medicion!$K$6:$K$511,Medicion!$G$6:$G$511,$B125,Medicion!$A$6:$A$511,$A125)</f>
        <v>0</v>
      </c>
      <c r="J125">
        <f t="shared" si="7"/>
        <v>2</v>
      </c>
      <c r="K125" s="77">
        <f t="shared" si="8"/>
        <v>110903.75899760064</v>
      </c>
      <c r="L125" s="77">
        <f t="shared" si="9"/>
        <v>0</v>
      </c>
      <c r="M125" s="77">
        <f t="shared" si="10"/>
        <v>110903.75899760064</v>
      </c>
      <c r="N125" s="77">
        <f t="shared" si="11"/>
        <v>3327112.7699280195</v>
      </c>
      <c r="O125" s="100">
        <f t="shared" si="12"/>
        <v>3.2258064516129031E-2</v>
      </c>
      <c r="P125" t="str">
        <f t="shared" si="13"/>
        <v>OK</v>
      </c>
    </row>
    <row r="126" spans="1:16">
      <c r="A126">
        <v>7</v>
      </c>
      <c r="B126" t="str">
        <f>'Presupuesto Base'!A19</f>
        <v>11.1</v>
      </c>
      <c r="C126" t="str">
        <f>'Presupuesto Base'!B19</f>
        <v>Válvula esclusa Ø75 completa e instalada</v>
      </c>
      <c r="D126" t="str">
        <f>'Presupuesto Base'!C19</f>
        <v>un</v>
      </c>
      <c r="E126">
        <f>'Presupuesto Base'!D19</f>
        <v>2</v>
      </c>
      <c r="F126" s="77">
        <f>'Presupuesto Base'!E19</f>
        <v>286501.37741046835</v>
      </c>
      <c r="G126" s="77">
        <f>'Presupuesto Base'!F19</f>
        <v>573002.75482093671</v>
      </c>
      <c r="H126">
        <f>SUMIFS(Medicion!$K$6:$K$511,Medicion!$G$6:$G$511,$B126,Medicion!$A$6:$A$511,"&lt;"&amp;$A126)</f>
        <v>0</v>
      </c>
      <c r="I126">
        <f>SUMIFS(Medicion!$K$6:$K$511,Medicion!$G$6:$G$511,$B126,Medicion!$A$6:$A$511,$A126)</f>
        <v>0</v>
      </c>
      <c r="J126">
        <f t="shared" si="7"/>
        <v>0</v>
      </c>
      <c r="K126" s="77">
        <f t="shared" si="8"/>
        <v>0</v>
      </c>
      <c r="L126" s="77">
        <f t="shared" si="9"/>
        <v>0</v>
      </c>
      <c r="M126" s="77">
        <f t="shared" si="10"/>
        <v>0</v>
      </c>
      <c r="N126" s="77">
        <f t="shared" si="11"/>
        <v>573002.75482093671</v>
      </c>
      <c r="O126" s="100">
        <f t="shared" si="12"/>
        <v>0</v>
      </c>
      <c r="P126" t="str">
        <f t="shared" si="13"/>
        <v>OK</v>
      </c>
    </row>
    <row r="127" spans="1:16">
      <c r="A127">
        <v>7</v>
      </c>
      <c r="B127" t="str">
        <f>'Presupuesto Base'!A20</f>
        <v>11.2</v>
      </c>
      <c r="C127" t="str">
        <f>'Presupuesto Base'!B20</f>
        <v>Válvula esclusa Ø100 completa e instalada</v>
      </c>
      <c r="D127" t="str">
        <f>'Presupuesto Base'!C20</f>
        <v>un</v>
      </c>
      <c r="E127">
        <f>'Presupuesto Base'!D20</f>
        <v>4</v>
      </c>
      <c r="F127" s="77">
        <f>'Presupuesto Base'!E20</f>
        <v>429752.0661157025</v>
      </c>
      <c r="G127" s="77">
        <f>'Presupuesto Base'!F20</f>
        <v>1719008.26446281</v>
      </c>
      <c r="H127">
        <f>SUMIFS(Medicion!$K$6:$K$511,Medicion!$G$6:$G$511,$B127,Medicion!$A$6:$A$511,"&lt;"&amp;$A127)</f>
        <v>0</v>
      </c>
      <c r="I127">
        <f>SUMIFS(Medicion!$K$6:$K$511,Medicion!$G$6:$G$511,$B127,Medicion!$A$6:$A$511,$A127)</f>
        <v>0</v>
      </c>
      <c r="J127">
        <f t="shared" si="7"/>
        <v>0</v>
      </c>
      <c r="K127" s="77">
        <f t="shared" si="8"/>
        <v>0</v>
      </c>
      <c r="L127" s="77">
        <f t="shared" si="9"/>
        <v>0</v>
      </c>
      <c r="M127" s="77">
        <f t="shared" si="10"/>
        <v>0</v>
      </c>
      <c r="N127" s="77">
        <f t="shared" si="11"/>
        <v>1719008.26446281</v>
      </c>
      <c r="O127" s="100">
        <f t="shared" si="12"/>
        <v>0</v>
      </c>
      <c r="P127" t="str">
        <f t="shared" si="13"/>
        <v>OK</v>
      </c>
    </row>
    <row r="128" spans="1:16">
      <c r="A128">
        <v>7</v>
      </c>
      <c r="B128" t="str">
        <f>'Presupuesto Base'!A21</f>
        <v>12</v>
      </c>
      <c r="C128" t="str">
        <f>'Presupuesto Base'!B21</f>
        <v>Hidrante a bola completo e instalado</v>
      </c>
      <c r="D128" t="str">
        <f>'Presupuesto Base'!C21</f>
        <v>un</v>
      </c>
      <c r="E128">
        <f>'Presupuesto Base'!D21</f>
        <v>15</v>
      </c>
      <c r="F128" s="77">
        <f>'Presupuesto Base'!E21</f>
        <v>114600.55096418734</v>
      </c>
      <c r="G128" s="77">
        <f>'Presupuesto Base'!F21</f>
        <v>1719008.26446281</v>
      </c>
      <c r="H128">
        <f>SUMIFS(Medicion!$K$6:$K$511,Medicion!$G$6:$G$511,$B128,Medicion!$A$6:$A$511,"&lt;"&amp;$A128)</f>
        <v>0</v>
      </c>
      <c r="I128">
        <f>SUMIFS(Medicion!$K$6:$K$511,Medicion!$G$6:$G$511,$B128,Medicion!$A$6:$A$511,$A128)</f>
        <v>0</v>
      </c>
      <c r="J128">
        <f t="shared" si="7"/>
        <v>0</v>
      </c>
      <c r="K128" s="77">
        <f t="shared" si="8"/>
        <v>0</v>
      </c>
      <c r="L128" s="77">
        <f t="shared" si="9"/>
        <v>0</v>
      </c>
      <c r="M128" s="77">
        <f t="shared" si="10"/>
        <v>0</v>
      </c>
      <c r="N128" s="77">
        <f t="shared" si="11"/>
        <v>1719008.26446281</v>
      </c>
      <c r="O128" s="100">
        <f t="shared" si="12"/>
        <v>0</v>
      </c>
      <c r="P128" t="str">
        <f t="shared" si="13"/>
        <v>OK</v>
      </c>
    </row>
    <row r="129" spans="1:16">
      <c r="A129">
        <v>7</v>
      </c>
      <c r="B129" t="str">
        <f>'Presupuesto Base'!A22</f>
        <v>13.1</v>
      </c>
      <c r="C129" t="str">
        <f>'Presupuesto Base'!B22</f>
        <v>Pruebas hidráulicas y operativas</v>
      </c>
      <c r="D129" t="str">
        <f>'Presupuesto Base'!C22</f>
        <v>gl</v>
      </c>
      <c r="E129">
        <f>'Presupuesto Base'!D22</f>
        <v>1</v>
      </c>
      <c r="F129" s="77">
        <f>'Presupuesto Base'!E22</f>
        <v>1719008.26446281</v>
      </c>
      <c r="G129" s="77">
        <f>'Presupuesto Base'!F22</f>
        <v>1719008.26446281</v>
      </c>
      <c r="H129">
        <f>SUMIFS(Medicion!$K$6:$K$511,Medicion!$G$6:$G$511,$B129,Medicion!$A$6:$A$511,"&lt;"&amp;$A129)</f>
        <v>0</v>
      </c>
      <c r="I129">
        <f>SUMIFS(Medicion!$K$6:$K$511,Medicion!$G$6:$G$511,$B129,Medicion!$A$6:$A$511,$A129)</f>
        <v>0</v>
      </c>
      <c r="J129">
        <f t="shared" si="7"/>
        <v>0</v>
      </c>
      <c r="K129" s="77">
        <f t="shared" si="8"/>
        <v>0</v>
      </c>
      <c r="L129" s="77">
        <f t="shared" si="9"/>
        <v>0</v>
      </c>
      <c r="M129" s="77">
        <f t="shared" si="10"/>
        <v>0</v>
      </c>
      <c r="N129" s="77">
        <f t="shared" si="11"/>
        <v>1719008.26446281</v>
      </c>
      <c r="O129" s="100">
        <f t="shared" si="12"/>
        <v>0</v>
      </c>
      <c r="P129" t="str">
        <f t="shared" si="13"/>
        <v>OK</v>
      </c>
    </row>
    <row r="130" spans="1:16">
      <c r="A130">
        <v>7</v>
      </c>
      <c r="B130" t="str">
        <f>'Presupuesto Base'!A23</f>
        <v>13.2</v>
      </c>
      <c r="C130" t="str">
        <f>'Presupuesto Base'!B23</f>
        <v>Terminaciones y acondicionamiento final</v>
      </c>
      <c r="D130" t="str">
        <f>'Presupuesto Base'!C23</f>
        <v>gl</v>
      </c>
      <c r="E130">
        <f>'Presupuesto Base'!D23</f>
        <v>1</v>
      </c>
      <c r="F130" s="77">
        <f>'Presupuesto Base'!E23</f>
        <v>1146005.5096418734</v>
      </c>
      <c r="G130" s="77">
        <f>'Presupuesto Base'!F23</f>
        <v>1146005.5096418734</v>
      </c>
      <c r="H130">
        <f>SUMIFS(Medicion!$K$6:$K$511,Medicion!$G$6:$G$511,$B130,Medicion!$A$6:$A$511,"&lt;"&amp;$A130)</f>
        <v>0</v>
      </c>
      <c r="I130">
        <f>SUMIFS(Medicion!$K$6:$K$511,Medicion!$G$6:$G$511,$B130,Medicion!$A$6:$A$511,$A130)</f>
        <v>0</v>
      </c>
      <c r="J130">
        <f t="shared" si="7"/>
        <v>0</v>
      </c>
      <c r="K130" s="77">
        <f t="shared" si="8"/>
        <v>0</v>
      </c>
      <c r="L130" s="77">
        <f t="shared" si="9"/>
        <v>0</v>
      </c>
      <c r="M130" s="77">
        <f t="shared" si="10"/>
        <v>0</v>
      </c>
      <c r="N130" s="77">
        <f t="shared" si="11"/>
        <v>1146005.5096418734</v>
      </c>
      <c r="O130" s="100">
        <f t="shared" si="12"/>
        <v>0</v>
      </c>
      <c r="P130" t="str">
        <f t="shared" si="13"/>
        <v>OK</v>
      </c>
    </row>
    <row r="131" spans="1:16">
      <c r="A131">
        <v>7</v>
      </c>
      <c r="B131" t="str">
        <f>'Presupuesto Base'!A24</f>
        <v>13.3</v>
      </c>
      <c r="C131" t="str">
        <f>'Presupuesto Base'!B24</f>
        <v>Documentación conforme a obra y cierre</v>
      </c>
      <c r="D131" t="str">
        <f>'Presupuesto Base'!C24</f>
        <v>gl</v>
      </c>
      <c r="E131">
        <f>'Presupuesto Base'!D24</f>
        <v>1</v>
      </c>
      <c r="F131" s="77">
        <f>'Presupuesto Base'!E24</f>
        <v>859504.132231405</v>
      </c>
      <c r="G131" s="77">
        <f>'Presupuesto Base'!F24</f>
        <v>859504.132231405</v>
      </c>
      <c r="H131">
        <f>SUMIFS(Medicion!$K$6:$K$511,Medicion!$G$6:$G$511,$B131,Medicion!$A$6:$A$511,"&lt;"&amp;$A131)</f>
        <v>0</v>
      </c>
      <c r="I131">
        <f>SUMIFS(Medicion!$K$6:$K$511,Medicion!$G$6:$G$511,$B131,Medicion!$A$6:$A$511,$A131)</f>
        <v>0</v>
      </c>
      <c r="J131">
        <f t="shared" si="7"/>
        <v>0</v>
      </c>
      <c r="K131" s="77">
        <f t="shared" si="8"/>
        <v>0</v>
      </c>
      <c r="L131" s="77">
        <f t="shared" si="9"/>
        <v>0</v>
      </c>
      <c r="M131" s="77">
        <f t="shared" si="10"/>
        <v>0</v>
      </c>
      <c r="N131" s="77">
        <f t="shared" si="11"/>
        <v>859504.132231405</v>
      </c>
      <c r="O131" s="100">
        <f t="shared" si="12"/>
        <v>0</v>
      </c>
      <c r="P131" t="str">
        <f t="shared" si="13"/>
        <v>OK</v>
      </c>
    </row>
    <row r="132" spans="1:16">
      <c r="A132">
        <v>8</v>
      </c>
      <c r="B132" t="str">
        <f>'Presupuesto Base'!A7</f>
        <v>1</v>
      </c>
      <c r="C132" t="str">
        <f>'Presupuesto Base'!B7</f>
        <v>Replanteo y marcación de traza</v>
      </c>
      <c r="D132" t="str">
        <f>'Presupuesto Base'!C7</f>
        <v>ml</v>
      </c>
      <c r="E132">
        <f>'Presupuesto Base'!D7</f>
        <v>4200</v>
      </c>
      <c r="F132" s="77">
        <f>'Presupuesto Base'!E7</f>
        <v>204.64384100747739</v>
      </c>
      <c r="G132" s="77">
        <f>'Presupuesto Base'!F7</f>
        <v>859504.132231405</v>
      </c>
      <c r="H132">
        <f>SUMIFS(Medicion!$K$6:$K$511,Medicion!$G$6:$G$511,$B132,Medicion!$A$6:$A$511,"&lt;"&amp;$A132)</f>
        <v>845</v>
      </c>
      <c r="I132">
        <f>SUMIFS(Medicion!$K$6:$K$511,Medicion!$G$6:$G$511,$B132,Medicion!$A$6:$A$511,$A132)</f>
        <v>0</v>
      </c>
      <c r="J132">
        <f t="shared" si="7"/>
        <v>845</v>
      </c>
      <c r="K132" s="77">
        <f t="shared" si="8"/>
        <v>172924.04565131839</v>
      </c>
      <c r="L132" s="77">
        <f t="shared" si="9"/>
        <v>0</v>
      </c>
      <c r="M132" s="77">
        <f t="shared" si="10"/>
        <v>172924.04565131839</v>
      </c>
      <c r="N132" s="77">
        <f t="shared" si="11"/>
        <v>686580.08658008662</v>
      </c>
      <c r="O132" s="100">
        <f t="shared" si="12"/>
        <v>0.2011904761904762</v>
      </c>
      <c r="P132" t="str">
        <f t="shared" si="13"/>
        <v>OK</v>
      </c>
    </row>
    <row r="133" spans="1:16">
      <c r="A133">
        <v>8</v>
      </c>
      <c r="B133" t="str">
        <f>'Presupuesto Base'!A8</f>
        <v>2</v>
      </c>
      <c r="C133" t="str">
        <f>'Presupuesto Base'!B8</f>
        <v>Excavación de zanja</v>
      </c>
      <c r="D133" t="str">
        <f>'Presupuesto Base'!C8</f>
        <v>ml</v>
      </c>
      <c r="E133">
        <f>'Presupuesto Base'!D8</f>
        <v>4200</v>
      </c>
      <c r="F133" s="77">
        <f>'Presupuesto Base'!E8</f>
        <v>3683.5891381345932</v>
      </c>
      <c r="G133" s="77">
        <f>'Presupuesto Base'!F8</f>
        <v>15471074.380165292</v>
      </c>
      <c r="H133">
        <f>SUMIFS(Medicion!$K$6:$K$511,Medicion!$G$6:$G$511,$B133,Medicion!$A$6:$A$511,"&lt;"&amp;$A133)</f>
        <v>845</v>
      </c>
      <c r="I133">
        <f>SUMIFS(Medicion!$K$6:$K$511,Medicion!$G$6:$G$511,$B133,Medicion!$A$6:$A$511,$A133)</f>
        <v>0</v>
      </c>
      <c r="J133">
        <f t="shared" si="7"/>
        <v>845</v>
      </c>
      <c r="K133" s="77">
        <f t="shared" si="8"/>
        <v>3112632.8217237312</v>
      </c>
      <c r="L133" s="77">
        <f t="shared" si="9"/>
        <v>0</v>
      </c>
      <c r="M133" s="77">
        <f t="shared" si="10"/>
        <v>3112632.8217237312</v>
      </c>
      <c r="N133" s="77">
        <f t="shared" si="11"/>
        <v>12358441.558441561</v>
      </c>
      <c r="O133" s="100">
        <f t="shared" si="12"/>
        <v>0.2011904761904762</v>
      </c>
      <c r="P133" t="str">
        <f t="shared" si="13"/>
        <v>OK</v>
      </c>
    </row>
    <row r="134" spans="1:16">
      <c r="A134">
        <v>8</v>
      </c>
      <c r="B134" t="str">
        <f>'Presupuesto Base'!A9</f>
        <v>3</v>
      </c>
      <c r="C134" t="str">
        <f>'Presupuesto Base'!B9</f>
        <v>Nivelación y conformación del fondo de zanja</v>
      </c>
      <c r="D134" t="str">
        <f>'Presupuesto Base'!C9</f>
        <v>ml</v>
      </c>
      <c r="E134">
        <f>'Presupuesto Base'!D9</f>
        <v>4200</v>
      </c>
      <c r="F134" s="77">
        <f>'Presupuesto Base'!E9</f>
        <v>477.50229568411396</v>
      </c>
      <c r="G134" s="77">
        <f>'Presupuesto Base'!F9</f>
        <v>2005509.6418732787</v>
      </c>
      <c r="H134">
        <f>SUMIFS(Medicion!$K$6:$K$511,Medicion!$G$6:$G$511,$B134,Medicion!$A$6:$A$511,"&lt;"&amp;$A134)</f>
        <v>845</v>
      </c>
      <c r="I134">
        <f>SUMIFS(Medicion!$K$6:$K$511,Medicion!$G$6:$G$511,$B134,Medicion!$A$6:$A$511,$A134)</f>
        <v>0</v>
      </c>
      <c r="J134">
        <f t="shared" ref="J134:J197" si="14">MIN(E134,H134+I134)</f>
        <v>845</v>
      </c>
      <c r="K134" s="77">
        <f t="shared" ref="K134:K197" si="15">MIN(G134,H134*F134)</f>
        <v>403489.4398530763</v>
      </c>
      <c r="L134" s="77">
        <f t="shared" ref="L134:L197" si="16">MIN(G134-K134,I134*F134)</f>
        <v>0</v>
      </c>
      <c r="M134" s="77">
        <f t="shared" ref="M134:M197" si="17">K134+L134</f>
        <v>403489.4398530763</v>
      </c>
      <c r="N134" s="77">
        <f t="shared" ref="N134:N197" si="18">MAX(0,G134-M134)</f>
        <v>1602020.2020202023</v>
      </c>
      <c r="O134" s="100">
        <f t="shared" ref="O134:O197" si="19">IFERROR(J134/E134,0)</f>
        <v>0.2011904761904762</v>
      </c>
      <c r="P134" t="str">
        <f t="shared" ref="P134:P197" si="20">IF(OR(H134+I134&gt;E134+0.000001,H134&lt;0,I134&lt;0),"REVISAR","OK")</f>
        <v>OK</v>
      </c>
    </row>
    <row r="135" spans="1:16">
      <c r="A135">
        <v>8</v>
      </c>
      <c r="B135" t="str">
        <f>'Presupuesto Base'!A10</f>
        <v>4</v>
      </c>
      <c r="C135" t="str">
        <f>'Presupuesto Base'!B10</f>
        <v>Cama de asiento compactada</v>
      </c>
      <c r="D135" t="str">
        <f>'Presupuesto Base'!C10</f>
        <v>ml</v>
      </c>
      <c r="E135">
        <f>'Presupuesto Base'!D10</f>
        <v>4200</v>
      </c>
      <c r="F135" s="77">
        <f>'Presupuesto Base'!E10</f>
        <v>1705.3653417289784</v>
      </c>
      <c r="G135" s="77">
        <f>'Presupuesto Base'!F10</f>
        <v>7162534.4352617087</v>
      </c>
      <c r="H135">
        <f>SUMIFS(Medicion!$K$6:$K$511,Medicion!$G$6:$G$511,$B135,Medicion!$A$6:$A$511,"&lt;"&amp;$A135)</f>
        <v>845</v>
      </c>
      <c r="I135">
        <f>SUMIFS(Medicion!$K$6:$K$511,Medicion!$G$6:$G$511,$B135,Medicion!$A$6:$A$511,$A135)</f>
        <v>0</v>
      </c>
      <c r="J135">
        <f t="shared" si="14"/>
        <v>845</v>
      </c>
      <c r="K135" s="77">
        <f t="shared" si="15"/>
        <v>1441033.7137609867</v>
      </c>
      <c r="L135" s="77">
        <f t="shared" si="16"/>
        <v>0</v>
      </c>
      <c r="M135" s="77">
        <f t="shared" si="17"/>
        <v>1441033.7137609867</v>
      </c>
      <c r="N135" s="77">
        <f t="shared" si="18"/>
        <v>5721500.7215007218</v>
      </c>
      <c r="O135" s="100">
        <f t="shared" si="19"/>
        <v>0.2011904761904762</v>
      </c>
      <c r="P135" t="str">
        <f t="shared" si="20"/>
        <v>OK</v>
      </c>
    </row>
    <row r="136" spans="1:16">
      <c r="A136">
        <v>8</v>
      </c>
      <c r="B136" t="str">
        <f>'Presupuesto Base'!A11</f>
        <v>5.1</v>
      </c>
      <c r="C136" t="str">
        <f>'Presupuesto Base'!B11</f>
        <v>PEAD PN10 Ø75 – provisión e instalación</v>
      </c>
      <c r="D136" t="str">
        <f>'Presupuesto Base'!C11</f>
        <v>ml</v>
      </c>
      <c r="E136">
        <f>'Presupuesto Base'!D11</f>
        <v>3170</v>
      </c>
      <c r="F136" s="77">
        <f>'Presupuesto Base'!E11</f>
        <v>5784.2549382555126</v>
      </c>
      <c r="G136" s="77">
        <f>'Presupuesto Base'!F11</f>
        <v>18336088.154269975</v>
      </c>
      <c r="H136">
        <f>SUMIFS(Medicion!$K$6:$K$511,Medicion!$G$6:$G$511,$B136,Medicion!$A$6:$A$511,"&lt;"&amp;$A136)</f>
        <v>558</v>
      </c>
      <c r="I136">
        <f>SUMIFS(Medicion!$K$6:$K$511,Medicion!$G$6:$G$511,$B136,Medicion!$A$6:$A$511,$A136)</f>
        <v>0</v>
      </c>
      <c r="J136">
        <f t="shared" si="14"/>
        <v>558</v>
      </c>
      <c r="K136" s="77">
        <f t="shared" si="15"/>
        <v>3227614.2555465759</v>
      </c>
      <c r="L136" s="77">
        <f t="shared" si="16"/>
        <v>0</v>
      </c>
      <c r="M136" s="77">
        <f t="shared" si="17"/>
        <v>3227614.2555465759</v>
      </c>
      <c r="N136" s="77">
        <f t="shared" si="18"/>
        <v>15108473.898723399</v>
      </c>
      <c r="O136" s="100">
        <f t="shared" si="19"/>
        <v>0.17602523659305994</v>
      </c>
      <c r="P136" t="str">
        <f t="shared" si="20"/>
        <v>OK</v>
      </c>
    </row>
    <row r="137" spans="1:16">
      <c r="A137">
        <v>8</v>
      </c>
      <c r="B137" t="str">
        <f>'Presupuesto Base'!A12</f>
        <v>5.2</v>
      </c>
      <c r="C137" t="str">
        <f>'Presupuesto Base'!B12</f>
        <v>PEAD PN10 Ø110 – provisión e instalación</v>
      </c>
      <c r="D137" t="str">
        <f>'Presupuesto Base'!C12</f>
        <v>ml</v>
      </c>
      <c r="E137">
        <f>'Presupuesto Base'!D12</f>
        <v>1030</v>
      </c>
      <c r="F137" s="77">
        <f>'Presupuesto Base'!E12</f>
        <v>12238.893792291852</v>
      </c>
      <c r="G137" s="77">
        <f>'Presupuesto Base'!F12</f>
        <v>12606060.606060607</v>
      </c>
      <c r="H137">
        <f>SUMIFS(Medicion!$K$6:$K$511,Medicion!$G$6:$G$511,$B137,Medicion!$A$6:$A$511,"&lt;"&amp;$A137)</f>
        <v>287</v>
      </c>
      <c r="I137">
        <f>SUMIFS(Medicion!$K$6:$K$511,Medicion!$G$6:$G$511,$B137,Medicion!$A$6:$A$511,$A137)</f>
        <v>0</v>
      </c>
      <c r="J137">
        <f t="shared" si="14"/>
        <v>287</v>
      </c>
      <c r="K137" s="77">
        <f t="shared" si="15"/>
        <v>3512562.5183877614</v>
      </c>
      <c r="L137" s="77">
        <f t="shared" si="16"/>
        <v>0</v>
      </c>
      <c r="M137" s="77">
        <f t="shared" si="17"/>
        <v>3512562.5183877614</v>
      </c>
      <c r="N137" s="77">
        <f t="shared" si="18"/>
        <v>9093498.0876728464</v>
      </c>
      <c r="O137" s="100">
        <f t="shared" si="19"/>
        <v>0.27864077669902915</v>
      </c>
      <c r="P137" t="str">
        <f t="shared" si="20"/>
        <v>OK</v>
      </c>
    </row>
    <row r="138" spans="1:16">
      <c r="A138">
        <v>8</v>
      </c>
      <c r="B138" t="str">
        <f>'Presupuesto Base'!A13</f>
        <v>6</v>
      </c>
      <c r="C138" t="str">
        <f>'Presupuesto Base'!B13</f>
        <v>Ejecución de paquete estructural de 30 cm</v>
      </c>
      <c r="D138" t="str">
        <f>'Presupuesto Base'!C13</f>
        <v>ml</v>
      </c>
      <c r="E138">
        <f>'Presupuesto Base'!D13</f>
        <v>4200</v>
      </c>
      <c r="F138" s="77">
        <f>'Presupuesto Base'!E13</f>
        <v>3274.3014561196383</v>
      </c>
      <c r="G138" s="77">
        <f>'Presupuesto Base'!F13</f>
        <v>13752066.11570248</v>
      </c>
      <c r="H138">
        <f>SUMIFS(Medicion!$K$6:$K$511,Medicion!$G$6:$G$511,$B138,Medicion!$A$6:$A$511,"&lt;"&amp;$A138)</f>
        <v>763</v>
      </c>
      <c r="I138">
        <f>SUMIFS(Medicion!$K$6:$K$511,Medicion!$G$6:$G$511,$B138,Medicion!$A$6:$A$511,$A138)</f>
        <v>0</v>
      </c>
      <c r="J138">
        <f t="shared" si="14"/>
        <v>763</v>
      </c>
      <c r="K138" s="77">
        <f t="shared" si="15"/>
        <v>2498292.0110192839</v>
      </c>
      <c r="L138" s="77">
        <f t="shared" si="16"/>
        <v>0</v>
      </c>
      <c r="M138" s="77">
        <f t="shared" si="17"/>
        <v>2498292.0110192839</v>
      </c>
      <c r="N138" s="77">
        <f t="shared" si="18"/>
        <v>11253774.104683196</v>
      </c>
      <c r="O138" s="100">
        <f t="shared" si="19"/>
        <v>0.18166666666666667</v>
      </c>
      <c r="P138" t="str">
        <f t="shared" si="20"/>
        <v>OK</v>
      </c>
    </row>
    <row r="139" spans="1:16">
      <c r="A139">
        <v>8</v>
      </c>
      <c r="B139" t="str">
        <f>'Presupuesto Base'!A14</f>
        <v>7</v>
      </c>
      <c r="C139" t="str">
        <f>'Presupuesto Base'!B14</f>
        <v>Compactación del paquete estructural de 30 cm</v>
      </c>
      <c r="D139" t="str">
        <f>'Presupuesto Base'!C14</f>
        <v>ml</v>
      </c>
      <c r="E139">
        <f>'Presupuesto Base'!D14</f>
        <v>4200</v>
      </c>
      <c r="F139" s="77">
        <f>'Presupuesto Base'!E14</f>
        <v>1227.8630460448644</v>
      </c>
      <c r="G139" s="77">
        <f>'Presupuesto Base'!F14</f>
        <v>5157024.79338843</v>
      </c>
      <c r="H139">
        <f>SUMIFS(Medicion!$K$6:$K$511,Medicion!$G$6:$G$511,$B139,Medicion!$A$6:$A$511,"&lt;"&amp;$A139)</f>
        <v>0</v>
      </c>
      <c r="I139">
        <f>SUMIFS(Medicion!$K$6:$K$511,Medicion!$G$6:$G$511,$B139,Medicion!$A$6:$A$511,$A139)</f>
        <v>0</v>
      </c>
      <c r="J139">
        <f t="shared" si="14"/>
        <v>0</v>
      </c>
      <c r="K139" s="77">
        <f t="shared" si="15"/>
        <v>0</v>
      </c>
      <c r="L139" s="77">
        <f t="shared" si="16"/>
        <v>0</v>
      </c>
      <c r="M139" s="77">
        <f t="shared" si="17"/>
        <v>0</v>
      </c>
      <c r="N139" s="77">
        <f t="shared" si="18"/>
        <v>5157024.79338843</v>
      </c>
      <c r="O139" s="100">
        <f t="shared" si="19"/>
        <v>0</v>
      </c>
      <c r="P139" t="str">
        <f t="shared" si="20"/>
        <v>OK</v>
      </c>
    </row>
    <row r="140" spans="1:16">
      <c r="A140">
        <v>8</v>
      </c>
      <c r="B140" t="str">
        <f>'Presupuesto Base'!A15</f>
        <v>8</v>
      </c>
      <c r="C140" t="str">
        <f>'Presupuesto Base'!B15</f>
        <v>Ejecución y compactación de capa cota -0,60</v>
      </c>
      <c r="D140" t="str">
        <f>'Presupuesto Base'!C15</f>
        <v>ml</v>
      </c>
      <c r="E140">
        <f>'Presupuesto Base'!D15</f>
        <v>4200</v>
      </c>
      <c r="F140" s="77">
        <f>'Presupuesto Base'!E15</f>
        <v>2592.1553194280468</v>
      </c>
      <c r="G140" s="77">
        <f>'Presupuesto Base'!F15</f>
        <v>10887052.341597797</v>
      </c>
      <c r="H140">
        <f>SUMIFS(Medicion!$K$6:$K$511,Medicion!$G$6:$G$511,$B140,Medicion!$A$6:$A$511,"&lt;"&amp;$A140)</f>
        <v>0</v>
      </c>
      <c r="I140">
        <f>SUMIFS(Medicion!$K$6:$K$511,Medicion!$G$6:$G$511,$B140,Medicion!$A$6:$A$511,$A140)</f>
        <v>0</v>
      </c>
      <c r="J140">
        <f t="shared" si="14"/>
        <v>0</v>
      </c>
      <c r="K140" s="77">
        <f t="shared" si="15"/>
        <v>0</v>
      </c>
      <c r="L140" s="77">
        <f t="shared" si="16"/>
        <v>0</v>
      </c>
      <c r="M140" s="77">
        <f t="shared" si="17"/>
        <v>0</v>
      </c>
      <c r="N140" s="77">
        <f t="shared" si="18"/>
        <v>10887052.341597797</v>
      </c>
      <c r="O140" s="100">
        <f t="shared" si="19"/>
        <v>0</v>
      </c>
      <c r="P140" t="str">
        <f t="shared" si="20"/>
        <v>OK</v>
      </c>
    </row>
    <row r="141" spans="1:16">
      <c r="A141">
        <v>8</v>
      </c>
      <c r="B141" t="str">
        <f>'Presupuesto Base'!A16</f>
        <v>9</v>
      </c>
      <c r="C141" t="str">
        <f>'Presupuesto Base'!B16</f>
        <v>Ejecución y compactación de capa cota -0,30</v>
      </c>
      <c r="D141" t="str">
        <f>'Presupuesto Base'!C16</f>
        <v>ml</v>
      </c>
      <c r="E141">
        <f>'Presupuesto Base'!D16</f>
        <v>4200</v>
      </c>
      <c r="F141" s="77">
        <f>'Presupuesto Base'!E16</f>
        <v>2182.8676374130923</v>
      </c>
      <c r="G141" s="77">
        <f>'Presupuesto Base'!F16</f>
        <v>9168044.0771349873</v>
      </c>
      <c r="H141">
        <f>SUMIFS(Medicion!$K$6:$K$511,Medicion!$G$6:$G$511,$B141,Medicion!$A$6:$A$511,"&lt;"&amp;$A141)</f>
        <v>0</v>
      </c>
      <c r="I141">
        <f>SUMIFS(Medicion!$K$6:$K$511,Medicion!$G$6:$G$511,$B141,Medicion!$A$6:$A$511,$A141)</f>
        <v>0</v>
      </c>
      <c r="J141">
        <f t="shared" si="14"/>
        <v>0</v>
      </c>
      <c r="K141" s="77">
        <f t="shared" si="15"/>
        <v>0</v>
      </c>
      <c r="L141" s="77">
        <f t="shared" si="16"/>
        <v>0</v>
      </c>
      <c r="M141" s="77">
        <f t="shared" si="17"/>
        <v>0</v>
      </c>
      <c r="N141" s="77">
        <f t="shared" si="18"/>
        <v>9168044.0771349873</v>
      </c>
      <c r="O141" s="100">
        <f t="shared" si="19"/>
        <v>0</v>
      </c>
      <c r="P141" t="str">
        <f t="shared" si="20"/>
        <v>OK</v>
      </c>
    </row>
    <row r="142" spans="1:16">
      <c r="A142">
        <v>8</v>
      </c>
      <c r="B142" t="str">
        <f>'Presupuesto Base'!A17</f>
        <v>10.1</v>
      </c>
      <c r="C142" t="str">
        <f>'Presupuesto Base'!B17</f>
        <v>Conexión domiciliaria sobre red Ø75</v>
      </c>
      <c r="D142" t="str">
        <f>'Presupuesto Base'!C17</f>
        <v>un</v>
      </c>
      <c r="E142">
        <f>'Presupuesto Base'!D17</f>
        <v>165</v>
      </c>
      <c r="F142" s="77">
        <f>'Presupuesto Base'!E17</f>
        <v>48618.415560564332</v>
      </c>
      <c r="G142" s="77">
        <f>'Presupuesto Base'!F17</f>
        <v>8022038.5674931146</v>
      </c>
      <c r="H142">
        <f>SUMIFS(Medicion!$K$6:$K$511,Medicion!$G$6:$G$511,$B142,Medicion!$A$6:$A$511,"&lt;"&amp;$A142)</f>
        <v>5</v>
      </c>
      <c r="I142">
        <f>SUMIFS(Medicion!$K$6:$K$511,Medicion!$G$6:$G$511,$B142,Medicion!$A$6:$A$511,$A142)</f>
        <v>0</v>
      </c>
      <c r="J142">
        <f t="shared" si="14"/>
        <v>5</v>
      </c>
      <c r="K142" s="77">
        <f t="shared" si="15"/>
        <v>243092.07780282164</v>
      </c>
      <c r="L142" s="77">
        <f t="shared" si="16"/>
        <v>0</v>
      </c>
      <c r="M142" s="77">
        <f t="shared" si="17"/>
        <v>243092.07780282164</v>
      </c>
      <c r="N142" s="77">
        <f t="shared" si="18"/>
        <v>7778946.4896902926</v>
      </c>
      <c r="O142" s="100">
        <f t="shared" si="19"/>
        <v>3.0303030303030304E-2</v>
      </c>
      <c r="P142" t="str">
        <f t="shared" si="20"/>
        <v>OK</v>
      </c>
    </row>
    <row r="143" spans="1:16">
      <c r="A143">
        <v>8</v>
      </c>
      <c r="B143" t="str">
        <f>'Presupuesto Base'!A18</f>
        <v>10.2</v>
      </c>
      <c r="C143" t="str">
        <f>'Presupuesto Base'!B18</f>
        <v>Conexión domiciliaria sobre red Ø110</v>
      </c>
      <c r="D143" t="str">
        <f>'Presupuesto Base'!C18</f>
        <v>un</v>
      </c>
      <c r="E143">
        <f>'Presupuesto Base'!D18</f>
        <v>62</v>
      </c>
      <c r="F143" s="77">
        <f>'Presupuesto Base'!E18</f>
        <v>55451.879498800321</v>
      </c>
      <c r="G143" s="77">
        <f>'Presupuesto Base'!F18</f>
        <v>3438016.52892562</v>
      </c>
      <c r="H143">
        <f>SUMIFS(Medicion!$K$6:$K$511,Medicion!$G$6:$G$511,$B143,Medicion!$A$6:$A$511,"&lt;"&amp;$A143)</f>
        <v>2</v>
      </c>
      <c r="I143">
        <f>SUMIFS(Medicion!$K$6:$K$511,Medicion!$G$6:$G$511,$B143,Medicion!$A$6:$A$511,$A143)</f>
        <v>0</v>
      </c>
      <c r="J143">
        <f t="shared" si="14"/>
        <v>2</v>
      </c>
      <c r="K143" s="77">
        <f t="shared" si="15"/>
        <v>110903.75899760064</v>
      </c>
      <c r="L143" s="77">
        <f t="shared" si="16"/>
        <v>0</v>
      </c>
      <c r="M143" s="77">
        <f t="shared" si="17"/>
        <v>110903.75899760064</v>
      </c>
      <c r="N143" s="77">
        <f t="shared" si="18"/>
        <v>3327112.7699280195</v>
      </c>
      <c r="O143" s="100">
        <f t="shared" si="19"/>
        <v>3.2258064516129031E-2</v>
      </c>
      <c r="P143" t="str">
        <f t="shared" si="20"/>
        <v>OK</v>
      </c>
    </row>
    <row r="144" spans="1:16">
      <c r="A144">
        <v>8</v>
      </c>
      <c r="B144" t="str">
        <f>'Presupuesto Base'!A19</f>
        <v>11.1</v>
      </c>
      <c r="C144" t="str">
        <f>'Presupuesto Base'!B19</f>
        <v>Válvula esclusa Ø75 completa e instalada</v>
      </c>
      <c r="D144" t="str">
        <f>'Presupuesto Base'!C19</f>
        <v>un</v>
      </c>
      <c r="E144">
        <f>'Presupuesto Base'!D19</f>
        <v>2</v>
      </c>
      <c r="F144" s="77">
        <f>'Presupuesto Base'!E19</f>
        <v>286501.37741046835</v>
      </c>
      <c r="G144" s="77">
        <f>'Presupuesto Base'!F19</f>
        <v>573002.75482093671</v>
      </c>
      <c r="H144">
        <f>SUMIFS(Medicion!$K$6:$K$511,Medicion!$G$6:$G$511,$B144,Medicion!$A$6:$A$511,"&lt;"&amp;$A144)</f>
        <v>0</v>
      </c>
      <c r="I144">
        <f>SUMIFS(Medicion!$K$6:$K$511,Medicion!$G$6:$G$511,$B144,Medicion!$A$6:$A$511,$A144)</f>
        <v>0</v>
      </c>
      <c r="J144">
        <f t="shared" si="14"/>
        <v>0</v>
      </c>
      <c r="K144" s="77">
        <f t="shared" si="15"/>
        <v>0</v>
      </c>
      <c r="L144" s="77">
        <f t="shared" si="16"/>
        <v>0</v>
      </c>
      <c r="M144" s="77">
        <f t="shared" si="17"/>
        <v>0</v>
      </c>
      <c r="N144" s="77">
        <f t="shared" si="18"/>
        <v>573002.75482093671</v>
      </c>
      <c r="O144" s="100">
        <f t="shared" si="19"/>
        <v>0</v>
      </c>
      <c r="P144" t="str">
        <f t="shared" si="20"/>
        <v>OK</v>
      </c>
    </row>
    <row r="145" spans="1:16">
      <c r="A145">
        <v>8</v>
      </c>
      <c r="B145" t="str">
        <f>'Presupuesto Base'!A20</f>
        <v>11.2</v>
      </c>
      <c r="C145" t="str">
        <f>'Presupuesto Base'!B20</f>
        <v>Válvula esclusa Ø100 completa e instalada</v>
      </c>
      <c r="D145" t="str">
        <f>'Presupuesto Base'!C20</f>
        <v>un</v>
      </c>
      <c r="E145">
        <f>'Presupuesto Base'!D20</f>
        <v>4</v>
      </c>
      <c r="F145" s="77">
        <f>'Presupuesto Base'!E20</f>
        <v>429752.0661157025</v>
      </c>
      <c r="G145" s="77">
        <f>'Presupuesto Base'!F20</f>
        <v>1719008.26446281</v>
      </c>
      <c r="H145">
        <f>SUMIFS(Medicion!$K$6:$K$511,Medicion!$G$6:$G$511,$B145,Medicion!$A$6:$A$511,"&lt;"&amp;$A145)</f>
        <v>0</v>
      </c>
      <c r="I145">
        <f>SUMIFS(Medicion!$K$6:$K$511,Medicion!$G$6:$G$511,$B145,Medicion!$A$6:$A$511,$A145)</f>
        <v>0</v>
      </c>
      <c r="J145">
        <f t="shared" si="14"/>
        <v>0</v>
      </c>
      <c r="K145" s="77">
        <f t="shared" si="15"/>
        <v>0</v>
      </c>
      <c r="L145" s="77">
        <f t="shared" si="16"/>
        <v>0</v>
      </c>
      <c r="M145" s="77">
        <f t="shared" si="17"/>
        <v>0</v>
      </c>
      <c r="N145" s="77">
        <f t="shared" si="18"/>
        <v>1719008.26446281</v>
      </c>
      <c r="O145" s="100">
        <f t="shared" si="19"/>
        <v>0</v>
      </c>
      <c r="P145" t="str">
        <f t="shared" si="20"/>
        <v>OK</v>
      </c>
    </row>
    <row r="146" spans="1:16">
      <c r="A146">
        <v>8</v>
      </c>
      <c r="B146" t="str">
        <f>'Presupuesto Base'!A21</f>
        <v>12</v>
      </c>
      <c r="C146" t="str">
        <f>'Presupuesto Base'!B21</f>
        <v>Hidrante a bola completo e instalado</v>
      </c>
      <c r="D146" t="str">
        <f>'Presupuesto Base'!C21</f>
        <v>un</v>
      </c>
      <c r="E146">
        <f>'Presupuesto Base'!D21</f>
        <v>15</v>
      </c>
      <c r="F146" s="77">
        <f>'Presupuesto Base'!E21</f>
        <v>114600.55096418734</v>
      </c>
      <c r="G146" s="77">
        <f>'Presupuesto Base'!F21</f>
        <v>1719008.26446281</v>
      </c>
      <c r="H146">
        <f>SUMIFS(Medicion!$K$6:$K$511,Medicion!$G$6:$G$511,$B146,Medicion!$A$6:$A$511,"&lt;"&amp;$A146)</f>
        <v>0</v>
      </c>
      <c r="I146">
        <f>SUMIFS(Medicion!$K$6:$K$511,Medicion!$G$6:$G$511,$B146,Medicion!$A$6:$A$511,$A146)</f>
        <v>0</v>
      </c>
      <c r="J146">
        <f t="shared" si="14"/>
        <v>0</v>
      </c>
      <c r="K146" s="77">
        <f t="shared" si="15"/>
        <v>0</v>
      </c>
      <c r="L146" s="77">
        <f t="shared" si="16"/>
        <v>0</v>
      </c>
      <c r="M146" s="77">
        <f t="shared" si="17"/>
        <v>0</v>
      </c>
      <c r="N146" s="77">
        <f t="shared" si="18"/>
        <v>1719008.26446281</v>
      </c>
      <c r="O146" s="100">
        <f t="shared" si="19"/>
        <v>0</v>
      </c>
      <c r="P146" t="str">
        <f t="shared" si="20"/>
        <v>OK</v>
      </c>
    </row>
    <row r="147" spans="1:16">
      <c r="A147">
        <v>8</v>
      </c>
      <c r="B147" t="str">
        <f>'Presupuesto Base'!A22</f>
        <v>13.1</v>
      </c>
      <c r="C147" t="str">
        <f>'Presupuesto Base'!B22</f>
        <v>Pruebas hidráulicas y operativas</v>
      </c>
      <c r="D147" t="str">
        <f>'Presupuesto Base'!C22</f>
        <v>gl</v>
      </c>
      <c r="E147">
        <f>'Presupuesto Base'!D22</f>
        <v>1</v>
      </c>
      <c r="F147" s="77">
        <f>'Presupuesto Base'!E22</f>
        <v>1719008.26446281</v>
      </c>
      <c r="G147" s="77">
        <f>'Presupuesto Base'!F22</f>
        <v>1719008.26446281</v>
      </c>
      <c r="H147">
        <f>SUMIFS(Medicion!$K$6:$K$511,Medicion!$G$6:$G$511,$B147,Medicion!$A$6:$A$511,"&lt;"&amp;$A147)</f>
        <v>0</v>
      </c>
      <c r="I147">
        <f>SUMIFS(Medicion!$K$6:$K$511,Medicion!$G$6:$G$511,$B147,Medicion!$A$6:$A$511,$A147)</f>
        <v>0</v>
      </c>
      <c r="J147">
        <f t="shared" si="14"/>
        <v>0</v>
      </c>
      <c r="K147" s="77">
        <f t="shared" si="15"/>
        <v>0</v>
      </c>
      <c r="L147" s="77">
        <f t="shared" si="16"/>
        <v>0</v>
      </c>
      <c r="M147" s="77">
        <f t="shared" si="17"/>
        <v>0</v>
      </c>
      <c r="N147" s="77">
        <f t="shared" si="18"/>
        <v>1719008.26446281</v>
      </c>
      <c r="O147" s="100">
        <f t="shared" si="19"/>
        <v>0</v>
      </c>
      <c r="P147" t="str">
        <f t="shared" si="20"/>
        <v>OK</v>
      </c>
    </row>
    <row r="148" spans="1:16">
      <c r="A148">
        <v>8</v>
      </c>
      <c r="B148" t="str">
        <f>'Presupuesto Base'!A23</f>
        <v>13.2</v>
      </c>
      <c r="C148" t="str">
        <f>'Presupuesto Base'!B23</f>
        <v>Terminaciones y acondicionamiento final</v>
      </c>
      <c r="D148" t="str">
        <f>'Presupuesto Base'!C23</f>
        <v>gl</v>
      </c>
      <c r="E148">
        <f>'Presupuesto Base'!D23</f>
        <v>1</v>
      </c>
      <c r="F148" s="77">
        <f>'Presupuesto Base'!E23</f>
        <v>1146005.5096418734</v>
      </c>
      <c r="G148" s="77">
        <f>'Presupuesto Base'!F23</f>
        <v>1146005.5096418734</v>
      </c>
      <c r="H148">
        <f>SUMIFS(Medicion!$K$6:$K$511,Medicion!$G$6:$G$511,$B148,Medicion!$A$6:$A$511,"&lt;"&amp;$A148)</f>
        <v>0</v>
      </c>
      <c r="I148">
        <f>SUMIFS(Medicion!$K$6:$K$511,Medicion!$G$6:$G$511,$B148,Medicion!$A$6:$A$511,$A148)</f>
        <v>0</v>
      </c>
      <c r="J148">
        <f t="shared" si="14"/>
        <v>0</v>
      </c>
      <c r="K148" s="77">
        <f t="shared" si="15"/>
        <v>0</v>
      </c>
      <c r="L148" s="77">
        <f t="shared" si="16"/>
        <v>0</v>
      </c>
      <c r="M148" s="77">
        <f t="shared" si="17"/>
        <v>0</v>
      </c>
      <c r="N148" s="77">
        <f t="shared" si="18"/>
        <v>1146005.5096418734</v>
      </c>
      <c r="O148" s="100">
        <f t="shared" si="19"/>
        <v>0</v>
      </c>
      <c r="P148" t="str">
        <f t="shared" si="20"/>
        <v>OK</v>
      </c>
    </row>
    <row r="149" spans="1:16">
      <c r="A149">
        <v>8</v>
      </c>
      <c r="B149" t="str">
        <f>'Presupuesto Base'!A24</f>
        <v>13.3</v>
      </c>
      <c r="C149" t="str">
        <f>'Presupuesto Base'!B24</f>
        <v>Documentación conforme a obra y cierre</v>
      </c>
      <c r="D149" t="str">
        <f>'Presupuesto Base'!C24</f>
        <v>gl</v>
      </c>
      <c r="E149">
        <f>'Presupuesto Base'!D24</f>
        <v>1</v>
      </c>
      <c r="F149" s="77">
        <f>'Presupuesto Base'!E24</f>
        <v>859504.132231405</v>
      </c>
      <c r="G149" s="77">
        <f>'Presupuesto Base'!F24</f>
        <v>859504.132231405</v>
      </c>
      <c r="H149">
        <f>SUMIFS(Medicion!$K$6:$K$511,Medicion!$G$6:$G$511,$B149,Medicion!$A$6:$A$511,"&lt;"&amp;$A149)</f>
        <v>0</v>
      </c>
      <c r="I149">
        <f>SUMIFS(Medicion!$K$6:$K$511,Medicion!$G$6:$G$511,$B149,Medicion!$A$6:$A$511,$A149)</f>
        <v>0</v>
      </c>
      <c r="J149">
        <f t="shared" si="14"/>
        <v>0</v>
      </c>
      <c r="K149" s="77">
        <f t="shared" si="15"/>
        <v>0</v>
      </c>
      <c r="L149" s="77">
        <f t="shared" si="16"/>
        <v>0</v>
      </c>
      <c r="M149" s="77">
        <f t="shared" si="17"/>
        <v>0</v>
      </c>
      <c r="N149" s="77">
        <f t="shared" si="18"/>
        <v>859504.132231405</v>
      </c>
      <c r="O149" s="100">
        <f t="shared" si="19"/>
        <v>0</v>
      </c>
      <c r="P149" t="str">
        <f t="shared" si="20"/>
        <v>OK</v>
      </c>
    </row>
    <row r="150" spans="1:16">
      <c r="A150">
        <v>9</v>
      </c>
      <c r="B150" t="str">
        <f>'Presupuesto Base'!A7</f>
        <v>1</v>
      </c>
      <c r="C150" t="str">
        <f>'Presupuesto Base'!B7</f>
        <v>Replanteo y marcación de traza</v>
      </c>
      <c r="D150" t="str">
        <f>'Presupuesto Base'!C7</f>
        <v>ml</v>
      </c>
      <c r="E150">
        <f>'Presupuesto Base'!D7</f>
        <v>4200</v>
      </c>
      <c r="F150" s="77">
        <f>'Presupuesto Base'!E7</f>
        <v>204.64384100747739</v>
      </c>
      <c r="G150" s="77">
        <f>'Presupuesto Base'!F7</f>
        <v>859504.132231405</v>
      </c>
      <c r="H150">
        <f>SUMIFS(Medicion!$K$6:$K$511,Medicion!$G$6:$G$511,$B150,Medicion!$A$6:$A$511,"&lt;"&amp;$A150)</f>
        <v>845</v>
      </c>
      <c r="I150">
        <f>SUMIFS(Medicion!$K$6:$K$511,Medicion!$G$6:$G$511,$B150,Medicion!$A$6:$A$511,$A150)</f>
        <v>0</v>
      </c>
      <c r="J150">
        <f t="shared" si="14"/>
        <v>845</v>
      </c>
      <c r="K150" s="77">
        <f t="shared" si="15"/>
        <v>172924.04565131839</v>
      </c>
      <c r="L150" s="77">
        <f t="shared" si="16"/>
        <v>0</v>
      </c>
      <c r="M150" s="77">
        <f t="shared" si="17"/>
        <v>172924.04565131839</v>
      </c>
      <c r="N150" s="77">
        <f t="shared" si="18"/>
        <v>686580.08658008662</v>
      </c>
      <c r="O150" s="100">
        <f t="shared" si="19"/>
        <v>0.2011904761904762</v>
      </c>
      <c r="P150" t="str">
        <f t="shared" si="20"/>
        <v>OK</v>
      </c>
    </row>
    <row r="151" spans="1:16">
      <c r="A151">
        <v>9</v>
      </c>
      <c r="B151" t="str">
        <f>'Presupuesto Base'!A8</f>
        <v>2</v>
      </c>
      <c r="C151" t="str">
        <f>'Presupuesto Base'!B8</f>
        <v>Excavación de zanja</v>
      </c>
      <c r="D151" t="str">
        <f>'Presupuesto Base'!C8</f>
        <v>ml</v>
      </c>
      <c r="E151">
        <f>'Presupuesto Base'!D8</f>
        <v>4200</v>
      </c>
      <c r="F151" s="77">
        <f>'Presupuesto Base'!E8</f>
        <v>3683.5891381345932</v>
      </c>
      <c r="G151" s="77">
        <f>'Presupuesto Base'!F8</f>
        <v>15471074.380165292</v>
      </c>
      <c r="H151">
        <f>SUMIFS(Medicion!$K$6:$K$511,Medicion!$G$6:$G$511,$B151,Medicion!$A$6:$A$511,"&lt;"&amp;$A151)</f>
        <v>845</v>
      </c>
      <c r="I151">
        <f>SUMIFS(Medicion!$K$6:$K$511,Medicion!$G$6:$G$511,$B151,Medicion!$A$6:$A$511,$A151)</f>
        <v>0</v>
      </c>
      <c r="J151">
        <f t="shared" si="14"/>
        <v>845</v>
      </c>
      <c r="K151" s="77">
        <f t="shared" si="15"/>
        <v>3112632.8217237312</v>
      </c>
      <c r="L151" s="77">
        <f t="shared" si="16"/>
        <v>0</v>
      </c>
      <c r="M151" s="77">
        <f t="shared" si="17"/>
        <v>3112632.8217237312</v>
      </c>
      <c r="N151" s="77">
        <f t="shared" si="18"/>
        <v>12358441.558441561</v>
      </c>
      <c r="O151" s="100">
        <f t="shared" si="19"/>
        <v>0.2011904761904762</v>
      </c>
      <c r="P151" t="str">
        <f t="shared" si="20"/>
        <v>OK</v>
      </c>
    </row>
    <row r="152" spans="1:16">
      <c r="A152">
        <v>9</v>
      </c>
      <c r="B152" t="str">
        <f>'Presupuesto Base'!A9</f>
        <v>3</v>
      </c>
      <c r="C152" t="str">
        <f>'Presupuesto Base'!B9</f>
        <v>Nivelación y conformación del fondo de zanja</v>
      </c>
      <c r="D152" t="str">
        <f>'Presupuesto Base'!C9</f>
        <v>ml</v>
      </c>
      <c r="E152">
        <f>'Presupuesto Base'!D9</f>
        <v>4200</v>
      </c>
      <c r="F152" s="77">
        <f>'Presupuesto Base'!E9</f>
        <v>477.50229568411396</v>
      </c>
      <c r="G152" s="77">
        <f>'Presupuesto Base'!F9</f>
        <v>2005509.6418732787</v>
      </c>
      <c r="H152">
        <f>SUMIFS(Medicion!$K$6:$K$511,Medicion!$G$6:$G$511,$B152,Medicion!$A$6:$A$511,"&lt;"&amp;$A152)</f>
        <v>845</v>
      </c>
      <c r="I152">
        <f>SUMIFS(Medicion!$K$6:$K$511,Medicion!$G$6:$G$511,$B152,Medicion!$A$6:$A$511,$A152)</f>
        <v>0</v>
      </c>
      <c r="J152">
        <f t="shared" si="14"/>
        <v>845</v>
      </c>
      <c r="K152" s="77">
        <f t="shared" si="15"/>
        <v>403489.4398530763</v>
      </c>
      <c r="L152" s="77">
        <f t="shared" si="16"/>
        <v>0</v>
      </c>
      <c r="M152" s="77">
        <f t="shared" si="17"/>
        <v>403489.4398530763</v>
      </c>
      <c r="N152" s="77">
        <f t="shared" si="18"/>
        <v>1602020.2020202023</v>
      </c>
      <c r="O152" s="100">
        <f t="shared" si="19"/>
        <v>0.2011904761904762</v>
      </c>
      <c r="P152" t="str">
        <f t="shared" si="20"/>
        <v>OK</v>
      </c>
    </row>
    <row r="153" spans="1:16">
      <c r="A153">
        <v>9</v>
      </c>
      <c r="B153" t="str">
        <f>'Presupuesto Base'!A10</f>
        <v>4</v>
      </c>
      <c r="C153" t="str">
        <f>'Presupuesto Base'!B10</f>
        <v>Cama de asiento compactada</v>
      </c>
      <c r="D153" t="str">
        <f>'Presupuesto Base'!C10</f>
        <v>ml</v>
      </c>
      <c r="E153">
        <f>'Presupuesto Base'!D10</f>
        <v>4200</v>
      </c>
      <c r="F153" s="77">
        <f>'Presupuesto Base'!E10</f>
        <v>1705.3653417289784</v>
      </c>
      <c r="G153" s="77">
        <f>'Presupuesto Base'!F10</f>
        <v>7162534.4352617087</v>
      </c>
      <c r="H153">
        <f>SUMIFS(Medicion!$K$6:$K$511,Medicion!$G$6:$G$511,$B153,Medicion!$A$6:$A$511,"&lt;"&amp;$A153)</f>
        <v>845</v>
      </c>
      <c r="I153">
        <f>SUMIFS(Medicion!$K$6:$K$511,Medicion!$G$6:$G$511,$B153,Medicion!$A$6:$A$511,$A153)</f>
        <v>0</v>
      </c>
      <c r="J153">
        <f t="shared" si="14"/>
        <v>845</v>
      </c>
      <c r="K153" s="77">
        <f t="shared" si="15"/>
        <v>1441033.7137609867</v>
      </c>
      <c r="L153" s="77">
        <f t="shared" si="16"/>
        <v>0</v>
      </c>
      <c r="M153" s="77">
        <f t="shared" si="17"/>
        <v>1441033.7137609867</v>
      </c>
      <c r="N153" s="77">
        <f t="shared" si="18"/>
        <v>5721500.7215007218</v>
      </c>
      <c r="O153" s="100">
        <f t="shared" si="19"/>
        <v>0.2011904761904762</v>
      </c>
      <c r="P153" t="str">
        <f t="shared" si="20"/>
        <v>OK</v>
      </c>
    </row>
    <row r="154" spans="1:16">
      <c r="A154">
        <v>9</v>
      </c>
      <c r="B154" t="str">
        <f>'Presupuesto Base'!A11</f>
        <v>5.1</v>
      </c>
      <c r="C154" t="str">
        <f>'Presupuesto Base'!B11</f>
        <v>PEAD PN10 Ø75 – provisión e instalación</v>
      </c>
      <c r="D154" t="str">
        <f>'Presupuesto Base'!C11</f>
        <v>ml</v>
      </c>
      <c r="E154">
        <f>'Presupuesto Base'!D11</f>
        <v>3170</v>
      </c>
      <c r="F154" s="77">
        <f>'Presupuesto Base'!E11</f>
        <v>5784.2549382555126</v>
      </c>
      <c r="G154" s="77">
        <f>'Presupuesto Base'!F11</f>
        <v>18336088.154269975</v>
      </c>
      <c r="H154">
        <f>SUMIFS(Medicion!$K$6:$K$511,Medicion!$G$6:$G$511,$B154,Medicion!$A$6:$A$511,"&lt;"&amp;$A154)</f>
        <v>558</v>
      </c>
      <c r="I154">
        <f>SUMIFS(Medicion!$K$6:$K$511,Medicion!$G$6:$G$511,$B154,Medicion!$A$6:$A$511,$A154)</f>
        <v>0</v>
      </c>
      <c r="J154">
        <f t="shared" si="14"/>
        <v>558</v>
      </c>
      <c r="K154" s="77">
        <f t="shared" si="15"/>
        <v>3227614.2555465759</v>
      </c>
      <c r="L154" s="77">
        <f t="shared" si="16"/>
        <v>0</v>
      </c>
      <c r="M154" s="77">
        <f t="shared" si="17"/>
        <v>3227614.2555465759</v>
      </c>
      <c r="N154" s="77">
        <f t="shared" si="18"/>
        <v>15108473.898723399</v>
      </c>
      <c r="O154" s="100">
        <f t="shared" si="19"/>
        <v>0.17602523659305994</v>
      </c>
      <c r="P154" t="str">
        <f t="shared" si="20"/>
        <v>OK</v>
      </c>
    </row>
    <row r="155" spans="1:16">
      <c r="A155">
        <v>9</v>
      </c>
      <c r="B155" t="str">
        <f>'Presupuesto Base'!A12</f>
        <v>5.2</v>
      </c>
      <c r="C155" t="str">
        <f>'Presupuesto Base'!B12</f>
        <v>PEAD PN10 Ø110 – provisión e instalación</v>
      </c>
      <c r="D155" t="str">
        <f>'Presupuesto Base'!C12</f>
        <v>ml</v>
      </c>
      <c r="E155">
        <f>'Presupuesto Base'!D12</f>
        <v>1030</v>
      </c>
      <c r="F155" s="77">
        <f>'Presupuesto Base'!E12</f>
        <v>12238.893792291852</v>
      </c>
      <c r="G155" s="77">
        <f>'Presupuesto Base'!F12</f>
        <v>12606060.606060607</v>
      </c>
      <c r="H155">
        <f>SUMIFS(Medicion!$K$6:$K$511,Medicion!$G$6:$G$511,$B155,Medicion!$A$6:$A$511,"&lt;"&amp;$A155)</f>
        <v>287</v>
      </c>
      <c r="I155">
        <f>SUMIFS(Medicion!$K$6:$K$511,Medicion!$G$6:$G$511,$B155,Medicion!$A$6:$A$511,$A155)</f>
        <v>0</v>
      </c>
      <c r="J155">
        <f t="shared" si="14"/>
        <v>287</v>
      </c>
      <c r="K155" s="77">
        <f t="shared" si="15"/>
        <v>3512562.5183877614</v>
      </c>
      <c r="L155" s="77">
        <f t="shared" si="16"/>
        <v>0</v>
      </c>
      <c r="M155" s="77">
        <f t="shared" si="17"/>
        <v>3512562.5183877614</v>
      </c>
      <c r="N155" s="77">
        <f t="shared" si="18"/>
        <v>9093498.0876728464</v>
      </c>
      <c r="O155" s="100">
        <f t="shared" si="19"/>
        <v>0.27864077669902915</v>
      </c>
      <c r="P155" t="str">
        <f t="shared" si="20"/>
        <v>OK</v>
      </c>
    </row>
    <row r="156" spans="1:16">
      <c r="A156">
        <v>9</v>
      </c>
      <c r="B156" t="str">
        <f>'Presupuesto Base'!A13</f>
        <v>6</v>
      </c>
      <c r="C156" t="str">
        <f>'Presupuesto Base'!B13</f>
        <v>Ejecución de paquete estructural de 30 cm</v>
      </c>
      <c r="D156" t="str">
        <f>'Presupuesto Base'!C13</f>
        <v>ml</v>
      </c>
      <c r="E156">
        <f>'Presupuesto Base'!D13</f>
        <v>4200</v>
      </c>
      <c r="F156" s="77">
        <f>'Presupuesto Base'!E13</f>
        <v>3274.3014561196383</v>
      </c>
      <c r="G156" s="77">
        <f>'Presupuesto Base'!F13</f>
        <v>13752066.11570248</v>
      </c>
      <c r="H156">
        <f>SUMIFS(Medicion!$K$6:$K$511,Medicion!$G$6:$G$511,$B156,Medicion!$A$6:$A$511,"&lt;"&amp;$A156)</f>
        <v>763</v>
      </c>
      <c r="I156">
        <f>SUMIFS(Medicion!$K$6:$K$511,Medicion!$G$6:$G$511,$B156,Medicion!$A$6:$A$511,$A156)</f>
        <v>0</v>
      </c>
      <c r="J156">
        <f t="shared" si="14"/>
        <v>763</v>
      </c>
      <c r="K156" s="77">
        <f t="shared" si="15"/>
        <v>2498292.0110192839</v>
      </c>
      <c r="L156" s="77">
        <f t="shared" si="16"/>
        <v>0</v>
      </c>
      <c r="M156" s="77">
        <f t="shared" si="17"/>
        <v>2498292.0110192839</v>
      </c>
      <c r="N156" s="77">
        <f t="shared" si="18"/>
        <v>11253774.104683196</v>
      </c>
      <c r="O156" s="100">
        <f t="shared" si="19"/>
        <v>0.18166666666666667</v>
      </c>
      <c r="P156" t="str">
        <f t="shared" si="20"/>
        <v>OK</v>
      </c>
    </row>
    <row r="157" spans="1:16">
      <c r="A157">
        <v>9</v>
      </c>
      <c r="B157" t="str">
        <f>'Presupuesto Base'!A14</f>
        <v>7</v>
      </c>
      <c r="C157" t="str">
        <f>'Presupuesto Base'!B14</f>
        <v>Compactación del paquete estructural de 30 cm</v>
      </c>
      <c r="D157" t="str">
        <f>'Presupuesto Base'!C14</f>
        <v>ml</v>
      </c>
      <c r="E157">
        <f>'Presupuesto Base'!D14</f>
        <v>4200</v>
      </c>
      <c r="F157" s="77">
        <f>'Presupuesto Base'!E14</f>
        <v>1227.8630460448644</v>
      </c>
      <c r="G157" s="77">
        <f>'Presupuesto Base'!F14</f>
        <v>5157024.79338843</v>
      </c>
      <c r="H157">
        <f>SUMIFS(Medicion!$K$6:$K$511,Medicion!$G$6:$G$511,$B157,Medicion!$A$6:$A$511,"&lt;"&amp;$A157)</f>
        <v>0</v>
      </c>
      <c r="I157">
        <f>SUMIFS(Medicion!$K$6:$K$511,Medicion!$G$6:$G$511,$B157,Medicion!$A$6:$A$511,$A157)</f>
        <v>0</v>
      </c>
      <c r="J157">
        <f t="shared" si="14"/>
        <v>0</v>
      </c>
      <c r="K157" s="77">
        <f t="shared" si="15"/>
        <v>0</v>
      </c>
      <c r="L157" s="77">
        <f t="shared" si="16"/>
        <v>0</v>
      </c>
      <c r="M157" s="77">
        <f t="shared" si="17"/>
        <v>0</v>
      </c>
      <c r="N157" s="77">
        <f t="shared" si="18"/>
        <v>5157024.79338843</v>
      </c>
      <c r="O157" s="100">
        <f t="shared" si="19"/>
        <v>0</v>
      </c>
      <c r="P157" t="str">
        <f t="shared" si="20"/>
        <v>OK</v>
      </c>
    </row>
    <row r="158" spans="1:16">
      <c r="A158">
        <v>9</v>
      </c>
      <c r="B158" t="str">
        <f>'Presupuesto Base'!A15</f>
        <v>8</v>
      </c>
      <c r="C158" t="str">
        <f>'Presupuesto Base'!B15</f>
        <v>Ejecución y compactación de capa cota -0,60</v>
      </c>
      <c r="D158" t="str">
        <f>'Presupuesto Base'!C15</f>
        <v>ml</v>
      </c>
      <c r="E158">
        <f>'Presupuesto Base'!D15</f>
        <v>4200</v>
      </c>
      <c r="F158" s="77">
        <f>'Presupuesto Base'!E15</f>
        <v>2592.1553194280468</v>
      </c>
      <c r="G158" s="77">
        <f>'Presupuesto Base'!F15</f>
        <v>10887052.341597797</v>
      </c>
      <c r="H158">
        <f>SUMIFS(Medicion!$K$6:$K$511,Medicion!$G$6:$G$511,$B158,Medicion!$A$6:$A$511,"&lt;"&amp;$A158)</f>
        <v>0</v>
      </c>
      <c r="I158">
        <f>SUMIFS(Medicion!$K$6:$K$511,Medicion!$G$6:$G$511,$B158,Medicion!$A$6:$A$511,$A158)</f>
        <v>0</v>
      </c>
      <c r="J158">
        <f t="shared" si="14"/>
        <v>0</v>
      </c>
      <c r="K158" s="77">
        <f t="shared" si="15"/>
        <v>0</v>
      </c>
      <c r="L158" s="77">
        <f t="shared" si="16"/>
        <v>0</v>
      </c>
      <c r="M158" s="77">
        <f t="shared" si="17"/>
        <v>0</v>
      </c>
      <c r="N158" s="77">
        <f t="shared" si="18"/>
        <v>10887052.341597797</v>
      </c>
      <c r="O158" s="100">
        <f t="shared" si="19"/>
        <v>0</v>
      </c>
      <c r="P158" t="str">
        <f t="shared" si="20"/>
        <v>OK</v>
      </c>
    </row>
    <row r="159" spans="1:16">
      <c r="A159">
        <v>9</v>
      </c>
      <c r="B159" t="str">
        <f>'Presupuesto Base'!A16</f>
        <v>9</v>
      </c>
      <c r="C159" t="str">
        <f>'Presupuesto Base'!B16</f>
        <v>Ejecución y compactación de capa cota -0,30</v>
      </c>
      <c r="D159" t="str">
        <f>'Presupuesto Base'!C16</f>
        <v>ml</v>
      </c>
      <c r="E159">
        <f>'Presupuesto Base'!D16</f>
        <v>4200</v>
      </c>
      <c r="F159" s="77">
        <f>'Presupuesto Base'!E16</f>
        <v>2182.8676374130923</v>
      </c>
      <c r="G159" s="77">
        <f>'Presupuesto Base'!F16</f>
        <v>9168044.0771349873</v>
      </c>
      <c r="H159">
        <f>SUMIFS(Medicion!$K$6:$K$511,Medicion!$G$6:$G$511,$B159,Medicion!$A$6:$A$511,"&lt;"&amp;$A159)</f>
        <v>0</v>
      </c>
      <c r="I159">
        <f>SUMIFS(Medicion!$K$6:$K$511,Medicion!$G$6:$G$511,$B159,Medicion!$A$6:$A$511,$A159)</f>
        <v>0</v>
      </c>
      <c r="J159">
        <f t="shared" si="14"/>
        <v>0</v>
      </c>
      <c r="K159" s="77">
        <f t="shared" si="15"/>
        <v>0</v>
      </c>
      <c r="L159" s="77">
        <f t="shared" si="16"/>
        <v>0</v>
      </c>
      <c r="M159" s="77">
        <f t="shared" si="17"/>
        <v>0</v>
      </c>
      <c r="N159" s="77">
        <f t="shared" si="18"/>
        <v>9168044.0771349873</v>
      </c>
      <c r="O159" s="100">
        <f t="shared" si="19"/>
        <v>0</v>
      </c>
      <c r="P159" t="str">
        <f t="shared" si="20"/>
        <v>OK</v>
      </c>
    </row>
    <row r="160" spans="1:16">
      <c r="A160">
        <v>9</v>
      </c>
      <c r="B160" t="str">
        <f>'Presupuesto Base'!A17</f>
        <v>10.1</v>
      </c>
      <c r="C160" t="str">
        <f>'Presupuesto Base'!B17</f>
        <v>Conexión domiciliaria sobre red Ø75</v>
      </c>
      <c r="D160" t="str">
        <f>'Presupuesto Base'!C17</f>
        <v>un</v>
      </c>
      <c r="E160">
        <f>'Presupuesto Base'!D17</f>
        <v>165</v>
      </c>
      <c r="F160" s="77">
        <f>'Presupuesto Base'!E17</f>
        <v>48618.415560564332</v>
      </c>
      <c r="G160" s="77">
        <f>'Presupuesto Base'!F17</f>
        <v>8022038.5674931146</v>
      </c>
      <c r="H160">
        <f>SUMIFS(Medicion!$K$6:$K$511,Medicion!$G$6:$G$511,$B160,Medicion!$A$6:$A$511,"&lt;"&amp;$A160)</f>
        <v>5</v>
      </c>
      <c r="I160">
        <f>SUMIFS(Medicion!$K$6:$K$511,Medicion!$G$6:$G$511,$B160,Medicion!$A$6:$A$511,$A160)</f>
        <v>0</v>
      </c>
      <c r="J160">
        <f t="shared" si="14"/>
        <v>5</v>
      </c>
      <c r="K160" s="77">
        <f t="shared" si="15"/>
        <v>243092.07780282164</v>
      </c>
      <c r="L160" s="77">
        <f t="shared" si="16"/>
        <v>0</v>
      </c>
      <c r="M160" s="77">
        <f t="shared" si="17"/>
        <v>243092.07780282164</v>
      </c>
      <c r="N160" s="77">
        <f t="shared" si="18"/>
        <v>7778946.4896902926</v>
      </c>
      <c r="O160" s="100">
        <f t="shared" si="19"/>
        <v>3.0303030303030304E-2</v>
      </c>
      <c r="P160" t="str">
        <f t="shared" si="20"/>
        <v>OK</v>
      </c>
    </row>
    <row r="161" spans="1:16">
      <c r="A161">
        <v>9</v>
      </c>
      <c r="B161" t="str">
        <f>'Presupuesto Base'!A18</f>
        <v>10.2</v>
      </c>
      <c r="C161" t="str">
        <f>'Presupuesto Base'!B18</f>
        <v>Conexión domiciliaria sobre red Ø110</v>
      </c>
      <c r="D161" t="str">
        <f>'Presupuesto Base'!C18</f>
        <v>un</v>
      </c>
      <c r="E161">
        <f>'Presupuesto Base'!D18</f>
        <v>62</v>
      </c>
      <c r="F161" s="77">
        <f>'Presupuesto Base'!E18</f>
        <v>55451.879498800321</v>
      </c>
      <c r="G161" s="77">
        <f>'Presupuesto Base'!F18</f>
        <v>3438016.52892562</v>
      </c>
      <c r="H161">
        <f>SUMIFS(Medicion!$K$6:$K$511,Medicion!$G$6:$G$511,$B161,Medicion!$A$6:$A$511,"&lt;"&amp;$A161)</f>
        <v>2</v>
      </c>
      <c r="I161">
        <f>SUMIFS(Medicion!$K$6:$K$511,Medicion!$G$6:$G$511,$B161,Medicion!$A$6:$A$511,$A161)</f>
        <v>0</v>
      </c>
      <c r="J161">
        <f t="shared" si="14"/>
        <v>2</v>
      </c>
      <c r="K161" s="77">
        <f t="shared" si="15"/>
        <v>110903.75899760064</v>
      </c>
      <c r="L161" s="77">
        <f t="shared" si="16"/>
        <v>0</v>
      </c>
      <c r="M161" s="77">
        <f t="shared" si="17"/>
        <v>110903.75899760064</v>
      </c>
      <c r="N161" s="77">
        <f t="shared" si="18"/>
        <v>3327112.7699280195</v>
      </c>
      <c r="O161" s="100">
        <f t="shared" si="19"/>
        <v>3.2258064516129031E-2</v>
      </c>
      <c r="P161" t="str">
        <f t="shared" si="20"/>
        <v>OK</v>
      </c>
    </row>
    <row r="162" spans="1:16">
      <c r="A162">
        <v>9</v>
      </c>
      <c r="B162" t="str">
        <f>'Presupuesto Base'!A19</f>
        <v>11.1</v>
      </c>
      <c r="C162" t="str">
        <f>'Presupuesto Base'!B19</f>
        <v>Válvula esclusa Ø75 completa e instalada</v>
      </c>
      <c r="D162" t="str">
        <f>'Presupuesto Base'!C19</f>
        <v>un</v>
      </c>
      <c r="E162">
        <f>'Presupuesto Base'!D19</f>
        <v>2</v>
      </c>
      <c r="F162" s="77">
        <f>'Presupuesto Base'!E19</f>
        <v>286501.37741046835</v>
      </c>
      <c r="G162" s="77">
        <f>'Presupuesto Base'!F19</f>
        <v>573002.75482093671</v>
      </c>
      <c r="H162">
        <f>SUMIFS(Medicion!$K$6:$K$511,Medicion!$G$6:$G$511,$B162,Medicion!$A$6:$A$511,"&lt;"&amp;$A162)</f>
        <v>0</v>
      </c>
      <c r="I162">
        <f>SUMIFS(Medicion!$K$6:$K$511,Medicion!$G$6:$G$511,$B162,Medicion!$A$6:$A$511,$A162)</f>
        <v>0</v>
      </c>
      <c r="J162">
        <f t="shared" si="14"/>
        <v>0</v>
      </c>
      <c r="K162" s="77">
        <f t="shared" si="15"/>
        <v>0</v>
      </c>
      <c r="L162" s="77">
        <f t="shared" si="16"/>
        <v>0</v>
      </c>
      <c r="M162" s="77">
        <f t="shared" si="17"/>
        <v>0</v>
      </c>
      <c r="N162" s="77">
        <f t="shared" si="18"/>
        <v>573002.75482093671</v>
      </c>
      <c r="O162" s="100">
        <f t="shared" si="19"/>
        <v>0</v>
      </c>
      <c r="P162" t="str">
        <f t="shared" si="20"/>
        <v>OK</v>
      </c>
    </row>
    <row r="163" spans="1:16">
      <c r="A163">
        <v>9</v>
      </c>
      <c r="B163" t="str">
        <f>'Presupuesto Base'!A20</f>
        <v>11.2</v>
      </c>
      <c r="C163" t="str">
        <f>'Presupuesto Base'!B20</f>
        <v>Válvula esclusa Ø100 completa e instalada</v>
      </c>
      <c r="D163" t="str">
        <f>'Presupuesto Base'!C20</f>
        <v>un</v>
      </c>
      <c r="E163">
        <f>'Presupuesto Base'!D20</f>
        <v>4</v>
      </c>
      <c r="F163" s="77">
        <f>'Presupuesto Base'!E20</f>
        <v>429752.0661157025</v>
      </c>
      <c r="G163" s="77">
        <f>'Presupuesto Base'!F20</f>
        <v>1719008.26446281</v>
      </c>
      <c r="H163">
        <f>SUMIFS(Medicion!$K$6:$K$511,Medicion!$G$6:$G$511,$B163,Medicion!$A$6:$A$511,"&lt;"&amp;$A163)</f>
        <v>0</v>
      </c>
      <c r="I163">
        <f>SUMIFS(Medicion!$K$6:$K$511,Medicion!$G$6:$G$511,$B163,Medicion!$A$6:$A$511,$A163)</f>
        <v>0</v>
      </c>
      <c r="J163">
        <f t="shared" si="14"/>
        <v>0</v>
      </c>
      <c r="K163" s="77">
        <f t="shared" si="15"/>
        <v>0</v>
      </c>
      <c r="L163" s="77">
        <f t="shared" si="16"/>
        <v>0</v>
      </c>
      <c r="M163" s="77">
        <f t="shared" si="17"/>
        <v>0</v>
      </c>
      <c r="N163" s="77">
        <f t="shared" si="18"/>
        <v>1719008.26446281</v>
      </c>
      <c r="O163" s="100">
        <f t="shared" si="19"/>
        <v>0</v>
      </c>
      <c r="P163" t="str">
        <f t="shared" si="20"/>
        <v>OK</v>
      </c>
    </row>
    <row r="164" spans="1:16">
      <c r="A164">
        <v>9</v>
      </c>
      <c r="B164" t="str">
        <f>'Presupuesto Base'!A21</f>
        <v>12</v>
      </c>
      <c r="C164" t="str">
        <f>'Presupuesto Base'!B21</f>
        <v>Hidrante a bola completo e instalado</v>
      </c>
      <c r="D164" t="str">
        <f>'Presupuesto Base'!C21</f>
        <v>un</v>
      </c>
      <c r="E164">
        <f>'Presupuesto Base'!D21</f>
        <v>15</v>
      </c>
      <c r="F164" s="77">
        <f>'Presupuesto Base'!E21</f>
        <v>114600.55096418734</v>
      </c>
      <c r="G164" s="77">
        <f>'Presupuesto Base'!F21</f>
        <v>1719008.26446281</v>
      </c>
      <c r="H164">
        <f>SUMIFS(Medicion!$K$6:$K$511,Medicion!$G$6:$G$511,$B164,Medicion!$A$6:$A$511,"&lt;"&amp;$A164)</f>
        <v>0</v>
      </c>
      <c r="I164">
        <f>SUMIFS(Medicion!$K$6:$K$511,Medicion!$G$6:$G$511,$B164,Medicion!$A$6:$A$511,$A164)</f>
        <v>0</v>
      </c>
      <c r="J164">
        <f t="shared" si="14"/>
        <v>0</v>
      </c>
      <c r="K164" s="77">
        <f t="shared" si="15"/>
        <v>0</v>
      </c>
      <c r="L164" s="77">
        <f t="shared" si="16"/>
        <v>0</v>
      </c>
      <c r="M164" s="77">
        <f t="shared" si="17"/>
        <v>0</v>
      </c>
      <c r="N164" s="77">
        <f t="shared" si="18"/>
        <v>1719008.26446281</v>
      </c>
      <c r="O164" s="100">
        <f t="shared" si="19"/>
        <v>0</v>
      </c>
      <c r="P164" t="str">
        <f t="shared" si="20"/>
        <v>OK</v>
      </c>
    </row>
    <row r="165" spans="1:16">
      <c r="A165">
        <v>9</v>
      </c>
      <c r="B165" t="str">
        <f>'Presupuesto Base'!A22</f>
        <v>13.1</v>
      </c>
      <c r="C165" t="str">
        <f>'Presupuesto Base'!B22</f>
        <v>Pruebas hidráulicas y operativas</v>
      </c>
      <c r="D165" t="str">
        <f>'Presupuesto Base'!C22</f>
        <v>gl</v>
      </c>
      <c r="E165">
        <f>'Presupuesto Base'!D22</f>
        <v>1</v>
      </c>
      <c r="F165" s="77">
        <f>'Presupuesto Base'!E22</f>
        <v>1719008.26446281</v>
      </c>
      <c r="G165" s="77">
        <f>'Presupuesto Base'!F22</f>
        <v>1719008.26446281</v>
      </c>
      <c r="H165">
        <f>SUMIFS(Medicion!$K$6:$K$511,Medicion!$G$6:$G$511,$B165,Medicion!$A$6:$A$511,"&lt;"&amp;$A165)</f>
        <v>0</v>
      </c>
      <c r="I165">
        <f>SUMIFS(Medicion!$K$6:$K$511,Medicion!$G$6:$G$511,$B165,Medicion!$A$6:$A$511,$A165)</f>
        <v>0</v>
      </c>
      <c r="J165">
        <f t="shared" si="14"/>
        <v>0</v>
      </c>
      <c r="K165" s="77">
        <f t="shared" si="15"/>
        <v>0</v>
      </c>
      <c r="L165" s="77">
        <f t="shared" si="16"/>
        <v>0</v>
      </c>
      <c r="M165" s="77">
        <f t="shared" si="17"/>
        <v>0</v>
      </c>
      <c r="N165" s="77">
        <f t="shared" si="18"/>
        <v>1719008.26446281</v>
      </c>
      <c r="O165" s="100">
        <f t="shared" si="19"/>
        <v>0</v>
      </c>
      <c r="P165" t="str">
        <f t="shared" si="20"/>
        <v>OK</v>
      </c>
    </row>
    <row r="166" spans="1:16">
      <c r="A166">
        <v>9</v>
      </c>
      <c r="B166" t="str">
        <f>'Presupuesto Base'!A23</f>
        <v>13.2</v>
      </c>
      <c r="C166" t="str">
        <f>'Presupuesto Base'!B23</f>
        <v>Terminaciones y acondicionamiento final</v>
      </c>
      <c r="D166" t="str">
        <f>'Presupuesto Base'!C23</f>
        <v>gl</v>
      </c>
      <c r="E166">
        <f>'Presupuesto Base'!D23</f>
        <v>1</v>
      </c>
      <c r="F166" s="77">
        <f>'Presupuesto Base'!E23</f>
        <v>1146005.5096418734</v>
      </c>
      <c r="G166" s="77">
        <f>'Presupuesto Base'!F23</f>
        <v>1146005.5096418734</v>
      </c>
      <c r="H166">
        <f>SUMIFS(Medicion!$K$6:$K$511,Medicion!$G$6:$G$511,$B166,Medicion!$A$6:$A$511,"&lt;"&amp;$A166)</f>
        <v>0</v>
      </c>
      <c r="I166">
        <f>SUMIFS(Medicion!$K$6:$K$511,Medicion!$G$6:$G$511,$B166,Medicion!$A$6:$A$511,$A166)</f>
        <v>0</v>
      </c>
      <c r="J166">
        <f t="shared" si="14"/>
        <v>0</v>
      </c>
      <c r="K166" s="77">
        <f t="shared" si="15"/>
        <v>0</v>
      </c>
      <c r="L166" s="77">
        <f t="shared" si="16"/>
        <v>0</v>
      </c>
      <c r="M166" s="77">
        <f t="shared" si="17"/>
        <v>0</v>
      </c>
      <c r="N166" s="77">
        <f t="shared" si="18"/>
        <v>1146005.5096418734</v>
      </c>
      <c r="O166" s="100">
        <f t="shared" si="19"/>
        <v>0</v>
      </c>
      <c r="P166" t="str">
        <f t="shared" si="20"/>
        <v>OK</v>
      </c>
    </row>
    <row r="167" spans="1:16">
      <c r="A167">
        <v>9</v>
      </c>
      <c r="B167" t="str">
        <f>'Presupuesto Base'!A24</f>
        <v>13.3</v>
      </c>
      <c r="C167" t="str">
        <f>'Presupuesto Base'!B24</f>
        <v>Documentación conforme a obra y cierre</v>
      </c>
      <c r="D167" t="str">
        <f>'Presupuesto Base'!C24</f>
        <v>gl</v>
      </c>
      <c r="E167">
        <f>'Presupuesto Base'!D24</f>
        <v>1</v>
      </c>
      <c r="F167" s="77">
        <f>'Presupuesto Base'!E24</f>
        <v>859504.132231405</v>
      </c>
      <c r="G167" s="77">
        <f>'Presupuesto Base'!F24</f>
        <v>859504.132231405</v>
      </c>
      <c r="H167">
        <f>SUMIFS(Medicion!$K$6:$K$511,Medicion!$G$6:$G$511,$B167,Medicion!$A$6:$A$511,"&lt;"&amp;$A167)</f>
        <v>0</v>
      </c>
      <c r="I167">
        <f>SUMIFS(Medicion!$K$6:$K$511,Medicion!$G$6:$G$511,$B167,Medicion!$A$6:$A$511,$A167)</f>
        <v>0</v>
      </c>
      <c r="J167">
        <f t="shared" si="14"/>
        <v>0</v>
      </c>
      <c r="K167" s="77">
        <f t="shared" si="15"/>
        <v>0</v>
      </c>
      <c r="L167" s="77">
        <f t="shared" si="16"/>
        <v>0</v>
      </c>
      <c r="M167" s="77">
        <f t="shared" si="17"/>
        <v>0</v>
      </c>
      <c r="N167" s="77">
        <f t="shared" si="18"/>
        <v>859504.132231405</v>
      </c>
      <c r="O167" s="100">
        <f t="shared" si="19"/>
        <v>0</v>
      </c>
      <c r="P167" t="str">
        <f t="shared" si="20"/>
        <v>OK</v>
      </c>
    </row>
    <row r="168" spans="1:16">
      <c r="A168">
        <v>10</v>
      </c>
      <c r="B168" t="str">
        <f>'Presupuesto Base'!A7</f>
        <v>1</v>
      </c>
      <c r="C168" t="str">
        <f>'Presupuesto Base'!B7</f>
        <v>Replanteo y marcación de traza</v>
      </c>
      <c r="D168" t="str">
        <f>'Presupuesto Base'!C7</f>
        <v>ml</v>
      </c>
      <c r="E168">
        <f>'Presupuesto Base'!D7</f>
        <v>4200</v>
      </c>
      <c r="F168" s="77">
        <f>'Presupuesto Base'!E7</f>
        <v>204.64384100747739</v>
      </c>
      <c r="G168" s="77">
        <f>'Presupuesto Base'!F7</f>
        <v>859504.132231405</v>
      </c>
      <c r="H168">
        <f>SUMIFS(Medicion!$K$6:$K$511,Medicion!$G$6:$G$511,$B168,Medicion!$A$6:$A$511,"&lt;"&amp;$A168)</f>
        <v>845</v>
      </c>
      <c r="I168">
        <f>SUMIFS(Medicion!$K$6:$K$511,Medicion!$G$6:$G$511,$B168,Medicion!$A$6:$A$511,$A168)</f>
        <v>0</v>
      </c>
      <c r="J168">
        <f t="shared" si="14"/>
        <v>845</v>
      </c>
      <c r="K168" s="77">
        <f t="shared" si="15"/>
        <v>172924.04565131839</v>
      </c>
      <c r="L168" s="77">
        <f t="shared" si="16"/>
        <v>0</v>
      </c>
      <c r="M168" s="77">
        <f t="shared" si="17"/>
        <v>172924.04565131839</v>
      </c>
      <c r="N168" s="77">
        <f t="shared" si="18"/>
        <v>686580.08658008662</v>
      </c>
      <c r="O168" s="100">
        <f t="shared" si="19"/>
        <v>0.2011904761904762</v>
      </c>
      <c r="P168" t="str">
        <f t="shared" si="20"/>
        <v>OK</v>
      </c>
    </row>
    <row r="169" spans="1:16">
      <c r="A169">
        <v>10</v>
      </c>
      <c r="B169" t="str">
        <f>'Presupuesto Base'!A8</f>
        <v>2</v>
      </c>
      <c r="C169" t="str">
        <f>'Presupuesto Base'!B8</f>
        <v>Excavación de zanja</v>
      </c>
      <c r="D169" t="str">
        <f>'Presupuesto Base'!C8</f>
        <v>ml</v>
      </c>
      <c r="E169">
        <f>'Presupuesto Base'!D8</f>
        <v>4200</v>
      </c>
      <c r="F169" s="77">
        <f>'Presupuesto Base'!E8</f>
        <v>3683.5891381345932</v>
      </c>
      <c r="G169" s="77">
        <f>'Presupuesto Base'!F8</f>
        <v>15471074.380165292</v>
      </c>
      <c r="H169">
        <f>SUMIFS(Medicion!$K$6:$K$511,Medicion!$G$6:$G$511,$B169,Medicion!$A$6:$A$511,"&lt;"&amp;$A169)</f>
        <v>845</v>
      </c>
      <c r="I169">
        <f>SUMIFS(Medicion!$K$6:$K$511,Medicion!$G$6:$G$511,$B169,Medicion!$A$6:$A$511,$A169)</f>
        <v>0</v>
      </c>
      <c r="J169">
        <f t="shared" si="14"/>
        <v>845</v>
      </c>
      <c r="K169" s="77">
        <f t="shared" si="15"/>
        <v>3112632.8217237312</v>
      </c>
      <c r="L169" s="77">
        <f t="shared" si="16"/>
        <v>0</v>
      </c>
      <c r="M169" s="77">
        <f t="shared" si="17"/>
        <v>3112632.8217237312</v>
      </c>
      <c r="N169" s="77">
        <f t="shared" si="18"/>
        <v>12358441.558441561</v>
      </c>
      <c r="O169" s="100">
        <f t="shared" si="19"/>
        <v>0.2011904761904762</v>
      </c>
      <c r="P169" t="str">
        <f t="shared" si="20"/>
        <v>OK</v>
      </c>
    </row>
    <row r="170" spans="1:16">
      <c r="A170">
        <v>10</v>
      </c>
      <c r="B170" t="str">
        <f>'Presupuesto Base'!A9</f>
        <v>3</v>
      </c>
      <c r="C170" t="str">
        <f>'Presupuesto Base'!B9</f>
        <v>Nivelación y conformación del fondo de zanja</v>
      </c>
      <c r="D170" t="str">
        <f>'Presupuesto Base'!C9</f>
        <v>ml</v>
      </c>
      <c r="E170">
        <f>'Presupuesto Base'!D9</f>
        <v>4200</v>
      </c>
      <c r="F170" s="77">
        <f>'Presupuesto Base'!E9</f>
        <v>477.50229568411396</v>
      </c>
      <c r="G170" s="77">
        <f>'Presupuesto Base'!F9</f>
        <v>2005509.6418732787</v>
      </c>
      <c r="H170">
        <f>SUMIFS(Medicion!$K$6:$K$511,Medicion!$G$6:$G$511,$B170,Medicion!$A$6:$A$511,"&lt;"&amp;$A170)</f>
        <v>845</v>
      </c>
      <c r="I170">
        <f>SUMIFS(Medicion!$K$6:$K$511,Medicion!$G$6:$G$511,$B170,Medicion!$A$6:$A$511,$A170)</f>
        <v>0</v>
      </c>
      <c r="J170">
        <f t="shared" si="14"/>
        <v>845</v>
      </c>
      <c r="K170" s="77">
        <f t="shared" si="15"/>
        <v>403489.4398530763</v>
      </c>
      <c r="L170" s="77">
        <f t="shared" si="16"/>
        <v>0</v>
      </c>
      <c r="M170" s="77">
        <f t="shared" si="17"/>
        <v>403489.4398530763</v>
      </c>
      <c r="N170" s="77">
        <f t="shared" si="18"/>
        <v>1602020.2020202023</v>
      </c>
      <c r="O170" s="100">
        <f t="shared" si="19"/>
        <v>0.2011904761904762</v>
      </c>
      <c r="P170" t="str">
        <f t="shared" si="20"/>
        <v>OK</v>
      </c>
    </row>
    <row r="171" spans="1:16">
      <c r="A171">
        <v>10</v>
      </c>
      <c r="B171" t="str">
        <f>'Presupuesto Base'!A10</f>
        <v>4</v>
      </c>
      <c r="C171" t="str">
        <f>'Presupuesto Base'!B10</f>
        <v>Cama de asiento compactada</v>
      </c>
      <c r="D171" t="str">
        <f>'Presupuesto Base'!C10</f>
        <v>ml</v>
      </c>
      <c r="E171">
        <f>'Presupuesto Base'!D10</f>
        <v>4200</v>
      </c>
      <c r="F171" s="77">
        <f>'Presupuesto Base'!E10</f>
        <v>1705.3653417289784</v>
      </c>
      <c r="G171" s="77">
        <f>'Presupuesto Base'!F10</f>
        <v>7162534.4352617087</v>
      </c>
      <c r="H171">
        <f>SUMIFS(Medicion!$K$6:$K$511,Medicion!$G$6:$G$511,$B171,Medicion!$A$6:$A$511,"&lt;"&amp;$A171)</f>
        <v>845</v>
      </c>
      <c r="I171">
        <f>SUMIFS(Medicion!$K$6:$K$511,Medicion!$G$6:$G$511,$B171,Medicion!$A$6:$A$511,$A171)</f>
        <v>0</v>
      </c>
      <c r="J171">
        <f t="shared" si="14"/>
        <v>845</v>
      </c>
      <c r="K171" s="77">
        <f t="shared" si="15"/>
        <v>1441033.7137609867</v>
      </c>
      <c r="L171" s="77">
        <f t="shared" si="16"/>
        <v>0</v>
      </c>
      <c r="M171" s="77">
        <f t="shared" si="17"/>
        <v>1441033.7137609867</v>
      </c>
      <c r="N171" s="77">
        <f t="shared" si="18"/>
        <v>5721500.7215007218</v>
      </c>
      <c r="O171" s="100">
        <f t="shared" si="19"/>
        <v>0.2011904761904762</v>
      </c>
      <c r="P171" t="str">
        <f t="shared" si="20"/>
        <v>OK</v>
      </c>
    </row>
    <row r="172" spans="1:16">
      <c r="A172">
        <v>10</v>
      </c>
      <c r="B172" t="str">
        <f>'Presupuesto Base'!A11</f>
        <v>5.1</v>
      </c>
      <c r="C172" t="str">
        <f>'Presupuesto Base'!B11</f>
        <v>PEAD PN10 Ø75 – provisión e instalación</v>
      </c>
      <c r="D172" t="str">
        <f>'Presupuesto Base'!C11</f>
        <v>ml</v>
      </c>
      <c r="E172">
        <f>'Presupuesto Base'!D11</f>
        <v>3170</v>
      </c>
      <c r="F172" s="77">
        <f>'Presupuesto Base'!E11</f>
        <v>5784.2549382555126</v>
      </c>
      <c r="G172" s="77">
        <f>'Presupuesto Base'!F11</f>
        <v>18336088.154269975</v>
      </c>
      <c r="H172">
        <f>SUMIFS(Medicion!$K$6:$K$511,Medicion!$G$6:$G$511,$B172,Medicion!$A$6:$A$511,"&lt;"&amp;$A172)</f>
        <v>558</v>
      </c>
      <c r="I172">
        <f>SUMIFS(Medicion!$K$6:$K$511,Medicion!$G$6:$G$511,$B172,Medicion!$A$6:$A$511,$A172)</f>
        <v>0</v>
      </c>
      <c r="J172">
        <f t="shared" si="14"/>
        <v>558</v>
      </c>
      <c r="K172" s="77">
        <f t="shared" si="15"/>
        <v>3227614.2555465759</v>
      </c>
      <c r="L172" s="77">
        <f t="shared" si="16"/>
        <v>0</v>
      </c>
      <c r="M172" s="77">
        <f t="shared" si="17"/>
        <v>3227614.2555465759</v>
      </c>
      <c r="N172" s="77">
        <f t="shared" si="18"/>
        <v>15108473.898723399</v>
      </c>
      <c r="O172" s="100">
        <f t="shared" si="19"/>
        <v>0.17602523659305994</v>
      </c>
      <c r="P172" t="str">
        <f t="shared" si="20"/>
        <v>OK</v>
      </c>
    </row>
    <row r="173" spans="1:16">
      <c r="A173">
        <v>10</v>
      </c>
      <c r="B173" t="str">
        <f>'Presupuesto Base'!A12</f>
        <v>5.2</v>
      </c>
      <c r="C173" t="str">
        <f>'Presupuesto Base'!B12</f>
        <v>PEAD PN10 Ø110 – provisión e instalación</v>
      </c>
      <c r="D173" t="str">
        <f>'Presupuesto Base'!C12</f>
        <v>ml</v>
      </c>
      <c r="E173">
        <f>'Presupuesto Base'!D12</f>
        <v>1030</v>
      </c>
      <c r="F173" s="77">
        <f>'Presupuesto Base'!E12</f>
        <v>12238.893792291852</v>
      </c>
      <c r="G173" s="77">
        <f>'Presupuesto Base'!F12</f>
        <v>12606060.606060607</v>
      </c>
      <c r="H173">
        <f>SUMIFS(Medicion!$K$6:$K$511,Medicion!$G$6:$G$511,$B173,Medicion!$A$6:$A$511,"&lt;"&amp;$A173)</f>
        <v>287</v>
      </c>
      <c r="I173">
        <f>SUMIFS(Medicion!$K$6:$K$511,Medicion!$G$6:$G$511,$B173,Medicion!$A$6:$A$511,$A173)</f>
        <v>0</v>
      </c>
      <c r="J173">
        <f t="shared" si="14"/>
        <v>287</v>
      </c>
      <c r="K173" s="77">
        <f t="shared" si="15"/>
        <v>3512562.5183877614</v>
      </c>
      <c r="L173" s="77">
        <f t="shared" si="16"/>
        <v>0</v>
      </c>
      <c r="M173" s="77">
        <f t="shared" si="17"/>
        <v>3512562.5183877614</v>
      </c>
      <c r="N173" s="77">
        <f t="shared" si="18"/>
        <v>9093498.0876728464</v>
      </c>
      <c r="O173" s="100">
        <f t="shared" si="19"/>
        <v>0.27864077669902915</v>
      </c>
      <c r="P173" t="str">
        <f t="shared" si="20"/>
        <v>OK</v>
      </c>
    </row>
    <row r="174" spans="1:16">
      <c r="A174">
        <v>10</v>
      </c>
      <c r="B174" t="str">
        <f>'Presupuesto Base'!A13</f>
        <v>6</v>
      </c>
      <c r="C174" t="str">
        <f>'Presupuesto Base'!B13</f>
        <v>Ejecución de paquete estructural de 30 cm</v>
      </c>
      <c r="D174" t="str">
        <f>'Presupuesto Base'!C13</f>
        <v>ml</v>
      </c>
      <c r="E174">
        <f>'Presupuesto Base'!D13</f>
        <v>4200</v>
      </c>
      <c r="F174" s="77">
        <f>'Presupuesto Base'!E13</f>
        <v>3274.3014561196383</v>
      </c>
      <c r="G174" s="77">
        <f>'Presupuesto Base'!F13</f>
        <v>13752066.11570248</v>
      </c>
      <c r="H174">
        <f>SUMIFS(Medicion!$K$6:$K$511,Medicion!$G$6:$G$511,$B174,Medicion!$A$6:$A$511,"&lt;"&amp;$A174)</f>
        <v>763</v>
      </c>
      <c r="I174">
        <f>SUMIFS(Medicion!$K$6:$K$511,Medicion!$G$6:$G$511,$B174,Medicion!$A$6:$A$511,$A174)</f>
        <v>0</v>
      </c>
      <c r="J174">
        <f t="shared" si="14"/>
        <v>763</v>
      </c>
      <c r="K174" s="77">
        <f t="shared" si="15"/>
        <v>2498292.0110192839</v>
      </c>
      <c r="L174" s="77">
        <f t="shared" si="16"/>
        <v>0</v>
      </c>
      <c r="M174" s="77">
        <f t="shared" si="17"/>
        <v>2498292.0110192839</v>
      </c>
      <c r="N174" s="77">
        <f t="shared" si="18"/>
        <v>11253774.104683196</v>
      </c>
      <c r="O174" s="100">
        <f t="shared" si="19"/>
        <v>0.18166666666666667</v>
      </c>
      <c r="P174" t="str">
        <f t="shared" si="20"/>
        <v>OK</v>
      </c>
    </row>
    <row r="175" spans="1:16">
      <c r="A175">
        <v>10</v>
      </c>
      <c r="B175" t="str">
        <f>'Presupuesto Base'!A14</f>
        <v>7</v>
      </c>
      <c r="C175" t="str">
        <f>'Presupuesto Base'!B14</f>
        <v>Compactación del paquete estructural de 30 cm</v>
      </c>
      <c r="D175" t="str">
        <f>'Presupuesto Base'!C14</f>
        <v>ml</v>
      </c>
      <c r="E175">
        <f>'Presupuesto Base'!D14</f>
        <v>4200</v>
      </c>
      <c r="F175" s="77">
        <f>'Presupuesto Base'!E14</f>
        <v>1227.8630460448644</v>
      </c>
      <c r="G175" s="77">
        <f>'Presupuesto Base'!F14</f>
        <v>5157024.79338843</v>
      </c>
      <c r="H175">
        <f>SUMIFS(Medicion!$K$6:$K$511,Medicion!$G$6:$G$511,$B175,Medicion!$A$6:$A$511,"&lt;"&amp;$A175)</f>
        <v>0</v>
      </c>
      <c r="I175">
        <f>SUMIFS(Medicion!$K$6:$K$511,Medicion!$G$6:$G$511,$B175,Medicion!$A$6:$A$511,$A175)</f>
        <v>0</v>
      </c>
      <c r="J175">
        <f t="shared" si="14"/>
        <v>0</v>
      </c>
      <c r="K175" s="77">
        <f t="shared" si="15"/>
        <v>0</v>
      </c>
      <c r="L175" s="77">
        <f t="shared" si="16"/>
        <v>0</v>
      </c>
      <c r="M175" s="77">
        <f t="shared" si="17"/>
        <v>0</v>
      </c>
      <c r="N175" s="77">
        <f t="shared" si="18"/>
        <v>5157024.79338843</v>
      </c>
      <c r="O175" s="100">
        <f t="shared" si="19"/>
        <v>0</v>
      </c>
      <c r="P175" t="str">
        <f t="shared" si="20"/>
        <v>OK</v>
      </c>
    </row>
    <row r="176" spans="1:16">
      <c r="A176">
        <v>10</v>
      </c>
      <c r="B176" t="str">
        <f>'Presupuesto Base'!A15</f>
        <v>8</v>
      </c>
      <c r="C176" t="str">
        <f>'Presupuesto Base'!B15</f>
        <v>Ejecución y compactación de capa cota -0,60</v>
      </c>
      <c r="D176" t="str">
        <f>'Presupuesto Base'!C15</f>
        <v>ml</v>
      </c>
      <c r="E176">
        <f>'Presupuesto Base'!D15</f>
        <v>4200</v>
      </c>
      <c r="F176" s="77">
        <f>'Presupuesto Base'!E15</f>
        <v>2592.1553194280468</v>
      </c>
      <c r="G176" s="77">
        <f>'Presupuesto Base'!F15</f>
        <v>10887052.341597797</v>
      </c>
      <c r="H176">
        <f>SUMIFS(Medicion!$K$6:$K$511,Medicion!$G$6:$G$511,$B176,Medicion!$A$6:$A$511,"&lt;"&amp;$A176)</f>
        <v>0</v>
      </c>
      <c r="I176">
        <f>SUMIFS(Medicion!$K$6:$K$511,Medicion!$G$6:$G$511,$B176,Medicion!$A$6:$A$511,$A176)</f>
        <v>0</v>
      </c>
      <c r="J176">
        <f t="shared" si="14"/>
        <v>0</v>
      </c>
      <c r="K176" s="77">
        <f t="shared" si="15"/>
        <v>0</v>
      </c>
      <c r="L176" s="77">
        <f t="shared" si="16"/>
        <v>0</v>
      </c>
      <c r="M176" s="77">
        <f t="shared" si="17"/>
        <v>0</v>
      </c>
      <c r="N176" s="77">
        <f t="shared" si="18"/>
        <v>10887052.341597797</v>
      </c>
      <c r="O176" s="100">
        <f t="shared" si="19"/>
        <v>0</v>
      </c>
      <c r="P176" t="str">
        <f t="shared" si="20"/>
        <v>OK</v>
      </c>
    </row>
    <row r="177" spans="1:16">
      <c r="A177">
        <v>10</v>
      </c>
      <c r="B177" t="str">
        <f>'Presupuesto Base'!A16</f>
        <v>9</v>
      </c>
      <c r="C177" t="str">
        <f>'Presupuesto Base'!B16</f>
        <v>Ejecución y compactación de capa cota -0,30</v>
      </c>
      <c r="D177" t="str">
        <f>'Presupuesto Base'!C16</f>
        <v>ml</v>
      </c>
      <c r="E177">
        <f>'Presupuesto Base'!D16</f>
        <v>4200</v>
      </c>
      <c r="F177" s="77">
        <f>'Presupuesto Base'!E16</f>
        <v>2182.8676374130923</v>
      </c>
      <c r="G177" s="77">
        <f>'Presupuesto Base'!F16</f>
        <v>9168044.0771349873</v>
      </c>
      <c r="H177">
        <f>SUMIFS(Medicion!$K$6:$K$511,Medicion!$G$6:$G$511,$B177,Medicion!$A$6:$A$511,"&lt;"&amp;$A177)</f>
        <v>0</v>
      </c>
      <c r="I177">
        <f>SUMIFS(Medicion!$K$6:$K$511,Medicion!$G$6:$G$511,$B177,Medicion!$A$6:$A$511,$A177)</f>
        <v>0</v>
      </c>
      <c r="J177">
        <f t="shared" si="14"/>
        <v>0</v>
      </c>
      <c r="K177" s="77">
        <f t="shared" si="15"/>
        <v>0</v>
      </c>
      <c r="L177" s="77">
        <f t="shared" si="16"/>
        <v>0</v>
      </c>
      <c r="M177" s="77">
        <f t="shared" si="17"/>
        <v>0</v>
      </c>
      <c r="N177" s="77">
        <f t="shared" si="18"/>
        <v>9168044.0771349873</v>
      </c>
      <c r="O177" s="100">
        <f t="shared" si="19"/>
        <v>0</v>
      </c>
      <c r="P177" t="str">
        <f t="shared" si="20"/>
        <v>OK</v>
      </c>
    </row>
    <row r="178" spans="1:16">
      <c r="A178">
        <v>10</v>
      </c>
      <c r="B178" t="str">
        <f>'Presupuesto Base'!A17</f>
        <v>10.1</v>
      </c>
      <c r="C178" t="str">
        <f>'Presupuesto Base'!B17</f>
        <v>Conexión domiciliaria sobre red Ø75</v>
      </c>
      <c r="D178" t="str">
        <f>'Presupuesto Base'!C17</f>
        <v>un</v>
      </c>
      <c r="E178">
        <f>'Presupuesto Base'!D17</f>
        <v>165</v>
      </c>
      <c r="F178" s="77">
        <f>'Presupuesto Base'!E17</f>
        <v>48618.415560564332</v>
      </c>
      <c r="G178" s="77">
        <f>'Presupuesto Base'!F17</f>
        <v>8022038.5674931146</v>
      </c>
      <c r="H178">
        <f>SUMIFS(Medicion!$K$6:$K$511,Medicion!$G$6:$G$511,$B178,Medicion!$A$6:$A$511,"&lt;"&amp;$A178)</f>
        <v>5</v>
      </c>
      <c r="I178">
        <f>SUMIFS(Medicion!$K$6:$K$511,Medicion!$G$6:$G$511,$B178,Medicion!$A$6:$A$511,$A178)</f>
        <v>0</v>
      </c>
      <c r="J178">
        <f t="shared" si="14"/>
        <v>5</v>
      </c>
      <c r="K178" s="77">
        <f t="shared" si="15"/>
        <v>243092.07780282164</v>
      </c>
      <c r="L178" s="77">
        <f t="shared" si="16"/>
        <v>0</v>
      </c>
      <c r="M178" s="77">
        <f t="shared" si="17"/>
        <v>243092.07780282164</v>
      </c>
      <c r="N178" s="77">
        <f t="shared" si="18"/>
        <v>7778946.4896902926</v>
      </c>
      <c r="O178" s="100">
        <f t="shared" si="19"/>
        <v>3.0303030303030304E-2</v>
      </c>
      <c r="P178" t="str">
        <f t="shared" si="20"/>
        <v>OK</v>
      </c>
    </row>
    <row r="179" spans="1:16">
      <c r="A179">
        <v>10</v>
      </c>
      <c r="B179" t="str">
        <f>'Presupuesto Base'!A18</f>
        <v>10.2</v>
      </c>
      <c r="C179" t="str">
        <f>'Presupuesto Base'!B18</f>
        <v>Conexión domiciliaria sobre red Ø110</v>
      </c>
      <c r="D179" t="str">
        <f>'Presupuesto Base'!C18</f>
        <v>un</v>
      </c>
      <c r="E179">
        <f>'Presupuesto Base'!D18</f>
        <v>62</v>
      </c>
      <c r="F179" s="77">
        <f>'Presupuesto Base'!E18</f>
        <v>55451.879498800321</v>
      </c>
      <c r="G179" s="77">
        <f>'Presupuesto Base'!F18</f>
        <v>3438016.52892562</v>
      </c>
      <c r="H179">
        <f>SUMIFS(Medicion!$K$6:$K$511,Medicion!$G$6:$G$511,$B179,Medicion!$A$6:$A$511,"&lt;"&amp;$A179)</f>
        <v>2</v>
      </c>
      <c r="I179">
        <f>SUMIFS(Medicion!$K$6:$K$511,Medicion!$G$6:$G$511,$B179,Medicion!$A$6:$A$511,$A179)</f>
        <v>0</v>
      </c>
      <c r="J179">
        <f t="shared" si="14"/>
        <v>2</v>
      </c>
      <c r="K179" s="77">
        <f t="shared" si="15"/>
        <v>110903.75899760064</v>
      </c>
      <c r="L179" s="77">
        <f t="shared" si="16"/>
        <v>0</v>
      </c>
      <c r="M179" s="77">
        <f t="shared" si="17"/>
        <v>110903.75899760064</v>
      </c>
      <c r="N179" s="77">
        <f t="shared" si="18"/>
        <v>3327112.7699280195</v>
      </c>
      <c r="O179" s="100">
        <f t="shared" si="19"/>
        <v>3.2258064516129031E-2</v>
      </c>
      <c r="P179" t="str">
        <f t="shared" si="20"/>
        <v>OK</v>
      </c>
    </row>
    <row r="180" spans="1:16">
      <c r="A180">
        <v>10</v>
      </c>
      <c r="B180" t="str">
        <f>'Presupuesto Base'!A19</f>
        <v>11.1</v>
      </c>
      <c r="C180" t="str">
        <f>'Presupuesto Base'!B19</f>
        <v>Válvula esclusa Ø75 completa e instalada</v>
      </c>
      <c r="D180" t="str">
        <f>'Presupuesto Base'!C19</f>
        <v>un</v>
      </c>
      <c r="E180">
        <f>'Presupuesto Base'!D19</f>
        <v>2</v>
      </c>
      <c r="F180" s="77">
        <f>'Presupuesto Base'!E19</f>
        <v>286501.37741046835</v>
      </c>
      <c r="G180" s="77">
        <f>'Presupuesto Base'!F19</f>
        <v>573002.75482093671</v>
      </c>
      <c r="H180">
        <f>SUMIFS(Medicion!$K$6:$K$511,Medicion!$G$6:$G$511,$B180,Medicion!$A$6:$A$511,"&lt;"&amp;$A180)</f>
        <v>0</v>
      </c>
      <c r="I180">
        <f>SUMIFS(Medicion!$K$6:$K$511,Medicion!$G$6:$G$511,$B180,Medicion!$A$6:$A$511,$A180)</f>
        <v>0</v>
      </c>
      <c r="J180">
        <f t="shared" si="14"/>
        <v>0</v>
      </c>
      <c r="K180" s="77">
        <f t="shared" si="15"/>
        <v>0</v>
      </c>
      <c r="L180" s="77">
        <f t="shared" si="16"/>
        <v>0</v>
      </c>
      <c r="M180" s="77">
        <f t="shared" si="17"/>
        <v>0</v>
      </c>
      <c r="N180" s="77">
        <f t="shared" si="18"/>
        <v>573002.75482093671</v>
      </c>
      <c r="O180" s="100">
        <f t="shared" si="19"/>
        <v>0</v>
      </c>
      <c r="P180" t="str">
        <f t="shared" si="20"/>
        <v>OK</v>
      </c>
    </row>
    <row r="181" spans="1:16">
      <c r="A181">
        <v>10</v>
      </c>
      <c r="B181" t="str">
        <f>'Presupuesto Base'!A20</f>
        <v>11.2</v>
      </c>
      <c r="C181" t="str">
        <f>'Presupuesto Base'!B20</f>
        <v>Válvula esclusa Ø100 completa e instalada</v>
      </c>
      <c r="D181" t="str">
        <f>'Presupuesto Base'!C20</f>
        <v>un</v>
      </c>
      <c r="E181">
        <f>'Presupuesto Base'!D20</f>
        <v>4</v>
      </c>
      <c r="F181" s="77">
        <f>'Presupuesto Base'!E20</f>
        <v>429752.0661157025</v>
      </c>
      <c r="G181" s="77">
        <f>'Presupuesto Base'!F20</f>
        <v>1719008.26446281</v>
      </c>
      <c r="H181">
        <f>SUMIFS(Medicion!$K$6:$K$511,Medicion!$G$6:$G$511,$B181,Medicion!$A$6:$A$511,"&lt;"&amp;$A181)</f>
        <v>0</v>
      </c>
      <c r="I181">
        <f>SUMIFS(Medicion!$K$6:$K$511,Medicion!$G$6:$G$511,$B181,Medicion!$A$6:$A$511,$A181)</f>
        <v>0</v>
      </c>
      <c r="J181">
        <f t="shared" si="14"/>
        <v>0</v>
      </c>
      <c r="K181" s="77">
        <f t="shared" si="15"/>
        <v>0</v>
      </c>
      <c r="L181" s="77">
        <f t="shared" si="16"/>
        <v>0</v>
      </c>
      <c r="M181" s="77">
        <f t="shared" si="17"/>
        <v>0</v>
      </c>
      <c r="N181" s="77">
        <f t="shared" si="18"/>
        <v>1719008.26446281</v>
      </c>
      <c r="O181" s="100">
        <f t="shared" si="19"/>
        <v>0</v>
      </c>
      <c r="P181" t="str">
        <f t="shared" si="20"/>
        <v>OK</v>
      </c>
    </row>
    <row r="182" spans="1:16">
      <c r="A182">
        <v>10</v>
      </c>
      <c r="B182" t="str">
        <f>'Presupuesto Base'!A21</f>
        <v>12</v>
      </c>
      <c r="C182" t="str">
        <f>'Presupuesto Base'!B21</f>
        <v>Hidrante a bola completo e instalado</v>
      </c>
      <c r="D182" t="str">
        <f>'Presupuesto Base'!C21</f>
        <v>un</v>
      </c>
      <c r="E182">
        <f>'Presupuesto Base'!D21</f>
        <v>15</v>
      </c>
      <c r="F182" s="77">
        <f>'Presupuesto Base'!E21</f>
        <v>114600.55096418734</v>
      </c>
      <c r="G182" s="77">
        <f>'Presupuesto Base'!F21</f>
        <v>1719008.26446281</v>
      </c>
      <c r="H182">
        <f>SUMIFS(Medicion!$K$6:$K$511,Medicion!$G$6:$G$511,$B182,Medicion!$A$6:$A$511,"&lt;"&amp;$A182)</f>
        <v>0</v>
      </c>
      <c r="I182">
        <f>SUMIFS(Medicion!$K$6:$K$511,Medicion!$G$6:$G$511,$B182,Medicion!$A$6:$A$511,$A182)</f>
        <v>0</v>
      </c>
      <c r="J182">
        <f t="shared" si="14"/>
        <v>0</v>
      </c>
      <c r="K182" s="77">
        <f t="shared" si="15"/>
        <v>0</v>
      </c>
      <c r="L182" s="77">
        <f t="shared" si="16"/>
        <v>0</v>
      </c>
      <c r="M182" s="77">
        <f t="shared" si="17"/>
        <v>0</v>
      </c>
      <c r="N182" s="77">
        <f t="shared" si="18"/>
        <v>1719008.26446281</v>
      </c>
      <c r="O182" s="100">
        <f t="shared" si="19"/>
        <v>0</v>
      </c>
      <c r="P182" t="str">
        <f t="shared" si="20"/>
        <v>OK</v>
      </c>
    </row>
    <row r="183" spans="1:16">
      <c r="A183">
        <v>10</v>
      </c>
      <c r="B183" t="str">
        <f>'Presupuesto Base'!A22</f>
        <v>13.1</v>
      </c>
      <c r="C183" t="str">
        <f>'Presupuesto Base'!B22</f>
        <v>Pruebas hidráulicas y operativas</v>
      </c>
      <c r="D183" t="str">
        <f>'Presupuesto Base'!C22</f>
        <v>gl</v>
      </c>
      <c r="E183">
        <f>'Presupuesto Base'!D22</f>
        <v>1</v>
      </c>
      <c r="F183" s="77">
        <f>'Presupuesto Base'!E22</f>
        <v>1719008.26446281</v>
      </c>
      <c r="G183" s="77">
        <f>'Presupuesto Base'!F22</f>
        <v>1719008.26446281</v>
      </c>
      <c r="H183">
        <f>SUMIFS(Medicion!$K$6:$K$511,Medicion!$G$6:$G$511,$B183,Medicion!$A$6:$A$511,"&lt;"&amp;$A183)</f>
        <v>0</v>
      </c>
      <c r="I183">
        <f>SUMIFS(Medicion!$K$6:$K$511,Medicion!$G$6:$G$511,$B183,Medicion!$A$6:$A$511,$A183)</f>
        <v>0</v>
      </c>
      <c r="J183">
        <f t="shared" si="14"/>
        <v>0</v>
      </c>
      <c r="K183" s="77">
        <f t="shared" si="15"/>
        <v>0</v>
      </c>
      <c r="L183" s="77">
        <f t="shared" si="16"/>
        <v>0</v>
      </c>
      <c r="M183" s="77">
        <f t="shared" si="17"/>
        <v>0</v>
      </c>
      <c r="N183" s="77">
        <f t="shared" si="18"/>
        <v>1719008.26446281</v>
      </c>
      <c r="O183" s="100">
        <f t="shared" si="19"/>
        <v>0</v>
      </c>
      <c r="P183" t="str">
        <f t="shared" si="20"/>
        <v>OK</v>
      </c>
    </row>
    <row r="184" spans="1:16">
      <c r="A184">
        <v>10</v>
      </c>
      <c r="B184" t="str">
        <f>'Presupuesto Base'!A23</f>
        <v>13.2</v>
      </c>
      <c r="C184" t="str">
        <f>'Presupuesto Base'!B23</f>
        <v>Terminaciones y acondicionamiento final</v>
      </c>
      <c r="D184" t="str">
        <f>'Presupuesto Base'!C23</f>
        <v>gl</v>
      </c>
      <c r="E184">
        <f>'Presupuesto Base'!D23</f>
        <v>1</v>
      </c>
      <c r="F184" s="77">
        <f>'Presupuesto Base'!E23</f>
        <v>1146005.5096418734</v>
      </c>
      <c r="G184" s="77">
        <f>'Presupuesto Base'!F23</f>
        <v>1146005.5096418734</v>
      </c>
      <c r="H184">
        <f>SUMIFS(Medicion!$K$6:$K$511,Medicion!$G$6:$G$511,$B184,Medicion!$A$6:$A$511,"&lt;"&amp;$A184)</f>
        <v>0</v>
      </c>
      <c r="I184">
        <f>SUMIFS(Medicion!$K$6:$K$511,Medicion!$G$6:$G$511,$B184,Medicion!$A$6:$A$511,$A184)</f>
        <v>0</v>
      </c>
      <c r="J184">
        <f t="shared" si="14"/>
        <v>0</v>
      </c>
      <c r="K184" s="77">
        <f t="shared" si="15"/>
        <v>0</v>
      </c>
      <c r="L184" s="77">
        <f t="shared" si="16"/>
        <v>0</v>
      </c>
      <c r="M184" s="77">
        <f t="shared" si="17"/>
        <v>0</v>
      </c>
      <c r="N184" s="77">
        <f t="shared" si="18"/>
        <v>1146005.5096418734</v>
      </c>
      <c r="O184" s="100">
        <f t="shared" si="19"/>
        <v>0</v>
      </c>
      <c r="P184" t="str">
        <f t="shared" si="20"/>
        <v>OK</v>
      </c>
    </row>
    <row r="185" spans="1:16">
      <c r="A185">
        <v>10</v>
      </c>
      <c r="B185" t="str">
        <f>'Presupuesto Base'!A24</f>
        <v>13.3</v>
      </c>
      <c r="C185" t="str">
        <f>'Presupuesto Base'!B24</f>
        <v>Documentación conforme a obra y cierre</v>
      </c>
      <c r="D185" t="str">
        <f>'Presupuesto Base'!C24</f>
        <v>gl</v>
      </c>
      <c r="E185">
        <f>'Presupuesto Base'!D24</f>
        <v>1</v>
      </c>
      <c r="F185" s="77">
        <f>'Presupuesto Base'!E24</f>
        <v>859504.132231405</v>
      </c>
      <c r="G185" s="77">
        <f>'Presupuesto Base'!F24</f>
        <v>859504.132231405</v>
      </c>
      <c r="H185">
        <f>SUMIFS(Medicion!$K$6:$K$511,Medicion!$G$6:$G$511,$B185,Medicion!$A$6:$A$511,"&lt;"&amp;$A185)</f>
        <v>0</v>
      </c>
      <c r="I185">
        <f>SUMIFS(Medicion!$K$6:$K$511,Medicion!$G$6:$G$511,$B185,Medicion!$A$6:$A$511,$A185)</f>
        <v>0</v>
      </c>
      <c r="J185">
        <f t="shared" si="14"/>
        <v>0</v>
      </c>
      <c r="K185" s="77">
        <f t="shared" si="15"/>
        <v>0</v>
      </c>
      <c r="L185" s="77">
        <f t="shared" si="16"/>
        <v>0</v>
      </c>
      <c r="M185" s="77">
        <f t="shared" si="17"/>
        <v>0</v>
      </c>
      <c r="N185" s="77">
        <f t="shared" si="18"/>
        <v>859504.132231405</v>
      </c>
      <c r="O185" s="100">
        <f t="shared" si="19"/>
        <v>0</v>
      </c>
      <c r="P185" t="str">
        <f t="shared" si="20"/>
        <v>OK</v>
      </c>
    </row>
    <row r="186" spans="1:16">
      <c r="A186">
        <v>11</v>
      </c>
      <c r="B186" t="str">
        <f>'Presupuesto Base'!A7</f>
        <v>1</v>
      </c>
      <c r="C186" t="str">
        <f>'Presupuesto Base'!B7</f>
        <v>Replanteo y marcación de traza</v>
      </c>
      <c r="D186" t="str">
        <f>'Presupuesto Base'!C7</f>
        <v>ml</v>
      </c>
      <c r="E186">
        <f>'Presupuesto Base'!D7</f>
        <v>4200</v>
      </c>
      <c r="F186" s="77">
        <f>'Presupuesto Base'!E7</f>
        <v>204.64384100747739</v>
      </c>
      <c r="G186" s="77">
        <f>'Presupuesto Base'!F7</f>
        <v>859504.132231405</v>
      </c>
      <c r="H186">
        <f>SUMIFS(Medicion!$K$6:$K$511,Medicion!$G$6:$G$511,$B186,Medicion!$A$6:$A$511,"&lt;"&amp;$A186)</f>
        <v>845</v>
      </c>
      <c r="I186">
        <f>SUMIFS(Medicion!$K$6:$K$511,Medicion!$G$6:$G$511,$B186,Medicion!$A$6:$A$511,$A186)</f>
        <v>0</v>
      </c>
      <c r="J186">
        <f t="shared" si="14"/>
        <v>845</v>
      </c>
      <c r="K186" s="77">
        <f t="shared" si="15"/>
        <v>172924.04565131839</v>
      </c>
      <c r="L186" s="77">
        <f t="shared" si="16"/>
        <v>0</v>
      </c>
      <c r="M186" s="77">
        <f t="shared" si="17"/>
        <v>172924.04565131839</v>
      </c>
      <c r="N186" s="77">
        <f t="shared" si="18"/>
        <v>686580.08658008662</v>
      </c>
      <c r="O186" s="100">
        <f t="shared" si="19"/>
        <v>0.2011904761904762</v>
      </c>
      <c r="P186" t="str">
        <f t="shared" si="20"/>
        <v>OK</v>
      </c>
    </row>
    <row r="187" spans="1:16">
      <c r="A187">
        <v>11</v>
      </c>
      <c r="B187" t="str">
        <f>'Presupuesto Base'!A8</f>
        <v>2</v>
      </c>
      <c r="C187" t="str">
        <f>'Presupuesto Base'!B8</f>
        <v>Excavación de zanja</v>
      </c>
      <c r="D187" t="str">
        <f>'Presupuesto Base'!C8</f>
        <v>ml</v>
      </c>
      <c r="E187">
        <f>'Presupuesto Base'!D8</f>
        <v>4200</v>
      </c>
      <c r="F187" s="77">
        <f>'Presupuesto Base'!E8</f>
        <v>3683.5891381345932</v>
      </c>
      <c r="G187" s="77">
        <f>'Presupuesto Base'!F8</f>
        <v>15471074.380165292</v>
      </c>
      <c r="H187">
        <f>SUMIFS(Medicion!$K$6:$K$511,Medicion!$G$6:$G$511,$B187,Medicion!$A$6:$A$511,"&lt;"&amp;$A187)</f>
        <v>845</v>
      </c>
      <c r="I187">
        <f>SUMIFS(Medicion!$K$6:$K$511,Medicion!$G$6:$G$511,$B187,Medicion!$A$6:$A$511,$A187)</f>
        <v>0</v>
      </c>
      <c r="J187">
        <f t="shared" si="14"/>
        <v>845</v>
      </c>
      <c r="K187" s="77">
        <f t="shared" si="15"/>
        <v>3112632.8217237312</v>
      </c>
      <c r="L187" s="77">
        <f t="shared" si="16"/>
        <v>0</v>
      </c>
      <c r="M187" s="77">
        <f t="shared" si="17"/>
        <v>3112632.8217237312</v>
      </c>
      <c r="N187" s="77">
        <f t="shared" si="18"/>
        <v>12358441.558441561</v>
      </c>
      <c r="O187" s="100">
        <f t="shared" si="19"/>
        <v>0.2011904761904762</v>
      </c>
      <c r="P187" t="str">
        <f t="shared" si="20"/>
        <v>OK</v>
      </c>
    </row>
    <row r="188" spans="1:16">
      <c r="A188">
        <v>11</v>
      </c>
      <c r="B188" t="str">
        <f>'Presupuesto Base'!A9</f>
        <v>3</v>
      </c>
      <c r="C188" t="str">
        <f>'Presupuesto Base'!B9</f>
        <v>Nivelación y conformación del fondo de zanja</v>
      </c>
      <c r="D188" t="str">
        <f>'Presupuesto Base'!C9</f>
        <v>ml</v>
      </c>
      <c r="E188">
        <f>'Presupuesto Base'!D9</f>
        <v>4200</v>
      </c>
      <c r="F188" s="77">
        <f>'Presupuesto Base'!E9</f>
        <v>477.50229568411396</v>
      </c>
      <c r="G188" s="77">
        <f>'Presupuesto Base'!F9</f>
        <v>2005509.6418732787</v>
      </c>
      <c r="H188">
        <f>SUMIFS(Medicion!$K$6:$K$511,Medicion!$G$6:$G$511,$B188,Medicion!$A$6:$A$511,"&lt;"&amp;$A188)</f>
        <v>845</v>
      </c>
      <c r="I188">
        <f>SUMIFS(Medicion!$K$6:$K$511,Medicion!$G$6:$G$511,$B188,Medicion!$A$6:$A$511,$A188)</f>
        <v>0</v>
      </c>
      <c r="J188">
        <f t="shared" si="14"/>
        <v>845</v>
      </c>
      <c r="K188" s="77">
        <f t="shared" si="15"/>
        <v>403489.4398530763</v>
      </c>
      <c r="L188" s="77">
        <f t="shared" si="16"/>
        <v>0</v>
      </c>
      <c r="M188" s="77">
        <f t="shared" si="17"/>
        <v>403489.4398530763</v>
      </c>
      <c r="N188" s="77">
        <f t="shared" si="18"/>
        <v>1602020.2020202023</v>
      </c>
      <c r="O188" s="100">
        <f t="shared" si="19"/>
        <v>0.2011904761904762</v>
      </c>
      <c r="P188" t="str">
        <f t="shared" si="20"/>
        <v>OK</v>
      </c>
    </row>
    <row r="189" spans="1:16">
      <c r="A189">
        <v>11</v>
      </c>
      <c r="B189" t="str">
        <f>'Presupuesto Base'!A10</f>
        <v>4</v>
      </c>
      <c r="C189" t="str">
        <f>'Presupuesto Base'!B10</f>
        <v>Cama de asiento compactada</v>
      </c>
      <c r="D189" t="str">
        <f>'Presupuesto Base'!C10</f>
        <v>ml</v>
      </c>
      <c r="E189">
        <f>'Presupuesto Base'!D10</f>
        <v>4200</v>
      </c>
      <c r="F189" s="77">
        <f>'Presupuesto Base'!E10</f>
        <v>1705.3653417289784</v>
      </c>
      <c r="G189" s="77">
        <f>'Presupuesto Base'!F10</f>
        <v>7162534.4352617087</v>
      </c>
      <c r="H189">
        <f>SUMIFS(Medicion!$K$6:$K$511,Medicion!$G$6:$G$511,$B189,Medicion!$A$6:$A$511,"&lt;"&amp;$A189)</f>
        <v>845</v>
      </c>
      <c r="I189">
        <f>SUMIFS(Medicion!$K$6:$K$511,Medicion!$G$6:$G$511,$B189,Medicion!$A$6:$A$511,$A189)</f>
        <v>0</v>
      </c>
      <c r="J189">
        <f t="shared" si="14"/>
        <v>845</v>
      </c>
      <c r="K189" s="77">
        <f t="shared" si="15"/>
        <v>1441033.7137609867</v>
      </c>
      <c r="L189" s="77">
        <f t="shared" si="16"/>
        <v>0</v>
      </c>
      <c r="M189" s="77">
        <f t="shared" si="17"/>
        <v>1441033.7137609867</v>
      </c>
      <c r="N189" s="77">
        <f t="shared" si="18"/>
        <v>5721500.7215007218</v>
      </c>
      <c r="O189" s="100">
        <f t="shared" si="19"/>
        <v>0.2011904761904762</v>
      </c>
      <c r="P189" t="str">
        <f t="shared" si="20"/>
        <v>OK</v>
      </c>
    </row>
    <row r="190" spans="1:16">
      <c r="A190">
        <v>11</v>
      </c>
      <c r="B190" t="str">
        <f>'Presupuesto Base'!A11</f>
        <v>5.1</v>
      </c>
      <c r="C190" t="str">
        <f>'Presupuesto Base'!B11</f>
        <v>PEAD PN10 Ø75 – provisión e instalación</v>
      </c>
      <c r="D190" t="str">
        <f>'Presupuesto Base'!C11</f>
        <v>ml</v>
      </c>
      <c r="E190">
        <f>'Presupuesto Base'!D11</f>
        <v>3170</v>
      </c>
      <c r="F190" s="77">
        <f>'Presupuesto Base'!E11</f>
        <v>5784.2549382555126</v>
      </c>
      <c r="G190" s="77">
        <f>'Presupuesto Base'!F11</f>
        <v>18336088.154269975</v>
      </c>
      <c r="H190">
        <f>SUMIFS(Medicion!$K$6:$K$511,Medicion!$G$6:$G$511,$B190,Medicion!$A$6:$A$511,"&lt;"&amp;$A190)</f>
        <v>558</v>
      </c>
      <c r="I190">
        <f>SUMIFS(Medicion!$K$6:$K$511,Medicion!$G$6:$G$511,$B190,Medicion!$A$6:$A$511,$A190)</f>
        <v>0</v>
      </c>
      <c r="J190">
        <f t="shared" si="14"/>
        <v>558</v>
      </c>
      <c r="K190" s="77">
        <f t="shared" si="15"/>
        <v>3227614.2555465759</v>
      </c>
      <c r="L190" s="77">
        <f t="shared" si="16"/>
        <v>0</v>
      </c>
      <c r="M190" s="77">
        <f t="shared" si="17"/>
        <v>3227614.2555465759</v>
      </c>
      <c r="N190" s="77">
        <f t="shared" si="18"/>
        <v>15108473.898723399</v>
      </c>
      <c r="O190" s="100">
        <f t="shared" si="19"/>
        <v>0.17602523659305994</v>
      </c>
      <c r="P190" t="str">
        <f t="shared" si="20"/>
        <v>OK</v>
      </c>
    </row>
    <row r="191" spans="1:16">
      <c r="A191">
        <v>11</v>
      </c>
      <c r="B191" t="str">
        <f>'Presupuesto Base'!A12</f>
        <v>5.2</v>
      </c>
      <c r="C191" t="str">
        <f>'Presupuesto Base'!B12</f>
        <v>PEAD PN10 Ø110 – provisión e instalación</v>
      </c>
      <c r="D191" t="str">
        <f>'Presupuesto Base'!C12</f>
        <v>ml</v>
      </c>
      <c r="E191">
        <f>'Presupuesto Base'!D12</f>
        <v>1030</v>
      </c>
      <c r="F191" s="77">
        <f>'Presupuesto Base'!E12</f>
        <v>12238.893792291852</v>
      </c>
      <c r="G191" s="77">
        <f>'Presupuesto Base'!F12</f>
        <v>12606060.606060607</v>
      </c>
      <c r="H191">
        <f>SUMIFS(Medicion!$K$6:$K$511,Medicion!$G$6:$G$511,$B191,Medicion!$A$6:$A$511,"&lt;"&amp;$A191)</f>
        <v>287</v>
      </c>
      <c r="I191">
        <f>SUMIFS(Medicion!$K$6:$K$511,Medicion!$G$6:$G$511,$B191,Medicion!$A$6:$A$511,$A191)</f>
        <v>0</v>
      </c>
      <c r="J191">
        <f t="shared" si="14"/>
        <v>287</v>
      </c>
      <c r="K191" s="77">
        <f t="shared" si="15"/>
        <v>3512562.5183877614</v>
      </c>
      <c r="L191" s="77">
        <f t="shared" si="16"/>
        <v>0</v>
      </c>
      <c r="M191" s="77">
        <f t="shared" si="17"/>
        <v>3512562.5183877614</v>
      </c>
      <c r="N191" s="77">
        <f t="shared" si="18"/>
        <v>9093498.0876728464</v>
      </c>
      <c r="O191" s="100">
        <f t="shared" si="19"/>
        <v>0.27864077669902915</v>
      </c>
      <c r="P191" t="str">
        <f t="shared" si="20"/>
        <v>OK</v>
      </c>
    </row>
    <row r="192" spans="1:16">
      <c r="A192">
        <v>11</v>
      </c>
      <c r="B192" t="str">
        <f>'Presupuesto Base'!A13</f>
        <v>6</v>
      </c>
      <c r="C192" t="str">
        <f>'Presupuesto Base'!B13</f>
        <v>Ejecución de paquete estructural de 30 cm</v>
      </c>
      <c r="D192" t="str">
        <f>'Presupuesto Base'!C13</f>
        <v>ml</v>
      </c>
      <c r="E192">
        <f>'Presupuesto Base'!D13</f>
        <v>4200</v>
      </c>
      <c r="F192" s="77">
        <f>'Presupuesto Base'!E13</f>
        <v>3274.3014561196383</v>
      </c>
      <c r="G192" s="77">
        <f>'Presupuesto Base'!F13</f>
        <v>13752066.11570248</v>
      </c>
      <c r="H192">
        <f>SUMIFS(Medicion!$K$6:$K$511,Medicion!$G$6:$G$511,$B192,Medicion!$A$6:$A$511,"&lt;"&amp;$A192)</f>
        <v>763</v>
      </c>
      <c r="I192">
        <f>SUMIFS(Medicion!$K$6:$K$511,Medicion!$G$6:$G$511,$B192,Medicion!$A$6:$A$511,$A192)</f>
        <v>0</v>
      </c>
      <c r="J192">
        <f t="shared" si="14"/>
        <v>763</v>
      </c>
      <c r="K192" s="77">
        <f t="shared" si="15"/>
        <v>2498292.0110192839</v>
      </c>
      <c r="L192" s="77">
        <f t="shared" si="16"/>
        <v>0</v>
      </c>
      <c r="M192" s="77">
        <f t="shared" si="17"/>
        <v>2498292.0110192839</v>
      </c>
      <c r="N192" s="77">
        <f t="shared" si="18"/>
        <v>11253774.104683196</v>
      </c>
      <c r="O192" s="100">
        <f t="shared" si="19"/>
        <v>0.18166666666666667</v>
      </c>
      <c r="P192" t="str">
        <f t="shared" si="20"/>
        <v>OK</v>
      </c>
    </row>
    <row r="193" spans="1:16">
      <c r="A193">
        <v>11</v>
      </c>
      <c r="B193" t="str">
        <f>'Presupuesto Base'!A14</f>
        <v>7</v>
      </c>
      <c r="C193" t="str">
        <f>'Presupuesto Base'!B14</f>
        <v>Compactación del paquete estructural de 30 cm</v>
      </c>
      <c r="D193" t="str">
        <f>'Presupuesto Base'!C14</f>
        <v>ml</v>
      </c>
      <c r="E193">
        <f>'Presupuesto Base'!D14</f>
        <v>4200</v>
      </c>
      <c r="F193" s="77">
        <f>'Presupuesto Base'!E14</f>
        <v>1227.8630460448644</v>
      </c>
      <c r="G193" s="77">
        <f>'Presupuesto Base'!F14</f>
        <v>5157024.79338843</v>
      </c>
      <c r="H193">
        <f>SUMIFS(Medicion!$K$6:$K$511,Medicion!$G$6:$G$511,$B193,Medicion!$A$6:$A$511,"&lt;"&amp;$A193)</f>
        <v>0</v>
      </c>
      <c r="I193">
        <f>SUMIFS(Medicion!$K$6:$K$511,Medicion!$G$6:$G$511,$B193,Medicion!$A$6:$A$511,$A193)</f>
        <v>0</v>
      </c>
      <c r="J193">
        <f t="shared" si="14"/>
        <v>0</v>
      </c>
      <c r="K193" s="77">
        <f t="shared" si="15"/>
        <v>0</v>
      </c>
      <c r="L193" s="77">
        <f t="shared" si="16"/>
        <v>0</v>
      </c>
      <c r="M193" s="77">
        <f t="shared" si="17"/>
        <v>0</v>
      </c>
      <c r="N193" s="77">
        <f t="shared" si="18"/>
        <v>5157024.79338843</v>
      </c>
      <c r="O193" s="100">
        <f t="shared" si="19"/>
        <v>0</v>
      </c>
      <c r="P193" t="str">
        <f t="shared" si="20"/>
        <v>OK</v>
      </c>
    </row>
    <row r="194" spans="1:16">
      <c r="A194">
        <v>11</v>
      </c>
      <c r="B194" t="str">
        <f>'Presupuesto Base'!A15</f>
        <v>8</v>
      </c>
      <c r="C194" t="str">
        <f>'Presupuesto Base'!B15</f>
        <v>Ejecución y compactación de capa cota -0,60</v>
      </c>
      <c r="D194" t="str">
        <f>'Presupuesto Base'!C15</f>
        <v>ml</v>
      </c>
      <c r="E194">
        <f>'Presupuesto Base'!D15</f>
        <v>4200</v>
      </c>
      <c r="F194" s="77">
        <f>'Presupuesto Base'!E15</f>
        <v>2592.1553194280468</v>
      </c>
      <c r="G194" s="77">
        <f>'Presupuesto Base'!F15</f>
        <v>10887052.341597797</v>
      </c>
      <c r="H194">
        <f>SUMIFS(Medicion!$K$6:$K$511,Medicion!$G$6:$G$511,$B194,Medicion!$A$6:$A$511,"&lt;"&amp;$A194)</f>
        <v>0</v>
      </c>
      <c r="I194">
        <f>SUMIFS(Medicion!$K$6:$K$511,Medicion!$G$6:$G$511,$B194,Medicion!$A$6:$A$511,$A194)</f>
        <v>0</v>
      </c>
      <c r="J194">
        <f t="shared" si="14"/>
        <v>0</v>
      </c>
      <c r="K194" s="77">
        <f t="shared" si="15"/>
        <v>0</v>
      </c>
      <c r="L194" s="77">
        <f t="shared" si="16"/>
        <v>0</v>
      </c>
      <c r="M194" s="77">
        <f t="shared" si="17"/>
        <v>0</v>
      </c>
      <c r="N194" s="77">
        <f t="shared" si="18"/>
        <v>10887052.341597797</v>
      </c>
      <c r="O194" s="100">
        <f t="shared" si="19"/>
        <v>0</v>
      </c>
      <c r="P194" t="str">
        <f t="shared" si="20"/>
        <v>OK</v>
      </c>
    </row>
    <row r="195" spans="1:16">
      <c r="A195">
        <v>11</v>
      </c>
      <c r="B195" t="str">
        <f>'Presupuesto Base'!A16</f>
        <v>9</v>
      </c>
      <c r="C195" t="str">
        <f>'Presupuesto Base'!B16</f>
        <v>Ejecución y compactación de capa cota -0,30</v>
      </c>
      <c r="D195" t="str">
        <f>'Presupuesto Base'!C16</f>
        <v>ml</v>
      </c>
      <c r="E195">
        <f>'Presupuesto Base'!D16</f>
        <v>4200</v>
      </c>
      <c r="F195" s="77">
        <f>'Presupuesto Base'!E16</f>
        <v>2182.8676374130923</v>
      </c>
      <c r="G195" s="77">
        <f>'Presupuesto Base'!F16</f>
        <v>9168044.0771349873</v>
      </c>
      <c r="H195">
        <f>SUMIFS(Medicion!$K$6:$K$511,Medicion!$G$6:$G$511,$B195,Medicion!$A$6:$A$511,"&lt;"&amp;$A195)</f>
        <v>0</v>
      </c>
      <c r="I195">
        <f>SUMIFS(Medicion!$K$6:$K$511,Medicion!$G$6:$G$511,$B195,Medicion!$A$6:$A$511,$A195)</f>
        <v>0</v>
      </c>
      <c r="J195">
        <f t="shared" si="14"/>
        <v>0</v>
      </c>
      <c r="K195" s="77">
        <f t="shared" si="15"/>
        <v>0</v>
      </c>
      <c r="L195" s="77">
        <f t="shared" si="16"/>
        <v>0</v>
      </c>
      <c r="M195" s="77">
        <f t="shared" si="17"/>
        <v>0</v>
      </c>
      <c r="N195" s="77">
        <f t="shared" si="18"/>
        <v>9168044.0771349873</v>
      </c>
      <c r="O195" s="100">
        <f t="shared" si="19"/>
        <v>0</v>
      </c>
      <c r="P195" t="str">
        <f t="shared" si="20"/>
        <v>OK</v>
      </c>
    </row>
    <row r="196" spans="1:16">
      <c r="A196">
        <v>11</v>
      </c>
      <c r="B196" t="str">
        <f>'Presupuesto Base'!A17</f>
        <v>10.1</v>
      </c>
      <c r="C196" t="str">
        <f>'Presupuesto Base'!B17</f>
        <v>Conexión domiciliaria sobre red Ø75</v>
      </c>
      <c r="D196" t="str">
        <f>'Presupuesto Base'!C17</f>
        <v>un</v>
      </c>
      <c r="E196">
        <f>'Presupuesto Base'!D17</f>
        <v>165</v>
      </c>
      <c r="F196" s="77">
        <f>'Presupuesto Base'!E17</f>
        <v>48618.415560564332</v>
      </c>
      <c r="G196" s="77">
        <f>'Presupuesto Base'!F17</f>
        <v>8022038.5674931146</v>
      </c>
      <c r="H196">
        <f>SUMIFS(Medicion!$K$6:$K$511,Medicion!$G$6:$G$511,$B196,Medicion!$A$6:$A$511,"&lt;"&amp;$A196)</f>
        <v>5</v>
      </c>
      <c r="I196">
        <f>SUMIFS(Medicion!$K$6:$K$511,Medicion!$G$6:$G$511,$B196,Medicion!$A$6:$A$511,$A196)</f>
        <v>0</v>
      </c>
      <c r="J196">
        <f t="shared" si="14"/>
        <v>5</v>
      </c>
      <c r="K196" s="77">
        <f t="shared" si="15"/>
        <v>243092.07780282164</v>
      </c>
      <c r="L196" s="77">
        <f t="shared" si="16"/>
        <v>0</v>
      </c>
      <c r="M196" s="77">
        <f t="shared" si="17"/>
        <v>243092.07780282164</v>
      </c>
      <c r="N196" s="77">
        <f t="shared" si="18"/>
        <v>7778946.4896902926</v>
      </c>
      <c r="O196" s="100">
        <f t="shared" si="19"/>
        <v>3.0303030303030304E-2</v>
      </c>
      <c r="P196" t="str">
        <f t="shared" si="20"/>
        <v>OK</v>
      </c>
    </row>
    <row r="197" spans="1:16">
      <c r="A197">
        <v>11</v>
      </c>
      <c r="B197" t="str">
        <f>'Presupuesto Base'!A18</f>
        <v>10.2</v>
      </c>
      <c r="C197" t="str">
        <f>'Presupuesto Base'!B18</f>
        <v>Conexión domiciliaria sobre red Ø110</v>
      </c>
      <c r="D197" t="str">
        <f>'Presupuesto Base'!C18</f>
        <v>un</v>
      </c>
      <c r="E197">
        <f>'Presupuesto Base'!D18</f>
        <v>62</v>
      </c>
      <c r="F197" s="77">
        <f>'Presupuesto Base'!E18</f>
        <v>55451.879498800321</v>
      </c>
      <c r="G197" s="77">
        <f>'Presupuesto Base'!F18</f>
        <v>3438016.52892562</v>
      </c>
      <c r="H197">
        <f>SUMIFS(Medicion!$K$6:$K$511,Medicion!$G$6:$G$511,$B197,Medicion!$A$6:$A$511,"&lt;"&amp;$A197)</f>
        <v>2</v>
      </c>
      <c r="I197">
        <f>SUMIFS(Medicion!$K$6:$K$511,Medicion!$G$6:$G$511,$B197,Medicion!$A$6:$A$511,$A197)</f>
        <v>0</v>
      </c>
      <c r="J197">
        <f t="shared" si="14"/>
        <v>2</v>
      </c>
      <c r="K197" s="77">
        <f t="shared" si="15"/>
        <v>110903.75899760064</v>
      </c>
      <c r="L197" s="77">
        <f t="shared" si="16"/>
        <v>0</v>
      </c>
      <c r="M197" s="77">
        <f t="shared" si="17"/>
        <v>110903.75899760064</v>
      </c>
      <c r="N197" s="77">
        <f t="shared" si="18"/>
        <v>3327112.7699280195</v>
      </c>
      <c r="O197" s="100">
        <f t="shared" si="19"/>
        <v>3.2258064516129031E-2</v>
      </c>
      <c r="P197" t="str">
        <f t="shared" si="20"/>
        <v>OK</v>
      </c>
    </row>
    <row r="198" spans="1:16">
      <c r="A198">
        <v>11</v>
      </c>
      <c r="B198" t="str">
        <f>'Presupuesto Base'!A19</f>
        <v>11.1</v>
      </c>
      <c r="C198" t="str">
        <f>'Presupuesto Base'!B19</f>
        <v>Válvula esclusa Ø75 completa e instalada</v>
      </c>
      <c r="D198" t="str">
        <f>'Presupuesto Base'!C19</f>
        <v>un</v>
      </c>
      <c r="E198">
        <f>'Presupuesto Base'!D19</f>
        <v>2</v>
      </c>
      <c r="F198" s="77">
        <f>'Presupuesto Base'!E19</f>
        <v>286501.37741046835</v>
      </c>
      <c r="G198" s="77">
        <f>'Presupuesto Base'!F19</f>
        <v>573002.75482093671</v>
      </c>
      <c r="H198">
        <f>SUMIFS(Medicion!$K$6:$K$511,Medicion!$G$6:$G$511,$B198,Medicion!$A$6:$A$511,"&lt;"&amp;$A198)</f>
        <v>0</v>
      </c>
      <c r="I198">
        <f>SUMIFS(Medicion!$K$6:$K$511,Medicion!$G$6:$G$511,$B198,Medicion!$A$6:$A$511,$A198)</f>
        <v>0</v>
      </c>
      <c r="J198">
        <f t="shared" ref="J198:J261" si="21">MIN(E198,H198+I198)</f>
        <v>0</v>
      </c>
      <c r="K198" s="77">
        <f t="shared" ref="K198:K261" si="22">MIN(G198,H198*F198)</f>
        <v>0</v>
      </c>
      <c r="L198" s="77">
        <f t="shared" ref="L198:L261" si="23">MIN(G198-K198,I198*F198)</f>
        <v>0</v>
      </c>
      <c r="M198" s="77">
        <f t="shared" ref="M198:M261" si="24">K198+L198</f>
        <v>0</v>
      </c>
      <c r="N198" s="77">
        <f t="shared" ref="N198:N261" si="25">MAX(0,G198-M198)</f>
        <v>573002.75482093671</v>
      </c>
      <c r="O198" s="100">
        <f t="shared" ref="O198:O261" si="26">IFERROR(J198/E198,0)</f>
        <v>0</v>
      </c>
      <c r="P198" t="str">
        <f t="shared" ref="P198:P261" si="27">IF(OR(H198+I198&gt;E198+0.000001,H198&lt;0,I198&lt;0),"REVISAR","OK")</f>
        <v>OK</v>
      </c>
    </row>
    <row r="199" spans="1:16">
      <c r="A199">
        <v>11</v>
      </c>
      <c r="B199" t="str">
        <f>'Presupuesto Base'!A20</f>
        <v>11.2</v>
      </c>
      <c r="C199" t="str">
        <f>'Presupuesto Base'!B20</f>
        <v>Válvula esclusa Ø100 completa e instalada</v>
      </c>
      <c r="D199" t="str">
        <f>'Presupuesto Base'!C20</f>
        <v>un</v>
      </c>
      <c r="E199">
        <f>'Presupuesto Base'!D20</f>
        <v>4</v>
      </c>
      <c r="F199" s="77">
        <f>'Presupuesto Base'!E20</f>
        <v>429752.0661157025</v>
      </c>
      <c r="G199" s="77">
        <f>'Presupuesto Base'!F20</f>
        <v>1719008.26446281</v>
      </c>
      <c r="H199">
        <f>SUMIFS(Medicion!$K$6:$K$511,Medicion!$G$6:$G$511,$B199,Medicion!$A$6:$A$511,"&lt;"&amp;$A199)</f>
        <v>0</v>
      </c>
      <c r="I199">
        <f>SUMIFS(Medicion!$K$6:$K$511,Medicion!$G$6:$G$511,$B199,Medicion!$A$6:$A$511,$A199)</f>
        <v>0</v>
      </c>
      <c r="J199">
        <f t="shared" si="21"/>
        <v>0</v>
      </c>
      <c r="K199" s="77">
        <f t="shared" si="22"/>
        <v>0</v>
      </c>
      <c r="L199" s="77">
        <f t="shared" si="23"/>
        <v>0</v>
      </c>
      <c r="M199" s="77">
        <f t="shared" si="24"/>
        <v>0</v>
      </c>
      <c r="N199" s="77">
        <f t="shared" si="25"/>
        <v>1719008.26446281</v>
      </c>
      <c r="O199" s="100">
        <f t="shared" si="26"/>
        <v>0</v>
      </c>
      <c r="P199" t="str">
        <f t="shared" si="27"/>
        <v>OK</v>
      </c>
    </row>
    <row r="200" spans="1:16">
      <c r="A200">
        <v>11</v>
      </c>
      <c r="B200" t="str">
        <f>'Presupuesto Base'!A21</f>
        <v>12</v>
      </c>
      <c r="C200" t="str">
        <f>'Presupuesto Base'!B21</f>
        <v>Hidrante a bola completo e instalado</v>
      </c>
      <c r="D200" t="str">
        <f>'Presupuesto Base'!C21</f>
        <v>un</v>
      </c>
      <c r="E200">
        <f>'Presupuesto Base'!D21</f>
        <v>15</v>
      </c>
      <c r="F200" s="77">
        <f>'Presupuesto Base'!E21</f>
        <v>114600.55096418734</v>
      </c>
      <c r="G200" s="77">
        <f>'Presupuesto Base'!F21</f>
        <v>1719008.26446281</v>
      </c>
      <c r="H200">
        <f>SUMIFS(Medicion!$K$6:$K$511,Medicion!$G$6:$G$511,$B200,Medicion!$A$6:$A$511,"&lt;"&amp;$A200)</f>
        <v>0</v>
      </c>
      <c r="I200">
        <f>SUMIFS(Medicion!$K$6:$K$511,Medicion!$G$6:$G$511,$B200,Medicion!$A$6:$A$511,$A200)</f>
        <v>0</v>
      </c>
      <c r="J200">
        <f t="shared" si="21"/>
        <v>0</v>
      </c>
      <c r="K200" s="77">
        <f t="shared" si="22"/>
        <v>0</v>
      </c>
      <c r="L200" s="77">
        <f t="shared" si="23"/>
        <v>0</v>
      </c>
      <c r="M200" s="77">
        <f t="shared" si="24"/>
        <v>0</v>
      </c>
      <c r="N200" s="77">
        <f t="shared" si="25"/>
        <v>1719008.26446281</v>
      </c>
      <c r="O200" s="100">
        <f t="shared" si="26"/>
        <v>0</v>
      </c>
      <c r="P200" t="str">
        <f t="shared" si="27"/>
        <v>OK</v>
      </c>
    </row>
    <row r="201" spans="1:16">
      <c r="A201">
        <v>11</v>
      </c>
      <c r="B201" t="str">
        <f>'Presupuesto Base'!A22</f>
        <v>13.1</v>
      </c>
      <c r="C201" t="str">
        <f>'Presupuesto Base'!B22</f>
        <v>Pruebas hidráulicas y operativas</v>
      </c>
      <c r="D201" t="str">
        <f>'Presupuesto Base'!C22</f>
        <v>gl</v>
      </c>
      <c r="E201">
        <f>'Presupuesto Base'!D22</f>
        <v>1</v>
      </c>
      <c r="F201" s="77">
        <f>'Presupuesto Base'!E22</f>
        <v>1719008.26446281</v>
      </c>
      <c r="G201" s="77">
        <f>'Presupuesto Base'!F22</f>
        <v>1719008.26446281</v>
      </c>
      <c r="H201">
        <f>SUMIFS(Medicion!$K$6:$K$511,Medicion!$G$6:$G$511,$B201,Medicion!$A$6:$A$511,"&lt;"&amp;$A201)</f>
        <v>0</v>
      </c>
      <c r="I201">
        <f>SUMIFS(Medicion!$K$6:$K$511,Medicion!$G$6:$G$511,$B201,Medicion!$A$6:$A$511,$A201)</f>
        <v>0</v>
      </c>
      <c r="J201">
        <f t="shared" si="21"/>
        <v>0</v>
      </c>
      <c r="K201" s="77">
        <f t="shared" si="22"/>
        <v>0</v>
      </c>
      <c r="L201" s="77">
        <f t="shared" si="23"/>
        <v>0</v>
      </c>
      <c r="M201" s="77">
        <f t="shared" si="24"/>
        <v>0</v>
      </c>
      <c r="N201" s="77">
        <f t="shared" si="25"/>
        <v>1719008.26446281</v>
      </c>
      <c r="O201" s="100">
        <f t="shared" si="26"/>
        <v>0</v>
      </c>
      <c r="P201" t="str">
        <f t="shared" si="27"/>
        <v>OK</v>
      </c>
    </row>
    <row r="202" spans="1:16">
      <c r="A202">
        <v>11</v>
      </c>
      <c r="B202" t="str">
        <f>'Presupuesto Base'!A23</f>
        <v>13.2</v>
      </c>
      <c r="C202" t="str">
        <f>'Presupuesto Base'!B23</f>
        <v>Terminaciones y acondicionamiento final</v>
      </c>
      <c r="D202" t="str">
        <f>'Presupuesto Base'!C23</f>
        <v>gl</v>
      </c>
      <c r="E202">
        <f>'Presupuesto Base'!D23</f>
        <v>1</v>
      </c>
      <c r="F202" s="77">
        <f>'Presupuesto Base'!E23</f>
        <v>1146005.5096418734</v>
      </c>
      <c r="G202" s="77">
        <f>'Presupuesto Base'!F23</f>
        <v>1146005.5096418734</v>
      </c>
      <c r="H202">
        <f>SUMIFS(Medicion!$K$6:$K$511,Medicion!$G$6:$G$511,$B202,Medicion!$A$6:$A$511,"&lt;"&amp;$A202)</f>
        <v>0</v>
      </c>
      <c r="I202">
        <f>SUMIFS(Medicion!$K$6:$K$511,Medicion!$G$6:$G$511,$B202,Medicion!$A$6:$A$511,$A202)</f>
        <v>0</v>
      </c>
      <c r="J202">
        <f t="shared" si="21"/>
        <v>0</v>
      </c>
      <c r="K202" s="77">
        <f t="shared" si="22"/>
        <v>0</v>
      </c>
      <c r="L202" s="77">
        <f t="shared" si="23"/>
        <v>0</v>
      </c>
      <c r="M202" s="77">
        <f t="shared" si="24"/>
        <v>0</v>
      </c>
      <c r="N202" s="77">
        <f t="shared" si="25"/>
        <v>1146005.5096418734</v>
      </c>
      <c r="O202" s="100">
        <f t="shared" si="26"/>
        <v>0</v>
      </c>
      <c r="P202" t="str">
        <f t="shared" si="27"/>
        <v>OK</v>
      </c>
    </row>
    <row r="203" spans="1:16">
      <c r="A203">
        <v>11</v>
      </c>
      <c r="B203" t="str">
        <f>'Presupuesto Base'!A24</f>
        <v>13.3</v>
      </c>
      <c r="C203" t="str">
        <f>'Presupuesto Base'!B24</f>
        <v>Documentación conforme a obra y cierre</v>
      </c>
      <c r="D203" t="str">
        <f>'Presupuesto Base'!C24</f>
        <v>gl</v>
      </c>
      <c r="E203">
        <f>'Presupuesto Base'!D24</f>
        <v>1</v>
      </c>
      <c r="F203" s="77">
        <f>'Presupuesto Base'!E24</f>
        <v>859504.132231405</v>
      </c>
      <c r="G203" s="77">
        <f>'Presupuesto Base'!F24</f>
        <v>859504.132231405</v>
      </c>
      <c r="H203">
        <f>SUMIFS(Medicion!$K$6:$K$511,Medicion!$G$6:$G$511,$B203,Medicion!$A$6:$A$511,"&lt;"&amp;$A203)</f>
        <v>0</v>
      </c>
      <c r="I203">
        <f>SUMIFS(Medicion!$K$6:$K$511,Medicion!$G$6:$G$511,$B203,Medicion!$A$6:$A$511,$A203)</f>
        <v>0</v>
      </c>
      <c r="J203">
        <f t="shared" si="21"/>
        <v>0</v>
      </c>
      <c r="K203" s="77">
        <f t="shared" si="22"/>
        <v>0</v>
      </c>
      <c r="L203" s="77">
        <f t="shared" si="23"/>
        <v>0</v>
      </c>
      <c r="M203" s="77">
        <f t="shared" si="24"/>
        <v>0</v>
      </c>
      <c r="N203" s="77">
        <f t="shared" si="25"/>
        <v>859504.132231405</v>
      </c>
      <c r="O203" s="100">
        <f t="shared" si="26"/>
        <v>0</v>
      </c>
      <c r="P203" t="str">
        <f t="shared" si="27"/>
        <v>OK</v>
      </c>
    </row>
    <row r="204" spans="1:16">
      <c r="A204">
        <v>12</v>
      </c>
      <c r="B204" t="str">
        <f>'Presupuesto Base'!A7</f>
        <v>1</v>
      </c>
      <c r="C204" t="str">
        <f>'Presupuesto Base'!B7</f>
        <v>Replanteo y marcación de traza</v>
      </c>
      <c r="D204" t="str">
        <f>'Presupuesto Base'!C7</f>
        <v>ml</v>
      </c>
      <c r="E204">
        <f>'Presupuesto Base'!D7</f>
        <v>4200</v>
      </c>
      <c r="F204" s="77">
        <f>'Presupuesto Base'!E7</f>
        <v>204.64384100747739</v>
      </c>
      <c r="G204" s="77">
        <f>'Presupuesto Base'!F7</f>
        <v>859504.132231405</v>
      </c>
      <c r="H204">
        <f>SUMIFS(Medicion!$K$6:$K$511,Medicion!$G$6:$G$511,$B204,Medicion!$A$6:$A$511,"&lt;"&amp;$A204)</f>
        <v>845</v>
      </c>
      <c r="I204">
        <f>SUMIFS(Medicion!$K$6:$K$511,Medicion!$G$6:$G$511,$B204,Medicion!$A$6:$A$511,$A204)</f>
        <v>0</v>
      </c>
      <c r="J204">
        <f t="shared" si="21"/>
        <v>845</v>
      </c>
      <c r="K204" s="77">
        <f t="shared" si="22"/>
        <v>172924.04565131839</v>
      </c>
      <c r="L204" s="77">
        <f t="shared" si="23"/>
        <v>0</v>
      </c>
      <c r="M204" s="77">
        <f t="shared" si="24"/>
        <v>172924.04565131839</v>
      </c>
      <c r="N204" s="77">
        <f t="shared" si="25"/>
        <v>686580.08658008662</v>
      </c>
      <c r="O204" s="100">
        <f t="shared" si="26"/>
        <v>0.2011904761904762</v>
      </c>
      <c r="P204" t="str">
        <f t="shared" si="27"/>
        <v>OK</v>
      </c>
    </row>
    <row r="205" spans="1:16">
      <c r="A205">
        <v>12</v>
      </c>
      <c r="B205" t="str">
        <f>'Presupuesto Base'!A8</f>
        <v>2</v>
      </c>
      <c r="C205" t="str">
        <f>'Presupuesto Base'!B8</f>
        <v>Excavación de zanja</v>
      </c>
      <c r="D205" t="str">
        <f>'Presupuesto Base'!C8</f>
        <v>ml</v>
      </c>
      <c r="E205">
        <f>'Presupuesto Base'!D8</f>
        <v>4200</v>
      </c>
      <c r="F205" s="77">
        <f>'Presupuesto Base'!E8</f>
        <v>3683.5891381345932</v>
      </c>
      <c r="G205" s="77">
        <f>'Presupuesto Base'!F8</f>
        <v>15471074.380165292</v>
      </c>
      <c r="H205">
        <f>SUMIFS(Medicion!$K$6:$K$511,Medicion!$G$6:$G$511,$B205,Medicion!$A$6:$A$511,"&lt;"&amp;$A205)</f>
        <v>845</v>
      </c>
      <c r="I205">
        <f>SUMIFS(Medicion!$K$6:$K$511,Medicion!$G$6:$G$511,$B205,Medicion!$A$6:$A$511,$A205)</f>
        <v>0</v>
      </c>
      <c r="J205">
        <f t="shared" si="21"/>
        <v>845</v>
      </c>
      <c r="K205" s="77">
        <f t="shared" si="22"/>
        <v>3112632.8217237312</v>
      </c>
      <c r="L205" s="77">
        <f t="shared" si="23"/>
        <v>0</v>
      </c>
      <c r="M205" s="77">
        <f t="shared" si="24"/>
        <v>3112632.8217237312</v>
      </c>
      <c r="N205" s="77">
        <f t="shared" si="25"/>
        <v>12358441.558441561</v>
      </c>
      <c r="O205" s="100">
        <f t="shared" si="26"/>
        <v>0.2011904761904762</v>
      </c>
      <c r="P205" t="str">
        <f t="shared" si="27"/>
        <v>OK</v>
      </c>
    </row>
    <row r="206" spans="1:16">
      <c r="A206">
        <v>12</v>
      </c>
      <c r="B206" t="str">
        <f>'Presupuesto Base'!A9</f>
        <v>3</v>
      </c>
      <c r="C206" t="str">
        <f>'Presupuesto Base'!B9</f>
        <v>Nivelación y conformación del fondo de zanja</v>
      </c>
      <c r="D206" t="str">
        <f>'Presupuesto Base'!C9</f>
        <v>ml</v>
      </c>
      <c r="E206">
        <f>'Presupuesto Base'!D9</f>
        <v>4200</v>
      </c>
      <c r="F206" s="77">
        <f>'Presupuesto Base'!E9</f>
        <v>477.50229568411396</v>
      </c>
      <c r="G206" s="77">
        <f>'Presupuesto Base'!F9</f>
        <v>2005509.6418732787</v>
      </c>
      <c r="H206">
        <f>SUMIFS(Medicion!$K$6:$K$511,Medicion!$G$6:$G$511,$B206,Medicion!$A$6:$A$511,"&lt;"&amp;$A206)</f>
        <v>845</v>
      </c>
      <c r="I206">
        <f>SUMIFS(Medicion!$K$6:$K$511,Medicion!$G$6:$G$511,$B206,Medicion!$A$6:$A$511,$A206)</f>
        <v>0</v>
      </c>
      <c r="J206">
        <f t="shared" si="21"/>
        <v>845</v>
      </c>
      <c r="K206" s="77">
        <f t="shared" si="22"/>
        <v>403489.4398530763</v>
      </c>
      <c r="L206" s="77">
        <f t="shared" si="23"/>
        <v>0</v>
      </c>
      <c r="M206" s="77">
        <f t="shared" si="24"/>
        <v>403489.4398530763</v>
      </c>
      <c r="N206" s="77">
        <f t="shared" si="25"/>
        <v>1602020.2020202023</v>
      </c>
      <c r="O206" s="100">
        <f t="shared" si="26"/>
        <v>0.2011904761904762</v>
      </c>
      <c r="P206" t="str">
        <f t="shared" si="27"/>
        <v>OK</v>
      </c>
    </row>
    <row r="207" spans="1:16">
      <c r="A207">
        <v>12</v>
      </c>
      <c r="B207" t="str">
        <f>'Presupuesto Base'!A10</f>
        <v>4</v>
      </c>
      <c r="C207" t="str">
        <f>'Presupuesto Base'!B10</f>
        <v>Cama de asiento compactada</v>
      </c>
      <c r="D207" t="str">
        <f>'Presupuesto Base'!C10</f>
        <v>ml</v>
      </c>
      <c r="E207">
        <f>'Presupuesto Base'!D10</f>
        <v>4200</v>
      </c>
      <c r="F207" s="77">
        <f>'Presupuesto Base'!E10</f>
        <v>1705.3653417289784</v>
      </c>
      <c r="G207" s="77">
        <f>'Presupuesto Base'!F10</f>
        <v>7162534.4352617087</v>
      </c>
      <c r="H207">
        <f>SUMIFS(Medicion!$K$6:$K$511,Medicion!$G$6:$G$511,$B207,Medicion!$A$6:$A$511,"&lt;"&amp;$A207)</f>
        <v>845</v>
      </c>
      <c r="I207">
        <f>SUMIFS(Medicion!$K$6:$K$511,Medicion!$G$6:$G$511,$B207,Medicion!$A$6:$A$511,$A207)</f>
        <v>0</v>
      </c>
      <c r="J207">
        <f t="shared" si="21"/>
        <v>845</v>
      </c>
      <c r="K207" s="77">
        <f t="shared" si="22"/>
        <v>1441033.7137609867</v>
      </c>
      <c r="L207" s="77">
        <f t="shared" si="23"/>
        <v>0</v>
      </c>
      <c r="M207" s="77">
        <f t="shared" si="24"/>
        <v>1441033.7137609867</v>
      </c>
      <c r="N207" s="77">
        <f t="shared" si="25"/>
        <v>5721500.7215007218</v>
      </c>
      <c r="O207" s="100">
        <f t="shared" si="26"/>
        <v>0.2011904761904762</v>
      </c>
      <c r="P207" t="str">
        <f t="shared" si="27"/>
        <v>OK</v>
      </c>
    </row>
    <row r="208" spans="1:16">
      <c r="A208">
        <v>12</v>
      </c>
      <c r="B208" t="str">
        <f>'Presupuesto Base'!A11</f>
        <v>5.1</v>
      </c>
      <c r="C208" t="str">
        <f>'Presupuesto Base'!B11</f>
        <v>PEAD PN10 Ø75 – provisión e instalación</v>
      </c>
      <c r="D208" t="str">
        <f>'Presupuesto Base'!C11</f>
        <v>ml</v>
      </c>
      <c r="E208">
        <f>'Presupuesto Base'!D11</f>
        <v>3170</v>
      </c>
      <c r="F208" s="77">
        <f>'Presupuesto Base'!E11</f>
        <v>5784.2549382555126</v>
      </c>
      <c r="G208" s="77">
        <f>'Presupuesto Base'!F11</f>
        <v>18336088.154269975</v>
      </c>
      <c r="H208">
        <f>SUMIFS(Medicion!$K$6:$K$511,Medicion!$G$6:$G$511,$B208,Medicion!$A$6:$A$511,"&lt;"&amp;$A208)</f>
        <v>558</v>
      </c>
      <c r="I208">
        <f>SUMIFS(Medicion!$K$6:$K$511,Medicion!$G$6:$G$511,$B208,Medicion!$A$6:$A$511,$A208)</f>
        <v>0</v>
      </c>
      <c r="J208">
        <f t="shared" si="21"/>
        <v>558</v>
      </c>
      <c r="K208" s="77">
        <f t="shared" si="22"/>
        <v>3227614.2555465759</v>
      </c>
      <c r="L208" s="77">
        <f t="shared" si="23"/>
        <v>0</v>
      </c>
      <c r="M208" s="77">
        <f t="shared" si="24"/>
        <v>3227614.2555465759</v>
      </c>
      <c r="N208" s="77">
        <f t="shared" si="25"/>
        <v>15108473.898723399</v>
      </c>
      <c r="O208" s="100">
        <f t="shared" si="26"/>
        <v>0.17602523659305994</v>
      </c>
      <c r="P208" t="str">
        <f t="shared" si="27"/>
        <v>OK</v>
      </c>
    </row>
    <row r="209" spans="1:16">
      <c r="A209">
        <v>12</v>
      </c>
      <c r="B209" t="str">
        <f>'Presupuesto Base'!A12</f>
        <v>5.2</v>
      </c>
      <c r="C209" t="str">
        <f>'Presupuesto Base'!B12</f>
        <v>PEAD PN10 Ø110 – provisión e instalación</v>
      </c>
      <c r="D209" t="str">
        <f>'Presupuesto Base'!C12</f>
        <v>ml</v>
      </c>
      <c r="E209">
        <f>'Presupuesto Base'!D12</f>
        <v>1030</v>
      </c>
      <c r="F209" s="77">
        <f>'Presupuesto Base'!E12</f>
        <v>12238.893792291852</v>
      </c>
      <c r="G209" s="77">
        <f>'Presupuesto Base'!F12</f>
        <v>12606060.606060607</v>
      </c>
      <c r="H209">
        <f>SUMIFS(Medicion!$K$6:$K$511,Medicion!$G$6:$G$511,$B209,Medicion!$A$6:$A$511,"&lt;"&amp;$A209)</f>
        <v>287</v>
      </c>
      <c r="I209">
        <f>SUMIFS(Medicion!$K$6:$K$511,Medicion!$G$6:$G$511,$B209,Medicion!$A$6:$A$511,$A209)</f>
        <v>0</v>
      </c>
      <c r="J209">
        <f t="shared" si="21"/>
        <v>287</v>
      </c>
      <c r="K209" s="77">
        <f t="shared" si="22"/>
        <v>3512562.5183877614</v>
      </c>
      <c r="L209" s="77">
        <f t="shared" si="23"/>
        <v>0</v>
      </c>
      <c r="M209" s="77">
        <f t="shared" si="24"/>
        <v>3512562.5183877614</v>
      </c>
      <c r="N209" s="77">
        <f t="shared" si="25"/>
        <v>9093498.0876728464</v>
      </c>
      <c r="O209" s="100">
        <f t="shared" si="26"/>
        <v>0.27864077669902915</v>
      </c>
      <c r="P209" t="str">
        <f t="shared" si="27"/>
        <v>OK</v>
      </c>
    </row>
    <row r="210" spans="1:16">
      <c r="A210">
        <v>12</v>
      </c>
      <c r="B210" t="str">
        <f>'Presupuesto Base'!A13</f>
        <v>6</v>
      </c>
      <c r="C210" t="str">
        <f>'Presupuesto Base'!B13</f>
        <v>Ejecución de paquete estructural de 30 cm</v>
      </c>
      <c r="D210" t="str">
        <f>'Presupuesto Base'!C13</f>
        <v>ml</v>
      </c>
      <c r="E210">
        <f>'Presupuesto Base'!D13</f>
        <v>4200</v>
      </c>
      <c r="F210" s="77">
        <f>'Presupuesto Base'!E13</f>
        <v>3274.3014561196383</v>
      </c>
      <c r="G210" s="77">
        <f>'Presupuesto Base'!F13</f>
        <v>13752066.11570248</v>
      </c>
      <c r="H210">
        <f>SUMIFS(Medicion!$K$6:$K$511,Medicion!$G$6:$G$511,$B210,Medicion!$A$6:$A$511,"&lt;"&amp;$A210)</f>
        <v>763</v>
      </c>
      <c r="I210">
        <f>SUMIFS(Medicion!$K$6:$K$511,Medicion!$G$6:$G$511,$B210,Medicion!$A$6:$A$511,$A210)</f>
        <v>0</v>
      </c>
      <c r="J210">
        <f t="shared" si="21"/>
        <v>763</v>
      </c>
      <c r="K210" s="77">
        <f t="shared" si="22"/>
        <v>2498292.0110192839</v>
      </c>
      <c r="L210" s="77">
        <f t="shared" si="23"/>
        <v>0</v>
      </c>
      <c r="M210" s="77">
        <f t="shared" si="24"/>
        <v>2498292.0110192839</v>
      </c>
      <c r="N210" s="77">
        <f t="shared" si="25"/>
        <v>11253774.104683196</v>
      </c>
      <c r="O210" s="100">
        <f t="shared" si="26"/>
        <v>0.18166666666666667</v>
      </c>
      <c r="P210" t="str">
        <f t="shared" si="27"/>
        <v>OK</v>
      </c>
    </row>
    <row r="211" spans="1:16">
      <c r="A211">
        <v>12</v>
      </c>
      <c r="B211" t="str">
        <f>'Presupuesto Base'!A14</f>
        <v>7</v>
      </c>
      <c r="C211" t="str">
        <f>'Presupuesto Base'!B14</f>
        <v>Compactación del paquete estructural de 30 cm</v>
      </c>
      <c r="D211" t="str">
        <f>'Presupuesto Base'!C14</f>
        <v>ml</v>
      </c>
      <c r="E211">
        <f>'Presupuesto Base'!D14</f>
        <v>4200</v>
      </c>
      <c r="F211" s="77">
        <f>'Presupuesto Base'!E14</f>
        <v>1227.8630460448644</v>
      </c>
      <c r="G211" s="77">
        <f>'Presupuesto Base'!F14</f>
        <v>5157024.79338843</v>
      </c>
      <c r="H211">
        <f>SUMIFS(Medicion!$K$6:$K$511,Medicion!$G$6:$G$511,$B211,Medicion!$A$6:$A$511,"&lt;"&amp;$A211)</f>
        <v>0</v>
      </c>
      <c r="I211">
        <f>SUMIFS(Medicion!$K$6:$K$511,Medicion!$G$6:$G$511,$B211,Medicion!$A$6:$A$511,$A211)</f>
        <v>0</v>
      </c>
      <c r="J211">
        <f t="shared" si="21"/>
        <v>0</v>
      </c>
      <c r="K211" s="77">
        <f t="shared" si="22"/>
        <v>0</v>
      </c>
      <c r="L211" s="77">
        <f t="shared" si="23"/>
        <v>0</v>
      </c>
      <c r="M211" s="77">
        <f t="shared" si="24"/>
        <v>0</v>
      </c>
      <c r="N211" s="77">
        <f t="shared" si="25"/>
        <v>5157024.79338843</v>
      </c>
      <c r="O211" s="100">
        <f t="shared" si="26"/>
        <v>0</v>
      </c>
      <c r="P211" t="str">
        <f t="shared" si="27"/>
        <v>OK</v>
      </c>
    </row>
    <row r="212" spans="1:16">
      <c r="A212">
        <v>12</v>
      </c>
      <c r="B212" t="str">
        <f>'Presupuesto Base'!A15</f>
        <v>8</v>
      </c>
      <c r="C212" t="str">
        <f>'Presupuesto Base'!B15</f>
        <v>Ejecución y compactación de capa cota -0,60</v>
      </c>
      <c r="D212" t="str">
        <f>'Presupuesto Base'!C15</f>
        <v>ml</v>
      </c>
      <c r="E212">
        <f>'Presupuesto Base'!D15</f>
        <v>4200</v>
      </c>
      <c r="F212" s="77">
        <f>'Presupuesto Base'!E15</f>
        <v>2592.1553194280468</v>
      </c>
      <c r="G212" s="77">
        <f>'Presupuesto Base'!F15</f>
        <v>10887052.341597797</v>
      </c>
      <c r="H212">
        <f>SUMIFS(Medicion!$K$6:$K$511,Medicion!$G$6:$G$511,$B212,Medicion!$A$6:$A$511,"&lt;"&amp;$A212)</f>
        <v>0</v>
      </c>
      <c r="I212">
        <f>SUMIFS(Medicion!$K$6:$K$511,Medicion!$G$6:$G$511,$B212,Medicion!$A$6:$A$511,$A212)</f>
        <v>0</v>
      </c>
      <c r="J212">
        <f t="shared" si="21"/>
        <v>0</v>
      </c>
      <c r="K212" s="77">
        <f t="shared" si="22"/>
        <v>0</v>
      </c>
      <c r="L212" s="77">
        <f t="shared" si="23"/>
        <v>0</v>
      </c>
      <c r="M212" s="77">
        <f t="shared" si="24"/>
        <v>0</v>
      </c>
      <c r="N212" s="77">
        <f t="shared" si="25"/>
        <v>10887052.341597797</v>
      </c>
      <c r="O212" s="100">
        <f t="shared" si="26"/>
        <v>0</v>
      </c>
      <c r="P212" t="str">
        <f t="shared" si="27"/>
        <v>OK</v>
      </c>
    </row>
    <row r="213" spans="1:16">
      <c r="A213">
        <v>12</v>
      </c>
      <c r="B213" t="str">
        <f>'Presupuesto Base'!A16</f>
        <v>9</v>
      </c>
      <c r="C213" t="str">
        <f>'Presupuesto Base'!B16</f>
        <v>Ejecución y compactación de capa cota -0,30</v>
      </c>
      <c r="D213" t="str">
        <f>'Presupuesto Base'!C16</f>
        <v>ml</v>
      </c>
      <c r="E213">
        <f>'Presupuesto Base'!D16</f>
        <v>4200</v>
      </c>
      <c r="F213" s="77">
        <f>'Presupuesto Base'!E16</f>
        <v>2182.8676374130923</v>
      </c>
      <c r="G213" s="77">
        <f>'Presupuesto Base'!F16</f>
        <v>9168044.0771349873</v>
      </c>
      <c r="H213">
        <f>SUMIFS(Medicion!$K$6:$K$511,Medicion!$G$6:$G$511,$B213,Medicion!$A$6:$A$511,"&lt;"&amp;$A213)</f>
        <v>0</v>
      </c>
      <c r="I213">
        <f>SUMIFS(Medicion!$K$6:$K$511,Medicion!$G$6:$G$511,$B213,Medicion!$A$6:$A$511,$A213)</f>
        <v>0</v>
      </c>
      <c r="J213">
        <f t="shared" si="21"/>
        <v>0</v>
      </c>
      <c r="K213" s="77">
        <f t="shared" si="22"/>
        <v>0</v>
      </c>
      <c r="L213" s="77">
        <f t="shared" si="23"/>
        <v>0</v>
      </c>
      <c r="M213" s="77">
        <f t="shared" si="24"/>
        <v>0</v>
      </c>
      <c r="N213" s="77">
        <f t="shared" si="25"/>
        <v>9168044.0771349873</v>
      </c>
      <c r="O213" s="100">
        <f t="shared" si="26"/>
        <v>0</v>
      </c>
      <c r="P213" t="str">
        <f t="shared" si="27"/>
        <v>OK</v>
      </c>
    </row>
    <row r="214" spans="1:16">
      <c r="A214">
        <v>12</v>
      </c>
      <c r="B214" t="str">
        <f>'Presupuesto Base'!A17</f>
        <v>10.1</v>
      </c>
      <c r="C214" t="str">
        <f>'Presupuesto Base'!B17</f>
        <v>Conexión domiciliaria sobre red Ø75</v>
      </c>
      <c r="D214" t="str">
        <f>'Presupuesto Base'!C17</f>
        <v>un</v>
      </c>
      <c r="E214">
        <f>'Presupuesto Base'!D17</f>
        <v>165</v>
      </c>
      <c r="F214" s="77">
        <f>'Presupuesto Base'!E17</f>
        <v>48618.415560564332</v>
      </c>
      <c r="G214" s="77">
        <f>'Presupuesto Base'!F17</f>
        <v>8022038.5674931146</v>
      </c>
      <c r="H214">
        <f>SUMIFS(Medicion!$K$6:$K$511,Medicion!$G$6:$G$511,$B214,Medicion!$A$6:$A$511,"&lt;"&amp;$A214)</f>
        <v>5</v>
      </c>
      <c r="I214">
        <f>SUMIFS(Medicion!$K$6:$K$511,Medicion!$G$6:$G$511,$B214,Medicion!$A$6:$A$511,$A214)</f>
        <v>0</v>
      </c>
      <c r="J214">
        <f t="shared" si="21"/>
        <v>5</v>
      </c>
      <c r="K214" s="77">
        <f t="shared" si="22"/>
        <v>243092.07780282164</v>
      </c>
      <c r="L214" s="77">
        <f t="shared" si="23"/>
        <v>0</v>
      </c>
      <c r="M214" s="77">
        <f t="shared" si="24"/>
        <v>243092.07780282164</v>
      </c>
      <c r="N214" s="77">
        <f t="shared" si="25"/>
        <v>7778946.4896902926</v>
      </c>
      <c r="O214" s="100">
        <f t="shared" si="26"/>
        <v>3.0303030303030304E-2</v>
      </c>
      <c r="P214" t="str">
        <f t="shared" si="27"/>
        <v>OK</v>
      </c>
    </row>
    <row r="215" spans="1:16">
      <c r="A215">
        <v>12</v>
      </c>
      <c r="B215" t="str">
        <f>'Presupuesto Base'!A18</f>
        <v>10.2</v>
      </c>
      <c r="C215" t="str">
        <f>'Presupuesto Base'!B18</f>
        <v>Conexión domiciliaria sobre red Ø110</v>
      </c>
      <c r="D215" t="str">
        <f>'Presupuesto Base'!C18</f>
        <v>un</v>
      </c>
      <c r="E215">
        <f>'Presupuesto Base'!D18</f>
        <v>62</v>
      </c>
      <c r="F215" s="77">
        <f>'Presupuesto Base'!E18</f>
        <v>55451.879498800321</v>
      </c>
      <c r="G215" s="77">
        <f>'Presupuesto Base'!F18</f>
        <v>3438016.52892562</v>
      </c>
      <c r="H215">
        <f>SUMIFS(Medicion!$K$6:$K$511,Medicion!$G$6:$G$511,$B215,Medicion!$A$6:$A$511,"&lt;"&amp;$A215)</f>
        <v>2</v>
      </c>
      <c r="I215">
        <f>SUMIFS(Medicion!$K$6:$K$511,Medicion!$G$6:$G$511,$B215,Medicion!$A$6:$A$511,$A215)</f>
        <v>0</v>
      </c>
      <c r="J215">
        <f t="shared" si="21"/>
        <v>2</v>
      </c>
      <c r="K215" s="77">
        <f t="shared" si="22"/>
        <v>110903.75899760064</v>
      </c>
      <c r="L215" s="77">
        <f t="shared" si="23"/>
        <v>0</v>
      </c>
      <c r="M215" s="77">
        <f t="shared" si="24"/>
        <v>110903.75899760064</v>
      </c>
      <c r="N215" s="77">
        <f t="shared" si="25"/>
        <v>3327112.7699280195</v>
      </c>
      <c r="O215" s="100">
        <f t="shared" si="26"/>
        <v>3.2258064516129031E-2</v>
      </c>
      <c r="P215" t="str">
        <f t="shared" si="27"/>
        <v>OK</v>
      </c>
    </row>
    <row r="216" spans="1:16">
      <c r="A216">
        <v>12</v>
      </c>
      <c r="B216" t="str">
        <f>'Presupuesto Base'!A19</f>
        <v>11.1</v>
      </c>
      <c r="C216" t="str">
        <f>'Presupuesto Base'!B19</f>
        <v>Válvula esclusa Ø75 completa e instalada</v>
      </c>
      <c r="D216" t="str">
        <f>'Presupuesto Base'!C19</f>
        <v>un</v>
      </c>
      <c r="E216">
        <f>'Presupuesto Base'!D19</f>
        <v>2</v>
      </c>
      <c r="F216" s="77">
        <f>'Presupuesto Base'!E19</f>
        <v>286501.37741046835</v>
      </c>
      <c r="G216" s="77">
        <f>'Presupuesto Base'!F19</f>
        <v>573002.75482093671</v>
      </c>
      <c r="H216">
        <f>SUMIFS(Medicion!$K$6:$K$511,Medicion!$G$6:$G$511,$B216,Medicion!$A$6:$A$511,"&lt;"&amp;$A216)</f>
        <v>0</v>
      </c>
      <c r="I216">
        <f>SUMIFS(Medicion!$K$6:$K$511,Medicion!$G$6:$G$511,$B216,Medicion!$A$6:$A$511,$A216)</f>
        <v>0</v>
      </c>
      <c r="J216">
        <f t="shared" si="21"/>
        <v>0</v>
      </c>
      <c r="K216" s="77">
        <f t="shared" si="22"/>
        <v>0</v>
      </c>
      <c r="L216" s="77">
        <f t="shared" si="23"/>
        <v>0</v>
      </c>
      <c r="M216" s="77">
        <f t="shared" si="24"/>
        <v>0</v>
      </c>
      <c r="N216" s="77">
        <f t="shared" si="25"/>
        <v>573002.75482093671</v>
      </c>
      <c r="O216" s="100">
        <f t="shared" si="26"/>
        <v>0</v>
      </c>
      <c r="P216" t="str">
        <f t="shared" si="27"/>
        <v>OK</v>
      </c>
    </row>
    <row r="217" spans="1:16">
      <c r="A217">
        <v>12</v>
      </c>
      <c r="B217" t="str">
        <f>'Presupuesto Base'!A20</f>
        <v>11.2</v>
      </c>
      <c r="C217" t="str">
        <f>'Presupuesto Base'!B20</f>
        <v>Válvula esclusa Ø100 completa e instalada</v>
      </c>
      <c r="D217" t="str">
        <f>'Presupuesto Base'!C20</f>
        <v>un</v>
      </c>
      <c r="E217">
        <f>'Presupuesto Base'!D20</f>
        <v>4</v>
      </c>
      <c r="F217" s="77">
        <f>'Presupuesto Base'!E20</f>
        <v>429752.0661157025</v>
      </c>
      <c r="G217" s="77">
        <f>'Presupuesto Base'!F20</f>
        <v>1719008.26446281</v>
      </c>
      <c r="H217">
        <f>SUMIFS(Medicion!$K$6:$K$511,Medicion!$G$6:$G$511,$B217,Medicion!$A$6:$A$511,"&lt;"&amp;$A217)</f>
        <v>0</v>
      </c>
      <c r="I217">
        <f>SUMIFS(Medicion!$K$6:$K$511,Medicion!$G$6:$G$511,$B217,Medicion!$A$6:$A$511,$A217)</f>
        <v>0</v>
      </c>
      <c r="J217">
        <f t="shared" si="21"/>
        <v>0</v>
      </c>
      <c r="K217" s="77">
        <f t="shared" si="22"/>
        <v>0</v>
      </c>
      <c r="L217" s="77">
        <f t="shared" si="23"/>
        <v>0</v>
      </c>
      <c r="M217" s="77">
        <f t="shared" si="24"/>
        <v>0</v>
      </c>
      <c r="N217" s="77">
        <f t="shared" si="25"/>
        <v>1719008.26446281</v>
      </c>
      <c r="O217" s="100">
        <f t="shared" si="26"/>
        <v>0</v>
      </c>
      <c r="P217" t="str">
        <f t="shared" si="27"/>
        <v>OK</v>
      </c>
    </row>
    <row r="218" spans="1:16">
      <c r="A218">
        <v>12</v>
      </c>
      <c r="B218" t="str">
        <f>'Presupuesto Base'!A21</f>
        <v>12</v>
      </c>
      <c r="C218" t="str">
        <f>'Presupuesto Base'!B21</f>
        <v>Hidrante a bola completo e instalado</v>
      </c>
      <c r="D218" t="str">
        <f>'Presupuesto Base'!C21</f>
        <v>un</v>
      </c>
      <c r="E218">
        <f>'Presupuesto Base'!D21</f>
        <v>15</v>
      </c>
      <c r="F218" s="77">
        <f>'Presupuesto Base'!E21</f>
        <v>114600.55096418734</v>
      </c>
      <c r="G218" s="77">
        <f>'Presupuesto Base'!F21</f>
        <v>1719008.26446281</v>
      </c>
      <c r="H218">
        <f>SUMIFS(Medicion!$K$6:$K$511,Medicion!$G$6:$G$511,$B218,Medicion!$A$6:$A$511,"&lt;"&amp;$A218)</f>
        <v>0</v>
      </c>
      <c r="I218">
        <f>SUMIFS(Medicion!$K$6:$K$511,Medicion!$G$6:$G$511,$B218,Medicion!$A$6:$A$511,$A218)</f>
        <v>0</v>
      </c>
      <c r="J218">
        <f t="shared" si="21"/>
        <v>0</v>
      </c>
      <c r="K218" s="77">
        <f t="shared" si="22"/>
        <v>0</v>
      </c>
      <c r="L218" s="77">
        <f t="shared" si="23"/>
        <v>0</v>
      </c>
      <c r="M218" s="77">
        <f t="shared" si="24"/>
        <v>0</v>
      </c>
      <c r="N218" s="77">
        <f t="shared" si="25"/>
        <v>1719008.26446281</v>
      </c>
      <c r="O218" s="100">
        <f t="shared" si="26"/>
        <v>0</v>
      </c>
      <c r="P218" t="str">
        <f t="shared" si="27"/>
        <v>OK</v>
      </c>
    </row>
    <row r="219" spans="1:16">
      <c r="A219">
        <v>12</v>
      </c>
      <c r="B219" t="str">
        <f>'Presupuesto Base'!A22</f>
        <v>13.1</v>
      </c>
      <c r="C219" t="str">
        <f>'Presupuesto Base'!B22</f>
        <v>Pruebas hidráulicas y operativas</v>
      </c>
      <c r="D219" t="str">
        <f>'Presupuesto Base'!C22</f>
        <v>gl</v>
      </c>
      <c r="E219">
        <f>'Presupuesto Base'!D22</f>
        <v>1</v>
      </c>
      <c r="F219" s="77">
        <f>'Presupuesto Base'!E22</f>
        <v>1719008.26446281</v>
      </c>
      <c r="G219" s="77">
        <f>'Presupuesto Base'!F22</f>
        <v>1719008.26446281</v>
      </c>
      <c r="H219">
        <f>SUMIFS(Medicion!$K$6:$K$511,Medicion!$G$6:$G$511,$B219,Medicion!$A$6:$A$511,"&lt;"&amp;$A219)</f>
        <v>0</v>
      </c>
      <c r="I219">
        <f>SUMIFS(Medicion!$K$6:$K$511,Medicion!$G$6:$G$511,$B219,Medicion!$A$6:$A$511,$A219)</f>
        <v>0</v>
      </c>
      <c r="J219">
        <f t="shared" si="21"/>
        <v>0</v>
      </c>
      <c r="K219" s="77">
        <f t="shared" si="22"/>
        <v>0</v>
      </c>
      <c r="L219" s="77">
        <f t="shared" si="23"/>
        <v>0</v>
      </c>
      <c r="M219" s="77">
        <f t="shared" si="24"/>
        <v>0</v>
      </c>
      <c r="N219" s="77">
        <f t="shared" si="25"/>
        <v>1719008.26446281</v>
      </c>
      <c r="O219" s="100">
        <f t="shared" si="26"/>
        <v>0</v>
      </c>
      <c r="P219" t="str">
        <f t="shared" si="27"/>
        <v>OK</v>
      </c>
    </row>
    <row r="220" spans="1:16">
      <c r="A220">
        <v>12</v>
      </c>
      <c r="B220" t="str">
        <f>'Presupuesto Base'!A23</f>
        <v>13.2</v>
      </c>
      <c r="C220" t="str">
        <f>'Presupuesto Base'!B23</f>
        <v>Terminaciones y acondicionamiento final</v>
      </c>
      <c r="D220" t="str">
        <f>'Presupuesto Base'!C23</f>
        <v>gl</v>
      </c>
      <c r="E220">
        <f>'Presupuesto Base'!D23</f>
        <v>1</v>
      </c>
      <c r="F220" s="77">
        <f>'Presupuesto Base'!E23</f>
        <v>1146005.5096418734</v>
      </c>
      <c r="G220" s="77">
        <f>'Presupuesto Base'!F23</f>
        <v>1146005.5096418734</v>
      </c>
      <c r="H220">
        <f>SUMIFS(Medicion!$K$6:$K$511,Medicion!$G$6:$G$511,$B220,Medicion!$A$6:$A$511,"&lt;"&amp;$A220)</f>
        <v>0</v>
      </c>
      <c r="I220">
        <f>SUMIFS(Medicion!$K$6:$K$511,Medicion!$G$6:$G$511,$B220,Medicion!$A$6:$A$511,$A220)</f>
        <v>0</v>
      </c>
      <c r="J220">
        <f t="shared" si="21"/>
        <v>0</v>
      </c>
      <c r="K220" s="77">
        <f t="shared" si="22"/>
        <v>0</v>
      </c>
      <c r="L220" s="77">
        <f t="shared" si="23"/>
        <v>0</v>
      </c>
      <c r="M220" s="77">
        <f t="shared" si="24"/>
        <v>0</v>
      </c>
      <c r="N220" s="77">
        <f t="shared" si="25"/>
        <v>1146005.5096418734</v>
      </c>
      <c r="O220" s="100">
        <f t="shared" si="26"/>
        <v>0</v>
      </c>
      <c r="P220" t="str">
        <f t="shared" si="27"/>
        <v>OK</v>
      </c>
    </row>
    <row r="221" spans="1:16">
      <c r="A221">
        <v>12</v>
      </c>
      <c r="B221" t="str">
        <f>'Presupuesto Base'!A24</f>
        <v>13.3</v>
      </c>
      <c r="C221" t="str">
        <f>'Presupuesto Base'!B24</f>
        <v>Documentación conforme a obra y cierre</v>
      </c>
      <c r="D221" t="str">
        <f>'Presupuesto Base'!C24</f>
        <v>gl</v>
      </c>
      <c r="E221">
        <f>'Presupuesto Base'!D24</f>
        <v>1</v>
      </c>
      <c r="F221" s="77">
        <f>'Presupuesto Base'!E24</f>
        <v>859504.132231405</v>
      </c>
      <c r="G221" s="77">
        <f>'Presupuesto Base'!F24</f>
        <v>859504.132231405</v>
      </c>
      <c r="H221">
        <f>SUMIFS(Medicion!$K$6:$K$511,Medicion!$G$6:$G$511,$B221,Medicion!$A$6:$A$511,"&lt;"&amp;$A221)</f>
        <v>0</v>
      </c>
      <c r="I221">
        <f>SUMIFS(Medicion!$K$6:$K$511,Medicion!$G$6:$G$511,$B221,Medicion!$A$6:$A$511,$A221)</f>
        <v>0</v>
      </c>
      <c r="J221">
        <f t="shared" si="21"/>
        <v>0</v>
      </c>
      <c r="K221" s="77">
        <f t="shared" si="22"/>
        <v>0</v>
      </c>
      <c r="L221" s="77">
        <f t="shared" si="23"/>
        <v>0</v>
      </c>
      <c r="M221" s="77">
        <f t="shared" si="24"/>
        <v>0</v>
      </c>
      <c r="N221" s="77">
        <f t="shared" si="25"/>
        <v>859504.132231405</v>
      </c>
      <c r="O221" s="100">
        <f t="shared" si="26"/>
        <v>0</v>
      </c>
      <c r="P221" t="str">
        <f t="shared" si="27"/>
        <v>OK</v>
      </c>
    </row>
    <row r="222" spans="1:16">
      <c r="A222">
        <v>13</v>
      </c>
      <c r="B222" t="str">
        <f>'Presupuesto Base'!A7</f>
        <v>1</v>
      </c>
      <c r="C222" t="str">
        <f>'Presupuesto Base'!B7</f>
        <v>Replanteo y marcación de traza</v>
      </c>
      <c r="D222" t="str">
        <f>'Presupuesto Base'!C7</f>
        <v>ml</v>
      </c>
      <c r="E222">
        <f>'Presupuesto Base'!D7</f>
        <v>4200</v>
      </c>
      <c r="F222" s="77">
        <f>'Presupuesto Base'!E7</f>
        <v>204.64384100747739</v>
      </c>
      <c r="G222" s="77">
        <f>'Presupuesto Base'!F7</f>
        <v>859504.132231405</v>
      </c>
      <c r="H222">
        <f>SUMIFS(Medicion!$K$6:$K$511,Medicion!$G$6:$G$511,$B222,Medicion!$A$6:$A$511,"&lt;"&amp;$A222)</f>
        <v>845</v>
      </c>
      <c r="I222">
        <f>SUMIFS(Medicion!$K$6:$K$511,Medicion!$G$6:$G$511,$B222,Medicion!$A$6:$A$511,$A222)</f>
        <v>0</v>
      </c>
      <c r="J222">
        <f t="shared" si="21"/>
        <v>845</v>
      </c>
      <c r="K222" s="77">
        <f t="shared" si="22"/>
        <v>172924.04565131839</v>
      </c>
      <c r="L222" s="77">
        <f t="shared" si="23"/>
        <v>0</v>
      </c>
      <c r="M222" s="77">
        <f t="shared" si="24"/>
        <v>172924.04565131839</v>
      </c>
      <c r="N222" s="77">
        <f t="shared" si="25"/>
        <v>686580.08658008662</v>
      </c>
      <c r="O222" s="100">
        <f t="shared" si="26"/>
        <v>0.2011904761904762</v>
      </c>
      <c r="P222" t="str">
        <f t="shared" si="27"/>
        <v>OK</v>
      </c>
    </row>
    <row r="223" spans="1:16">
      <c r="A223">
        <v>13</v>
      </c>
      <c r="B223" t="str">
        <f>'Presupuesto Base'!A8</f>
        <v>2</v>
      </c>
      <c r="C223" t="str">
        <f>'Presupuesto Base'!B8</f>
        <v>Excavación de zanja</v>
      </c>
      <c r="D223" t="str">
        <f>'Presupuesto Base'!C8</f>
        <v>ml</v>
      </c>
      <c r="E223">
        <f>'Presupuesto Base'!D8</f>
        <v>4200</v>
      </c>
      <c r="F223" s="77">
        <f>'Presupuesto Base'!E8</f>
        <v>3683.5891381345932</v>
      </c>
      <c r="G223" s="77">
        <f>'Presupuesto Base'!F8</f>
        <v>15471074.380165292</v>
      </c>
      <c r="H223">
        <f>SUMIFS(Medicion!$K$6:$K$511,Medicion!$G$6:$G$511,$B223,Medicion!$A$6:$A$511,"&lt;"&amp;$A223)</f>
        <v>845</v>
      </c>
      <c r="I223">
        <f>SUMIFS(Medicion!$K$6:$K$511,Medicion!$G$6:$G$511,$B223,Medicion!$A$6:$A$511,$A223)</f>
        <v>0</v>
      </c>
      <c r="J223">
        <f t="shared" si="21"/>
        <v>845</v>
      </c>
      <c r="K223" s="77">
        <f t="shared" si="22"/>
        <v>3112632.8217237312</v>
      </c>
      <c r="L223" s="77">
        <f t="shared" si="23"/>
        <v>0</v>
      </c>
      <c r="M223" s="77">
        <f t="shared" si="24"/>
        <v>3112632.8217237312</v>
      </c>
      <c r="N223" s="77">
        <f t="shared" si="25"/>
        <v>12358441.558441561</v>
      </c>
      <c r="O223" s="100">
        <f t="shared" si="26"/>
        <v>0.2011904761904762</v>
      </c>
      <c r="P223" t="str">
        <f t="shared" si="27"/>
        <v>OK</v>
      </c>
    </row>
    <row r="224" spans="1:16">
      <c r="A224">
        <v>13</v>
      </c>
      <c r="B224" t="str">
        <f>'Presupuesto Base'!A9</f>
        <v>3</v>
      </c>
      <c r="C224" t="str">
        <f>'Presupuesto Base'!B9</f>
        <v>Nivelación y conformación del fondo de zanja</v>
      </c>
      <c r="D224" t="str">
        <f>'Presupuesto Base'!C9</f>
        <v>ml</v>
      </c>
      <c r="E224">
        <f>'Presupuesto Base'!D9</f>
        <v>4200</v>
      </c>
      <c r="F224" s="77">
        <f>'Presupuesto Base'!E9</f>
        <v>477.50229568411396</v>
      </c>
      <c r="G224" s="77">
        <f>'Presupuesto Base'!F9</f>
        <v>2005509.6418732787</v>
      </c>
      <c r="H224">
        <f>SUMIFS(Medicion!$K$6:$K$511,Medicion!$G$6:$G$511,$B224,Medicion!$A$6:$A$511,"&lt;"&amp;$A224)</f>
        <v>845</v>
      </c>
      <c r="I224">
        <f>SUMIFS(Medicion!$K$6:$K$511,Medicion!$G$6:$G$511,$B224,Medicion!$A$6:$A$511,$A224)</f>
        <v>0</v>
      </c>
      <c r="J224">
        <f t="shared" si="21"/>
        <v>845</v>
      </c>
      <c r="K224" s="77">
        <f t="shared" si="22"/>
        <v>403489.4398530763</v>
      </c>
      <c r="L224" s="77">
        <f t="shared" si="23"/>
        <v>0</v>
      </c>
      <c r="M224" s="77">
        <f t="shared" si="24"/>
        <v>403489.4398530763</v>
      </c>
      <c r="N224" s="77">
        <f t="shared" si="25"/>
        <v>1602020.2020202023</v>
      </c>
      <c r="O224" s="100">
        <f t="shared" si="26"/>
        <v>0.2011904761904762</v>
      </c>
      <c r="P224" t="str">
        <f t="shared" si="27"/>
        <v>OK</v>
      </c>
    </row>
    <row r="225" spans="1:16">
      <c r="A225">
        <v>13</v>
      </c>
      <c r="B225" t="str">
        <f>'Presupuesto Base'!A10</f>
        <v>4</v>
      </c>
      <c r="C225" t="str">
        <f>'Presupuesto Base'!B10</f>
        <v>Cama de asiento compactada</v>
      </c>
      <c r="D225" t="str">
        <f>'Presupuesto Base'!C10</f>
        <v>ml</v>
      </c>
      <c r="E225">
        <f>'Presupuesto Base'!D10</f>
        <v>4200</v>
      </c>
      <c r="F225" s="77">
        <f>'Presupuesto Base'!E10</f>
        <v>1705.3653417289784</v>
      </c>
      <c r="G225" s="77">
        <f>'Presupuesto Base'!F10</f>
        <v>7162534.4352617087</v>
      </c>
      <c r="H225">
        <f>SUMIFS(Medicion!$K$6:$K$511,Medicion!$G$6:$G$511,$B225,Medicion!$A$6:$A$511,"&lt;"&amp;$A225)</f>
        <v>845</v>
      </c>
      <c r="I225">
        <f>SUMIFS(Medicion!$K$6:$K$511,Medicion!$G$6:$G$511,$B225,Medicion!$A$6:$A$511,$A225)</f>
        <v>0</v>
      </c>
      <c r="J225">
        <f t="shared" si="21"/>
        <v>845</v>
      </c>
      <c r="K225" s="77">
        <f t="shared" si="22"/>
        <v>1441033.7137609867</v>
      </c>
      <c r="L225" s="77">
        <f t="shared" si="23"/>
        <v>0</v>
      </c>
      <c r="M225" s="77">
        <f t="shared" si="24"/>
        <v>1441033.7137609867</v>
      </c>
      <c r="N225" s="77">
        <f t="shared" si="25"/>
        <v>5721500.7215007218</v>
      </c>
      <c r="O225" s="100">
        <f t="shared" si="26"/>
        <v>0.2011904761904762</v>
      </c>
      <c r="P225" t="str">
        <f t="shared" si="27"/>
        <v>OK</v>
      </c>
    </row>
    <row r="226" spans="1:16">
      <c r="A226">
        <v>13</v>
      </c>
      <c r="B226" t="str">
        <f>'Presupuesto Base'!A11</f>
        <v>5.1</v>
      </c>
      <c r="C226" t="str">
        <f>'Presupuesto Base'!B11</f>
        <v>PEAD PN10 Ø75 – provisión e instalación</v>
      </c>
      <c r="D226" t="str">
        <f>'Presupuesto Base'!C11</f>
        <v>ml</v>
      </c>
      <c r="E226">
        <f>'Presupuesto Base'!D11</f>
        <v>3170</v>
      </c>
      <c r="F226" s="77">
        <f>'Presupuesto Base'!E11</f>
        <v>5784.2549382555126</v>
      </c>
      <c r="G226" s="77">
        <f>'Presupuesto Base'!F11</f>
        <v>18336088.154269975</v>
      </c>
      <c r="H226">
        <f>SUMIFS(Medicion!$K$6:$K$511,Medicion!$G$6:$G$511,$B226,Medicion!$A$6:$A$511,"&lt;"&amp;$A226)</f>
        <v>558</v>
      </c>
      <c r="I226">
        <f>SUMIFS(Medicion!$K$6:$K$511,Medicion!$G$6:$G$511,$B226,Medicion!$A$6:$A$511,$A226)</f>
        <v>0</v>
      </c>
      <c r="J226">
        <f t="shared" si="21"/>
        <v>558</v>
      </c>
      <c r="K226" s="77">
        <f t="shared" si="22"/>
        <v>3227614.2555465759</v>
      </c>
      <c r="L226" s="77">
        <f t="shared" si="23"/>
        <v>0</v>
      </c>
      <c r="M226" s="77">
        <f t="shared" si="24"/>
        <v>3227614.2555465759</v>
      </c>
      <c r="N226" s="77">
        <f t="shared" si="25"/>
        <v>15108473.898723399</v>
      </c>
      <c r="O226" s="100">
        <f t="shared" si="26"/>
        <v>0.17602523659305994</v>
      </c>
      <c r="P226" t="str">
        <f t="shared" si="27"/>
        <v>OK</v>
      </c>
    </row>
    <row r="227" spans="1:16">
      <c r="A227">
        <v>13</v>
      </c>
      <c r="B227" t="str">
        <f>'Presupuesto Base'!A12</f>
        <v>5.2</v>
      </c>
      <c r="C227" t="str">
        <f>'Presupuesto Base'!B12</f>
        <v>PEAD PN10 Ø110 – provisión e instalación</v>
      </c>
      <c r="D227" t="str">
        <f>'Presupuesto Base'!C12</f>
        <v>ml</v>
      </c>
      <c r="E227">
        <f>'Presupuesto Base'!D12</f>
        <v>1030</v>
      </c>
      <c r="F227" s="77">
        <f>'Presupuesto Base'!E12</f>
        <v>12238.893792291852</v>
      </c>
      <c r="G227" s="77">
        <f>'Presupuesto Base'!F12</f>
        <v>12606060.606060607</v>
      </c>
      <c r="H227">
        <f>SUMIFS(Medicion!$K$6:$K$511,Medicion!$G$6:$G$511,$B227,Medicion!$A$6:$A$511,"&lt;"&amp;$A227)</f>
        <v>287</v>
      </c>
      <c r="I227">
        <f>SUMIFS(Medicion!$K$6:$K$511,Medicion!$G$6:$G$511,$B227,Medicion!$A$6:$A$511,$A227)</f>
        <v>0</v>
      </c>
      <c r="J227">
        <f t="shared" si="21"/>
        <v>287</v>
      </c>
      <c r="K227" s="77">
        <f t="shared" si="22"/>
        <v>3512562.5183877614</v>
      </c>
      <c r="L227" s="77">
        <f t="shared" si="23"/>
        <v>0</v>
      </c>
      <c r="M227" s="77">
        <f t="shared" si="24"/>
        <v>3512562.5183877614</v>
      </c>
      <c r="N227" s="77">
        <f t="shared" si="25"/>
        <v>9093498.0876728464</v>
      </c>
      <c r="O227" s="100">
        <f t="shared" si="26"/>
        <v>0.27864077669902915</v>
      </c>
      <c r="P227" t="str">
        <f t="shared" si="27"/>
        <v>OK</v>
      </c>
    </row>
    <row r="228" spans="1:16">
      <c r="A228">
        <v>13</v>
      </c>
      <c r="B228" t="str">
        <f>'Presupuesto Base'!A13</f>
        <v>6</v>
      </c>
      <c r="C228" t="str">
        <f>'Presupuesto Base'!B13</f>
        <v>Ejecución de paquete estructural de 30 cm</v>
      </c>
      <c r="D228" t="str">
        <f>'Presupuesto Base'!C13</f>
        <v>ml</v>
      </c>
      <c r="E228">
        <f>'Presupuesto Base'!D13</f>
        <v>4200</v>
      </c>
      <c r="F228" s="77">
        <f>'Presupuesto Base'!E13</f>
        <v>3274.3014561196383</v>
      </c>
      <c r="G228" s="77">
        <f>'Presupuesto Base'!F13</f>
        <v>13752066.11570248</v>
      </c>
      <c r="H228">
        <f>SUMIFS(Medicion!$K$6:$K$511,Medicion!$G$6:$G$511,$B228,Medicion!$A$6:$A$511,"&lt;"&amp;$A228)</f>
        <v>763</v>
      </c>
      <c r="I228">
        <f>SUMIFS(Medicion!$K$6:$K$511,Medicion!$G$6:$G$511,$B228,Medicion!$A$6:$A$511,$A228)</f>
        <v>0</v>
      </c>
      <c r="J228">
        <f t="shared" si="21"/>
        <v>763</v>
      </c>
      <c r="K228" s="77">
        <f t="shared" si="22"/>
        <v>2498292.0110192839</v>
      </c>
      <c r="L228" s="77">
        <f t="shared" si="23"/>
        <v>0</v>
      </c>
      <c r="M228" s="77">
        <f t="shared" si="24"/>
        <v>2498292.0110192839</v>
      </c>
      <c r="N228" s="77">
        <f t="shared" si="25"/>
        <v>11253774.104683196</v>
      </c>
      <c r="O228" s="100">
        <f t="shared" si="26"/>
        <v>0.18166666666666667</v>
      </c>
      <c r="P228" t="str">
        <f t="shared" si="27"/>
        <v>OK</v>
      </c>
    </row>
    <row r="229" spans="1:16">
      <c r="A229">
        <v>13</v>
      </c>
      <c r="B229" t="str">
        <f>'Presupuesto Base'!A14</f>
        <v>7</v>
      </c>
      <c r="C229" t="str">
        <f>'Presupuesto Base'!B14</f>
        <v>Compactación del paquete estructural de 30 cm</v>
      </c>
      <c r="D229" t="str">
        <f>'Presupuesto Base'!C14</f>
        <v>ml</v>
      </c>
      <c r="E229">
        <f>'Presupuesto Base'!D14</f>
        <v>4200</v>
      </c>
      <c r="F229" s="77">
        <f>'Presupuesto Base'!E14</f>
        <v>1227.8630460448644</v>
      </c>
      <c r="G229" s="77">
        <f>'Presupuesto Base'!F14</f>
        <v>5157024.79338843</v>
      </c>
      <c r="H229">
        <f>SUMIFS(Medicion!$K$6:$K$511,Medicion!$G$6:$G$511,$B229,Medicion!$A$6:$A$511,"&lt;"&amp;$A229)</f>
        <v>0</v>
      </c>
      <c r="I229">
        <f>SUMIFS(Medicion!$K$6:$K$511,Medicion!$G$6:$G$511,$B229,Medicion!$A$6:$A$511,$A229)</f>
        <v>0</v>
      </c>
      <c r="J229">
        <f t="shared" si="21"/>
        <v>0</v>
      </c>
      <c r="K229" s="77">
        <f t="shared" si="22"/>
        <v>0</v>
      </c>
      <c r="L229" s="77">
        <f t="shared" si="23"/>
        <v>0</v>
      </c>
      <c r="M229" s="77">
        <f t="shared" si="24"/>
        <v>0</v>
      </c>
      <c r="N229" s="77">
        <f t="shared" si="25"/>
        <v>5157024.79338843</v>
      </c>
      <c r="O229" s="100">
        <f t="shared" si="26"/>
        <v>0</v>
      </c>
      <c r="P229" t="str">
        <f t="shared" si="27"/>
        <v>OK</v>
      </c>
    </row>
    <row r="230" spans="1:16">
      <c r="A230">
        <v>13</v>
      </c>
      <c r="B230" t="str">
        <f>'Presupuesto Base'!A15</f>
        <v>8</v>
      </c>
      <c r="C230" t="str">
        <f>'Presupuesto Base'!B15</f>
        <v>Ejecución y compactación de capa cota -0,60</v>
      </c>
      <c r="D230" t="str">
        <f>'Presupuesto Base'!C15</f>
        <v>ml</v>
      </c>
      <c r="E230">
        <f>'Presupuesto Base'!D15</f>
        <v>4200</v>
      </c>
      <c r="F230" s="77">
        <f>'Presupuesto Base'!E15</f>
        <v>2592.1553194280468</v>
      </c>
      <c r="G230" s="77">
        <f>'Presupuesto Base'!F15</f>
        <v>10887052.341597797</v>
      </c>
      <c r="H230">
        <f>SUMIFS(Medicion!$K$6:$K$511,Medicion!$G$6:$G$511,$B230,Medicion!$A$6:$A$511,"&lt;"&amp;$A230)</f>
        <v>0</v>
      </c>
      <c r="I230">
        <f>SUMIFS(Medicion!$K$6:$K$511,Medicion!$G$6:$G$511,$B230,Medicion!$A$6:$A$511,$A230)</f>
        <v>0</v>
      </c>
      <c r="J230">
        <f t="shared" si="21"/>
        <v>0</v>
      </c>
      <c r="K230" s="77">
        <f t="shared" si="22"/>
        <v>0</v>
      </c>
      <c r="L230" s="77">
        <f t="shared" si="23"/>
        <v>0</v>
      </c>
      <c r="M230" s="77">
        <f t="shared" si="24"/>
        <v>0</v>
      </c>
      <c r="N230" s="77">
        <f t="shared" si="25"/>
        <v>10887052.341597797</v>
      </c>
      <c r="O230" s="100">
        <f t="shared" si="26"/>
        <v>0</v>
      </c>
      <c r="P230" t="str">
        <f t="shared" si="27"/>
        <v>OK</v>
      </c>
    </row>
    <row r="231" spans="1:16">
      <c r="A231">
        <v>13</v>
      </c>
      <c r="B231" t="str">
        <f>'Presupuesto Base'!A16</f>
        <v>9</v>
      </c>
      <c r="C231" t="str">
        <f>'Presupuesto Base'!B16</f>
        <v>Ejecución y compactación de capa cota -0,30</v>
      </c>
      <c r="D231" t="str">
        <f>'Presupuesto Base'!C16</f>
        <v>ml</v>
      </c>
      <c r="E231">
        <f>'Presupuesto Base'!D16</f>
        <v>4200</v>
      </c>
      <c r="F231" s="77">
        <f>'Presupuesto Base'!E16</f>
        <v>2182.8676374130923</v>
      </c>
      <c r="G231" s="77">
        <f>'Presupuesto Base'!F16</f>
        <v>9168044.0771349873</v>
      </c>
      <c r="H231">
        <f>SUMIFS(Medicion!$K$6:$K$511,Medicion!$G$6:$G$511,$B231,Medicion!$A$6:$A$511,"&lt;"&amp;$A231)</f>
        <v>0</v>
      </c>
      <c r="I231">
        <f>SUMIFS(Medicion!$K$6:$K$511,Medicion!$G$6:$G$511,$B231,Medicion!$A$6:$A$511,$A231)</f>
        <v>0</v>
      </c>
      <c r="J231">
        <f t="shared" si="21"/>
        <v>0</v>
      </c>
      <c r="K231" s="77">
        <f t="shared" si="22"/>
        <v>0</v>
      </c>
      <c r="L231" s="77">
        <f t="shared" si="23"/>
        <v>0</v>
      </c>
      <c r="M231" s="77">
        <f t="shared" si="24"/>
        <v>0</v>
      </c>
      <c r="N231" s="77">
        <f t="shared" si="25"/>
        <v>9168044.0771349873</v>
      </c>
      <c r="O231" s="100">
        <f t="shared" si="26"/>
        <v>0</v>
      </c>
      <c r="P231" t="str">
        <f t="shared" si="27"/>
        <v>OK</v>
      </c>
    </row>
    <row r="232" spans="1:16">
      <c r="A232">
        <v>13</v>
      </c>
      <c r="B232" t="str">
        <f>'Presupuesto Base'!A17</f>
        <v>10.1</v>
      </c>
      <c r="C232" t="str">
        <f>'Presupuesto Base'!B17</f>
        <v>Conexión domiciliaria sobre red Ø75</v>
      </c>
      <c r="D232" t="str">
        <f>'Presupuesto Base'!C17</f>
        <v>un</v>
      </c>
      <c r="E232">
        <f>'Presupuesto Base'!D17</f>
        <v>165</v>
      </c>
      <c r="F232" s="77">
        <f>'Presupuesto Base'!E17</f>
        <v>48618.415560564332</v>
      </c>
      <c r="G232" s="77">
        <f>'Presupuesto Base'!F17</f>
        <v>8022038.5674931146</v>
      </c>
      <c r="H232">
        <f>SUMIFS(Medicion!$K$6:$K$511,Medicion!$G$6:$G$511,$B232,Medicion!$A$6:$A$511,"&lt;"&amp;$A232)</f>
        <v>5</v>
      </c>
      <c r="I232">
        <f>SUMIFS(Medicion!$K$6:$K$511,Medicion!$G$6:$G$511,$B232,Medicion!$A$6:$A$511,$A232)</f>
        <v>0</v>
      </c>
      <c r="J232">
        <f t="shared" si="21"/>
        <v>5</v>
      </c>
      <c r="K232" s="77">
        <f t="shared" si="22"/>
        <v>243092.07780282164</v>
      </c>
      <c r="L232" s="77">
        <f t="shared" si="23"/>
        <v>0</v>
      </c>
      <c r="M232" s="77">
        <f t="shared" si="24"/>
        <v>243092.07780282164</v>
      </c>
      <c r="N232" s="77">
        <f t="shared" si="25"/>
        <v>7778946.4896902926</v>
      </c>
      <c r="O232" s="100">
        <f t="shared" si="26"/>
        <v>3.0303030303030304E-2</v>
      </c>
      <c r="P232" t="str">
        <f t="shared" si="27"/>
        <v>OK</v>
      </c>
    </row>
    <row r="233" spans="1:16">
      <c r="A233">
        <v>13</v>
      </c>
      <c r="B233" t="str">
        <f>'Presupuesto Base'!A18</f>
        <v>10.2</v>
      </c>
      <c r="C233" t="str">
        <f>'Presupuesto Base'!B18</f>
        <v>Conexión domiciliaria sobre red Ø110</v>
      </c>
      <c r="D233" t="str">
        <f>'Presupuesto Base'!C18</f>
        <v>un</v>
      </c>
      <c r="E233">
        <f>'Presupuesto Base'!D18</f>
        <v>62</v>
      </c>
      <c r="F233" s="77">
        <f>'Presupuesto Base'!E18</f>
        <v>55451.879498800321</v>
      </c>
      <c r="G233" s="77">
        <f>'Presupuesto Base'!F18</f>
        <v>3438016.52892562</v>
      </c>
      <c r="H233">
        <f>SUMIFS(Medicion!$K$6:$K$511,Medicion!$G$6:$G$511,$B233,Medicion!$A$6:$A$511,"&lt;"&amp;$A233)</f>
        <v>2</v>
      </c>
      <c r="I233">
        <f>SUMIFS(Medicion!$K$6:$K$511,Medicion!$G$6:$G$511,$B233,Medicion!$A$6:$A$511,$A233)</f>
        <v>0</v>
      </c>
      <c r="J233">
        <f t="shared" si="21"/>
        <v>2</v>
      </c>
      <c r="K233" s="77">
        <f t="shared" si="22"/>
        <v>110903.75899760064</v>
      </c>
      <c r="L233" s="77">
        <f t="shared" si="23"/>
        <v>0</v>
      </c>
      <c r="M233" s="77">
        <f t="shared" si="24"/>
        <v>110903.75899760064</v>
      </c>
      <c r="N233" s="77">
        <f t="shared" si="25"/>
        <v>3327112.7699280195</v>
      </c>
      <c r="O233" s="100">
        <f t="shared" si="26"/>
        <v>3.2258064516129031E-2</v>
      </c>
      <c r="P233" t="str">
        <f t="shared" si="27"/>
        <v>OK</v>
      </c>
    </row>
    <row r="234" spans="1:16">
      <c r="A234">
        <v>13</v>
      </c>
      <c r="B234" t="str">
        <f>'Presupuesto Base'!A19</f>
        <v>11.1</v>
      </c>
      <c r="C234" t="str">
        <f>'Presupuesto Base'!B19</f>
        <v>Válvula esclusa Ø75 completa e instalada</v>
      </c>
      <c r="D234" t="str">
        <f>'Presupuesto Base'!C19</f>
        <v>un</v>
      </c>
      <c r="E234">
        <f>'Presupuesto Base'!D19</f>
        <v>2</v>
      </c>
      <c r="F234" s="77">
        <f>'Presupuesto Base'!E19</f>
        <v>286501.37741046835</v>
      </c>
      <c r="G234" s="77">
        <f>'Presupuesto Base'!F19</f>
        <v>573002.75482093671</v>
      </c>
      <c r="H234">
        <f>SUMIFS(Medicion!$K$6:$K$511,Medicion!$G$6:$G$511,$B234,Medicion!$A$6:$A$511,"&lt;"&amp;$A234)</f>
        <v>0</v>
      </c>
      <c r="I234">
        <f>SUMIFS(Medicion!$K$6:$K$511,Medicion!$G$6:$G$511,$B234,Medicion!$A$6:$A$511,$A234)</f>
        <v>0</v>
      </c>
      <c r="J234">
        <f t="shared" si="21"/>
        <v>0</v>
      </c>
      <c r="K234" s="77">
        <f t="shared" si="22"/>
        <v>0</v>
      </c>
      <c r="L234" s="77">
        <f t="shared" si="23"/>
        <v>0</v>
      </c>
      <c r="M234" s="77">
        <f t="shared" si="24"/>
        <v>0</v>
      </c>
      <c r="N234" s="77">
        <f t="shared" si="25"/>
        <v>573002.75482093671</v>
      </c>
      <c r="O234" s="100">
        <f t="shared" si="26"/>
        <v>0</v>
      </c>
      <c r="P234" t="str">
        <f t="shared" si="27"/>
        <v>OK</v>
      </c>
    </row>
    <row r="235" spans="1:16">
      <c r="A235">
        <v>13</v>
      </c>
      <c r="B235" t="str">
        <f>'Presupuesto Base'!A20</f>
        <v>11.2</v>
      </c>
      <c r="C235" t="str">
        <f>'Presupuesto Base'!B20</f>
        <v>Válvula esclusa Ø100 completa e instalada</v>
      </c>
      <c r="D235" t="str">
        <f>'Presupuesto Base'!C20</f>
        <v>un</v>
      </c>
      <c r="E235">
        <f>'Presupuesto Base'!D20</f>
        <v>4</v>
      </c>
      <c r="F235" s="77">
        <f>'Presupuesto Base'!E20</f>
        <v>429752.0661157025</v>
      </c>
      <c r="G235" s="77">
        <f>'Presupuesto Base'!F20</f>
        <v>1719008.26446281</v>
      </c>
      <c r="H235">
        <f>SUMIFS(Medicion!$K$6:$K$511,Medicion!$G$6:$G$511,$B235,Medicion!$A$6:$A$511,"&lt;"&amp;$A235)</f>
        <v>0</v>
      </c>
      <c r="I235">
        <f>SUMIFS(Medicion!$K$6:$K$511,Medicion!$G$6:$G$511,$B235,Medicion!$A$6:$A$511,$A235)</f>
        <v>0</v>
      </c>
      <c r="J235">
        <f t="shared" si="21"/>
        <v>0</v>
      </c>
      <c r="K235" s="77">
        <f t="shared" si="22"/>
        <v>0</v>
      </c>
      <c r="L235" s="77">
        <f t="shared" si="23"/>
        <v>0</v>
      </c>
      <c r="M235" s="77">
        <f t="shared" si="24"/>
        <v>0</v>
      </c>
      <c r="N235" s="77">
        <f t="shared" si="25"/>
        <v>1719008.26446281</v>
      </c>
      <c r="O235" s="100">
        <f t="shared" si="26"/>
        <v>0</v>
      </c>
      <c r="P235" t="str">
        <f t="shared" si="27"/>
        <v>OK</v>
      </c>
    </row>
    <row r="236" spans="1:16">
      <c r="A236">
        <v>13</v>
      </c>
      <c r="B236" t="str">
        <f>'Presupuesto Base'!A21</f>
        <v>12</v>
      </c>
      <c r="C236" t="str">
        <f>'Presupuesto Base'!B21</f>
        <v>Hidrante a bola completo e instalado</v>
      </c>
      <c r="D236" t="str">
        <f>'Presupuesto Base'!C21</f>
        <v>un</v>
      </c>
      <c r="E236">
        <f>'Presupuesto Base'!D21</f>
        <v>15</v>
      </c>
      <c r="F236" s="77">
        <f>'Presupuesto Base'!E21</f>
        <v>114600.55096418734</v>
      </c>
      <c r="G236" s="77">
        <f>'Presupuesto Base'!F21</f>
        <v>1719008.26446281</v>
      </c>
      <c r="H236">
        <f>SUMIFS(Medicion!$K$6:$K$511,Medicion!$G$6:$G$511,$B236,Medicion!$A$6:$A$511,"&lt;"&amp;$A236)</f>
        <v>0</v>
      </c>
      <c r="I236">
        <f>SUMIFS(Medicion!$K$6:$K$511,Medicion!$G$6:$G$511,$B236,Medicion!$A$6:$A$511,$A236)</f>
        <v>0</v>
      </c>
      <c r="J236">
        <f t="shared" si="21"/>
        <v>0</v>
      </c>
      <c r="K236" s="77">
        <f t="shared" si="22"/>
        <v>0</v>
      </c>
      <c r="L236" s="77">
        <f t="shared" si="23"/>
        <v>0</v>
      </c>
      <c r="M236" s="77">
        <f t="shared" si="24"/>
        <v>0</v>
      </c>
      <c r="N236" s="77">
        <f t="shared" si="25"/>
        <v>1719008.26446281</v>
      </c>
      <c r="O236" s="100">
        <f t="shared" si="26"/>
        <v>0</v>
      </c>
      <c r="P236" t="str">
        <f t="shared" si="27"/>
        <v>OK</v>
      </c>
    </row>
    <row r="237" spans="1:16">
      <c r="A237">
        <v>13</v>
      </c>
      <c r="B237" t="str">
        <f>'Presupuesto Base'!A22</f>
        <v>13.1</v>
      </c>
      <c r="C237" t="str">
        <f>'Presupuesto Base'!B22</f>
        <v>Pruebas hidráulicas y operativas</v>
      </c>
      <c r="D237" t="str">
        <f>'Presupuesto Base'!C22</f>
        <v>gl</v>
      </c>
      <c r="E237">
        <f>'Presupuesto Base'!D22</f>
        <v>1</v>
      </c>
      <c r="F237" s="77">
        <f>'Presupuesto Base'!E22</f>
        <v>1719008.26446281</v>
      </c>
      <c r="G237" s="77">
        <f>'Presupuesto Base'!F22</f>
        <v>1719008.26446281</v>
      </c>
      <c r="H237">
        <f>SUMIFS(Medicion!$K$6:$K$511,Medicion!$G$6:$G$511,$B237,Medicion!$A$6:$A$511,"&lt;"&amp;$A237)</f>
        <v>0</v>
      </c>
      <c r="I237">
        <f>SUMIFS(Medicion!$K$6:$K$511,Medicion!$G$6:$G$511,$B237,Medicion!$A$6:$A$511,$A237)</f>
        <v>0</v>
      </c>
      <c r="J237">
        <f t="shared" si="21"/>
        <v>0</v>
      </c>
      <c r="K237" s="77">
        <f t="shared" si="22"/>
        <v>0</v>
      </c>
      <c r="L237" s="77">
        <f t="shared" si="23"/>
        <v>0</v>
      </c>
      <c r="M237" s="77">
        <f t="shared" si="24"/>
        <v>0</v>
      </c>
      <c r="N237" s="77">
        <f t="shared" si="25"/>
        <v>1719008.26446281</v>
      </c>
      <c r="O237" s="100">
        <f t="shared" si="26"/>
        <v>0</v>
      </c>
      <c r="P237" t="str">
        <f t="shared" si="27"/>
        <v>OK</v>
      </c>
    </row>
    <row r="238" spans="1:16">
      <c r="A238">
        <v>13</v>
      </c>
      <c r="B238" t="str">
        <f>'Presupuesto Base'!A23</f>
        <v>13.2</v>
      </c>
      <c r="C238" t="str">
        <f>'Presupuesto Base'!B23</f>
        <v>Terminaciones y acondicionamiento final</v>
      </c>
      <c r="D238" t="str">
        <f>'Presupuesto Base'!C23</f>
        <v>gl</v>
      </c>
      <c r="E238">
        <f>'Presupuesto Base'!D23</f>
        <v>1</v>
      </c>
      <c r="F238" s="77">
        <f>'Presupuesto Base'!E23</f>
        <v>1146005.5096418734</v>
      </c>
      <c r="G238" s="77">
        <f>'Presupuesto Base'!F23</f>
        <v>1146005.5096418734</v>
      </c>
      <c r="H238">
        <f>SUMIFS(Medicion!$K$6:$K$511,Medicion!$G$6:$G$511,$B238,Medicion!$A$6:$A$511,"&lt;"&amp;$A238)</f>
        <v>0</v>
      </c>
      <c r="I238">
        <f>SUMIFS(Medicion!$K$6:$K$511,Medicion!$G$6:$G$511,$B238,Medicion!$A$6:$A$511,$A238)</f>
        <v>0</v>
      </c>
      <c r="J238">
        <f t="shared" si="21"/>
        <v>0</v>
      </c>
      <c r="K238" s="77">
        <f t="shared" si="22"/>
        <v>0</v>
      </c>
      <c r="L238" s="77">
        <f t="shared" si="23"/>
        <v>0</v>
      </c>
      <c r="M238" s="77">
        <f t="shared" si="24"/>
        <v>0</v>
      </c>
      <c r="N238" s="77">
        <f t="shared" si="25"/>
        <v>1146005.5096418734</v>
      </c>
      <c r="O238" s="100">
        <f t="shared" si="26"/>
        <v>0</v>
      </c>
      <c r="P238" t="str">
        <f t="shared" si="27"/>
        <v>OK</v>
      </c>
    </row>
    <row r="239" spans="1:16">
      <c r="A239">
        <v>13</v>
      </c>
      <c r="B239" t="str">
        <f>'Presupuesto Base'!A24</f>
        <v>13.3</v>
      </c>
      <c r="C239" t="str">
        <f>'Presupuesto Base'!B24</f>
        <v>Documentación conforme a obra y cierre</v>
      </c>
      <c r="D239" t="str">
        <f>'Presupuesto Base'!C24</f>
        <v>gl</v>
      </c>
      <c r="E239">
        <f>'Presupuesto Base'!D24</f>
        <v>1</v>
      </c>
      <c r="F239" s="77">
        <f>'Presupuesto Base'!E24</f>
        <v>859504.132231405</v>
      </c>
      <c r="G239" s="77">
        <f>'Presupuesto Base'!F24</f>
        <v>859504.132231405</v>
      </c>
      <c r="H239">
        <f>SUMIFS(Medicion!$K$6:$K$511,Medicion!$G$6:$G$511,$B239,Medicion!$A$6:$A$511,"&lt;"&amp;$A239)</f>
        <v>0</v>
      </c>
      <c r="I239">
        <f>SUMIFS(Medicion!$K$6:$K$511,Medicion!$G$6:$G$511,$B239,Medicion!$A$6:$A$511,$A239)</f>
        <v>0</v>
      </c>
      <c r="J239">
        <f t="shared" si="21"/>
        <v>0</v>
      </c>
      <c r="K239" s="77">
        <f t="shared" si="22"/>
        <v>0</v>
      </c>
      <c r="L239" s="77">
        <f t="shared" si="23"/>
        <v>0</v>
      </c>
      <c r="M239" s="77">
        <f t="shared" si="24"/>
        <v>0</v>
      </c>
      <c r="N239" s="77">
        <f t="shared" si="25"/>
        <v>859504.132231405</v>
      </c>
      <c r="O239" s="100">
        <f t="shared" si="26"/>
        <v>0</v>
      </c>
      <c r="P239" t="str">
        <f t="shared" si="27"/>
        <v>OK</v>
      </c>
    </row>
    <row r="240" spans="1:16">
      <c r="A240">
        <v>14</v>
      </c>
      <c r="B240" t="str">
        <f>'Presupuesto Base'!A7</f>
        <v>1</v>
      </c>
      <c r="C240" t="str">
        <f>'Presupuesto Base'!B7</f>
        <v>Replanteo y marcación de traza</v>
      </c>
      <c r="D240" t="str">
        <f>'Presupuesto Base'!C7</f>
        <v>ml</v>
      </c>
      <c r="E240">
        <f>'Presupuesto Base'!D7</f>
        <v>4200</v>
      </c>
      <c r="F240" s="77">
        <f>'Presupuesto Base'!E7</f>
        <v>204.64384100747739</v>
      </c>
      <c r="G240" s="77">
        <f>'Presupuesto Base'!F7</f>
        <v>859504.132231405</v>
      </c>
      <c r="H240">
        <f>SUMIFS(Medicion!$K$6:$K$511,Medicion!$G$6:$G$511,$B240,Medicion!$A$6:$A$511,"&lt;"&amp;$A240)</f>
        <v>845</v>
      </c>
      <c r="I240">
        <f>SUMIFS(Medicion!$K$6:$K$511,Medicion!$G$6:$G$511,$B240,Medicion!$A$6:$A$511,$A240)</f>
        <v>0</v>
      </c>
      <c r="J240">
        <f t="shared" si="21"/>
        <v>845</v>
      </c>
      <c r="K240" s="77">
        <f t="shared" si="22"/>
        <v>172924.04565131839</v>
      </c>
      <c r="L240" s="77">
        <f t="shared" si="23"/>
        <v>0</v>
      </c>
      <c r="M240" s="77">
        <f t="shared" si="24"/>
        <v>172924.04565131839</v>
      </c>
      <c r="N240" s="77">
        <f t="shared" si="25"/>
        <v>686580.08658008662</v>
      </c>
      <c r="O240" s="100">
        <f t="shared" si="26"/>
        <v>0.2011904761904762</v>
      </c>
      <c r="P240" t="str">
        <f t="shared" si="27"/>
        <v>OK</v>
      </c>
    </row>
    <row r="241" spans="1:16">
      <c r="A241">
        <v>14</v>
      </c>
      <c r="B241" t="str">
        <f>'Presupuesto Base'!A8</f>
        <v>2</v>
      </c>
      <c r="C241" t="str">
        <f>'Presupuesto Base'!B8</f>
        <v>Excavación de zanja</v>
      </c>
      <c r="D241" t="str">
        <f>'Presupuesto Base'!C8</f>
        <v>ml</v>
      </c>
      <c r="E241">
        <f>'Presupuesto Base'!D8</f>
        <v>4200</v>
      </c>
      <c r="F241" s="77">
        <f>'Presupuesto Base'!E8</f>
        <v>3683.5891381345932</v>
      </c>
      <c r="G241" s="77">
        <f>'Presupuesto Base'!F8</f>
        <v>15471074.380165292</v>
      </c>
      <c r="H241">
        <f>SUMIFS(Medicion!$K$6:$K$511,Medicion!$G$6:$G$511,$B241,Medicion!$A$6:$A$511,"&lt;"&amp;$A241)</f>
        <v>845</v>
      </c>
      <c r="I241">
        <f>SUMIFS(Medicion!$K$6:$K$511,Medicion!$G$6:$G$511,$B241,Medicion!$A$6:$A$511,$A241)</f>
        <v>0</v>
      </c>
      <c r="J241">
        <f t="shared" si="21"/>
        <v>845</v>
      </c>
      <c r="K241" s="77">
        <f t="shared" si="22"/>
        <v>3112632.8217237312</v>
      </c>
      <c r="L241" s="77">
        <f t="shared" si="23"/>
        <v>0</v>
      </c>
      <c r="M241" s="77">
        <f t="shared" si="24"/>
        <v>3112632.8217237312</v>
      </c>
      <c r="N241" s="77">
        <f t="shared" si="25"/>
        <v>12358441.558441561</v>
      </c>
      <c r="O241" s="100">
        <f t="shared" si="26"/>
        <v>0.2011904761904762</v>
      </c>
      <c r="P241" t="str">
        <f t="shared" si="27"/>
        <v>OK</v>
      </c>
    </row>
    <row r="242" spans="1:16">
      <c r="A242">
        <v>14</v>
      </c>
      <c r="B242" t="str">
        <f>'Presupuesto Base'!A9</f>
        <v>3</v>
      </c>
      <c r="C242" t="str">
        <f>'Presupuesto Base'!B9</f>
        <v>Nivelación y conformación del fondo de zanja</v>
      </c>
      <c r="D242" t="str">
        <f>'Presupuesto Base'!C9</f>
        <v>ml</v>
      </c>
      <c r="E242">
        <f>'Presupuesto Base'!D9</f>
        <v>4200</v>
      </c>
      <c r="F242" s="77">
        <f>'Presupuesto Base'!E9</f>
        <v>477.50229568411396</v>
      </c>
      <c r="G242" s="77">
        <f>'Presupuesto Base'!F9</f>
        <v>2005509.6418732787</v>
      </c>
      <c r="H242">
        <f>SUMIFS(Medicion!$K$6:$K$511,Medicion!$G$6:$G$511,$B242,Medicion!$A$6:$A$511,"&lt;"&amp;$A242)</f>
        <v>845</v>
      </c>
      <c r="I242">
        <f>SUMIFS(Medicion!$K$6:$K$511,Medicion!$G$6:$G$511,$B242,Medicion!$A$6:$A$511,$A242)</f>
        <v>0</v>
      </c>
      <c r="J242">
        <f t="shared" si="21"/>
        <v>845</v>
      </c>
      <c r="K242" s="77">
        <f t="shared" si="22"/>
        <v>403489.4398530763</v>
      </c>
      <c r="L242" s="77">
        <f t="shared" si="23"/>
        <v>0</v>
      </c>
      <c r="M242" s="77">
        <f t="shared" si="24"/>
        <v>403489.4398530763</v>
      </c>
      <c r="N242" s="77">
        <f t="shared" si="25"/>
        <v>1602020.2020202023</v>
      </c>
      <c r="O242" s="100">
        <f t="shared" si="26"/>
        <v>0.2011904761904762</v>
      </c>
      <c r="P242" t="str">
        <f t="shared" si="27"/>
        <v>OK</v>
      </c>
    </row>
    <row r="243" spans="1:16">
      <c r="A243">
        <v>14</v>
      </c>
      <c r="B243" t="str">
        <f>'Presupuesto Base'!A10</f>
        <v>4</v>
      </c>
      <c r="C243" t="str">
        <f>'Presupuesto Base'!B10</f>
        <v>Cama de asiento compactada</v>
      </c>
      <c r="D243" t="str">
        <f>'Presupuesto Base'!C10</f>
        <v>ml</v>
      </c>
      <c r="E243">
        <f>'Presupuesto Base'!D10</f>
        <v>4200</v>
      </c>
      <c r="F243" s="77">
        <f>'Presupuesto Base'!E10</f>
        <v>1705.3653417289784</v>
      </c>
      <c r="G243" s="77">
        <f>'Presupuesto Base'!F10</f>
        <v>7162534.4352617087</v>
      </c>
      <c r="H243">
        <f>SUMIFS(Medicion!$K$6:$K$511,Medicion!$G$6:$G$511,$B243,Medicion!$A$6:$A$511,"&lt;"&amp;$A243)</f>
        <v>845</v>
      </c>
      <c r="I243">
        <f>SUMIFS(Medicion!$K$6:$K$511,Medicion!$G$6:$G$511,$B243,Medicion!$A$6:$A$511,$A243)</f>
        <v>0</v>
      </c>
      <c r="J243">
        <f t="shared" si="21"/>
        <v>845</v>
      </c>
      <c r="K243" s="77">
        <f t="shared" si="22"/>
        <v>1441033.7137609867</v>
      </c>
      <c r="L243" s="77">
        <f t="shared" si="23"/>
        <v>0</v>
      </c>
      <c r="M243" s="77">
        <f t="shared" si="24"/>
        <v>1441033.7137609867</v>
      </c>
      <c r="N243" s="77">
        <f t="shared" si="25"/>
        <v>5721500.7215007218</v>
      </c>
      <c r="O243" s="100">
        <f t="shared" si="26"/>
        <v>0.2011904761904762</v>
      </c>
      <c r="P243" t="str">
        <f t="shared" si="27"/>
        <v>OK</v>
      </c>
    </row>
    <row r="244" spans="1:16">
      <c r="A244">
        <v>14</v>
      </c>
      <c r="B244" t="str">
        <f>'Presupuesto Base'!A11</f>
        <v>5.1</v>
      </c>
      <c r="C244" t="str">
        <f>'Presupuesto Base'!B11</f>
        <v>PEAD PN10 Ø75 – provisión e instalación</v>
      </c>
      <c r="D244" t="str">
        <f>'Presupuesto Base'!C11</f>
        <v>ml</v>
      </c>
      <c r="E244">
        <f>'Presupuesto Base'!D11</f>
        <v>3170</v>
      </c>
      <c r="F244" s="77">
        <f>'Presupuesto Base'!E11</f>
        <v>5784.2549382555126</v>
      </c>
      <c r="G244" s="77">
        <f>'Presupuesto Base'!F11</f>
        <v>18336088.154269975</v>
      </c>
      <c r="H244">
        <f>SUMIFS(Medicion!$K$6:$K$511,Medicion!$G$6:$G$511,$B244,Medicion!$A$6:$A$511,"&lt;"&amp;$A244)</f>
        <v>558</v>
      </c>
      <c r="I244">
        <f>SUMIFS(Medicion!$K$6:$K$511,Medicion!$G$6:$G$511,$B244,Medicion!$A$6:$A$511,$A244)</f>
        <v>0</v>
      </c>
      <c r="J244">
        <f t="shared" si="21"/>
        <v>558</v>
      </c>
      <c r="K244" s="77">
        <f t="shared" si="22"/>
        <v>3227614.2555465759</v>
      </c>
      <c r="L244" s="77">
        <f t="shared" si="23"/>
        <v>0</v>
      </c>
      <c r="M244" s="77">
        <f t="shared" si="24"/>
        <v>3227614.2555465759</v>
      </c>
      <c r="N244" s="77">
        <f t="shared" si="25"/>
        <v>15108473.898723399</v>
      </c>
      <c r="O244" s="100">
        <f t="shared" si="26"/>
        <v>0.17602523659305994</v>
      </c>
      <c r="P244" t="str">
        <f t="shared" si="27"/>
        <v>OK</v>
      </c>
    </row>
    <row r="245" spans="1:16">
      <c r="A245">
        <v>14</v>
      </c>
      <c r="B245" t="str">
        <f>'Presupuesto Base'!A12</f>
        <v>5.2</v>
      </c>
      <c r="C245" t="str">
        <f>'Presupuesto Base'!B12</f>
        <v>PEAD PN10 Ø110 – provisión e instalación</v>
      </c>
      <c r="D245" t="str">
        <f>'Presupuesto Base'!C12</f>
        <v>ml</v>
      </c>
      <c r="E245">
        <f>'Presupuesto Base'!D12</f>
        <v>1030</v>
      </c>
      <c r="F245" s="77">
        <f>'Presupuesto Base'!E12</f>
        <v>12238.893792291852</v>
      </c>
      <c r="G245" s="77">
        <f>'Presupuesto Base'!F12</f>
        <v>12606060.606060607</v>
      </c>
      <c r="H245">
        <f>SUMIFS(Medicion!$K$6:$K$511,Medicion!$G$6:$G$511,$B245,Medicion!$A$6:$A$511,"&lt;"&amp;$A245)</f>
        <v>287</v>
      </c>
      <c r="I245">
        <f>SUMIFS(Medicion!$K$6:$K$511,Medicion!$G$6:$G$511,$B245,Medicion!$A$6:$A$511,$A245)</f>
        <v>0</v>
      </c>
      <c r="J245">
        <f t="shared" si="21"/>
        <v>287</v>
      </c>
      <c r="K245" s="77">
        <f t="shared" si="22"/>
        <v>3512562.5183877614</v>
      </c>
      <c r="L245" s="77">
        <f t="shared" si="23"/>
        <v>0</v>
      </c>
      <c r="M245" s="77">
        <f t="shared" si="24"/>
        <v>3512562.5183877614</v>
      </c>
      <c r="N245" s="77">
        <f t="shared" si="25"/>
        <v>9093498.0876728464</v>
      </c>
      <c r="O245" s="100">
        <f t="shared" si="26"/>
        <v>0.27864077669902915</v>
      </c>
      <c r="P245" t="str">
        <f t="shared" si="27"/>
        <v>OK</v>
      </c>
    </row>
    <row r="246" spans="1:16">
      <c r="A246">
        <v>14</v>
      </c>
      <c r="B246" t="str">
        <f>'Presupuesto Base'!A13</f>
        <v>6</v>
      </c>
      <c r="C246" t="str">
        <f>'Presupuesto Base'!B13</f>
        <v>Ejecución de paquete estructural de 30 cm</v>
      </c>
      <c r="D246" t="str">
        <f>'Presupuesto Base'!C13</f>
        <v>ml</v>
      </c>
      <c r="E246">
        <f>'Presupuesto Base'!D13</f>
        <v>4200</v>
      </c>
      <c r="F246" s="77">
        <f>'Presupuesto Base'!E13</f>
        <v>3274.3014561196383</v>
      </c>
      <c r="G246" s="77">
        <f>'Presupuesto Base'!F13</f>
        <v>13752066.11570248</v>
      </c>
      <c r="H246">
        <f>SUMIFS(Medicion!$K$6:$K$511,Medicion!$G$6:$G$511,$B246,Medicion!$A$6:$A$511,"&lt;"&amp;$A246)</f>
        <v>763</v>
      </c>
      <c r="I246">
        <f>SUMIFS(Medicion!$K$6:$K$511,Medicion!$G$6:$G$511,$B246,Medicion!$A$6:$A$511,$A246)</f>
        <v>0</v>
      </c>
      <c r="J246">
        <f t="shared" si="21"/>
        <v>763</v>
      </c>
      <c r="K246" s="77">
        <f t="shared" si="22"/>
        <v>2498292.0110192839</v>
      </c>
      <c r="L246" s="77">
        <f t="shared" si="23"/>
        <v>0</v>
      </c>
      <c r="M246" s="77">
        <f t="shared" si="24"/>
        <v>2498292.0110192839</v>
      </c>
      <c r="N246" s="77">
        <f t="shared" si="25"/>
        <v>11253774.104683196</v>
      </c>
      <c r="O246" s="100">
        <f t="shared" si="26"/>
        <v>0.18166666666666667</v>
      </c>
      <c r="P246" t="str">
        <f t="shared" si="27"/>
        <v>OK</v>
      </c>
    </row>
    <row r="247" spans="1:16">
      <c r="A247">
        <v>14</v>
      </c>
      <c r="B247" t="str">
        <f>'Presupuesto Base'!A14</f>
        <v>7</v>
      </c>
      <c r="C247" t="str">
        <f>'Presupuesto Base'!B14</f>
        <v>Compactación del paquete estructural de 30 cm</v>
      </c>
      <c r="D247" t="str">
        <f>'Presupuesto Base'!C14</f>
        <v>ml</v>
      </c>
      <c r="E247">
        <f>'Presupuesto Base'!D14</f>
        <v>4200</v>
      </c>
      <c r="F247" s="77">
        <f>'Presupuesto Base'!E14</f>
        <v>1227.8630460448644</v>
      </c>
      <c r="G247" s="77">
        <f>'Presupuesto Base'!F14</f>
        <v>5157024.79338843</v>
      </c>
      <c r="H247">
        <f>SUMIFS(Medicion!$K$6:$K$511,Medicion!$G$6:$G$511,$B247,Medicion!$A$6:$A$511,"&lt;"&amp;$A247)</f>
        <v>0</v>
      </c>
      <c r="I247">
        <f>SUMIFS(Medicion!$K$6:$K$511,Medicion!$G$6:$G$511,$B247,Medicion!$A$6:$A$511,$A247)</f>
        <v>0</v>
      </c>
      <c r="J247">
        <f t="shared" si="21"/>
        <v>0</v>
      </c>
      <c r="K247" s="77">
        <f t="shared" si="22"/>
        <v>0</v>
      </c>
      <c r="L247" s="77">
        <f t="shared" si="23"/>
        <v>0</v>
      </c>
      <c r="M247" s="77">
        <f t="shared" si="24"/>
        <v>0</v>
      </c>
      <c r="N247" s="77">
        <f t="shared" si="25"/>
        <v>5157024.79338843</v>
      </c>
      <c r="O247" s="100">
        <f t="shared" si="26"/>
        <v>0</v>
      </c>
      <c r="P247" t="str">
        <f t="shared" si="27"/>
        <v>OK</v>
      </c>
    </row>
    <row r="248" spans="1:16">
      <c r="A248">
        <v>14</v>
      </c>
      <c r="B248" t="str">
        <f>'Presupuesto Base'!A15</f>
        <v>8</v>
      </c>
      <c r="C248" t="str">
        <f>'Presupuesto Base'!B15</f>
        <v>Ejecución y compactación de capa cota -0,60</v>
      </c>
      <c r="D248" t="str">
        <f>'Presupuesto Base'!C15</f>
        <v>ml</v>
      </c>
      <c r="E248">
        <f>'Presupuesto Base'!D15</f>
        <v>4200</v>
      </c>
      <c r="F248" s="77">
        <f>'Presupuesto Base'!E15</f>
        <v>2592.1553194280468</v>
      </c>
      <c r="G248" s="77">
        <f>'Presupuesto Base'!F15</f>
        <v>10887052.341597797</v>
      </c>
      <c r="H248">
        <f>SUMIFS(Medicion!$K$6:$K$511,Medicion!$G$6:$G$511,$B248,Medicion!$A$6:$A$511,"&lt;"&amp;$A248)</f>
        <v>0</v>
      </c>
      <c r="I248">
        <f>SUMIFS(Medicion!$K$6:$K$511,Medicion!$G$6:$G$511,$B248,Medicion!$A$6:$A$511,$A248)</f>
        <v>0</v>
      </c>
      <c r="J248">
        <f t="shared" si="21"/>
        <v>0</v>
      </c>
      <c r="K248" s="77">
        <f t="shared" si="22"/>
        <v>0</v>
      </c>
      <c r="L248" s="77">
        <f t="shared" si="23"/>
        <v>0</v>
      </c>
      <c r="M248" s="77">
        <f t="shared" si="24"/>
        <v>0</v>
      </c>
      <c r="N248" s="77">
        <f t="shared" si="25"/>
        <v>10887052.341597797</v>
      </c>
      <c r="O248" s="100">
        <f t="shared" si="26"/>
        <v>0</v>
      </c>
      <c r="P248" t="str">
        <f t="shared" si="27"/>
        <v>OK</v>
      </c>
    </row>
    <row r="249" spans="1:16">
      <c r="A249">
        <v>14</v>
      </c>
      <c r="B249" t="str">
        <f>'Presupuesto Base'!A16</f>
        <v>9</v>
      </c>
      <c r="C249" t="str">
        <f>'Presupuesto Base'!B16</f>
        <v>Ejecución y compactación de capa cota -0,30</v>
      </c>
      <c r="D249" t="str">
        <f>'Presupuesto Base'!C16</f>
        <v>ml</v>
      </c>
      <c r="E249">
        <f>'Presupuesto Base'!D16</f>
        <v>4200</v>
      </c>
      <c r="F249" s="77">
        <f>'Presupuesto Base'!E16</f>
        <v>2182.8676374130923</v>
      </c>
      <c r="G249" s="77">
        <f>'Presupuesto Base'!F16</f>
        <v>9168044.0771349873</v>
      </c>
      <c r="H249">
        <f>SUMIFS(Medicion!$K$6:$K$511,Medicion!$G$6:$G$511,$B249,Medicion!$A$6:$A$511,"&lt;"&amp;$A249)</f>
        <v>0</v>
      </c>
      <c r="I249">
        <f>SUMIFS(Medicion!$K$6:$K$511,Medicion!$G$6:$G$511,$B249,Medicion!$A$6:$A$511,$A249)</f>
        <v>0</v>
      </c>
      <c r="J249">
        <f t="shared" si="21"/>
        <v>0</v>
      </c>
      <c r="K249" s="77">
        <f t="shared" si="22"/>
        <v>0</v>
      </c>
      <c r="L249" s="77">
        <f t="shared" si="23"/>
        <v>0</v>
      </c>
      <c r="M249" s="77">
        <f t="shared" si="24"/>
        <v>0</v>
      </c>
      <c r="N249" s="77">
        <f t="shared" si="25"/>
        <v>9168044.0771349873</v>
      </c>
      <c r="O249" s="100">
        <f t="shared" si="26"/>
        <v>0</v>
      </c>
      <c r="P249" t="str">
        <f t="shared" si="27"/>
        <v>OK</v>
      </c>
    </row>
    <row r="250" spans="1:16">
      <c r="A250">
        <v>14</v>
      </c>
      <c r="B250" t="str">
        <f>'Presupuesto Base'!A17</f>
        <v>10.1</v>
      </c>
      <c r="C250" t="str">
        <f>'Presupuesto Base'!B17</f>
        <v>Conexión domiciliaria sobre red Ø75</v>
      </c>
      <c r="D250" t="str">
        <f>'Presupuesto Base'!C17</f>
        <v>un</v>
      </c>
      <c r="E250">
        <f>'Presupuesto Base'!D17</f>
        <v>165</v>
      </c>
      <c r="F250" s="77">
        <f>'Presupuesto Base'!E17</f>
        <v>48618.415560564332</v>
      </c>
      <c r="G250" s="77">
        <f>'Presupuesto Base'!F17</f>
        <v>8022038.5674931146</v>
      </c>
      <c r="H250">
        <f>SUMIFS(Medicion!$K$6:$K$511,Medicion!$G$6:$G$511,$B250,Medicion!$A$6:$A$511,"&lt;"&amp;$A250)</f>
        <v>5</v>
      </c>
      <c r="I250">
        <f>SUMIFS(Medicion!$K$6:$K$511,Medicion!$G$6:$G$511,$B250,Medicion!$A$6:$A$511,$A250)</f>
        <v>0</v>
      </c>
      <c r="J250">
        <f t="shared" si="21"/>
        <v>5</v>
      </c>
      <c r="K250" s="77">
        <f t="shared" si="22"/>
        <v>243092.07780282164</v>
      </c>
      <c r="L250" s="77">
        <f t="shared" si="23"/>
        <v>0</v>
      </c>
      <c r="M250" s="77">
        <f t="shared" si="24"/>
        <v>243092.07780282164</v>
      </c>
      <c r="N250" s="77">
        <f t="shared" si="25"/>
        <v>7778946.4896902926</v>
      </c>
      <c r="O250" s="100">
        <f t="shared" si="26"/>
        <v>3.0303030303030304E-2</v>
      </c>
      <c r="P250" t="str">
        <f t="shared" si="27"/>
        <v>OK</v>
      </c>
    </row>
    <row r="251" spans="1:16">
      <c r="A251">
        <v>14</v>
      </c>
      <c r="B251" t="str">
        <f>'Presupuesto Base'!A18</f>
        <v>10.2</v>
      </c>
      <c r="C251" t="str">
        <f>'Presupuesto Base'!B18</f>
        <v>Conexión domiciliaria sobre red Ø110</v>
      </c>
      <c r="D251" t="str">
        <f>'Presupuesto Base'!C18</f>
        <v>un</v>
      </c>
      <c r="E251">
        <f>'Presupuesto Base'!D18</f>
        <v>62</v>
      </c>
      <c r="F251" s="77">
        <f>'Presupuesto Base'!E18</f>
        <v>55451.879498800321</v>
      </c>
      <c r="G251" s="77">
        <f>'Presupuesto Base'!F18</f>
        <v>3438016.52892562</v>
      </c>
      <c r="H251">
        <f>SUMIFS(Medicion!$K$6:$K$511,Medicion!$G$6:$G$511,$B251,Medicion!$A$6:$A$511,"&lt;"&amp;$A251)</f>
        <v>2</v>
      </c>
      <c r="I251">
        <f>SUMIFS(Medicion!$K$6:$K$511,Medicion!$G$6:$G$511,$B251,Medicion!$A$6:$A$511,$A251)</f>
        <v>0</v>
      </c>
      <c r="J251">
        <f t="shared" si="21"/>
        <v>2</v>
      </c>
      <c r="K251" s="77">
        <f t="shared" si="22"/>
        <v>110903.75899760064</v>
      </c>
      <c r="L251" s="77">
        <f t="shared" si="23"/>
        <v>0</v>
      </c>
      <c r="M251" s="77">
        <f t="shared" si="24"/>
        <v>110903.75899760064</v>
      </c>
      <c r="N251" s="77">
        <f t="shared" si="25"/>
        <v>3327112.7699280195</v>
      </c>
      <c r="O251" s="100">
        <f t="shared" si="26"/>
        <v>3.2258064516129031E-2</v>
      </c>
      <c r="P251" t="str">
        <f t="shared" si="27"/>
        <v>OK</v>
      </c>
    </row>
    <row r="252" spans="1:16">
      <c r="A252">
        <v>14</v>
      </c>
      <c r="B252" t="str">
        <f>'Presupuesto Base'!A19</f>
        <v>11.1</v>
      </c>
      <c r="C252" t="str">
        <f>'Presupuesto Base'!B19</f>
        <v>Válvula esclusa Ø75 completa e instalada</v>
      </c>
      <c r="D252" t="str">
        <f>'Presupuesto Base'!C19</f>
        <v>un</v>
      </c>
      <c r="E252">
        <f>'Presupuesto Base'!D19</f>
        <v>2</v>
      </c>
      <c r="F252" s="77">
        <f>'Presupuesto Base'!E19</f>
        <v>286501.37741046835</v>
      </c>
      <c r="G252" s="77">
        <f>'Presupuesto Base'!F19</f>
        <v>573002.75482093671</v>
      </c>
      <c r="H252">
        <f>SUMIFS(Medicion!$K$6:$K$511,Medicion!$G$6:$G$511,$B252,Medicion!$A$6:$A$511,"&lt;"&amp;$A252)</f>
        <v>0</v>
      </c>
      <c r="I252">
        <f>SUMIFS(Medicion!$K$6:$K$511,Medicion!$G$6:$G$511,$B252,Medicion!$A$6:$A$511,$A252)</f>
        <v>0</v>
      </c>
      <c r="J252">
        <f t="shared" si="21"/>
        <v>0</v>
      </c>
      <c r="K252" s="77">
        <f t="shared" si="22"/>
        <v>0</v>
      </c>
      <c r="L252" s="77">
        <f t="shared" si="23"/>
        <v>0</v>
      </c>
      <c r="M252" s="77">
        <f t="shared" si="24"/>
        <v>0</v>
      </c>
      <c r="N252" s="77">
        <f t="shared" si="25"/>
        <v>573002.75482093671</v>
      </c>
      <c r="O252" s="100">
        <f t="shared" si="26"/>
        <v>0</v>
      </c>
      <c r="P252" t="str">
        <f t="shared" si="27"/>
        <v>OK</v>
      </c>
    </row>
    <row r="253" spans="1:16">
      <c r="A253">
        <v>14</v>
      </c>
      <c r="B253" t="str">
        <f>'Presupuesto Base'!A20</f>
        <v>11.2</v>
      </c>
      <c r="C253" t="str">
        <f>'Presupuesto Base'!B20</f>
        <v>Válvula esclusa Ø100 completa e instalada</v>
      </c>
      <c r="D253" t="str">
        <f>'Presupuesto Base'!C20</f>
        <v>un</v>
      </c>
      <c r="E253">
        <f>'Presupuesto Base'!D20</f>
        <v>4</v>
      </c>
      <c r="F253" s="77">
        <f>'Presupuesto Base'!E20</f>
        <v>429752.0661157025</v>
      </c>
      <c r="G253" s="77">
        <f>'Presupuesto Base'!F20</f>
        <v>1719008.26446281</v>
      </c>
      <c r="H253">
        <f>SUMIFS(Medicion!$K$6:$K$511,Medicion!$G$6:$G$511,$B253,Medicion!$A$6:$A$511,"&lt;"&amp;$A253)</f>
        <v>0</v>
      </c>
      <c r="I253">
        <f>SUMIFS(Medicion!$K$6:$K$511,Medicion!$G$6:$G$511,$B253,Medicion!$A$6:$A$511,$A253)</f>
        <v>0</v>
      </c>
      <c r="J253">
        <f t="shared" si="21"/>
        <v>0</v>
      </c>
      <c r="K253" s="77">
        <f t="shared" si="22"/>
        <v>0</v>
      </c>
      <c r="L253" s="77">
        <f t="shared" si="23"/>
        <v>0</v>
      </c>
      <c r="M253" s="77">
        <f t="shared" si="24"/>
        <v>0</v>
      </c>
      <c r="N253" s="77">
        <f t="shared" si="25"/>
        <v>1719008.26446281</v>
      </c>
      <c r="O253" s="100">
        <f t="shared" si="26"/>
        <v>0</v>
      </c>
      <c r="P253" t="str">
        <f t="shared" si="27"/>
        <v>OK</v>
      </c>
    </row>
    <row r="254" spans="1:16">
      <c r="A254">
        <v>14</v>
      </c>
      <c r="B254" t="str">
        <f>'Presupuesto Base'!A21</f>
        <v>12</v>
      </c>
      <c r="C254" t="str">
        <f>'Presupuesto Base'!B21</f>
        <v>Hidrante a bola completo e instalado</v>
      </c>
      <c r="D254" t="str">
        <f>'Presupuesto Base'!C21</f>
        <v>un</v>
      </c>
      <c r="E254">
        <f>'Presupuesto Base'!D21</f>
        <v>15</v>
      </c>
      <c r="F254" s="77">
        <f>'Presupuesto Base'!E21</f>
        <v>114600.55096418734</v>
      </c>
      <c r="G254" s="77">
        <f>'Presupuesto Base'!F21</f>
        <v>1719008.26446281</v>
      </c>
      <c r="H254">
        <f>SUMIFS(Medicion!$K$6:$K$511,Medicion!$G$6:$G$511,$B254,Medicion!$A$6:$A$511,"&lt;"&amp;$A254)</f>
        <v>0</v>
      </c>
      <c r="I254">
        <f>SUMIFS(Medicion!$K$6:$K$511,Medicion!$G$6:$G$511,$B254,Medicion!$A$6:$A$511,$A254)</f>
        <v>0</v>
      </c>
      <c r="J254">
        <f t="shared" si="21"/>
        <v>0</v>
      </c>
      <c r="K254" s="77">
        <f t="shared" si="22"/>
        <v>0</v>
      </c>
      <c r="L254" s="77">
        <f t="shared" si="23"/>
        <v>0</v>
      </c>
      <c r="M254" s="77">
        <f t="shared" si="24"/>
        <v>0</v>
      </c>
      <c r="N254" s="77">
        <f t="shared" si="25"/>
        <v>1719008.26446281</v>
      </c>
      <c r="O254" s="100">
        <f t="shared" si="26"/>
        <v>0</v>
      </c>
      <c r="P254" t="str">
        <f t="shared" si="27"/>
        <v>OK</v>
      </c>
    </row>
    <row r="255" spans="1:16">
      <c r="A255">
        <v>14</v>
      </c>
      <c r="B255" t="str">
        <f>'Presupuesto Base'!A22</f>
        <v>13.1</v>
      </c>
      <c r="C255" t="str">
        <f>'Presupuesto Base'!B22</f>
        <v>Pruebas hidráulicas y operativas</v>
      </c>
      <c r="D255" t="str">
        <f>'Presupuesto Base'!C22</f>
        <v>gl</v>
      </c>
      <c r="E255">
        <f>'Presupuesto Base'!D22</f>
        <v>1</v>
      </c>
      <c r="F255" s="77">
        <f>'Presupuesto Base'!E22</f>
        <v>1719008.26446281</v>
      </c>
      <c r="G255" s="77">
        <f>'Presupuesto Base'!F22</f>
        <v>1719008.26446281</v>
      </c>
      <c r="H255">
        <f>SUMIFS(Medicion!$K$6:$K$511,Medicion!$G$6:$G$511,$B255,Medicion!$A$6:$A$511,"&lt;"&amp;$A255)</f>
        <v>0</v>
      </c>
      <c r="I255">
        <f>SUMIFS(Medicion!$K$6:$K$511,Medicion!$G$6:$G$511,$B255,Medicion!$A$6:$A$511,$A255)</f>
        <v>0</v>
      </c>
      <c r="J255">
        <f t="shared" si="21"/>
        <v>0</v>
      </c>
      <c r="K255" s="77">
        <f t="shared" si="22"/>
        <v>0</v>
      </c>
      <c r="L255" s="77">
        <f t="shared" si="23"/>
        <v>0</v>
      </c>
      <c r="M255" s="77">
        <f t="shared" si="24"/>
        <v>0</v>
      </c>
      <c r="N255" s="77">
        <f t="shared" si="25"/>
        <v>1719008.26446281</v>
      </c>
      <c r="O255" s="100">
        <f t="shared" si="26"/>
        <v>0</v>
      </c>
      <c r="P255" t="str">
        <f t="shared" si="27"/>
        <v>OK</v>
      </c>
    </row>
    <row r="256" spans="1:16">
      <c r="A256">
        <v>14</v>
      </c>
      <c r="B256" t="str">
        <f>'Presupuesto Base'!A23</f>
        <v>13.2</v>
      </c>
      <c r="C256" t="str">
        <f>'Presupuesto Base'!B23</f>
        <v>Terminaciones y acondicionamiento final</v>
      </c>
      <c r="D256" t="str">
        <f>'Presupuesto Base'!C23</f>
        <v>gl</v>
      </c>
      <c r="E256">
        <f>'Presupuesto Base'!D23</f>
        <v>1</v>
      </c>
      <c r="F256" s="77">
        <f>'Presupuesto Base'!E23</f>
        <v>1146005.5096418734</v>
      </c>
      <c r="G256" s="77">
        <f>'Presupuesto Base'!F23</f>
        <v>1146005.5096418734</v>
      </c>
      <c r="H256">
        <f>SUMIFS(Medicion!$K$6:$K$511,Medicion!$G$6:$G$511,$B256,Medicion!$A$6:$A$511,"&lt;"&amp;$A256)</f>
        <v>0</v>
      </c>
      <c r="I256">
        <f>SUMIFS(Medicion!$K$6:$K$511,Medicion!$G$6:$G$511,$B256,Medicion!$A$6:$A$511,$A256)</f>
        <v>0</v>
      </c>
      <c r="J256">
        <f t="shared" si="21"/>
        <v>0</v>
      </c>
      <c r="K256" s="77">
        <f t="shared" si="22"/>
        <v>0</v>
      </c>
      <c r="L256" s="77">
        <f t="shared" si="23"/>
        <v>0</v>
      </c>
      <c r="M256" s="77">
        <f t="shared" si="24"/>
        <v>0</v>
      </c>
      <c r="N256" s="77">
        <f t="shared" si="25"/>
        <v>1146005.5096418734</v>
      </c>
      <c r="O256" s="100">
        <f t="shared" si="26"/>
        <v>0</v>
      </c>
      <c r="P256" t="str">
        <f t="shared" si="27"/>
        <v>OK</v>
      </c>
    </row>
    <row r="257" spans="1:16">
      <c r="A257">
        <v>14</v>
      </c>
      <c r="B257" t="str">
        <f>'Presupuesto Base'!A24</f>
        <v>13.3</v>
      </c>
      <c r="C257" t="str">
        <f>'Presupuesto Base'!B24</f>
        <v>Documentación conforme a obra y cierre</v>
      </c>
      <c r="D257" t="str">
        <f>'Presupuesto Base'!C24</f>
        <v>gl</v>
      </c>
      <c r="E257">
        <f>'Presupuesto Base'!D24</f>
        <v>1</v>
      </c>
      <c r="F257" s="77">
        <f>'Presupuesto Base'!E24</f>
        <v>859504.132231405</v>
      </c>
      <c r="G257" s="77">
        <f>'Presupuesto Base'!F24</f>
        <v>859504.132231405</v>
      </c>
      <c r="H257">
        <f>SUMIFS(Medicion!$K$6:$K$511,Medicion!$G$6:$G$511,$B257,Medicion!$A$6:$A$511,"&lt;"&amp;$A257)</f>
        <v>0</v>
      </c>
      <c r="I257">
        <f>SUMIFS(Medicion!$K$6:$K$511,Medicion!$G$6:$G$511,$B257,Medicion!$A$6:$A$511,$A257)</f>
        <v>0</v>
      </c>
      <c r="J257">
        <f t="shared" si="21"/>
        <v>0</v>
      </c>
      <c r="K257" s="77">
        <f t="shared" si="22"/>
        <v>0</v>
      </c>
      <c r="L257" s="77">
        <f t="shared" si="23"/>
        <v>0</v>
      </c>
      <c r="M257" s="77">
        <f t="shared" si="24"/>
        <v>0</v>
      </c>
      <c r="N257" s="77">
        <f t="shared" si="25"/>
        <v>859504.132231405</v>
      </c>
      <c r="O257" s="100">
        <f t="shared" si="26"/>
        <v>0</v>
      </c>
      <c r="P257" t="str">
        <f t="shared" si="27"/>
        <v>OK</v>
      </c>
    </row>
    <row r="258" spans="1:16">
      <c r="A258">
        <v>15</v>
      </c>
      <c r="B258" t="str">
        <f>'Presupuesto Base'!A7</f>
        <v>1</v>
      </c>
      <c r="C258" t="str">
        <f>'Presupuesto Base'!B7</f>
        <v>Replanteo y marcación de traza</v>
      </c>
      <c r="D258" t="str">
        <f>'Presupuesto Base'!C7</f>
        <v>ml</v>
      </c>
      <c r="E258">
        <f>'Presupuesto Base'!D7</f>
        <v>4200</v>
      </c>
      <c r="F258" s="77">
        <f>'Presupuesto Base'!E7</f>
        <v>204.64384100747739</v>
      </c>
      <c r="G258" s="77">
        <f>'Presupuesto Base'!F7</f>
        <v>859504.132231405</v>
      </c>
      <c r="H258">
        <f>SUMIFS(Medicion!$K$6:$K$511,Medicion!$G$6:$G$511,$B258,Medicion!$A$6:$A$511,"&lt;"&amp;$A258)</f>
        <v>845</v>
      </c>
      <c r="I258">
        <f>SUMIFS(Medicion!$K$6:$K$511,Medicion!$G$6:$G$511,$B258,Medicion!$A$6:$A$511,$A258)</f>
        <v>0</v>
      </c>
      <c r="J258">
        <f t="shared" si="21"/>
        <v>845</v>
      </c>
      <c r="K258" s="77">
        <f t="shared" si="22"/>
        <v>172924.04565131839</v>
      </c>
      <c r="L258" s="77">
        <f t="shared" si="23"/>
        <v>0</v>
      </c>
      <c r="M258" s="77">
        <f t="shared" si="24"/>
        <v>172924.04565131839</v>
      </c>
      <c r="N258" s="77">
        <f t="shared" si="25"/>
        <v>686580.08658008662</v>
      </c>
      <c r="O258" s="100">
        <f t="shared" si="26"/>
        <v>0.2011904761904762</v>
      </c>
      <c r="P258" t="str">
        <f t="shared" si="27"/>
        <v>OK</v>
      </c>
    </row>
    <row r="259" spans="1:16">
      <c r="A259">
        <v>15</v>
      </c>
      <c r="B259" t="str">
        <f>'Presupuesto Base'!A8</f>
        <v>2</v>
      </c>
      <c r="C259" t="str">
        <f>'Presupuesto Base'!B8</f>
        <v>Excavación de zanja</v>
      </c>
      <c r="D259" t="str">
        <f>'Presupuesto Base'!C8</f>
        <v>ml</v>
      </c>
      <c r="E259">
        <f>'Presupuesto Base'!D8</f>
        <v>4200</v>
      </c>
      <c r="F259" s="77">
        <f>'Presupuesto Base'!E8</f>
        <v>3683.5891381345932</v>
      </c>
      <c r="G259" s="77">
        <f>'Presupuesto Base'!F8</f>
        <v>15471074.380165292</v>
      </c>
      <c r="H259">
        <f>SUMIFS(Medicion!$K$6:$K$511,Medicion!$G$6:$G$511,$B259,Medicion!$A$6:$A$511,"&lt;"&amp;$A259)</f>
        <v>845</v>
      </c>
      <c r="I259">
        <f>SUMIFS(Medicion!$K$6:$K$511,Medicion!$G$6:$G$511,$B259,Medicion!$A$6:$A$511,$A259)</f>
        <v>0</v>
      </c>
      <c r="J259">
        <f t="shared" si="21"/>
        <v>845</v>
      </c>
      <c r="K259" s="77">
        <f t="shared" si="22"/>
        <v>3112632.8217237312</v>
      </c>
      <c r="L259" s="77">
        <f t="shared" si="23"/>
        <v>0</v>
      </c>
      <c r="M259" s="77">
        <f t="shared" si="24"/>
        <v>3112632.8217237312</v>
      </c>
      <c r="N259" s="77">
        <f t="shared" si="25"/>
        <v>12358441.558441561</v>
      </c>
      <c r="O259" s="100">
        <f t="shared" si="26"/>
        <v>0.2011904761904762</v>
      </c>
      <c r="P259" t="str">
        <f t="shared" si="27"/>
        <v>OK</v>
      </c>
    </row>
    <row r="260" spans="1:16">
      <c r="A260">
        <v>15</v>
      </c>
      <c r="B260" t="str">
        <f>'Presupuesto Base'!A9</f>
        <v>3</v>
      </c>
      <c r="C260" t="str">
        <f>'Presupuesto Base'!B9</f>
        <v>Nivelación y conformación del fondo de zanja</v>
      </c>
      <c r="D260" t="str">
        <f>'Presupuesto Base'!C9</f>
        <v>ml</v>
      </c>
      <c r="E260">
        <f>'Presupuesto Base'!D9</f>
        <v>4200</v>
      </c>
      <c r="F260" s="77">
        <f>'Presupuesto Base'!E9</f>
        <v>477.50229568411396</v>
      </c>
      <c r="G260" s="77">
        <f>'Presupuesto Base'!F9</f>
        <v>2005509.6418732787</v>
      </c>
      <c r="H260">
        <f>SUMIFS(Medicion!$K$6:$K$511,Medicion!$G$6:$G$511,$B260,Medicion!$A$6:$A$511,"&lt;"&amp;$A260)</f>
        <v>845</v>
      </c>
      <c r="I260">
        <f>SUMIFS(Medicion!$K$6:$K$511,Medicion!$G$6:$G$511,$B260,Medicion!$A$6:$A$511,$A260)</f>
        <v>0</v>
      </c>
      <c r="J260">
        <f t="shared" si="21"/>
        <v>845</v>
      </c>
      <c r="K260" s="77">
        <f t="shared" si="22"/>
        <v>403489.4398530763</v>
      </c>
      <c r="L260" s="77">
        <f t="shared" si="23"/>
        <v>0</v>
      </c>
      <c r="M260" s="77">
        <f t="shared" si="24"/>
        <v>403489.4398530763</v>
      </c>
      <c r="N260" s="77">
        <f t="shared" si="25"/>
        <v>1602020.2020202023</v>
      </c>
      <c r="O260" s="100">
        <f t="shared" si="26"/>
        <v>0.2011904761904762</v>
      </c>
      <c r="P260" t="str">
        <f t="shared" si="27"/>
        <v>OK</v>
      </c>
    </row>
    <row r="261" spans="1:16">
      <c r="A261">
        <v>15</v>
      </c>
      <c r="B261" t="str">
        <f>'Presupuesto Base'!A10</f>
        <v>4</v>
      </c>
      <c r="C261" t="str">
        <f>'Presupuesto Base'!B10</f>
        <v>Cama de asiento compactada</v>
      </c>
      <c r="D261" t="str">
        <f>'Presupuesto Base'!C10</f>
        <v>ml</v>
      </c>
      <c r="E261">
        <f>'Presupuesto Base'!D10</f>
        <v>4200</v>
      </c>
      <c r="F261" s="77">
        <f>'Presupuesto Base'!E10</f>
        <v>1705.3653417289784</v>
      </c>
      <c r="G261" s="77">
        <f>'Presupuesto Base'!F10</f>
        <v>7162534.4352617087</v>
      </c>
      <c r="H261">
        <f>SUMIFS(Medicion!$K$6:$K$511,Medicion!$G$6:$G$511,$B261,Medicion!$A$6:$A$511,"&lt;"&amp;$A261)</f>
        <v>845</v>
      </c>
      <c r="I261">
        <f>SUMIFS(Medicion!$K$6:$K$511,Medicion!$G$6:$G$511,$B261,Medicion!$A$6:$A$511,$A261)</f>
        <v>0</v>
      </c>
      <c r="J261">
        <f t="shared" si="21"/>
        <v>845</v>
      </c>
      <c r="K261" s="77">
        <f t="shared" si="22"/>
        <v>1441033.7137609867</v>
      </c>
      <c r="L261" s="77">
        <f t="shared" si="23"/>
        <v>0</v>
      </c>
      <c r="M261" s="77">
        <f t="shared" si="24"/>
        <v>1441033.7137609867</v>
      </c>
      <c r="N261" s="77">
        <f t="shared" si="25"/>
        <v>5721500.7215007218</v>
      </c>
      <c r="O261" s="100">
        <f t="shared" si="26"/>
        <v>0.2011904761904762</v>
      </c>
      <c r="P261" t="str">
        <f t="shared" si="27"/>
        <v>OK</v>
      </c>
    </row>
    <row r="262" spans="1:16">
      <c r="A262">
        <v>15</v>
      </c>
      <c r="B262" t="str">
        <f>'Presupuesto Base'!A11</f>
        <v>5.1</v>
      </c>
      <c r="C262" t="str">
        <f>'Presupuesto Base'!B11</f>
        <v>PEAD PN10 Ø75 – provisión e instalación</v>
      </c>
      <c r="D262" t="str">
        <f>'Presupuesto Base'!C11</f>
        <v>ml</v>
      </c>
      <c r="E262">
        <f>'Presupuesto Base'!D11</f>
        <v>3170</v>
      </c>
      <c r="F262" s="77">
        <f>'Presupuesto Base'!E11</f>
        <v>5784.2549382555126</v>
      </c>
      <c r="G262" s="77">
        <f>'Presupuesto Base'!F11</f>
        <v>18336088.154269975</v>
      </c>
      <c r="H262">
        <f>SUMIFS(Medicion!$K$6:$K$511,Medicion!$G$6:$G$511,$B262,Medicion!$A$6:$A$511,"&lt;"&amp;$A262)</f>
        <v>558</v>
      </c>
      <c r="I262">
        <f>SUMIFS(Medicion!$K$6:$K$511,Medicion!$G$6:$G$511,$B262,Medicion!$A$6:$A$511,$A262)</f>
        <v>0</v>
      </c>
      <c r="J262">
        <f t="shared" ref="J262:J325" si="28">MIN(E262,H262+I262)</f>
        <v>558</v>
      </c>
      <c r="K262" s="77">
        <f t="shared" ref="K262:K325" si="29">MIN(G262,H262*F262)</f>
        <v>3227614.2555465759</v>
      </c>
      <c r="L262" s="77">
        <f t="shared" ref="L262:L325" si="30">MIN(G262-K262,I262*F262)</f>
        <v>0</v>
      </c>
      <c r="M262" s="77">
        <f t="shared" ref="M262:M325" si="31">K262+L262</f>
        <v>3227614.2555465759</v>
      </c>
      <c r="N262" s="77">
        <f t="shared" ref="N262:N325" si="32">MAX(0,G262-M262)</f>
        <v>15108473.898723399</v>
      </c>
      <c r="O262" s="100">
        <f t="shared" ref="O262:O325" si="33">IFERROR(J262/E262,0)</f>
        <v>0.17602523659305994</v>
      </c>
      <c r="P262" t="str">
        <f t="shared" ref="P262:P325" si="34">IF(OR(H262+I262&gt;E262+0.000001,H262&lt;0,I262&lt;0),"REVISAR","OK")</f>
        <v>OK</v>
      </c>
    </row>
    <row r="263" spans="1:16">
      <c r="A263">
        <v>15</v>
      </c>
      <c r="B263" t="str">
        <f>'Presupuesto Base'!A12</f>
        <v>5.2</v>
      </c>
      <c r="C263" t="str">
        <f>'Presupuesto Base'!B12</f>
        <v>PEAD PN10 Ø110 – provisión e instalación</v>
      </c>
      <c r="D263" t="str">
        <f>'Presupuesto Base'!C12</f>
        <v>ml</v>
      </c>
      <c r="E263">
        <f>'Presupuesto Base'!D12</f>
        <v>1030</v>
      </c>
      <c r="F263" s="77">
        <f>'Presupuesto Base'!E12</f>
        <v>12238.893792291852</v>
      </c>
      <c r="G263" s="77">
        <f>'Presupuesto Base'!F12</f>
        <v>12606060.606060607</v>
      </c>
      <c r="H263">
        <f>SUMIFS(Medicion!$K$6:$K$511,Medicion!$G$6:$G$511,$B263,Medicion!$A$6:$A$511,"&lt;"&amp;$A263)</f>
        <v>287</v>
      </c>
      <c r="I263">
        <f>SUMIFS(Medicion!$K$6:$K$511,Medicion!$G$6:$G$511,$B263,Medicion!$A$6:$A$511,$A263)</f>
        <v>0</v>
      </c>
      <c r="J263">
        <f t="shared" si="28"/>
        <v>287</v>
      </c>
      <c r="K263" s="77">
        <f t="shared" si="29"/>
        <v>3512562.5183877614</v>
      </c>
      <c r="L263" s="77">
        <f t="shared" si="30"/>
        <v>0</v>
      </c>
      <c r="M263" s="77">
        <f t="shared" si="31"/>
        <v>3512562.5183877614</v>
      </c>
      <c r="N263" s="77">
        <f t="shared" si="32"/>
        <v>9093498.0876728464</v>
      </c>
      <c r="O263" s="100">
        <f t="shared" si="33"/>
        <v>0.27864077669902915</v>
      </c>
      <c r="P263" t="str">
        <f t="shared" si="34"/>
        <v>OK</v>
      </c>
    </row>
    <row r="264" spans="1:16">
      <c r="A264">
        <v>15</v>
      </c>
      <c r="B264" t="str">
        <f>'Presupuesto Base'!A13</f>
        <v>6</v>
      </c>
      <c r="C264" t="str">
        <f>'Presupuesto Base'!B13</f>
        <v>Ejecución de paquete estructural de 30 cm</v>
      </c>
      <c r="D264" t="str">
        <f>'Presupuesto Base'!C13</f>
        <v>ml</v>
      </c>
      <c r="E264">
        <f>'Presupuesto Base'!D13</f>
        <v>4200</v>
      </c>
      <c r="F264" s="77">
        <f>'Presupuesto Base'!E13</f>
        <v>3274.3014561196383</v>
      </c>
      <c r="G264" s="77">
        <f>'Presupuesto Base'!F13</f>
        <v>13752066.11570248</v>
      </c>
      <c r="H264">
        <f>SUMIFS(Medicion!$K$6:$K$511,Medicion!$G$6:$G$511,$B264,Medicion!$A$6:$A$511,"&lt;"&amp;$A264)</f>
        <v>763</v>
      </c>
      <c r="I264">
        <f>SUMIFS(Medicion!$K$6:$K$511,Medicion!$G$6:$G$511,$B264,Medicion!$A$6:$A$511,$A264)</f>
        <v>0</v>
      </c>
      <c r="J264">
        <f t="shared" si="28"/>
        <v>763</v>
      </c>
      <c r="K264" s="77">
        <f t="shared" si="29"/>
        <v>2498292.0110192839</v>
      </c>
      <c r="L264" s="77">
        <f t="shared" si="30"/>
        <v>0</v>
      </c>
      <c r="M264" s="77">
        <f t="shared" si="31"/>
        <v>2498292.0110192839</v>
      </c>
      <c r="N264" s="77">
        <f t="shared" si="32"/>
        <v>11253774.104683196</v>
      </c>
      <c r="O264" s="100">
        <f t="shared" si="33"/>
        <v>0.18166666666666667</v>
      </c>
      <c r="P264" t="str">
        <f t="shared" si="34"/>
        <v>OK</v>
      </c>
    </row>
    <row r="265" spans="1:16">
      <c r="A265">
        <v>15</v>
      </c>
      <c r="B265" t="str">
        <f>'Presupuesto Base'!A14</f>
        <v>7</v>
      </c>
      <c r="C265" t="str">
        <f>'Presupuesto Base'!B14</f>
        <v>Compactación del paquete estructural de 30 cm</v>
      </c>
      <c r="D265" t="str">
        <f>'Presupuesto Base'!C14</f>
        <v>ml</v>
      </c>
      <c r="E265">
        <f>'Presupuesto Base'!D14</f>
        <v>4200</v>
      </c>
      <c r="F265" s="77">
        <f>'Presupuesto Base'!E14</f>
        <v>1227.8630460448644</v>
      </c>
      <c r="G265" s="77">
        <f>'Presupuesto Base'!F14</f>
        <v>5157024.79338843</v>
      </c>
      <c r="H265">
        <f>SUMIFS(Medicion!$K$6:$K$511,Medicion!$G$6:$G$511,$B265,Medicion!$A$6:$A$511,"&lt;"&amp;$A265)</f>
        <v>0</v>
      </c>
      <c r="I265">
        <f>SUMIFS(Medicion!$K$6:$K$511,Medicion!$G$6:$G$511,$B265,Medicion!$A$6:$A$511,$A265)</f>
        <v>0</v>
      </c>
      <c r="J265">
        <f t="shared" si="28"/>
        <v>0</v>
      </c>
      <c r="K265" s="77">
        <f t="shared" si="29"/>
        <v>0</v>
      </c>
      <c r="L265" s="77">
        <f t="shared" si="30"/>
        <v>0</v>
      </c>
      <c r="M265" s="77">
        <f t="shared" si="31"/>
        <v>0</v>
      </c>
      <c r="N265" s="77">
        <f t="shared" si="32"/>
        <v>5157024.79338843</v>
      </c>
      <c r="O265" s="100">
        <f t="shared" si="33"/>
        <v>0</v>
      </c>
      <c r="P265" t="str">
        <f t="shared" si="34"/>
        <v>OK</v>
      </c>
    </row>
    <row r="266" spans="1:16">
      <c r="A266">
        <v>15</v>
      </c>
      <c r="B266" t="str">
        <f>'Presupuesto Base'!A15</f>
        <v>8</v>
      </c>
      <c r="C266" t="str">
        <f>'Presupuesto Base'!B15</f>
        <v>Ejecución y compactación de capa cota -0,60</v>
      </c>
      <c r="D266" t="str">
        <f>'Presupuesto Base'!C15</f>
        <v>ml</v>
      </c>
      <c r="E266">
        <f>'Presupuesto Base'!D15</f>
        <v>4200</v>
      </c>
      <c r="F266" s="77">
        <f>'Presupuesto Base'!E15</f>
        <v>2592.1553194280468</v>
      </c>
      <c r="G266" s="77">
        <f>'Presupuesto Base'!F15</f>
        <v>10887052.341597797</v>
      </c>
      <c r="H266">
        <f>SUMIFS(Medicion!$K$6:$K$511,Medicion!$G$6:$G$511,$B266,Medicion!$A$6:$A$511,"&lt;"&amp;$A266)</f>
        <v>0</v>
      </c>
      <c r="I266">
        <f>SUMIFS(Medicion!$K$6:$K$511,Medicion!$G$6:$G$511,$B266,Medicion!$A$6:$A$511,$A266)</f>
        <v>0</v>
      </c>
      <c r="J266">
        <f t="shared" si="28"/>
        <v>0</v>
      </c>
      <c r="K266" s="77">
        <f t="shared" si="29"/>
        <v>0</v>
      </c>
      <c r="L266" s="77">
        <f t="shared" si="30"/>
        <v>0</v>
      </c>
      <c r="M266" s="77">
        <f t="shared" si="31"/>
        <v>0</v>
      </c>
      <c r="N266" s="77">
        <f t="shared" si="32"/>
        <v>10887052.341597797</v>
      </c>
      <c r="O266" s="100">
        <f t="shared" si="33"/>
        <v>0</v>
      </c>
      <c r="P266" t="str">
        <f t="shared" si="34"/>
        <v>OK</v>
      </c>
    </row>
    <row r="267" spans="1:16">
      <c r="A267">
        <v>15</v>
      </c>
      <c r="B267" t="str">
        <f>'Presupuesto Base'!A16</f>
        <v>9</v>
      </c>
      <c r="C267" t="str">
        <f>'Presupuesto Base'!B16</f>
        <v>Ejecución y compactación de capa cota -0,30</v>
      </c>
      <c r="D267" t="str">
        <f>'Presupuesto Base'!C16</f>
        <v>ml</v>
      </c>
      <c r="E267">
        <f>'Presupuesto Base'!D16</f>
        <v>4200</v>
      </c>
      <c r="F267" s="77">
        <f>'Presupuesto Base'!E16</f>
        <v>2182.8676374130923</v>
      </c>
      <c r="G267" s="77">
        <f>'Presupuesto Base'!F16</f>
        <v>9168044.0771349873</v>
      </c>
      <c r="H267">
        <f>SUMIFS(Medicion!$K$6:$K$511,Medicion!$G$6:$G$511,$B267,Medicion!$A$6:$A$511,"&lt;"&amp;$A267)</f>
        <v>0</v>
      </c>
      <c r="I267">
        <f>SUMIFS(Medicion!$K$6:$K$511,Medicion!$G$6:$G$511,$B267,Medicion!$A$6:$A$511,$A267)</f>
        <v>0</v>
      </c>
      <c r="J267">
        <f t="shared" si="28"/>
        <v>0</v>
      </c>
      <c r="K267" s="77">
        <f t="shared" si="29"/>
        <v>0</v>
      </c>
      <c r="L267" s="77">
        <f t="shared" si="30"/>
        <v>0</v>
      </c>
      <c r="M267" s="77">
        <f t="shared" si="31"/>
        <v>0</v>
      </c>
      <c r="N267" s="77">
        <f t="shared" si="32"/>
        <v>9168044.0771349873</v>
      </c>
      <c r="O267" s="100">
        <f t="shared" si="33"/>
        <v>0</v>
      </c>
      <c r="P267" t="str">
        <f t="shared" si="34"/>
        <v>OK</v>
      </c>
    </row>
    <row r="268" spans="1:16">
      <c r="A268">
        <v>15</v>
      </c>
      <c r="B268" t="str">
        <f>'Presupuesto Base'!A17</f>
        <v>10.1</v>
      </c>
      <c r="C268" t="str">
        <f>'Presupuesto Base'!B17</f>
        <v>Conexión domiciliaria sobre red Ø75</v>
      </c>
      <c r="D268" t="str">
        <f>'Presupuesto Base'!C17</f>
        <v>un</v>
      </c>
      <c r="E268">
        <f>'Presupuesto Base'!D17</f>
        <v>165</v>
      </c>
      <c r="F268" s="77">
        <f>'Presupuesto Base'!E17</f>
        <v>48618.415560564332</v>
      </c>
      <c r="G268" s="77">
        <f>'Presupuesto Base'!F17</f>
        <v>8022038.5674931146</v>
      </c>
      <c r="H268">
        <f>SUMIFS(Medicion!$K$6:$K$511,Medicion!$G$6:$G$511,$B268,Medicion!$A$6:$A$511,"&lt;"&amp;$A268)</f>
        <v>5</v>
      </c>
      <c r="I268">
        <f>SUMIFS(Medicion!$K$6:$K$511,Medicion!$G$6:$G$511,$B268,Medicion!$A$6:$A$511,$A268)</f>
        <v>0</v>
      </c>
      <c r="J268">
        <f t="shared" si="28"/>
        <v>5</v>
      </c>
      <c r="K268" s="77">
        <f t="shared" si="29"/>
        <v>243092.07780282164</v>
      </c>
      <c r="L268" s="77">
        <f t="shared" si="30"/>
        <v>0</v>
      </c>
      <c r="M268" s="77">
        <f t="shared" si="31"/>
        <v>243092.07780282164</v>
      </c>
      <c r="N268" s="77">
        <f t="shared" si="32"/>
        <v>7778946.4896902926</v>
      </c>
      <c r="O268" s="100">
        <f t="shared" si="33"/>
        <v>3.0303030303030304E-2</v>
      </c>
      <c r="P268" t="str">
        <f t="shared" si="34"/>
        <v>OK</v>
      </c>
    </row>
    <row r="269" spans="1:16">
      <c r="A269">
        <v>15</v>
      </c>
      <c r="B269" t="str">
        <f>'Presupuesto Base'!A18</f>
        <v>10.2</v>
      </c>
      <c r="C269" t="str">
        <f>'Presupuesto Base'!B18</f>
        <v>Conexión domiciliaria sobre red Ø110</v>
      </c>
      <c r="D269" t="str">
        <f>'Presupuesto Base'!C18</f>
        <v>un</v>
      </c>
      <c r="E269">
        <f>'Presupuesto Base'!D18</f>
        <v>62</v>
      </c>
      <c r="F269" s="77">
        <f>'Presupuesto Base'!E18</f>
        <v>55451.879498800321</v>
      </c>
      <c r="G269" s="77">
        <f>'Presupuesto Base'!F18</f>
        <v>3438016.52892562</v>
      </c>
      <c r="H269">
        <f>SUMIFS(Medicion!$K$6:$K$511,Medicion!$G$6:$G$511,$B269,Medicion!$A$6:$A$511,"&lt;"&amp;$A269)</f>
        <v>2</v>
      </c>
      <c r="I269">
        <f>SUMIFS(Medicion!$K$6:$K$511,Medicion!$G$6:$G$511,$B269,Medicion!$A$6:$A$511,$A269)</f>
        <v>0</v>
      </c>
      <c r="J269">
        <f t="shared" si="28"/>
        <v>2</v>
      </c>
      <c r="K269" s="77">
        <f t="shared" si="29"/>
        <v>110903.75899760064</v>
      </c>
      <c r="L269" s="77">
        <f t="shared" si="30"/>
        <v>0</v>
      </c>
      <c r="M269" s="77">
        <f t="shared" si="31"/>
        <v>110903.75899760064</v>
      </c>
      <c r="N269" s="77">
        <f t="shared" si="32"/>
        <v>3327112.7699280195</v>
      </c>
      <c r="O269" s="100">
        <f t="shared" si="33"/>
        <v>3.2258064516129031E-2</v>
      </c>
      <c r="P269" t="str">
        <f t="shared" si="34"/>
        <v>OK</v>
      </c>
    </row>
    <row r="270" spans="1:16">
      <c r="A270">
        <v>15</v>
      </c>
      <c r="B270" t="str">
        <f>'Presupuesto Base'!A19</f>
        <v>11.1</v>
      </c>
      <c r="C270" t="str">
        <f>'Presupuesto Base'!B19</f>
        <v>Válvula esclusa Ø75 completa e instalada</v>
      </c>
      <c r="D270" t="str">
        <f>'Presupuesto Base'!C19</f>
        <v>un</v>
      </c>
      <c r="E270">
        <f>'Presupuesto Base'!D19</f>
        <v>2</v>
      </c>
      <c r="F270" s="77">
        <f>'Presupuesto Base'!E19</f>
        <v>286501.37741046835</v>
      </c>
      <c r="G270" s="77">
        <f>'Presupuesto Base'!F19</f>
        <v>573002.75482093671</v>
      </c>
      <c r="H270">
        <f>SUMIFS(Medicion!$K$6:$K$511,Medicion!$G$6:$G$511,$B270,Medicion!$A$6:$A$511,"&lt;"&amp;$A270)</f>
        <v>0</v>
      </c>
      <c r="I270">
        <f>SUMIFS(Medicion!$K$6:$K$511,Medicion!$G$6:$G$511,$B270,Medicion!$A$6:$A$511,$A270)</f>
        <v>0</v>
      </c>
      <c r="J270">
        <f t="shared" si="28"/>
        <v>0</v>
      </c>
      <c r="K270" s="77">
        <f t="shared" si="29"/>
        <v>0</v>
      </c>
      <c r="L270" s="77">
        <f t="shared" si="30"/>
        <v>0</v>
      </c>
      <c r="M270" s="77">
        <f t="shared" si="31"/>
        <v>0</v>
      </c>
      <c r="N270" s="77">
        <f t="shared" si="32"/>
        <v>573002.75482093671</v>
      </c>
      <c r="O270" s="100">
        <f t="shared" si="33"/>
        <v>0</v>
      </c>
      <c r="P270" t="str">
        <f t="shared" si="34"/>
        <v>OK</v>
      </c>
    </row>
    <row r="271" spans="1:16">
      <c r="A271">
        <v>15</v>
      </c>
      <c r="B271" t="str">
        <f>'Presupuesto Base'!A20</f>
        <v>11.2</v>
      </c>
      <c r="C271" t="str">
        <f>'Presupuesto Base'!B20</f>
        <v>Válvula esclusa Ø100 completa e instalada</v>
      </c>
      <c r="D271" t="str">
        <f>'Presupuesto Base'!C20</f>
        <v>un</v>
      </c>
      <c r="E271">
        <f>'Presupuesto Base'!D20</f>
        <v>4</v>
      </c>
      <c r="F271" s="77">
        <f>'Presupuesto Base'!E20</f>
        <v>429752.0661157025</v>
      </c>
      <c r="G271" s="77">
        <f>'Presupuesto Base'!F20</f>
        <v>1719008.26446281</v>
      </c>
      <c r="H271">
        <f>SUMIFS(Medicion!$K$6:$K$511,Medicion!$G$6:$G$511,$B271,Medicion!$A$6:$A$511,"&lt;"&amp;$A271)</f>
        <v>0</v>
      </c>
      <c r="I271">
        <f>SUMIFS(Medicion!$K$6:$K$511,Medicion!$G$6:$G$511,$B271,Medicion!$A$6:$A$511,$A271)</f>
        <v>0</v>
      </c>
      <c r="J271">
        <f t="shared" si="28"/>
        <v>0</v>
      </c>
      <c r="K271" s="77">
        <f t="shared" si="29"/>
        <v>0</v>
      </c>
      <c r="L271" s="77">
        <f t="shared" si="30"/>
        <v>0</v>
      </c>
      <c r="M271" s="77">
        <f t="shared" si="31"/>
        <v>0</v>
      </c>
      <c r="N271" s="77">
        <f t="shared" si="32"/>
        <v>1719008.26446281</v>
      </c>
      <c r="O271" s="100">
        <f t="shared" si="33"/>
        <v>0</v>
      </c>
      <c r="P271" t="str">
        <f t="shared" si="34"/>
        <v>OK</v>
      </c>
    </row>
    <row r="272" spans="1:16">
      <c r="A272">
        <v>15</v>
      </c>
      <c r="B272" t="str">
        <f>'Presupuesto Base'!A21</f>
        <v>12</v>
      </c>
      <c r="C272" t="str">
        <f>'Presupuesto Base'!B21</f>
        <v>Hidrante a bola completo e instalado</v>
      </c>
      <c r="D272" t="str">
        <f>'Presupuesto Base'!C21</f>
        <v>un</v>
      </c>
      <c r="E272">
        <f>'Presupuesto Base'!D21</f>
        <v>15</v>
      </c>
      <c r="F272" s="77">
        <f>'Presupuesto Base'!E21</f>
        <v>114600.55096418734</v>
      </c>
      <c r="G272" s="77">
        <f>'Presupuesto Base'!F21</f>
        <v>1719008.26446281</v>
      </c>
      <c r="H272">
        <f>SUMIFS(Medicion!$K$6:$K$511,Medicion!$G$6:$G$511,$B272,Medicion!$A$6:$A$511,"&lt;"&amp;$A272)</f>
        <v>0</v>
      </c>
      <c r="I272">
        <f>SUMIFS(Medicion!$K$6:$K$511,Medicion!$G$6:$G$511,$B272,Medicion!$A$6:$A$511,$A272)</f>
        <v>0</v>
      </c>
      <c r="J272">
        <f t="shared" si="28"/>
        <v>0</v>
      </c>
      <c r="K272" s="77">
        <f t="shared" si="29"/>
        <v>0</v>
      </c>
      <c r="L272" s="77">
        <f t="shared" si="30"/>
        <v>0</v>
      </c>
      <c r="M272" s="77">
        <f t="shared" si="31"/>
        <v>0</v>
      </c>
      <c r="N272" s="77">
        <f t="shared" si="32"/>
        <v>1719008.26446281</v>
      </c>
      <c r="O272" s="100">
        <f t="shared" si="33"/>
        <v>0</v>
      </c>
      <c r="P272" t="str">
        <f t="shared" si="34"/>
        <v>OK</v>
      </c>
    </row>
    <row r="273" spans="1:16">
      <c r="A273">
        <v>15</v>
      </c>
      <c r="B273" t="str">
        <f>'Presupuesto Base'!A22</f>
        <v>13.1</v>
      </c>
      <c r="C273" t="str">
        <f>'Presupuesto Base'!B22</f>
        <v>Pruebas hidráulicas y operativas</v>
      </c>
      <c r="D273" t="str">
        <f>'Presupuesto Base'!C22</f>
        <v>gl</v>
      </c>
      <c r="E273">
        <f>'Presupuesto Base'!D22</f>
        <v>1</v>
      </c>
      <c r="F273" s="77">
        <f>'Presupuesto Base'!E22</f>
        <v>1719008.26446281</v>
      </c>
      <c r="G273" s="77">
        <f>'Presupuesto Base'!F22</f>
        <v>1719008.26446281</v>
      </c>
      <c r="H273">
        <f>SUMIFS(Medicion!$K$6:$K$511,Medicion!$G$6:$G$511,$B273,Medicion!$A$6:$A$511,"&lt;"&amp;$A273)</f>
        <v>0</v>
      </c>
      <c r="I273">
        <f>SUMIFS(Medicion!$K$6:$K$511,Medicion!$G$6:$G$511,$B273,Medicion!$A$6:$A$511,$A273)</f>
        <v>0</v>
      </c>
      <c r="J273">
        <f t="shared" si="28"/>
        <v>0</v>
      </c>
      <c r="K273" s="77">
        <f t="shared" si="29"/>
        <v>0</v>
      </c>
      <c r="L273" s="77">
        <f t="shared" si="30"/>
        <v>0</v>
      </c>
      <c r="M273" s="77">
        <f t="shared" si="31"/>
        <v>0</v>
      </c>
      <c r="N273" s="77">
        <f t="shared" si="32"/>
        <v>1719008.26446281</v>
      </c>
      <c r="O273" s="100">
        <f t="shared" si="33"/>
        <v>0</v>
      </c>
      <c r="P273" t="str">
        <f t="shared" si="34"/>
        <v>OK</v>
      </c>
    </row>
    <row r="274" spans="1:16">
      <c r="A274">
        <v>15</v>
      </c>
      <c r="B274" t="str">
        <f>'Presupuesto Base'!A23</f>
        <v>13.2</v>
      </c>
      <c r="C274" t="str">
        <f>'Presupuesto Base'!B23</f>
        <v>Terminaciones y acondicionamiento final</v>
      </c>
      <c r="D274" t="str">
        <f>'Presupuesto Base'!C23</f>
        <v>gl</v>
      </c>
      <c r="E274">
        <f>'Presupuesto Base'!D23</f>
        <v>1</v>
      </c>
      <c r="F274" s="77">
        <f>'Presupuesto Base'!E23</f>
        <v>1146005.5096418734</v>
      </c>
      <c r="G274" s="77">
        <f>'Presupuesto Base'!F23</f>
        <v>1146005.5096418734</v>
      </c>
      <c r="H274">
        <f>SUMIFS(Medicion!$K$6:$K$511,Medicion!$G$6:$G$511,$B274,Medicion!$A$6:$A$511,"&lt;"&amp;$A274)</f>
        <v>0</v>
      </c>
      <c r="I274">
        <f>SUMIFS(Medicion!$K$6:$K$511,Medicion!$G$6:$G$511,$B274,Medicion!$A$6:$A$511,$A274)</f>
        <v>0</v>
      </c>
      <c r="J274">
        <f t="shared" si="28"/>
        <v>0</v>
      </c>
      <c r="K274" s="77">
        <f t="shared" si="29"/>
        <v>0</v>
      </c>
      <c r="L274" s="77">
        <f t="shared" si="30"/>
        <v>0</v>
      </c>
      <c r="M274" s="77">
        <f t="shared" si="31"/>
        <v>0</v>
      </c>
      <c r="N274" s="77">
        <f t="shared" si="32"/>
        <v>1146005.5096418734</v>
      </c>
      <c r="O274" s="100">
        <f t="shared" si="33"/>
        <v>0</v>
      </c>
      <c r="P274" t="str">
        <f t="shared" si="34"/>
        <v>OK</v>
      </c>
    </row>
    <row r="275" spans="1:16">
      <c r="A275">
        <v>15</v>
      </c>
      <c r="B275" t="str">
        <f>'Presupuesto Base'!A24</f>
        <v>13.3</v>
      </c>
      <c r="C275" t="str">
        <f>'Presupuesto Base'!B24</f>
        <v>Documentación conforme a obra y cierre</v>
      </c>
      <c r="D275" t="str">
        <f>'Presupuesto Base'!C24</f>
        <v>gl</v>
      </c>
      <c r="E275">
        <f>'Presupuesto Base'!D24</f>
        <v>1</v>
      </c>
      <c r="F275" s="77">
        <f>'Presupuesto Base'!E24</f>
        <v>859504.132231405</v>
      </c>
      <c r="G275" s="77">
        <f>'Presupuesto Base'!F24</f>
        <v>859504.132231405</v>
      </c>
      <c r="H275">
        <f>SUMIFS(Medicion!$K$6:$K$511,Medicion!$G$6:$G$511,$B275,Medicion!$A$6:$A$511,"&lt;"&amp;$A275)</f>
        <v>0</v>
      </c>
      <c r="I275">
        <f>SUMIFS(Medicion!$K$6:$K$511,Medicion!$G$6:$G$511,$B275,Medicion!$A$6:$A$511,$A275)</f>
        <v>0</v>
      </c>
      <c r="J275">
        <f t="shared" si="28"/>
        <v>0</v>
      </c>
      <c r="K275" s="77">
        <f t="shared" si="29"/>
        <v>0</v>
      </c>
      <c r="L275" s="77">
        <f t="shared" si="30"/>
        <v>0</v>
      </c>
      <c r="M275" s="77">
        <f t="shared" si="31"/>
        <v>0</v>
      </c>
      <c r="N275" s="77">
        <f t="shared" si="32"/>
        <v>859504.132231405</v>
      </c>
      <c r="O275" s="100">
        <f t="shared" si="33"/>
        <v>0</v>
      </c>
      <c r="P275" t="str">
        <f t="shared" si="34"/>
        <v>OK</v>
      </c>
    </row>
    <row r="276" spans="1:16">
      <c r="A276">
        <v>16</v>
      </c>
      <c r="B276" t="str">
        <f>'Presupuesto Base'!A7</f>
        <v>1</v>
      </c>
      <c r="C276" t="str">
        <f>'Presupuesto Base'!B7</f>
        <v>Replanteo y marcación de traza</v>
      </c>
      <c r="D276" t="str">
        <f>'Presupuesto Base'!C7</f>
        <v>ml</v>
      </c>
      <c r="E276">
        <f>'Presupuesto Base'!D7</f>
        <v>4200</v>
      </c>
      <c r="F276" s="77">
        <f>'Presupuesto Base'!E7</f>
        <v>204.64384100747739</v>
      </c>
      <c r="G276" s="77">
        <f>'Presupuesto Base'!F7</f>
        <v>859504.132231405</v>
      </c>
      <c r="H276">
        <f>SUMIFS(Medicion!$K$6:$K$511,Medicion!$G$6:$G$511,$B276,Medicion!$A$6:$A$511,"&lt;"&amp;$A276)</f>
        <v>845</v>
      </c>
      <c r="I276">
        <f>SUMIFS(Medicion!$K$6:$K$511,Medicion!$G$6:$G$511,$B276,Medicion!$A$6:$A$511,$A276)</f>
        <v>0</v>
      </c>
      <c r="J276">
        <f t="shared" si="28"/>
        <v>845</v>
      </c>
      <c r="K276" s="77">
        <f t="shared" si="29"/>
        <v>172924.04565131839</v>
      </c>
      <c r="L276" s="77">
        <f t="shared" si="30"/>
        <v>0</v>
      </c>
      <c r="M276" s="77">
        <f t="shared" si="31"/>
        <v>172924.04565131839</v>
      </c>
      <c r="N276" s="77">
        <f t="shared" si="32"/>
        <v>686580.08658008662</v>
      </c>
      <c r="O276" s="100">
        <f t="shared" si="33"/>
        <v>0.2011904761904762</v>
      </c>
      <c r="P276" t="str">
        <f t="shared" si="34"/>
        <v>OK</v>
      </c>
    </row>
    <row r="277" spans="1:16">
      <c r="A277">
        <v>16</v>
      </c>
      <c r="B277" t="str">
        <f>'Presupuesto Base'!A8</f>
        <v>2</v>
      </c>
      <c r="C277" t="str">
        <f>'Presupuesto Base'!B8</f>
        <v>Excavación de zanja</v>
      </c>
      <c r="D277" t="str">
        <f>'Presupuesto Base'!C8</f>
        <v>ml</v>
      </c>
      <c r="E277">
        <f>'Presupuesto Base'!D8</f>
        <v>4200</v>
      </c>
      <c r="F277" s="77">
        <f>'Presupuesto Base'!E8</f>
        <v>3683.5891381345932</v>
      </c>
      <c r="G277" s="77">
        <f>'Presupuesto Base'!F8</f>
        <v>15471074.380165292</v>
      </c>
      <c r="H277">
        <f>SUMIFS(Medicion!$K$6:$K$511,Medicion!$G$6:$G$511,$B277,Medicion!$A$6:$A$511,"&lt;"&amp;$A277)</f>
        <v>845</v>
      </c>
      <c r="I277">
        <f>SUMIFS(Medicion!$K$6:$K$511,Medicion!$G$6:$G$511,$B277,Medicion!$A$6:$A$511,$A277)</f>
        <v>0</v>
      </c>
      <c r="J277">
        <f t="shared" si="28"/>
        <v>845</v>
      </c>
      <c r="K277" s="77">
        <f t="shared" si="29"/>
        <v>3112632.8217237312</v>
      </c>
      <c r="L277" s="77">
        <f t="shared" si="30"/>
        <v>0</v>
      </c>
      <c r="M277" s="77">
        <f t="shared" si="31"/>
        <v>3112632.8217237312</v>
      </c>
      <c r="N277" s="77">
        <f t="shared" si="32"/>
        <v>12358441.558441561</v>
      </c>
      <c r="O277" s="100">
        <f t="shared" si="33"/>
        <v>0.2011904761904762</v>
      </c>
      <c r="P277" t="str">
        <f t="shared" si="34"/>
        <v>OK</v>
      </c>
    </row>
    <row r="278" spans="1:16">
      <c r="A278">
        <v>16</v>
      </c>
      <c r="B278" t="str">
        <f>'Presupuesto Base'!A9</f>
        <v>3</v>
      </c>
      <c r="C278" t="str">
        <f>'Presupuesto Base'!B9</f>
        <v>Nivelación y conformación del fondo de zanja</v>
      </c>
      <c r="D278" t="str">
        <f>'Presupuesto Base'!C9</f>
        <v>ml</v>
      </c>
      <c r="E278">
        <f>'Presupuesto Base'!D9</f>
        <v>4200</v>
      </c>
      <c r="F278" s="77">
        <f>'Presupuesto Base'!E9</f>
        <v>477.50229568411396</v>
      </c>
      <c r="G278" s="77">
        <f>'Presupuesto Base'!F9</f>
        <v>2005509.6418732787</v>
      </c>
      <c r="H278">
        <f>SUMIFS(Medicion!$K$6:$K$511,Medicion!$G$6:$G$511,$B278,Medicion!$A$6:$A$511,"&lt;"&amp;$A278)</f>
        <v>845</v>
      </c>
      <c r="I278">
        <f>SUMIFS(Medicion!$K$6:$K$511,Medicion!$G$6:$G$511,$B278,Medicion!$A$6:$A$511,$A278)</f>
        <v>0</v>
      </c>
      <c r="J278">
        <f t="shared" si="28"/>
        <v>845</v>
      </c>
      <c r="K278" s="77">
        <f t="shared" si="29"/>
        <v>403489.4398530763</v>
      </c>
      <c r="L278" s="77">
        <f t="shared" si="30"/>
        <v>0</v>
      </c>
      <c r="M278" s="77">
        <f t="shared" si="31"/>
        <v>403489.4398530763</v>
      </c>
      <c r="N278" s="77">
        <f t="shared" si="32"/>
        <v>1602020.2020202023</v>
      </c>
      <c r="O278" s="100">
        <f t="shared" si="33"/>
        <v>0.2011904761904762</v>
      </c>
      <c r="P278" t="str">
        <f t="shared" si="34"/>
        <v>OK</v>
      </c>
    </row>
    <row r="279" spans="1:16">
      <c r="A279">
        <v>16</v>
      </c>
      <c r="B279" t="str">
        <f>'Presupuesto Base'!A10</f>
        <v>4</v>
      </c>
      <c r="C279" t="str">
        <f>'Presupuesto Base'!B10</f>
        <v>Cama de asiento compactada</v>
      </c>
      <c r="D279" t="str">
        <f>'Presupuesto Base'!C10</f>
        <v>ml</v>
      </c>
      <c r="E279">
        <f>'Presupuesto Base'!D10</f>
        <v>4200</v>
      </c>
      <c r="F279" s="77">
        <f>'Presupuesto Base'!E10</f>
        <v>1705.3653417289784</v>
      </c>
      <c r="G279" s="77">
        <f>'Presupuesto Base'!F10</f>
        <v>7162534.4352617087</v>
      </c>
      <c r="H279">
        <f>SUMIFS(Medicion!$K$6:$K$511,Medicion!$G$6:$G$511,$B279,Medicion!$A$6:$A$511,"&lt;"&amp;$A279)</f>
        <v>845</v>
      </c>
      <c r="I279">
        <f>SUMIFS(Medicion!$K$6:$K$511,Medicion!$G$6:$G$511,$B279,Medicion!$A$6:$A$511,$A279)</f>
        <v>0</v>
      </c>
      <c r="J279">
        <f t="shared" si="28"/>
        <v>845</v>
      </c>
      <c r="K279" s="77">
        <f t="shared" si="29"/>
        <v>1441033.7137609867</v>
      </c>
      <c r="L279" s="77">
        <f t="shared" si="30"/>
        <v>0</v>
      </c>
      <c r="M279" s="77">
        <f t="shared" si="31"/>
        <v>1441033.7137609867</v>
      </c>
      <c r="N279" s="77">
        <f t="shared" si="32"/>
        <v>5721500.7215007218</v>
      </c>
      <c r="O279" s="100">
        <f t="shared" si="33"/>
        <v>0.2011904761904762</v>
      </c>
      <c r="P279" t="str">
        <f t="shared" si="34"/>
        <v>OK</v>
      </c>
    </row>
    <row r="280" spans="1:16">
      <c r="A280">
        <v>16</v>
      </c>
      <c r="B280" t="str">
        <f>'Presupuesto Base'!A11</f>
        <v>5.1</v>
      </c>
      <c r="C280" t="str">
        <f>'Presupuesto Base'!B11</f>
        <v>PEAD PN10 Ø75 – provisión e instalación</v>
      </c>
      <c r="D280" t="str">
        <f>'Presupuesto Base'!C11</f>
        <v>ml</v>
      </c>
      <c r="E280">
        <f>'Presupuesto Base'!D11</f>
        <v>3170</v>
      </c>
      <c r="F280" s="77">
        <f>'Presupuesto Base'!E11</f>
        <v>5784.2549382555126</v>
      </c>
      <c r="G280" s="77">
        <f>'Presupuesto Base'!F11</f>
        <v>18336088.154269975</v>
      </c>
      <c r="H280">
        <f>SUMIFS(Medicion!$K$6:$K$511,Medicion!$G$6:$G$511,$B280,Medicion!$A$6:$A$511,"&lt;"&amp;$A280)</f>
        <v>558</v>
      </c>
      <c r="I280">
        <f>SUMIFS(Medicion!$K$6:$K$511,Medicion!$G$6:$G$511,$B280,Medicion!$A$6:$A$511,$A280)</f>
        <v>0</v>
      </c>
      <c r="J280">
        <f t="shared" si="28"/>
        <v>558</v>
      </c>
      <c r="K280" s="77">
        <f t="shared" si="29"/>
        <v>3227614.2555465759</v>
      </c>
      <c r="L280" s="77">
        <f t="shared" si="30"/>
        <v>0</v>
      </c>
      <c r="M280" s="77">
        <f t="shared" si="31"/>
        <v>3227614.2555465759</v>
      </c>
      <c r="N280" s="77">
        <f t="shared" si="32"/>
        <v>15108473.898723399</v>
      </c>
      <c r="O280" s="100">
        <f t="shared" si="33"/>
        <v>0.17602523659305994</v>
      </c>
      <c r="P280" t="str">
        <f t="shared" si="34"/>
        <v>OK</v>
      </c>
    </row>
    <row r="281" spans="1:16">
      <c r="A281">
        <v>16</v>
      </c>
      <c r="B281" t="str">
        <f>'Presupuesto Base'!A12</f>
        <v>5.2</v>
      </c>
      <c r="C281" t="str">
        <f>'Presupuesto Base'!B12</f>
        <v>PEAD PN10 Ø110 – provisión e instalación</v>
      </c>
      <c r="D281" t="str">
        <f>'Presupuesto Base'!C12</f>
        <v>ml</v>
      </c>
      <c r="E281">
        <f>'Presupuesto Base'!D12</f>
        <v>1030</v>
      </c>
      <c r="F281" s="77">
        <f>'Presupuesto Base'!E12</f>
        <v>12238.893792291852</v>
      </c>
      <c r="G281" s="77">
        <f>'Presupuesto Base'!F12</f>
        <v>12606060.606060607</v>
      </c>
      <c r="H281">
        <f>SUMIFS(Medicion!$K$6:$K$511,Medicion!$G$6:$G$511,$B281,Medicion!$A$6:$A$511,"&lt;"&amp;$A281)</f>
        <v>287</v>
      </c>
      <c r="I281">
        <f>SUMIFS(Medicion!$K$6:$K$511,Medicion!$G$6:$G$511,$B281,Medicion!$A$6:$A$511,$A281)</f>
        <v>0</v>
      </c>
      <c r="J281">
        <f t="shared" si="28"/>
        <v>287</v>
      </c>
      <c r="K281" s="77">
        <f t="shared" si="29"/>
        <v>3512562.5183877614</v>
      </c>
      <c r="L281" s="77">
        <f t="shared" si="30"/>
        <v>0</v>
      </c>
      <c r="M281" s="77">
        <f t="shared" si="31"/>
        <v>3512562.5183877614</v>
      </c>
      <c r="N281" s="77">
        <f t="shared" si="32"/>
        <v>9093498.0876728464</v>
      </c>
      <c r="O281" s="100">
        <f t="shared" si="33"/>
        <v>0.27864077669902915</v>
      </c>
      <c r="P281" t="str">
        <f t="shared" si="34"/>
        <v>OK</v>
      </c>
    </row>
    <row r="282" spans="1:16">
      <c r="A282">
        <v>16</v>
      </c>
      <c r="B282" t="str">
        <f>'Presupuesto Base'!A13</f>
        <v>6</v>
      </c>
      <c r="C282" t="str">
        <f>'Presupuesto Base'!B13</f>
        <v>Ejecución de paquete estructural de 30 cm</v>
      </c>
      <c r="D282" t="str">
        <f>'Presupuesto Base'!C13</f>
        <v>ml</v>
      </c>
      <c r="E282">
        <f>'Presupuesto Base'!D13</f>
        <v>4200</v>
      </c>
      <c r="F282" s="77">
        <f>'Presupuesto Base'!E13</f>
        <v>3274.3014561196383</v>
      </c>
      <c r="G282" s="77">
        <f>'Presupuesto Base'!F13</f>
        <v>13752066.11570248</v>
      </c>
      <c r="H282">
        <f>SUMIFS(Medicion!$K$6:$K$511,Medicion!$G$6:$G$511,$B282,Medicion!$A$6:$A$511,"&lt;"&amp;$A282)</f>
        <v>763</v>
      </c>
      <c r="I282">
        <f>SUMIFS(Medicion!$K$6:$K$511,Medicion!$G$6:$G$511,$B282,Medicion!$A$6:$A$511,$A282)</f>
        <v>0</v>
      </c>
      <c r="J282">
        <f t="shared" si="28"/>
        <v>763</v>
      </c>
      <c r="K282" s="77">
        <f t="shared" si="29"/>
        <v>2498292.0110192839</v>
      </c>
      <c r="L282" s="77">
        <f t="shared" si="30"/>
        <v>0</v>
      </c>
      <c r="M282" s="77">
        <f t="shared" si="31"/>
        <v>2498292.0110192839</v>
      </c>
      <c r="N282" s="77">
        <f t="shared" si="32"/>
        <v>11253774.104683196</v>
      </c>
      <c r="O282" s="100">
        <f t="shared" si="33"/>
        <v>0.18166666666666667</v>
      </c>
      <c r="P282" t="str">
        <f t="shared" si="34"/>
        <v>OK</v>
      </c>
    </row>
    <row r="283" spans="1:16">
      <c r="A283">
        <v>16</v>
      </c>
      <c r="B283" t="str">
        <f>'Presupuesto Base'!A14</f>
        <v>7</v>
      </c>
      <c r="C283" t="str">
        <f>'Presupuesto Base'!B14</f>
        <v>Compactación del paquete estructural de 30 cm</v>
      </c>
      <c r="D283" t="str">
        <f>'Presupuesto Base'!C14</f>
        <v>ml</v>
      </c>
      <c r="E283">
        <f>'Presupuesto Base'!D14</f>
        <v>4200</v>
      </c>
      <c r="F283" s="77">
        <f>'Presupuesto Base'!E14</f>
        <v>1227.8630460448644</v>
      </c>
      <c r="G283" s="77">
        <f>'Presupuesto Base'!F14</f>
        <v>5157024.79338843</v>
      </c>
      <c r="H283">
        <f>SUMIFS(Medicion!$K$6:$K$511,Medicion!$G$6:$G$511,$B283,Medicion!$A$6:$A$511,"&lt;"&amp;$A283)</f>
        <v>0</v>
      </c>
      <c r="I283">
        <f>SUMIFS(Medicion!$K$6:$K$511,Medicion!$G$6:$G$511,$B283,Medicion!$A$6:$A$511,$A283)</f>
        <v>0</v>
      </c>
      <c r="J283">
        <f t="shared" si="28"/>
        <v>0</v>
      </c>
      <c r="K283" s="77">
        <f t="shared" si="29"/>
        <v>0</v>
      </c>
      <c r="L283" s="77">
        <f t="shared" si="30"/>
        <v>0</v>
      </c>
      <c r="M283" s="77">
        <f t="shared" si="31"/>
        <v>0</v>
      </c>
      <c r="N283" s="77">
        <f t="shared" si="32"/>
        <v>5157024.79338843</v>
      </c>
      <c r="O283" s="100">
        <f t="shared" si="33"/>
        <v>0</v>
      </c>
      <c r="P283" t="str">
        <f t="shared" si="34"/>
        <v>OK</v>
      </c>
    </row>
    <row r="284" spans="1:16">
      <c r="A284">
        <v>16</v>
      </c>
      <c r="B284" t="str">
        <f>'Presupuesto Base'!A15</f>
        <v>8</v>
      </c>
      <c r="C284" t="str">
        <f>'Presupuesto Base'!B15</f>
        <v>Ejecución y compactación de capa cota -0,60</v>
      </c>
      <c r="D284" t="str">
        <f>'Presupuesto Base'!C15</f>
        <v>ml</v>
      </c>
      <c r="E284">
        <f>'Presupuesto Base'!D15</f>
        <v>4200</v>
      </c>
      <c r="F284" s="77">
        <f>'Presupuesto Base'!E15</f>
        <v>2592.1553194280468</v>
      </c>
      <c r="G284" s="77">
        <f>'Presupuesto Base'!F15</f>
        <v>10887052.341597797</v>
      </c>
      <c r="H284">
        <f>SUMIFS(Medicion!$K$6:$K$511,Medicion!$G$6:$G$511,$B284,Medicion!$A$6:$A$511,"&lt;"&amp;$A284)</f>
        <v>0</v>
      </c>
      <c r="I284">
        <f>SUMIFS(Medicion!$K$6:$K$511,Medicion!$G$6:$G$511,$B284,Medicion!$A$6:$A$511,$A284)</f>
        <v>0</v>
      </c>
      <c r="J284">
        <f t="shared" si="28"/>
        <v>0</v>
      </c>
      <c r="K284" s="77">
        <f t="shared" si="29"/>
        <v>0</v>
      </c>
      <c r="L284" s="77">
        <f t="shared" si="30"/>
        <v>0</v>
      </c>
      <c r="M284" s="77">
        <f t="shared" si="31"/>
        <v>0</v>
      </c>
      <c r="N284" s="77">
        <f t="shared" si="32"/>
        <v>10887052.341597797</v>
      </c>
      <c r="O284" s="100">
        <f t="shared" si="33"/>
        <v>0</v>
      </c>
      <c r="P284" t="str">
        <f t="shared" si="34"/>
        <v>OK</v>
      </c>
    </row>
    <row r="285" spans="1:16">
      <c r="A285">
        <v>16</v>
      </c>
      <c r="B285" t="str">
        <f>'Presupuesto Base'!A16</f>
        <v>9</v>
      </c>
      <c r="C285" t="str">
        <f>'Presupuesto Base'!B16</f>
        <v>Ejecución y compactación de capa cota -0,30</v>
      </c>
      <c r="D285" t="str">
        <f>'Presupuesto Base'!C16</f>
        <v>ml</v>
      </c>
      <c r="E285">
        <f>'Presupuesto Base'!D16</f>
        <v>4200</v>
      </c>
      <c r="F285" s="77">
        <f>'Presupuesto Base'!E16</f>
        <v>2182.8676374130923</v>
      </c>
      <c r="G285" s="77">
        <f>'Presupuesto Base'!F16</f>
        <v>9168044.0771349873</v>
      </c>
      <c r="H285">
        <f>SUMIFS(Medicion!$K$6:$K$511,Medicion!$G$6:$G$511,$B285,Medicion!$A$6:$A$511,"&lt;"&amp;$A285)</f>
        <v>0</v>
      </c>
      <c r="I285">
        <f>SUMIFS(Medicion!$K$6:$K$511,Medicion!$G$6:$G$511,$B285,Medicion!$A$6:$A$511,$A285)</f>
        <v>0</v>
      </c>
      <c r="J285">
        <f t="shared" si="28"/>
        <v>0</v>
      </c>
      <c r="K285" s="77">
        <f t="shared" si="29"/>
        <v>0</v>
      </c>
      <c r="L285" s="77">
        <f t="shared" si="30"/>
        <v>0</v>
      </c>
      <c r="M285" s="77">
        <f t="shared" si="31"/>
        <v>0</v>
      </c>
      <c r="N285" s="77">
        <f t="shared" si="32"/>
        <v>9168044.0771349873</v>
      </c>
      <c r="O285" s="100">
        <f t="shared" si="33"/>
        <v>0</v>
      </c>
      <c r="P285" t="str">
        <f t="shared" si="34"/>
        <v>OK</v>
      </c>
    </row>
    <row r="286" spans="1:16">
      <c r="A286">
        <v>16</v>
      </c>
      <c r="B286" t="str">
        <f>'Presupuesto Base'!A17</f>
        <v>10.1</v>
      </c>
      <c r="C286" t="str">
        <f>'Presupuesto Base'!B17</f>
        <v>Conexión domiciliaria sobre red Ø75</v>
      </c>
      <c r="D286" t="str">
        <f>'Presupuesto Base'!C17</f>
        <v>un</v>
      </c>
      <c r="E286">
        <f>'Presupuesto Base'!D17</f>
        <v>165</v>
      </c>
      <c r="F286" s="77">
        <f>'Presupuesto Base'!E17</f>
        <v>48618.415560564332</v>
      </c>
      <c r="G286" s="77">
        <f>'Presupuesto Base'!F17</f>
        <v>8022038.5674931146</v>
      </c>
      <c r="H286">
        <f>SUMIFS(Medicion!$K$6:$K$511,Medicion!$G$6:$G$511,$B286,Medicion!$A$6:$A$511,"&lt;"&amp;$A286)</f>
        <v>5</v>
      </c>
      <c r="I286">
        <f>SUMIFS(Medicion!$K$6:$K$511,Medicion!$G$6:$G$511,$B286,Medicion!$A$6:$A$511,$A286)</f>
        <v>0</v>
      </c>
      <c r="J286">
        <f t="shared" si="28"/>
        <v>5</v>
      </c>
      <c r="K286" s="77">
        <f t="shared" si="29"/>
        <v>243092.07780282164</v>
      </c>
      <c r="L286" s="77">
        <f t="shared" si="30"/>
        <v>0</v>
      </c>
      <c r="M286" s="77">
        <f t="shared" si="31"/>
        <v>243092.07780282164</v>
      </c>
      <c r="N286" s="77">
        <f t="shared" si="32"/>
        <v>7778946.4896902926</v>
      </c>
      <c r="O286" s="100">
        <f t="shared" si="33"/>
        <v>3.0303030303030304E-2</v>
      </c>
      <c r="P286" t="str">
        <f t="shared" si="34"/>
        <v>OK</v>
      </c>
    </row>
    <row r="287" spans="1:16">
      <c r="A287">
        <v>16</v>
      </c>
      <c r="B287" t="str">
        <f>'Presupuesto Base'!A18</f>
        <v>10.2</v>
      </c>
      <c r="C287" t="str">
        <f>'Presupuesto Base'!B18</f>
        <v>Conexión domiciliaria sobre red Ø110</v>
      </c>
      <c r="D287" t="str">
        <f>'Presupuesto Base'!C18</f>
        <v>un</v>
      </c>
      <c r="E287">
        <f>'Presupuesto Base'!D18</f>
        <v>62</v>
      </c>
      <c r="F287" s="77">
        <f>'Presupuesto Base'!E18</f>
        <v>55451.879498800321</v>
      </c>
      <c r="G287" s="77">
        <f>'Presupuesto Base'!F18</f>
        <v>3438016.52892562</v>
      </c>
      <c r="H287">
        <f>SUMIFS(Medicion!$K$6:$K$511,Medicion!$G$6:$G$511,$B287,Medicion!$A$6:$A$511,"&lt;"&amp;$A287)</f>
        <v>2</v>
      </c>
      <c r="I287">
        <f>SUMIFS(Medicion!$K$6:$K$511,Medicion!$G$6:$G$511,$B287,Medicion!$A$6:$A$511,$A287)</f>
        <v>0</v>
      </c>
      <c r="J287">
        <f t="shared" si="28"/>
        <v>2</v>
      </c>
      <c r="K287" s="77">
        <f t="shared" si="29"/>
        <v>110903.75899760064</v>
      </c>
      <c r="L287" s="77">
        <f t="shared" si="30"/>
        <v>0</v>
      </c>
      <c r="M287" s="77">
        <f t="shared" si="31"/>
        <v>110903.75899760064</v>
      </c>
      <c r="N287" s="77">
        <f t="shared" si="32"/>
        <v>3327112.7699280195</v>
      </c>
      <c r="O287" s="100">
        <f t="shared" si="33"/>
        <v>3.2258064516129031E-2</v>
      </c>
      <c r="P287" t="str">
        <f t="shared" si="34"/>
        <v>OK</v>
      </c>
    </row>
    <row r="288" spans="1:16">
      <c r="A288">
        <v>16</v>
      </c>
      <c r="B288" t="str">
        <f>'Presupuesto Base'!A19</f>
        <v>11.1</v>
      </c>
      <c r="C288" t="str">
        <f>'Presupuesto Base'!B19</f>
        <v>Válvula esclusa Ø75 completa e instalada</v>
      </c>
      <c r="D288" t="str">
        <f>'Presupuesto Base'!C19</f>
        <v>un</v>
      </c>
      <c r="E288">
        <f>'Presupuesto Base'!D19</f>
        <v>2</v>
      </c>
      <c r="F288" s="77">
        <f>'Presupuesto Base'!E19</f>
        <v>286501.37741046835</v>
      </c>
      <c r="G288" s="77">
        <f>'Presupuesto Base'!F19</f>
        <v>573002.75482093671</v>
      </c>
      <c r="H288">
        <f>SUMIFS(Medicion!$K$6:$K$511,Medicion!$G$6:$G$511,$B288,Medicion!$A$6:$A$511,"&lt;"&amp;$A288)</f>
        <v>0</v>
      </c>
      <c r="I288">
        <f>SUMIFS(Medicion!$K$6:$K$511,Medicion!$G$6:$G$511,$B288,Medicion!$A$6:$A$511,$A288)</f>
        <v>0</v>
      </c>
      <c r="J288">
        <f t="shared" si="28"/>
        <v>0</v>
      </c>
      <c r="K288" s="77">
        <f t="shared" si="29"/>
        <v>0</v>
      </c>
      <c r="L288" s="77">
        <f t="shared" si="30"/>
        <v>0</v>
      </c>
      <c r="M288" s="77">
        <f t="shared" si="31"/>
        <v>0</v>
      </c>
      <c r="N288" s="77">
        <f t="shared" si="32"/>
        <v>573002.75482093671</v>
      </c>
      <c r="O288" s="100">
        <f t="shared" si="33"/>
        <v>0</v>
      </c>
      <c r="P288" t="str">
        <f t="shared" si="34"/>
        <v>OK</v>
      </c>
    </row>
    <row r="289" spans="1:16">
      <c r="A289">
        <v>16</v>
      </c>
      <c r="B289" t="str">
        <f>'Presupuesto Base'!A20</f>
        <v>11.2</v>
      </c>
      <c r="C289" t="str">
        <f>'Presupuesto Base'!B20</f>
        <v>Válvula esclusa Ø100 completa e instalada</v>
      </c>
      <c r="D289" t="str">
        <f>'Presupuesto Base'!C20</f>
        <v>un</v>
      </c>
      <c r="E289">
        <f>'Presupuesto Base'!D20</f>
        <v>4</v>
      </c>
      <c r="F289" s="77">
        <f>'Presupuesto Base'!E20</f>
        <v>429752.0661157025</v>
      </c>
      <c r="G289" s="77">
        <f>'Presupuesto Base'!F20</f>
        <v>1719008.26446281</v>
      </c>
      <c r="H289">
        <f>SUMIFS(Medicion!$K$6:$K$511,Medicion!$G$6:$G$511,$B289,Medicion!$A$6:$A$511,"&lt;"&amp;$A289)</f>
        <v>0</v>
      </c>
      <c r="I289">
        <f>SUMIFS(Medicion!$K$6:$K$511,Medicion!$G$6:$G$511,$B289,Medicion!$A$6:$A$511,$A289)</f>
        <v>0</v>
      </c>
      <c r="J289">
        <f t="shared" si="28"/>
        <v>0</v>
      </c>
      <c r="K289" s="77">
        <f t="shared" si="29"/>
        <v>0</v>
      </c>
      <c r="L289" s="77">
        <f t="shared" si="30"/>
        <v>0</v>
      </c>
      <c r="M289" s="77">
        <f t="shared" si="31"/>
        <v>0</v>
      </c>
      <c r="N289" s="77">
        <f t="shared" si="32"/>
        <v>1719008.26446281</v>
      </c>
      <c r="O289" s="100">
        <f t="shared" si="33"/>
        <v>0</v>
      </c>
      <c r="P289" t="str">
        <f t="shared" si="34"/>
        <v>OK</v>
      </c>
    </row>
    <row r="290" spans="1:16">
      <c r="A290">
        <v>16</v>
      </c>
      <c r="B290" t="str">
        <f>'Presupuesto Base'!A21</f>
        <v>12</v>
      </c>
      <c r="C290" t="str">
        <f>'Presupuesto Base'!B21</f>
        <v>Hidrante a bola completo e instalado</v>
      </c>
      <c r="D290" t="str">
        <f>'Presupuesto Base'!C21</f>
        <v>un</v>
      </c>
      <c r="E290">
        <f>'Presupuesto Base'!D21</f>
        <v>15</v>
      </c>
      <c r="F290" s="77">
        <f>'Presupuesto Base'!E21</f>
        <v>114600.55096418734</v>
      </c>
      <c r="G290" s="77">
        <f>'Presupuesto Base'!F21</f>
        <v>1719008.26446281</v>
      </c>
      <c r="H290">
        <f>SUMIFS(Medicion!$K$6:$K$511,Medicion!$G$6:$G$511,$B290,Medicion!$A$6:$A$511,"&lt;"&amp;$A290)</f>
        <v>0</v>
      </c>
      <c r="I290">
        <f>SUMIFS(Medicion!$K$6:$K$511,Medicion!$G$6:$G$511,$B290,Medicion!$A$6:$A$511,$A290)</f>
        <v>0</v>
      </c>
      <c r="J290">
        <f t="shared" si="28"/>
        <v>0</v>
      </c>
      <c r="K290" s="77">
        <f t="shared" si="29"/>
        <v>0</v>
      </c>
      <c r="L290" s="77">
        <f t="shared" si="30"/>
        <v>0</v>
      </c>
      <c r="M290" s="77">
        <f t="shared" si="31"/>
        <v>0</v>
      </c>
      <c r="N290" s="77">
        <f t="shared" si="32"/>
        <v>1719008.26446281</v>
      </c>
      <c r="O290" s="100">
        <f t="shared" si="33"/>
        <v>0</v>
      </c>
      <c r="P290" t="str">
        <f t="shared" si="34"/>
        <v>OK</v>
      </c>
    </row>
    <row r="291" spans="1:16">
      <c r="A291">
        <v>16</v>
      </c>
      <c r="B291" t="str">
        <f>'Presupuesto Base'!A22</f>
        <v>13.1</v>
      </c>
      <c r="C291" t="str">
        <f>'Presupuesto Base'!B22</f>
        <v>Pruebas hidráulicas y operativas</v>
      </c>
      <c r="D291" t="str">
        <f>'Presupuesto Base'!C22</f>
        <v>gl</v>
      </c>
      <c r="E291">
        <f>'Presupuesto Base'!D22</f>
        <v>1</v>
      </c>
      <c r="F291" s="77">
        <f>'Presupuesto Base'!E22</f>
        <v>1719008.26446281</v>
      </c>
      <c r="G291" s="77">
        <f>'Presupuesto Base'!F22</f>
        <v>1719008.26446281</v>
      </c>
      <c r="H291">
        <f>SUMIFS(Medicion!$K$6:$K$511,Medicion!$G$6:$G$511,$B291,Medicion!$A$6:$A$511,"&lt;"&amp;$A291)</f>
        <v>0</v>
      </c>
      <c r="I291">
        <f>SUMIFS(Medicion!$K$6:$K$511,Medicion!$G$6:$G$511,$B291,Medicion!$A$6:$A$511,$A291)</f>
        <v>0</v>
      </c>
      <c r="J291">
        <f t="shared" si="28"/>
        <v>0</v>
      </c>
      <c r="K291" s="77">
        <f t="shared" si="29"/>
        <v>0</v>
      </c>
      <c r="L291" s="77">
        <f t="shared" si="30"/>
        <v>0</v>
      </c>
      <c r="M291" s="77">
        <f t="shared" si="31"/>
        <v>0</v>
      </c>
      <c r="N291" s="77">
        <f t="shared" si="32"/>
        <v>1719008.26446281</v>
      </c>
      <c r="O291" s="100">
        <f t="shared" si="33"/>
        <v>0</v>
      </c>
      <c r="P291" t="str">
        <f t="shared" si="34"/>
        <v>OK</v>
      </c>
    </row>
    <row r="292" spans="1:16">
      <c r="A292">
        <v>16</v>
      </c>
      <c r="B292" t="str">
        <f>'Presupuesto Base'!A23</f>
        <v>13.2</v>
      </c>
      <c r="C292" t="str">
        <f>'Presupuesto Base'!B23</f>
        <v>Terminaciones y acondicionamiento final</v>
      </c>
      <c r="D292" t="str">
        <f>'Presupuesto Base'!C23</f>
        <v>gl</v>
      </c>
      <c r="E292">
        <f>'Presupuesto Base'!D23</f>
        <v>1</v>
      </c>
      <c r="F292" s="77">
        <f>'Presupuesto Base'!E23</f>
        <v>1146005.5096418734</v>
      </c>
      <c r="G292" s="77">
        <f>'Presupuesto Base'!F23</f>
        <v>1146005.5096418734</v>
      </c>
      <c r="H292">
        <f>SUMIFS(Medicion!$K$6:$K$511,Medicion!$G$6:$G$511,$B292,Medicion!$A$6:$A$511,"&lt;"&amp;$A292)</f>
        <v>0</v>
      </c>
      <c r="I292">
        <f>SUMIFS(Medicion!$K$6:$K$511,Medicion!$G$6:$G$511,$B292,Medicion!$A$6:$A$511,$A292)</f>
        <v>0</v>
      </c>
      <c r="J292">
        <f t="shared" si="28"/>
        <v>0</v>
      </c>
      <c r="K292" s="77">
        <f t="shared" si="29"/>
        <v>0</v>
      </c>
      <c r="L292" s="77">
        <f t="shared" si="30"/>
        <v>0</v>
      </c>
      <c r="M292" s="77">
        <f t="shared" si="31"/>
        <v>0</v>
      </c>
      <c r="N292" s="77">
        <f t="shared" si="32"/>
        <v>1146005.5096418734</v>
      </c>
      <c r="O292" s="100">
        <f t="shared" si="33"/>
        <v>0</v>
      </c>
      <c r="P292" t="str">
        <f t="shared" si="34"/>
        <v>OK</v>
      </c>
    </row>
    <row r="293" spans="1:16">
      <c r="A293">
        <v>16</v>
      </c>
      <c r="B293" t="str">
        <f>'Presupuesto Base'!A24</f>
        <v>13.3</v>
      </c>
      <c r="C293" t="str">
        <f>'Presupuesto Base'!B24</f>
        <v>Documentación conforme a obra y cierre</v>
      </c>
      <c r="D293" t="str">
        <f>'Presupuesto Base'!C24</f>
        <v>gl</v>
      </c>
      <c r="E293">
        <f>'Presupuesto Base'!D24</f>
        <v>1</v>
      </c>
      <c r="F293" s="77">
        <f>'Presupuesto Base'!E24</f>
        <v>859504.132231405</v>
      </c>
      <c r="G293" s="77">
        <f>'Presupuesto Base'!F24</f>
        <v>859504.132231405</v>
      </c>
      <c r="H293">
        <f>SUMIFS(Medicion!$K$6:$K$511,Medicion!$G$6:$G$511,$B293,Medicion!$A$6:$A$511,"&lt;"&amp;$A293)</f>
        <v>0</v>
      </c>
      <c r="I293">
        <f>SUMIFS(Medicion!$K$6:$K$511,Medicion!$G$6:$G$511,$B293,Medicion!$A$6:$A$511,$A293)</f>
        <v>0</v>
      </c>
      <c r="J293">
        <f t="shared" si="28"/>
        <v>0</v>
      </c>
      <c r="K293" s="77">
        <f t="shared" si="29"/>
        <v>0</v>
      </c>
      <c r="L293" s="77">
        <f t="shared" si="30"/>
        <v>0</v>
      </c>
      <c r="M293" s="77">
        <f t="shared" si="31"/>
        <v>0</v>
      </c>
      <c r="N293" s="77">
        <f t="shared" si="32"/>
        <v>859504.132231405</v>
      </c>
      <c r="O293" s="100">
        <f t="shared" si="33"/>
        <v>0</v>
      </c>
      <c r="P293" t="str">
        <f t="shared" si="34"/>
        <v>OK</v>
      </c>
    </row>
    <row r="294" spans="1:16">
      <c r="A294">
        <v>17</v>
      </c>
      <c r="B294" t="str">
        <f>'Presupuesto Base'!A7</f>
        <v>1</v>
      </c>
      <c r="C294" t="str">
        <f>'Presupuesto Base'!B7</f>
        <v>Replanteo y marcación de traza</v>
      </c>
      <c r="D294" t="str">
        <f>'Presupuesto Base'!C7</f>
        <v>ml</v>
      </c>
      <c r="E294">
        <f>'Presupuesto Base'!D7</f>
        <v>4200</v>
      </c>
      <c r="F294" s="77">
        <f>'Presupuesto Base'!E7</f>
        <v>204.64384100747739</v>
      </c>
      <c r="G294" s="77">
        <f>'Presupuesto Base'!F7</f>
        <v>859504.132231405</v>
      </c>
      <c r="H294">
        <f>SUMIFS(Medicion!$K$6:$K$511,Medicion!$G$6:$G$511,$B294,Medicion!$A$6:$A$511,"&lt;"&amp;$A294)</f>
        <v>845</v>
      </c>
      <c r="I294">
        <f>SUMIFS(Medicion!$K$6:$K$511,Medicion!$G$6:$G$511,$B294,Medicion!$A$6:$A$511,$A294)</f>
        <v>0</v>
      </c>
      <c r="J294">
        <f t="shared" si="28"/>
        <v>845</v>
      </c>
      <c r="K294" s="77">
        <f t="shared" si="29"/>
        <v>172924.04565131839</v>
      </c>
      <c r="L294" s="77">
        <f t="shared" si="30"/>
        <v>0</v>
      </c>
      <c r="M294" s="77">
        <f t="shared" si="31"/>
        <v>172924.04565131839</v>
      </c>
      <c r="N294" s="77">
        <f t="shared" si="32"/>
        <v>686580.08658008662</v>
      </c>
      <c r="O294" s="100">
        <f t="shared" si="33"/>
        <v>0.2011904761904762</v>
      </c>
      <c r="P294" t="str">
        <f t="shared" si="34"/>
        <v>OK</v>
      </c>
    </row>
    <row r="295" spans="1:16">
      <c r="A295">
        <v>17</v>
      </c>
      <c r="B295" t="str">
        <f>'Presupuesto Base'!A8</f>
        <v>2</v>
      </c>
      <c r="C295" t="str">
        <f>'Presupuesto Base'!B8</f>
        <v>Excavación de zanja</v>
      </c>
      <c r="D295" t="str">
        <f>'Presupuesto Base'!C8</f>
        <v>ml</v>
      </c>
      <c r="E295">
        <f>'Presupuesto Base'!D8</f>
        <v>4200</v>
      </c>
      <c r="F295" s="77">
        <f>'Presupuesto Base'!E8</f>
        <v>3683.5891381345932</v>
      </c>
      <c r="G295" s="77">
        <f>'Presupuesto Base'!F8</f>
        <v>15471074.380165292</v>
      </c>
      <c r="H295">
        <f>SUMIFS(Medicion!$K$6:$K$511,Medicion!$G$6:$G$511,$B295,Medicion!$A$6:$A$511,"&lt;"&amp;$A295)</f>
        <v>845</v>
      </c>
      <c r="I295">
        <f>SUMIFS(Medicion!$K$6:$K$511,Medicion!$G$6:$G$511,$B295,Medicion!$A$6:$A$511,$A295)</f>
        <v>0</v>
      </c>
      <c r="J295">
        <f t="shared" si="28"/>
        <v>845</v>
      </c>
      <c r="K295" s="77">
        <f t="shared" si="29"/>
        <v>3112632.8217237312</v>
      </c>
      <c r="L295" s="77">
        <f t="shared" si="30"/>
        <v>0</v>
      </c>
      <c r="M295" s="77">
        <f t="shared" si="31"/>
        <v>3112632.8217237312</v>
      </c>
      <c r="N295" s="77">
        <f t="shared" si="32"/>
        <v>12358441.558441561</v>
      </c>
      <c r="O295" s="100">
        <f t="shared" si="33"/>
        <v>0.2011904761904762</v>
      </c>
      <c r="P295" t="str">
        <f t="shared" si="34"/>
        <v>OK</v>
      </c>
    </row>
    <row r="296" spans="1:16">
      <c r="A296">
        <v>17</v>
      </c>
      <c r="B296" t="str">
        <f>'Presupuesto Base'!A9</f>
        <v>3</v>
      </c>
      <c r="C296" t="str">
        <f>'Presupuesto Base'!B9</f>
        <v>Nivelación y conformación del fondo de zanja</v>
      </c>
      <c r="D296" t="str">
        <f>'Presupuesto Base'!C9</f>
        <v>ml</v>
      </c>
      <c r="E296">
        <f>'Presupuesto Base'!D9</f>
        <v>4200</v>
      </c>
      <c r="F296" s="77">
        <f>'Presupuesto Base'!E9</f>
        <v>477.50229568411396</v>
      </c>
      <c r="G296" s="77">
        <f>'Presupuesto Base'!F9</f>
        <v>2005509.6418732787</v>
      </c>
      <c r="H296">
        <f>SUMIFS(Medicion!$K$6:$K$511,Medicion!$G$6:$G$511,$B296,Medicion!$A$6:$A$511,"&lt;"&amp;$A296)</f>
        <v>845</v>
      </c>
      <c r="I296">
        <f>SUMIFS(Medicion!$K$6:$K$511,Medicion!$G$6:$G$511,$B296,Medicion!$A$6:$A$511,$A296)</f>
        <v>0</v>
      </c>
      <c r="J296">
        <f t="shared" si="28"/>
        <v>845</v>
      </c>
      <c r="K296" s="77">
        <f t="shared" si="29"/>
        <v>403489.4398530763</v>
      </c>
      <c r="L296" s="77">
        <f t="shared" si="30"/>
        <v>0</v>
      </c>
      <c r="M296" s="77">
        <f t="shared" si="31"/>
        <v>403489.4398530763</v>
      </c>
      <c r="N296" s="77">
        <f t="shared" si="32"/>
        <v>1602020.2020202023</v>
      </c>
      <c r="O296" s="100">
        <f t="shared" si="33"/>
        <v>0.2011904761904762</v>
      </c>
      <c r="P296" t="str">
        <f t="shared" si="34"/>
        <v>OK</v>
      </c>
    </row>
    <row r="297" spans="1:16">
      <c r="A297">
        <v>17</v>
      </c>
      <c r="B297" t="str">
        <f>'Presupuesto Base'!A10</f>
        <v>4</v>
      </c>
      <c r="C297" t="str">
        <f>'Presupuesto Base'!B10</f>
        <v>Cama de asiento compactada</v>
      </c>
      <c r="D297" t="str">
        <f>'Presupuesto Base'!C10</f>
        <v>ml</v>
      </c>
      <c r="E297">
        <f>'Presupuesto Base'!D10</f>
        <v>4200</v>
      </c>
      <c r="F297" s="77">
        <f>'Presupuesto Base'!E10</f>
        <v>1705.3653417289784</v>
      </c>
      <c r="G297" s="77">
        <f>'Presupuesto Base'!F10</f>
        <v>7162534.4352617087</v>
      </c>
      <c r="H297">
        <f>SUMIFS(Medicion!$K$6:$K$511,Medicion!$G$6:$G$511,$B297,Medicion!$A$6:$A$511,"&lt;"&amp;$A297)</f>
        <v>845</v>
      </c>
      <c r="I297">
        <f>SUMIFS(Medicion!$K$6:$K$511,Medicion!$G$6:$G$511,$B297,Medicion!$A$6:$A$511,$A297)</f>
        <v>0</v>
      </c>
      <c r="J297">
        <f t="shared" si="28"/>
        <v>845</v>
      </c>
      <c r="K297" s="77">
        <f t="shared" si="29"/>
        <v>1441033.7137609867</v>
      </c>
      <c r="L297" s="77">
        <f t="shared" si="30"/>
        <v>0</v>
      </c>
      <c r="M297" s="77">
        <f t="shared" si="31"/>
        <v>1441033.7137609867</v>
      </c>
      <c r="N297" s="77">
        <f t="shared" si="32"/>
        <v>5721500.7215007218</v>
      </c>
      <c r="O297" s="100">
        <f t="shared" si="33"/>
        <v>0.2011904761904762</v>
      </c>
      <c r="P297" t="str">
        <f t="shared" si="34"/>
        <v>OK</v>
      </c>
    </row>
    <row r="298" spans="1:16">
      <c r="A298">
        <v>17</v>
      </c>
      <c r="B298" t="str">
        <f>'Presupuesto Base'!A11</f>
        <v>5.1</v>
      </c>
      <c r="C298" t="str">
        <f>'Presupuesto Base'!B11</f>
        <v>PEAD PN10 Ø75 – provisión e instalación</v>
      </c>
      <c r="D298" t="str">
        <f>'Presupuesto Base'!C11</f>
        <v>ml</v>
      </c>
      <c r="E298">
        <f>'Presupuesto Base'!D11</f>
        <v>3170</v>
      </c>
      <c r="F298" s="77">
        <f>'Presupuesto Base'!E11</f>
        <v>5784.2549382555126</v>
      </c>
      <c r="G298" s="77">
        <f>'Presupuesto Base'!F11</f>
        <v>18336088.154269975</v>
      </c>
      <c r="H298">
        <f>SUMIFS(Medicion!$K$6:$K$511,Medicion!$G$6:$G$511,$B298,Medicion!$A$6:$A$511,"&lt;"&amp;$A298)</f>
        <v>558</v>
      </c>
      <c r="I298">
        <f>SUMIFS(Medicion!$K$6:$K$511,Medicion!$G$6:$G$511,$B298,Medicion!$A$6:$A$511,$A298)</f>
        <v>0</v>
      </c>
      <c r="J298">
        <f t="shared" si="28"/>
        <v>558</v>
      </c>
      <c r="K298" s="77">
        <f t="shared" si="29"/>
        <v>3227614.2555465759</v>
      </c>
      <c r="L298" s="77">
        <f t="shared" si="30"/>
        <v>0</v>
      </c>
      <c r="M298" s="77">
        <f t="shared" si="31"/>
        <v>3227614.2555465759</v>
      </c>
      <c r="N298" s="77">
        <f t="shared" si="32"/>
        <v>15108473.898723399</v>
      </c>
      <c r="O298" s="100">
        <f t="shared" si="33"/>
        <v>0.17602523659305994</v>
      </c>
      <c r="P298" t="str">
        <f t="shared" si="34"/>
        <v>OK</v>
      </c>
    </row>
    <row r="299" spans="1:16">
      <c r="A299">
        <v>17</v>
      </c>
      <c r="B299" t="str">
        <f>'Presupuesto Base'!A12</f>
        <v>5.2</v>
      </c>
      <c r="C299" t="str">
        <f>'Presupuesto Base'!B12</f>
        <v>PEAD PN10 Ø110 – provisión e instalación</v>
      </c>
      <c r="D299" t="str">
        <f>'Presupuesto Base'!C12</f>
        <v>ml</v>
      </c>
      <c r="E299">
        <f>'Presupuesto Base'!D12</f>
        <v>1030</v>
      </c>
      <c r="F299" s="77">
        <f>'Presupuesto Base'!E12</f>
        <v>12238.893792291852</v>
      </c>
      <c r="G299" s="77">
        <f>'Presupuesto Base'!F12</f>
        <v>12606060.606060607</v>
      </c>
      <c r="H299">
        <f>SUMIFS(Medicion!$K$6:$K$511,Medicion!$G$6:$G$511,$B299,Medicion!$A$6:$A$511,"&lt;"&amp;$A299)</f>
        <v>287</v>
      </c>
      <c r="I299">
        <f>SUMIFS(Medicion!$K$6:$K$511,Medicion!$G$6:$G$511,$B299,Medicion!$A$6:$A$511,$A299)</f>
        <v>0</v>
      </c>
      <c r="J299">
        <f t="shared" si="28"/>
        <v>287</v>
      </c>
      <c r="K299" s="77">
        <f t="shared" si="29"/>
        <v>3512562.5183877614</v>
      </c>
      <c r="L299" s="77">
        <f t="shared" si="30"/>
        <v>0</v>
      </c>
      <c r="M299" s="77">
        <f t="shared" si="31"/>
        <v>3512562.5183877614</v>
      </c>
      <c r="N299" s="77">
        <f t="shared" si="32"/>
        <v>9093498.0876728464</v>
      </c>
      <c r="O299" s="100">
        <f t="shared" si="33"/>
        <v>0.27864077669902915</v>
      </c>
      <c r="P299" t="str">
        <f t="shared" si="34"/>
        <v>OK</v>
      </c>
    </row>
    <row r="300" spans="1:16">
      <c r="A300">
        <v>17</v>
      </c>
      <c r="B300" t="str">
        <f>'Presupuesto Base'!A13</f>
        <v>6</v>
      </c>
      <c r="C300" t="str">
        <f>'Presupuesto Base'!B13</f>
        <v>Ejecución de paquete estructural de 30 cm</v>
      </c>
      <c r="D300" t="str">
        <f>'Presupuesto Base'!C13</f>
        <v>ml</v>
      </c>
      <c r="E300">
        <f>'Presupuesto Base'!D13</f>
        <v>4200</v>
      </c>
      <c r="F300" s="77">
        <f>'Presupuesto Base'!E13</f>
        <v>3274.3014561196383</v>
      </c>
      <c r="G300" s="77">
        <f>'Presupuesto Base'!F13</f>
        <v>13752066.11570248</v>
      </c>
      <c r="H300">
        <f>SUMIFS(Medicion!$K$6:$K$511,Medicion!$G$6:$G$511,$B300,Medicion!$A$6:$A$511,"&lt;"&amp;$A300)</f>
        <v>763</v>
      </c>
      <c r="I300">
        <f>SUMIFS(Medicion!$K$6:$K$511,Medicion!$G$6:$G$511,$B300,Medicion!$A$6:$A$511,$A300)</f>
        <v>0</v>
      </c>
      <c r="J300">
        <f t="shared" si="28"/>
        <v>763</v>
      </c>
      <c r="K300" s="77">
        <f t="shared" si="29"/>
        <v>2498292.0110192839</v>
      </c>
      <c r="L300" s="77">
        <f t="shared" si="30"/>
        <v>0</v>
      </c>
      <c r="M300" s="77">
        <f t="shared" si="31"/>
        <v>2498292.0110192839</v>
      </c>
      <c r="N300" s="77">
        <f t="shared" si="32"/>
        <v>11253774.104683196</v>
      </c>
      <c r="O300" s="100">
        <f t="shared" si="33"/>
        <v>0.18166666666666667</v>
      </c>
      <c r="P300" t="str">
        <f t="shared" si="34"/>
        <v>OK</v>
      </c>
    </row>
    <row r="301" spans="1:16">
      <c r="A301">
        <v>17</v>
      </c>
      <c r="B301" t="str">
        <f>'Presupuesto Base'!A14</f>
        <v>7</v>
      </c>
      <c r="C301" t="str">
        <f>'Presupuesto Base'!B14</f>
        <v>Compactación del paquete estructural de 30 cm</v>
      </c>
      <c r="D301" t="str">
        <f>'Presupuesto Base'!C14</f>
        <v>ml</v>
      </c>
      <c r="E301">
        <f>'Presupuesto Base'!D14</f>
        <v>4200</v>
      </c>
      <c r="F301" s="77">
        <f>'Presupuesto Base'!E14</f>
        <v>1227.8630460448644</v>
      </c>
      <c r="G301" s="77">
        <f>'Presupuesto Base'!F14</f>
        <v>5157024.79338843</v>
      </c>
      <c r="H301">
        <f>SUMIFS(Medicion!$K$6:$K$511,Medicion!$G$6:$G$511,$B301,Medicion!$A$6:$A$511,"&lt;"&amp;$A301)</f>
        <v>0</v>
      </c>
      <c r="I301">
        <f>SUMIFS(Medicion!$K$6:$K$511,Medicion!$G$6:$G$511,$B301,Medicion!$A$6:$A$511,$A301)</f>
        <v>0</v>
      </c>
      <c r="J301">
        <f t="shared" si="28"/>
        <v>0</v>
      </c>
      <c r="K301" s="77">
        <f t="shared" si="29"/>
        <v>0</v>
      </c>
      <c r="L301" s="77">
        <f t="shared" si="30"/>
        <v>0</v>
      </c>
      <c r="M301" s="77">
        <f t="shared" si="31"/>
        <v>0</v>
      </c>
      <c r="N301" s="77">
        <f t="shared" si="32"/>
        <v>5157024.79338843</v>
      </c>
      <c r="O301" s="100">
        <f t="shared" si="33"/>
        <v>0</v>
      </c>
      <c r="P301" t="str">
        <f t="shared" si="34"/>
        <v>OK</v>
      </c>
    </row>
    <row r="302" spans="1:16">
      <c r="A302">
        <v>17</v>
      </c>
      <c r="B302" t="str">
        <f>'Presupuesto Base'!A15</f>
        <v>8</v>
      </c>
      <c r="C302" t="str">
        <f>'Presupuesto Base'!B15</f>
        <v>Ejecución y compactación de capa cota -0,60</v>
      </c>
      <c r="D302" t="str">
        <f>'Presupuesto Base'!C15</f>
        <v>ml</v>
      </c>
      <c r="E302">
        <f>'Presupuesto Base'!D15</f>
        <v>4200</v>
      </c>
      <c r="F302" s="77">
        <f>'Presupuesto Base'!E15</f>
        <v>2592.1553194280468</v>
      </c>
      <c r="G302" s="77">
        <f>'Presupuesto Base'!F15</f>
        <v>10887052.341597797</v>
      </c>
      <c r="H302">
        <f>SUMIFS(Medicion!$K$6:$K$511,Medicion!$G$6:$G$511,$B302,Medicion!$A$6:$A$511,"&lt;"&amp;$A302)</f>
        <v>0</v>
      </c>
      <c r="I302">
        <f>SUMIFS(Medicion!$K$6:$K$511,Medicion!$G$6:$G$511,$B302,Medicion!$A$6:$A$511,$A302)</f>
        <v>0</v>
      </c>
      <c r="J302">
        <f t="shared" si="28"/>
        <v>0</v>
      </c>
      <c r="K302" s="77">
        <f t="shared" si="29"/>
        <v>0</v>
      </c>
      <c r="L302" s="77">
        <f t="shared" si="30"/>
        <v>0</v>
      </c>
      <c r="M302" s="77">
        <f t="shared" si="31"/>
        <v>0</v>
      </c>
      <c r="N302" s="77">
        <f t="shared" si="32"/>
        <v>10887052.341597797</v>
      </c>
      <c r="O302" s="100">
        <f t="shared" si="33"/>
        <v>0</v>
      </c>
      <c r="P302" t="str">
        <f t="shared" si="34"/>
        <v>OK</v>
      </c>
    </row>
    <row r="303" spans="1:16">
      <c r="A303">
        <v>17</v>
      </c>
      <c r="B303" t="str">
        <f>'Presupuesto Base'!A16</f>
        <v>9</v>
      </c>
      <c r="C303" t="str">
        <f>'Presupuesto Base'!B16</f>
        <v>Ejecución y compactación de capa cota -0,30</v>
      </c>
      <c r="D303" t="str">
        <f>'Presupuesto Base'!C16</f>
        <v>ml</v>
      </c>
      <c r="E303">
        <f>'Presupuesto Base'!D16</f>
        <v>4200</v>
      </c>
      <c r="F303" s="77">
        <f>'Presupuesto Base'!E16</f>
        <v>2182.8676374130923</v>
      </c>
      <c r="G303" s="77">
        <f>'Presupuesto Base'!F16</f>
        <v>9168044.0771349873</v>
      </c>
      <c r="H303">
        <f>SUMIFS(Medicion!$K$6:$K$511,Medicion!$G$6:$G$511,$B303,Medicion!$A$6:$A$511,"&lt;"&amp;$A303)</f>
        <v>0</v>
      </c>
      <c r="I303">
        <f>SUMIFS(Medicion!$K$6:$K$511,Medicion!$G$6:$G$511,$B303,Medicion!$A$6:$A$511,$A303)</f>
        <v>0</v>
      </c>
      <c r="J303">
        <f t="shared" si="28"/>
        <v>0</v>
      </c>
      <c r="K303" s="77">
        <f t="shared" si="29"/>
        <v>0</v>
      </c>
      <c r="L303" s="77">
        <f t="shared" si="30"/>
        <v>0</v>
      </c>
      <c r="M303" s="77">
        <f t="shared" si="31"/>
        <v>0</v>
      </c>
      <c r="N303" s="77">
        <f t="shared" si="32"/>
        <v>9168044.0771349873</v>
      </c>
      <c r="O303" s="100">
        <f t="shared" si="33"/>
        <v>0</v>
      </c>
      <c r="P303" t="str">
        <f t="shared" si="34"/>
        <v>OK</v>
      </c>
    </row>
    <row r="304" spans="1:16">
      <c r="A304">
        <v>17</v>
      </c>
      <c r="B304" t="str">
        <f>'Presupuesto Base'!A17</f>
        <v>10.1</v>
      </c>
      <c r="C304" t="str">
        <f>'Presupuesto Base'!B17</f>
        <v>Conexión domiciliaria sobre red Ø75</v>
      </c>
      <c r="D304" t="str">
        <f>'Presupuesto Base'!C17</f>
        <v>un</v>
      </c>
      <c r="E304">
        <f>'Presupuesto Base'!D17</f>
        <v>165</v>
      </c>
      <c r="F304" s="77">
        <f>'Presupuesto Base'!E17</f>
        <v>48618.415560564332</v>
      </c>
      <c r="G304" s="77">
        <f>'Presupuesto Base'!F17</f>
        <v>8022038.5674931146</v>
      </c>
      <c r="H304">
        <f>SUMIFS(Medicion!$K$6:$K$511,Medicion!$G$6:$G$511,$B304,Medicion!$A$6:$A$511,"&lt;"&amp;$A304)</f>
        <v>5</v>
      </c>
      <c r="I304">
        <f>SUMIFS(Medicion!$K$6:$K$511,Medicion!$G$6:$G$511,$B304,Medicion!$A$6:$A$511,$A304)</f>
        <v>0</v>
      </c>
      <c r="J304">
        <f t="shared" si="28"/>
        <v>5</v>
      </c>
      <c r="K304" s="77">
        <f t="shared" si="29"/>
        <v>243092.07780282164</v>
      </c>
      <c r="L304" s="77">
        <f t="shared" si="30"/>
        <v>0</v>
      </c>
      <c r="M304" s="77">
        <f t="shared" si="31"/>
        <v>243092.07780282164</v>
      </c>
      <c r="N304" s="77">
        <f t="shared" si="32"/>
        <v>7778946.4896902926</v>
      </c>
      <c r="O304" s="100">
        <f t="shared" si="33"/>
        <v>3.0303030303030304E-2</v>
      </c>
      <c r="P304" t="str">
        <f t="shared" si="34"/>
        <v>OK</v>
      </c>
    </row>
    <row r="305" spans="1:16">
      <c r="A305">
        <v>17</v>
      </c>
      <c r="B305" t="str">
        <f>'Presupuesto Base'!A18</f>
        <v>10.2</v>
      </c>
      <c r="C305" t="str">
        <f>'Presupuesto Base'!B18</f>
        <v>Conexión domiciliaria sobre red Ø110</v>
      </c>
      <c r="D305" t="str">
        <f>'Presupuesto Base'!C18</f>
        <v>un</v>
      </c>
      <c r="E305">
        <f>'Presupuesto Base'!D18</f>
        <v>62</v>
      </c>
      <c r="F305" s="77">
        <f>'Presupuesto Base'!E18</f>
        <v>55451.879498800321</v>
      </c>
      <c r="G305" s="77">
        <f>'Presupuesto Base'!F18</f>
        <v>3438016.52892562</v>
      </c>
      <c r="H305">
        <f>SUMIFS(Medicion!$K$6:$K$511,Medicion!$G$6:$G$511,$B305,Medicion!$A$6:$A$511,"&lt;"&amp;$A305)</f>
        <v>2</v>
      </c>
      <c r="I305">
        <f>SUMIFS(Medicion!$K$6:$K$511,Medicion!$G$6:$G$511,$B305,Medicion!$A$6:$A$511,$A305)</f>
        <v>0</v>
      </c>
      <c r="J305">
        <f t="shared" si="28"/>
        <v>2</v>
      </c>
      <c r="K305" s="77">
        <f t="shared" si="29"/>
        <v>110903.75899760064</v>
      </c>
      <c r="L305" s="77">
        <f t="shared" si="30"/>
        <v>0</v>
      </c>
      <c r="M305" s="77">
        <f t="shared" si="31"/>
        <v>110903.75899760064</v>
      </c>
      <c r="N305" s="77">
        <f t="shared" si="32"/>
        <v>3327112.7699280195</v>
      </c>
      <c r="O305" s="100">
        <f t="shared" si="33"/>
        <v>3.2258064516129031E-2</v>
      </c>
      <c r="P305" t="str">
        <f t="shared" si="34"/>
        <v>OK</v>
      </c>
    </row>
    <row r="306" spans="1:16">
      <c r="A306">
        <v>17</v>
      </c>
      <c r="B306" t="str">
        <f>'Presupuesto Base'!A19</f>
        <v>11.1</v>
      </c>
      <c r="C306" t="str">
        <f>'Presupuesto Base'!B19</f>
        <v>Válvula esclusa Ø75 completa e instalada</v>
      </c>
      <c r="D306" t="str">
        <f>'Presupuesto Base'!C19</f>
        <v>un</v>
      </c>
      <c r="E306">
        <f>'Presupuesto Base'!D19</f>
        <v>2</v>
      </c>
      <c r="F306" s="77">
        <f>'Presupuesto Base'!E19</f>
        <v>286501.37741046835</v>
      </c>
      <c r="G306" s="77">
        <f>'Presupuesto Base'!F19</f>
        <v>573002.75482093671</v>
      </c>
      <c r="H306">
        <f>SUMIFS(Medicion!$K$6:$K$511,Medicion!$G$6:$G$511,$B306,Medicion!$A$6:$A$511,"&lt;"&amp;$A306)</f>
        <v>0</v>
      </c>
      <c r="I306">
        <f>SUMIFS(Medicion!$K$6:$K$511,Medicion!$G$6:$G$511,$B306,Medicion!$A$6:$A$511,$A306)</f>
        <v>0</v>
      </c>
      <c r="J306">
        <f t="shared" si="28"/>
        <v>0</v>
      </c>
      <c r="K306" s="77">
        <f t="shared" si="29"/>
        <v>0</v>
      </c>
      <c r="L306" s="77">
        <f t="shared" si="30"/>
        <v>0</v>
      </c>
      <c r="M306" s="77">
        <f t="shared" si="31"/>
        <v>0</v>
      </c>
      <c r="N306" s="77">
        <f t="shared" si="32"/>
        <v>573002.75482093671</v>
      </c>
      <c r="O306" s="100">
        <f t="shared" si="33"/>
        <v>0</v>
      </c>
      <c r="P306" t="str">
        <f t="shared" si="34"/>
        <v>OK</v>
      </c>
    </row>
    <row r="307" spans="1:16">
      <c r="A307">
        <v>17</v>
      </c>
      <c r="B307" t="str">
        <f>'Presupuesto Base'!A20</f>
        <v>11.2</v>
      </c>
      <c r="C307" t="str">
        <f>'Presupuesto Base'!B20</f>
        <v>Válvula esclusa Ø100 completa e instalada</v>
      </c>
      <c r="D307" t="str">
        <f>'Presupuesto Base'!C20</f>
        <v>un</v>
      </c>
      <c r="E307">
        <f>'Presupuesto Base'!D20</f>
        <v>4</v>
      </c>
      <c r="F307" s="77">
        <f>'Presupuesto Base'!E20</f>
        <v>429752.0661157025</v>
      </c>
      <c r="G307" s="77">
        <f>'Presupuesto Base'!F20</f>
        <v>1719008.26446281</v>
      </c>
      <c r="H307">
        <f>SUMIFS(Medicion!$K$6:$K$511,Medicion!$G$6:$G$511,$B307,Medicion!$A$6:$A$511,"&lt;"&amp;$A307)</f>
        <v>0</v>
      </c>
      <c r="I307">
        <f>SUMIFS(Medicion!$K$6:$K$511,Medicion!$G$6:$G$511,$B307,Medicion!$A$6:$A$511,$A307)</f>
        <v>0</v>
      </c>
      <c r="J307">
        <f t="shared" si="28"/>
        <v>0</v>
      </c>
      <c r="K307" s="77">
        <f t="shared" si="29"/>
        <v>0</v>
      </c>
      <c r="L307" s="77">
        <f t="shared" si="30"/>
        <v>0</v>
      </c>
      <c r="M307" s="77">
        <f t="shared" si="31"/>
        <v>0</v>
      </c>
      <c r="N307" s="77">
        <f t="shared" si="32"/>
        <v>1719008.26446281</v>
      </c>
      <c r="O307" s="100">
        <f t="shared" si="33"/>
        <v>0</v>
      </c>
      <c r="P307" t="str">
        <f t="shared" si="34"/>
        <v>OK</v>
      </c>
    </row>
    <row r="308" spans="1:16">
      <c r="A308">
        <v>17</v>
      </c>
      <c r="B308" t="str">
        <f>'Presupuesto Base'!A21</f>
        <v>12</v>
      </c>
      <c r="C308" t="str">
        <f>'Presupuesto Base'!B21</f>
        <v>Hidrante a bola completo e instalado</v>
      </c>
      <c r="D308" t="str">
        <f>'Presupuesto Base'!C21</f>
        <v>un</v>
      </c>
      <c r="E308">
        <f>'Presupuesto Base'!D21</f>
        <v>15</v>
      </c>
      <c r="F308" s="77">
        <f>'Presupuesto Base'!E21</f>
        <v>114600.55096418734</v>
      </c>
      <c r="G308" s="77">
        <f>'Presupuesto Base'!F21</f>
        <v>1719008.26446281</v>
      </c>
      <c r="H308">
        <f>SUMIFS(Medicion!$K$6:$K$511,Medicion!$G$6:$G$511,$B308,Medicion!$A$6:$A$511,"&lt;"&amp;$A308)</f>
        <v>0</v>
      </c>
      <c r="I308">
        <f>SUMIFS(Medicion!$K$6:$K$511,Medicion!$G$6:$G$511,$B308,Medicion!$A$6:$A$511,$A308)</f>
        <v>0</v>
      </c>
      <c r="J308">
        <f t="shared" si="28"/>
        <v>0</v>
      </c>
      <c r="K308" s="77">
        <f t="shared" si="29"/>
        <v>0</v>
      </c>
      <c r="L308" s="77">
        <f t="shared" si="30"/>
        <v>0</v>
      </c>
      <c r="M308" s="77">
        <f t="shared" si="31"/>
        <v>0</v>
      </c>
      <c r="N308" s="77">
        <f t="shared" si="32"/>
        <v>1719008.26446281</v>
      </c>
      <c r="O308" s="100">
        <f t="shared" si="33"/>
        <v>0</v>
      </c>
      <c r="P308" t="str">
        <f t="shared" si="34"/>
        <v>OK</v>
      </c>
    </row>
    <row r="309" spans="1:16">
      <c r="A309">
        <v>17</v>
      </c>
      <c r="B309" t="str">
        <f>'Presupuesto Base'!A22</f>
        <v>13.1</v>
      </c>
      <c r="C309" t="str">
        <f>'Presupuesto Base'!B22</f>
        <v>Pruebas hidráulicas y operativas</v>
      </c>
      <c r="D309" t="str">
        <f>'Presupuesto Base'!C22</f>
        <v>gl</v>
      </c>
      <c r="E309">
        <f>'Presupuesto Base'!D22</f>
        <v>1</v>
      </c>
      <c r="F309" s="77">
        <f>'Presupuesto Base'!E22</f>
        <v>1719008.26446281</v>
      </c>
      <c r="G309" s="77">
        <f>'Presupuesto Base'!F22</f>
        <v>1719008.26446281</v>
      </c>
      <c r="H309">
        <f>SUMIFS(Medicion!$K$6:$K$511,Medicion!$G$6:$G$511,$B309,Medicion!$A$6:$A$511,"&lt;"&amp;$A309)</f>
        <v>0</v>
      </c>
      <c r="I309">
        <f>SUMIFS(Medicion!$K$6:$K$511,Medicion!$G$6:$G$511,$B309,Medicion!$A$6:$A$511,$A309)</f>
        <v>0</v>
      </c>
      <c r="J309">
        <f t="shared" si="28"/>
        <v>0</v>
      </c>
      <c r="K309" s="77">
        <f t="shared" si="29"/>
        <v>0</v>
      </c>
      <c r="L309" s="77">
        <f t="shared" si="30"/>
        <v>0</v>
      </c>
      <c r="M309" s="77">
        <f t="shared" si="31"/>
        <v>0</v>
      </c>
      <c r="N309" s="77">
        <f t="shared" si="32"/>
        <v>1719008.26446281</v>
      </c>
      <c r="O309" s="100">
        <f t="shared" si="33"/>
        <v>0</v>
      </c>
      <c r="P309" t="str">
        <f t="shared" si="34"/>
        <v>OK</v>
      </c>
    </row>
    <row r="310" spans="1:16">
      <c r="A310">
        <v>17</v>
      </c>
      <c r="B310" t="str">
        <f>'Presupuesto Base'!A23</f>
        <v>13.2</v>
      </c>
      <c r="C310" t="str">
        <f>'Presupuesto Base'!B23</f>
        <v>Terminaciones y acondicionamiento final</v>
      </c>
      <c r="D310" t="str">
        <f>'Presupuesto Base'!C23</f>
        <v>gl</v>
      </c>
      <c r="E310">
        <f>'Presupuesto Base'!D23</f>
        <v>1</v>
      </c>
      <c r="F310" s="77">
        <f>'Presupuesto Base'!E23</f>
        <v>1146005.5096418734</v>
      </c>
      <c r="G310" s="77">
        <f>'Presupuesto Base'!F23</f>
        <v>1146005.5096418734</v>
      </c>
      <c r="H310">
        <f>SUMIFS(Medicion!$K$6:$K$511,Medicion!$G$6:$G$511,$B310,Medicion!$A$6:$A$511,"&lt;"&amp;$A310)</f>
        <v>0</v>
      </c>
      <c r="I310">
        <f>SUMIFS(Medicion!$K$6:$K$511,Medicion!$G$6:$G$511,$B310,Medicion!$A$6:$A$511,$A310)</f>
        <v>0</v>
      </c>
      <c r="J310">
        <f t="shared" si="28"/>
        <v>0</v>
      </c>
      <c r="K310" s="77">
        <f t="shared" si="29"/>
        <v>0</v>
      </c>
      <c r="L310" s="77">
        <f t="shared" si="30"/>
        <v>0</v>
      </c>
      <c r="M310" s="77">
        <f t="shared" si="31"/>
        <v>0</v>
      </c>
      <c r="N310" s="77">
        <f t="shared" si="32"/>
        <v>1146005.5096418734</v>
      </c>
      <c r="O310" s="100">
        <f t="shared" si="33"/>
        <v>0</v>
      </c>
      <c r="P310" t="str">
        <f t="shared" si="34"/>
        <v>OK</v>
      </c>
    </row>
    <row r="311" spans="1:16">
      <c r="A311">
        <v>17</v>
      </c>
      <c r="B311" t="str">
        <f>'Presupuesto Base'!A24</f>
        <v>13.3</v>
      </c>
      <c r="C311" t="str">
        <f>'Presupuesto Base'!B24</f>
        <v>Documentación conforme a obra y cierre</v>
      </c>
      <c r="D311" t="str">
        <f>'Presupuesto Base'!C24</f>
        <v>gl</v>
      </c>
      <c r="E311">
        <f>'Presupuesto Base'!D24</f>
        <v>1</v>
      </c>
      <c r="F311" s="77">
        <f>'Presupuesto Base'!E24</f>
        <v>859504.132231405</v>
      </c>
      <c r="G311" s="77">
        <f>'Presupuesto Base'!F24</f>
        <v>859504.132231405</v>
      </c>
      <c r="H311">
        <f>SUMIFS(Medicion!$K$6:$K$511,Medicion!$G$6:$G$511,$B311,Medicion!$A$6:$A$511,"&lt;"&amp;$A311)</f>
        <v>0</v>
      </c>
      <c r="I311">
        <f>SUMIFS(Medicion!$K$6:$K$511,Medicion!$G$6:$G$511,$B311,Medicion!$A$6:$A$511,$A311)</f>
        <v>0</v>
      </c>
      <c r="J311">
        <f t="shared" si="28"/>
        <v>0</v>
      </c>
      <c r="K311" s="77">
        <f t="shared" si="29"/>
        <v>0</v>
      </c>
      <c r="L311" s="77">
        <f t="shared" si="30"/>
        <v>0</v>
      </c>
      <c r="M311" s="77">
        <f t="shared" si="31"/>
        <v>0</v>
      </c>
      <c r="N311" s="77">
        <f t="shared" si="32"/>
        <v>859504.132231405</v>
      </c>
      <c r="O311" s="100">
        <f t="shared" si="33"/>
        <v>0</v>
      </c>
      <c r="P311" t="str">
        <f t="shared" si="34"/>
        <v>OK</v>
      </c>
    </row>
    <row r="312" spans="1:16">
      <c r="A312">
        <v>18</v>
      </c>
      <c r="B312" t="str">
        <f>'Presupuesto Base'!A7</f>
        <v>1</v>
      </c>
      <c r="C312" t="str">
        <f>'Presupuesto Base'!B7</f>
        <v>Replanteo y marcación de traza</v>
      </c>
      <c r="D312" t="str">
        <f>'Presupuesto Base'!C7</f>
        <v>ml</v>
      </c>
      <c r="E312">
        <f>'Presupuesto Base'!D7</f>
        <v>4200</v>
      </c>
      <c r="F312" s="77">
        <f>'Presupuesto Base'!E7</f>
        <v>204.64384100747739</v>
      </c>
      <c r="G312" s="77">
        <f>'Presupuesto Base'!F7</f>
        <v>859504.132231405</v>
      </c>
      <c r="H312">
        <f>SUMIFS(Medicion!$K$6:$K$511,Medicion!$G$6:$G$511,$B312,Medicion!$A$6:$A$511,"&lt;"&amp;$A312)</f>
        <v>845</v>
      </c>
      <c r="I312">
        <f>SUMIFS(Medicion!$K$6:$K$511,Medicion!$G$6:$G$511,$B312,Medicion!$A$6:$A$511,$A312)</f>
        <v>0</v>
      </c>
      <c r="J312">
        <f t="shared" si="28"/>
        <v>845</v>
      </c>
      <c r="K312" s="77">
        <f t="shared" si="29"/>
        <v>172924.04565131839</v>
      </c>
      <c r="L312" s="77">
        <f t="shared" si="30"/>
        <v>0</v>
      </c>
      <c r="M312" s="77">
        <f t="shared" si="31"/>
        <v>172924.04565131839</v>
      </c>
      <c r="N312" s="77">
        <f t="shared" si="32"/>
        <v>686580.08658008662</v>
      </c>
      <c r="O312" s="100">
        <f t="shared" si="33"/>
        <v>0.2011904761904762</v>
      </c>
      <c r="P312" t="str">
        <f t="shared" si="34"/>
        <v>OK</v>
      </c>
    </row>
    <row r="313" spans="1:16">
      <c r="A313">
        <v>18</v>
      </c>
      <c r="B313" t="str">
        <f>'Presupuesto Base'!A8</f>
        <v>2</v>
      </c>
      <c r="C313" t="str">
        <f>'Presupuesto Base'!B8</f>
        <v>Excavación de zanja</v>
      </c>
      <c r="D313" t="str">
        <f>'Presupuesto Base'!C8</f>
        <v>ml</v>
      </c>
      <c r="E313">
        <f>'Presupuesto Base'!D8</f>
        <v>4200</v>
      </c>
      <c r="F313" s="77">
        <f>'Presupuesto Base'!E8</f>
        <v>3683.5891381345932</v>
      </c>
      <c r="G313" s="77">
        <f>'Presupuesto Base'!F8</f>
        <v>15471074.380165292</v>
      </c>
      <c r="H313">
        <f>SUMIFS(Medicion!$K$6:$K$511,Medicion!$G$6:$G$511,$B313,Medicion!$A$6:$A$511,"&lt;"&amp;$A313)</f>
        <v>845</v>
      </c>
      <c r="I313">
        <f>SUMIFS(Medicion!$K$6:$K$511,Medicion!$G$6:$G$511,$B313,Medicion!$A$6:$A$511,$A313)</f>
        <v>0</v>
      </c>
      <c r="J313">
        <f t="shared" si="28"/>
        <v>845</v>
      </c>
      <c r="K313" s="77">
        <f t="shared" si="29"/>
        <v>3112632.8217237312</v>
      </c>
      <c r="L313" s="77">
        <f t="shared" si="30"/>
        <v>0</v>
      </c>
      <c r="M313" s="77">
        <f t="shared" si="31"/>
        <v>3112632.8217237312</v>
      </c>
      <c r="N313" s="77">
        <f t="shared" si="32"/>
        <v>12358441.558441561</v>
      </c>
      <c r="O313" s="100">
        <f t="shared" si="33"/>
        <v>0.2011904761904762</v>
      </c>
      <c r="P313" t="str">
        <f t="shared" si="34"/>
        <v>OK</v>
      </c>
    </row>
    <row r="314" spans="1:16">
      <c r="A314">
        <v>18</v>
      </c>
      <c r="B314" t="str">
        <f>'Presupuesto Base'!A9</f>
        <v>3</v>
      </c>
      <c r="C314" t="str">
        <f>'Presupuesto Base'!B9</f>
        <v>Nivelación y conformación del fondo de zanja</v>
      </c>
      <c r="D314" t="str">
        <f>'Presupuesto Base'!C9</f>
        <v>ml</v>
      </c>
      <c r="E314">
        <f>'Presupuesto Base'!D9</f>
        <v>4200</v>
      </c>
      <c r="F314" s="77">
        <f>'Presupuesto Base'!E9</f>
        <v>477.50229568411396</v>
      </c>
      <c r="G314" s="77">
        <f>'Presupuesto Base'!F9</f>
        <v>2005509.6418732787</v>
      </c>
      <c r="H314">
        <f>SUMIFS(Medicion!$K$6:$K$511,Medicion!$G$6:$G$511,$B314,Medicion!$A$6:$A$511,"&lt;"&amp;$A314)</f>
        <v>845</v>
      </c>
      <c r="I314">
        <f>SUMIFS(Medicion!$K$6:$K$511,Medicion!$G$6:$G$511,$B314,Medicion!$A$6:$A$511,$A314)</f>
        <v>0</v>
      </c>
      <c r="J314">
        <f t="shared" si="28"/>
        <v>845</v>
      </c>
      <c r="K314" s="77">
        <f t="shared" si="29"/>
        <v>403489.4398530763</v>
      </c>
      <c r="L314" s="77">
        <f t="shared" si="30"/>
        <v>0</v>
      </c>
      <c r="M314" s="77">
        <f t="shared" si="31"/>
        <v>403489.4398530763</v>
      </c>
      <c r="N314" s="77">
        <f t="shared" si="32"/>
        <v>1602020.2020202023</v>
      </c>
      <c r="O314" s="100">
        <f t="shared" si="33"/>
        <v>0.2011904761904762</v>
      </c>
      <c r="P314" t="str">
        <f t="shared" si="34"/>
        <v>OK</v>
      </c>
    </row>
    <row r="315" spans="1:16">
      <c r="A315">
        <v>18</v>
      </c>
      <c r="B315" t="str">
        <f>'Presupuesto Base'!A10</f>
        <v>4</v>
      </c>
      <c r="C315" t="str">
        <f>'Presupuesto Base'!B10</f>
        <v>Cama de asiento compactada</v>
      </c>
      <c r="D315" t="str">
        <f>'Presupuesto Base'!C10</f>
        <v>ml</v>
      </c>
      <c r="E315">
        <f>'Presupuesto Base'!D10</f>
        <v>4200</v>
      </c>
      <c r="F315" s="77">
        <f>'Presupuesto Base'!E10</f>
        <v>1705.3653417289784</v>
      </c>
      <c r="G315" s="77">
        <f>'Presupuesto Base'!F10</f>
        <v>7162534.4352617087</v>
      </c>
      <c r="H315">
        <f>SUMIFS(Medicion!$K$6:$K$511,Medicion!$G$6:$G$511,$B315,Medicion!$A$6:$A$511,"&lt;"&amp;$A315)</f>
        <v>845</v>
      </c>
      <c r="I315">
        <f>SUMIFS(Medicion!$K$6:$K$511,Medicion!$G$6:$G$511,$B315,Medicion!$A$6:$A$511,$A315)</f>
        <v>0</v>
      </c>
      <c r="J315">
        <f t="shared" si="28"/>
        <v>845</v>
      </c>
      <c r="K315" s="77">
        <f t="shared" si="29"/>
        <v>1441033.7137609867</v>
      </c>
      <c r="L315" s="77">
        <f t="shared" si="30"/>
        <v>0</v>
      </c>
      <c r="M315" s="77">
        <f t="shared" si="31"/>
        <v>1441033.7137609867</v>
      </c>
      <c r="N315" s="77">
        <f t="shared" si="32"/>
        <v>5721500.7215007218</v>
      </c>
      <c r="O315" s="100">
        <f t="shared" si="33"/>
        <v>0.2011904761904762</v>
      </c>
      <c r="P315" t="str">
        <f t="shared" si="34"/>
        <v>OK</v>
      </c>
    </row>
    <row r="316" spans="1:16">
      <c r="A316">
        <v>18</v>
      </c>
      <c r="B316" t="str">
        <f>'Presupuesto Base'!A11</f>
        <v>5.1</v>
      </c>
      <c r="C316" t="str">
        <f>'Presupuesto Base'!B11</f>
        <v>PEAD PN10 Ø75 – provisión e instalación</v>
      </c>
      <c r="D316" t="str">
        <f>'Presupuesto Base'!C11</f>
        <v>ml</v>
      </c>
      <c r="E316">
        <f>'Presupuesto Base'!D11</f>
        <v>3170</v>
      </c>
      <c r="F316" s="77">
        <f>'Presupuesto Base'!E11</f>
        <v>5784.2549382555126</v>
      </c>
      <c r="G316" s="77">
        <f>'Presupuesto Base'!F11</f>
        <v>18336088.154269975</v>
      </c>
      <c r="H316">
        <f>SUMIFS(Medicion!$K$6:$K$511,Medicion!$G$6:$G$511,$B316,Medicion!$A$6:$A$511,"&lt;"&amp;$A316)</f>
        <v>558</v>
      </c>
      <c r="I316">
        <f>SUMIFS(Medicion!$K$6:$K$511,Medicion!$G$6:$G$511,$B316,Medicion!$A$6:$A$511,$A316)</f>
        <v>0</v>
      </c>
      <c r="J316">
        <f t="shared" si="28"/>
        <v>558</v>
      </c>
      <c r="K316" s="77">
        <f t="shared" si="29"/>
        <v>3227614.2555465759</v>
      </c>
      <c r="L316" s="77">
        <f t="shared" si="30"/>
        <v>0</v>
      </c>
      <c r="M316" s="77">
        <f t="shared" si="31"/>
        <v>3227614.2555465759</v>
      </c>
      <c r="N316" s="77">
        <f t="shared" si="32"/>
        <v>15108473.898723399</v>
      </c>
      <c r="O316" s="100">
        <f t="shared" si="33"/>
        <v>0.17602523659305994</v>
      </c>
      <c r="P316" t="str">
        <f t="shared" si="34"/>
        <v>OK</v>
      </c>
    </row>
    <row r="317" spans="1:16">
      <c r="A317">
        <v>18</v>
      </c>
      <c r="B317" t="str">
        <f>'Presupuesto Base'!A12</f>
        <v>5.2</v>
      </c>
      <c r="C317" t="str">
        <f>'Presupuesto Base'!B12</f>
        <v>PEAD PN10 Ø110 – provisión e instalación</v>
      </c>
      <c r="D317" t="str">
        <f>'Presupuesto Base'!C12</f>
        <v>ml</v>
      </c>
      <c r="E317">
        <f>'Presupuesto Base'!D12</f>
        <v>1030</v>
      </c>
      <c r="F317" s="77">
        <f>'Presupuesto Base'!E12</f>
        <v>12238.893792291852</v>
      </c>
      <c r="G317" s="77">
        <f>'Presupuesto Base'!F12</f>
        <v>12606060.606060607</v>
      </c>
      <c r="H317">
        <f>SUMIFS(Medicion!$K$6:$K$511,Medicion!$G$6:$G$511,$B317,Medicion!$A$6:$A$511,"&lt;"&amp;$A317)</f>
        <v>287</v>
      </c>
      <c r="I317">
        <f>SUMIFS(Medicion!$K$6:$K$511,Medicion!$G$6:$G$511,$B317,Medicion!$A$6:$A$511,$A317)</f>
        <v>0</v>
      </c>
      <c r="J317">
        <f t="shared" si="28"/>
        <v>287</v>
      </c>
      <c r="K317" s="77">
        <f t="shared" si="29"/>
        <v>3512562.5183877614</v>
      </c>
      <c r="L317" s="77">
        <f t="shared" si="30"/>
        <v>0</v>
      </c>
      <c r="M317" s="77">
        <f t="shared" si="31"/>
        <v>3512562.5183877614</v>
      </c>
      <c r="N317" s="77">
        <f t="shared" si="32"/>
        <v>9093498.0876728464</v>
      </c>
      <c r="O317" s="100">
        <f t="shared" si="33"/>
        <v>0.27864077669902915</v>
      </c>
      <c r="P317" t="str">
        <f t="shared" si="34"/>
        <v>OK</v>
      </c>
    </row>
    <row r="318" spans="1:16">
      <c r="A318">
        <v>18</v>
      </c>
      <c r="B318" t="str">
        <f>'Presupuesto Base'!A13</f>
        <v>6</v>
      </c>
      <c r="C318" t="str">
        <f>'Presupuesto Base'!B13</f>
        <v>Ejecución de paquete estructural de 30 cm</v>
      </c>
      <c r="D318" t="str">
        <f>'Presupuesto Base'!C13</f>
        <v>ml</v>
      </c>
      <c r="E318">
        <f>'Presupuesto Base'!D13</f>
        <v>4200</v>
      </c>
      <c r="F318" s="77">
        <f>'Presupuesto Base'!E13</f>
        <v>3274.3014561196383</v>
      </c>
      <c r="G318" s="77">
        <f>'Presupuesto Base'!F13</f>
        <v>13752066.11570248</v>
      </c>
      <c r="H318">
        <f>SUMIFS(Medicion!$K$6:$K$511,Medicion!$G$6:$G$511,$B318,Medicion!$A$6:$A$511,"&lt;"&amp;$A318)</f>
        <v>763</v>
      </c>
      <c r="I318">
        <f>SUMIFS(Medicion!$K$6:$K$511,Medicion!$G$6:$G$511,$B318,Medicion!$A$6:$A$511,$A318)</f>
        <v>0</v>
      </c>
      <c r="J318">
        <f t="shared" si="28"/>
        <v>763</v>
      </c>
      <c r="K318" s="77">
        <f t="shared" si="29"/>
        <v>2498292.0110192839</v>
      </c>
      <c r="L318" s="77">
        <f t="shared" si="30"/>
        <v>0</v>
      </c>
      <c r="M318" s="77">
        <f t="shared" si="31"/>
        <v>2498292.0110192839</v>
      </c>
      <c r="N318" s="77">
        <f t="shared" si="32"/>
        <v>11253774.104683196</v>
      </c>
      <c r="O318" s="100">
        <f t="shared" si="33"/>
        <v>0.18166666666666667</v>
      </c>
      <c r="P318" t="str">
        <f t="shared" si="34"/>
        <v>OK</v>
      </c>
    </row>
    <row r="319" spans="1:16">
      <c r="A319">
        <v>18</v>
      </c>
      <c r="B319" t="str">
        <f>'Presupuesto Base'!A14</f>
        <v>7</v>
      </c>
      <c r="C319" t="str">
        <f>'Presupuesto Base'!B14</f>
        <v>Compactación del paquete estructural de 30 cm</v>
      </c>
      <c r="D319" t="str">
        <f>'Presupuesto Base'!C14</f>
        <v>ml</v>
      </c>
      <c r="E319">
        <f>'Presupuesto Base'!D14</f>
        <v>4200</v>
      </c>
      <c r="F319" s="77">
        <f>'Presupuesto Base'!E14</f>
        <v>1227.8630460448644</v>
      </c>
      <c r="G319" s="77">
        <f>'Presupuesto Base'!F14</f>
        <v>5157024.79338843</v>
      </c>
      <c r="H319">
        <f>SUMIFS(Medicion!$K$6:$K$511,Medicion!$G$6:$G$511,$B319,Medicion!$A$6:$A$511,"&lt;"&amp;$A319)</f>
        <v>0</v>
      </c>
      <c r="I319">
        <f>SUMIFS(Medicion!$K$6:$K$511,Medicion!$G$6:$G$511,$B319,Medicion!$A$6:$A$511,$A319)</f>
        <v>0</v>
      </c>
      <c r="J319">
        <f t="shared" si="28"/>
        <v>0</v>
      </c>
      <c r="K319" s="77">
        <f t="shared" si="29"/>
        <v>0</v>
      </c>
      <c r="L319" s="77">
        <f t="shared" si="30"/>
        <v>0</v>
      </c>
      <c r="M319" s="77">
        <f t="shared" si="31"/>
        <v>0</v>
      </c>
      <c r="N319" s="77">
        <f t="shared" si="32"/>
        <v>5157024.79338843</v>
      </c>
      <c r="O319" s="100">
        <f t="shared" si="33"/>
        <v>0</v>
      </c>
      <c r="P319" t="str">
        <f t="shared" si="34"/>
        <v>OK</v>
      </c>
    </row>
    <row r="320" spans="1:16">
      <c r="A320">
        <v>18</v>
      </c>
      <c r="B320" t="str">
        <f>'Presupuesto Base'!A15</f>
        <v>8</v>
      </c>
      <c r="C320" t="str">
        <f>'Presupuesto Base'!B15</f>
        <v>Ejecución y compactación de capa cota -0,60</v>
      </c>
      <c r="D320" t="str">
        <f>'Presupuesto Base'!C15</f>
        <v>ml</v>
      </c>
      <c r="E320">
        <f>'Presupuesto Base'!D15</f>
        <v>4200</v>
      </c>
      <c r="F320" s="77">
        <f>'Presupuesto Base'!E15</f>
        <v>2592.1553194280468</v>
      </c>
      <c r="G320" s="77">
        <f>'Presupuesto Base'!F15</f>
        <v>10887052.341597797</v>
      </c>
      <c r="H320">
        <f>SUMIFS(Medicion!$K$6:$K$511,Medicion!$G$6:$G$511,$B320,Medicion!$A$6:$A$511,"&lt;"&amp;$A320)</f>
        <v>0</v>
      </c>
      <c r="I320">
        <f>SUMIFS(Medicion!$K$6:$K$511,Medicion!$G$6:$G$511,$B320,Medicion!$A$6:$A$511,$A320)</f>
        <v>0</v>
      </c>
      <c r="J320">
        <f t="shared" si="28"/>
        <v>0</v>
      </c>
      <c r="K320" s="77">
        <f t="shared" si="29"/>
        <v>0</v>
      </c>
      <c r="L320" s="77">
        <f t="shared" si="30"/>
        <v>0</v>
      </c>
      <c r="M320" s="77">
        <f t="shared" si="31"/>
        <v>0</v>
      </c>
      <c r="N320" s="77">
        <f t="shared" si="32"/>
        <v>10887052.341597797</v>
      </c>
      <c r="O320" s="100">
        <f t="shared" si="33"/>
        <v>0</v>
      </c>
      <c r="P320" t="str">
        <f t="shared" si="34"/>
        <v>OK</v>
      </c>
    </row>
    <row r="321" spans="1:16">
      <c r="A321">
        <v>18</v>
      </c>
      <c r="B321" t="str">
        <f>'Presupuesto Base'!A16</f>
        <v>9</v>
      </c>
      <c r="C321" t="str">
        <f>'Presupuesto Base'!B16</f>
        <v>Ejecución y compactación de capa cota -0,30</v>
      </c>
      <c r="D321" t="str">
        <f>'Presupuesto Base'!C16</f>
        <v>ml</v>
      </c>
      <c r="E321">
        <f>'Presupuesto Base'!D16</f>
        <v>4200</v>
      </c>
      <c r="F321" s="77">
        <f>'Presupuesto Base'!E16</f>
        <v>2182.8676374130923</v>
      </c>
      <c r="G321" s="77">
        <f>'Presupuesto Base'!F16</f>
        <v>9168044.0771349873</v>
      </c>
      <c r="H321">
        <f>SUMIFS(Medicion!$K$6:$K$511,Medicion!$G$6:$G$511,$B321,Medicion!$A$6:$A$511,"&lt;"&amp;$A321)</f>
        <v>0</v>
      </c>
      <c r="I321">
        <f>SUMIFS(Medicion!$K$6:$K$511,Medicion!$G$6:$G$511,$B321,Medicion!$A$6:$A$511,$A321)</f>
        <v>0</v>
      </c>
      <c r="J321">
        <f t="shared" si="28"/>
        <v>0</v>
      </c>
      <c r="K321" s="77">
        <f t="shared" si="29"/>
        <v>0</v>
      </c>
      <c r="L321" s="77">
        <f t="shared" si="30"/>
        <v>0</v>
      </c>
      <c r="M321" s="77">
        <f t="shared" si="31"/>
        <v>0</v>
      </c>
      <c r="N321" s="77">
        <f t="shared" si="32"/>
        <v>9168044.0771349873</v>
      </c>
      <c r="O321" s="100">
        <f t="shared" si="33"/>
        <v>0</v>
      </c>
      <c r="P321" t="str">
        <f t="shared" si="34"/>
        <v>OK</v>
      </c>
    </row>
    <row r="322" spans="1:16">
      <c r="A322">
        <v>18</v>
      </c>
      <c r="B322" t="str">
        <f>'Presupuesto Base'!A17</f>
        <v>10.1</v>
      </c>
      <c r="C322" t="str">
        <f>'Presupuesto Base'!B17</f>
        <v>Conexión domiciliaria sobre red Ø75</v>
      </c>
      <c r="D322" t="str">
        <f>'Presupuesto Base'!C17</f>
        <v>un</v>
      </c>
      <c r="E322">
        <f>'Presupuesto Base'!D17</f>
        <v>165</v>
      </c>
      <c r="F322" s="77">
        <f>'Presupuesto Base'!E17</f>
        <v>48618.415560564332</v>
      </c>
      <c r="G322" s="77">
        <f>'Presupuesto Base'!F17</f>
        <v>8022038.5674931146</v>
      </c>
      <c r="H322">
        <f>SUMIFS(Medicion!$K$6:$K$511,Medicion!$G$6:$G$511,$B322,Medicion!$A$6:$A$511,"&lt;"&amp;$A322)</f>
        <v>5</v>
      </c>
      <c r="I322">
        <f>SUMIFS(Medicion!$K$6:$K$511,Medicion!$G$6:$G$511,$B322,Medicion!$A$6:$A$511,$A322)</f>
        <v>0</v>
      </c>
      <c r="J322">
        <f t="shared" si="28"/>
        <v>5</v>
      </c>
      <c r="K322" s="77">
        <f t="shared" si="29"/>
        <v>243092.07780282164</v>
      </c>
      <c r="L322" s="77">
        <f t="shared" si="30"/>
        <v>0</v>
      </c>
      <c r="M322" s="77">
        <f t="shared" si="31"/>
        <v>243092.07780282164</v>
      </c>
      <c r="N322" s="77">
        <f t="shared" si="32"/>
        <v>7778946.4896902926</v>
      </c>
      <c r="O322" s="100">
        <f t="shared" si="33"/>
        <v>3.0303030303030304E-2</v>
      </c>
      <c r="P322" t="str">
        <f t="shared" si="34"/>
        <v>OK</v>
      </c>
    </row>
    <row r="323" spans="1:16">
      <c r="A323">
        <v>18</v>
      </c>
      <c r="B323" t="str">
        <f>'Presupuesto Base'!A18</f>
        <v>10.2</v>
      </c>
      <c r="C323" t="str">
        <f>'Presupuesto Base'!B18</f>
        <v>Conexión domiciliaria sobre red Ø110</v>
      </c>
      <c r="D323" t="str">
        <f>'Presupuesto Base'!C18</f>
        <v>un</v>
      </c>
      <c r="E323">
        <f>'Presupuesto Base'!D18</f>
        <v>62</v>
      </c>
      <c r="F323" s="77">
        <f>'Presupuesto Base'!E18</f>
        <v>55451.879498800321</v>
      </c>
      <c r="G323" s="77">
        <f>'Presupuesto Base'!F18</f>
        <v>3438016.52892562</v>
      </c>
      <c r="H323">
        <f>SUMIFS(Medicion!$K$6:$K$511,Medicion!$G$6:$G$511,$B323,Medicion!$A$6:$A$511,"&lt;"&amp;$A323)</f>
        <v>2</v>
      </c>
      <c r="I323">
        <f>SUMIFS(Medicion!$K$6:$K$511,Medicion!$G$6:$G$511,$B323,Medicion!$A$6:$A$511,$A323)</f>
        <v>0</v>
      </c>
      <c r="J323">
        <f t="shared" si="28"/>
        <v>2</v>
      </c>
      <c r="K323" s="77">
        <f t="shared" si="29"/>
        <v>110903.75899760064</v>
      </c>
      <c r="L323" s="77">
        <f t="shared" si="30"/>
        <v>0</v>
      </c>
      <c r="M323" s="77">
        <f t="shared" si="31"/>
        <v>110903.75899760064</v>
      </c>
      <c r="N323" s="77">
        <f t="shared" si="32"/>
        <v>3327112.7699280195</v>
      </c>
      <c r="O323" s="100">
        <f t="shared" si="33"/>
        <v>3.2258064516129031E-2</v>
      </c>
      <c r="P323" t="str">
        <f t="shared" si="34"/>
        <v>OK</v>
      </c>
    </row>
    <row r="324" spans="1:16">
      <c r="A324">
        <v>18</v>
      </c>
      <c r="B324" t="str">
        <f>'Presupuesto Base'!A19</f>
        <v>11.1</v>
      </c>
      <c r="C324" t="str">
        <f>'Presupuesto Base'!B19</f>
        <v>Válvula esclusa Ø75 completa e instalada</v>
      </c>
      <c r="D324" t="str">
        <f>'Presupuesto Base'!C19</f>
        <v>un</v>
      </c>
      <c r="E324">
        <f>'Presupuesto Base'!D19</f>
        <v>2</v>
      </c>
      <c r="F324" s="77">
        <f>'Presupuesto Base'!E19</f>
        <v>286501.37741046835</v>
      </c>
      <c r="G324" s="77">
        <f>'Presupuesto Base'!F19</f>
        <v>573002.75482093671</v>
      </c>
      <c r="H324">
        <f>SUMIFS(Medicion!$K$6:$K$511,Medicion!$G$6:$G$511,$B324,Medicion!$A$6:$A$511,"&lt;"&amp;$A324)</f>
        <v>0</v>
      </c>
      <c r="I324">
        <f>SUMIFS(Medicion!$K$6:$K$511,Medicion!$G$6:$G$511,$B324,Medicion!$A$6:$A$511,$A324)</f>
        <v>0</v>
      </c>
      <c r="J324">
        <f t="shared" si="28"/>
        <v>0</v>
      </c>
      <c r="K324" s="77">
        <f t="shared" si="29"/>
        <v>0</v>
      </c>
      <c r="L324" s="77">
        <f t="shared" si="30"/>
        <v>0</v>
      </c>
      <c r="M324" s="77">
        <f t="shared" si="31"/>
        <v>0</v>
      </c>
      <c r="N324" s="77">
        <f t="shared" si="32"/>
        <v>573002.75482093671</v>
      </c>
      <c r="O324" s="100">
        <f t="shared" si="33"/>
        <v>0</v>
      </c>
      <c r="P324" t="str">
        <f t="shared" si="34"/>
        <v>OK</v>
      </c>
    </row>
    <row r="325" spans="1:16">
      <c r="A325">
        <v>18</v>
      </c>
      <c r="B325" t="str">
        <f>'Presupuesto Base'!A20</f>
        <v>11.2</v>
      </c>
      <c r="C325" t="str">
        <f>'Presupuesto Base'!B20</f>
        <v>Válvula esclusa Ø100 completa e instalada</v>
      </c>
      <c r="D325" t="str">
        <f>'Presupuesto Base'!C20</f>
        <v>un</v>
      </c>
      <c r="E325">
        <f>'Presupuesto Base'!D20</f>
        <v>4</v>
      </c>
      <c r="F325" s="77">
        <f>'Presupuesto Base'!E20</f>
        <v>429752.0661157025</v>
      </c>
      <c r="G325" s="77">
        <f>'Presupuesto Base'!F20</f>
        <v>1719008.26446281</v>
      </c>
      <c r="H325">
        <f>SUMIFS(Medicion!$K$6:$K$511,Medicion!$G$6:$G$511,$B325,Medicion!$A$6:$A$511,"&lt;"&amp;$A325)</f>
        <v>0</v>
      </c>
      <c r="I325">
        <f>SUMIFS(Medicion!$K$6:$K$511,Medicion!$G$6:$G$511,$B325,Medicion!$A$6:$A$511,$A325)</f>
        <v>0</v>
      </c>
      <c r="J325">
        <f t="shared" si="28"/>
        <v>0</v>
      </c>
      <c r="K325" s="77">
        <f t="shared" si="29"/>
        <v>0</v>
      </c>
      <c r="L325" s="77">
        <f t="shared" si="30"/>
        <v>0</v>
      </c>
      <c r="M325" s="77">
        <f t="shared" si="31"/>
        <v>0</v>
      </c>
      <c r="N325" s="77">
        <f t="shared" si="32"/>
        <v>1719008.26446281</v>
      </c>
      <c r="O325" s="100">
        <f t="shared" si="33"/>
        <v>0</v>
      </c>
      <c r="P325" t="str">
        <f t="shared" si="34"/>
        <v>OK</v>
      </c>
    </row>
    <row r="326" spans="1:16">
      <c r="A326">
        <v>18</v>
      </c>
      <c r="B326" t="str">
        <f>'Presupuesto Base'!A21</f>
        <v>12</v>
      </c>
      <c r="C326" t="str">
        <f>'Presupuesto Base'!B21</f>
        <v>Hidrante a bola completo e instalado</v>
      </c>
      <c r="D326" t="str">
        <f>'Presupuesto Base'!C21</f>
        <v>un</v>
      </c>
      <c r="E326">
        <f>'Presupuesto Base'!D21</f>
        <v>15</v>
      </c>
      <c r="F326" s="77">
        <f>'Presupuesto Base'!E21</f>
        <v>114600.55096418734</v>
      </c>
      <c r="G326" s="77">
        <f>'Presupuesto Base'!F21</f>
        <v>1719008.26446281</v>
      </c>
      <c r="H326">
        <f>SUMIFS(Medicion!$K$6:$K$511,Medicion!$G$6:$G$511,$B326,Medicion!$A$6:$A$511,"&lt;"&amp;$A326)</f>
        <v>0</v>
      </c>
      <c r="I326">
        <f>SUMIFS(Medicion!$K$6:$K$511,Medicion!$G$6:$G$511,$B326,Medicion!$A$6:$A$511,$A326)</f>
        <v>0</v>
      </c>
      <c r="J326">
        <f t="shared" ref="J326:J389" si="35">MIN(E326,H326+I326)</f>
        <v>0</v>
      </c>
      <c r="K326" s="77">
        <f t="shared" ref="K326:K389" si="36">MIN(G326,H326*F326)</f>
        <v>0</v>
      </c>
      <c r="L326" s="77">
        <f t="shared" ref="L326:L389" si="37">MIN(G326-K326,I326*F326)</f>
        <v>0</v>
      </c>
      <c r="M326" s="77">
        <f t="shared" ref="M326:M389" si="38">K326+L326</f>
        <v>0</v>
      </c>
      <c r="N326" s="77">
        <f t="shared" ref="N326:N389" si="39">MAX(0,G326-M326)</f>
        <v>1719008.26446281</v>
      </c>
      <c r="O326" s="100">
        <f t="shared" ref="O326:O389" si="40">IFERROR(J326/E326,0)</f>
        <v>0</v>
      </c>
      <c r="P326" t="str">
        <f t="shared" ref="P326:P389" si="41">IF(OR(H326+I326&gt;E326+0.000001,H326&lt;0,I326&lt;0),"REVISAR","OK")</f>
        <v>OK</v>
      </c>
    </row>
    <row r="327" spans="1:16">
      <c r="A327">
        <v>18</v>
      </c>
      <c r="B327" t="str">
        <f>'Presupuesto Base'!A22</f>
        <v>13.1</v>
      </c>
      <c r="C327" t="str">
        <f>'Presupuesto Base'!B22</f>
        <v>Pruebas hidráulicas y operativas</v>
      </c>
      <c r="D327" t="str">
        <f>'Presupuesto Base'!C22</f>
        <v>gl</v>
      </c>
      <c r="E327">
        <f>'Presupuesto Base'!D22</f>
        <v>1</v>
      </c>
      <c r="F327" s="77">
        <f>'Presupuesto Base'!E22</f>
        <v>1719008.26446281</v>
      </c>
      <c r="G327" s="77">
        <f>'Presupuesto Base'!F22</f>
        <v>1719008.26446281</v>
      </c>
      <c r="H327">
        <f>SUMIFS(Medicion!$K$6:$K$511,Medicion!$G$6:$G$511,$B327,Medicion!$A$6:$A$511,"&lt;"&amp;$A327)</f>
        <v>0</v>
      </c>
      <c r="I327">
        <f>SUMIFS(Medicion!$K$6:$K$511,Medicion!$G$6:$G$511,$B327,Medicion!$A$6:$A$511,$A327)</f>
        <v>0</v>
      </c>
      <c r="J327">
        <f t="shared" si="35"/>
        <v>0</v>
      </c>
      <c r="K327" s="77">
        <f t="shared" si="36"/>
        <v>0</v>
      </c>
      <c r="L327" s="77">
        <f t="shared" si="37"/>
        <v>0</v>
      </c>
      <c r="M327" s="77">
        <f t="shared" si="38"/>
        <v>0</v>
      </c>
      <c r="N327" s="77">
        <f t="shared" si="39"/>
        <v>1719008.26446281</v>
      </c>
      <c r="O327" s="100">
        <f t="shared" si="40"/>
        <v>0</v>
      </c>
      <c r="P327" t="str">
        <f t="shared" si="41"/>
        <v>OK</v>
      </c>
    </row>
    <row r="328" spans="1:16">
      <c r="A328">
        <v>18</v>
      </c>
      <c r="B328" t="str">
        <f>'Presupuesto Base'!A23</f>
        <v>13.2</v>
      </c>
      <c r="C328" t="str">
        <f>'Presupuesto Base'!B23</f>
        <v>Terminaciones y acondicionamiento final</v>
      </c>
      <c r="D328" t="str">
        <f>'Presupuesto Base'!C23</f>
        <v>gl</v>
      </c>
      <c r="E328">
        <f>'Presupuesto Base'!D23</f>
        <v>1</v>
      </c>
      <c r="F328" s="77">
        <f>'Presupuesto Base'!E23</f>
        <v>1146005.5096418734</v>
      </c>
      <c r="G328" s="77">
        <f>'Presupuesto Base'!F23</f>
        <v>1146005.5096418734</v>
      </c>
      <c r="H328">
        <f>SUMIFS(Medicion!$K$6:$K$511,Medicion!$G$6:$G$511,$B328,Medicion!$A$6:$A$511,"&lt;"&amp;$A328)</f>
        <v>0</v>
      </c>
      <c r="I328">
        <f>SUMIFS(Medicion!$K$6:$K$511,Medicion!$G$6:$G$511,$B328,Medicion!$A$6:$A$511,$A328)</f>
        <v>0</v>
      </c>
      <c r="J328">
        <f t="shared" si="35"/>
        <v>0</v>
      </c>
      <c r="K328" s="77">
        <f t="shared" si="36"/>
        <v>0</v>
      </c>
      <c r="L328" s="77">
        <f t="shared" si="37"/>
        <v>0</v>
      </c>
      <c r="M328" s="77">
        <f t="shared" si="38"/>
        <v>0</v>
      </c>
      <c r="N328" s="77">
        <f t="shared" si="39"/>
        <v>1146005.5096418734</v>
      </c>
      <c r="O328" s="100">
        <f t="shared" si="40"/>
        <v>0</v>
      </c>
      <c r="P328" t="str">
        <f t="shared" si="41"/>
        <v>OK</v>
      </c>
    </row>
    <row r="329" spans="1:16">
      <c r="A329">
        <v>18</v>
      </c>
      <c r="B329" t="str">
        <f>'Presupuesto Base'!A24</f>
        <v>13.3</v>
      </c>
      <c r="C329" t="str">
        <f>'Presupuesto Base'!B24</f>
        <v>Documentación conforme a obra y cierre</v>
      </c>
      <c r="D329" t="str">
        <f>'Presupuesto Base'!C24</f>
        <v>gl</v>
      </c>
      <c r="E329">
        <f>'Presupuesto Base'!D24</f>
        <v>1</v>
      </c>
      <c r="F329" s="77">
        <f>'Presupuesto Base'!E24</f>
        <v>859504.132231405</v>
      </c>
      <c r="G329" s="77">
        <f>'Presupuesto Base'!F24</f>
        <v>859504.132231405</v>
      </c>
      <c r="H329">
        <f>SUMIFS(Medicion!$K$6:$K$511,Medicion!$G$6:$G$511,$B329,Medicion!$A$6:$A$511,"&lt;"&amp;$A329)</f>
        <v>0</v>
      </c>
      <c r="I329">
        <f>SUMIFS(Medicion!$K$6:$K$511,Medicion!$G$6:$G$511,$B329,Medicion!$A$6:$A$511,$A329)</f>
        <v>0</v>
      </c>
      <c r="J329">
        <f t="shared" si="35"/>
        <v>0</v>
      </c>
      <c r="K329" s="77">
        <f t="shared" si="36"/>
        <v>0</v>
      </c>
      <c r="L329" s="77">
        <f t="shared" si="37"/>
        <v>0</v>
      </c>
      <c r="M329" s="77">
        <f t="shared" si="38"/>
        <v>0</v>
      </c>
      <c r="N329" s="77">
        <f t="shared" si="39"/>
        <v>859504.132231405</v>
      </c>
      <c r="O329" s="100">
        <f t="shared" si="40"/>
        <v>0</v>
      </c>
      <c r="P329" t="str">
        <f t="shared" si="41"/>
        <v>OK</v>
      </c>
    </row>
    <row r="330" spans="1:16">
      <c r="A330">
        <v>19</v>
      </c>
      <c r="B330" t="str">
        <f>'Presupuesto Base'!A7</f>
        <v>1</v>
      </c>
      <c r="C330" t="str">
        <f>'Presupuesto Base'!B7</f>
        <v>Replanteo y marcación de traza</v>
      </c>
      <c r="D330" t="str">
        <f>'Presupuesto Base'!C7</f>
        <v>ml</v>
      </c>
      <c r="E330">
        <f>'Presupuesto Base'!D7</f>
        <v>4200</v>
      </c>
      <c r="F330" s="77">
        <f>'Presupuesto Base'!E7</f>
        <v>204.64384100747739</v>
      </c>
      <c r="G330" s="77">
        <f>'Presupuesto Base'!F7</f>
        <v>859504.132231405</v>
      </c>
      <c r="H330">
        <f>SUMIFS(Medicion!$K$6:$K$511,Medicion!$G$6:$G$511,$B330,Medicion!$A$6:$A$511,"&lt;"&amp;$A330)</f>
        <v>845</v>
      </c>
      <c r="I330">
        <f>SUMIFS(Medicion!$K$6:$K$511,Medicion!$G$6:$G$511,$B330,Medicion!$A$6:$A$511,$A330)</f>
        <v>0</v>
      </c>
      <c r="J330">
        <f t="shared" si="35"/>
        <v>845</v>
      </c>
      <c r="K330" s="77">
        <f t="shared" si="36"/>
        <v>172924.04565131839</v>
      </c>
      <c r="L330" s="77">
        <f t="shared" si="37"/>
        <v>0</v>
      </c>
      <c r="M330" s="77">
        <f t="shared" si="38"/>
        <v>172924.04565131839</v>
      </c>
      <c r="N330" s="77">
        <f t="shared" si="39"/>
        <v>686580.08658008662</v>
      </c>
      <c r="O330" s="100">
        <f t="shared" si="40"/>
        <v>0.2011904761904762</v>
      </c>
      <c r="P330" t="str">
        <f t="shared" si="41"/>
        <v>OK</v>
      </c>
    </row>
    <row r="331" spans="1:16">
      <c r="A331">
        <v>19</v>
      </c>
      <c r="B331" t="str">
        <f>'Presupuesto Base'!A8</f>
        <v>2</v>
      </c>
      <c r="C331" t="str">
        <f>'Presupuesto Base'!B8</f>
        <v>Excavación de zanja</v>
      </c>
      <c r="D331" t="str">
        <f>'Presupuesto Base'!C8</f>
        <v>ml</v>
      </c>
      <c r="E331">
        <f>'Presupuesto Base'!D8</f>
        <v>4200</v>
      </c>
      <c r="F331" s="77">
        <f>'Presupuesto Base'!E8</f>
        <v>3683.5891381345932</v>
      </c>
      <c r="G331" s="77">
        <f>'Presupuesto Base'!F8</f>
        <v>15471074.380165292</v>
      </c>
      <c r="H331">
        <f>SUMIFS(Medicion!$K$6:$K$511,Medicion!$G$6:$G$511,$B331,Medicion!$A$6:$A$511,"&lt;"&amp;$A331)</f>
        <v>845</v>
      </c>
      <c r="I331">
        <f>SUMIFS(Medicion!$K$6:$K$511,Medicion!$G$6:$G$511,$B331,Medicion!$A$6:$A$511,$A331)</f>
        <v>0</v>
      </c>
      <c r="J331">
        <f t="shared" si="35"/>
        <v>845</v>
      </c>
      <c r="K331" s="77">
        <f t="shared" si="36"/>
        <v>3112632.8217237312</v>
      </c>
      <c r="L331" s="77">
        <f t="shared" si="37"/>
        <v>0</v>
      </c>
      <c r="M331" s="77">
        <f t="shared" si="38"/>
        <v>3112632.8217237312</v>
      </c>
      <c r="N331" s="77">
        <f t="shared" si="39"/>
        <v>12358441.558441561</v>
      </c>
      <c r="O331" s="100">
        <f t="shared" si="40"/>
        <v>0.2011904761904762</v>
      </c>
      <c r="P331" t="str">
        <f t="shared" si="41"/>
        <v>OK</v>
      </c>
    </row>
    <row r="332" spans="1:16">
      <c r="A332">
        <v>19</v>
      </c>
      <c r="B332" t="str">
        <f>'Presupuesto Base'!A9</f>
        <v>3</v>
      </c>
      <c r="C332" t="str">
        <f>'Presupuesto Base'!B9</f>
        <v>Nivelación y conformación del fondo de zanja</v>
      </c>
      <c r="D332" t="str">
        <f>'Presupuesto Base'!C9</f>
        <v>ml</v>
      </c>
      <c r="E332">
        <f>'Presupuesto Base'!D9</f>
        <v>4200</v>
      </c>
      <c r="F332" s="77">
        <f>'Presupuesto Base'!E9</f>
        <v>477.50229568411396</v>
      </c>
      <c r="G332" s="77">
        <f>'Presupuesto Base'!F9</f>
        <v>2005509.6418732787</v>
      </c>
      <c r="H332">
        <f>SUMIFS(Medicion!$K$6:$K$511,Medicion!$G$6:$G$511,$B332,Medicion!$A$6:$A$511,"&lt;"&amp;$A332)</f>
        <v>845</v>
      </c>
      <c r="I332">
        <f>SUMIFS(Medicion!$K$6:$K$511,Medicion!$G$6:$G$511,$B332,Medicion!$A$6:$A$511,$A332)</f>
        <v>0</v>
      </c>
      <c r="J332">
        <f t="shared" si="35"/>
        <v>845</v>
      </c>
      <c r="K332" s="77">
        <f t="shared" si="36"/>
        <v>403489.4398530763</v>
      </c>
      <c r="L332" s="77">
        <f t="shared" si="37"/>
        <v>0</v>
      </c>
      <c r="M332" s="77">
        <f t="shared" si="38"/>
        <v>403489.4398530763</v>
      </c>
      <c r="N332" s="77">
        <f t="shared" si="39"/>
        <v>1602020.2020202023</v>
      </c>
      <c r="O332" s="100">
        <f t="shared" si="40"/>
        <v>0.2011904761904762</v>
      </c>
      <c r="P332" t="str">
        <f t="shared" si="41"/>
        <v>OK</v>
      </c>
    </row>
    <row r="333" spans="1:16">
      <c r="A333">
        <v>19</v>
      </c>
      <c r="B333" t="str">
        <f>'Presupuesto Base'!A10</f>
        <v>4</v>
      </c>
      <c r="C333" t="str">
        <f>'Presupuesto Base'!B10</f>
        <v>Cama de asiento compactada</v>
      </c>
      <c r="D333" t="str">
        <f>'Presupuesto Base'!C10</f>
        <v>ml</v>
      </c>
      <c r="E333">
        <f>'Presupuesto Base'!D10</f>
        <v>4200</v>
      </c>
      <c r="F333" s="77">
        <f>'Presupuesto Base'!E10</f>
        <v>1705.3653417289784</v>
      </c>
      <c r="G333" s="77">
        <f>'Presupuesto Base'!F10</f>
        <v>7162534.4352617087</v>
      </c>
      <c r="H333">
        <f>SUMIFS(Medicion!$K$6:$K$511,Medicion!$G$6:$G$511,$B333,Medicion!$A$6:$A$511,"&lt;"&amp;$A333)</f>
        <v>845</v>
      </c>
      <c r="I333">
        <f>SUMIFS(Medicion!$K$6:$K$511,Medicion!$G$6:$G$511,$B333,Medicion!$A$6:$A$511,$A333)</f>
        <v>0</v>
      </c>
      <c r="J333">
        <f t="shared" si="35"/>
        <v>845</v>
      </c>
      <c r="K333" s="77">
        <f t="shared" si="36"/>
        <v>1441033.7137609867</v>
      </c>
      <c r="L333" s="77">
        <f t="shared" si="37"/>
        <v>0</v>
      </c>
      <c r="M333" s="77">
        <f t="shared" si="38"/>
        <v>1441033.7137609867</v>
      </c>
      <c r="N333" s="77">
        <f t="shared" si="39"/>
        <v>5721500.7215007218</v>
      </c>
      <c r="O333" s="100">
        <f t="shared" si="40"/>
        <v>0.2011904761904762</v>
      </c>
      <c r="P333" t="str">
        <f t="shared" si="41"/>
        <v>OK</v>
      </c>
    </row>
    <row r="334" spans="1:16">
      <c r="A334">
        <v>19</v>
      </c>
      <c r="B334" t="str">
        <f>'Presupuesto Base'!A11</f>
        <v>5.1</v>
      </c>
      <c r="C334" t="str">
        <f>'Presupuesto Base'!B11</f>
        <v>PEAD PN10 Ø75 – provisión e instalación</v>
      </c>
      <c r="D334" t="str">
        <f>'Presupuesto Base'!C11</f>
        <v>ml</v>
      </c>
      <c r="E334">
        <f>'Presupuesto Base'!D11</f>
        <v>3170</v>
      </c>
      <c r="F334" s="77">
        <f>'Presupuesto Base'!E11</f>
        <v>5784.2549382555126</v>
      </c>
      <c r="G334" s="77">
        <f>'Presupuesto Base'!F11</f>
        <v>18336088.154269975</v>
      </c>
      <c r="H334">
        <f>SUMIFS(Medicion!$K$6:$K$511,Medicion!$G$6:$G$511,$B334,Medicion!$A$6:$A$511,"&lt;"&amp;$A334)</f>
        <v>558</v>
      </c>
      <c r="I334">
        <f>SUMIFS(Medicion!$K$6:$K$511,Medicion!$G$6:$G$511,$B334,Medicion!$A$6:$A$511,$A334)</f>
        <v>0</v>
      </c>
      <c r="J334">
        <f t="shared" si="35"/>
        <v>558</v>
      </c>
      <c r="K334" s="77">
        <f t="shared" si="36"/>
        <v>3227614.2555465759</v>
      </c>
      <c r="L334" s="77">
        <f t="shared" si="37"/>
        <v>0</v>
      </c>
      <c r="M334" s="77">
        <f t="shared" si="38"/>
        <v>3227614.2555465759</v>
      </c>
      <c r="N334" s="77">
        <f t="shared" si="39"/>
        <v>15108473.898723399</v>
      </c>
      <c r="O334" s="100">
        <f t="shared" si="40"/>
        <v>0.17602523659305994</v>
      </c>
      <c r="P334" t="str">
        <f t="shared" si="41"/>
        <v>OK</v>
      </c>
    </row>
    <row r="335" spans="1:16">
      <c r="A335">
        <v>19</v>
      </c>
      <c r="B335" t="str">
        <f>'Presupuesto Base'!A12</f>
        <v>5.2</v>
      </c>
      <c r="C335" t="str">
        <f>'Presupuesto Base'!B12</f>
        <v>PEAD PN10 Ø110 – provisión e instalación</v>
      </c>
      <c r="D335" t="str">
        <f>'Presupuesto Base'!C12</f>
        <v>ml</v>
      </c>
      <c r="E335">
        <f>'Presupuesto Base'!D12</f>
        <v>1030</v>
      </c>
      <c r="F335" s="77">
        <f>'Presupuesto Base'!E12</f>
        <v>12238.893792291852</v>
      </c>
      <c r="G335" s="77">
        <f>'Presupuesto Base'!F12</f>
        <v>12606060.606060607</v>
      </c>
      <c r="H335">
        <f>SUMIFS(Medicion!$K$6:$K$511,Medicion!$G$6:$G$511,$B335,Medicion!$A$6:$A$511,"&lt;"&amp;$A335)</f>
        <v>287</v>
      </c>
      <c r="I335">
        <f>SUMIFS(Medicion!$K$6:$K$511,Medicion!$G$6:$G$511,$B335,Medicion!$A$6:$A$511,$A335)</f>
        <v>0</v>
      </c>
      <c r="J335">
        <f t="shared" si="35"/>
        <v>287</v>
      </c>
      <c r="K335" s="77">
        <f t="shared" si="36"/>
        <v>3512562.5183877614</v>
      </c>
      <c r="L335" s="77">
        <f t="shared" si="37"/>
        <v>0</v>
      </c>
      <c r="M335" s="77">
        <f t="shared" si="38"/>
        <v>3512562.5183877614</v>
      </c>
      <c r="N335" s="77">
        <f t="shared" si="39"/>
        <v>9093498.0876728464</v>
      </c>
      <c r="O335" s="100">
        <f t="shared" si="40"/>
        <v>0.27864077669902915</v>
      </c>
      <c r="P335" t="str">
        <f t="shared" si="41"/>
        <v>OK</v>
      </c>
    </row>
    <row r="336" spans="1:16">
      <c r="A336">
        <v>19</v>
      </c>
      <c r="B336" t="str">
        <f>'Presupuesto Base'!A13</f>
        <v>6</v>
      </c>
      <c r="C336" t="str">
        <f>'Presupuesto Base'!B13</f>
        <v>Ejecución de paquete estructural de 30 cm</v>
      </c>
      <c r="D336" t="str">
        <f>'Presupuesto Base'!C13</f>
        <v>ml</v>
      </c>
      <c r="E336">
        <f>'Presupuesto Base'!D13</f>
        <v>4200</v>
      </c>
      <c r="F336" s="77">
        <f>'Presupuesto Base'!E13</f>
        <v>3274.3014561196383</v>
      </c>
      <c r="G336" s="77">
        <f>'Presupuesto Base'!F13</f>
        <v>13752066.11570248</v>
      </c>
      <c r="H336">
        <f>SUMIFS(Medicion!$K$6:$K$511,Medicion!$G$6:$G$511,$B336,Medicion!$A$6:$A$511,"&lt;"&amp;$A336)</f>
        <v>763</v>
      </c>
      <c r="I336">
        <f>SUMIFS(Medicion!$K$6:$K$511,Medicion!$G$6:$G$511,$B336,Medicion!$A$6:$A$511,$A336)</f>
        <v>0</v>
      </c>
      <c r="J336">
        <f t="shared" si="35"/>
        <v>763</v>
      </c>
      <c r="K336" s="77">
        <f t="shared" si="36"/>
        <v>2498292.0110192839</v>
      </c>
      <c r="L336" s="77">
        <f t="shared" si="37"/>
        <v>0</v>
      </c>
      <c r="M336" s="77">
        <f t="shared" si="38"/>
        <v>2498292.0110192839</v>
      </c>
      <c r="N336" s="77">
        <f t="shared" si="39"/>
        <v>11253774.104683196</v>
      </c>
      <c r="O336" s="100">
        <f t="shared" si="40"/>
        <v>0.18166666666666667</v>
      </c>
      <c r="P336" t="str">
        <f t="shared" si="41"/>
        <v>OK</v>
      </c>
    </row>
    <row r="337" spans="1:16">
      <c r="A337">
        <v>19</v>
      </c>
      <c r="B337" t="str">
        <f>'Presupuesto Base'!A14</f>
        <v>7</v>
      </c>
      <c r="C337" t="str">
        <f>'Presupuesto Base'!B14</f>
        <v>Compactación del paquete estructural de 30 cm</v>
      </c>
      <c r="D337" t="str">
        <f>'Presupuesto Base'!C14</f>
        <v>ml</v>
      </c>
      <c r="E337">
        <f>'Presupuesto Base'!D14</f>
        <v>4200</v>
      </c>
      <c r="F337" s="77">
        <f>'Presupuesto Base'!E14</f>
        <v>1227.8630460448644</v>
      </c>
      <c r="G337" s="77">
        <f>'Presupuesto Base'!F14</f>
        <v>5157024.79338843</v>
      </c>
      <c r="H337">
        <f>SUMIFS(Medicion!$K$6:$K$511,Medicion!$G$6:$G$511,$B337,Medicion!$A$6:$A$511,"&lt;"&amp;$A337)</f>
        <v>0</v>
      </c>
      <c r="I337">
        <f>SUMIFS(Medicion!$K$6:$K$511,Medicion!$G$6:$G$511,$B337,Medicion!$A$6:$A$511,$A337)</f>
        <v>0</v>
      </c>
      <c r="J337">
        <f t="shared" si="35"/>
        <v>0</v>
      </c>
      <c r="K337" s="77">
        <f t="shared" si="36"/>
        <v>0</v>
      </c>
      <c r="L337" s="77">
        <f t="shared" si="37"/>
        <v>0</v>
      </c>
      <c r="M337" s="77">
        <f t="shared" si="38"/>
        <v>0</v>
      </c>
      <c r="N337" s="77">
        <f t="shared" si="39"/>
        <v>5157024.79338843</v>
      </c>
      <c r="O337" s="100">
        <f t="shared" si="40"/>
        <v>0</v>
      </c>
      <c r="P337" t="str">
        <f t="shared" si="41"/>
        <v>OK</v>
      </c>
    </row>
    <row r="338" spans="1:16">
      <c r="A338">
        <v>19</v>
      </c>
      <c r="B338" t="str">
        <f>'Presupuesto Base'!A15</f>
        <v>8</v>
      </c>
      <c r="C338" t="str">
        <f>'Presupuesto Base'!B15</f>
        <v>Ejecución y compactación de capa cota -0,60</v>
      </c>
      <c r="D338" t="str">
        <f>'Presupuesto Base'!C15</f>
        <v>ml</v>
      </c>
      <c r="E338">
        <f>'Presupuesto Base'!D15</f>
        <v>4200</v>
      </c>
      <c r="F338" s="77">
        <f>'Presupuesto Base'!E15</f>
        <v>2592.1553194280468</v>
      </c>
      <c r="G338" s="77">
        <f>'Presupuesto Base'!F15</f>
        <v>10887052.341597797</v>
      </c>
      <c r="H338">
        <f>SUMIFS(Medicion!$K$6:$K$511,Medicion!$G$6:$G$511,$B338,Medicion!$A$6:$A$511,"&lt;"&amp;$A338)</f>
        <v>0</v>
      </c>
      <c r="I338">
        <f>SUMIFS(Medicion!$K$6:$K$511,Medicion!$G$6:$G$511,$B338,Medicion!$A$6:$A$511,$A338)</f>
        <v>0</v>
      </c>
      <c r="J338">
        <f t="shared" si="35"/>
        <v>0</v>
      </c>
      <c r="K338" s="77">
        <f t="shared" si="36"/>
        <v>0</v>
      </c>
      <c r="L338" s="77">
        <f t="shared" si="37"/>
        <v>0</v>
      </c>
      <c r="M338" s="77">
        <f t="shared" si="38"/>
        <v>0</v>
      </c>
      <c r="N338" s="77">
        <f t="shared" si="39"/>
        <v>10887052.341597797</v>
      </c>
      <c r="O338" s="100">
        <f t="shared" si="40"/>
        <v>0</v>
      </c>
      <c r="P338" t="str">
        <f t="shared" si="41"/>
        <v>OK</v>
      </c>
    </row>
    <row r="339" spans="1:16">
      <c r="A339">
        <v>19</v>
      </c>
      <c r="B339" t="str">
        <f>'Presupuesto Base'!A16</f>
        <v>9</v>
      </c>
      <c r="C339" t="str">
        <f>'Presupuesto Base'!B16</f>
        <v>Ejecución y compactación de capa cota -0,30</v>
      </c>
      <c r="D339" t="str">
        <f>'Presupuesto Base'!C16</f>
        <v>ml</v>
      </c>
      <c r="E339">
        <f>'Presupuesto Base'!D16</f>
        <v>4200</v>
      </c>
      <c r="F339" s="77">
        <f>'Presupuesto Base'!E16</f>
        <v>2182.8676374130923</v>
      </c>
      <c r="G339" s="77">
        <f>'Presupuesto Base'!F16</f>
        <v>9168044.0771349873</v>
      </c>
      <c r="H339">
        <f>SUMIFS(Medicion!$K$6:$K$511,Medicion!$G$6:$G$511,$B339,Medicion!$A$6:$A$511,"&lt;"&amp;$A339)</f>
        <v>0</v>
      </c>
      <c r="I339">
        <f>SUMIFS(Medicion!$K$6:$K$511,Medicion!$G$6:$G$511,$B339,Medicion!$A$6:$A$511,$A339)</f>
        <v>0</v>
      </c>
      <c r="J339">
        <f t="shared" si="35"/>
        <v>0</v>
      </c>
      <c r="K339" s="77">
        <f t="shared" si="36"/>
        <v>0</v>
      </c>
      <c r="L339" s="77">
        <f t="shared" si="37"/>
        <v>0</v>
      </c>
      <c r="M339" s="77">
        <f t="shared" si="38"/>
        <v>0</v>
      </c>
      <c r="N339" s="77">
        <f t="shared" si="39"/>
        <v>9168044.0771349873</v>
      </c>
      <c r="O339" s="100">
        <f t="shared" si="40"/>
        <v>0</v>
      </c>
      <c r="P339" t="str">
        <f t="shared" si="41"/>
        <v>OK</v>
      </c>
    </row>
    <row r="340" spans="1:16">
      <c r="A340">
        <v>19</v>
      </c>
      <c r="B340" t="str">
        <f>'Presupuesto Base'!A17</f>
        <v>10.1</v>
      </c>
      <c r="C340" t="str">
        <f>'Presupuesto Base'!B17</f>
        <v>Conexión domiciliaria sobre red Ø75</v>
      </c>
      <c r="D340" t="str">
        <f>'Presupuesto Base'!C17</f>
        <v>un</v>
      </c>
      <c r="E340">
        <f>'Presupuesto Base'!D17</f>
        <v>165</v>
      </c>
      <c r="F340" s="77">
        <f>'Presupuesto Base'!E17</f>
        <v>48618.415560564332</v>
      </c>
      <c r="G340" s="77">
        <f>'Presupuesto Base'!F17</f>
        <v>8022038.5674931146</v>
      </c>
      <c r="H340">
        <f>SUMIFS(Medicion!$K$6:$K$511,Medicion!$G$6:$G$511,$B340,Medicion!$A$6:$A$511,"&lt;"&amp;$A340)</f>
        <v>5</v>
      </c>
      <c r="I340">
        <f>SUMIFS(Medicion!$K$6:$K$511,Medicion!$G$6:$G$511,$B340,Medicion!$A$6:$A$511,$A340)</f>
        <v>0</v>
      </c>
      <c r="J340">
        <f t="shared" si="35"/>
        <v>5</v>
      </c>
      <c r="K340" s="77">
        <f t="shared" si="36"/>
        <v>243092.07780282164</v>
      </c>
      <c r="L340" s="77">
        <f t="shared" si="37"/>
        <v>0</v>
      </c>
      <c r="M340" s="77">
        <f t="shared" si="38"/>
        <v>243092.07780282164</v>
      </c>
      <c r="N340" s="77">
        <f t="shared" si="39"/>
        <v>7778946.4896902926</v>
      </c>
      <c r="O340" s="100">
        <f t="shared" si="40"/>
        <v>3.0303030303030304E-2</v>
      </c>
      <c r="P340" t="str">
        <f t="shared" si="41"/>
        <v>OK</v>
      </c>
    </row>
    <row r="341" spans="1:16">
      <c r="A341">
        <v>19</v>
      </c>
      <c r="B341" t="str">
        <f>'Presupuesto Base'!A18</f>
        <v>10.2</v>
      </c>
      <c r="C341" t="str">
        <f>'Presupuesto Base'!B18</f>
        <v>Conexión domiciliaria sobre red Ø110</v>
      </c>
      <c r="D341" t="str">
        <f>'Presupuesto Base'!C18</f>
        <v>un</v>
      </c>
      <c r="E341">
        <f>'Presupuesto Base'!D18</f>
        <v>62</v>
      </c>
      <c r="F341" s="77">
        <f>'Presupuesto Base'!E18</f>
        <v>55451.879498800321</v>
      </c>
      <c r="G341" s="77">
        <f>'Presupuesto Base'!F18</f>
        <v>3438016.52892562</v>
      </c>
      <c r="H341">
        <f>SUMIFS(Medicion!$K$6:$K$511,Medicion!$G$6:$G$511,$B341,Medicion!$A$6:$A$511,"&lt;"&amp;$A341)</f>
        <v>2</v>
      </c>
      <c r="I341">
        <f>SUMIFS(Medicion!$K$6:$K$511,Medicion!$G$6:$G$511,$B341,Medicion!$A$6:$A$511,$A341)</f>
        <v>0</v>
      </c>
      <c r="J341">
        <f t="shared" si="35"/>
        <v>2</v>
      </c>
      <c r="K341" s="77">
        <f t="shared" si="36"/>
        <v>110903.75899760064</v>
      </c>
      <c r="L341" s="77">
        <f t="shared" si="37"/>
        <v>0</v>
      </c>
      <c r="M341" s="77">
        <f t="shared" si="38"/>
        <v>110903.75899760064</v>
      </c>
      <c r="N341" s="77">
        <f t="shared" si="39"/>
        <v>3327112.7699280195</v>
      </c>
      <c r="O341" s="100">
        <f t="shared" si="40"/>
        <v>3.2258064516129031E-2</v>
      </c>
      <c r="P341" t="str">
        <f t="shared" si="41"/>
        <v>OK</v>
      </c>
    </row>
    <row r="342" spans="1:16">
      <c r="A342">
        <v>19</v>
      </c>
      <c r="B342" t="str">
        <f>'Presupuesto Base'!A19</f>
        <v>11.1</v>
      </c>
      <c r="C342" t="str">
        <f>'Presupuesto Base'!B19</f>
        <v>Válvula esclusa Ø75 completa e instalada</v>
      </c>
      <c r="D342" t="str">
        <f>'Presupuesto Base'!C19</f>
        <v>un</v>
      </c>
      <c r="E342">
        <f>'Presupuesto Base'!D19</f>
        <v>2</v>
      </c>
      <c r="F342" s="77">
        <f>'Presupuesto Base'!E19</f>
        <v>286501.37741046835</v>
      </c>
      <c r="G342" s="77">
        <f>'Presupuesto Base'!F19</f>
        <v>573002.75482093671</v>
      </c>
      <c r="H342">
        <f>SUMIFS(Medicion!$K$6:$K$511,Medicion!$G$6:$G$511,$B342,Medicion!$A$6:$A$511,"&lt;"&amp;$A342)</f>
        <v>0</v>
      </c>
      <c r="I342">
        <f>SUMIFS(Medicion!$K$6:$K$511,Medicion!$G$6:$G$511,$B342,Medicion!$A$6:$A$511,$A342)</f>
        <v>0</v>
      </c>
      <c r="J342">
        <f t="shared" si="35"/>
        <v>0</v>
      </c>
      <c r="K342" s="77">
        <f t="shared" si="36"/>
        <v>0</v>
      </c>
      <c r="L342" s="77">
        <f t="shared" si="37"/>
        <v>0</v>
      </c>
      <c r="M342" s="77">
        <f t="shared" si="38"/>
        <v>0</v>
      </c>
      <c r="N342" s="77">
        <f t="shared" si="39"/>
        <v>573002.75482093671</v>
      </c>
      <c r="O342" s="100">
        <f t="shared" si="40"/>
        <v>0</v>
      </c>
      <c r="P342" t="str">
        <f t="shared" si="41"/>
        <v>OK</v>
      </c>
    </row>
    <row r="343" spans="1:16">
      <c r="A343">
        <v>19</v>
      </c>
      <c r="B343" t="str">
        <f>'Presupuesto Base'!A20</f>
        <v>11.2</v>
      </c>
      <c r="C343" t="str">
        <f>'Presupuesto Base'!B20</f>
        <v>Válvula esclusa Ø100 completa e instalada</v>
      </c>
      <c r="D343" t="str">
        <f>'Presupuesto Base'!C20</f>
        <v>un</v>
      </c>
      <c r="E343">
        <f>'Presupuesto Base'!D20</f>
        <v>4</v>
      </c>
      <c r="F343" s="77">
        <f>'Presupuesto Base'!E20</f>
        <v>429752.0661157025</v>
      </c>
      <c r="G343" s="77">
        <f>'Presupuesto Base'!F20</f>
        <v>1719008.26446281</v>
      </c>
      <c r="H343">
        <f>SUMIFS(Medicion!$K$6:$K$511,Medicion!$G$6:$G$511,$B343,Medicion!$A$6:$A$511,"&lt;"&amp;$A343)</f>
        <v>0</v>
      </c>
      <c r="I343">
        <f>SUMIFS(Medicion!$K$6:$K$511,Medicion!$G$6:$G$511,$B343,Medicion!$A$6:$A$511,$A343)</f>
        <v>0</v>
      </c>
      <c r="J343">
        <f t="shared" si="35"/>
        <v>0</v>
      </c>
      <c r="K343" s="77">
        <f t="shared" si="36"/>
        <v>0</v>
      </c>
      <c r="L343" s="77">
        <f t="shared" si="37"/>
        <v>0</v>
      </c>
      <c r="M343" s="77">
        <f t="shared" si="38"/>
        <v>0</v>
      </c>
      <c r="N343" s="77">
        <f t="shared" si="39"/>
        <v>1719008.26446281</v>
      </c>
      <c r="O343" s="100">
        <f t="shared" si="40"/>
        <v>0</v>
      </c>
      <c r="P343" t="str">
        <f t="shared" si="41"/>
        <v>OK</v>
      </c>
    </row>
    <row r="344" spans="1:16">
      <c r="A344">
        <v>19</v>
      </c>
      <c r="B344" t="str">
        <f>'Presupuesto Base'!A21</f>
        <v>12</v>
      </c>
      <c r="C344" t="str">
        <f>'Presupuesto Base'!B21</f>
        <v>Hidrante a bola completo e instalado</v>
      </c>
      <c r="D344" t="str">
        <f>'Presupuesto Base'!C21</f>
        <v>un</v>
      </c>
      <c r="E344">
        <f>'Presupuesto Base'!D21</f>
        <v>15</v>
      </c>
      <c r="F344" s="77">
        <f>'Presupuesto Base'!E21</f>
        <v>114600.55096418734</v>
      </c>
      <c r="G344" s="77">
        <f>'Presupuesto Base'!F21</f>
        <v>1719008.26446281</v>
      </c>
      <c r="H344">
        <f>SUMIFS(Medicion!$K$6:$K$511,Medicion!$G$6:$G$511,$B344,Medicion!$A$6:$A$511,"&lt;"&amp;$A344)</f>
        <v>0</v>
      </c>
      <c r="I344">
        <f>SUMIFS(Medicion!$K$6:$K$511,Medicion!$G$6:$G$511,$B344,Medicion!$A$6:$A$511,$A344)</f>
        <v>0</v>
      </c>
      <c r="J344">
        <f t="shared" si="35"/>
        <v>0</v>
      </c>
      <c r="K344" s="77">
        <f t="shared" si="36"/>
        <v>0</v>
      </c>
      <c r="L344" s="77">
        <f t="shared" si="37"/>
        <v>0</v>
      </c>
      <c r="M344" s="77">
        <f t="shared" si="38"/>
        <v>0</v>
      </c>
      <c r="N344" s="77">
        <f t="shared" si="39"/>
        <v>1719008.26446281</v>
      </c>
      <c r="O344" s="100">
        <f t="shared" si="40"/>
        <v>0</v>
      </c>
      <c r="P344" t="str">
        <f t="shared" si="41"/>
        <v>OK</v>
      </c>
    </row>
    <row r="345" spans="1:16">
      <c r="A345">
        <v>19</v>
      </c>
      <c r="B345" t="str">
        <f>'Presupuesto Base'!A22</f>
        <v>13.1</v>
      </c>
      <c r="C345" t="str">
        <f>'Presupuesto Base'!B22</f>
        <v>Pruebas hidráulicas y operativas</v>
      </c>
      <c r="D345" t="str">
        <f>'Presupuesto Base'!C22</f>
        <v>gl</v>
      </c>
      <c r="E345">
        <f>'Presupuesto Base'!D22</f>
        <v>1</v>
      </c>
      <c r="F345" s="77">
        <f>'Presupuesto Base'!E22</f>
        <v>1719008.26446281</v>
      </c>
      <c r="G345" s="77">
        <f>'Presupuesto Base'!F22</f>
        <v>1719008.26446281</v>
      </c>
      <c r="H345">
        <f>SUMIFS(Medicion!$K$6:$K$511,Medicion!$G$6:$G$511,$B345,Medicion!$A$6:$A$511,"&lt;"&amp;$A345)</f>
        <v>0</v>
      </c>
      <c r="I345">
        <f>SUMIFS(Medicion!$K$6:$K$511,Medicion!$G$6:$G$511,$B345,Medicion!$A$6:$A$511,$A345)</f>
        <v>0</v>
      </c>
      <c r="J345">
        <f t="shared" si="35"/>
        <v>0</v>
      </c>
      <c r="K345" s="77">
        <f t="shared" si="36"/>
        <v>0</v>
      </c>
      <c r="L345" s="77">
        <f t="shared" si="37"/>
        <v>0</v>
      </c>
      <c r="M345" s="77">
        <f t="shared" si="38"/>
        <v>0</v>
      </c>
      <c r="N345" s="77">
        <f t="shared" si="39"/>
        <v>1719008.26446281</v>
      </c>
      <c r="O345" s="100">
        <f t="shared" si="40"/>
        <v>0</v>
      </c>
      <c r="P345" t="str">
        <f t="shared" si="41"/>
        <v>OK</v>
      </c>
    </row>
    <row r="346" spans="1:16">
      <c r="A346">
        <v>19</v>
      </c>
      <c r="B346" t="str">
        <f>'Presupuesto Base'!A23</f>
        <v>13.2</v>
      </c>
      <c r="C346" t="str">
        <f>'Presupuesto Base'!B23</f>
        <v>Terminaciones y acondicionamiento final</v>
      </c>
      <c r="D346" t="str">
        <f>'Presupuesto Base'!C23</f>
        <v>gl</v>
      </c>
      <c r="E346">
        <f>'Presupuesto Base'!D23</f>
        <v>1</v>
      </c>
      <c r="F346" s="77">
        <f>'Presupuesto Base'!E23</f>
        <v>1146005.5096418734</v>
      </c>
      <c r="G346" s="77">
        <f>'Presupuesto Base'!F23</f>
        <v>1146005.5096418734</v>
      </c>
      <c r="H346">
        <f>SUMIFS(Medicion!$K$6:$K$511,Medicion!$G$6:$G$511,$B346,Medicion!$A$6:$A$511,"&lt;"&amp;$A346)</f>
        <v>0</v>
      </c>
      <c r="I346">
        <f>SUMIFS(Medicion!$K$6:$K$511,Medicion!$G$6:$G$511,$B346,Medicion!$A$6:$A$511,$A346)</f>
        <v>0</v>
      </c>
      <c r="J346">
        <f t="shared" si="35"/>
        <v>0</v>
      </c>
      <c r="K346" s="77">
        <f t="shared" si="36"/>
        <v>0</v>
      </c>
      <c r="L346" s="77">
        <f t="shared" si="37"/>
        <v>0</v>
      </c>
      <c r="M346" s="77">
        <f t="shared" si="38"/>
        <v>0</v>
      </c>
      <c r="N346" s="77">
        <f t="shared" si="39"/>
        <v>1146005.5096418734</v>
      </c>
      <c r="O346" s="100">
        <f t="shared" si="40"/>
        <v>0</v>
      </c>
      <c r="P346" t="str">
        <f t="shared" si="41"/>
        <v>OK</v>
      </c>
    </row>
    <row r="347" spans="1:16">
      <c r="A347">
        <v>19</v>
      </c>
      <c r="B347" t="str">
        <f>'Presupuesto Base'!A24</f>
        <v>13.3</v>
      </c>
      <c r="C347" t="str">
        <f>'Presupuesto Base'!B24</f>
        <v>Documentación conforme a obra y cierre</v>
      </c>
      <c r="D347" t="str">
        <f>'Presupuesto Base'!C24</f>
        <v>gl</v>
      </c>
      <c r="E347">
        <f>'Presupuesto Base'!D24</f>
        <v>1</v>
      </c>
      <c r="F347" s="77">
        <f>'Presupuesto Base'!E24</f>
        <v>859504.132231405</v>
      </c>
      <c r="G347" s="77">
        <f>'Presupuesto Base'!F24</f>
        <v>859504.132231405</v>
      </c>
      <c r="H347">
        <f>SUMIFS(Medicion!$K$6:$K$511,Medicion!$G$6:$G$511,$B347,Medicion!$A$6:$A$511,"&lt;"&amp;$A347)</f>
        <v>0</v>
      </c>
      <c r="I347">
        <f>SUMIFS(Medicion!$K$6:$K$511,Medicion!$G$6:$G$511,$B347,Medicion!$A$6:$A$511,$A347)</f>
        <v>0</v>
      </c>
      <c r="J347">
        <f t="shared" si="35"/>
        <v>0</v>
      </c>
      <c r="K347" s="77">
        <f t="shared" si="36"/>
        <v>0</v>
      </c>
      <c r="L347" s="77">
        <f t="shared" si="37"/>
        <v>0</v>
      </c>
      <c r="M347" s="77">
        <f t="shared" si="38"/>
        <v>0</v>
      </c>
      <c r="N347" s="77">
        <f t="shared" si="39"/>
        <v>859504.132231405</v>
      </c>
      <c r="O347" s="100">
        <f t="shared" si="40"/>
        <v>0</v>
      </c>
      <c r="P347" t="str">
        <f t="shared" si="41"/>
        <v>OK</v>
      </c>
    </row>
    <row r="348" spans="1:16">
      <c r="A348">
        <v>20</v>
      </c>
      <c r="B348" t="str">
        <f>'Presupuesto Base'!A7</f>
        <v>1</v>
      </c>
      <c r="C348" t="str">
        <f>'Presupuesto Base'!B7</f>
        <v>Replanteo y marcación de traza</v>
      </c>
      <c r="D348" t="str">
        <f>'Presupuesto Base'!C7</f>
        <v>ml</v>
      </c>
      <c r="E348">
        <f>'Presupuesto Base'!D7</f>
        <v>4200</v>
      </c>
      <c r="F348" s="77">
        <f>'Presupuesto Base'!E7</f>
        <v>204.64384100747739</v>
      </c>
      <c r="G348" s="77">
        <f>'Presupuesto Base'!F7</f>
        <v>859504.132231405</v>
      </c>
      <c r="H348">
        <f>SUMIFS(Medicion!$K$6:$K$511,Medicion!$G$6:$G$511,$B348,Medicion!$A$6:$A$511,"&lt;"&amp;$A348)</f>
        <v>845</v>
      </c>
      <c r="I348">
        <f>SUMIFS(Medicion!$K$6:$K$511,Medicion!$G$6:$G$511,$B348,Medicion!$A$6:$A$511,$A348)</f>
        <v>0</v>
      </c>
      <c r="J348">
        <f t="shared" si="35"/>
        <v>845</v>
      </c>
      <c r="K348" s="77">
        <f t="shared" si="36"/>
        <v>172924.04565131839</v>
      </c>
      <c r="L348" s="77">
        <f t="shared" si="37"/>
        <v>0</v>
      </c>
      <c r="M348" s="77">
        <f t="shared" si="38"/>
        <v>172924.04565131839</v>
      </c>
      <c r="N348" s="77">
        <f t="shared" si="39"/>
        <v>686580.08658008662</v>
      </c>
      <c r="O348" s="100">
        <f t="shared" si="40"/>
        <v>0.2011904761904762</v>
      </c>
      <c r="P348" t="str">
        <f t="shared" si="41"/>
        <v>OK</v>
      </c>
    </row>
    <row r="349" spans="1:16">
      <c r="A349">
        <v>20</v>
      </c>
      <c r="B349" t="str">
        <f>'Presupuesto Base'!A8</f>
        <v>2</v>
      </c>
      <c r="C349" t="str">
        <f>'Presupuesto Base'!B8</f>
        <v>Excavación de zanja</v>
      </c>
      <c r="D349" t="str">
        <f>'Presupuesto Base'!C8</f>
        <v>ml</v>
      </c>
      <c r="E349">
        <f>'Presupuesto Base'!D8</f>
        <v>4200</v>
      </c>
      <c r="F349" s="77">
        <f>'Presupuesto Base'!E8</f>
        <v>3683.5891381345932</v>
      </c>
      <c r="G349" s="77">
        <f>'Presupuesto Base'!F8</f>
        <v>15471074.380165292</v>
      </c>
      <c r="H349">
        <f>SUMIFS(Medicion!$K$6:$K$511,Medicion!$G$6:$G$511,$B349,Medicion!$A$6:$A$511,"&lt;"&amp;$A349)</f>
        <v>845</v>
      </c>
      <c r="I349">
        <f>SUMIFS(Medicion!$K$6:$K$511,Medicion!$G$6:$G$511,$B349,Medicion!$A$6:$A$511,$A349)</f>
        <v>0</v>
      </c>
      <c r="J349">
        <f t="shared" si="35"/>
        <v>845</v>
      </c>
      <c r="K349" s="77">
        <f t="shared" si="36"/>
        <v>3112632.8217237312</v>
      </c>
      <c r="L349" s="77">
        <f t="shared" si="37"/>
        <v>0</v>
      </c>
      <c r="M349" s="77">
        <f t="shared" si="38"/>
        <v>3112632.8217237312</v>
      </c>
      <c r="N349" s="77">
        <f t="shared" si="39"/>
        <v>12358441.558441561</v>
      </c>
      <c r="O349" s="100">
        <f t="shared" si="40"/>
        <v>0.2011904761904762</v>
      </c>
      <c r="P349" t="str">
        <f t="shared" si="41"/>
        <v>OK</v>
      </c>
    </row>
    <row r="350" spans="1:16">
      <c r="A350">
        <v>20</v>
      </c>
      <c r="B350" t="str">
        <f>'Presupuesto Base'!A9</f>
        <v>3</v>
      </c>
      <c r="C350" t="str">
        <f>'Presupuesto Base'!B9</f>
        <v>Nivelación y conformación del fondo de zanja</v>
      </c>
      <c r="D350" t="str">
        <f>'Presupuesto Base'!C9</f>
        <v>ml</v>
      </c>
      <c r="E350">
        <f>'Presupuesto Base'!D9</f>
        <v>4200</v>
      </c>
      <c r="F350" s="77">
        <f>'Presupuesto Base'!E9</f>
        <v>477.50229568411396</v>
      </c>
      <c r="G350" s="77">
        <f>'Presupuesto Base'!F9</f>
        <v>2005509.6418732787</v>
      </c>
      <c r="H350">
        <f>SUMIFS(Medicion!$K$6:$K$511,Medicion!$G$6:$G$511,$B350,Medicion!$A$6:$A$511,"&lt;"&amp;$A350)</f>
        <v>845</v>
      </c>
      <c r="I350">
        <f>SUMIFS(Medicion!$K$6:$K$511,Medicion!$G$6:$G$511,$B350,Medicion!$A$6:$A$511,$A350)</f>
        <v>0</v>
      </c>
      <c r="J350">
        <f t="shared" si="35"/>
        <v>845</v>
      </c>
      <c r="K350" s="77">
        <f t="shared" si="36"/>
        <v>403489.4398530763</v>
      </c>
      <c r="L350" s="77">
        <f t="shared" si="37"/>
        <v>0</v>
      </c>
      <c r="M350" s="77">
        <f t="shared" si="38"/>
        <v>403489.4398530763</v>
      </c>
      <c r="N350" s="77">
        <f t="shared" si="39"/>
        <v>1602020.2020202023</v>
      </c>
      <c r="O350" s="100">
        <f t="shared" si="40"/>
        <v>0.2011904761904762</v>
      </c>
      <c r="P350" t="str">
        <f t="shared" si="41"/>
        <v>OK</v>
      </c>
    </row>
    <row r="351" spans="1:16">
      <c r="A351">
        <v>20</v>
      </c>
      <c r="B351" t="str">
        <f>'Presupuesto Base'!A10</f>
        <v>4</v>
      </c>
      <c r="C351" t="str">
        <f>'Presupuesto Base'!B10</f>
        <v>Cama de asiento compactada</v>
      </c>
      <c r="D351" t="str">
        <f>'Presupuesto Base'!C10</f>
        <v>ml</v>
      </c>
      <c r="E351">
        <f>'Presupuesto Base'!D10</f>
        <v>4200</v>
      </c>
      <c r="F351" s="77">
        <f>'Presupuesto Base'!E10</f>
        <v>1705.3653417289784</v>
      </c>
      <c r="G351" s="77">
        <f>'Presupuesto Base'!F10</f>
        <v>7162534.4352617087</v>
      </c>
      <c r="H351">
        <f>SUMIFS(Medicion!$K$6:$K$511,Medicion!$G$6:$G$511,$B351,Medicion!$A$6:$A$511,"&lt;"&amp;$A351)</f>
        <v>845</v>
      </c>
      <c r="I351">
        <f>SUMIFS(Medicion!$K$6:$K$511,Medicion!$G$6:$G$511,$B351,Medicion!$A$6:$A$511,$A351)</f>
        <v>0</v>
      </c>
      <c r="J351">
        <f t="shared" si="35"/>
        <v>845</v>
      </c>
      <c r="K351" s="77">
        <f t="shared" si="36"/>
        <v>1441033.7137609867</v>
      </c>
      <c r="L351" s="77">
        <f t="shared" si="37"/>
        <v>0</v>
      </c>
      <c r="M351" s="77">
        <f t="shared" si="38"/>
        <v>1441033.7137609867</v>
      </c>
      <c r="N351" s="77">
        <f t="shared" si="39"/>
        <v>5721500.7215007218</v>
      </c>
      <c r="O351" s="100">
        <f t="shared" si="40"/>
        <v>0.2011904761904762</v>
      </c>
      <c r="P351" t="str">
        <f t="shared" si="41"/>
        <v>OK</v>
      </c>
    </row>
    <row r="352" spans="1:16">
      <c r="A352">
        <v>20</v>
      </c>
      <c r="B352" t="str">
        <f>'Presupuesto Base'!A11</f>
        <v>5.1</v>
      </c>
      <c r="C352" t="str">
        <f>'Presupuesto Base'!B11</f>
        <v>PEAD PN10 Ø75 – provisión e instalación</v>
      </c>
      <c r="D352" t="str">
        <f>'Presupuesto Base'!C11</f>
        <v>ml</v>
      </c>
      <c r="E352">
        <f>'Presupuesto Base'!D11</f>
        <v>3170</v>
      </c>
      <c r="F352" s="77">
        <f>'Presupuesto Base'!E11</f>
        <v>5784.2549382555126</v>
      </c>
      <c r="G352" s="77">
        <f>'Presupuesto Base'!F11</f>
        <v>18336088.154269975</v>
      </c>
      <c r="H352">
        <f>SUMIFS(Medicion!$K$6:$K$511,Medicion!$G$6:$G$511,$B352,Medicion!$A$6:$A$511,"&lt;"&amp;$A352)</f>
        <v>558</v>
      </c>
      <c r="I352">
        <f>SUMIFS(Medicion!$K$6:$K$511,Medicion!$G$6:$G$511,$B352,Medicion!$A$6:$A$511,$A352)</f>
        <v>0</v>
      </c>
      <c r="J352">
        <f t="shared" si="35"/>
        <v>558</v>
      </c>
      <c r="K352" s="77">
        <f t="shared" si="36"/>
        <v>3227614.2555465759</v>
      </c>
      <c r="L352" s="77">
        <f t="shared" si="37"/>
        <v>0</v>
      </c>
      <c r="M352" s="77">
        <f t="shared" si="38"/>
        <v>3227614.2555465759</v>
      </c>
      <c r="N352" s="77">
        <f t="shared" si="39"/>
        <v>15108473.898723399</v>
      </c>
      <c r="O352" s="100">
        <f t="shared" si="40"/>
        <v>0.17602523659305994</v>
      </c>
      <c r="P352" t="str">
        <f t="shared" si="41"/>
        <v>OK</v>
      </c>
    </row>
    <row r="353" spans="1:16">
      <c r="A353">
        <v>20</v>
      </c>
      <c r="B353" t="str">
        <f>'Presupuesto Base'!A12</f>
        <v>5.2</v>
      </c>
      <c r="C353" t="str">
        <f>'Presupuesto Base'!B12</f>
        <v>PEAD PN10 Ø110 – provisión e instalación</v>
      </c>
      <c r="D353" t="str">
        <f>'Presupuesto Base'!C12</f>
        <v>ml</v>
      </c>
      <c r="E353">
        <f>'Presupuesto Base'!D12</f>
        <v>1030</v>
      </c>
      <c r="F353" s="77">
        <f>'Presupuesto Base'!E12</f>
        <v>12238.893792291852</v>
      </c>
      <c r="G353" s="77">
        <f>'Presupuesto Base'!F12</f>
        <v>12606060.606060607</v>
      </c>
      <c r="H353">
        <f>SUMIFS(Medicion!$K$6:$K$511,Medicion!$G$6:$G$511,$B353,Medicion!$A$6:$A$511,"&lt;"&amp;$A353)</f>
        <v>287</v>
      </c>
      <c r="I353">
        <f>SUMIFS(Medicion!$K$6:$K$511,Medicion!$G$6:$G$511,$B353,Medicion!$A$6:$A$511,$A353)</f>
        <v>0</v>
      </c>
      <c r="J353">
        <f t="shared" si="35"/>
        <v>287</v>
      </c>
      <c r="K353" s="77">
        <f t="shared" si="36"/>
        <v>3512562.5183877614</v>
      </c>
      <c r="L353" s="77">
        <f t="shared" si="37"/>
        <v>0</v>
      </c>
      <c r="M353" s="77">
        <f t="shared" si="38"/>
        <v>3512562.5183877614</v>
      </c>
      <c r="N353" s="77">
        <f t="shared" si="39"/>
        <v>9093498.0876728464</v>
      </c>
      <c r="O353" s="100">
        <f t="shared" si="40"/>
        <v>0.27864077669902915</v>
      </c>
      <c r="P353" t="str">
        <f t="shared" si="41"/>
        <v>OK</v>
      </c>
    </row>
    <row r="354" spans="1:16">
      <c r="A354">
        <v>20</v>
      </c>
      <c r="B354" t="str">
        <f>'Presupuesto Base'!A13</f>
        <v>6</v>
      </c>
      <c r="C354" t="str">
        <f>'Presupuesto Base'!B13</f>
        <v>Ejecución de paquete estructural de 30 cm</v>
      </c>
      <c r="D354" t="str">
        <f>'Presupuesto Base'!C13</f>
        <v>ml</v>
      </c>
      <c r="E354">
        <f>'Presupuesto Base'!D13</f>
        <v>4200</v>
      </c>
      <c r="F354" s="77">
        <f>'Presupuesto Base'!E13</f>
        <v>3274.3014561196383</v>
      </c>
      <c r="G354" s="77">
        <f>'Presupuesto Base'!F13</f>
        <v>13752066.11570248</v>
      </c>
      <c r="H354">
        <f>SUMIFS(Medicion!$K$6:$K$511,Medicion!$G$6:$G$511,$B354,Medicion!$A$6:$A$511,"&lt;"&amp;$A354)</f>
        <v>763</v>
      </c>
      <c r="I354">
        <f>SUMIFS(Medicion!$K$6:$K$511,Medicion!$G$6:$G$511,$B354,Medicion!$A$6:$A$511,$A354)</f>
        <v>0</v>
      </c>
      <c r="J354">
        <f t="shared" si="35"/>
        <v>763</v>
      </c>
      <c r="K354" s="77">
        <f t="shared" si="36"/>
        <v>2498292.0110192839</v>
      </c>
      <c r="L354" s="77">
        <f t="shared" si="37"/>
        <v>0</v>
      </c>
      <c r="M354" s="77">
        <f t="shared" si="38"/>
        <v>2498292.0110192839</v>
      </c>
      <c r="N354" s="77">
        <f t="shared" si="39"/>
        <v>11253774.104683196</v>
      </c>
      <c r="O354" s="100">
        <f t="shared" si="40"/>
        <v>0.18166666666666667</v>
      </c>
      <c r="P354" t="str">
        <f t="shared" si="41"/>
        <v>OK</v>
      </c>
    </row>
    <row r="355" spans="1:16">
      <c r="A355">
        <v>20</v>
      </c>
      <c r="B355" t="str">
        <f>'Presupuesto Base'!A14</f>
        <v>7</v>
      </c>
      <c r="C355" t="str">
        <f>'Presupuesto Base'!B14</f>
        <v>Compactación del paquete estructural de 30 cm</v>
      </c>
      <c r="D355" t="str">
        <f>'Presupuesto Base'!C14</f>
        <v>ml</v>
      </c>
      <c r="E355">
        <f>'Presupuesto Base'!D14</f>
        <v>4200</v>
      </c>
      <c r="F355" s="77">
        <f>'Presupuesto Base'!E14</f>
        <v>1227.8630460448644</v>
      </c>
      <c r="G355" s="77">
        <f>'Presupuesto Base'!F14</f>
        <v>5157024.79338843</v>
      </c>
      <c r="H355">
        <f>SUMIFS(Medicion!$K$6:$K$511,Medicion!$G$6:$G$511,$B355,Medicion!$A$6:$A$511,"&lt;"&amp;$A355)</f>
        <v>0</v>
      </c>
      <c r="I355">
        <f>SUMIFS(Medicion!$K$6:$K$511,Medicion!$G$6:$G$511,$B355,Medicion!$A$6:$A$511,$A355)</f>
        <v>0</v>
      </c>
      <c r="J355">
        <f t="shared" si="35"/>
        <v>0</v>
      </c>
      <c r="K355" s="77">
        <f t="shared" si="36"/>
        <v>0</v>
      </c>
      <c r="L355" s="77">
        <f t="shared" si="37"/>
        <v>0</v>
      </c>
      <c r="M355" s="77">
        <f t="shared" si="38"/>
        <v>0</v>
      </c>
      <c r="N355" s="77">
        <f t="shared" si="39"/>
        <v>5157024.79338843</v>
      </c>
      <c r="O355" s="100">
        <f t="shared" si="40"/>
        <v>0</v>
      </c>
      <c r="P355" t="str">
        <f t="shared" si="41"/>
        <v>OK</v>
      </c>
    </row>
    <row r="356" spans="1:16">
      <c r="A356">
        <v>20</v>
      </c>
      <c r="B356" t="str">
        <f>'Presupuesto Base'!A15</f>
        <v>8</v>
      </c>
      <c r="C356" t="str">
        <f>'Presupuesto Base'!B15</f>
        <v>Ejecución y compactación de capa cota -0,60</v>
      </c>
      <c r="D356" t="str">
        <f>'Presupuesto Base'!C15</f>
        <v>ml</v>
      </c>
      <c r="E356">
        <f>'Presupuesto Base'!D15</f>
        <v>4200</v>
      </c>
      <c r="F356" s="77">
        <f>'Presupuesto Base'!E15</f>
        <v>2592.1553194280468</v>
      </c>
      <c r="G356" s="77">
        <f>'Presupuesto Base'!F15</f>
        <v>10887052.341597797</v>
      </c>
      <c r="H356">
        <f>SUMIFS(Medicion!$K$6:$K$511,Medicion!$G$6:$G$511,$B356,Medicion!$A$6:$A$511,"&lt;"&amp;$A356)</f>
        <v>0</v>
      </c>
      <c r="I356">
        <f>SUMIFS(Medicion!$K$6:$K$511,Medicion!$G$6:$G$511,$B356,Medicion!$A$6:$A$511,$A356)</f>
        <v>0</v>
      </c>
      <c r="J356">
        <f t="shared" si="35"/>
        <v>0</v>
      </c>
      <c r="K356" s="77">
        <f t="shared" si="36"/>
        <v>0</v>
      </c>
      <c r="L356" s="77">
        <f t="shared" si="37"/>
        <v>0</v>
      </c>
      <c r="M356" s="77">
        <f t="shared" si="38"/>
        <v>0</v>
      </c>
      <c r="N356" s="77">
        <f t="shared" si="39"/>
        <v>10887052.341597797</v>
      </c>
      <c r="O356" s="100">
        <f t="shared" si="40"/>
        <v>0</v>
      </c>
      <c r="P356" t="str">
        <f t="shared" si="41"/>
        <v>OK</v>
      </c>
    </row>
    <row r="357" spans="1:16">
      <c r="A357">
        <v>20</v>
      </c>
      <c r="B357" t="str">
        <f>'Presupuesto Base'!A16</f>
        <v>9</v>
      </c>
      <c r="C357" t="str">
        <f>'Presupuesto Base'!B16</f>
        <v>Ejecución y compactación de capa cota -0,30</v>
      </c>
      <c r="D357" t="str">
        <f>'Presupuesto Base'!C16</f>
        <v>ml</v>
      </c>
      <c r="E357">
        <f>'Presupuesto Base'!D16</f>
        <v>4200</v>
      </c>
      <c r="F357" s="77">
        <f>'Presupuesto Base'!E16</f>
        <v>2182.8676374130923</v>
      </c>
      <c r="G357" s="77">
        <f>'Presupuesto Base'!F16</f>
        <v>9168044.0771349873</v>
      </c>
      <c r="H357">
        <f>SUMIFS(Medicion!$K$6:$K$511,Medicion!$G$6:$G$511,$B357,Medicion!$A$6:$A$511,"&lt;"&amp;$A357)</f>
        <v>0</v>
      </c>
      <c r="I357">
        <f>SUMIFS(Medicion!$K$6:$K$511,Medicion!$G$6:$G$511,$B357,Medicion!$A$6:$A$511,$A357)</f>
        <v>0</v>
      </c>
      <c r="J357">
        <f t="shared" si="35"/>
        <v>0</v>
      </c>
      <c r="K357" s="77">
        <f t="shared" si="36"/>
        <v>0</v>
      </c>
      <c r="L357" s="77">
        <f t="shared" si="37"/>
        <v>0</v>
      </c>
      <c r="M357" s="77">
        <f t="shared" si="38"/>
        <v>0</v>
      </c>
      <c r="N357" s="77">
        <f t="shared" si="39"/>
        <v>9168044.0771349873</v>
      </c>
      <c r="O357" s="100">
        <f t="shared" si="40"/>
        <v>0</v>
      </c>
      <c r="P357" t="str">
        <f t="shared" si="41"/>
        <v>OK</v>
      </c>
    </row>
    <row r="358" spans="1:16">
      <c r="A358">
        <v>20</v>
      </c>
      <c r="B358" t="str">
        <f>'Presupuesto Base'!A17</f>
        <v>10.1</v>
      </c>
      <c r="C358" t="str">
        <f>'Presupuesto Base'!B17</f>
        <v>Conexión domiciliaria sobre red Ø75</v>
      </c>
      <c r="D358" t="str">
        <f>'Presupuesto Base'!C17</f>
        <v>un</v>
      </c>
      <c r="E358">
        <f>'Presupuesto Base'!D17</f>
        <v>165</v>
      </c>
      <c r="F358" s="77">
        <f>'Presupuesto Base'!E17</f>
        <v>48618.415560564332</v>
      </c>
      <c r="G358" s="77">
        <f>'Presupuesto Base'!F17</f>
        <v>8022038.5674931146</v>
      </c>
      <c r="H358">
        <f>SUMIFS(Medicion!$K$6:$K$511,Medicion!$G$6:$G$511,$B358,Medicion!$A$6:$A$511,"&lt;"&amp;$A358)</f>
        <v>5</v>
      </c>
      <c r="I358">
        <f>SUMIFS(Medicion!$K$6:$K$511,Medicion!$G$6:$G$511,$B358,Medicion!$A$6:$A$511,$A358)</f>
        <v>0</v>
      </c>
      <c r="J358">
        <f t="shared" si="35"/>
        <v>5</v>
      </c>
      <c r="K358" s="77">
        <f t="shared" si="36"/>
        <v>243092.07780282164</v>
      </c>
      <c r="L358" s="77">
        <f t="shared" si="37"/>
        <v>0</v>
      </c>
      <c r="M358" s="77">
        <f t="shared" si="38"/>
        <v>243092.07780282164</v>
      </c>
      <c r="N358" s="77">
        <f t="shared" si="39"/>
        <v>7778946.4896902926</v>
      </c>
      <c r="O358" s="100">
        <f t="shared" si="40"/>
        <v>3.0303030303030304E-2</v>
      </c>
      <c r="P358" t="str">
        <f t="shared" si="41"/>
        <v>OK</v>
      </c>
    </row>
    <row r="359" spans="1:16">
      <c r="A359">
        <v>20</v>
      </c>
      <c r="B359" t="str">
        <f>'Presupuesto Base'!A18</f>
        <v>10.2</v>
      </c>
      <c r="C359" t="str">
        <f>'Presupuesto Base'!B18</f>
        <v>Conexión domiciliaria sobre red Ø110</v>
      </c>
      <c r="D359" t="str">
        <f>'Presupuesto Base'!C18</f>
        <v>un</v>
      </c>
      <c r="E359">
        <f>'Presupuesto Base'!D18</f>
        <v>62</v>
      </c>
      <c r="F359" s="77">
        <f>'Presupuesto Base'!E18</f>
        <v>55451.879498800321</v>
      </c>
      <c r="G359" s="77">
        <f>'Presupuesto Base'!F18</f>
        <v>3438016.52892562</v>
      </c>
      <c r="H359">
        <f>SUMIFS(Medicion!$K$6:$K$511,Medicion!$G$6:$G$511,$B359,Medicion!$A$6:$A$511,"&lt;"&amp;$A359)</f>
        <v>2</v>
      </c>
      <c r="I359">
        <f>SUMIFS(Medicion!$K$6:$K$511,Medicion!$G$6:$G$511,$B359,Medicion!$A$6:$A$511,$A359)</f>
        <v>0</v>
      </c>
      <c r="J359">
        <f t="shared" si="35"/>
        <v>2</v>
      </c>
      <c r="K359" s="77">
        <f t="shared" si="36"/>
        <v>110903.75899760064</v>
      </c>
      <c r="L359" s="77">
        <f t="shared" si="37"/>
        <v>0</v>
      </c>
      <c r="M359" s="77">
        <f t="shared" si="38"/>
        <v>110903.75899760064</v>
      </c>
      <c r="N359" s="77">
        <f t="shared" si="39"/>
        <v>3327112.7699280195</v>
      </c>
      <c r="O359" s="100">
        <f t="shared" si="40"/>
        <v>3.2258064516129031E-2</v>
      </c>
      <c r="P359" t="str">
        <f t="shared" si="41"/>
        <v>OK</v>
      </c>
    </row>
    <row r="360" spans="1:16">
      <c r="A360">
        <v>20</v>
      </c>
      <c r="B360" t="str">
        <f>'Presupuesto Base'!A19</f>
        <v>11.1</v>
      </c>
      <c r="C360" t="str">
        <f>'Presupuesto Base'!B19</f>
        <v>Válvula esclusa Ø75 completa e instalada</v>
      </c>
      <c r="D360" t="str">
        <f>'Presupuesto Base'!C19</f>
        <v>un</v>
      </c>
      <c r="E360">
        <f>'Presupuesto Base'!D19</f>
        <v>2</v>
      </c>
      <c r="F360" s="77">
        <f>'Presupuesto Base'!E19</f>
        <v>286501.37741046835</v>
      </c>
      <c r="G360" s="77">
        <f>'Presupuesto Base'!F19</f>
        <v>573002.75482093671</v>
      </c>
      <c r="H360">
        <f>SUMIFS(Medicion!$K$6:$K$511,Medicion!$G$6:$G$511,$B360,Medicion!$A$6:$A$511,"&lt;"&amp;$A360)</f>
        <v>0</v>
      </c>
      <c r="I360">
        <f>SUMIFS(Medicion!$K$6:$K$511,Medicion!$G$6:$G$511,$B360,Medicion!$A$6:$A$511,$A360)</f>
        <v>0</v>
      </c>
      <c r="J360">
        <f t="shared" si="35"/>
        <v>0</v>
      </c>
      <c r="K360" s="77">
        <f t="shared" si="36"/>
        <v>0</v>
      </c>
      <c r="L360" s="77">
        <f t="shared" si="37"/>
        <v>0</v>
      </c>
      <c r="M360" s="77">
        <f t="shared" si="38"/>
        <v>0</v>
      </c>
      <c r="N360" s="77">
        <f t="shared" si="39"/>
        <v>573002.75482093671</v>
      </c>
      <c r="O360" s="100">
        <f t="shared" si="40"/>
        <v>0</v>
      </c>
      <c r="P360" t="str">
        <f t="shared" si="41"/>
        <v>OK</v>
      </c>
    </row>
    <row r="361" spans="1:16">
      <c r="A361">
        <v>20</v>
      </c>
      <c r="B361" t="str">
        <f>'Presupuesto Base'!A20</f>
        <v>11.2</v>
      </c>
      <c r="C361" t="str">
        <f>'Presupuesto Base'!B20</f>
        <v>Válvula esclusa Ø100 completa e instalada</v>
      </c>
      <c r="D361" t="str">
        <f>'Presupuesto Base'!C20</f>
        <v>un</v>
      </c>
      <c r="E361">
        <f>'Presupuesto Base'!D20</f>
        <v>4</v>
      </c>
      <c r="F361" s="77">
        <f>'Presupuesto Base'!E20</f>
        <v>429752.0661157025</v>
      </c>
      <c r="G361" s="77">
        <f>'Presupuesto Base'!F20</f>
        <v>1719008.26446281</v>
      </c>
      <c r="H361">
        <f>SUMIFS(Medicion!$K$6:$K$511,Medicion!$G$6:$G$511,$B361,Medicion!$A$6:$A$511,"&lt;"&amp;$A361)</f>
        <v>0</v>
      </c>
      <c r="I361">
        <f>SUMIFS(Medicion!$K$6:$K$511,Medicion!$G$6:$G$511,$B361,Medicion!$A$6:$A$511,$A361)</f>
        <v>0</v>
      </c>
      <c r="J361">
        <f t="shared" si="35"/>
        <v>0</v>
      </c>
      <c r="K361" s="77">
        <f t="shared" si="36"/>
        <v>0</v>
      </c>
      <c r="L361" s="77">
        <f t="shared" si="37"/>
        <v>0</v>
      </c>
      <c r="M361" s="77">
        <f t="shared" si="38"/>
        <v>0</v>
      </c>
      <c r="N361" s="77">
        <f t="shared" si="39"/>
        <v>1719008.26446281</v>
      </c>
      <c r="O361" s="100">
        <f t="shared" si="40"/>
        <v>0</v>
      </c>
      <c r="P361" t="str">
        <f t="shared" si="41"/>
        <v>OK</v>
      </c>
    </row>
    <row r="362" spans="1:16">
      <c r="A362">
        <v>20</v>
      </c>
      <c r="B362" t="str">
        <f>'Presupuesto Base'!A21</f>
        <v>12</v>
      </c>
      <c r="C362" t="str">
        <f>'Presupuesto Base'!B21</f>
        <v>Hidrante a bola completo e instalado</v>
      </c>
      <c r="D362" t="str">
        <f>'Presupuesto Base'!C21</f>
        <v>un</v>
      </c>
      <c r="E362">
        <f>'Presupuesto Base'!D21</f>
        <v>15</v>
      </c>
      <c r="F362" s="77">
        <f>'Presupuesto Base'!E21</f>
        <v>114600.55096418734</v>
      </c>
      <c r="G362" s="77">
        <f>'Presupuesto Base'!F21</f>
        <v>1719008.26446281</v>
      </c>
      <c r="H362">
        <f>SUMIFS(Medicion!$K$6:$K$511,Medicion!$G$6:$G$511,$B362,Medicion!$A$6:$A$511,"&lt;"&amp;$A362)</f>
        <v>0</v>
      </c>
      <c r="I362">
        <f>SUMIFS(Medicion!$K$6:$K$511,Medicion!$G$6:$G$511,$B362,Medicion!$A$6:$A$511,$A362)</f>
        <v>0</v>
      </c>
      <c r="J362">
        <f t="shared" si="35"/>
        <v>0</v>
      </c>
      <c r="K362" s="77">
        <f t="shared" si="36"/>
        <v>0</v>
      </c>
      <c r="L362" s="77">
        <f t="shared" si="37"/>
        <v>0</v>
      </c>
      <c r="M362" s="77">
        <f t="shared" si="38"/>
        <v>0</v>
      </c>
      <c r="N362" s="77">
        <f t="shared" si="39"/>
        <v>1719008.26446281</v>
      </c>
      <c r="O362" s="100">
        <f t="shared" si="40"/>
        <v>0</v>
      </c>
      <c r="P362" t="str">
        <f t="shared" si="41"/>
        <v>OK</v>
      </c>
    </row>
    <row r="363" spans="1:16">
      <c r="A363">
        <v>20</v>
      </c>
      <c r="B363" t="str">
        <f>'Presupuesto Base'!A22</f>
        <v>13.1</v>
      </c>
      <c r="C363" t="str">
        <f>'Presupuesto Base'!B22</f>
        <v>Pruebas hidráulicas y operativas</v>
      </c>
      <c r="D363" t="str">
        <f>'Presupuesto Base'!C22</f>
        <v>gl</v>
      </c>
      <c r="E363">
        <f>'Presupuesto Base'!D22</f>
        <v>1</v>
      </c>
      <c r="F363" s="77">
        <f>'Presupuesto Base'!E22</f>
        <v>1719008.26446281</v>
      </c>
      <c r="G363" s="77">
        <f>'Presupuesto Base'!F22</f>
        <v>1719008.26446281</v>
      </c>
      <c r="H363">
        <f>SUMIFS(Medicion!$K$6:$K$511,Medicion!$G$6:$G$511,$B363,Medicion!$A$6:$A$511,"&lt;"&amp;$A363)</f>
        <v>0</v>
      </c>
      <c r="I363">
        <f>SUMIFS(Medicion!$K$6:$K$511,Medicion!$G$6:$G$511,$B363,Medicion!$A$6:$A$511,$A363)</f>
        <v>0</v>
      </c>
      <c r="J363">
        <f t="shared" si="35"/>
        <v>0</v>
      </c>
      <c r="K363" s="77">
        <f t="shared" si="36"/>
        <v>0</v>
      </c>
      <c r="L363" s="77">
        <f t="shared" si="37"/>
        <v>0</v>
      </c>
      <c r="M363" s="77">
        <f t="shared" si="38"/>
        <v>0</v>
      </c>
      <c r="N363" s="77">
        <f t="shared" si="39"/>
        <v>1719008.26446281</v>
      </c>
      <c r="O363" s="100">
        <f t="shared" si="40"/>
        <v>0</v>
      </c>
      <c r="P363" t="str">
        <f t="shared" si="41"/>
        <v>OK</v>
      </c>
    </row>
    <row r="364" spans="1:16">
      <c r="A364">
        <v>20</v>
      </c>
      <c r="B364" t="str">
        <f>'Presupuesto Base'!A23</f>
        <v>13.2</v>
      </c>
      <c r="C364" t="str">
        <f>'Presupuesto Base'!B23</f>
        <v>Terminaciones y acondicionamiento final</v>
      </c>
      <c r="D364" t="str">
        <f>'Presupuesto Base'!C23</f>
        <v>gl</v>
      </c>
      <c r="E364">
        <f>'Presupuesto Base'!D23</f>
        <v>1</v>
      </c>
      <c r="F364" s="77">
        <f>'Presupuesto Base'!E23</f>
        <v>1146005.5096418734</v>
      </c>
      <c r="G364" s="77">
        <f>'Presupuesto Base'!F23</f>
        <v>1146005.5096418734</v>
      </c>
      <c r="H364">
        <f>SUMIFS(Medicion!$K$6:$K$511,Medicion!$G$6:$G$511,$B364,Medicion!$A$6:$A$511,"&lt;"&amp;$A364)</f>
        <v>0</v>
      </c>
      <c r="I364">
        <f>SUMIFS(Medicion!$K$6:$K$511,Medicion!$G$6:$G$511,$B364,Medicion!$A$6:$A$511,$A364)</f>
        <v>0</v>
      </c>
      <c r="J364">
        <f t="shared" si="35"/>
        <v>0</v>
      </c>
      <c r="K364" s="77">
        <f t="shared" si="36"/>
        <v>0</v>
      </c>
      <c r="L364" s="77">
        <f t="shared" si="37"/>
        <v>0</v>
      </c>
      <c r="M364" s="77">
        <f t="shared" si="38"/>
        <v>0</v>
      </c>
      <c r="N364" s="77">
        <f t="shared" si="39"/>
        <v>1146005.5096418734</v>
      </c>
      <c r="O364" s="100">
        <f t="shared" si="40"/>
        <v>0</v>
      </c>
      <c r="P364" t="str">
        <f t="shared" si="41"/>
        <v>OK</v>
      </c>
    </row>
    <row r="365" spans="1:16">
      <c r="A365">
        <v>20</v>
      </c>
      <c r="B365" t="str">
        <f>'Presupuesto Base'!A24</f>
        <v>13.3</v>
      </c>
      <c r="C365" t="str">
        <f>'Presupuesto Base'!B24</f>
        <v>Documentación conforme a obra y cierre</v>
      </c>
      <c r="D365" t="str">
        <f>'Presupuesto Base'!C24</f>
        <v>gl</v>
      </c>
      <c r="E365">
        <f>'Presupuesto Base'!D24</f>
        <v>1</v>
      </c>
      <c r="F365" s="77">
        <f>'Presupuesto Base'!E24</f>
        <v>859504.132231405</v>
      </c>
      <c r="G365" s="77">
        <f>'Presupuesto Base'!F24</f>
        <v>859504.132231405</v>
      </c>
      <c r="H365">
        <f>SUMIFS(Medicion!$K$6:$K$511,Medicion!$G$6:$G$511,$B365,Medicion!$A$6:$A$511,"&lt;"&amp;$A365)</f>
        <v>0</v>
      </c>
      <c r="I365">
        <f>SUMIFS(Medicion!$K$6:$K$511,Medicion!$G$6:$G$511,$B365,Medicion!$A$6:$A$511,$A365)</f>
        <v>0</v>
      </c>
      <c r="J365">
        <f t="shared" si="35"/>
        <v>0</v>
      </c>
      <c r="K365" s="77">
        <f t="shared" si="36"/>
        <v>0</v>
      </c>
      <c r="L365" s="77">
        <f t="shared" si="37"/>
        <v>0</v>
      </c>
      <c r="M365" s="77">
        <f t="shared" si="38"/>
        <v>0</v>
      </c>
      <c r="N365" s="77">
        <f t="shared" si="39"/>
        <v>859504.132231405</v>
      </c>
      <c r="O365" s="100">
        <f t="shared" si="40"/>
        <v>0</v>
      </c>
      <c r="P365" t="str">
        <f t="shared" si="41"/>
        <v>OK</v>
      </c>
    </row>
    <row r="366" spans="1:16">
      <c r="A366">
        <v>21</v>
      </c>
      <c r="B366" t="str">
        <f>'Presupuesto Base'!A7</f>
        <v>1</v>
      </c>
      <c r="C366" t="str">
        <f>'Presupuesto Base'!B7</f>
        <v>Replanteo y marcación de traza</v>
      </c>
      <c r="D366" t="str">
        <f>'Presupuesto Base'!C7</f>
        <v>ml</v>
      </c>
      <c r="E366">
        <f>'Presupuesto Base'!D7</f>
        <v>4200</v>
      </c>
      <c r="F366" s="77">
        <f>'Presupuesto Base'!E7</f>
        <v>204.64384100747739</v>
      </c>
      <c r="G366" s="77">
        <f>'Presupuesto Base'!F7</f>
        <v>859504.132231405</v>
      </c>
      <c r="H366">
        <f>SUMIFS(Medicion!$K$6:$K$511,Medicion!$G$6:$G$511,$B366,Medicion!$A$6:$A$511,"&lt;"&amp;$A366)</f>
        <v>845</v>
      </c>
      <c r="I366">
        <f>SUMIFS(Medicion!$K$6:$K$511,Medicion!$G$6:$G$511,$B366,Medicion!$A$6:$A$511,$A366)</f>
        <v>0</v>
      </c>
      <c r="J366">
        <f t="shared" si="35"/>
        <v>845</v>
      </c>
      <c r="K366" s="77">
        <f t="shared" si="36"/>
        <v>172924.04565131839</v>
      </c>
      <c r="L366" s="77">
        <f t="shared" si="37"/>
        <v>0</v>
      </c>
      <c r="M366" s="77">
        <f t="shared" si="38"/>
        <v>172924.04565131839</v>
      </c>
      <c r="N366" s="77">
        <f t="shared" si="39"/>
        <v>686580.08658008662</v>
      </c>
      <c r="O366" s="100">
        <f t="shared" si="40"/>
        <v>0.2011904761904762</v>
      </c>
      <c r="P366" t="str">
        <f t="shared" si="41"/>
        <v>OK</v>
      </c>
    </row>
    <row r="367" spans="1:16">
      <c r="A367">
        <v>21</v>
      </c>
      <c r="B367" t="str">
        <f>'Presupuesto Base'!A8</f>
        <v>2</v>
      </c>
      <c r="C367" t="str">
        <f>'Presupuesto Base'!B8</f>
        <v>Excavación de zanja</v>
      </c>
      <c r="D367" t="str">
        <f>'Presupuesto Base'!C8</f>
        <v>ml</v>
      </c>
      <c r="E367">
        <f>'Presupuesto Base'!D8</f>
        <v>4200</v>
      </c>
      <c r="F367" s="77">
        <f>'Presupuesto Base'!E8</f>
        <v>3683.5891381345932</v>
      </c>
      <c r="G367" s="77">
        <f>'Presupuesto Base'!F8</f>
        <v>15471074.380165292</v>
      </c>
      <c r="H367">
        <f>SUMIFS(Medicion!$K$6:$K$511,Medicion!$G$6:$G$511,$B367,Medicion!$A$6:$A$511,"&lt;"&amp;$A367)</f>
        <v>845</v>
      </c>
      <c r="I367">
        <f>SUMIFS(Medicion!$K$6:$K$511,Medicion!$G$6:$G$511,$B367,Medicion!$A$6:$A$511,$A367)</f>
        <v>0</v>
      </c>
      <c r="J367">
        <f t="shared" si="35"/>
        <v>845</v>
      </c>
      <c r="K367" s="77">
        <f t="shared" si="36"/>
        <v>3112632.8217237312</v>
      </c>
      <c r="L367" s="77">
        <f t="shared" si="37"/>
        <v>0</v>
      </c>
      <c r="M367" s="77">
        <f t="shared" si="38"/>
        <v>3112632.8217237312</v>
      </c>
      <c r="N367" s="77">
        <f t="shared" si="39"/>
        <v>12358441.558441561</v>
      </c>
      <c r="O367" s="100">
        <f t="shared" si="40"/>
        <v>0.2011904761904762</v>
      </c>
      <c r="P367" t="str">
        <f t="shared" si="41"/>
        <v>OK</v>
      </c>
    </row>
    <row r="368" spans="1:16">
      <c r="A368">
        <v>21</v>
      </c>
      <c r="B368" t="str">
        <f>'Presupuesto Base'!A9</f>
        <v>3</v>
      </c>
      <c r="C368" t="str">
        <f>'Presupuesto Base'!B9</f>
        <v>Nivelación y conformación del fondo de zanja</v>
      </c>
      <c r="D368" t="str">
        <f>'Presupuesto Base'!C9</f>
        <v>ml</v>
      </c>
      <c r="E368">
        <f>'Presupuesto Base'!D9</f>
        <v>4200</v>
      </c>
      <c r="F368" s="77">
        <f>'Presupuesto Base'!E9</f>
        <v>477.50229568411396</v>
      </c>
      <c r="G368" s="77">
        <f>'Presupuesto Base'!F9</f>
        <v>2005509.6418732787</v>
      </c>
      <c r="H368">
        <f>SUMIFS(Medicion!$K$6:$K$511,Medicion!$G$6:$G$511,$B368,Medicion!$A$6:$A$511,"&lt;"&amp;$A368)</f>
        <v>845</v>
      </c>
      <c r="I368">
        <f>SUMIFS(Medicion!$K$6:$K$511,Medicion!$G$6:$G$511,$B368,Medicion!$A$6:$A$511,$A368)</f>
        <v>0</v>
      </c>
      <c r="J368">
        <f t="shared" si="35"/>
        <v>845</v>
      </c>
      <c r="K368" s="77">
        <f t="shared" si="36"/>
        <v>403489.4398530763</v>
      </c>
      <c r="L368" s="77">
        <f t="shared" si="37"/>
        <v>0</v>
      </c>
      <c r="M368" s="77">
        <f t="shared" si="38"/>
        <v>403489.4398530763</v>
      </c>
      <c r="N368" s="77">
        <f t="shared" si="39"/>
        <v>1602020.2020202023</v>
      </c>
      <c r="O368" s="100">
        <f t="shared" si="40"/>
        <v>0.2011904761904762</v>
      </c>
      <c r="P368" t="str">
        <f t="shared" si="41"/>
        <v>OK</v>
      </c>
    </row>
    <row r="369" spans="1:16">
      <c r="A369">
        <v>21</v>
      </c>
      <c r="B369" t="str">
        <f>'Presupuesto Base'!A10</f>
        <v>4</v>
      </c>
      <c r="C369" t="str">
        <f>'Presupuesto Base'!B10</f>
        <v>Cama de asiento compactada</v>
      </c>
      <c r="D369" t="str">
        <f>'Presupuesto Base'!C10</f>
        <v>ml</v>
      </c>
      <c r="E369">
        <f>'Presupuesto Base'!D10</f>
        <v>4200</v>
      </c>
      <c r="F369" s="77">
        <f>'Presupuesto Base'!E10</f>
        <v>1705.3653417289784</v>
      </c>
      <c r="G369" s="77">
        <f>'Presupuesto Base'!F10</f>
        <v>7162534.4352617087</v>
      </c>
      <c r="H369">
        <f>SUMIFS(Medicion!$K$6:$K$511,Medicion!$G$6:$G$511,$B369,Medicion!$A$6:$A$511,"&lt;"&amp;$A369)</f>
        <v>845</v>
      </c>
      <c r="I369">
        <f>SUMIFS(Medicion!$K$6:$K$511,Medicion!$G$6:$G$511,$B369,Medicion!$A$6:$A$511,$A369)</f>
        <v>0</v>
      </c>
      <c r="J369">
        <f t="shared" si="35"/>
        <v>845</v>
      </c>
      <c r="K369" s="77">
        <f t="shared" si="36"/>
        <v>1441033.7137609867</v>
      </c>
      <c r="L369" s="77">
        <f t="shared" si="37"/>
        <v>0</v>
      </c>
      <c r="M369" s="77">
        <f t="shared" si="38"/>
        <v>1441033.7137609867</v>
      </c>
      <c r="N369" s="77">
        <f t="shared" si="39"/>
        <v>5721500.7215007218</v>
      </c>
      <c r="O369" s="100">
        <f t="shared" si="40"/>
        <v>0.2011904761904762</v>
      </c>
      <c r="P369" t="str">
        <f t="shared" si="41"/>
        <v>OK</v>
      </c>
    </row>
    <row r="370" spans="1:16">
      <c r="A370">
        <v>21</v>
      </c>
      <c r="B370" t="str">
        <f>'Presupuesto Base'!A11</f>
        <v>5.1</v>
      </c>
      <c r="C370" t="str">
        <f>'Presupuesto Base'!B11</f>
        <v>PEAD PN10 Ø75 – provisión e instalación</v>
      </c>
      <c r="D370" t="str">
        <f>'Presupuesto Base'!C11</f>
        <v>ml</v>
      </c>
      <c r="E370">
        <f>'Presupuesto Base'!D11</f>
        <v>3170</v>
      </c>
      <c r="F370" s="77">
        <f>'Presupuesto Base'!E11</f>
        <v>5784.2549382555126</v>
      </c>
      <c r="G370" s="77">
        <f>'Presupuesto Base'!F11</f>
        <v>18336088.154269975</v>
      </c>
      <c r="H370">
        <f>SUMIFS(Medicion!$K$6:$K$511,Medicion!$G$6:$G$511,$B370,Medicion!$A$6:$A$511,"&lt;"&amp;$A370)</f>
        <v>558</v>
      </c>
      <c r="I370">
        <f>SUMIFS(Medicion!$K$6:$K$511,Medicion!$G$6:$G$511,$B370,Medicion!$A$6:$A$511,$A370)</f>
        <v>0</v>
      </c>
      <c r="J370">
        <f t="shared" si="35"/>
        <v>558</v>
      </c>
      <c r="K370" s="77">
        <f t="shared" si="36"/>
        <v>3227614.2555465759</v>
      </c>
      <c r="L370" s="77">
        <f t="shared" si="37"/>
        <v>0</v>
      </c>
      <c r="M370" s="77">
        <f t="shared" si="38"/>
        <v>3227614.2555465759</v>
      </c>
      <c r="N370" s="77">
        <f t="shared" si="39"/>
        <v>15108473.898723399</v>
      </c>
      <c r="O370" s="100">
        <f t="shared" si="40"/>
        <v>0.17602523659305994</v>
      </c>
      <c r="P370" t="str">
        <f t="shared" si="41"/>
        <v>OK</v>
      </c>
    </row>
    <row r="371" spans="1:16">
      <c r="A371">
        <v>21</v>
      </c>
      <c r="B371" t="str">
        <f>'Presupuesto Base'!A12</f>
        <v>5.2</v>
      </c>
      <c r="C371" t="str">
        <f>'Presupuesto Base'!B12</f>
        <v>PEAD PN10 Ø110 – provisión e instalación</v>
      </c>
      <c r="D371" t="str">
        <f>'Presupuesto Base'!C12</f>
        <v>ml</v>
      </c>
      <c r="E371">
        <f>'Presupuesto Base'!D12</f>
        <v>1030</v>
      </c>
      <c r="F371" s="77">
        <f>'Presupuesto Base'!E12</f>
        <v>12238.893792291852</v>
      </c>
      <c r="G371" s="77">
        <f>'Presupuesto Base'!F12</f>
        <v>12606060.606060607</v>
      </c>
      <c r="H371">
        <f>SUMIFS(Medicion!$K$6:$K$511,Medicion!$G$6:$G$511,$B371,Medicion!$A$6:$A$511,"&lt;"&amp;$A371)</f>
        <v>287</v>
      </c>
      <c r="I371">
        <f>SUMIFS(Medicion!$K$6:$K$511,Medicion!$G$6:$G$511,$B371,Medicion!$A$6:$A$511,$A371)</f>
        <v>0</v>
      </c>
      <c r="J371">
        <f t="shared" si="35"/>
        <v>287</v>
      </c>
      <c r="K371" s="77">
        <f t="shared" si="36"/>
        <v>3512562.5183877614</v>
      </c>
      <c r="L371" s="77">
        <f t="shared" si="37"/>
        <v>0</v>
      </c>
      <c r="M371" s="77">
        <f t="shared" si="38"/>
        <v>3512562.5183877614</v>
      </c>
      <c r="N371" s="77">
        <f t="shared" si="39"/>
        <v>9093498.0876728464</v>
      </c>
      <c r="O371" s="100">
        <f t="shared" si="40"/>
        <v>0.27864077669902915</v>
      </c>
      <c r="P371" t="str">
        <f t="shared" si="41"/>
        <v>OK</v>
      </c>
    </row>
    <row r="372" spans="1:16">
      <c r="A372">
        <v>21</v>
      </c>
      <c r="B372" t="str">
        <f>'Presupuesto Base'!A13</f>
        <v>6</v>
      </c>
      <c r="C372" t="str">
        <f>'Presupuesto Base'!B13</f>
        <v>Ejecución de paquete estructural de 30 cm</v>
      </c>
      <c r="D372" t="str">
        <f>'Presupuesto Base'!C13</f>
        <v>ml</v>
      </c>
      <c r="E372">
        <f>'Presupuesto Base'!D13</f>
        <v>4200</v>
      </c>
      <c r="F372" s="77">
        <f>'Presupuesto Base'!E13</f>
        <v>3274.3014561196383</v>
      </c>
      <c r="G372" s="77">
        <f>'Presupuesto Base'!F13</f>
        <v>13752066.11570248</v>
      </c>
      <c r="H372">
        <f>SUMIFS(Medicion!$K$6:$K$511,Medicion!$G$6:$G$511,$B372,Medicion!$A$6:$A$511,"&lt;"&amp;$A372)</f>
        <v>763</v>
      </c>
      <c r="I372">
        <f>SUMIFS(Medicion!$K$6:$K$511,Medicion!$G$6:$G$511,$B372,Medicion!$A$6:$A$511,$A372)</f>
        <v>0</v>
      </c>
      <c r="J372">
        <f t="shared" si="35"/>
        <v>763</v>
      </c>
      <c r="K372" s="77">
        <f t="shared" si="36"/>
        <v>2498292.0110192839</v>
      </c>
      <c r="L372" s="77">
        <f t="shared" si="37"/>
        <v>0</v>
      </c>
      <c r="M372" s="77">
        <f t="shared" si="38"/>
        <v>2498292.0110192839</v>
      </c>
      <c r="N372" s="77">
        <f t="shared" si="39"/>
        <v>11253774.104683196</v>
      </c>
      <c r="O372" s="100">
        <f t="shared" si="40"/>
        <v>0.18166666666666667</v>
      </c>
      <c r="P372" t="str">
        <f t="shared" si="41"/>
        <v>OK</v>
      </c>
    </row>
    <row r="373" spans="1:16">
      <c r="A373">
        <v>21</v>
      </c>
      <c r="B373" t="str">
        <f>'Presupuesto Base'!A14</f>
        <v>7</v>
      </c>
      <c r="C373" t="str">
        <f>'Presupuesto Base'!B14</f>
        <v>Compactación del paquete estructural de 30 cm</v>
      </c>
      <c r="D373" t="str">
        <f>'Presupuesto Base'!C14</f>
        <v>ml</v>
      </c>
      <c r="E373">
        <f>'Presupuesto Base'!D14</f>
        <v>4200</v>
      </c>
      <c r="F373" s="77">
        <f>'Presupuesto Base'!E14</f>
        <v>1227.8630460448644</v>
      </c>
      <c r="G373" s="77">
        <f>'Presupuesto Base'!F14</f>
        <v>5157024.79338843</v>
      </c>
      <c r="H373">
        <f>SUMIFS(Medicion!$K$6:$K$511,Medicion!$G$6:$G$511,$B373,Medicion!$A$6:$A$511,"&lt;"&amp;$A373)</f>
        <v>0</v>
      </c>
      <c r="I373">
        <f>SUMIFS(Medicion!$K$6:$K$511,Medicion!$G$6:$G$511,$B373,Medicion!$A$6:$A$511,$A373)</f>
        <v>0</v>
      </c>
      <c r="J373">
        <f t="shared" si="35"/>
        <v>0</v>
      </c>
      <c r="K373" s="77">
        <f t="shared" si="36"/>
        <v>0</v>
      </c>
      <c r="L373" s="77">
        <f t="shared" si="37"/>
        <v>0</v>
      </c>
      <c r="M373" s="77">
        <f t="shared" si="38"/>
        <v>0</v>
      </c>
      <c r="N373" s="77">
        <f t="shared" si="39"/>
        <v>5157024.79338843</v>
      </c>
      <c r="O373" s="100">
        <f t="shared" si="40"/>
        <v>0</v>
      </c>
      <c r="P373" t="str">
        <f t="shared" si="41"/>
        <v>OK</v>
      </c>
    </row>
    <row r="374" spans="1:16">
      <c r="A374">
        <v>21</v>
      </c>
      <c r="B374" t="str">
        <f>'Presupuesto Base'!A15</f>
        <v>8</v>
      </c>
      <c r="C374" t="str">
        <f>'Presupuesto Base'!B15</f>
        <v>Ejecución y compactación de capa cota -0,60</v>
      </c>
      <c r="D374" t="str">
        <f>'Presupuesto Base'!C15</f>
        <v>ml</v>
      </c>
      <c r="E374">
        <f>'Presupuesto Base'!D15</f>
        <v>4200</v>
      </c>
      <c r="F374" s="77">
        <f>'Presupuesto Base'!E15</f>
        <v>2592.1553194280468</v>
      </c>
      <c r="G374" s="77">
        <f>'Presupuesto Base'!F15</f>
        <v>10887052.341597797</v>
      </c>
      <c r="H374">
        <f>SUMIFS(Medicion!$K$6:$K$511,Medicion!$G$6:$G$511,$B374,Medicion!$A$6:$A$511,"&lt;"&amp;$A374)</f>
        <v>0</v>
      </c>
      <c r="I374">
        <f>SUMIFS(Medicion!$K$6:$K$511,Medicion!$G$6:$G$511,$B374,Medicion!$A$6:$A$511,$A374)</f>
        <v>0</v>
      </c>
      <c r="J374">
        <f t="shared" si="35"/>
        <v>0</v>
      </c>
      <c r="K374" s="77">
        <f t="shared" si="36"/>
        <v>0</v>
      </c>
      <c r="L374" s="77">
        <f t="shared" si="37"/>
        <v>0</v>
      </c>
      <c r="M374" s="77">
        <f t="shared" si="38"/>
        <v>0</v>
      </c>
      <c r="N374" s="77">
        <f t="shared" si="39"/>
        <v>10887052.341597797</v>
      </c>
      <c r="O374" s="100">
        <f t="shared" si="40"/>
        <v>0</v>
      </c>
      <c r="P374" t="str">
        <f t="shared" si="41"/>
        <v>OK</v>
      </c>
    </row>
    <row r="375" spans="1:16">
      <c r="A375">
        <v>21</v>
      </c>
      <c r="B375" t="str">
        <f>'Presupuesto Base'!A16</f>
        <v>9</v>
      </c>
      <c r="C375" t="str">
        <f>'Presupuesto Base'!B16</f>
        <v>Ejecución y compactación de capa cota -0,30</v>
      </c>
      <c r="D375" t="str">
        <f>'Presupuesto Base'!C16</f>
        <v>ml</v>
      </c>
      <c r="E375">
        <f>'Presupuesto Base'!D16</f>
        <v>4200</v>
      </c>
      <c r="F375" s="77">
        <f>'Presupuesto Base'!E16</f>
        <v>2182.8676374130923</v>
      </c>
      <c r="G375" s="77">
        <f>'Presupuesto Base'!F16</f>
        <v>9168044.0771349873</v>
      </c>
      <c r="H375">
        <f>SUMIFS(Medicion!$K$6:$K$511,Medicion!$G$6:$G$511,$B375,Medicion!$A$6:$A$511,"&lt;"&amp;$A375)</f>
        <v>0</v>
      </c>
      <c r="I375">
        <f>SUMIFS(Medicion!$K$6:$K$511,Medicion!$G$6:$G$511,$B375,Medicion!$A$6:$A$511,$A375)</f>
        <v>0</v>
      </c>
      <c r="J375">
        <f t="shared" si="35"/>
        <v>0</v>
      </c>
      <c r="K375" s="77">
        <f t="shared" si="36"/>
        <v>0</v>
      </c>
      <c r="L375" s="77">
        <f t="shared" si="37"/>
        <v>0</v>
      </c>
      <c r="M375" s="77">
        <f t="shared" si="38"/>
        <v>0</v>
      </c>
      <c r="N375" s="77">
        <f t="shared" si="39"/>
        <v>9168044.0771349873</v>
      </c>
      <c r="O375" s="100">
        <f t="shared" si="40"/>
        <v>0</v>
      </c>
      <c r="P375" t="str">
        <f t="shared" si="41"/>
        <v>OK</v>
      </c>
    </row>
    <row r="376" spans="1:16">
      <c r="A376">
        <v>21</v>
      </c>
      <c r="B376" t="str">
        <f>'Presupuesto Base'!A17</f>
        <v>10.1</v>
      </c>
      <c r="C376" t="str">
        <f>'Presupuesto Base'!B17</f>
        <v>Conexión domiciliaria sobre red Ø75</v>
      </c>
      <c r="D376" t="str">
        <f>'Presupuesto Base'!C17</f>
        <v>un</v>
      </c>
      <c r="E376">
        <f>'Presupuesto Base'!D17</f>
        <v>165</v>
      </c>
      <c r="F376" s="77">
        <f>'Presupuesto Base'!E17</f>
        <v>48618.415560564332</v>
      </c>
      <c r="G376" s="77">
        <f>'Presupuesto Base'!F17</f>
        <v>8022038.5674931146</v>
      </c>
      <c r="H376">
        <f>SUMIFS(Medicion!$K$6:$K$511,Medicion!$G$6:$G$511,$B376,Medicion!$A$6:$A$511,"&lt;"&amp;$A376)</f>
        <v>5</v>
      </c>
      <c r="I376">
        <f>SUMIFS(Medicion!$K$6:$K$511,Medicion!$G$6:$G$511,$B376,Medicion!$A$6:$A$511,$A376)</f>
        <v>0</v>
      </c>
      <c r="J376">
        <f t="shared" si="35"/>
        <v>5</v>
      </c>
      <c r="K376" s="77">
        <f t="shared" si="36"/>
        <v>243092.07780282164</v>
      </c>
      <c r="L376" s="77">
        <f t="shared" si="37"/>
        <v>0</v>
      </c>
      <c r="M376" s="77">
        <f t="shared" si="38"/>
        <v>243092.07780282164</v>
      </c>
      <c r="N376" s="77">
        <f t="shared" si="39"/>
        <v>7778946.4896902926</v>
      </c>
      <c r="O376" s="100">
        <f t="shared" si="40"/>
        <v>3.0303030303030304E-2</v>
      </c>
      <c r="P376" t="str">
        <f t="shared" si="41"/>
        <v>OK</v>
      </c>
    </row>
    <row r="377" spans="1:16">
      <c r="A377">
        <v>21</v>
      </c>
      <c r="B377" t="str">
        <f>'Presupuesto Base'!A18</f>
        <v>10.2</v>
      </c>
      <c r="C377" t="str">
        <f>'Presupuesto Base'!B18</f>
        <v>Conexión domiciliaria sobre red Ø110</v>
      </c>
      <c r="D377" t="str">
        <f>'Presupuesto Base'!C18</f>
        <v>un</v>
      </c>
      <c r="E377">
        <f>'Presupuesto Base'!D18</f>
        <v>62</v>
      </c>
      <c r="F377" s="77">
        <f>'Presupuesto Base'!E18</f>
        <v>55451.879498800321</v>
      </c>
      <c r="G377" s="77">
        <f>'Presupuesto Base'!F18</f>
        <v>3438016.52892562</v>
      </c>
      <c r="H377">
        <f>SUMIFS(Medicion!$K$6:$K$511,Medicion!$G$6:$G$511,$B377,Medicion!$A$6:$A$511,"&lt;"&amp;$A377)</f>
        <v>2</v>
      </c>
      <c r="I377">
        <f>SUMIFS(Medicion!$K$6:$K$511,Medicion!$G$6:$G$511,$B377,Medicion!$A$6:$A$511,$A377)</f>
        <v>0</v>
      </c>
      <c r="J377">
        <f t="shared" si="35"/>
        <v>2</v>
      </c>
      <c r="K377" s="77">
        <f t="shared" si="36"/>
        <v>110903.75899760064</v>
      </c>
      <c r="L377" s="77">
        <f t="shared" si="37"/>
        <v>0</v>
      </c>
      <c r="M377" s="77">
        <f t="shared" si="38"/>
        <v>110903.75899760064</v>
      </c>
      <c r="N377" s="77">
        <f t="shared" si="39"/>
        <v>3327112.7699280195</v>
      </c>
      <c r="O377" s="100">
        <f t="shared" si="40"/>
        <v>3.2258064516129031E-2</v>
      </c>
      <c r="P377" t="str">
        <f t="shared" si="41"/>
        <v>OK</v>
      </c>
    </row>
    <row r="378" spans="1:16">
      <c r="A378">
        <v>21</v>
      </c>
      <c r="B378" t="str">
        <f>'Presupuesto Base'!A19</f>
        <v>11.1</v>
      </c>
      <c r="C378" t="str">
        <f>'Presupuesto Base'!B19</f>
        <v>Válvula esclusa Ø75 completa e instalada</v>
      </c>
      <c r="D378" t="str">
        <f>'Presupuesto Base'!C19</f>
        <v>un</v>
      </c>
      <c r="E378">
        <f>'Presupuesto Base'!D19</f>
        <v>2</v>
      </c>
      <c r="F378" s="77">
        <f>'Presupuesto Base'!E19</f>
        <v>286501.37741046835</v>
      </c>
      <c r="G378" s="77">
        <f>'Presupuesto Base'!F19</f>
        <v>573002.75482093671</v>
      </c>
      <c r="H378">
        <f>SUMIFS(Medicion!$K$6:$K$511,Medicion!$G$6:$G$511,$B378,Medicion!$A$6:$A$511,"&lt;"&amp;$A378)</f>
        <v>0</v>
      </c>
      <c r="I378">
        <f>SUMIFS(Medicion!$K$6:$K$511,Medicion!$G$6:$G$511,$B378,Medicion!$A$6:$A$511,$A378)</f>
        <v>0</v>
      </c>
      <c r="J378">
        <f t="shared" si="35"/>
        <v>0</v>
      </c>
      <c r="K378" s="77">
        <f t="shared" si="36"/>
        <v>0</v>
      </c>
      <c r="L378" s="77">
        <f t="shared" si="37"/>
        <v>0</v>
      </c>
      <c r="M378" s="77">
        <f t="shared" si="38"/>
        <v>0</v>
      </c>
      <c r="N378" s="77">
        <f t="shared" si="39"/>
        <v>573002.75482093671</v>
      </c>
      <c r="O378" s="100">
        <f t="shared" si="40"/>
        <v>0</v>
      </c>
      <c r="P378" t="str">
        <f t="shared" si="41"/>
        <v>OK</v>
      </c>
    </row>
    <row r="379" spans="1:16">
      <c r="A379">
        <v>21</v>
      </c>
      <c r="B379" t="str">
        <f>'Presupuesto Base'!A20</f>
        <v>11.2</v>
      </c>
      <c r="C379" t="str">
        <f>'Presupuesto Base'!B20</f>
        <v>Válvula esclusa Ø100 completa e instalada</v>
      </c>
      <c r="D379" t="str">
        <f>'Presupuesto Base'!C20</f>
        <v>un</v>
      </c>
      <c r="E379">
        <f>'Presupuesto Base'!D20</f>
        <v>4</v>
      </c>
      <c r="F379" s="77">
        <f>'Presupuesto Base'!E20</f>
        <v>429752.0661157025</v>
      </c>
      <c r="G379" s="77">
        <f>'Presupuesto Base'!F20</f>
        <v>1719008.26446281</v>
      </c>
      <c r="H379">
        <f>SUMIFS(Medicion!$K$6:$K$511,Medicion!$G$6:$G$511,$B379,Medicion!$A$6:$A$511,"&lt;"&amp;$A379)</f>
        <v>0</v>
      </c>
      <c r="I379">
        <f>SUMIFS(Medicion!$K$6:$K$511,Medicion!$G$6:$G$511,$B379,Medicion!$A$6:$A$511,$A379)</f>
        <v>0</v>
      </c>
      <c r="J379">
        <f t="shared" si="35"/>
        <v>0</v>
      </c>
      <c r="K379" s="77">
        <f t="shared" si="36"/>
        <v>0</v>
      </c>
      <c r="L379" s="77">
        <f t="shared" si="37"/>
        <v>0</v>
      </c>
      <c r="M379" s="77">
        <f t="shared" si="38"/>
        <v>0</v>
      </c>
      <c r="N379" s="77">
        <f t="shared" si="39"/>
        <v>1719008.26446281</v>
      </c>
      <c r="O379" s="100">
        <f t="shared" si="40"/>
        <v>0</v>
      </c>
      <c r="P379" t="str">
        <f t="shared" si="41"/>
        <v>OK</v>
      </c>
    </row>
    <row r="380" spans="1:16">
      <c r="A380">
        <v>21</v>
      </c>
      <c r="B380" t="str">
        <f>'Presupuesto Base'!A21</f>
        <v>12</v>
      </c>
      <c r="C380" t="str">
        <f>'Presupuesto Base'!B21</f>
        <v>Hidrante a bola completo e instalado</v>
      </c>
      <c r="D380" t="str">
        <f>'Presupuesto Base'!C21</f>
        <v>un</v>
      </c>
      <c r="E380">
        <f>'Presupuesto Base'!D21</f>
        <v>15</v>
      </c>
      <c r="F380" s="77">
        <f>'Presupuesto Base'!E21</f>
        <v>114600.55096418734</v>
      </c>
      <c r="G380" s="77">
        <f>'Presupuesto Base'!F21</f>
        <v>1719008.26446281</v>
      </c>
      <c r="H380">
        <f>SUMIFS(Medicion!$K$6:$K$511,Medicion!$G$6:$G$511,$B380,Medicion!$A$6:$A$511,"&lt;"&amp;$A380)</f>
        <v>0</v>
      </c>
      <c r="I380">
        <f>SUMIFS(Medicion!$K$6:$K$511,Medicion!$G$6:$G$511,$B380,Medicion!$A$6:$A$511,$A380)</f>
        <v>0</v>
      </c>
      <c r="J380">
        <f t="shared" si="35"/>
        <v>0</v>
      </c>
      <c r="K380" s="77">
        <f t="shared" si="36"/>
        <v>0</v>
      </c>
      <c r="L380" s="77">
        <f t="shared" si="37"/>
        <v>0</v>
      </c>
      <c r="M380" s="77">
        <f t="shared" si="38"/>
        <v>0</v>
      </c>
      <c r="N380" s="77">
        <f t="shared" si="39"/>
        <v>1719008.26446281</v>
      </c>
      <c r="O380" s="100">
        <f t="shared" si="40"/>
        <v>0</v>
      </c>
      <c r="P380" t="str">
        <f t="shared" si="41"/>
        <v>OK</v>
      </c>
    </row>
    <row r="381" spans="1:16">
      <c r="A381">
        <v>21</v>
      </c>
      <c r="B381" t="str">
        <f>'Presupuesto Base'!A22</f>
        <v>13.1</v>
      </c>
      <c r="C381" t="str">
        <f>'Presupuesto Base'!B22</f>
        <v>Pruebas hidráulicas y operativas</v>
      </c>
      <c r="D381" t="str">
        <f>'Presupuesto Base'!C22</f>
        <v>gl</v>
      </c>
      <c r="E381">
        <f>'Presupuesto Base'!D22</f>
        <v>1</v>
      </c>
      <c r="F381" s="77">
        <f>'Presupuesto Base'!E22</f>
        <v>1719008.26446281</v>
      </c>
      <c r="G381" s="77">
        <f>'Presupuesto Base'!F22</f>
        <v>1719008.26446281</v>
      </c>
      <c r="H381">
        <f>SUMIFS(Medicion!$K$6:$K$511,Medicion!$G$6:$G$511,$B381,Medicion!$A$6:$A$511,"&lt;"&amp;$A381)</f>
        <v>0</v>
      </c>
      <c r="I381">
        <f>SUMIFS(Medicion!$K$6:$K$511,Medicion!$G$6:$G$511,$B381,Medicion!$A$6:$A$511,$A381)</f>
        <v>0</v>
      </c>
      <c r="J381">
        <f t="shared" si="35"/>
        <v>0</v>
      </c>
      <c r="K381" s="77">
        <f t="shared" si="36"/>
        <v>0</v>
      </c>
      <c r="L381" s="77">
        <f t="shared" si="37"/>
        <v>0</v>
      </c>
      <c r="M381" s="77">
        <f t="shared" si="38"/>
        <v>0</v>
      </c>
      <c r="N381" s="77">
        <f t="shared" si="39"/>
        <v>1719008.26446281</v>
      </c>
      <c r="O381" s="100">
        <f t="shared" si="40"/>
        <v>0</v>
      </c>
      <c r="P381" t="str">
        <f t="shared" si="41"/>
        <v>OK</v>
      </c>
    </row>
    <row r="382" spans="1:16">
      <c r="A382">
        <v>21</v>
      </c>
      <c r="B382" t="str">
        <f>'Presupuesto Base'!A23</f>
        <v>13.2</v>
      </c>
      <c r="C382" t="str">
        <f>'Presupuesto Base'!B23</f>
        <v>Terminaciones y acondicionamiento final</v>
      </c>
      <c r="D382" t="str">
        <f>'Presupuesto Base'!C23</f>
        <v>gl</v>
      </c>
      <c r="E382">
        <f>'Presupuesto Base'!D23</f>
        <v>1</v>
      </c>
      <c r="F382" s="77">
        <f>'Presupuesto Base'!E23</f>
        <v>1146005.5096418734</v>
      </c>
      <c r="G382" s="77">
        <f>'Presupuesto Base'!F23</f>
        <v>1146005.5096418734</v>
      </c>
      <c r="H382">
        <f>SUMIFS(Medicion!$K$6:$K$511,Medicion!$G$6:$G$511,$B382,Medicion!$A$6:$A$511,"&lt;"&amp;$A382)</f>
        <v>0</v>
      </c>
      <c r="I382">
        <f>SUMIFS(Medicion!$K$6:$K$511,Medicion!$G$6:$G$511,$B382,Medicion!$A$6:$A$511,$A382)</f>
        <v>0</v>
      </c>
      <c r="J382">
        <f t="shared" si="35"/>
        <v>0</v>
      </c>
      <c r="K382" s="77">
        <f t="shared" si="36"/>
        <v>0</v>
      </c>
      <c r="L382" s="77">
        <f t="shared" si="37"/>
        <v>0</v>
      </c>
      <c r="M382" s="77">
        <f t="shared" si="38"/>
        <v>0</v>
      </c>
      <c r="N382" s="77">
        <f t="shared" si="39"/>
        <v>1146005.5096418734</v>
      </c>
      <c r="O382" s="100">
        <f t="shared" si="40"/>
        <v>0</v>
      </c>
      <c r="P382" t="str">
        <f t="shared" si="41"/>
        <v>OK</v>
      </c>
    </row>
    <row r="383" spans="1:16">
      <c r="A383">
        <v>21</v>
      </c>
      <c r="B383" t="str">
        <f>'Presupuesto Base'!A24</f>
        <v>13.3</v>
      </c>
      <c r="C383" t="str">
        <f>'Presupuesto Base'!B24</f>
        <v>Documentación conforme a obra y cierre</v>
      </c>
      <c r="D383" t="str">
        <f>'Presupuesto Base'!C24</f>
        <v>gl</v>
      </c>
      <c r="E383">
        <f>'Presupuesto Base'!D24</f>
        <v>1</v>
      </c>
      <c r="F383" s="77">
        <f>'Presupuesto Base'!E24</f>
        <v>859504.132231405</v>
      </c>
      <c r="G383" s="77">
        <f>'Presupuesto Base'!F24</f>
        <v>859504.132231405</v>
      </c>
      <c r="H383">
        <f>SUMIFS(Medicion!$K$6:$K$511,Medicion!$G$6:$G$511,$B383,Medicion!$A$6:$A$511,"&lt;"&amp;$A383)</f>
        <v>0</v>
      </c>
      <c r="I383">
        <f>SUMIFS(Medicion!$K$6:$K$511,Medicion!$G$6:$G$511,$B383,Medicion!$A$6:$A$511,$A383)</f>
        <v>0</v>
      </c>
      <c r="J383">
        <f t="shared" si="35"/>
        <v>0</v>
      </c>
      <c r="K383" s="77">
        <f t="shared" si="36"/>
        <v>0</v>
      </c>
      <c r="L383" s="77">
        <f t="shared" si="37"/>
        <v>0</v>
      </c>
      <c r="M383" s="77">
        <f t="shared" si="38"/>
        <v>0</v>
      </c>
      <c r="N383" s="77">
        <f t="shared" si="39"/>
        <v>859504.132231405</v>
      </c>
      <c r="O383" s="100">
        <f t="shared" si="40"/>
        <v>0</v>
      </c>
      <c r="P383" t="str">
        <f t="shared" si="41"/>
        <v>OK</v>
      </c>
    </row>
    <row r="384" spans="1:16">
      <c r="A384">
        <v>22</v>
      </c>
      <c r="B384" t="str">
        <f>'Presupuesto Base'!A7</f>
        <v>1</v>
      </c>
      <c r="C384" t="str">
        <f>'Presupuesto Base'!B7</f>
        <v>Replanteo y marcación de traza</v>
      </c>
      <c r="D384" t="str">
        <f>'Presupuesto Base'!C7</f>
        <v>ml</v>
      </c>
      <c r="E384">
        <f>'Presupuesto Base'!D7</f>
        <v>4200</v>
      </c>
      <c r="F384" s="77">
        <f>'Presupuesto Base'!E7</f>
        <v>204.64384100747739</v>
      </c>
      <c r="G384" s="77">
        <f>'Presupuesto Base'!F7</f>
        <v>859504.132231405</v>
      </c>
      <c r="H384">
        <f>SUMIFS(Medicion!$K$6:$K$511,Medicion!$G$6:$G$511,$B384,Medicion!$A$6:$A$511,"&lt;"&amp;$A384)</f>
        <v>845</v>
      </c>
      <c r="I384">
        <f>SUMIFS(Medicion!$K$6:$K$511,Medicion!$G$6:$G$511,$B384,Medicion!$A$6:$A$511,$A384)</f>
        <v>0</v>
      </c>
      <c r="J384">
        <f t="shared" si="35"/>
        <v>845</v>
      </c>
      <c r="K384" s="77">
        <f t="shared" si="36"/>
        <v>172924.04565131839</v>
      </c>
      <c r="L384" s="77">
        <f t="shared" si="37"/>
        <v>0</v>
      </c>
      <c r="M384" s="77">
        <f t="shared" si="38"/>
        <v>172924.04565131839</v>
      </c>
      <c r="N384" s="77">
        <f t="shared" si="39"/>
        <v>686580.08658008662</v>
      </c>
      <c r="O384" s="100">
        <f t="shared" si="40"/>
        <v>0.2011904761904762</v>
      </c>
      <c r="P384" t="str">
        <f t="shared" si="41"/>
        <v>OK</v>
      </c>
    </row>
    <row r="385" spans="1:16">
      <c r="A385">
        <v>22</v>
      </c>
      <c r="B385" t="str">
        <f>'Presupuesto Base'!A8</f>
        <v>2</v>
      </c>
      <c r="C385" t="str">
        <f>'Presupuesto Base'!B8</f>
        <v>Excavación de zanja</v>
      </c>
      <c r="D385" t="str">
        <f>'Presupuesto Base'!C8</f>
        <v>ml</v>
      </c>
      <c r="E385">
        <f>'Presupuesto Base'!D8</f>
        <v>4200</v>
      </c>
      <c r="F385" s="77">
        <f>'Presupuesto Base'!E8</f>
        <v>3683.5891381345932</v>
      </c>
      <c r="G385" s="77">
        <f>'Presupuesto Base'!F8</f>
        <v>15471074.380165292</v>
      </c>
      <c r="H385">
        <f>SUMIFS(Medicion!$K$6:$K$511,Medicion!$G$6:$G$511,$B385,Medicion!$A$6:$A$511,"&lt;"&amp;$A385)</f>
        <v>845</v>
      </c>
      <c r="I385">
        <f>SUMIFS(Medicion!$K$6:$K$511,Medicion!$G$6:$G$511,$B385,Medicion!$A$6:$A$511,$A385)</f>
        <v>0</v>
      </c>
      <c r="J385">
        <f t="shared" si="35"/>
        <v>845</v>
      </c>
      <c r="K385" s="77">
        <f t="shared" si="36"/>
        <v>3112632.8217237312</v>
      </c>
      <c r="L385" s="77">
        <f t="shared" si="37"/>
        <v>0</v>
      </c>
      <c r="M385" s="77">
        <f t="shared" si="38"/>
        <v>3112632.8217237312</v>
      </c>
      <c r="N385" s="77">
        <f t="shared" si="39"/>
        <v>12358441.558441561</v>
      </c>
      <c r="O385" s="100">
        <f t="shared" si="40"/>
        <v>0.2011904761904762</v>
      </c>
      <c r="P385" t="str">
        <f t="shared" si="41"/>
        <v>OK</v>
      </c>
    </row>
    <row r="386" spans="1:16">
      <c r="A386">
        <v>22</v>
      </c>
      <c r="B386" t="str">
        <f>'Presupuesto Base'!A9</f>
        <v>3</v>
      </c>
      <c r="C386" t="str">
        <f>'Presupuesto Base'!B9</f>
        <v>Nivelación y conformación del fondo de zanja</v>
      </c>
      <c r="D386" t="str">
        <f>'Presupuesto Base'!C9</f>
        <v>ml</v>
      </c>
      <c r="E386">
        <f>'Presupuesto Base'!D9</f>
        <v>4200</v>
      </c>
      <c r="F386" s="77">
        <f>'Presupuesto Base'!E9</f>
        <v>477.50229568411396</v>
      </c>
      <c r="G386" s="77">
        <f>'Presupuesto Base'!F9</f>
        <v>2005509.6418732787</v>
      </c>
      <c r="H386">
        <f>SUMIFS(Medicion!$K$6:$K$511,Medicion!$G$6:$G$511,$B386,Medicion!$A$6:$A$511,"&lt;"&amp;$A386)</f>
        <v>845</v>
      </c>
      <c r="I386">
        <f>SUMIFS(Medicion!$K$6:$K$511,Medicion!$G$6:$G$511,$B386,Medicion!$A$6:$A$511,$A386)</f>
        <v>0</v>
      </c>
      <c r="J386">
        <f t="shared" si="35"/>
        <v>845</v>
      </c>
      <c r="K386" s="77">
        <f t="shared" si="36"/>
        <v>403489.4398530763</v>
      </c>
      <c r="L386" s="77">
        <f t="shared" si="37"/>
        <v>0</v>
      </c>
      <c r="M386" s="77">
        <f t="shared" si="38"/>
        <v>403489.4398530763</v>
      </c>
      <c r="N386" s="77">
        <f t="shared" si="39"/>
        <v>1602020.2020202023</v>
      </c>
      <c r="O386" s="100">
        <f t="shared" si="40"/>
        <v>0.2011904761904762</v>
      </c>
      <c r="P386" t="str">
        <f t="shared" si="41"/>
        <v>OK</v>
      </c>
    </row>
    <row r="387" spans="1:16">
      <c r="A387">
        <v>22</v>
      </c>
      <c r="B387" t="str">
        <f>'Presupuesto Base'!A10</f>
        <v>4</v>
      </c>
      <c r="C387" t="str">
        <f>'Presupuesto Base'!B10</f>
        <v>Cama de asiento compactada</v>
      </c>
      <c r="D387" t="str">
        <f>'Presupuesto Base'!C10</f>
        <v>ml</v>
      </c>
      <c r="E387">
        <f>'Presupuesto Base'!D10</f>
        <v>4200</v>
      </c>
      <c r="F387" s="77">
        <f>'Presupuesto Base'!E10</f>
        <v>1705.3653417289784</v>
      </c>
      <c r="G387" s="77">
        <f>'Presupuesto Base'!F10</f>
        <v>7162534.4352617087</v>
      </c>
      <c r="H387">
        <f>SUMIFS(Medicion!$K$6:$K$511,Medicion!$G$6:$G$511,$B387,Medicion!$A$6:$A$511,"&lt;"&amp;$A387)</f>
        <v>845</v>
      </c>
      <c r="I387">
        <f>SUMIFS(Medicion!$K$6:$K$511,Medicion!$G$6:$G$511,$B387,Medicion!$A$6:$A$511,$A387)</f>
        <v>0</v>
      </c>
      <c r="J387">
        <f t="shared" si="35"/>
        <v>845</v>
      </c>
      <c r="K387" s="77">
        <f t="shared" si="36"/>
        <v>1441033.7137609867</v>
      </c>
      <c r="L387" s="77">
        <f t="shared" si="37"/>
        <v>0</v>
      </c>
      <c r="M387" s="77">
        <f t="shared" si="38"/>
        <v>1441033.7137609867</v>
      </c>
      <c r="N387" s="77">
        <f t="shared" si="39"/>
        <v>5721500.7215007218</v>
      </c>
      <c r="O387" s="100">
        <f t="shared" si="40"/>
        <v>0.2011904761904762</v>
      </c>
      <c r="P387" t="str">
        <f t="shared" si="41"/>
        <v>OK</v>
      </c>
    </row>
    <row r="388" spans="1:16">
      <c r="A388">
        <v>22</v>
      </c>
      <c r="B388" t="str">
        <f>'Presupuesto Base'!A11</f>
        <v>5.1</v>
      </c>
      <c r="C388" t="str">
        <f>'Presupuesto Base'!B11</f>
        <v>PEAD PN10 Ø75 – provisión e instalación</v>
      </c>
      <c r="D388" t="str">
        <f>'Presupuesto Base'!C11</f>
        <v>ml</v>
      </c>
      <c r="E388">
        <f>'Presupuesto Base'!D11</f>
        <v>3170</v>
      </c>
      <c r="F388" s="77">
        <f>'Presupuesto Base'!E11</f>
        <v>5784.2549382555126</v>
      </c>
      <c r="G388" s="77">
        <f>'Presupuesto Base'!F11</f>
        <v>18336088.154269975</v>
      </c>
      <c r="H388">
        <f>SUMIFS(Medicion!$K$6:$K$511,Medicion!$G$6:$G$511,$B388,Medicion!$A$6:$A$511,"&lt;"&amp;$A388)</f>
        <v>558</v>
      </c>
      <c r="I388">
        <f>SUMIFS(Medicion!$K$6:$K$511,Medicion!$G$6:$G$511,$B388,Medicion!$A$6:$A$511,$A388)</f>
        <v>0</v>
      </c>
      <c r="J388">
        <f t="shared" si="35"/>
        <v>558</v>
      </c>
      <c r="K388" s="77">
        <f t="shared" si="36"/>
        <v>3227614.2555465759</v>
      </c>
      <c r="L388" s="77">
        <f t="shared" si="37"/>
        <v>0</v>
      </c>
      <c r="M388" s="77">
        <f t="shared" si="38"/>
        <v>3227614.2555465759</v>
      </c>
      <c r="N388" s="77">
        <f t="shared" si="39"/>
        <v>15108473.898723399</v>
      </c>
      <c r="O388" s="100">
        <f t="shared" si="40"/>
        <v>0.17602523659305994</v>
      </c>
      <c r="P388" t="str">
        <f t="shared" si="41"/>
        <v>OK</v>
      </c>
    </row>
    <row r="389" spans="1:16">
      <c r="A389">
        <v>22</v>
      </c>
      <c r="B389" t="str">
        <f>'Presupuesto Base'!A12</f>
        <v>5.2</v>
      </c>
      <c r="C389" t="str">
        <f>'Presupuesto Base'!B12</f>
        <v>PEAD PN10 Ø110 – provisión e instalación</v>
      </c>
      <c r="D389" t="str">
        <f>'Presupuesto Base'!C12</f>
        <v>ml</v>
      </c>
      <c r="E389">
        <f>'Presupuesto Base'!D12</f>
        <v>1030</v>
      </c>
      <c r="F389" s="77">
        <f>'Presupuesto Base'!E12</f>
        <v>12238.893792291852</v>
      </c>
      <c r="G389" s="77">
        <f>'Presupuesto Base'!F12</f>
        <v>12606060.606060607</v>
      </c>
      <c r="H389">
        <f>SUMIFS(Medicion!$K$6:$K$511,Medicion!$G$6:$G$511,$B389,Medicion!$A$6:$A$511,"&lt;"&amp;$A389)</f>
        <v>287</v>
      </c>
      <c r="I389">
        <f>SUMIFS(Medicion!$K$6:$K$511,Medicion!$G$6:$G$511,$B389,Medicion!$A$6:$A$511,$A389)</f>
        <v>0</v>
      </c>
      <c r="J389">
        <f t="shared" si="35"/>
        <v>287</v>
      </c>
      <c r="K389" s="77">
        <f t="shared" si="36"/>
        <v>3512562.5183877614</v>
      </c>
      <c r="L389" s="77">
        <f t="shared" si="37"/>
        <v>0</v>
      </c>
      <c r="M389" s="77">
        <f t="shared" si="38"/>
        <v>3512562.5183877614</v>
      </c>
      <c r="N389" s="77">
        <f t="shared" si="39"/>
        <v>9093498.0876728464</v>
      </c>
      <c r="O389" s="100">
        <f t="shared" si="40"/>
        <v>0.27864077669902915</v>
      </c>
      <c r="P389" t="str">
        <f t="shared" si="41"/>
        <v>OK</v>
      </c>
    </row>
    <row r="390" spans="1:16">
      <c r="A390">
        <v>22</v>
      </c>
      <c r="B390" t="str">
        <f>'Presupuesto Base'!A13</f>
        <v>6</v>
      </c>
      <c r="C390" t="str">
        <f>'Presupuesto Base'!B13</f>
        <v>Ejecución de paquete estructural de 30 cm</v>
      </c>
      <c r="D390" t="str">
        <f>'Presupuesto Base'!C13</f>
        <v>ml</v>
      </c>
      <c r="E390">
        <f>'Presupuesto Base'!D13</f>
        <v>4200</v>
      </c>
      <c r="F390" s="77">
        <f>'Presupuesto Base'!E13</f>
        <v>3274.3014561196383</v>
      </c>
      <c r="G390" s="77">
        <f>'Presupuesto Base'!F13</f>
        <v>13752066.11570248</v>
      </c>
      <c r="H390">
        <f>SUMIFS(Medicion!$K$6:$K$511,Medicion!$G$6:$G$511,$B390,Medicion!$A$6:$A$511,"&lt;"&amp;$A390)</f>
        <v>763</v>
      </c>
      <c r="I390">
        <f>SUMIFS(Medicion!$K$6:$K$511,Medicion!$G$6:$G$511,$B390,Medicion!$A$6:$A$511,$A390)</f>
        <v>0</v>
      </c>
      <c r="J390">
        <f t="shared" ref="J390:J437" si="42">MIN(E390,H390+I390)</f>
        <v>763</v>
      </c>
      <c r="K390" s="77">
        <f t="shared" ref="K390:K437" si="43">MIN(G390,H390*F390)</f>
        <v>2498292.0110192839</v>
      </c>
      <c r="L390" s="77">
        <f t="shared" ref="L390:L437" si="44">MIN(G390-K390,I390*F390)</f>
        <v>0</v>
      </c>
      <c r="M390" s="77">
        <f t="shared" ref="M390:M437" si="45">K390+L390</f>
        <v>2498292.0110192839</v>
      </c>
      <c r="N390" s="77">
        <f t="shared" ref="N390:N437" si="46">MAX(0,G390-M390)</f>
        <v>11253774.104683196</v>
      </c>
      <c r="O390" s="100">
        <f t="shared" ref="O390:O437" si="47">IFERROR(J390/E390,0)</f>
        <v>0.18166666666666667</v>
      </c>
      <c r="P390" t="str">
        <f t="shared" ref="P390:P437" si="48">IF(OR(H390+I390&gt;E390+0.000001,H390&lt;0,I390&lt;0),"REVISAR","OK")</f>
        <v>OK</v>
      </c>
    </row>
    <row r="391" spans="1:16">
      <c r="A391">
        <v>22</v>
      </c>
      <c r="B391" t="str">
        <f>'Presupuesto Base'!A14</f>
        <v>7</v>
      </c>
      <c r="C391" t="str">
        <f>'Presupuesto Base'!B14</f>
        <v>Compactación del paquete estructural de 30 cm</v>
      </c>
      <c r="D391" t="str">
        <f>'Presupuesto Base'!C14</f>
        <v>ml</v>
      </c>
      <c r="E391">
        <f>'Presupuesto Base'!D14</f>
        <v>4200</v>
      </c>
      <c r="F391" s="77">
        <f>'Presupuesto Base'!E14</f>
        <v>1227.8630460448644</v>
      </c>
      <c r="G391" s="77">
        <f>'Presupuesto Base'!F14</f>
        <v>5157024.79338843</v>
      </c>
      <c r="H391">
        <f>SUMIFS(Medicion!$K$6:$K$511,Medicion!$G$6:$G$511,$B391,Medicion!$A$6:$A$511,"&lt;"&amp;$A391)</f>
        <v>0</v>
      </c>
      <c r="I391">
        <f>SUMIFS(Medicion!$K$6:$K$511,Medicion!$G$6:$G$511,$B391,Medicion!$A$6:$A$511,$A391)</f>
        <v>0</v>
      </c>
      <c r="J391">
        <f t="shared" si="42"/>
        <v>0</v>
      </c>
      <c r="K391" s="77">
        <f t="shared" si="43"/>
        <v>0</v>
      </c>
      <c r="L391" s="77">
        <f t="shared" si="44"/>
        <v>0</v>
      </c>
      <c r="M391" s="77">
        <f t="shared" si="45"/>
        <v>0</v>
      </c>
      <c r="N391" s="77">
        <f t="shared" si="46"/>
        <v>5157024.79338843</v>
      </c>
      <c r="O391" s="100">
        <f t="shared" si="47"/>
        <v>0</v>
      </c>
      <c r="P391" t="str">
        <f t="shared" si="48"/>
        <v>OK</v>
      </c>
    </row>
    <row r="392" spans="1:16">
      <c r="A392">
        <v>22</v>
      </c>
      <c r="B392" t="str">
        <f>'Presupuesto Base'!A15</f>
        <v>8</v>
      </c>
      <c r="C392" t="str">
        <f>'Presupuesto Base'!B15</f>
        <v>Ejecución y compactación de capa cota -0,60</v>
      </c>
      <c r="D392" t="str">
        <f>'Presupuesto Base'!C15</f>
        <v>ml</v>
      </c>
      <c r="E392">
        <f>'Presupuesto Base'!D15</f>
        <v>4200</v>
      </c>
      <c r="F392" s="77">
        <f>'Presupuesto Base'!E15</f>
        <v>2592.1553194280468</v>
      </c>
      <c r="G392" s="77">
        <f>'Presupuesto Base'!F15</f>
        <v>10887052.341597797</v>
      </c>
      <c r="H392">
        <f>SUMIFS(Medicion!$K$6:$K$511,Medicion!$G$6:$G$511,$B392,Medicion!$A$6:$A$511,"&lt;"&amp;$A392)</f>
        <v>0</v>
      </c>
      <c r="I392">
        <f>SUMIFS(Medicion!$K$6:$K$511,Medicion!$G$6:$G$511,$B392,Medicion!$A$6:$A$511,$A392)</f>
        <v>0</v>
      </c>
      <c r="J392">
        <f t="shared" si="42"/>
        <v>0</v>
      </c>
      <c r="K392" s="77">
        <f t="shared" si="43"/>
        <v>0</v>
      </c>
      <c r="L392" s="77">
        <f t="shared" si="44"/>
        <v>0</v>
      </c>
      <c r="M392" s="77">
        <f t="shared" si="45"/>
        <v>0</v>
      </c>
      <c r="N392" s="77">
        <f t="shared" si="46"/>
        <v>10887052.341597797</v>
      </c>
      <c r="O392" s="100">
        <f t="shared" si="47"/>
        <v>0</v>
      </c>
      <c r="P392" t="str">
        <f t="shared" si="48"/>
        <v>OK</v>
      </c>
    </row>
    <row r="393" spans="1:16">
      <c r="A393">
        <v>22</v>
      </c>
      <c r="B393" t="str">
        <f>'Presupuesto Base'!A16</f>
        <v>9</v>
      </c>
      <c r="C393" t="str">
        <f>'Presupuesto Base'!B16</f>
        <v>Ejecución y compactación de capa cota -0,30</v>
      </c>
      <c r="D393" t="str">
        <f>'Presupuesto Base'!C16</f>
        <v>ml</v>
      </c>
      <c r="E393">
        <f>'Presupuesto Base'!D16</f>
        <v>4200</v>
      </c>
      <c r="F393" s="77">
        <f>'Presupuesto Base'!E16</f>
        <v>2182.8676374130923</v>
      </c>
      <c r="G393" s="77">
        <f>'Presupuesto Base'!F16</f>
        <v>9168044.0771349873</v>
      </c>
      <c r="H393">
        <f>SUMIFS(Medicion!$K$6:$K$511,Medicion!$G$6:$G$511,$B393,Medicion!$A$6:$A$511,"&lt;"&amp;$A393)</f>
        <v>0</v>
      </c>
      <c r="I393">
        <f>SUMIFS(Medicion!$K$6:$K$511,Medicion!$G$6:$G$511,$B393,Medicion!$A$6:$A$511,$A393)</f>
        <v>0</v>
      </c>
      <c r="J393">
        <f t="shared" si="42"/>
        <v>0</v>
      </c>
      <c r="K393" s="77">
        <f t="shared" si="43"/>
        <v>0</v>
      </c>
      <c r="L393" s="77">
        <f t="shared" si="44"/>
        <v>0</v>
      </c>
      <c r="M393" s="77">
        <f t="shared" si="45"/>
        <v>0</v>
      </c>
      <c r="N393" s="77">
        <f t="shared" si="46"/>
        <v>9168044.0771349873</v>
      </c>
      <c r="O393" s="100">
        <f t="shared" si="47"/>
        <v>0</v>
      </c>
      <c r="P393" t="str">
        <f t="shared" si="48"/>
        <v>OK</v>
      </c>
    </row>
    <row r="394" spans="1:16">
      <c r="A394">
        <v>22</v>
      </c>
      <c r="B394" t="str">
        <f>'Presupuesto Base'!A17</f>
        <v>10.1</v>
      </c>
      <c r="C394" t="str">
        <f>'Presupuesto Base'!B17</f>
        <v>Conexión domiciliaria sobre red Ø75</v>
      </c>
      <c r="D394" t="str">
        <f>'Presupuesto Base'!C17</f>
        <v>un</v>
      </c>
      <c r="E394">
        <f>'Presupuesto Base'!D17</f>
        <v>165</v>
      </c>
      <c r="F394" s="77">
        <f>'Presupuesto Base'!E17</f>
        <v>48618.415560564332</v>
      </c>
      <c r="G394" s="77">
        <f>'Presupuesto Base'!F17</f>
        <v>8022038.5674931146</v>
      </c>
      <c r="H394">
        <f>SUMIFS(Medicion!$K$6:$K$511,Medicion!$G$6:$G$511,$B394,Medicion!$A$6:$A$511,"&lt;"&amp;$A394)</f>
        <v>5</v>
      </c>
      <c r="I394">
        <f>SUMIFS(Medicion!$K$6:$K$511,Medicion!$G$6:$G$511,$B394,Medicion!$A$6:$A$511,$A394)</f>
        <v>0</v>
      </c>
      <c r="J394">
        <f t="shared" si="42"/>
        <v>5</v>
      </c>
      <c r="K394" s="77">
        <f t="shared" si="43"/>
        <v>243092.07780282164</v>
      </c>
      <c r="L394" s="77">
        <f t="shared" si="44"/>
        <v>0</v>
      </c>
      <c r="M394" s="77">
        <f t="shared" si="45"/>
        <v>243092.07780282164</v>
      </c>
      <c r="N394" s="77">
        <f t="shared" si="46"/>
        <v>7778946.4896902926</v>
      </c>
      <c r="O394" s="100">
        <f t="shared" si="47"/>
        <v>3.0303030303030304E-2</v>
      </c>
      <c r="P394" t="str">
        <f t="shared" si="48"/>
        <v>OK</v>
      </c>
    </row>
    <row r="395" spans="1:16">
      <c r="A395">
        <v>22</v>
      </c>
      <c r="B395" t="str">
        <f>'Presupuesto Base'!A18</f>
        <v>10.2</v>
      </c>
      <c r="C395" t="str">
        <f>'Presupuesto Base'!B18</f>
        <v>Conexión domiciliaria sobre red Ø110</v>
      </c>
      <c r="D395" t="str">
        <f>'Presupuesto Base'!C18</f>
        <v>un</v>
      </c>
      <c r="E395">
        <f>'Presupuesto Base'!D18</f>
        <v>62</v>
      </c>
      <c r="F395" s="77">
        <f>'Presupuesto Base'!E18</f>
        <v>55451.879498800321</v>
      </c>
      <c r="G395" s="77">
        <f>'Presupuesto Base'!F18</f>
        <v>3438016.52892562</v>
      </c>
      <c r="H395">
        <f>SUMIFS(Medicion!$K$6:$K$511,Medicion!$G$6:$G$511,$B395,Medicion!$A$6:$A$511,"&lt;"&amp;$A395)</f>
        <v>2</v>
      </c>
      <c r="I395">
        <f>SUMIFS(Medicion!$K$6:$K$511,Medicion!$G$6:$G$511,$B395,Medicion!$A$6:$A$511,$A395)</f>
        <v>0</v>
      </c>
      <c r="J395">
        <f t="shared" si="42"/>
        <v>2</v>
      </c>
      <c r="K395" s="77">
        <f t="shared" si="43"/>
        <v>110903.75899760064</v>
      </c>
      <c r="L395" s="77">
        <f t="shared" si="44"/>
        <v>0</v>
      </c>
      <c r="M395" s="77">
        <f t="shared" si="45"/>
        <v>110903.75899760064</v>
      </c>
      <c r="N395" s="77">
        <f t="shared" si="46"/>
        <v>3327112.7699280195</v>
      </c>
      <c r="O395" s="100">
        <f t="shared" si="47"/>
        <v>3.2258064516129031E-2</v>
      </c>
      <c r="P395" t="str">
        <f t="shared" si="48"/>
        <v>OK</v>
      </c>
    </row>
    <row r="396" spans="1:16">
      <c r="A396">
        <v>22</v>
      </c>
      <c r="B396" t="str">
        <f>'Presupuesto Base'!A19</f>
        <v>11.1</v>
      </c>
      <c r="C396" t="str">
        <f>'Presupuesto Base'!B19</f>
        <v>Válvula esclusa Ø75 completa e instalada</v>
      </c>
      <c r="D396" t="str">
        <f>'Presupuesto Base'!C19</f>
        <v>un</v>
      </c>
      <c r="E396">
        <f>'Presupuesto Base'!D19</f>
        <v>2</v>
      </c>
      <c r="F396" s="77">
        <f>'Presupuesto Base'!E19</f>
        <v>286501.37741046835</v>
      </c>
      <c r="G396" s="77">
        <f>'Presupuesto Base'!F19</f>
        <v>573002.75482093671</v>
      </c>
      <c r="H396">
        <f>SUMIFS(Medicion!$K$6:$K$511,Medicion!$G$6:$G$511,$B396,Medicion!$A$6:$A$511,"&lt;"&amp;$A396)</f>
        <v>0</v>
      </c>
      <c r="I396">
        <f>SUMIFS(Medicion!$K$6:$K$511,Medicion!$G$6:$G$511,$B396,Medicion!$A$6:$A$511,$A396)</f>
        <v>0</v>
      </c>
      <c r="J396">
        <f t="shared" si="42"/>
        <v>0</v>
      </c>
      <c r="K396" s="77">
        <f t="shared" si="43"/>
        <v>0</v>
      </c>
      <c r="L396" s="77">
        <f t="shared" si="44"/>
        <v>0</v>
      </c>
      <c r="M396" s="77">
        <f t="shared" si="45"/>
        <v>0</v>
      </c>
      <c r="N396" s="77">
        <f t="shared" si="46"/>
        <v>573002.75482093671</v>
      </c>
      <c r="O396" s="100">
        <f t="shared" si="47"/>
        <v>0</v>
      </c>
      <c r="P396" t="str">
        <f t="shared" si="48"/>
        <v>OK</v>
      </c>
    </row>
    <row r="397" spans="1:16">
      <c r="A397">
        <v>22</v>
      </c>
      <c r="B397" t="str">
        <f>'Presupuesto Base'!A20</f>
        <v>11.2</v>
      </c>
      <c r="C397" t="str">
        <f>'Presupuesto Base'!B20</f>
        <v>Válvula esclusa Ø100 completa e instalada</v>
      </c>
      <c r="D397" t="str">
        <f>'Presupuesto Base'!C20</f>
        <v>un</v>
      </c>
      <c r="E397">
        <f>'Presupuesto Base'!D20</f>
        <v>4</v>
      </c>
      <c r="F397" s="77">
        <f>'Presupuesto Base'!E20</f>
        <v>429752.0661157025</v>
      </c>
      <c r="G397" s="77">
        <f>'Presupuesto Base'!F20</f>
        <v>1719008.26446281</v>
      </c>
      <c r="H397">
        <f>SUMIFS(Medicion!$K$6:$K$511,Medicion!$G$6:$G$511,$B397,Medicion!$A$6:$A$511,"&lt;"&amp;$A397)</f>
        <v>0</v>
      </c>
      <c r="I397">
        <f>SUMIFS(Medicion!$K$6:$K$511,Medicion!$G$6:$G$511,$B397,Medicion!$A$6:$A$511,$A397)</f>
        <v>0</v>
      </c>
      <c r="J397">
        <f t="shared" si="42"/>
        <v>0</v>
      </c>
      <c r="K397" s="77">
        <f t="shared" si="43"/>
        <v>0</v>
      </c>
      <c r="L397" s="77">
        <f t="shared" si="44"/>
        <v>0</v>
      </c>
      <c r="M397" s="77">
        <f t="shared" si="45"/>
        <v>0</v>
      </c>
      <c r="N397" s="77">
        <f t="shared" si="46"/>
        <v>1719008.26446281</v>
      </c>
      <c r="O397" s="100">
        <f t="shared" si="47"/>
        <v>0</v>
      </c>
      <c r="P397" t="str">
        <f t="shared" si="48"/>
        <v>OK</v>
      </c>
    </row>
    <row r="398" spans="1:16">
      <c r="A398">
        <v>22</v>
      </c>
      <c r="B398" t="str">
        <f>'Presupuesto Base'!A21</f>
        <v>12</v>
      </c>
      <c r="C398" t="str">
        <f>'Presupuesto Base'!B21</f>
        <v>Hidrante a bola completo e instalado</v>
      </c>
      <c r="D398" t="str">
        <f>'Presupuesto Base'!C21</f>
        <v>un</v>
      </c>
      <c r="E398">
        <f>'Presupuesto Base'!D21</f>
        <v>15</v>
      </c>
      <c r="F398" s="77">
        <f>'Presupuesto Base'!E21</f>
        <v>114600.55096418734</v>
      </c>
      <c r="G398" s="77">
        <f>'Presupuesto Base'!F21</f>
        <v>1719008.26446281</v>
      </c>
      <c r="H398">
        <f>SUMIFS(Medicion!$K$6:$K$511,Medicion!$G$6:$G$511,$B398,Medicion!$A$6:$A$511,"&lt;"&amp;$A398)</f>
        <v>0</v>
      </c>
      <c r="I398">
        <f>SUMIFS(Medicion!$K$6:$K$511,Medicion!$G$6:$G$511,$B398,Medicion!$A$6:$A$511,$A398)</f>
        <v>0</v>
      </c>
      <c r="J398">
        <f t="shared" si="42"/>
        <v>0</v>
      </c>
      <c r="K398" s="77">
        <f t="shared" si="43"/>
        <v>0</v>
      </c>
      <c r="L398" s="77">
        <f t="shared" si="44"/>
        <v>0</v>
      </c>
      <c r="M398" s="77">
        <f t="shared" si="45"/>
        <v>0</v>
      </c>
      <c r="N398" s="77">
        <f t="shared" si="46"/>
        <v>1719008.26446281</v>
      </c>
      <c r="O398" s="100">
        <f t="shared" si="47"/>
        <v>0</v>
      </c>
      <c r="P398" t="str">
        <f t="shared" si="48"/>
        <v>OK</v>
      </c>
    </row>
    <row r="399" spans="1:16">
      <c r="A399">
        <v>22</v>
      </c>
      <c r="B399" t="str">
        <f>'Presupuesto Base'!A22</f>
        <v>13.1</v>
      </c>
      <c r="C399" t="str">
        <f>'Presupuesto Base'!B22</f>
        <v>Pruebas hidráulicas y operativas</v>
      </c>
      <c r="D399" t="str">
        <f>'Presupuesto Base'!C22</f>
        <v>gl</v>
      </c>
      <c r="E399">
        <f>'Presupuesto Base'!D22</f>
        <v>1</v>
      </c>
      <c r="F399" s="77">
        <f>'Presupuesto Base'!E22</f>
        <v>1719008.26446281</v>
      </c>
      <c r="G399" s="77">
        <f>'Presupuesto Base'!F22</f>
        <v>1719008.26446281</v>
      </c>
      <c r="H399">
        <f>SUMIFS(Medicion!$K$6:$K$511,Medicion!$G$6:$G$511,$B399,Medicion!$A$6:$A$511,"&lt;"&amp;$A399)</f>
        <v>0</v>
      </c>
      <c r="I399">
        <f>SUMIFS(Medicion!$K$6:$K$511,Medicion!$G$6:$G$511,$B399,Medicion!$A$6:$A$511,$A399)</f>
        <v>0</v>
      </c>
      <c r="J399">
        <f t="shared" si="42"/>
        <v>0</v>
      </c>
      <c r="K399" s="77">
        <f t="shared" si="43"/>
        <v>0</v>
      </c>
      <c r="L399" s="77">
        <f t="shared" si="44"/>
        <v>0</v>
      </c>
      <c r="M399" s="77">
        <f t="shared" si="45"/>
        <v>0</v>
      </c>
      <c r="N399" s="77">
        <f t="shared" si="46"/>
        <v>1719008.26446281</v>
      </c>
      <c r="O399" s="100">
        <f t="shared" si="47"/>
        <v>0</v>
      </c>
      <c r="P399" t="str">
        <f t="shared" si="48"/>
        <v>OK</v>
      </c>
    </row>
    <row r="400" spans="1:16">
      <c r="A400">
        <v>22</v>
      </c>
      <c r="B400" t="str">
        <f>'Presupuesto Base'!A23</f>
        <v>13.2</v>
      </c>
      <c r="C400" t="str">
        <f>'Presupuesto Base'!B23</f>
        <v>Terminaciones y acondicionamiento final</v>
      </c>
      <c r="D400" t="str">
        <f>'Presupuesto Base'!C23</f>
        <v>gl</v>
      </c>
      <c r="E400">
        <f>'Presupuesto Base'!D23</f>
        <v>1</v>
      </c>
      <c r="F400" s="77">
        <f>'Presupuesto Base'!E23</f>
        <v>1146005.5096418734</v>
      </c>
      <c r="G400" s="77">
        <f>'Presupuesto Base'!F23</f>
        <v>1146005.5096418734</v>
      </c>
      <c r="H400">
        <f>SUMIFS(Medicion!$K$6:$K$511,Medicion!$G$6:$G$511,$B400,Medicion!$A$6:$A$511,"&lt;"&amp;$A400)</f>
        <v>0</v>
      </c>
      <c r="I400">
        <f>SUMIFS(Medicion!$K$6:$K$511,Medicion!$G$6:$G$511,$B400,Medicion!$A$6:$A$511,$A400)</f>
        <v>0</v>
      </c>
      <c r="J400">
        <f t="shared" si="42"/>
        <v>0</v>
      </c>
      <c r="K400" s="77">
        <f t="shared" si="43"/>
        <v>0</v>
      </c>
      <c r="L400" s="77">
        <f t="shared" si="44"/>
        <v>0</v>
      </c>
      <c r="M400" s="77">
        <f t="shared" si="45"/>
        <v>0</v>
      </c>
      <c r="N400" s="77">
        <f t="shared" si="46"/>
        <v>1146005.5096418734</v>
      </c>
      <c r="O400" s="100">
        <f t="shared" si="47"/>
        <v>0</v>
      </c>
      <c r="P400" t="str">
        <f t="shared" si="48"/>
        <v>OK</v>
      </c>
    </row>
    <row r="401" spans="1:16">
      <c r="A401">
        <v>22</v>
      </c>
      <c r="B401" t="str">
        <f>'Presupuesto Base'!A24</f>
        <v>13.3</v>
      </c>
      <c r="C401" t="str">
        <f>'Presupuesto Base'!B24</f>
        <v>Documentación conforme a obra y cierre</v>
      </c>
      <c r="D401" t="str">
        <f>'Presupuesto Base'!C24</f>
        <v>gl</v>
      </c>
      <c r="E401">
        <f>'Presupuesto Base'!D24</f>
        <v>1</v>
      </c>
      <c r="F401" s="77">
        <f>'Presupuesto Base'!E24</f>
        <v>859504.132231405</v>
      </c>
      <c r="G401" s="77">
        <f>'Presupuesto Base'!F24</f>
        <v>859504.132231405</v>
      </c>
      <c r="H401">
        <f>SUMIFS(Medicion!$K$6:$K$511,Medicion!$G$6:$G$511,$B401,Medicion!$A$6:$A$511,"&lt;"&amp;$A401)</f>
        <v>0</v>
      </c>
      <c r="I401">
        <f>SUMIFS(Medicion!$K$6:$K$511,Medicion!$G$6:$G$511,$B401,Medicion!$A$6:$A$511,$A401)</f>
        <v>0</v>
      </c>
      <c r="J401">
        <f t="shared" si="42"/>
        <v>0</v>
      </c>
      <c r="K401" s="77">
        <f t="shared" si="43"/>
        <v>0</v>
      </c>
      <c r="L401" s="77">
        <f t="shared" si="44"/>
        <v>0</v>
      </c>
      <c r="M401" s="77">
        <f t="shared" si="45"/>
        <v>0</v>
      </c>
      <c r="N401" s="77">
        <f t="shared" si="46"/>
        <v>859504.132231405</v>
      </c>
      <c r="O401" s="100">
        <f t="shared" si="47"/>
        <v>0</v>
      </c>
      <c r="P401" t="str">
        <f t="shared" si="48"/>
        <v>OK</v>
      </c>
    </row>
    <row r="402" spans="1:16">
      <c r="A402">
        <v>23</v>
      </c>
      <c r="B402" t="str">
        <f>'Presupuesto Base'!A7</f>
        <v>1</v>
      </c>
      <c r="C402" t="str">
        <f>'Presupuesto Base'!B7</f>
        <v>Replanteo y marcación de traza</v>
      </c>
      <c r="D402" t="str">
        <f>'Presupuesto Base'!C7</f>
        <v>ml</v>
      </c>
      <c r="E402">
        <f>'Presupuesto Base'!D7</f>
        <v>4200</v>
      </c>
      <c r="F402" s="77">
        <f>'Presupuesto Base'!E7</f>
        <v>204.64384100747739</v>
      </c>
      <c r="G402" s="77">
        <f>'Presupuesto Base'!F7</f>
        <v>859504.132231405</v>
      </c>
      <c r="H402">
        <f>SUMIFS(Medicion!$K$6:$K$511,Medicion!$G$6:$G$511,$B402,Medicion!$A$6:$A$511,"&lt;"&amp;$A402)</f>
        <v>845</v>
      </c>
      <c r="I402">
        <f>SUMIFS(Medicion!$K$6:$K$511,Medicion!$G$6:$G$511,$B402,Medicion!$A$6:$A$511,$A402)</f>
        <v>0</v>
      </c>
      <c r="J402">
        <f t="shared" si="42"/>
        <v>845</v>
      </c>
      <c r="K402" s="77">
        <f t="shared" si="43"/>
        <v>172924.04565131839</v>
      </c>
      <c r="L402" s="77">
        <f t="shared" si="44"/>
        <v>0</v>
      </c>
      <c r="M402" s="77">
        <f t="shared" si="45"/>
        <v>172924.04565131839</v>
      </c>
      <c r="N402" s="77">
        <f t="shared" si="46"/>
        <v>686580.08658008662</v>
      </c>
      <c r="O402" s="100">
        <f t="shared" si="47"/>
        <v>0.2011904761904762</v>
      </c>
      <c r="P402" t="str">
        <f t="shared" si="48"/>
        <v>OK</v>
      </c>
    </row>
    <row r="403" spans="1:16">
      <c r="A403">
        <v>23</v>
      </c>
      <c r="B403" t="str">
        <f>'Presupuesto Base'!A8</f>
        <v>2</v>
      </c>
      <c r="C403" t="str">
        <f>'Presupuesto Base'!B8</f>
        <v>Excavación de zanja</v>
      </c>
      <c r="D403" t="str">
        <f>'Presupuesto Base'!C8</f>
        <v>ml</v>
      </c>
      <c r="E403">
        <f>'Presupuesto Base'!D8</f>
        <v>4200</v>
      </c>
      <c r="F403" s="77">
        <f>'Presupuesto Base'!E8</f>
        <v>3683.5891381345932</v>
      </c>
      <c r="G403" s="77">
        <f>'Presupuesto Base'!F8</f>
        <v>15471074.380165292</v>
      </c>
      <c r="H403">
        <f>SUMIFS(Medicion!$K$6:$K$511,Medicion!$G$6:$G$511,$B403,Medicion!$A$6:$A$511,"&lt;"&amp;$A403)</f>
        <v>845</v>
      </c>
      <c r="I403">
        <f>SUMIFS(Medicion!$K$6:$K$511,Medicion!$G$6:$G$511,$B403,Medicion!$A$6:$A$511,$A403)</f>
        <v>0</v>
      </c>
      <c r="J403">
        <f t="shared" si="42"/>
        <v>845</v>
      </c>
      <c r="K403" s="77">
        <f t="shared" si="43"/>
        <v>3112632.8217237312</v>
      </c>
      <c r="L403" s="77">
        <f t="shared" si="44"/>
        <v>0</v>
      </c>
      <c r="M403" s="77">
        <f t="shared" si="45"/>
        <v>3112632.8217237312</v>
      </c>
      <c r="N403" s="77">
        <f t="shared" si="46"/>
        <v>12358441.558441561</v>
      </c>
      <c r="O403" s="100">
        <f t="shared" si="47"/>
        <v>0.2011904761904762</v>
      </c>
      <c r="P403" t="str">
        <f t="shared" si="48"/>
        <v>OK</v>
      </c>
    </row>
    <row r="404" spans="1:16">
      <c r="A404">
        <v>23</v>
      </c>
      <c r="B404" t="str">
        <f>'Presupuesto Base'!A9</f>
        <v>3</v>
      </c>
      <c r="C404" t="str">
        <f>'Presupuesto Base'!B9</f>
        <v>Nivelación y conformación del fondo de zanja</v>
      </c>
      <c r="D404" t="str">
        <f>'Presupuesto Base'!C9</f>
        <v>ml</v>
      </c>
      <c r="E404">
        <f>'Presupuesto Base'!D9</f>
        <v>4200</v>
      </c>
      <c r="F404" s="77">
        <f>'Presupuesto Base'!E9</f>
        <v>477.50229568411396</v>
      </c>
      <c r="G404" s="77">
        <f>'Presupuesto Base'!F9</f>
        <v>2005509.6418732787</v>
      </c>
      <c r="H404">
        <f>SUMIFS(Medicion!$K$6:$K$511,Medicion!$G$6:$G$511,$B404,Medicion!$A$6:$A$511,"&lt;"&amp;$A404)</f>
        <v>845</v>
      </c>
      <c r="I404">
        <f>SUMIFS(Medicion!$K$6:$K$511,Medicion!$G$6:$G$511,$B404,Medicion!$A$6:$A$511,$A404)</f>
        <v>0</v>
      </c>
      <c r="J404">
        <f t="shared" si="42"/>
        <v>845</v>
      </c>
      <c r="K404" s="77">
        <f t="shared" si="43"/>
        <v>403489.4398530763</v>
      </c>
      <c r="L404" s="77">
        <f t="shared" si="44"/>
        <v>0</v>
      </c>
      <c r="M404" s="77">
        <f t="shared" si="45"/>
        <v>403489.4398530763</v>
      </c>
      <c r="N404" s="77">
        <f t="shared" si="46"/>
        <v>1602020.2020202023</v>
      </c>
      <c r="O404" s="100">
        <f t="shared" si="47"/>
        <v>0.2011904761904762</v>
      </c>
      <c r="P404" t="str">
        <f t="shared" si="48"/>
        <v>OK</v>
      </c>
    </row>
    <row r="405" spans="1:16">
      <c r="A405">
        <v>23</v>
      </c>
      <c r="B405" t="str">
        <f>'Presupuesto Base'!A10</f>
        <v>4</v>
      </c>
      <c r="C405" t="str">
        <f>'Presupuesto Base'!B10</f>
        <v>Cama de asiento compactada</v>
      </c>
      <c r="D405" t="str">
        <f>'Presupuesto Base'!C10</f>
        <v>ml</v>
      </c>
      <c r="E405">
        <f>'Presupuesto Base'!D10</f>
        <v>4200</v>
      </c>
      <c r="F405" s="77">
        <f>'Presupuesto Base'!E10</f>
        <v>1705.3653417289784</v>
      </c>
      <c r="G405" s="77">
        <f>'Presupuesto Base'!F10</f>
        <v>7162534.4352617087</v>
      </c>
      <c r="H405">
        <f>SUMIFS(Medicion!$K$6:$K$511,Medicion!$G$6:$G$511,$B405,Medicion!$A$6:$A$511,"&lt;"&amp;$A405)</f>
        <v>845</v>
      </c>
      <c r="I405">
        <f>SUMIFS(Medicion!$K$6:$K$511,Medicion!$G$6:$G$511,$B405,Medicion!$A$6:$A$511,$A405)</f>
        <v>0</v>
      </c>
      <c r="J405">
        <f t="shared" si="42"/>
        <v>845</v>
      </c>
      <c r="K405" s="77">
        <f t="shared" si="43"/>
        <v>1441033.7137609867</v>
      </c>
      <c r="L405" s="77">
        <f t="shared" si="44"/>
        <v>0</v>
      </c>
      <c r="M405" s="77">
        <f t="shared" si="45"/>
        <v>1441033.7137609867</v>
      </c>
      <c r="N405" s="77">
        <f t="shared" si="46"/>
        <v>5721500.7215007218</v>
      </c>
      <c r="O405" s="100">
        <f t="shared" si="47"/>
        <v>0.2011904761904762</v>
      </c>
      <c r="P405" t="str">
        <f t="shared" si="48"/>
        <v>OK</v>
      </c>
    </row>
    <row r="406" spans="1:16">
      <c r="A406">
        <v>23</v>
      </c>
      <c r="B406" t="str">
        <f>'Presupuesto Base'!A11</f>
        <v>5.1</v>
      </c>
      <c r="C406" t="str">
        <f>'Presupuesto Base'!B11</f>
        <v>PEAD PN10 Ø75 – provisión e instalación</v>
      </c>
      <c r="D406" t="str">
        <f>'Presupuesto Base'!C11</f>
        <v>ml</v>
      </c>
      <c r="E406">
        <f>'Presupuesto Base'!D11</f>
        <v>3170</v>
      </c>
      <c r="F406" s="77">
        <f>'Presupuesto Base'!E11</f>
        <v>5784.2549382555126</v>
      </c>
      <c r="G406" s="77">
        <f>'Presupuesto Base'!F11</f>
        <v>18336088.154269975</v>
      </c>
      <c r="H406">
        <f>SUMIFS(Medicion!$K$6:$K$511,Medicion!$G$6:$G$511,$B406,Medicion!$A$6:$A$511,"&lt;"&amp;$A406)</f>
        <v>558</v>
      </c>
      <c r="I406">
        <f>SUMIFS(Medicion!$K$6:$K$511,Medicion!$G$6:$G$511,$B406,Medicion!$A$6:$A$511,$A406)</f>
        <v>0</v>
      </c>
      <c r="J406">
        <f t="shared" si="42"/>
        <v>558</v>
      </c>
      <c r="K406" s="77">
        <f t="shared" si="43"/>
        <v>3227614.2555465759</v>
      </c>
      <c r="L406" s="77">
        <f t="shared" si="44"/>
        <v>0</v>
      </c>
      <c r="M406" s="77">
        <f t="shared" si="45"/>
        <v>3227614.2555465759</v>
      </c>
      <c r="N406" s="77">
        <f t="shared" si="46"/>
        <v>15108473.898723399</v>
      </c>
      <c r="O406" s="100">
        <f t="shared" si="47"/>
        <v>0.17602523659305994</v>
      </c>
      <c r="P406" t="str">
        <f t="shared" si="48"/>
        <v>OK</v>
      </c>
    </row>
    <row r="407" spans="1:16">
      <c r="A407">
        <v>23</v>
      </c>
      <c r="B407" t="str">
        <f>'Presupuesto Base'!A12</f>
        <v>5.2</v>
      </c>
      <c r="C407" t="str">
        <f>'Presupuesto Base'!B12</f>
        <v>PEAD PN10 Ø110 – provisión e instalación</v>
      </c>
      <c r="D407" t="str">
        <f>'Presupuesto Base'!C12</f>
        <v>ml</v>
      </c>
      <c r="E407">
        <f>'Presupuesto Base'!D12</f>
        <v>1030</v>
      </c>
      <c r="F407" s="77">
        <f>'Presupuesto Base'!E12</f>
        <v>12238.893792291852</v>
      </c>
      <c r="G407" s="77">
        <f>'Presupuesto Base'!F12</f>
        <v>12606060.606060607</v>
      </c>
      <c r="H407">
        <f>SUMIFS(Medicion!$K$6:$K$511,Medicion!$G$6:$G$511,$B407,Medicion!$A$6:$A$511,"&lt;"&amp;$A407)</f>
        <v>287</v>
      </c>
      <c r="I407">
        <f>SUMIFS(Medicion!$K$6:$K$511,Medicion!$G$6:$G$511,$B407,Medicion!$A$6:$A$511,$A407)</f>
        <v>0</v>
      </c>
      <c r="J407">
        <f t="shared" si="42"/>
        <v>287</v>
      </c>
      <c r="K407" s="77">
        <f t="shared" si="43"/>
        <v>3512562.5183877614</v>
      </c>
      <c r="L407" s="77">
        <f t="shared" si="44"/>
        <v>0</v>
      </c>
      <c r="M407" s="77">
        <f t="shared" si="45"/>
        <v>3512562.5183877614</v>
      </c>
      <c r="N407" s="77">
        <f t="shared" si="46"/>
        <v>9093498.0876728464</v>
      </c>
      <c r="O407" s="100">
        <f t="shared" si="47"/>
        <v>0.27864077669902915</v>
      </c>
      <c r="P407" t="str">
        <f t="shared" si="48"/>
        <v>OK</v>
      </c>
    </row>
    <row r="408" spans="1:16">
      <c r="A408">
        <v>23</v>
      </c>
      <c r="B408" t="str">
        <f>'Presupuesto Base'!A13</f>
        <v>6</v>
      </c>
      <c r="C408" t="str">
        <f>'Presupuesto Base'!B13</f>
        <v>Ejecución de paquete estructural de 30 cm</v>
      </c>
      <c r="D408" t="str">
        <f>'Presupuesto Base'!C13</f>
        <v>ml</v>
      </c>
      <c r="E408">
        <f>'Presupuesto Base'!D13</f>
        <v>4200</v>
      </c>
      <c r="F408" s="77">
        <f>'Presupuesto Base'!E13</f>
        <v>3274.3014561196383</v>
      </c>
      <c r="G408" s="77">
        <f>'Presupuesto Base'!F13</f>
        <v>13752066.11570248</v>
      </c>
      <c r="H408">
        <f>SUMIFS(Medicion!$K$6:$K$511,Medicion!$G$6:$G$511,$B408,Medicion!$A$6:$A$511,"&lt;"&amp;$A408)</f>
        <v>763</v>
      </c>
      <c r="I408">
        <f>SUMIFS(Medicion!$K$6:$K$511,Medicion!$G$6:$G$511,$B408,Medicion!$A$6:$A$511,$A408)</f>
        <v>0</v>
      </c>
      <c r="J408">
        <f t="shared" si="42"/>
        <v>763</v>
      </c>
      <c r="K408" s="77">
        <f t="shared" si="43"/>
        <v>2498292.0110192839</v>
      </c>
      <c r="L408" s="77">
        <f t="shared" si="44"/>
        <v>0</v>
      </c>
      <c r="M408" s="77">
        <f t="shared" si="45"/>
        <v>2498292.0110192839</v>
      </c>
      <c r="N408" s="77">
        <f t="shared" si="46"/>
        <v>11253774.104683196</v>
      </c>
      <c r="O408" s="100">
        <f t="shared" si="47"/>
        <v>0.18166666666666667</v>
      </c>
      <c r="P408" t="str">
        <f t="shared" si="48"/>
        <v>OK</v>
      </c>
    </row>
    <row r="409" spans="1:16">
      <c r="A409">
        <v>23</v>
      </c>
      <c r="B409" t="str">
        <f>'Presupuesto Base'!A14</f>
        <v>7</v>
      </c>
      <c r="C409" t="str">
        <f>'Presupuesto Base'!B14</f>
        <v>Compactación del paquete estructural de 30 cm</v>
      </c>
      <c r="D409" t="str">
        <f>'Presupuesto Base'!C14</f>
        <v>ml</v>
      </c>
      <c r="E409">
        <f>'Presupuesto Base'!D14</f>
        <v>4200</v>
      </c>
      <c r="F409" s="77">
        <f>'Presupuesto Base'!E14</f>
        <v>1227.8630460448644</v>
      </c>
      <c r="G409" s="77">
        <f>'Presupuesto Base'!F14</f>
        <v>5157024.79338843</v>
      </c>
      <c r="H409">
        <f>SUMIFS(Medicion!$K$6:$K$511,Medicion!$G$6:$G$511,$B409,Medicion!$A$6:$A$511,"&lt;"&amp;$A409)</f>
        <v>0</v>
      </c>
      <c r="I409">
        <f>SUMIFS(Medicion!$K$6:$K$511,Medicion!$G$6:$G$511,$B409,Medicion!$A$6:$A$511,$A409)</f>
        <v>0</v>
      </c>
      <c r="J409">
        <f t="shared" si="42"/>
        <v>0</v>
      </c>
      <c r="K409" s="77">
        <f t="shared" si="43"/>
        <v>0</v>
      </c>
      <c r="L409" s="77">
        <f t="shared" si="44"/>
        <v>0</v>
      </c>
      <c r="M409" s="77">
        <f t="shared" si="45"/>
        <v>0</v>
      </c>
      <c r="N409" s="77">
        <f t="shared" si="46"/>
        <v>5157024.79338843</v>
      </c>
      <c r="O409" s="100">
        <f t="shared" si="47"/>
        <v>0</v>
      </c>
      <c r="P409" t="str">
        <f t="shared" si="48"/>
        <v>OK</v>
      </c>
    </row>
    <row r="410" spans="1:16">
      <c r="A410">
        <v>23</v>
      </c>
      <c r="B410" t="str">
        <f>'Presupuesto Base'!A15</f>
        <v>8</v>
      </c>
      <c r="C410" t="str">
        <f>'Presupuesto Base'!B15</f>
        <v>Ejecución y compactación de capa cota -0,60</v>
      </c>
      <c r="D410" t="str">
        <f>'Presupuesto Base'!C15</f>
        <v>ml</v>
      </c>
      <c r="E410">
        <f>'Presupuesto Base'!D15</f>
        <v>4200</v>
      </c>
      <c r="F410" s="77">
        <f>'Presupuesto Base'!E15</f>
        <v>2592.1553194280468</v>
      </c>
      <c r="G410" s="77">
        <f>'Presupuesto Base'!F15</f>
        <v>10887052.341597797</v>
      </c>
      <c r="H410">
        <f>SUMIFS(Medicion!$K$6:$K$511,Medicion!$G$6:$G$511,$B410,Medicion!$A$6:$A$511,"&lt;"&amp;$A410)</f>
        <v>0</v>
      </c>
      <c r="I410">
        <f>SUMIFS(Medicion!$K$6:$K$511,Medicion!$G$6:$G$511,$B410,Medicion!$A$6:$A$511,$A410)</f>
        <v>0</v>
      </c>
      <c r="J410">
        <f t="shared" si="42"/>
        <v>0</v>
      </c>
      <c r="K410" s="77">
        <f t="shared" si="43"/>
        <v>0</v>
      </c>
      <c r="L410" s="77">
        <f t="shared" si="44"/>
        <v>0</v>
      </c>
      <c r="M410" s="77">
        <f t="shared" si="45"/>
        <v>0</v>
      </c>
      <c r="N410" s="77">
        <f t="shared" si="46"/>
        <v>10887052.341597797</v>
      </c>
      <c r="O410" s="100">
        <f t="shared" si="47"/>
        <v>0</v>
      </c>
      <c r="P410" t="str">
        <f t="shared" si="48"/>
        <v>OK</v>
      </c>
    </row>
    <row r="411" spans="1:16">
      <c r="A411">
        <v>23</v>
      </c>
      <c r="B411" t="str">
        <f>'Presupuesto Base'!A16</f>
        <v>9</v>
      </c>
      <c r="C411" t="str">
        <f>'Presupuesto Base'!B16</f>
        <v>Ejecución y compactación de capa cota -0,30</v>
      </c>
      <c r="D411" t="str">
        <f>'Presupuesto Base'!C16</f>
        <v>ml</v>
      </c>
      <c r="E411">
        <f>'Presupuesto Base'!D16</f>
        <v>4200</v>
      </c>
      <c r="F411" s="77">
        <f>'Presupuesto Base'!E16</f>
        <v>2182.8676374130923</v>
      </c>
      <c r="G411" s="77">
        <f>'Presupuesto Base'!F16</f>
        <v>9168044.0771349873</v>
      </c>
      <c r="H411">
        <f>SUMIFS(Medicion!$K$6:$K$511,Medicion!$G$6:$G$511,$B411,Medicion!$A$6:$A$511,"&lt;"&amp;$A411)</f>
        <v>0</v>
      </c>
      <c r="I411">
        <f>SUMIFS(Medicion!$K$6:$K$511,Medicion!$G$6:$G$511,$B411,Medicion!$A$6:$A$511,$A411)</f>
        <v>0</v>
      </c>
      <c r="J411">
        <f t="shared" si="42"/>
        <v>0</v>
      </c>
      <c r="K411" s="77">
        <f t="shared" si="43"/>
        <v>0</v>
      </c>
      <c r="L411" s="77">
        <f t="shared" si="44"/>
        <v>0</v>
      </c>
      <c r="M411" s="77">
        <f t="shared" si="45"/>
        <v>0</v>
      </c>
      <c r="N411" s="77">
        <f t="shared" si="46"/>
        <v>9168044.0771349873</v>
      </c>
      <c r="O411" s="100">
        <f t="shared" si="47"/>
        <v>0</v>
      </c>
      <c r="P411" t="str">
        <f t="shared" si="48"/>
        <v>OK</v>
      </c>
    </row>
    <row r="412" spans="1:16">
      <c r="A412">
        <v>23</v>
      </c>
      <c r="B412" t="str">
        <f>'Presupuesto Base'!A17</f>
        <v>10.1</v>
      </c>
      <c r="C412" t="str">
        <f>'Presupuesto Base'!B17</f>
        <v>Conexión domiciliaria sobre red Ø75</v>
      </c>
      <c r="D412" t="str">
        <f>'Presupuesto Base'!C17</f>
        <v>un</v>
      </c>
      <c r="E412">
        <f>'Presupuesto Base'!D17</f>
        <v>165</v>
      </c>
      <c r="F412" s="77">
        <f>'Presupuesto Base'!E17</f>
        <v>48618.415560564332</v>
      </c>
      <c r="G412" s="77">
        <f>'Presupuesto Base'!F17</f>
        <v>8022038.5674931146</v>
      </c>
      <c r="H412">
        <f>SUMIFS(Medicion!$K$6:$K$511,Medicion!$G$6:$G$511,$B412,Medicion!$A$6:$A$511,"&lt;"&amp;$A412)</f>
        <v>5</v>
      </c>
      <c r="I412">
        <f>SUMIFS(Medicion!$K$6:$K$511,Medicion!$G$6:$G$511,$B412,Medicion!$A$6:$A$511,$A412)</f>
        <v>0</v>
      </c>
      <c r="J412">
        <f t="shared" si="42"/>
        <v>5</v>
      </c>
      <c r="K412" s="77">
        <f t="shared" si="43"/>
        <v>243092.07780282164</v>
      </c>
      <c r="L412" s="77">
        <f t="shared" si="44"/>
        <v>0</v>
      </c>
      <c r="M412" s="77">
        <f t="shared" si="45"/>
        <v>243092.07780282164</v>
      </c>
      <c r="N412" s="77">
        <f t="shared" si="46"/>
        <v>7778946.4896902926</v>
      </c>
      <c r="O412" s="100">
        <f t="shared" si="47"/>
        <v>3.0303030303030304E-2</v>
      </c>
      <c r="P412" t="str">
        <f t="shared" si="48"/>
        <v>OK</v>
      </c>
    </row>
    <row r="413" spans="1:16">
      <c r="A413">
        <v>23</v>
      </c>
      <c r="B413" t="str">
        <f>'Presupuesto Base'!A18</f>
        <v>10.2</v>
      </c>
      <c r="C413" t="str">
        <f>'Presupuesto Base'!B18</f>
        <v>Conexión domiciliaria sobre red Ø110</v>
      </c>
      <c r="D413" t="str">
        <f>'Presupuesto Base'!C18</f>
        <v>un</v>
      </c>
      <c r="E413">
        <f>'Presupuesto Base'!D18</f>
        <v>62</v>
      </c>
      <c r="F413" s="77">
        <f>'Presupuesto Base'!E18</f>
        <v>55451.879498800321</v>
      </c>
      <c r="G413" s="77">
        <f>'Presupuesto Base'!F18</f>
        <v>3438016.52892562</v>
      </c>
      <c r="H413">
        <f>SUMIFS(Medicion!$K$6:$K$511,Medicion!$G$6:$G$511,$B413,Medicion!$A$6:$A$511,"&lt;"&amp;$A413)</f>
        <v>2</v>
      </c>
      <c r="I413">
        <f>SUMIFS(Medicion!$K$6:$K$511,Medicion!$G$6:$G$511,$B413,Medicion!$A$6:$A$511,$A413)</f>
        <v>0</v>
      </c>
      <c r="J413">
        <f t="shared" si="42"/>
        <v>2</v>
      </c>
      <c r="K413" s="77">
        <f t="shared" si="43"/>
        <v>110903.75899760064</v>
      </c>
      <c r="L413" s="77">
        <f t="shared" si="44"/>
        <v>0</v>
      </c>
      <c r="M413" s="77">
        <f t="shared" si="45"/>
        <v>110903.75899760064</v>
      </c>
      <c r="N413" s="77">
        <f t="shared" si="46"/>
        <v>3327112.7699280195</v>
      </c>
      <c r="O413" s="100">
        <f t="shared" si="47"/>
        <v>3.2258064516129031E-2</v>
      </c>
      <c r="P413" t="str">
        <f t="shared" si="48"/>
        <v>OK</v>
      </c>
    </row>
    <row r="414" spans="1:16">
      <c r="A414">
        <v>23</v>
      </c>
      <c r="B414" t="str">
        <f>'Presupuesto Base'!A19</f>
        <v>11.1</v>
      </c>
      <c r="C414" t="str">
        <f>'Presupuesto Base'!B19</f>
        <v>Válvula esclusa Ø75 completa e instalada</v>
      </c>
      <c r="D414" t="str">
        <f>'Presupuesto Base'!C19</f>
        <v>un</v>
      </c>
      <c r="E414">
        <f>'Presupuesto Base'!D19</f>
        <v>2</v>
      </c>
      <c r="F414" s="77">
        <f>'Presupuesto Base'!E19</f>
        <v>286501.37741046835</v>
      </c>
      <c r="G414" s="77">
        <f>'Presupuesto Base'!F19</f>
        <v>573002.75482093671</v>
      </c>
      <c r="H414">
        <f>SUMIFS(Medicion!$K$6:$K$511,Medicion!$G$6:$G$511,$B414,Medicion!$A$6:$A$511,"&lt;"&amp;$A414)</f>
        <v>0</v>
      </c>
      <c r="I414">
        <f>SUMIFS(Medicion!$K$6:$K$511,Medicion!$G$6:$G$511,$B414,Medicion!$A$6:$A$511,$A414)</f>
        <v>0</v>
      </c>
      <c r="J414">
        <f t="shared" si="42"/>
        <v>0</v>
      </c>
      <c r="K414" s="77">
        <f t="shared" si="43"/>
        <v>0</v>
      </c>
      <c r="L414" s="77">
        <f t="shared" si="44"/>
        <v>0</v>
      </c>
      <c r="M414" s="77">
        <f t="shared" si="45"/>
        <v>0</v>
      </c>
      <c r="N414" s="77">
        <f t="shared" si="46"/>
        <v>573002.75482093671</v>
      </c>
      <c r="O414" s="100">
        <f t="shared" si="47"/>
        <v>0</v>
      </c>
      <c r="P414" t="str">
        <f t="shared" si="48"/>
        <v>OK</v>
      </c>
    </row>
    <row r="415" spans="1:16">
      <c r="A415">
        <v>23</v>
      </c>
      <c r="B415" t="str">
        <f>'Presupuesto Base'!A20</f>
        <v>11.2</v>
      </c>
      <c r="C415" t="str">
        <f>'Presupuesto Base'!B20</f>
        <v>Válvula esclusa Ø100 completa e instalada</v>
      </c>
      <c r="D415" t="str">
        <f>'Presupuesto Base'!C20</f>
        <v>un</v>
      </c>
      <c r="E415">
        <f>'Presupuesto Base'!D20</f>
        <v>4</v>
      </c>
      <c r="F415" s="77">
        <f>'Presupuesto Base'!E20</f>
        <v>429752.0661157025</v>
      </c>
      <c r="G415" s="77">
        <f>'Presupuesto Base'!F20</f>
        <v>1719008.26446281</v>
      </c>
      <c r="H415">
        <f>SUMIFS(Medicion!$K$6:$K$511,Medicion!$G$6:$G$511,$B415,Medicion!$A$6:$A$511,"&lt;"&amp;$A415)</f>
        <v>0</v>
      </c>
      <c r="I415">
        <f>SUMIFS(Medicion!$K$6:$K$511,Medicion!$G$6:$G$511,$B415,Medicion!$A$6:$A$511,$A415)</f>
        <v>0</v>
      </c>
      <c r="J415">
        <f t="shared" si="42"/>
        <v>0</v>
      </c>
      <c r="K415" s="77">
        <f t="shared" si="43"/>
        <v>0</v>
      </c>
      <c r="L415" s="77">
        <f t="shared" si="44"/>
        <v>0</v>
      </c>
      <c r="M415" s="77">
        <f t="shared" si="45"/>
        <v>0</v>
      </c>
      <c r="N415" s="77">
        <f t="shared" si="46"/>
        <v>1719008.26446281</v>
      </c>
      <c r="O415" s="100">
        <f t="shared" si="47"/>
        <v>0</v>
      </c>
      <c r="P415" t="str">
        <f t="shared" si="48"/>
        <v>OK</v>
      </c>
    </row>
    <row r="416" spans="1:16">
      <c r="A416">
        <v>23</v>
      </c>
      <c r="B416" t="str">
        <f>'Presupuesto Base'!A21</f>
        <v>12</v>
      </c>
      <c r="C416" t="str">
        <f>'Presupuesto Base'!B21</f>
        <v>Hidrante a bola completo e instalado</v>
      </c>
      <c r="D416" t="str">
        <f>'Presupuesto Base'!C21</f>
        <v>un</v>
      </c>
      <c r="E416">
        <f>'Presupuesto Base'!D21</f>
        <v>15</v>
      </c>
      <c r="F416" s="77">
        <f>'Presupuesto Base'!E21</f>
        <v>114600.55096418734</v>
      </c>
      <c r="G416" s="77">
        <f>'Presupuesto Base'!F21</f>
        <v>1719008.26446281</v>
      </c>
      <c r="H416">
        <f>SUMIFS(Medicion!$K$6:$K$511,Medicion!$G$6:$G$511,$B416,Medicion!$A$6:$A$511,"&lt;"&amp;$A416)</f>
        <v>0</v>
      </c>
      <c r="I416">
        <f>SUMIFS(Medicion!$K$6:$K$511,Medicion!$G$6:$G$511,$B416,Medicion!$A$6:$A$511,$A416)</f>
        <v>0</v>
      </c>
      <c r="J416">
        <f t="shared" si="42"/>
        <v>0</v>
      </c>
      <c r="K416" s="77">
        <f t="shared" si="43"/>
        <v>0</v>
      </c>
      <c r="L416" s="77">
        <f t="shared" si="44"/>
        <v>0</v>
      </c>
      <c r="M416" s="77">
        <f t="shared" si="45"/>
        <v>0</v>
      </c>
      <c r="N416" s="77">
        <f t="shared" si="46"/>
        <v>1719008.26446281</v>
      </c>
      <c r="O416" s="100">
        <f t="shared" si="47"/>
        <v>0</v>
      </c>
      <c r="P416" t="str">
        <f t="shared" si="48"/>
        <v>OK</v>
      </c>
    </row>
    <row r="417" spans="1:16">
      <c r="A417">
        <v>23</v>
      </c>
      <c r="B417" t="str">
        <f>'Presupuesto Base'!A22</f>
        <v>13.1</v>
      </c>
      <c r="C417" t="str">
        <f>'Presupuesto Base'!B22</f>
        <v>Pruebas hidráulicas y operativas</v>
      </c>
      <c r="D417" t="str">
        <f>'Presupuesto Base'!C22</f>
        <v>gl</v>
      </c>
      <c r="E417">
        <f>'Presupuesto Base'!D22</f>
        <v>1</v>
      </c>
      <c r="F417" s="77">
        <f>'Presupuesto Base'!E22</f>
        <v>1719008.26446281</v>
      </c>
      <c r="G417" s="77">
        <f>'Presupuesto Base'!F22</f>
        <v>1719008.26446281</v>
      </c>
      <c r="H417">
        <f>SUMIFS(Medicion!$K$6:$K$511,Medicion!$G$6:$G$511,$B417,Medicion!$A$6:$A$511,"&lt;"&amp;$A417)</f>
        <v>0</v>
      </c>
      <c r="I417">
        <f>SUMIFS(Medicion!$K$6:$K$511,Medicion!$G$6:$G$511,$B417,Medicion!$A$6:$A$511,$A417)</f>
        <v>0</v>
      </c>
      <c r="J417">
        <f t="shared" si="42"/>
        <v>0</v>
      </c>
      <c r="K417" s="77">
        <f t="shared" si="43"/>
        <v>0</v>
      </c>
      <c r="L417" s="77">
        <f t="shared" si="44"/>
        <v>0</v>
      </c>
      <c r="M417" s="77">
        <f t="shared" si="45"/>
        <v>0</v>
      </c>
      <c r="N417" s="77">
        <f t="shared" si="46"/>
        <v>1719008.26446281</v>
      </c>
      <c r="O417" s="100">
        <f t="shared" si="47"/>
        <v>0</v>
      </c>
      <c r="P417" t="str">
        <f t="shared" si="48"/>
        <v>OK</v>
      </c>
    </row>
    <row r="418" spans="1:16">
      <c r="A418">
        <v>23</v>
      </c>
      <c r="B418" t="str">
        <f>'Presupuesto Base'!A23</f>
        <v>13.2</v>
      </c>
      <c r="C418" t="str">
        <f>'Presupuesto Base'!B23</f>
        <v>Terminaciones y acondicionamiento final</v>
      </c>
      <c r="D418" t="str">
        <f>'Presupuesto Base'!C23</f>
        <v>gl</v>
      </c>
      <c r="E418">
        <f>'Presupuesto Base'!D23</f>
        <v>1</v>
      </c>
      <c r="F418" s="77">
        <f>'Presupuesto Base'!E23</f>
        <v>1146005.5096418734</v>
      </c>
      <c r="G418" s="77">
        <f>'Presupuesto Base'!F23</f>
        <v>1146005.5096418734</v>
      </c>
      <c r="H418">
        <f>SUMIFS(Medicion!$K$6:$K$511,Medicion!$G$6:$G$511,$B418,Medicion!$A$6:$A$511,"&lt;"&amp;$A418)</f>
        <v>0</v>
      </c>
      <c r="I418">
        <f>SUMIFS(Medicion!$K$6:$K$511,Medicion!$G$6:$G$511,$B418,Medicion!$A$6:$A$511,$A418)</f>
        <v>0</v>
      </c>
      <c r="J418">
        <f t="shared" si="42"/>
        <v>0</v>
      </c>
      <c r="K418" s="77">
        <f t="shared" si="43"/>
        <v>0</v>
      </c>
      <c r="L418" s="77">
        <f t="shared" si="44"/>
        <v>0</v>
      </c>
      <c r="M418" s="77">
        <f t="shared" si="45"/>
        <v>0</v>
      </c>
      <c r="N418" s="77">
        <f t="shared" si="46"/>
        <v>1146005.5096418734</v>
      </c>
      <c r="O418" s="100">
        <f t="shared" si="47"/>
        <v>0</v>
      </c>
      <c r="P418" t="str">
        <f t="shared" si="48"/>
        <v>OK</v>
      </c>
    </row>
    <row r="419" spans="1:16">
      <c r="A419">
        <v>23</v>
      </c>
      <c r="B419" t="str">
        <f>'Presupuesto Base'!A24</f>
        <v>13.3</v>
      </c>
      <c r="C419" t="str">
        <f>'Presupuesto Base'!B24</f>
        <v>Documentación conforme a obra y cierre</v>
      </c>
      <c r="D419" t="str">
        <f>'Presupuesto Base'!C24</f>
        <v>gl</v>
      </c>
      <c r="E419">
        <f>'Presupuesto Base'!D24</f>
        <v>1</v>
      </c>
      <c r="F419" s="77">
        <f>'Presupuesto Base'!E24</f>
        <v>859504.132231405</v>
      </c>
      <c r="G419" s="77">
        <f>'Presupuesto Base'!F24</f>
        <v>859504.132231405</v>
      </c>
      <c r="H419">
        <f>SUMIFS(Medicion!$K$6:$K$511,Medicion!$G$6:$G$511,$B419,Medicion!$A$6:$A$511,"&lt;"&amp;$A419)</f>
        <v>0</v>
      </c>
      <c r="I419">
        <f>SUMIFS(Medicion!$K$6:$K$511,Medicion!$G$6:$G$511,$B419,Medicion!$A$6:$A$511,$A419)</f>
        <v>0</v>
      </c>
      <c r="J419">
        <f t="shared" si="42"/>
        <v>0</v>
      </c>
      <c r="K419" s="77">
        <f t="shared" si="43"/>
        <v>0</v>
      </c>
      <c r="L419" s="77">
        <f t="shared" si="44"/>
        <v>0</v>
      </c>
      <c r="M419" s="77">
        <f t="shared" si="45"/>
        <v>0</v>
      </c>
      <c r="N419" s="77">
        <f t="shared" si="46"/>
        <v>859504.132231405</v>
      </c>
      <c r="O419" s="100">
        <f t="shared" si="47"/>
        <v>0</v>
      </c>
      <c r="P419" t="str">
        <f t="shared" si="48"/>
        <v>OK</v>
      </c>
    </row>
    <row r="420" spans="1:16">
      <c r="A420">
        <v>24</v>
      </c>
      <c r="B420" t="str">
        <f>'Presupuesto Base'!A7</f>
        <v>1</v>
      </c>
      <c r="C420" t="str">
        <f>'Presupuesto Base'!B7</f>
        <v>Replanteo y marcación de traza</v>
      </c>
      <c r="D420" t="str">
        <f>'Presupuesto Base'!C7</f>
        <v>ml</v>
      </c>
      <c r="E420">
        <f>'Presupuesto Base'!D7</f>
        <v>4200</v>
      </c>
      <c r="F420" s="77">
        <f>'Presupuesto Base'!E7</f>
        <v>204.64384100747739</v>
      </c>
      <c r="G420" s="77">
        <f>'Presupuesto Base'!F7</f>
        <v>859504.132231405</v>
      </c>
      <c r="H420">
        <f>SUMIFS(Medicion!$K$6:$K$511,Medicion!$G$6:$G$511,$B420,Medicion!$A$6:$A$511,"&lt;"&amp;$A420)</f>
        <v>845</v>
      </c>
      <c r="I420">
        <f>SUMIFS(Medicion!$K$6:$K$511,Medicion!$G$6:$G$511,$B420,Medicion!$A$6:$A$511,$A420)</f>
        <v>0</v>
      </c>
      <c r="J420">
        <f t="shared" si="42"/>
        <v>845</v>
      </c>
      <c r="K420" s="77">
        <f t="shared" si="43"/>
        <v>172924.04565131839</v>
      </c>
      <c r="L420" s="77">
        <f t="shared" si="44"/>
        <v>0</v>
      </c>
      <c r="M420" s="77">
        <f t="shared" si="45"/>
        <v>172924.04565131839</v>
      </c>
      <c r="N420" s="77">
        <f t="shared" si="46"/>
        <v>686580.08658008662</v>
      </c>
      <c r="O420" s="100">
        <f t="shared" si="47"/>
        <v>0.2011904761904762</v>
      </c>
      <c r="P420" t="str">
        <f t="shared" si="48"/>
        <v>OK</v>
      </c>
    </row>
    <row r="421" spans="1:16">
      <c r="A421">
        <v>24</v>
      </c>
      <c r="B421" t="str">
        <f>'Presupuesto Base'!A8</f>
        <v>2</v>
      </c>
      <c r="C421" t="str">
        <f>'Presupuesto Base'!B8</f>
        <v>Excavación de zanja</v>
      </c>
      <c r="D421" t="str">
        <f>'Presupuesto Base'!C8</f>
        <v>ml</v>
      </c>
      <c r="E421">
        <f>'Presupuesto Base'!D8</f>
        <v>4200</v>
      </c>
      <c r="F421" s="77">
        <f>'Presupuesto Base'!E8</f>
        <v>3683.5891381345932</v>
      </c>
      <c r="G421" s="77">
        <f>'Presupuesto Base'!F8</f>
        <v>15471074.380165292</v>
      </c>
      <c r="H421">
        <f>SUMIFS(Medicion!$K$6:$K$511,Medicion!$G$6:$G$511,$B421,Medicion!$A$6:$A$511,"&lt;"&amp;$A421)</f>
        <v>845</v>
      </c>
      <c r="I421">
        <f>SUMIFS(Medicion!$K$6:$K$511,Medicion!$G$6:$G$511,$B421,Medicion!$A$6:$A$511,$A421)</f>
        <v>0</v>
      </c>
      <c r="J421">
        <f t="shared" si="42"/>
        <v>845</v>
      </c>
      <c r="K421" s="77">
        <f t="shared" si="43"/>
        <v>3112632.8217237312</v>
      </c>
      <c r="L421" s="77">
        <f t="shared" si="44"/>
        <v>0</v>
      </c>
      <c r="M421" s="77">
        <f t="shared" si="45"/>
        <v>3112632.8217237312</v>
      </c>
      <c r="N421" s="77">
        <f t="shared" si="46"/>
        <v>12358441.558441561</v>
      </c>
      <c r="O421" s="100">
        <f t="shared" si="47"/>
        <v>0.2011904761904762</v>
      </c>
      <c r="P421" t="str">
        <f t="shared" si="48"/>
        <v>OK</v>
      </c>
    </row>
    <row r="422" spans="1:16">
      <c r="A422">
        <v>24</v>
      </c>
      <c r="B422" t="str">
        <f>'Presupuesto Base'!A9</f>
        <v>3</v>
      </c>
      <c r="C422" t="str">
        <f>'Presupuesto Base'!B9</f>
        <v>Nivelación y conformación del fondo de zanja</v>
      </c>
      <c r="D422" t="str">
        <f>'Presupuesto Base'!C9</f>
        <v>ml</v>
      </c>
      <c r="E422">
        <f>'Presupuesto Base'!D9</f>
        <v>4200</v>
      </c>
      <c r="F422" s="77">
        <f>'Presupuesto Base'!E9</f>
        <v>477.50229568411396</v>
      </c>
      <c r="G422" s="77">
        <f>'Presupuesto Base'!F9</f>
        <v>2005509.6418732787</v>
      </c>
      <c r="H422">
        <f>SUMIFS(Medicion!$K$6:$K$511,Medicion!$G$6:$G$511,$B422,Medicion!$A$6:$A$511,"&lt;"&amp;$A422)</f>
        <v>845</v>
      </c>
      <c r="I422">
        <f>SUMIFS(Medicion!$K$6:$K$511,Medicion!$G$6:$G$511,$B422,Medicion!$A$6:$A$511,$A422)</f>
        <v>0</v>
      </c>
      <c r="J422">
        <f t="shared" si="42"/>
        <v>845</v>
      </c>
      <c r="K422" s="77">
        <f t="shared" si="43"/>
        <v>403489.4398530763</v>
      </c>
      <c r="L422" s="77">
        <f t="shared" si="44"/>
        <v>0</v>
      </c>
      <c r="M422" s="77">
        <f t="shared" si="45"/>
        <v>403489.4398530763</v>
      </c>
      <c r="N422" s="77">
        <f t="shared" si="46"/>
        <v>1602020.2020202023</v>
      </c>
      <c r="O422" s="100">
        <f t="shared" si="47"/>
        <v>0.2011904761904762</v>
      </c>
      <c r="P422" t="str">
        <f t="shared" si="48"/>
        <v>OK</v>
      </c>
    </row>
    <row r="423" spans="1:16">
      <c r="A423">
        <v>24</v>
      </c>
      <c r="B423" t="str">
        <f>'Presupuesto Base'!A10</f>
        <v>4</v>
      </c>
      <c r="C423" t="str">
        <f>'Presupuesto Base'!B10</f>
        <v>Cama de asiento compactada</v>
      </c>
      <c r="D423" t="str">
        <f>'Presupuesto Base'!C10</f>
        <v>ml</v>
      </c>
      <c r="E423">
        <f>'Presupuesto Base'!D10</f>
        <v>4200</v>
      </c>
      <c r="F423" s="77">
        <f>'Presupuesto Base'!E10</f>
        <v>1705.3653417289784</v>
      </c>
      <c r="G423" s="77">
        <f>'Presupuesto Base'!F10</f>
        <v>7162534.4352617087</v>
      </c>
      <c r="H423">
        <f>SUMIFS(Medicion!$K$6:$K$511,Medicion!$G$6:$G$511,$B423,Medicion!$A$6:$A$511,"&lt;"&amp;$A423)</f>
        <v>845</v>
      </c>
      <c r="I423">
        <f>SUMIFS(Medicion!$K$6:$K$511,Medicion!$G$6:$G$511,$B423,Medicion!$A$6:$A$511,$A423)</f>
        <v>0</v>
      </c>
      <c r="J423">
        <f t="shared" si="42"/>
        <v>845</v>
      </c>
      <c r="K423" s="77">
        <f t="shared" si="43"/>
        <v>1441033.7137609867</v>
      </c>
      <c r="L423" s="77">
        <f t="shared" si="44"/>
        <v>0</v>
      </c>
      <c r="M423" s="77">
        <f t="shared" si="45"/>
        <v>1441033.7137609867</v>
      </c>
      <c r="N423" s="77">
        <f t="shared" si="46"/>
        <v>5721500.7215007218</v>
      </c>
      <c r="O423" s="100">
        <f t="shared" si="47"/>
        <v>0.2011904761904762</v>
      </c>
      <c r="P423" t="str">
        <f t="shared" si="48"/>
        <v>OK</v>
      </c>
    </row>
    <row r="424" spans="1:16">
      <c r="A424">
        <v>24</v>
      </c>
      <c r="B424" t="str">
        <f>'Presupuesto Base'!A11</f>
        <v>5.1</v>
      </c>
      <c r="C424" t="str">
        <f>'Presupuesto Base'!B11</f>
        <v>PEAD PN10 Ø75 – provisión e instalación</v>
      </c>
      <c r="D424" t="str">
        <f>'Presupuesto Base'!C11</f>
        <v>ml</v>
      </c>
      <c r="E424">
        <f>'Presupuesto Base'!D11</f>
        <v>3170</v>
      </c>
      <c r="F424" s="77">
        <f>'Presupuesto Base'!E11</f>
        <v>5784.2549382555126</v>
      </c>
      <c r="G424" s="77">
        <f>'Presupuesto Base'!F11</f>
        <v>18336088.154269975</v>
      </c>
      <c r="H424">
        <f>SUMIFS(Medicion!$K$6:$K$511,Medicion!$G$6:$G$511,$B424,Medicion!$A$6:$A$511,"&lt;"&amp;$A424)</f>
        <v>558</v>
      </c>
      <c r="I424">
        <f>SUMIFS(Medicion!$K$6:$K$511,Medicion!$G$6:$G$511,$B424,Medicion!$A$6:$A$511,$A424)</f>
        <v>0</v>
      </c>
      <c r="J424">
        <f t="shared" si="42"/>
        <v>558</v>
      </c>
      <c r="K424" s="77">
        <f t="shared" si="43"/>
        <v>3227614.2555465759</v>
      </c>
      <c r="L424" s="77">
        <f t="shared" si="44"/>
        <v>0</v>
      </c>
      <c r="M424" s="77">
        <f t="shared" si="45"/>
        <v>3227614.2555465759</v>
      </c>
      <c r="N424" s="77">
        <f t="shared" si="46"/>
        <v>15108473.898723399</v>
      </c>
      <c r="O424" s="100">
        <f t="shared" si="47"/>
        <v>0.17602523659305994</v>
      </c>
      <c r="P424" t="str">
        <f t="shared" si="48"/>
        <v>OK</v>
      </c>
    </row>
    <row r="425" spans="1:16">
      <c r="A425">
        <v>24</v>
      </c>
      <c r="B425" t="str">
        <f>'Presupuesto Base'!A12</f>
        <v>5.2</v>
      </c>
      <c r="C425" t="str">
        <f>'Presupuesto Base'!B12</f>
        <v>PEAD PN10 Ø110 – provisión e instalación</v>
      </c>
      <c r="D425" t="str">
        <f>'Presupuesto Base'!C12</f>
        <v>ml</v>
      </c>
      <c r="E425">
        <f>'Presupuesto Base'!D12</f>
        <v>1030</v>
      </c>
      <c r="F425" s="77">
        <f>'Presupuesto Base'!E12</f>
        <v>12238.893792291852</v>
      </c>
      <c r="G425" s="77">
        <f>'Presupuesto Base'!F12</f>
        <v>12606060.606060607</v>
      </c>
      <c r="H425">
        <f>SUMIFS(Medicion!$K$6:$K$511,Medicion!$G$6:$G$511,$B425,Medicion!$A$6:$A$511,"&lt;"&amp;$A425)</f>
        <v>287</v>
      </c>
      <c r="I425">
        <f>SUMIFS(Medicion!$K$6:$K$511,Medicion!$G$6:$G$511,$B425,Medicion!$A$6:$A$511,$A425)</f>
        <v>0</v>
      </c>
      <c r="J425">
        <f t="shared" si="42"/>
        <v>287</v>
      </c>
      <c r="K425" s="77">
        <f t="shared" si="43"/>
        <v>3512562.5183877614</v>
      </c>
      <c r="L425" s="77">
        <f t="shared" si="44"/>
        <v>0</v>
      </c>
      <c r="M425" s="77">
        <f t="shared" si="45"/>
        <v>3512562.5183877614</v>
      </c>
      <c r="N425" s="77">
        <f t="shared" si="46"/>
        <v>9093498.0876728464</v>
      </c>
      <c r="O425" s="100">
        <f t="shared" si="47"/>
        <v>0.27864077669902915</v>
      </c>
      <c r="P425" t="str">
        <f t="shared" si="48"/>
        <v>OK</v>
      </c>
    </row>
    <row r="426" spans="1:16">
      <c r="A426">
        <v>24</v>
      </c>
      <c r="B426" t="str">
        <f>'Presupuesto Base'!A13</f>
        <v>6</v>
      </c>
      <c r="C426" t="str">
        <f>'Presupuesto Base'!B13</f>
        <v>Ejecución de paquete estructural de 30 cm</v>
      </c>
      <c r="D426" t="str">
        <f>'Presupuesto Base'!C13</f>
        <v>ml</v>
      </c>
      <c r="E426">
        <f>'Presupuesto Base'!D13</f>
        <v>4200</v>
      </c>
      <c r="F426" s="77">
        <f>'Presupuesto Base'!E13</f>
        <v>3274.3014561196383</v>
      </c>
      <c r="G426" s="77">
        <f>'Presupuesto Base'!F13</f>
        <v>13752066.11570248</v>
      </c>
      <c r="H426">
        <f>SUMIFS(Medicion!$K$6:$K$511,Medicion!$G$6:$G$511,$B426,Medicion!$A$6:$A$511,"&lt;"&amp;$A426)</f>
        <v>763</v>
      </c>
      <c r="I426">
        <f>SUMIFS(Medicion!$K$6:$K$511,Medicion!$G$6:$G$511,$B426,Medicion!$A$6:$A$511,$A426)</f>
        <v>0</v>
      </c>
      <c r="J426">
        <f t="shared" si="42"/>
        <v>763</v>
      </c>
      <c r="K426" s="77">
        <f t="shared" si="43"/>
        <v>2498292.0110192839</v>
      </c>
      <c r="L426" s="77">
        <f t="shared" si="44"/>
        <v>0</v>
      </c>
      <c r="M426" s="77">
        <f t="shared" si="45"/>
        <v>2498292.0110192839</v>
      </c>
      <c r="N426" s="77">
        <f t="shared" si="46"/>
        <v>11253774.104683196</v>
      </c>
      <c r="O426" s="100">
        <f t="shared" si="47"/>
        <v>0.18166666666666667</v>
      </c>
      <c r="P426" t="str">
        <f t="shared" si="48"/>
        <v>OK</v>
      </c>
    </row>
    <row r="427" spans="1:16">
      <c r="A427">
        <v>24</v>
      </c>
      <c r="B427" t="str">
        <f>'Presupuesto Base'!A14</f>
        <v>7</v>
      </c>
      <c r="C427" t="str">
        <f>'Presupuesto Base'!B14</f>
        <v>Compactación del paquete estructural de 30 cm</v>
      </c>
      <c r="D427" t="str">
        <f>'Presupuesto Base'!C14</f>
        <v>ml</v>
      </c>
      <c r="E427">
        <f>'Presupuesto Base'!D14</f>
        <v>4200</v>
      </c>
      <c r="F427" s="77">
        <f>'Presupuesto Base'!E14</f>
        <v>1227.8630460448644</v>
      </c>
      <c r="G427" s="77">
        <f>'Presupuesto Base'!F14</f>
        <v>5157024.79338843</v>
      </c>
      <c r="H427">
        <f>SUMIFS(Medicion!$K$6:$K$511,Medicion!$G$6:$G$511,$B427,Medicion!$A$6:$A$511,"&lt;"&amp;$A427)</f>
        <v>0</v>
      </c>
      <c r="I427">
        <f>SUMIFS(Medicion!$K$6:$K$511,Medicion!$G$6:$G$511,$B427,Medicion!$A$6:$A$511,$A427)</f>
        <v>0</v>
      </c>
      <c r="J427">
        <f t="shared" si="42"/>
        <v>0</v>
      </c>
      <c r="K427" s="77">
        <f t="shared" si="43"/>
        <v>0</v>
      </c>
      <c r="L427" s="77">
        <f t="shared" si="44"/>
        <v>0</v>
      </c>
      <c r="M427" s="77">
        <f t="shared" si="45"/>
        <v>0</v>
      </c>
      <c r="N427" s="77">
        <f t="shared" si="46"/>
        <v>5157024.79338843</v>
      </c>
      <c r="O427" s="100">
        <f t="shared" si="47"/>
        <v>0</v>
      </c>
      <c r="P427" t="str">
        <f t="shared" si="48"/>
        <v>OK</v>
      </c>
    </row>
    <row r="428" spans="1:16">
      <c r="A428">
        <v>24</v>
      </c>
      <c r="B428" t="str">
        <f>'Presupuesto Base'!A15</f>
        <v>8</v>
      </c>
      <c r="C428" t="str">
        <f>'Presupuesto Base'!B15</f>
        <v>Ejecución y compactación de capa cota -0,60</v>
      </c>
      <c r="D428" t="str">
        <f>'Presupuesto Base'!C15</f>
        <v>ml</v>
      </c>
      <c r="E428">
        <f>'Presupuesto Base'!D15</f>
        <v>4200</v>
      </c>
      <c r="F428" s="77">
        <f>'Presupuesto Base'!E15</f>
        <v>2592.1553194280468</v>
      </c>
      <c r="G428" s="77">
        <f>'Presupuesto Base'!F15</f>
        <v>10887052.341597797</v>
      </c>
      <c r="H428">
        <f>SUMIFS(Medicion!$K$6:$K$511,Medicion!$G$6:$G$511,$B428,Medicion!$A$6:$A$511,"&lt;"&amp;$A428)</f>
        <v>0</v>
      </c>
      <c r="I428">
        <f>SUMIFS(Medicion!$K$6:$K$511,Medicion!$G$6:$G$511,$B428,Medicion!$A$6:$A$511,$A428)</f>
        <v>0</v>
      </c>
      <c r="J428">
        <f t="shared" si="42"/>
        <v>0</v>
      </c>
      <c r="K428" s="77">
        <f t="shared" si="43"/>
        <v>0</v>
      </c>
      <c r="L428" s="77">
        <f t="shared" si="44"/>
        <v>0</v>
      </c>
      <c r="M428" s="77">
        <f t="shared" si="45"/>
        <v>0</v>
      </c>
      <c r="N428" s="77">
        <f t="shared" si="46"/>
        <v>10887052.341597797</v>
      </c>
      <c r="O428" s="100">
        <f t="shared" si="47"/>
        <v>0</v>
      </c>
      <c r="P428" t="str">
        <f t="shared" si="48"/>
        <v>OK</v>
      </c>
    </row>
    <row r="429" spans="1:16">
      <c r="A429">
        <v>24</v>
      </c>
      <c r="B429" t="str">
        <f>'Presupuesto Base'!A16</f>
        <v>9</v>
      </c>
      <c r="C429" t="str">
        <f>'Presupuesto Base'!B16</f>
        <v>Ejecución y compactación de capa cota -0,30</v>
      </c>
      <c r="D429" t="str">
        <f>'Presupuesto Base'!C16</f>
        <v>ml</v>
      </c>
      <c r="E429">
        <f>'Presupuesto Base'!D16</f>
        <v>4200</v>
      </c>
      <c r="F429" s="77">
        <f>'Presupuesto Base'!E16</f>
        <v>2182.8676374130923</v>
      </c>
      <c r="G429" s="77">
        <f>'Presupuesto Base'!F16</f>
        <v>9168044.0771349873</v>
      </c>
      <c r="H429">
        <f>SUMIFS(Medicion!$K$6:$K$511,Medicion!$G$6:$G$511,$B429,Medicion!$A$6:$A$511,"&lt;"&amp;$A429)</f>
        <v>0</v>
      </c>
      <c r="I429">
        <f>SUMIFS(Medicion!$K$6:$K$511,Medicion!$G$6:$G$511,$B429,Medicion!$A$6:$A$511,$A429)</f>
        <v>0</v>
      </c>
      <c r="J429">
        <f t="shared" si="42"/>
        <v>0</v>
      </c>
      <c r="K429" s="77">
        <f t="shared" si="43"/>
        <v>0</v>
      </c>
      <c r="L429" s="77">
        <f t="shared" si="44"/>
        <v>0</v>
      </c>
      <c r="M429" s="77">
        <f t="shared" si="45"/>
        <v>0</v>
      </c>
      <c r="N429" s="77">
        <f t="shared" si="46"/>
        <v>9168044.0771349873</v>
      </c>
      <c r="O429" s="100">
        <f t="shared" si="47"/>
        <v>0</v>
      </c>
      <c r="P429" t="str">
        <f t="shared" si="48"/>
        <v>OK</v>
      </c>
    </row>
    <row r="430" spans="1:16">
      <c r="A430">
        <v>24</v>
      </c>
      <c r="B430" t="str">
        <f>'Presupuesto Base'!A17</f>
        <v>10.1</v>
      </c>
      <c r="C430" t="str">
        <f>'Presupuesto Base'!B17</f>
        <v>Conexión domiciliaria sobre red Ø75</v>
      </c>
      <c r="D430" t="str">
        <f>'Presupuesto Base'!C17</f>
        <v>un</v>
      </c>
      <c r="E430">
        <f>'Presupuesto Base'!D17</f>
        <v>165</v>
      </c>
      <c r="F430" s="77">
        <f>'Presupuesto Base'!E17</f>
        <v>48618.415560564332</v>
      </c>
      <c r="G430" s="77">
        <f>'Presupuesto Base'!F17</f>
        <v>8022038.5674931146</v>
      </c>
      <c r="H430">
        <f>SUMIFS(Medicion!$K$6:$K$511,Medicion!$G$6:$G$511,$B430,Medicion!$A$6:$A$511,"&lt;"&amp;$A430)</f>
        <v>5</v>
      </c>
      <c r="I430">
        <f>SUMIFS(Medicion!$K$6:$K$511,Medicion!$G$6:$G$511,$B430,Medicion!$A$6:$A$511,$A430)</f>
        <v>0</v>
      </c>
      <c r="J430">
        <f t="shared" si="42"/>
        <v>5</v>
      </c>
      <c r="K430" s="77">
        <f t="shared" si="43"/>
        <v>243092.07780282164</v>
      </c>
      <c r="L430" s="77">
        <f t="shared" si="44"/>
        <v>0</v>
      </c>
      <c r="M430" s="77">
        <f t="shared" si="45"/>
        <v>243092.07780282164</v>
      </c>
      <c r="N430" s="77">
        <f t="shared" si="46"/>
        <v>7778946.4896902926</v>
      </c>
      <c r="O430" s="100">
        <f t="shared" si="47"/>
        <v>3.0303030303030304E-2</v>
      </c>
      <c r="P430" t="str">
        <f t="shared" si="48"/>
        <v>OK</v>
      </c>
    </row>
    <row r="431" spans="1:16">
      <c r="A431">
        <v>24</v>
      </c>
      <c r="B431" t="str">
        <f>'Presupuesto Base'!A18</f>
        <v>10.2</v>
      </c>
      <c r="C431" t="str">
        <f>'Presupuesto Base'!B18</f>
        <v>Conexión domiciliaria sobre red Ø110</v>
      </c>
      <c r="D431" t="str">
        <f>'Presupuesto Base'!C18</f>
        <v>un</v>
      </c>
      <c r="E431">
        <f>'Presupuesto Base'!D18</f>
        <v>62</v>
      </c>
      <c r="F431" s="77">
        <f>'Presupuesto Base'!E18</f>
        <v>55451.879498800321</v>
      </c>
      <c r="G431" s="77">
        <f>'Presupuesto Base'!F18</f>
        <v>3438016.52892562</v>
      </c>
      <c r="H431">
        <f>SUMIFS(Medicion!$K$6:$K$511,Medicion!$G$6:$G$511,$B431,Medicion!$A$6:$A$511,"&lt;"&amp;$A431)</f>
        <v>2</v>
      </c>
      <c r="I431">
        <f>SUMIFS(Medicion!$K$6:$K$511,Medicion!$G$6:$G$511,$B431,Medicion!$A$6:$A$511,$A431)</f>
        <v>0</v>
      </c>
      <c r="J431">
        <f t="shared" si="42"/>
        <v>2</v>
      </c>
      <c r="K431" s="77">
        <f t="shared" si="43"/>
        <v>110903.75899760064</v>
      </c>
      <c r="L431" s="77">
        <f t="shared" si="44"/>
        <v>0</v>
      </c>
      <c r="M431" s="77">
        <f t="shared" si="45"/>
        <v>110903.75899760064</v>
      </c>
      <c r="N431" s="77">
        <f t="shared" si="46"/>
        <v>3327112.7699280195</v>
      </c>
      <c r="O431" s="100">
        <f t="shared" si="47"/>
        <v>3.2258064516129031E-2</v>
      </c>
      <c r="P431" t="str">
        <f t="shared" si="48"/>
        <v>OK</v>
      </c>
    </row>
    <row r="432" spans="1:16">
      <c r="A432">
        <v>24</v>
      </c>
      <c r="B432" t="str">
        <f>'Presupuesto Base'!A19</f>
        <v>11.1</v>
      </c>
      <c r="C432" t="str">
        <f>'Presupuesto Base'!B19</f>
        <v>Válvula esclusa Ø75 completa e instalada</v>
      </c>
      <c r="D432" t="str">
        <f>'Presupuesto Base'!C19</f>
        <v>un</v>
      </c>
      <c r="E432">
        <f>'Presupuesto Base'!D19</f>
        <v>2</v>
      </c>
      <c r="F432" s="77">
        <f>'Presupuesto Base'!E19</f>
        <v>286501.37741046835</v>
      </c>
      <c r="G432" s="77">
        <f>'Presupuesto Base'!F19</f>
        <v>573002.75482093671</v>
      </c>
      <c r="H432">
        <f>SUMIFS(Medicion!$K$6:$K$511,Medicion!$G$6:$G$511,$B432,Medicion!$A$6:$A$511,"&lt;"&amp;$A432)</f>
        <v>0</v>
      </c>
      <c r="I432">
        <f>SUMIFS(Medicion!$K$6:$K$511,Medicion!$G$6:$G$511,$B432,Medicion!$A$6:$A$511,$A432)</f>
        <v>0</v>
      </c>
      <c r="J432">
        <f t="shared" si="42"/>
        <v>0</v>
      </c>
      <c r="K432" s="77">
        <f t="shared" si="43"/>
        <v>0</v>
      </c>
      <c r="L432" s="77">
        <f t="shared" si="44"/>
        <v>0</v>
      </c>
      <c r="M432" s="77">
        <f t="shared" si="45"/>
        <v>0</v>
      </c>
      <c r="N432" s="77">
        <f t="shared" si="46"/>
        <v>573002.75482093671</v>
      </c>
      <c r="O432" s="100">
        <f t="shared" si="47"/>
        <v>0</v>
      </c>
      <c r="P432" t="str">
        <f t="shared" si="48"/>
        <v>OK</v>
      </c>
    </row>
    <row r="433" spans="1:16">
      <c r="A433">
        <v>24</v>
      </c>
      <c r="B433" t="str">
        <f>'Presupuesto Base'!A20</f>
        <v>11.2</v>
      </c>
      <c r="C433" t="str">
        <f>'Presupuesto Base'!B20</f>
        <v>Válvula esclusa Ø100 completa e instalada</v>
      </c>
      <c r="D433" t="str">
        <f>'Presupuesto Base'!C20</f>
        <v>un</v>
      </c>
      <c r="E433">
        <f>'Presupuesto Base'!D20</f>
        <v>4</v>
      </c>
      <c r="F433" s="77">
        <f>'Presupuesto Base'!E20</f>
        <v>429752.0661157025</v>
      </c>
      <c r="G433" s="77">
        <f>'Presupuesto Base'!F20</f>
        <v>1719008.26446281</v>
      </c>
      <c r="H433">
        <f>SUMIFS(Medicion!$K$6:$K$511,Medicion!$G$6:$G$511,$B433,Medicion!$A$6:$A$511,"&lt;"&amp;$A433)</f>
        <v>0</v>
      </c>
      <c r="I433">
        <f>SUMIFS(Medicion!$K$6:$K$511,Medicion!$G$6:$G$511,$B433,Medicion!$A$6:$A$511,$A433)</f>
        <v>0</v>
      </c>
      <c r="J433">
        <f t="shared" si="42"/>
        <v>0</v>
      </c>
      <c r="K433" s="77">
        <f t="shared" si="43"/>
        <v>0</v>
      </c>
      <c r="L433" s="77">
        <f t="shared" si="44"/>
        <v>0</v>
      </c>
      <c r="M433" s="77">
        <f t="shared" si="45"/>
        <v>0</v>
      </c>
      <c r="N433" s="77">
        <f t="shared" si="46"/>
        <v>1719008.26446281</v>
      </c>
      <c r="O433" s="100">
        <f t="shared" si="47"/>
        <v>0</v>
      </c>
      <c r="P433" t="str">
        <f t="shared" si="48"/>
        <v>OK</v>
      </c>
    </row>
    <row r="434" spans="1:16">
      <c r="A434">
        <v>24</v>
      </c>
      <c r="B434" t="str">
        <f>'Presupuesto Base'!A21</f>
        <v>12</v>
      </c>
      <c r="C434" t="str">
        <f>'Presupuesto Base'!B21</f>
        <v>Hidrante a bola completo e instalado</v>
      </c>
      <c r="D434" t="str">
        <f>'Presupuesto Base'!C21</f>
        <v>un</v>
      </c>
      <c r="E434">
        <f>'Presupuesto Base'!D21</f>
        <v>15</v>
      </c>
      <c r="F434" s="77">
        <f>'Presupuesto Base'!E21</f>
        <v>114600.55096418734</v>
      </c>
      <c r="G434" s="77">
        <f>'Presupuesto Base'!F21</f>
        <v>1719008.26446281</v>
      </c>
      <c r="H434">
        <f>SUMIFS(Medicion!$K$6:$K$511,Medicion!$G$6:$G$511,$B434,Medicion!$A$6:$A$511,"&lt;"&amp;$A434)</f>
        <v>0</v>
      </c>
      <c r="I434">
        <f>SUMIFS(Medicion!$K$6:$K$511,Medicion!$G$6:$G$511,$B434,Medicion!$A$6:$A$511,$A434)</f>
        <v>0</v>
      </c>
      <c r="J434">
        <f t="shared" si="42"/>
        <v>0</v>
      </c>
      <c r="K434" s="77">
        <f t="shared" si="43"/>
        <v>0</v>
      </c>
      <c r="L434" s="77">
        <f t="shared" si="44"/>
        <v>0</v>
      </c>
      <c r="M434" s="77">
        <f t="shared" si="45"/>
        <v>0</v>
      </c>
      <c r="N434" s="77">
        <f t="shared" si="46"/>
        <v>1719008.26446281</v>
      </c>
      <c r="O434" s="100">
        <f t="shared" si="47"/>
        <v>0</v>
      </c>
      <c r="P434" t="str">
        <f t="shared" si="48"/>
        <v>OK</v>
      </c>
    </row>
    <row r="435" spans="1:16">
      <c r="A435">
        <v>24</v>
      </c>
      <c r="B435" t="str">
        <f>'Presupuesto Base'!A22</f>
        <v>13.1</v>
      </c>
      <c r="C435" t="str">
        <f>'Presupuesto Base'!B22</f>
        <v>Pruebas hidráulicas y operativas</v>
      </c>
      <c r="D435" t="str">
        <f>'Presupuesto Base'!C22</f>
        <v>gl</v>
      </c>
      <c r="E435">
        <f>'Presupuesto Base'!D22</f>
        <v>1</v>
      </c>
      <c r="F435" s="77">
        <f>'Presupuesto Base'!E22</f>
        <v>1719008.26446281</v>
      </c>
      <c r="G435" s="77">
        <f>'Presupuesto Base'!F22</f>
        <v>1719008.26446281</v>
      </c>
      <c r="H435">
        <f>SUMIFS(Medicion!$K$6:$K$511,Medicion!$G$6:$G$511,$B435,Medicion!$A$6:$A$511,"&lt;"&amp;$A435)</f>
        <v>0</v>
      </c>
      <c r="I435">
        <f>SUMIFS(Medicion!$K$6:$K$511,Medicion!$G$6:$G$511,$B435,Medicion!$A$6:$A$511,$A435)</f>
        <v>0</v>
      </c>
      <c r="J435">
        <f t="shared" si="42"/>
        <v>0</v>
      </c>
      <c r="K435" s="77">
        <f t="shared" si="43"/>
        <v>0</v>
      </c>
      <c r="L435" s="77">
        <f t="shared" si="44"/>
        <v>0</v>
      </c>
      <c r="M435" s="77">
        <f t="shared" si="45"/>
        <v>0</v>
      </c>
      <c r="N435" s="77">
        <f t="shared" si="46"/>
        <v>1719008.26446281</v>
      </c>
      <c r="O435" s="100">
        <f t="shared" si="47"/>
        <v>0</v>
      </c>
      <c r="P435" t="str">
        <f t="shared" si="48"/>
        <v>OK</v>
      </c>
    </row>
    <row r="436" spans="1:16">
      <c r="A436">
        <v>24</v>
      </c>
      <c r="B436" t="str">
        <f>'Presupuesto Base'!A23</f>
        <v>13.2</v>
      </c>
      <c r="C436" t="str">
        <f>'Presupuesto Base'!B23</f>
        <v>Terminaciones y acondicionamiento final</v>
      </c>
      <c r="D436" t="str">
        <f>'Presupuesto Base'!C23</f>
        <v>gl</v>
      </c>
      <c r="E436">
        <f>'Presupuesto Base'!D23</f>
        <v>1</v>
      </c>
      <c r="F436" s="77">
        <f>'Presupuesto Base'!E23</f>
        <v>1146005.5096418734</v>
      </c>
      <c r="G436" s="77">
        <f>'Presupuesto Base'!F23</f>
        <v>1146005.5096418734</v>
      </c>
      <c r="H436">
        <f>SUMIFS(Medicion!$K$6:$K$511,Medicion!$G$6:$G$511,$B436,Medicion!$A$6:$A$511,"&lt;"&amp;$A436)</f>
        <v>0</v>
      </c>
      <c r="I436">
        <f>SUMIFS(Medicion!$K$6:$K$511,Medicion!$G$6:$G$511,$B436,Medicion!$A$6:$A$511,$A436)</f>
        <v>0</v>
      </c>
      <c r="J436">
        <f t="shared" si="42"/>
        <v>0</v>
      </c>
      <c r="K436" s="77">
        <f t="shared" si="43"/>
        <v>0</v>
      </c>
      <c r="L436" s="77">
        <f t="shared" si="44"/>
        <v>0</v>
      </c>
      <c r="M436" s="77">
        <f t="shared" si="45"/>
        <v>0</v>
      </c>
      <c r="N436" s="77">
        <f t="shared" si="46"/>
        <v>1146005.5096418734</v>
      </c>
      <c r="O436" s="100">
        <f t="shared" si="47"/>
        <v>0</v>
      </c>
      <c r="P436" t="str">
        <f t="shared" si="48"/>
        <v>OK</v>
      </c>
    </row>
    <row r="437" spans="1:16">
      <c r="A437">
        <v>24</v>
      </c>
      <c r="B437" t="str">
        <f>'Presupuesto Base'!A24</f>
        <v>13.3</v>
      </c>
      <c r="C437" t="str">
        <f>'Presupuesto Base'!B24</f>
        <v>Documentación conforme a obra y cierre</v>
      </c>
      <c r="D437" t="str">
        <f>'Presupuesto Base'!C24</f>
        <v>gl</v>
      </c>
      <c r="E437">
        <f>'Presupuesto Base'!D24</f>
        <v>1</v>
      </c>
      <c r="F437" s="77">
        <f>'Presupuesto Base'!E24</f>
        <v>859504.132231405</v>
      </c>
      <c r="G437" s="77">
        <f>'Presupuesto Base'!F24</f>
        <v>859504.132231405</v>
      </c>
      <c r="H437">
        <f>SUMIFS(Medicion!$K$6:$K$511,Medicion!$G$6:$G$511,$B437,Medicion!$A$6:$A$511,"&lt;"&amp;$A437)</f>
        <v>0</v>
      </c>
      <c r="I437">
        <f>SUMIFS(Medicion!$K$6:$K$511,Medicion!$G$6:$G$511,$B437,Medicion!$A$6:$A$511,$A437)</f>
        <v>0</v>
      </c>
      <c r="J437">
        <f t="shared" si="42"/>
        <v>0</v>
      </c>
      <c r="K437" s="77">
        <f t="shared" si="43"/>
        <v>0</v>
      </c>
      <c r="L437" s="77">
        <f t="shared" si="44"/>
        <v>0</v>
      </c>
      <c r="M437" s="77">
        <f t="shared" si="45"/>
        <v>0</v>
      </c>
      <c r="N437" s="77">
        <f t="shared" si="46"/>
        <v>859504.132231405</v>
      </c>
      <c r="O437" s="100">
        <f t="shared" si="47"/>
        <v>0</v>
      </c>
      <c r="P437" t="str">
        <f t="shared" si="48"/>
        <v>OK</v>
      </c>
    </row>
  </sheetData>
  <mergeCells count="2">
    <mergeCell ref="A1:P1"/>
    <mergeCell ref="A3:P3"/>
  </mergeCells>
  <conditionalFormatting sqref="P6:P437">
    <cfRule type="expression" dxfId="0" priority="1">
      <formula>P6="REVISAR"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Distribucion Contrato</vt:lpstr>
      <vt:lpstr>Resumen</vt:lpstr>
      <vt:lpstr>Configuracion</vt:lpstr>
      <vt:lpstr>Sectores</vt:lpstr>
      <vt:lpstr>Presupuesto Base</vt:lpstr>
      <vt:lpstr>Medicion</vt:lpstr>
      <vt:lpstr>Certificado</vt:lpstr>
      <vt:lpstr>Conexiones</vt:lpstr>
      <vt:lpstr>Criterios Medicion</vt:lpstr>
      <vt:lpstr>Historial Certificados</vt:lpstr>
      <vt:lpstr>Historial 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Gustavo Regalado</cp:lastModifiedBy>
  <dcterms:created xsi:type="dcterms:W3CDTF">2026-08-28T13:05:06Z</dcterms:created>
  <dcterms:modified xsi:type="dcterms:W3CDTF">2026-09-02T15:17:56Z</dcterms:modified>
</cp:coreProperties>
</file>