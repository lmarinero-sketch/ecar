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CAR CONSTRUCCIONES\1 GESTION EMPRESA\4 FINANZAS ADMINISTRACION\2 ESTADOS FINANCIEROS\2026\"/>
    </mc:Choice>
  </mc:AlternateContent>
  <xr:revisionPtr revIDLastSave="0" documentId="13_ncr:1_{29830D3D-15C7-4353-A2C2-D2A158301EE9}" xr6:coauthVersionLast="47" xr6:coauthVersionMax="47" xr10:uidLastSave="{00000000-0000-0000-0000-000000000000}"/>
  <bookViews>
    <workbookView xWindow="-120" yWindow="-120" windowWidth="20730" windowHeight="11160" firstSheet="6" activeTab="8" xr2:uid="{00000000-000D-0000-FFFF-FFFF00000000}"/>
  </bookViews>
  <sheets>
    <sheet name="RESUMEN DICIEMBRE 2025" sheetId="12" r:id="rId1"/>
    <sheet name="RESUMEN FINANCIERO ENERO 2026" sheetId="15" r:id="rId2"/>
    <sheet name="RESUMEN FEBRERO 2026 " sheetId="14" r:id="rId3"/>
    <sheet name="RESUMEN MARZO 2026" sheetId="16" r:id="rId4"/>
    <sheet name="CHEQUES EMITIDOS " sheetId="1" r:id="rId5"/>
    <sheet name="ECHEQ RECIBIDOC" sheetId="2" r:id="rId6"/>
    <sheet name="OBRAS" sheetId="10" r:id="rId7"/>
    <sheet name="Hoja1" sheetId="18" r:id="rId8"/>
    <sheet name="GASTOS MENSUALES 2026 " sheetId="5" r:id="rId9"/>
    <sheet name="RESUMEN ABRIL 2026" sheetId="17" r:id="rId10"/>
  </sheets>
  <definedNames>
    <definedName name="_xlnm.Print_Area" localSheetId="4">'CHEQUES EMITIDOS '!$A$26:$F$108</definedName>
    <definedName name="_xlnm.Print_Area" localSheetId="5">'ECHEQ RECIBIDOC'!#REF!</definedName>
    <definedName name="_xlnm.Print_Area" localSheetId="8">'GASTOS MENSUALES 2026 '!$A$1:$C$55</definedName>
    <definedName name="_xlnm.Print_Area" localSheetId="6">OBRAS!$A$1:$C$55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8" i="1" l="1"/>
  <c r="C107" i="1"/>
  <c r="C105" i="1"/>
  <c r="C103" i="1"/>
  <c r="C101" i="1"/>
  <c r="C99" i="1"/>
  <c r="C97" i="1"/>
  <c r="K39" i="5"/>
  <c r="G47" i="10"/>
  <c r="G45" i="10"/>
  <c r="H39" i="10"/>
  <c r="J54" i="5"/>
  <c r="B90" i="5"/>
  <c r="Q55" i="10"/>
  <c r="Q56" i="10" s="1"/>
  <c r="B89" i="5" s="1"/>
  <c r="Q7" i="10"/>
  <c r="G64" i="1"/>
  <c r="C108" i="1"/>
  <c r="J19" i="5"/>
  <c r="C95" i="1"/>
  <c r="J36" i="10"/>
  <c r="G43" i="10"/>
  <c r="Q43" i="10" s="1"/>
  <c r="B70" i="10"/>
  <c r="B71" i="10" s="1"/>
  <c r="B5" i="17"/>
  <c r="J20" i="10"/>
  <c r="C47" i="10"/>
  <c r="Q47" i="10" s="1"/>
  <c r="J12" i="10"/>
  <c r="Q15" i="10"/>
  <c r="I14" i="10"/>
  <c r="B74" i="10"/>
  <c r="B75" i="10" s="1"/>
  <c r="B5" i="16"/>
  <c r="B65" i="10"/>
  <c r="P45" i="10"/>
  <c r="J53" i="10"/>
  <c r="B53" i="10"/>
  <c r="G39" i="10"/>
  <c r="H26" i="5"/>
  <c r="H20" i="5"/>
  <c r="P39" i="10"/>
  <c r="B68" i="5"/>
  <c r="F11" i="5"/>
  <c r="G34" i="1"/>
  <c r="F39" i="10"/>
  <c r="H14" i="10"/>
  <c r="O13" i="10"/>
  <c r="O23" i="10"/>
  <c r="B3" i="15"/>
  <c r="B5" i="15"/>
  <c r="J55" i="5" l="1"/>
  <c r="B91" i="5" s="1"/>
  <c r="B72" i="10"/>
  <c r="B76" i="10" s="1"/>
  <c r="H55" i="5"/>
  <c r="B82" i="5" s="1"/>
  <c r="P55" i="10"/>
  <c r="P56" i="10" s="1"/>
  <c r="I55" i="5"/>
  <c r="J28" i="10"/>
  <c r="O14" i="10"/>
  <c r="F25" i="5"/>
  <c r="F23" i="5"/>
  <c r="F21" i="5"/>
  <c r="O40" i="10"/>
  <c r="B62" i="5"/>
  <c r="B65" i="5" s="1"/>
  <c r="C19" i="1"/>
  <c r="E43" i="5"/>
  <c r="N23" i="10"/>
  <c r="E39" i="10"/>
  <c r="B60" i="10" s="1"/>
  <c r="G22" i="10"/>
  <c r="G14" i="10"/>
  <c r="N39" i="10"/>
  <c r="E23" i="5"/>
  <c r="B6" i="16" l="1"/>
  <c r="B7" i="16" s="1"/>
  <c r="B84" i="5" s="1"/>
  <c r="B88" i="5" s="1"/>
  <c r="B92" i="5" s="1"/>
  <c r="B79" i="5"/>
  <c r="B59" i="10"/>
  <c r="B61" i="10"/>
  <c r="B62" i="10" s="1"/>
  <c r="O56" i="10"/>
  <c r="B69" i="5" s="1"/>
  <c r="B71" i="5" s="1"/>
  <c r="F55" i="5"/>
  <c r="B72" i="5" s="1"/>
  <c r="H11" i="1"/>
  <c r="E55" i="5"/>
  <c r="B5" i="14"/>
  <c r="N57" i="10"/>
  <c r="N59" i="10" s="1"/>
  <c r="D39" i="10"/>
  <c r="M23" i="10"/>
  <c r="M15" i="10"/>
  <c r="B5" i="12"/>
  <c r="F22" i="10"/>
  <c r="F14" i="10"/>
  <c r="C3" i="2"/>
  <c r="E14" i="10"/>
  <c r="E22" i="10"/>
  <c r="B74" i="5" l="1"/>
  <c r="O55" i="10"/>
  <c r="D55" i="5"/>
  <c r="D25" i="10"/>
  <c r="L25" i="10" s="1"/>
  <c r="D22" i="10"/>
  <c r="D14" i="10"/>
  <c r="L15" i="10"/>
  <c r="B6" i="12" l="1"/>
  <c r="L55" i="10"/>
  <c r="L59" i="10" s="1"/>
  <c r="K23" i="10" l="1"/>
  <c r="K15" i="10"/>
  <c r="K55" i="10" l="1"/>
  <c r="K59" i="10" s="1"/>
  <c r="C4" i="10" l="1"/>
  <c r="J4" i="10" l="1"/>
  <c r="J55" i="10" s="1"/>
  <c r="M55" i="10"/>
  <c r="M59" i="10" s="1"/>
  <c r="C55" i="5" l="1"/>
  <c r="B7" i="12" l="1"/>
  <c r="G46" i="5"/>
  <c r="G55" i="5" s="1"/>
  <c r="B6" i="14" s="1"/>
  <c r="B7" i="14" s="1"/>
  <c r="B73" i="5" s="1"/>
  <c r="G30" i="1"/>
  <c r="B75" i="5" l="1"/>
  <c r="B78" i="5"/>
  <c r="B81" i="5" s="1"/>
  <c r="B83" i="5" s="1"/>
  <c r="B85" i="5" s="1"/>
  <c r="K55" i="5"/>
  <c r="B7" i="17" s="1"/>
  <c r="B93" i="5" s="1"/>
  <c r="B94" i="5" s="1"/>
  <c r="C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O14" authorId="0" shapeId="0" xr:uid="{6783FEAC-FF49-45D0-9490-405303D22BE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$15,000,000 10/02
$15,000,000 11/02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H3" authorId="0" shapeId="0" xr:uid="{7EDFC092-0371-464E-AFCA-2C071168A9CF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$1.780.680+LIQUIDACIONES $1.189.370 PAGADO CON RECAUDACION SERVICIOS BDJ </t>
        </r>
      </text>
    </comment>
    <comment ref="H4" authorId="0" shapeId="0" xr:uid="{DE00EAC6-5714-41EF-B40A-AEDD76FC5454}">
      <text>
        <r>
          <rPr>
            <b/>
            <sz val="9"/>
            <color indexed="81"/>
            <rFont val="Tahoma"/>
            <charset val="1"/>
          </rPr>
          <t>$</t>
        </r>
        <r>
          <rPr>
            <sz val="9"/>
            <color indexed="81"/>
            <rFont val="Tahoma"/>
            <charset val="1"/>
          </rPr>
          <t xml:space="preserve">309.000(LIQUIDACION EMILIO )+$1.745.600 ( PAGO SEMANAL OBRERO </t>
        </r>
      </text>
    </comment>
    <comment ref="J8" authorId="0" shapeId="0" xr:uid="{F470B7B5-8195-49B5-85EE-8A1465706A6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$2,500,000HONORARIOS MARZO 2026+1.000.000 10/04/2026 </t>
        </r>
      </text>
    </comment>
    <comment ref="H9" authorId="0" shapeId="0" xr:uid="{F5425C8C-E1F3-4197-80BE-C50A30F358E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DOLFO NO COBRA HONORARIOS FEBRERO </t>
        </r>
      </text>
    </comment>
    <comment ref="F11" authorId="0" shapeId="0" xr:uid="{3388B089-58BA-4801-8339-67A8777998C2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$980.000 enero +$480.000 febrero </t>
        </r>
      </text>
    </comment>
    <comment ref="J13" authorId="0" shapeId="0" xr:uid="{5103E50E-C949-4291-8E39-8B14044F2C7B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SUELDO MES DE ABRIL 2026</t>
        </r>
      </text>
    </comment>
    <comment ref="J16" authorId="0" shapeId="0" xr:uid="{47270F0B-6391-4122-B176-647A6CD16AB4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SUELDO MES DE ABRIL 2026</t>
        </r>
      </text>
    </comment>
    <comment ref="H20" authorId="0" shapeId="0" xr:uid="{13522377-DCAF-445F-B073-0D1A1B50DF05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$562.589,64 ( ALMAFUERTE ) + $566.442,66 ( SANTA FE ) AL DIA PAGO 12/03/2026 ALMAFUERTE 06-03-2026</t>
        </r>
      </text>
    </comment>
    <comment ref="F47" authorId="0" shapeId="0" xr:uid="{31853DE0-1820-4D68-9684-DC6CE69CC3D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PAGO A CUENTA  PROGRAMA 06/02/2026</t>
        </r>
      </text>
    </comment>
    <comment ref="F49" authorId="0" shapeId="0" xr:uid="{FE23817D-EDBB-46A4-BA50-E95905E82A9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BAÑO Bº SAN MARTIN </t>
        </r>
      </text>
    </comment>
    <comment ref="F50" authorId="0" shapeId="0" xr:uid="{B128D1B4-F167-447E-8B68-FAC76AB18BE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CONTAINERS Y BAÑO Q VILLA SANTA ANITA 
</t>
        </r>
      </text>
    </comment>
  </commentList>
</comments>
</file>

<file path=xl/sharedStrings.xml><?xml version="1.0" encoding="utf-8"?>
<sst xmlns="http://schemas.openxmlformats.org/spreadsheetml/2006/main" count="454" uniqueCount="247">
  <si>
    <t>BCO. SANTANDER</t>
  </si>
  <si>
    <t>ECHEQ</t>
  </si>
  <si>
    <t>OSCAR SCORZA</t>
  </si>
  <si>
    <t xml:space="preserve">ECHEQ </t>
  </si>
  <si>
    <t>Valdivieso Group SRL</t>
  </si>
  <si>
    <t xml:space="preserve">PLACAS ARGENTINA </t>
  </si>
  <si>
    <t>MAR-SAN</t>
  </si>
  <si>
    <t xml:space="preserve">SUELDOS OBREROS </t>
  </si>
  <si>
    <t>FORM. 931</t>
  </si>
  <si>
    <t>SEGUROS LIDERAR</t>
  </si>
  <si>
    <t xml:space="preserve">SERVICIOS </t>
  </si>
  <si>
    <t xml:space="preserve">AUTONOMOS </t>
  </si>
  <si>
    <t xml:space="preserve">IVA </t>
  </si>
  <si>
    <t>IIBB</t>
  </si>
  <si>
    <t>BAÑOS QUIMICOS</t>
  </si>
  <si>
    <t>CONTEINER</t>
  </si>
  <si>
    <t xml:space="preserve">TANQUITO </t>
  </si>
  <si>
    <t xml:space="preserve">INVERSIONES BALANZ </t>
  </si>
  <si>
    <t xml:space="preserve">ECEHQ </t>
  </si>
  <si>
    <t xml:space="preserve">FATE </t>
  </si>
  <si>
    <t xml:space="preserve">UOCRA </t>
  </si>
  <si>
    <t xml:space="preserve">OSPECON </t>
  </si>
  <si>
    <t xml:space="preserve">DANIEL BOLLATTI </t>
  </si>
  <si>
    <t>CUIT</t>
  </si>
  <si>
    <t xml:space="preserve">MATRIGAS </t>
  </si>
  <si>
    <t xml:space="preserve">VIANDAS ECAR </t>
  </si>
  <si>
    <t xml:space="preserve">COMBUSTIBLES </t>
  </si>
  <si>
    <t xml:space="preserve">RESUMEN OBRAS </t>
  </si>
  <si>
    <t xml:space="preserve">BARRIO SAN MARTIN </t>
  </si>
  <si>
    <t xml:space="preserve">CONTRATO </t>
  </si>
  <si>
    <t xml:space="preserve">ESCUELA SANTIAGO DEL ESTERO </t>
  </si>
  <si>
    <t xml:space="preserve">BARRIO ASEC I ( MDO ) </t>
  </si>
  <si>
    <t xml:space="preserve">BARRIO LA TRANQUERA (MDO ) </t>
  </si>
  <si>
    <t xml:space="preserve">ANTICIPO </t>
  </si>
  <si>
    <t>CERTIFICADO 1</t>
  </si>
  <si>
    <t xml:space="preserve">CERTIFICADO 1 </t>
  </si>
  <si>
    <t xml:space="preserve">SALDO </t>
  </si>
  <si>
    <t>CALIDRA OC N°1616</t>
  </si>
  <si>
    <t>ANTICIPO(30%)</t>
  </si>
  <si>
    <t xml:space="preserve">ANTICIPO(10%) </t>
  </si>
  <si>
    <t xml:space="preserve">DESCRIPCION </t>
  </si>
  <si>
    <t xml:space="preserve">REDETERMINACION ANTICIPO </t>
  </si>
  <si>
    <t xml:space="preserve">GUSTAVO REGALADO </t>
  </si>
  <si>
    <t>ELIO</t>
  </si>
  <si>
    <t xml:space="preserve">SALDO BANCO ECAR </t>
  </si>
  <si>
    <t xml:space="preserve">ECHEQ A DEVENGAR  </t>
  </si>
  <si>
    <t xml:space="preserve">DISPONIBILIDAD - DESEMBOLSO </t>
  </si>
  <si>
    <t>CERTIFICADO 2</t>
  </si>
  <si>
    <t xml:space="preserve">70%( COBRADO) </t>
  </si>
  <si>
    <t xml:space="preserve">COBRADO OCTUBRE 2025 </t>
  </si>
  <si>
    <t xml:space="preserve">BARRIO DON JOSE  </t>
  </si>
  <si>
    <t xml:space="preserve">COBRADO NOV 2025 </t>
  </si>
  <si>
    <t xml:space="preserve">CERT REDETER 09/2025 </t>
  </si>
  <si>
    <t xml:space="preserve">DEPOSITO BANCO </t>
  </si>
  <si>
    <t xml:space="preserve">IVA INCLUIDO </t>
  </si>
  <si>
    <t>HERREMAQ</t>
  </si>
  <si>
    <t>CERT REDETER. 02/10</t>
  </si>
  <si>
    <t xml:space="preserve">A COBRAR DICIEMBRE </t>
  </si>
  <si>
    <t xml:space="preserve">FICAMEN </t>
  </si>
  <si>
    <t>PLAN DE PAGO AFIP</t>
  </si>
  <si>
    <t xml:space="preserve">ITAL VINIL </t>
  </si>
  <si>
    <t xml:space="preserve">GABRIELA </t>
  </si>
  <si>
    <t xml:space="preserve">ENERO </t>
  </si>
  <si>
    <t>CERTIFICADO 3</t>
  </si>
  <si>
    <t>CERT REDETER. 03/11</t>
  </si>
  <si>
    <t xml:space="preserve">A COBRAR OBRAS </t>
  </si>
  <si>
    <t xml:space="preserve">RESUMEN FINANCIERO DICIEMBRE 2025 </t>
  </si>
  <si>
    <t>ESTIMADO A COBRAR</t>
  </si>
  <si>
    <t>COBRADO</t>
  </si>
  <si>
    <t xml:space="preserve">FACURADO </t>
  </si>
  <si>
    <t xml:space="preserve">CHEQUE / ECHEQ EMITIDOS  </t>
  </si>
  <si>
    <t xml:space="preserve">PAGADO EN DIC </t>
  </si>
  <si>
    <t xml:space="preserve"> PERSONAL ECAR- HONORARIOS </t>
  </si>
  <si>
    <t>ESTUDIO CONTABLE(HONORARIOS)SE PAGA CON ECHEQ</t>
  </si>
  <si>
    <t xml:space="preserve">FERNANDO ORTIZ (DPRG) </t>
  </si>
  <si>
    <t xml:space="preserve">IMPUESTOS ARCA/ PROVINCIA </t>
  </si>
  <si>
    <t xml:space="preserve">ACCID.  PERSONALES </t>
  </si>
  <si>
    <t xml:space="preserve">SEGUROS </t>
  </si>
  <si>
    <t xml:space="preserve">PAGOS A TERCEROS/PRESTAMOS </t>
  </si>
  <si>
    <t xml:space="preserve">SERVICIOS HYS CONTRATADOS </t>
  </si>
  <si>
    <t>MIASA</t>
  </si>
  <si>
    <t xml:space="preserve">MIASA </t>
  </si>
  <si>
    <t xml:space="preserve">DISPONIBILIDAD FINANCIERA DICIEMBRE 2025-  ECAR </t>
  </si>
  <si>
    <t xml:space="preserve">CUYO PARTS </t>
  </si>
  <si>
    <t xml:space="preserve">AUTOMOTORES </t>
  </si>
  <si>
    <t>DEBORA REC. HYS ALBARDON</t>
  </si>
  <si>
    <t xml:space="preserve">FALTA PAGOS DICIEMBRE 2025 </t>
  </si>
  <si>
    <t xml:space="preserve">TRANSP. GONZALITO </t>
  </si>
  <si>
    <t xml:space="preserve">EDUARDO PADILLA </t>
  </si>
  <si>
    <t>RESSI</t>
  </si>
  <si>
    <t xml:space="preserve">VARIOS(ARREGLO MENORES MAQUINA , MATERIALES MENORES,COMPRAS MENORES TARJETA VISA,ETC) </t>
  </si>
  <si>
    <t xml:space="preserve">CAJA DE DICIEMBRE 2025 REAL </t>
  </si>
  <si>
    <t xml:space="preserve">GREMIOS </t>
  </si>
  <si>
    <t>IERIC Y FODECO(1%)</t>
  </si>
  <si>
    <t xml:space="preserve">BRUNO GUEVARA </t>
  </si>
  <si>
    <t xml:space="preserve">TELEFONIA GUSTAVO </t>
  </si>
  <si>
    <t xml:space="preserve">TELEFONIA ADOLFO </t>
  </si>
  <si>
    <t xml:space="preserve">TELEFONIA GABRIELA </t>
  </si>
  <si>
    <t xml:space="preserve">INTERNET DEPO </t>
  </si>
  <si>
    <t xml:space="preserve">INTERNET OFICINA </t>
  </si>
  <si>
    <t xml:space="preserve">ESTACION CENTRAL </t>
  </si>
  <si>
    <t>CHEQUES O ECHEQ EMITIDOS 2026</t>
  </si>
  <si>
    <t xml:space="preserve">GAS Bº RIVADAVIA </t>
  </si>
  <si>
    <t>GAS ORO</t>
  </si>
  <si>
    <t xml:space="preserve">EXPENSAS ORO </t>
  </si>
  <si>
    <t xml:space="preserve">MARIO VILLARROEL </t>
  </si>
  <si>
    <t xml:space="preserve">DISPONIBILIDAD FINANCIERA ENERO 2026 -  ECAR </t>
  </si>
  <si>
    <t xml:space="preserve">NATURGY Bº RIVADAVIA </t>
  </si>
  <si>
    <t xml:space="preserve">INDUSTRIAS HORMAT </t>
  </si>
  <si>
    <t xml:space="preserve">ECHEQ A ACREDITAR </t>
  </si>
  <si>
    <t>CERTIFICADO 4</t>
  </si>
  <si>
    <t>CERT REDETER. 04/12</t>
  </si>
  <si>
    <t xml:space="preserve">CERT REDETER 01/11/2025 </t>
  </si>
  <si>
    <t>CERT REDETER. 02/12/2025</t>
  </si>
  <si>
    <t>CERT REDETER. 03/01/2026</t>
  </si>
  <si>
    <t>CERT REDETER. 01/09/2025</t>
  </si>
  <si>
    <t>CERT REDETER. 02/10/2025</t>
  </si>
  <si>
    <t>CERT REDETER. 03/11/2025</t>
  </si>
  <si>
    <t>CERT REDETER. 04/12/2025</t>
  </si>
  <si>
    <t xml:space="preserve">COBRADO </t>
  </si>
  <si>
    <t xml:space="preserve">VOXOIL ( RAM) </t>
  </si>
  <si>
    <t xml:space="preserve">DISCO COMPUTADORA </t>
  </si>
  <si>
    <t xml:space="preserve">FACTURA Nº </t>
  </si>
  <si>
    <t xml:space="preserve">FACTURADO </t>
  </si>
  <si>
    <t>ECHEQ 539</t>
  </si>
  <si>
    <t>ECHEQ 540</t>
  </si>
  <si>
    <t>ECHEQ 541</t>
  </si>
  <si>
    <t>ECHEQ 542</t>
  </si>
  <si>
    <t>ECHEQ 543</t>
  </si>
  <si>
    <t xml:space="preserve">JANIN </t>
  </si>
  <si>
    <t xml:space="preserve">FALTA PAGOS ENERO 2026 </t>
  </si>
  <si>
    <t xml:space="preserve">TOTAL COBRADO - FACTURACION VENTAS OBRAS ENERO 2026 </t>
  </si>
  <si>
    <t>TOTAL GASTOS ECAR ENERO 2026</t>
  </si>
  <si>
    <t>APOYO FINANCIERO A GUSTAVO DOLARES USD $1500( 1USD=$1500)</t>
  </si>
  <si>
    <t xml:space="preserve">CAJA DE ENERO 2025 REAL </t>
  </si>
  <si>
    <t xml:space="preserve">CAJA ENERO 2025 </t>
  </si>
  <si>
    <t xml:space="preserve">DAGFALT </t>
  </si>
  <si>
    <t>ECHEQ 544</t>
  </si>
  <si>
    <t xml:space="preserve">MARIO GALLO </t>
  </si>
  <si>
    <t xml:space="preserve">A COBRADO ENERO 2026 </t>
  </si>
  <si>
    <t>FALTA PAGO FEBRERO 2026</t>
  </si>
  <si>
    <t xml:space="preserve">INMOBILIARIO Vº AMERICA </t>
  </si>
  <si>
    <t xml:space="preserve">INMOBILIARIO SUTYAGIF </t>
  </si>
  <si>
    <t xml:space="preserve">MARSAN </t>
  </si>
  <si>
    <t>BENAVIDEZ</t>
  </si>
  <si>
    <t>ECHEQ 546</t>
  </si>
  <si>
    <t xml:space="preserve">APALAN </t>
  </si>
  <si>
    <t>NATURGY ORO</t>
  </si>
  <si>
    <t xml:space="preserve">LIMPIEZA OFICINA </t>
  </si>
  <si>
    <t xml:space="preserve">RESUMEN FINANCIERO FEBRERO 2026  </t>
  </si>
  <si>
    <t>DISPONIBILIDAD FINAL FEBRERO 2026</t>
  </si>
  <si>
    <t xml:space="preserve">CERTIFICADO Nº1 </t>
  </si>
  <si>
    <t xml:space="preserve">RESUMEN FINANCIERO ENERO 2026  </t>
  </si>
  <si>
    <t>DISPONIBILIDAD FINAL ENERO 2026</t>
  </si>
  <si>
    <t xml:space="preserve">FALTA PAGOS FEBRERO 2026 </t>
  </si>
  <si>
    <t>ADOLFO</t>
  </si>
  <si>
    <t xml:space="preserve">FINAL </t>
  </si>
  <si>
    <t xml:space="preserve">ENRICO </t>
  </si>
  <si>
    <t xml:space="preserve">SOBERANO </t>
  </si>
  <si>
    <t>CERTIFICADO 5</t>
  </si>
  <si>
    <t>CERT REDETER. 18/02/2026</t>
  </si>
  <si>
    <t xml:space="preserve">DECOM </t>
  </si>
  <si>
    <t>HORMAT</t>
  </si>
  <si>
    <t xml:space="preserve">DISPONIBILIDAD FINANCIERA FEBRERO 2026 -  ECAR </t>
  </si>
  <si>
    <t xml:space="preserve">CAJA DE ENERO 2026 REAL </t>
  </si>
  <si>
    <t xml:space="preserve">TOTAL COBRADO - FACTURACION VENTAS OBRAS FEBRERO 2026 </t>
  </si>
  <si>
    <t xml:space="preserve">APOYO FINANCIERO </t>
  </si>
  <si>
    <t>TOTAL GASTOS ECAR FEBRERO 2026</t>
  </si>
  <si>
    <t xml:space="preserve">CAJA DE FEBRERO 2025 REAL </t>
  </si>
  <si>
    <t xml:space="preserve">DIFERENCIA </t>
  </si>
  <si>
    <t>CAJA FEBRERO 2025 PROYECTADA</t>
  </si>
  <si>
    <t xml:space="preserve">KATSUDA </t>
  </si>
  <si>
    <t xml:space="preserve">INDEME SAS </t>
  </si>
  <si>
    <t xml:space="preserve">OSSE ALMAFUERTE Y SANTA FE </t>
  </si>
  <si>
    <t xml:space="preserve">DISPONIBILIDAD FINANCIERA MARZO 2026 -  ECAR </t>
  </si>
  <si>
    <t xml:space="preserve">CAJA FINAL FEBRERO 2026 REAL </t>
  </si>
  <si>
    <t xml:space="preserve"> RESUMEN GASTOS MESUALES 2025- 2026 ECAR</t>
  </si>
  <si>
    <t xml:space="preserve">FALTAN PAGOS ECAR MARZO 2026 </t>
  </si>
  <si>
    <t xml:space="preserve">PREMOLDEADOS RAWSON </t>
  </si>
  <si>
    <t xml:space="preserve">CONYCOM </t>
  </si>
  <si>
    <t xml:space="preserve">CRISTIAN BERON </t>
  </si>
  <si>
    <t xml:space="preserve">LEYTON </t>
  </si>
  <si>
    <t>JOSE FRIAS(LONKING)</t>
  </si>
  <si>
    <t xml:space="preserve">venta de maxion 4x4 </t>
  </si>
  <si>
    <t xml:space="preserve">A COBRAR ABRIL 2026 </t>
  </si>
  <si>
    <t>COBRADO FEBRERO 2026</t>
  </si>
  <si>
    <t xml:space="preserve">COBRADO MARZO 2026 </t>
  </si>
  <si>
    <t xml:space="preserve">SERVICIOS BARRIO DON JOSE </t>
  </si>
  <si>
    <t xml:space="preserve">MANTENIMIENTO DE ESCUELAS - CHIMBAS B </t>
  </si>
  <si>
    <t>28/02/206</t>
  </si>
  <si>
    <t>FACTURA Nº 153</t>
  </si>
  <si>
    <t>FACTURA Nº 142</t>
  </si>
  <si>
    <t>FALTAN PAGOS MARZO 2026</t>
  </si>
  <si>
    <t>TOTAL COBRADO - FACTURACION VENTAS OBRAS MARZO 2026</t>
  </si>
  <si>
    <t>VENTA DE MAXION 4X4</t>
  </si>
  <si>
    <t xml:space="preserve">CAJA FINAL MARZO 2026 PROYECTADA </t>
  </si>
  <si>
    <t xml:space="preserve">TOTAL RECIBIDO MARZO </t>
  </si>
  <si>
    <t>CAJA MARZO 2026 REAL</t>
  </si>
  <si>
    <t>RESUMEN MARZO 2026</t>
  </si>
  <si>
    <t>RESUMEN FEBRERO 2026</t>
  </si>
  <si>
    <t>RESUMEN ENERO 2026</t>
  </si>
  <si>
    <t xml:space="preserve">RESUMEN FINANCIERO MARZO 2026  </t>
  </si>
  <si>
    <t>DISPONIBILIDAD FINAL MARZO 2026 AL 31/03/2026</t>
  </si>
  <si>
    <t xml:space="preserve">EFECTIVO </t>
  </si>
  <si>
    <t>NATURGY ALMAFUERTE</t>
  </si>
  <si>
    <t>NOTA DE CREDITO Nº140</t>
  </si>
  <si>
    <t>FACTURA Nº 143</t>
  </si>
  <si>
    <t>EXPTE 500-000092-2026</t>
  </si>
  <si>
    <t xml:space="preserve">IVA ABRIL </t>
  </si>
  <si>
    <t>EXPTE 500-000093-2026</t>
  </si>
  <si>
    <t>CERTIFICADO 6</t>
  </si>
  <si>
    <t>CERT REDETER. 31/03/2026</t>
  </si>
  <si>
    <t>CERT REDETER. 04/2/2026</t>
  </si>
  <si>
    <t xml:space="preserve">RESUMEN FINANCIERO ABRIL 2026  </t>
  </si>
  <si>
    <t xml:space="preserve">GAS CORDOBA  </t>
  </si>
  <si>
    <t xml:space="preserve">EXPENSAS CORDOBA </t>
  </si>
  <si>
    <t>SANOD</t>
  </si>
  <si>
    <t>DISCO</t>
  </si>
  <si>
    <t>FACTURA Nº 154</t>
  </si>
  <si>
    <t xml:space="preserve">ESTILO HERRAJES </t>
  </si>
  <si>
    <t xml:space="preserve">FACTURA FINAL COMPRA LOTES BARRIO ALTOS DEL ALBA </t>
  </si>
  <si>
    <t xml:space="preserve">ABRIL </t>
  </si>
  <si>
    <t xml:space="preserve">GALVARINI Y ASOCIADOS SRL </t>
  </si>
  <si>
    <t xml:space="preserve">JONATAN MALDONDO </t>
  </si>
  <si>
    <t xml:space="preserve">JUAN FLORES </t>
  </si>
  <si>
    <t xml:space="preserve">BRUNO GONZALEZ </t>
  </si>
  <si>
    <t xml:space="preserve">BANCO SAN JUAN </t>
  </si>
  <si>
    <t xml:space="preserve">ARMETAL </t>
  </si>
  <si>
    <t>RESUMEN ABRIL  2026</t>
  </si>
  <si>
    <t xml:space="preserve">CAJA FINAL MARZO 2026 REAL </t>
  </si>
  <si>
    <t>TOTAL GASTOS ECAR ABRIL 2026</t>
  </si>
  <si>
    <t xml:space="preserve">TOTAL RECIBIDO ABRIL </t>
  </si>
  <si>
    <t>TOTAL COBRADO - FACTURACION VENTAS OBRAS ABRIL 2026</t>
  </si>
  <si>
    <t xml:space="preserve">REPARACIONES GALVARINI - CALIDRA </t>
  </si>
  <si>
    <t xml:space="preserve">FATURA VENTA MARZO </t>
  </si>
  <si>
    <t xml:space="preserve">FATURA VENTA ABRIL  </t>
  </si>
  <si>
    <t xml:space="preserve">DISPONIBILIDAD FINANCIERA ABRIL  2026 -  ECAR </t>
  </si>
  <si>
    <t xml:space="preserve">CAJA FINAL ABRIL 2026 PROYECTADA </t>
  </si>
  <si>
    <t>DISPONIBILIDAD FINAL ABRIL 2026</t>
  </si>
  <si>
    <t>TOTAL GASTOS ECAR MARZO 2026</t>
  </si>
  <si>
    <t>CAJA FINAL ABRIL 2026 REAL</t>
  </si>
  <si>
    <t xml:space="preserve">MARZO </t>
  </si>
  <si>
    <t xml:space="preserve">NATURGY CORDOBA </t>
  </si>
  <si>
    <t>FALTAN PAGOS MAYO 2026</t>
  </si>
  <si>
    <t xml:space="preserve">SJO </t>
  </si>
  <si>
    <t xml:space="preserve"> HASTA DICIEMBRE 2026 </t>
  </si>
  <si>
    <t xml:space="preserve">PAGOS REALIZADOS ECAR ABRIL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</si>
</sst>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-* #,##0.00\ &quot;€&quot;_-;\-* #,##0.00\ &quot;€&quot;_-;_-* &quot;-&quot;??\ &quot;€&quot;_-;_-@_-"/>
    <numFmt numFmtId="166" formatCode="[$$-2C0A]\ #,##0.00"/>
    <numFmt numFmtId="167" formatCode="[$$-2C0A]\ #,##0.00;[$$-2C0A]\ \-#,##0.00"/>
    <numFmt numFmtId="168" formatCode="_ [$$-2C0A]\ * #,##0.00_ ;_ [$$-2C0A]\ * \-#,##0.00_ ;_ [$$-2C0A]\ * &quot;-&quot;??_ ;_ @_ "/>
    <numFmt numFmtId="169" formatCode="_-[$$-2C0A]\ * #,##0.00_-;\-[$$-2C0A]\ * #,##0.00_-;_-[$$-2C0A]\ * &quot;-&quot;??_-;_-@_-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4"/>
      <color rgb="FF222222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Open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2" fillId="0" borderId="0" xfId="0" applyFont="1"/>
    <xf numFmtId="166" fontId="0" fillId="0" borderId="0" xfId="0" applyNumberFormat="1"/>
    <xf numFmtId="0" fontId="3" fillId="0" borderId="1" xfId="0" applyFont="1" applyBorder="1"/>
    <xf numFmtId="166" fontId="3" fillId="0" borderId="1" xfId="0" applyNumberFormat="1" applyFont="1" applyBorder="1"/>
    <xf numFmtId="14" fontId="3" fillId="0" borderId="1" xfId="0" applyNumberFormat="1" applyFont="1" applyBorder="1"/>
    <xf numFmtId="0" fontId="5" fillId="0" borderId="0" xfId="0" applyFont="1"/>
    <xf numFmtId="14" fontId="1" fillId="0" borderId="0" xfId="0" applyNumberFormat="1" applyFont="1" applyAlignment="1">
      <alignment horizontal="center"/>
    </xf>
    <xf numFmtId="165" fontId="5" fillId="0" borderId="0" xfId="1" applyFont="1" applyBorder="1"/>
    <xf numFmtId="1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66" fontId="3" fillId="0" borderId="0" xfId="0" applyNumberFormat="1" applyFont="1"/>
    <xf numFmtId="0" fontId="3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0" fillId="0" borderId="1" xfId="0" applyBorder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68" fontId="7" fillId="0" borderId="1" xfId="1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7" fontId="3" fillId="0" borderId="1" xfId="0" applyNumberFormat="1" applyFont="1" applyBorder="1"/>
    <xf numFmtId="166" fontId="3" fillId="0" borderId="4" xfId="0" applyNumberFormat="1" applyFont="1" applyBorder="1"/>
    <xf numFmtId="0" fontId="3" fillId="0" borderId="6" xfId="0" applyFont="1" applyBorder="1"/>
    <xf numFmtId="166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66" fontId="3" fillId="3" borderId="1" xfId="0" applyNumberFormat="1" applyFont="1" applyFill="1" applyBorder="1"/>
    <xf numFmtId="17" fontId="3" fillId="0" borderId="0" xfId="0" applyNumberFormat="1" applyFont="1"/>
    <xf numFmtId="9" fontId="0" fillId="0" borderId="0" xfId="0" applyNumberFormat="1"/>
    <xf numFmtId="0" fontId="9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64" fontId="3" fillId="0" borderId="1" xfId="1" applyNumberFormat="1" applyFont="1" applyBorder="1"/>
    <xf numFmtId="164" fontId="3" fillId="0" borderId="1" xfId="0" applyNumberFormat="1" applyFont="1" applyBorder="1"/>
    <xf numFmtId="164" fontId="3" fillId="0" borderId="0" xfId="1" applyNumberFormat="1" applyFont="1"/>
    <xf numFmtId="9" fontId="3" fillId="0" borderId="0" xfId="2" applyFont="1" applyAlignment="1">
      <alignment horizontal="center"/>
    </xf>
    <xf numFmtId="164" fontId="3" fillId="0" borderId="0" xfId="1" applyNumberFormat="1" applyFont="1" applyBorder="1"/>
    <xf numFmtId="164" fontId="3" fillId="0" borderId="0" xfId="0" applyNumberFormat="1" applyFont="1"/>
    <xf numFmtId="164" fontId="3" fillId="0" borderId="1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1" applyNumberFormat="1" applyFont="1" applyFill="1" applyBorder="1"/>
    <xf numFmtId="0" fontId="3" fillId="3" borderId="1" xfId="0" applyFont="1" applyFill="1" applyBorder="1" applyAlignment="1">
      <alignment horizontal="center" vertical="center" wrapText="1"/>
    </xf>
    <xf numFmtId="164" fontId="3" fillId="3" borderId="1" xfId="1" applyNumberFormat="1" applyFont="1" applyFill="1" applyBorder="1"/>
    <xf numFmtId="0" fontId="0" fillId="0" borderId="9" xfId="0" applyBorder="1"/>
    <xf numFmtId="0" fontId="0" fillId="0" borderId="3" xfId="0" applyBorder="1"/>
    <xf numFmtId="17" fontId="3" fillId="0" borderId="1" xfId="0" applyNumberFormat="1" applyFont="1" applyBorder="1" applyAlignment="1">
      <alignment horizontal="center" vertical="center" wrapText="1"/>
    </xf>
    <xf numFmtId="164" fontId="3" fillId="5" borderId="1" xfId="1" applyNumberFormat="1" applyFont="1" applyFill="1" applyBorder="1"/>
    <xf numFmtId="164" fontId="3" fillId="0" borderId="1" xfId="1" applyNumberFormat="1" applyFont="1" applyFill="1" applyBorder="1"/>
    <xf numFmtId="164" fontId="3" fillId="0" borderId="9" xfId="0" applyNumberFormat="1" applyFont="1" applyBorder="1" applyAlignment="1">
      <alignment horizontal="center"/>
    </xf>
    <xf numFmtId="164" fontId="3" fillId="0" borderId="0" xfId="1" applyNumberFormat="1" applyFont="1" applyFill="1" applyBorder="1"/>
    <xf numFmtId="168" fontId="7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14" fontId="3" fillId="0" borderId="5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7" fontId="6" fillId="0" borderId="1" xfId="1" applyNumberFormat="1" applyFont="1" applyFill="1" applyBorder="1" applyAlignment="1">
      <alignment horizontal="right"/>
    </xf>
    <xf numFmtId="164" fontId="3" fillId="4" borderId="2" xfId="1" applyNumberFormat="1" applyFont="1" applyFill="1" applyBorder="1"/>
    <xf numFmtId="164" fontId="3" fillId="3" borderId="0" xfId="1" applyNumberFormat="1" applyFont="1" applyFill="1" applyBorder="1"/>
    <xf numFmtId="0" fontId="0" fillId="0" borderId="11" xfId="0" applyBorder="1"/>
    <xf numFmtId="0" fontId="0" fillId="0" borderId="1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64" fontId="3" fillId="3" borderId="2" xfId="1" applyNumberFormat="1" applyFont="1" applyFill="1" applyBorder="1"/>
    <xf numFmtId="0" fontId="0" fillId="0" borderId="4" xfId="0" applyBorder="1"/>
    <xf numFmtId="0" fontId="0" fillId="0" borderId="9" xfId="0" applyBorder="1" applyAlignment="1">
      <alignment horizontal="center" vertical="center"/>
    </xf>
    <xf numFmtId="164" fontId="3" fillId="0" borderId="9" xfId="1" applyNumberFormat="1" applyFont="1" applyBorder="1"/>
    <xf numFmtId="164" fontId="3" fillId="0" borderId="9" xfId="0" applyNumberFormat="1" applyFont="1" applyBorder="1"/>
    <xf numFmtId="14" fontId="0" fillId="0" borderId="1" xfId="0" applyNumberFormat="1" applyBorder="1" applyAlignment="1">
      <alignment horizontal="center" wrapText="1"/>
    </xf>
    <xf numFmtId="0" fontId="0" fillId="0" borderId="10" xfId="0" applyBorder="1"/>
    <xf numFmtId="164" fontId="3" fillId="5" borderId="1" xfId="0" applyNumberFormat="1" applyFont="1" applyFill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4" xfId="1" applyNumberFormat="1" applyFont="1" applyBorder="1"/>
    <xf numFmtId="164" fontId="3" fillId="5" borderId="2" xfId="0" applyNumberFormat="1" applyFont="1" applyFill="1" applyBorder="1" applyAlignment="1">
      <alignment horizontal="center"/>
    </xf>
    <xf numFmtId="166" fontId="3" fillId="6" borderId="1" xfId="0" applyNumberFormat="1" applyFont="1" applyFill="1" applyBorder="1" applyAlignment="1">
      <alignment horizontal="center"/>
    </xf>
    <xf numFmtId="166" fontId="3" fillId="6" borderId="1" xfId="0" applyNumberFormat="1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4" fontId="3" fillId="0" borderId="0" xfId="0" applyNumberFormat="1" applyFont="1" applyAlignment="1">
      <alignment horizontal="right"/>
    </xf>
    <xf numFmtId="164" fontId="3" fillId="5" borderId="13" xfId="0" applyNumberFormat="1" applyFont="1" applyFill="1" applyBorder="1" applyAlignment="1">
      <alignment horizontal="center"/>
    </xf>
    <xf numFmtId="166" fontId="3" fillId="3" borderId="9" xfId="0" applyNumberFormat="1" applyFont="1" applyFill="1" applyBorder="1"/>
    <xf numFmtId="14" fontId="3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64" fontId="3" fillId="6" borderId="1" xfId="1" applyNumberFormat="1" applyFont="1" applyFill="1" applyBorder="1"/>
    <xf numFmtId="164" fontId="3" fillId="0" borderId="10" xfId="0" applyNumberFormat="1" applyFont="1" applyBorder="1" applyAlignment="1">
      <alignment horizontal="center"/>
    </xf>
    <xf numFmtId="164" fontId="0" fillId="0" borderId="11" xfId="1" applyNumberFormat="1" applyFont="1" applyBorder="1"/>
    <xf numFmtId="0" fontId="3" fillId="0" borderId="9" xfId="0" applyFont="1" applyBorder="1" applyAlignment="1">
      <alignment horizontal="center"/>
    </xf>
    <xf numFmtId="166" fontId="3" fillId="3" borderId="4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17" fontId="3" fillId="2" borderId="1" xfId="0" applyNumberFormat="1" applyFont="1" applyFill="1" applyBorder="1"/>
    <xf numFmtId="166" fontId="3" fillId="2" borderId="4" xfId="0" applyNumberFormat="1" applyFont="1" applyFill="1" applyBorder="1"/>
    <xf numFmtId="14" fontId="3" fillId="2" borderId="5" xfId="0" applyNumberFormat="1" applyFont="1" applyFill="1" applyBorder="1" applyAlignment="1">
      <alignment horizontal="right"/>
    </xf>
    <xf numFmtId="14" fontId="3" fillId="2" borderId="1" xfId="0" applyNumberFormat="1" applyFont="1" applyFill="1" applyBorder="1"/>
    <xf numFmtId="166" fontId="3" fillId="6" borderId="4" xfId="0" applyNumberFormat="1" applyFont="1" applyFill="1" applyBorder="1" applyAlignment="1">
      <alignment horizontal="center"/>
    </xf>
    <xf numFmtId="164" fontId="0" fillId="0" borderId="0" xfId="0" applyNumberFormat="1"/>
    <xf numFmtId="0" fontId="3" fillId="2" borderId="6" xfId="0" applyFont="1" applyFill="1" applyBorder="1"/>
    <xf numFmtId="0" fontId="3" fillId="2" borderId="4" xfId="0" applyFont="1" applyFill="1" applyBorder="1"/>
    <xf numFmtId="166" fontId="3" fillId="2" borderId="1" xfId="0" applyNumberFormat="1" applyFont="1" applyFill="1" applyBorder="1"/>
    <xf numFmtId="166" fontId="3" fillId="0" borderId="4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center" vertical="center"/>
    </xf>
    <xf numFmtId="0" fontId="0" fillId="0" borderId="5" xfId="0" applyBorder="1"/>
    <xf numFmtId="164" fontId="3" fillId="6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right"/>
    </xf>
    <xf numFmtId="0" fontId="6" fillId="2" borderId="1" xfId="0" applyFont="1" applyFill="1" applyBorder="1"/>
    <xf numFmtId="14" fontId="3" fillId="2" borderId="1" xfId="0" applyNumberFormat="1" applyFont="1" applyFill="1" applyBorder="1" applyAlignment="1">
      <alignment horizontal="center"/>
    </xf>
    <xf numFmtId="167" fontId="6" fillId="2" borderId="1" xfId="1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0" borderId="13" xfId="0" applyBorder="1"/>
    <xf numFmtId="164" fontId="3" fillId="0" borderId="7" xfId="0" applyNumberFormat="1" applyFont="1" applyBorder="1"/>
    <xf numFmtId="164" fontId="3" fillId="5" borderId="3" xfId="0" applyNumberFormat="1" applyFont="1" applyFill="1" applyBorder="1"/>
    <xf numFmtId="164" fontId="0" fillId="0" borderId="9" xfId="0" applyNumberFormat="1" applyBorder="1"/>
    <xf numFmtId="164" fontId="3" fillId="5" borderId="15" xfId="0" applyNumberFormat="1" applyFont="1" applyFill="1" applyBorder="1" applyAlignment="1">
      <alignment horizontal="center"/>
    </xf>
    <xf numFmtId="164" fontId="3" fillId="5" borderId="6" xfId="0" applyNumberFormat="1" applyFont="1" applyFill="1" applyBorder="1" applyAlignment="1">
      <alignment horizontal="center"/>
    </xf>
    <xf numFmtId="0" fontId="0" fillId="0" borderId="15" xfId="0" applyBorder="1"/>
    <xf numFmtId="164" fontId="3" fillId="5" borderId="0" xfId="0" applyNumberFormat="1" applyFont="1" applyFill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164" fontId="3" fillId="5" borderId="1" xfId="0" applyNumberFormat="1" applyFont="1" applyFill="1" applyBorder="1"/>
    <xf numFmtId="17" fontId="3" fillId="0" borderId="0" xfId="0" applyNumberFormat="1" applyFont="1" applyAlignment="1">
      <alignment horizontal="right"/>
    </xf>
    <xf numFmtId="0" fontId="0" fillId="0" borderId="14" xfId="0" applyBorder="1"/>
    <xf numFmtId="164" fontId="3" fillId="5" borderId="14" xfId="0" applyNumberFormat="1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17" fontId="3" fillId="0" borderId="4" xfId="0" applyNumberFormat="1" applyFont="1" applyBorder="1"/>
    <xf numFmtId="166" fontId="0" fillId="0" borderId="0" xfId="0" applyNumberFormat="1" applyAlignment="1">
      <alignment horizontal="center"/>
    </xf>
    <xf numFmtId="164" fontId="3" fillId="6" borderId="2" xfId="1" applyNumberFormat="1" applyFont="1" applyFill="1" applyBorder="1"/>
    <xf numFmtId="164" fontId="3" fillId="0" borderId="3" xfId="0" applyNumberFormat="1" applyFont="1" applyBorder="1"/>
    <xf numFmtId="164" fontId="3" fillId="0" borderId="13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 vertical="center"/>
    </xf>
    <xf numFmtId="166" fontId="3" fillId="6" borderId="3" xfId="0" applyNumberFormat="1" applyFont="1" applyFill="1" applyBorder="1" applyAlignment="1">
      <alignment horizontal="center"/>
    </xf>
    <xf numFmtId="166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3" borderId="9" xfId="1" applyNumberFormat="1" applyFont="1" applyFill="1" applyBorder="1"/>
    <xf numFmtId="164" fontId="9" fillId="0" borderId="1" xfId="0" applyNumberFormat="1" applyFont="1" applyBorder="1" applyAlignment="1">
      <alignment horizontal="center"/>
    </xf>
    <xf numFmtId="166" fontId="3" fillId="2" borderId="1" xfId="0" applyNumberFormat="1" applyFont="1" applyFill="1" applyBorder="1" applyAlignment="1">
      <alignment horizontal="right"/>
    </xf>
    <xf numFmtId="169" fontId="3" fillId="0" borderId="1" xfId="1" applyNumberFormat="1" applyFont="1" applyBorder="1"/>
    <xf numFmtId="44" fontId="3" fillId="6" borderId="1" xfId="0" applyNumberFormat="1" applyFont="1" applyFill="1" applyBorder="1"/>
    <xf numFmtId="164" fontId="3" fillId="5" borderId="2" xfId="0" applyNumberFormat="1" applyFont="1" applyFill="1" applyBorder="1"/>
    <xf numFmtId="0" fontId="0" fillId="0" borderId="1" xfId="0" applyBorder="1" applyAlignment="1">
      <alignment horizontal="center" vertical="center" wrapText="1"/>
    </xf>
    <xf numFmtId="0" fontId="12" fillId="2" borderId="1" xfId="0" applyFont="1" applyFill="1" applyBorder="1"/>
    <xf numFmtId="44" fontId="3" fillId="5" borderId="1" xfId="0" applyNumberFormat="1" applyFont="1" applyFill="1" applyBorder="1"/>
    <xf numFmtId="0" fontId="3" fillId="0" borderId="8" xfId="0" applyFont="1" applyBorder="1"/>
    <xf numFmtId="0" fontId="3" fillId="2" borderId="6" xfId="0" applyFont="1" applyFill="1" applyBorder="1" applyAlignment="1">
      <alignment horizontal="center"/>
    </xf>
    <xf numFmtId="17" fontId="3" fillId="2" borderId="4" xfId="0" applyNumberFormat="1" applyFont="1" applyFill="1" applyBorder="1"/>
    <xf numFmtId="164" fontId="3" fillId="6" borderId="1" xfId="0" applyNumberFormat="1" applyFont="1" applyFill="1" applyBorder="1"/>
    <xf numFmtId="44" fontId="3" fillId="5" borderId="2" xfId="0" applyNumberFormat="1" applyFont="1" applyFill="1" applyBorder="1"/>
    <xf numFmtId="0" fontId="0" fillId="2" borderId="6" xfId="0" applyFill="1" applyBorder="1"/>
    <xf numFmtId="0" fontId="0" fillId="6" borderId="11" xfId="0" applyFill="1" applyBorder="1"/>
    <xf numFmtId="0" fontId="0" fillId="5" borderId="11" xfId="0" applyFill="1" applyBorder="1"/>
    <xf numFmtId="44" fontId="3" fillId="0" borderId="0" xfId="0" applyNumberFormat="1" applyFont="1"/>
    <xf numFmtId="164" fontId="3" fillId="0" borderId="1" xfId="0" applyNumberFormat="1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44" fontId="0" fillId="0" borderId="0" xfId="0" applyNumberFormat="1" applyAlignment="1">
      <alignment horizontal="center"/>
    </xf>
    <xf numFmtId="164" fontId="3" fillId="0" borderId="0" xfId="1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6" borderId="1" xfId="0" applyNumberFormat="1" applyFont="1" applyFill="1" applyBorder="1"/>
    <xf numFmtId="0" fontId="3" fillId="3" borderId="14" xfId="0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164" fontId="3" fillId="5" borderId="9" xfId="1" applyNumberFormat="1" applyFont="1" applyFill="1" applyBorder="1"/>
    <xf numFmtId="164" fontId="3" fillId="5" borderId="1" xfId="0" applyNumberFormat="1" applyFont="1" applyFill="1" applyBorder="1" applyAlignment="1">
      <alignment vertical="center" wrapText="1"/>
    </xf>
    <xf numFmtId="164" fontId="3" fillId="3" borderId="10" xfId="1" applyNumberFormat="1" applyFont="1" applyFill="1" applyBorder="1"/>
    <xf numFmtId="164" fontId="3" fillId="0" borderId="2" xfId="1" applyNumberFormat="1" applyFont="1" applyFill="1" applyBorder="1"/>
    <xf numFmtId="164" fontId="3" fillId="5" borderId="8" xfId="0" applyNumberFormat="1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4" fontId="3" fillId="4" borderId="3" xfId="1" applyNumberFormat="1" applyFont="1" applyFill="1" applyBorder="1" applyAlignment="1">
      <alignment horizontal="center"/>
    </xf>
    <xf numFmtId="14" fontId="3" fillId="4" borderId="3" xfId="0" applyNumberFormat="1" applyFont="1" applyFill="1" applyBorder="1" applyAlignment="1">
      <alignment horizontal="center"/>
    </xf>
    <xf numFmtId="164" fontId="3" fillId="0" borderId="13" xfId="1" applyNumberFormat="1" applyFont="1" applyFill="1" applyBorder="1"/>
    <xf numFmtId="44" fontId="3" fillId="0" borderId="12" xfId="0" applyNumberFormat="1" applyFont="1" applyBorder="1"/>
    <xf numFmtId="166" fontId="3" fillId="4" borderId="3" xfId="0" applyNumberFormat="1" applyFont="1" applyFill="1" applyBorder="1" applyAlignment="1">
      <alignment horizontal="right"/>
    </xf>
    <xf numFmtId="166" fontId="3" fillId="3" borderId="3" xfId="0" applyNumberFormat="1" applyFont="1" applyFill="1" applyBorder="1"/>
    <xf numFmtId="164" fontId="3" fillId="5" borderId="11" xfId="1" applyNumberFormat="1" applyFont="1" applyFill="1" applyBorder="1"/>
    <xf numFmtId="14" fontId="3" fillId="0" borderId="0" xfId="0" applyNumberFormat="1" applyFont="1"/>
    <xf numFmtId="0" fontId="0" fillId="0" borderId="12" xfId="0" applyBorder="1"/>
    <xf numFmtId="164" fontId="3" fillId="0" borderId="10" xfId="0" applyNumberFormat="1" applyFont="1" applyBorder="1"/>
    <xf numFmtId="164" fontId="3" fillId="0" borderId="9" xfId="1" applyNumberFormat="1" applyFont="1" applyFill="1" applyBorder="1"/>
    <xf numFmtId="164" fontId="3" fillId="0" borderId="3" xfId="1" applyNumberFormat="1" applyFont="1" applyFill="1" applyBorder="1"/>
    <xf numFmtId="164" fontId="3" fillId="0" borderId="10" xfId="1" applyNumberFormat="1" applyFont="1" applyFill="1" applyBorder="1"/>
    <xf numFmtId="169" fontId="3" fillId="0" borderId="1" xfId="1" applyNumberFormat="1" applyFont="1" applyBorder="1" applyAlignment="1">
      <alignment vertical="center"/>
    </xf>
    <xf numFmtId="164" fontId="3" fillId="5" borderId="9" xfId="0" applyNumberFormat="1" applyFont="1" applyFill="1" applyBorder="1"/>
    <xf numFmtId="164" fontId="3" fillId="0" borderId="11" xfId="0" applyNumberFormat="1" applyFont="1" applyBorder="1"/>
    <xf numFmtId="164" fontId="3" fillId="0" borderId="4" xfId="0" applyNumberFormat="1" applyFont="1" applyBorder="1" applyAlignment="1">
      <alignment horizontal="center"/>
    </xf>
    <xf numFmtId="44" fontId="3" fillId="0" borderId="9" xfId="0" applyNumberFormat="1" applyFont="1" applyBorder="1"/>
    <xf numFmtId="164" fontId="3" fillId="5" borderId="2" xfId="1" applyNumberFormat="1" applyFont="1" applyFill="1" applyBorder="1"/>
    <xf numFmtId="164" fontId="3" fillId="0" borderId="5" xfId="1" applyNumberFormat="1" applyFont="1" applyFill="1" applyBorder="1"/>
    <xf numFmtId="44" fontId="3" fillId="5" borderId="3" xfId="0" applyNumberFormat="1" applyFont="1" applyFill="1" applyBorder="1"/>
    <xf numFmtId="0" fontId="0" fillId="5" borderId="0" xfId="0" applyFill="1"/>
    <xf numFmtId="0" fontId="0" fillId="0" borderId="3" xfId="0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/>
    </xf>
    <xf numFmtId="164" fontId="3" fillId="5" borderId="1" xfId="1" applyNumberFormat="1" applyFont="1" applyFill="1" applyBorder="1" applyAlignment="1">
      <alignment horizontal="center"/>
    </xf>
    <xf numFmtId="0" fontId="3" fillId="4" borderId="1" xfId="0" applyFont="1" applyFill="1" applyBorder="1"/>
    <xf numFmtId="166" fontId="6" fillId="0" borderId="0" xfId="0" applyNumberFormat="1" applyFont="1"/>
    <xf numFmtId="0" fontId="0" fillId="0" borderId="0" xfId="0" applyAlignment="1">
      <alignment horizontal="center" wrapText="1"/>
    </xf>
    <xf numFmtId="17" fontId="3" fillId="0" borderId="6" xfId="0" applyNumberFormat="1" applyFont="1" applyBorder="1"/>
    <xf numFmtId="0" fontId="3" fillId="2" borderId="8" xfId="0" applyFont="1" applyFill="1" applyBorder="1"/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66" fontId="3" fillId="6" borderId="4" xfId="0" applyNumberFormat="1" applyFont="1" applyFill="1" applyBorder="1" applyAlignment="1">
      <alignment horizontal="center" vertical="center"/>
    </xf>
    <xf numFmtId="166" fontId="3" fillId="6" borderId="9" xfId="0" applyNumberFormat="1" applyFont="1" applyFill="1" applyBorder="1" applyAlignment="1">
      <alignment horizontal="center" vertical="center"/>
    </xf>
    <xf numFmtId="166" fontId="3" fillId="6" borderId="3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7" fontId="3" fillId="0" borderId="0" xfId="0" applyNumberFormat="1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FC45-5546-40C9-BFEF-9D94EFF75B6A}">
  <dimension ref="A1:B8"/>
  <sheetViews>
    <sheetView workbookViewId="0">
      <selection activeCell="B3" sqref="B3"/>
    </sheetView>
  </sheetViews>
  <sheetFormatPr baseColWidth="10" defaultRowHeight="15" x14ac:dyDescent="0.25"/>
  <cols>
    <col min="1" max="1" width="41.140625" customWidth="1"/>
    <col min="2" max="2" width="24.28515625" customWidth="1"/>
  </cols>
  <sheetData>
    <row r="1" spans="1:2" ht="21" x14ac:dyDescent="0.35">
      <c r="A1" s="218" t="s">
        <v>66</v>
      </c>
      <c r="B1" s="218"/>
    </row>
    <row r="2" spans="1:2" ht="21" x14ac:dyDescent="0.35">
      <c r="A2" s="32" t="s">
        <v>45</v>
      </c>
      <c r="B2" s="24"/>
    </row>
    <row r="3" spans="1:2" ht="21" x14ac:dyDescent="0.35">
      <c r="A3" s="26" t="s">
        <v>17</v>
      </c>
      <c r="B3" s="24">
        <v>55510999</v>
      </c>
    </row>
    <row r="4" spans="1:2" ht="21" x14ac:dyDescent="0.35">
      <c r="A4" s="26" t="s">
        <v>44</v>
      </c>
      <c r="B4" s="24">
        <v>840000</v>
      </c>
    </row>
    <row r="5" spans="1:2" ht="39.75" customHeight="1" x14ac:dyDescent="0.25">
      <c r="A5" s="64" t="s">
        <v>82</v>
      </c>
      <c r="B5" s="63">
        <f>+SUM(B2:B4)</f>
        <v>56350999</v>
      </c>
    </row>
    <row r="6" spans="1:2" ht="39" customHeight="1" x14ac:dyDescent="0.25">
      <c r="A6" s="64" t="s">
        <v>86</v>
      </c>
      <c r="B6" s="63">
        <f>+'GASTOS MENSUALES 2026 '!D55</f>
        <v>0</v>
      </c>
    </row>
    <row r="7" spans="1:2" ht="21" x14ac:dyDescent="0.3">
      <c r="A7" s="65" t="s">
        <v>46</v>
      </c>
      <c r="B7" s="25">
        <f>+B5-B6</f>
        <v>56350999</v>
      </c>
    </row>
    <row r="8" spans="1:2" ht="24" customHeight="1" x14ac:dyDescent="0.25"/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180C-801C-4CA3-B6CC-B0BC0EE68AF4}">
  <dimension ref="A1:B7"/>
  <sheetViews>
    <sheetView workbookViewId="0">
      <selection activeCell="B7" sqref="B7"/>
    </sheetView>
  </sheetViews>
  <sheetFormatPr baseColWidth="10" defaultRowHeight="15" x14ac:dyDescent="0.25"/>
  <cols>
    <col min="1" max="1" width="43.7109375" customWidth="1"/>
    <col min="2" max="2" width="23.140625" bestFit="1" customWidth="1"/>
  </cols>
  <sheetData>
    <row r="1" spans="1:2" ht="21" x14ac:dyDescent="0.35">
      <c r="A1" s="218" t="s">
        <v>152</v>
      </c>
      <c r="B1" s="218"/>
    </row>
    <row r="2" spans="1:2" ht="21" x14ac:dyDescent="0.35">
      <c r="A2" s="32" t="s">
        <v>109</v>
      </c>
      <c r="B2" s="24"/>
    </row>
    <row r="3" spans="1:2" ht="21" x14ac:dyDescent="0.35">
      <c r="A3" s="26" t="s">
        <v>17</v>
      </c>
      <c r="B3" s="24">
        <f>+B5-B4</f>
        <v>29936476.449999999</v>
      </c>
    </row>
    <row r="4" spans="1:2" ht="21" x14ac:dyDescent="0.35">
      <c r="A4" s="26" t="s">
        <v>44</v>
      </c>
      <c r="B4" s="24">
        <v>1658909.55</v>
      </c>
    </row>
    <row r="5" spans="1:2" ht="42" x14ac:dyDescent="0.25">
      <c r="A5" s="64" t="s">
        <v>106</v>
      </c>
      <c r="B5" s="63">
        <f>+B7</f>
        <v>31595386</v>
      </c>
    </row>
    <row r="6" spans="1:2" ht="21" x14ac:dyDescent="0.25">
      <c r="A6" s="64" t="s">
        <v>130</v>
      </c>
      <c r="B6" s="63"/>
    </row>
    <row r="7" spans="1:2" ht="42" x14ac:dyDescent="0.3">
      <c r="A7" s="64" t="s">
        <v>153</v>
      </c>
      <c r="B7" s="25">
        <v>31595386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7432-5735-4BF7-924A-ABFD76591089}">
  <dimension ref="A1:B7"/>
  <sheetViews>
    <sheetView workbookViewId="0">
      <selection sqref="A1:B7"/>
    </sheetView>
  </sheetViews>
  <sheetFormatPr baseColWidth="10" defaultRowHeight="15" x14ac:dyDescent="0.25"/>
  <cols>
    <col min="1" max="1" width="42.140625" bestFit="1" customWidth="1"/>
    <col min="2" max="2" width="23.140625" bestFit="1" customWidth="1"/>
  </cols>
  <sheetData>
    <row r="1" spans="1:2" ht="21" x14ac:dyDescent="0.35">
      <c r="A1" s="218" t="s">
        <v>149</v>
      </c>
      <c r="B1" s="218"/>
    </row>
    <row r="2" spans="1:2" ht="21" x14ac:dyDescent="0.35">
      <c r="A2" s="32" t="s">
        <v>109</v>
      </c>
      <c r="B2" s="24"/>
    </row>
    <row r="3" spans="1:2" ht="21" x14ac:dyDescent="0.35">
      <c r="A3" s="26" t="s">
        <v>17</v>
      </c>
      <c r="B3" s="24">
        <v>58849928</v>
      </c>
    </row>
    <row r="4" spans="1:2" ht="21" x14ac:dyDescent="0.35">
      <c r="A4" s="26" t="s">
        <v>44</v>
      </c>
      <c r="B4" s="24">
        <v>587574</v>
      </c>
    </row>
    <row r="5" spans="1:2" ht="42" x14ac:dyDescent="0.25">
      <c r="A5" s="64" t="s">
        <v>163</v>
      </c>
      <c r="B5" s="63">
        <f>+SUM(B2:B4)</f>
        <v>59437502</v>
      </c>
    </row>
    <row r="6" spans="1:2" ht="21" x14ac:dyDescent="0.25">
      <c r="A6" s="64" t="s">
        <v>154</v>
      </c>
      <c r="B6" s="63">
        <f>+'GASTOS MENSUALES 2026 '!G55</f>
        <v>0</v>
      </c>
    </row>
    <row r="7" spans="1:2" ht="42" x14ac:dyDescent="0.25">
      <c r="A7" s="64" t="s">
        <v>150</v>
      </c>
      <c r="B7" s="148">
        <f>+B5-B6</f>
        <v>59437502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0970-6162-430C-BE97-0E49EAB83ED6}">
  <dimension ref="A1:D7"/>
  <sheetViews>
    <sheetView workbookViewId="0">
      <selection activeCell="B7" sqref="B7"/>
    </sheetView>
  </sheetViews>
  <sheetFormatPr baseColWidth="10" defaultRowHeight="15" x14ac:dyDescent="0.25"/>
  <cols>
    <col min="1" max="1" width="61.5703125" bestFit="1" customWidth="1"/>
    <col min="2" max="3" width="21.7109375" bestFit="1" customWidth="1"/>
    <col min="4" max="4" width="19.7109375" bestFit="1" customWidth="1"/>
  </cols>
  <sheetData>
    <row r="1" spans="1:4" ht="18.75" x14ac:dyDescent="0.3">
      <c r="A1" s="219" t="s">
        <v>201</v>
      </c>
      <c r="B1" s="219"/>
    </row>
    <row r="2" spans="1:4" ht="18.75" x14ac:dyDescent="0.3">
      <c r="A2" s="17" t="s">
        <v>203</v>
      </c>
      <c r="B2" s="155">
        <v>2723800</v>
      </c>
    </row>
    <row r="3" spans="1:4" ht="18.75" x14ac:dyDescent="0.3">
      <c r="A3" s="17" t="s">
        <v>17</v>
      </c>
      <c r="B3" s="155">
        <v>73647952</v>
      </c>
      <c r="C3" s="155">
        <v>22800000</v>
      </c>
      <c r="D3" t="s">
        <v>183</v>
      </c>
    </row>
    <row r="4" spans="1:4" ht="18.75" x14ac:dyDescent="0.3">
      <c r="A4" s="17" t="s">
        <v>44</v>
      </c>
      <c r="B4" s="155">
        <v>2939598</v>
      </c>
    </row>
    <row r="5" spans="1:4" ht="18.75" x14ac:dyDescent="0.3">
      <c r="A5" s="17" t="s">
        <v>174</v>
      </c>
      <c r="B5" s="155">
        <f>+B3+B4+B2</f>
        <v>79311350</v>
      </c>
    </row>
    <row r="6" spans="1:4" ht="18.75" x14ac:dyDescent="0.3">
      <c r="A6" s="17" t="s">
        <v>177</v>
      </c>
      <c r="B6" s="155">
        <f>+'GASTOS MENSUALES 2026 '!I55</f>
        <v>0</v>
      </c>
    </row>
    <row r="7" spans="1:4" ht="18.75" x14ac:dyDescent="0.3">
      <c r="A7" s="50" t="s">
        <v>202</v>
      </c>
      <c r="B7" s="155">
        <f>+B5-B6</f>
        <v>79311350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4"/>
  <sheetViews>
    <sheetView topLeftCell="A93" workbookViewId="0">
      <selection activeCell="C108" sqref="C108"/>
    </sheetView>
  </sheetViews>
  <sheetFormatPr baseColWidth="10" defaultRowHeight="15" x14ac:dyDescent="0.25"/>
  <cols>
    <col min="1" max="1" width="10.85546875" customWidth="1"/>
    <col min="2" max="2" width="27" customWidth="1"/>
    <col min="3" max="3" width="19.85546875" bestFit="1" customWidth="1"/>
    <col min="4" max="4" width="18.140625" customWidth="1"/>
    <col min="5" max="5" width="21.140625" customWidth="1"/>
    <col min="6" max="6" width="15.28515625" customWidth="1"/>
    <col min="7" max="7" width="21.7109375" bestFit="1" customWidth="1"/>
    <col min="8" max="8" width="14.140625" bestFit="1" customWidth="1"/>
    <col min="9" max="9" width="23.7109375" customWidth="1"/>
    <col min="10" max="10" width="17.42578125" customWidth="1"/>
  </cols>
  <sheetData>
    <row r="1" spans="1:10" ht="25.5" customHeight="1" x14ac:dyDescent="0.35">
      <c r="A1" s="218" t="s">
        <v>101</v>
      </c>
      <c r="B1" s="218"/>
      <c r="C1" s="218"/>
      <c r="D1" s="218"/>
      <c r="E1" s="218"/>
      <c r="F1" s="218"/>
    </row>
    <row r="2" spans="1:10" ht="18.75" x14ac:dyDescent="0.3">
      <c r="A2" s="107"/>
      <c r="B2" s="108" t="s">
        <v>24</v>
      </c>
      <c r="C2" s="109">
        <v>337000</v>
      </c>
      <c r="D2" s="110">
        <v>46024</v>
      </c>
      <c r="E2" s="107" t="s">
        <v>0</v>
      </c>
      <c r="F2" s="111">
        <v>46024</v>
      </c>
    </row>
    <row r="3" spans="1:10" ht="18.75" x14ac:dyDescent="0.3">
      <c r="A3" s="107"/>
      <c r="B3" s="108" t="s">
        <v>58</v>
      </c>
      <c r="C3" s="109">
        <v>372236.18</v>
      </c>
      <c r="D3" s="110">
        <v>46024</v>
      </c>
      <c r="E3" s="107" t="s">
        <v>0</v>
      </c>
      <c r="F3" s="111">
        <v>46024</v>
      </c>
    </row>
    <row r="4" spans="1:10" ht="18.75" x14ac:dyDescent="0.3">
      <c r="A4" s="114">
        <v>477</v>
      </c>
      <c r="B4" s="107" t="s">
        <v>55</v>
      </c>
      <c r="C4" s="109">
        <v>423000</v>
      </c>
      <c r="D4" s="110">
        <v>46011</v>
      </c>
      <c r="E4" s="107" t="s">
        <v>0</v>
      </c>
      <c r="F4" s="111">
        <v>46013</v>
      </c>
      <c r="G4" s="21"/>
      <c r="I4" s="22"/>
      <c r="J4" s="5"/>
    </row>
    <row r="5" spans="1:10" ht="18.75" x14ac:dyDescent="0.3">
      <c r="A5" s="114" t="s">
        <v>1</v>
      </c>
      <c r="B5" s="115" t="s">
        <v>20</v>
      </c>
      <c r="C5" s="116">
        <v>206505.25</v>
      </c>
      <c r="D5" s="110">
        <v>46020</v>
      </c>
      <c r="E5" s="107" t="s">
        <v>0</v>
      </c>
      <c r="F5" s="111">
        <v>46020</v>
      </c>
      <c r="G5" s="20">
        <v>30640033173</v>
      </c>
      <c r="H5" s="15" t="s">
        <v>23</v>
      </c>
      <c r="I5" s="22"/>
      <c r="J5" s="5"/>
    </row>
    <row r="6" spans="1:10" ht="18.75" x14ac:dyDescent="0.3">
      <c r="A6" s="114" t="s">
        <v>1</v>
      </c>
      <c r="B6" s="115" t="s">
        <v>21</v>
      </c>
      <c r="C6" s="116">
        <v>167036.5</v>
      </c>
      <c r="D6" s="110">
        <v>46020</v>
      </c>
      <c r="E6" s="107" t="s">
        <v>0</v>
      </c>
      <c r="F6" s="111">
        <v>46020</v>
      </c>
      <c r="G6" s="20">
        <v>30640033173</v>
      </c>
      <c r="H6" s="15" t="s">
        <v>23</v>
      </c>
      <c r="I6" s="22"/>
      <c r="J6" s="5"/>
    </row>
    <row r="7" spans="1:10" ht="18.75" x14ac:dyDescent="0.3">
      <c r="A7" s="107"/>
      <c r="B7" s="108" t="s">
        <v>5</v>
      </c>
      <c r="C7" s="109">
        <v>234000</v>
      </c>
      <c r="D7" s="110">
        <v>46028</v>
      </c>
      <c r="E7" s="107" t="s">
        <v>0</v>
      </c>
      <c r="F7" s="111">
        <v>46028</v>
      </c>
      <c r="G7" s="21"/>
      <c r="I7" s="22"/>
      <c r="J7" s="5"/>
    </row>
    <row r="8" spans="1:10" ht="18.75" x14ac:dyDescent="0.3">
      <c r="A8" s="107">
        <v>480</v>
      </c>
      <c r="B8" s="108" t="s">
        <v>80</v>
      </c>
      <c r="C8" s="109">
        <v>3466387</v>
      </c>
      <c r="D8" s="110">
        <v>46032</v>
      </c>
      <c r="E8" s="107" t="s">
        <v>0</v>
      </c>
      <c r="F8" s="111">
        <v>45669</v>
      </c>
      <c r="G8" s="21"/>
      <c r="I8" s="22"/>
      <c r="J8" s="5"/>
    </row>
    <row r="9" spans="1:10" ht="18.75" x14ac:dyDescent="0.3">
      <c r="A9" s="107" t="s">
        <v>18</v>
      </c>
      <c r="B9" s="108" t="s">
        <v>6</v>
      </c>
      <c r="C9" s="109">
        <v>151100</v>
      </c>
      <c r="D9" s="110">
        <v>46032</v>
      </c>
      <c r="E9" s="107" t="s">
        <v>0</v>
      </c>
      <c r="F9" s="111">
        <v>45669</v>
      </c>
      <c r="G9" s="21"/>
      <c r="I9" s="22"/>
      <c r="J9" s="5"/>
    </row>
    <row r="10" spans="1:10" ht="18.75" x14ac:dyDescent="0.3">
      <c r="A10" s="107">
        <v>442</v>
      </c>
      <c r="B10" s="107" t="s">
        <v>24</v>
      </c>
      <c r="C10" s="109">
        <v>2427932.13</v>
      </c>
      <c r="D10" s="121">
        <v>46037</v>
      </c>
      <c r="E10" s="107" t="s">
        <v>0</v>
      </c>
      <c r="F10" s="111">
        <v>46037</v>
      </c>
      <c r="G10" s="21"/>
      <c r="I10" s="22"/>
      <c r="J10" s="5"/>
    </row>
    <row r="11" spans="1:10" ht="18.75" x14ac:dyDescent="0.3">
      <c r="A11" s="107" t="s">
        <v>3</v>
      </c>
      <c r="B11" s="107" t="s">
        <v>60</v>
      </c>
      <c r="C11" s="109">
        <v>2542821</v>
      </c>
      <c r="D11" s="121">
        <v>46037</v>
      </c>
      <c r="E11" s="107" t="s">
        <v>0</v>
      </c>
      <c r="F11" s="111">
        <v>46037</v>
      </c>
      <c r="G11" s="21"/>
      <c r="H11" s="5">
        <f>+SUM(C2:C22)</f>
        <v>58246232.329999998</v>
      </c>
      <c r="I11" s="22"/>
      <c r="J11" s="5"/>
    </row>
    <row r="12" spans="1:10" ht="18.75" x14ac:dyDescent="0.3">
      <c r="A12" s="107" t="s">
        <v>3</v>
      </c>
      <c r="B12" s="107" t="s">
        <v>83</v>
      </c>
      <c r="C12" s="109">
        <v>486029.2</v>
      </c>
      <c r="D12" s="121">
        <v>46038</v>
      </c>
      <c r="E12" s="107" t="s">
        <v>0</v>
      </c>
      <c r="F12" s="111">
        <v>46038</v>
      </c>
      <c r="G12" s="21"/>
      <c r="I12" s="22"/>
      <c r="J12" s="5"/>
    </row>
    <row r="13" spans="1:10" ht="18.75" x14ac:dyDescent="0.3">
      <c r="A13" s="107">
        <v>489</v>
      </c>
      <c r="B13" s="107" t="s">
        <v>105</v>
      </c>
      <c r="C13" s="109">
        <v>564923</v>
      </c>
      <c r="D13" s="121">
        <v>46038</v>
      </c>
      <c r="E13" s="107" t="s">
        <v>0</v>
      </c>
      <c r="F13" s="121">
        <v>46038</v>
      </c>
      <c r="G13" s="21"/>
      <c r="I13" s="22"/>
      <c r="J13" s="5"/>
    </row>
    <row r="14" spans="1:10" ht="18.75" x14ac:dyDescent="0.3">
      <c r="A14" s="107">
        <v>431</v>
      </c>
      <c r="B14" s="107" t="s">
        <v>19</v>
      </c>
      <c r="C14" s="109">
        <v>236045</v>
      </c>
      <c r="D14" s="121">
        <v>46042</v>
      </c>
      <c r="E14" s="107" t="s">
        <v>0</v>
      </c>
      <c r="F14" s="111">
        <v>46042</v>
      </c>
      <c r="G14" s="21"/>
      <c r="I14" s="22"/>
      <c r="J14" s="5"/>
    </row>
    <row r="15" spans="1:10" ht="18.75" x14ac:dyDescent="0.3">
      <c r="A15" s="107"/>
      <c r="B15" s="107" t="s">
        <v>87</v>
      </c>
      <c r="C15" s="109">
        <v>665500</v>
      </c>
      <c r="D15" s="121">
        <v>45677</v>
      </c>
      <c r="E15" s="107" t="s">
        <v>0</v>
      </c>
      <c r="F15" s="111">
        <v>45677</v>
      </c>
      <c r="G15" s="21"/>
      <c r="I15" s="22"/>
      <c r="J15" s="5"/>
    </row>
    <row r="16" spans="1:10" ht="18.75" x14ac:dyDescent="0.3">
      <c r="A16" s="107">
        <v>488</v>
      </c>
      <c r="B16" s="107" t="s">
        <v>100</v>
      </c>
      <c r="C16" s="109">
        <v>2917830.03</v>
      </c>
      <c r="D16" s="121">
        <v>46045</v>
      </c>
      <c r="E16" s="107" t="s">
        <v>0</v>
      </c>
      <c r="F16" s="111">
        <v>45680</v>
      </c>
      <c r="G16" s="21"/>
      <c r="I16" s="22"/>
      <c r="J16" s="5"/>
    </row>
    <row r="17" spans="1:10" ht="18.75" x14ac:dyDescent="0.3">
      <c r="A17" s="107" t="s">
        <v>18</v>
      </c>
      <c r="B17" s="107" t="s">
        <v>2</v>
      </c>
      <c r="C17" s="116">
        <v>13000000</v>
      </c>
      <c r="D17" s="121">
        <v>46048</v>
      </c>
      <c r="E17" s="107" t="s">
        <v>0</v>
      </c>
      <c r="F17" s="111">
        <v>46048</v>
      </c>
      <c r="G17" s="21"/>
      <c r="I17" s="22"/>
      <c r="J17" s="5"/>
    </row>
    <row r="18" spans="1:10" ht="18.75" x14ac:dyDescent="0.3">
      <c r="A18" s="107"/>
      <c r="B18" s="107" t="s">
        <v>22</v>
      </c>
      <c r="C18" s="109">
        <v>378000</v>
      </c>
      <c r="D18" s="121">
        <v>45680</v>
      </c>
      <c r="E18" s="107" t="s">
        <v>0</v>
      </c>
      <c r="F18" s="111">
        <v>45680</v>
      </c>
      <c r="G18" s="21"/>
      <c r="I18" s="22"/>
      <c r="J18" s="5"/>
    </row>
    <row r="19" spans="1:10" ht="18.75" x14ac:dyDescent="0.3">
      <c r="A19" s="6"/>
      <c r="B19" s="27">
        <v>46023</v>
      </c>
      <c r="C19" s="33">
        <f>+SUM(C2:C18)</f>
        <v>28576345.289999999</v>
      </c>
      <c r="D19" s="8"/>
      <c r="E19" s="6"/>
      <c r="F19" s="8"/>
      <c r="G19" s="21"/>
      <c r="I19" s="21"/>
      <c r="J19" s="5"/>
    </row>
    <row r="20" spans="1:10" ht="18.75" x14ac:dyDescent="0.3">
      <c r="A20" s="107">
        <v>484</v>
      </c>
      <c r="B20" s="107" t="s">
        <v>121</v>
      </c>
      <c r="C20" s="116">
        <v>720000</v>
      </c>
      <c r="D20" s="121">
        <v>46039</v>
      </c>
      <c r="E20" s="107" t="s">
        <v>0</v>
      </c>
      <c r="F20" s="121">
        <v>46041</v>
      </c>
      <c r="G20" s="21"/>
      <c r="I20" s="21"/>
      <c r="J20" s="5"/>
    </row>
    <row r="21" spans="1:10" ht="18.75" x14ac:dyDescent="0.3">
      <c r="A21" s="107" t="s">
        <v>124</v>
      </c>
      <c r="B21" s="107" t="s">
        <v>20</v>
      </c>
      <c r="C21" s="116">
        <v>206505.25</v>
      </c>
      <c r="D21" s="121">
        <v>46051</v>
      </c>
      <c r="E21" s="107" t="s">
        <v>0</v>
      </c>
      <c r="F21" s="111">
        <v>46051</v>
      </c>
      <c r="G21" s="20">
        <v>30640033173</v>
      </c>
      <c r="H21" s="15" t="s">
        <v>23</v>
      </c>
      <c r="I21" s="21"/>
      <c r="J21" s="5"/>
    </row>
    <row r="22" spans="1:10" ht="18.75" x14ac:dyDescent="0.3">
      <c r="A22" s="107" t="s">
        <v>125</v>
      </c>
      <c r="B22" s="107" t="s">
        <v>21</v>
      </c>
      <c r="C22" s="116">
        <v>167036.5</v>
      </c>
      <c r="D22" s="121">
        <v>46051</v>
      </c>
      <c r="E22" s="107" t="s">
        <v>0</v>
      </c>
      <c r="F22" s="111">
        <v>46051</v>
      </c>
      <c r="G22" s="20">
        <v>30640033173</v>
      </c>
      <c r="H22" s="15" t="s">
        <v>23</v>
      </c>
      <c r="I22" s="21"/>
      <c r="J22" s="5"/>
    </row>
    <row r="23" spans="1:10" ht="18.75" x14ac:dyDescent="0.3">
      <c r="A23" s="107" t="s">
        <v>3</v>
      </c>
      <c r="B23" s="107" t="s">
        <v>60</v>
      </c>
      <c r="C23" s="116">
        <v>2542822</v>
      </c>
      <c r="D23" s="111">
        <v>46059</v>
      </c>
      <c r="E23" s="107" t="s">
        <v>0</v>
      </c>
      <c r="F23" s="111">
        <v>46059</v>
      </c>
      <c r="G23" s="20"/>
      <c r="H23" s="15"/>
      <c r="I23" s="21"/>
      <c r="J23" s="5"/>
    </row>
    <row r="24" spans="1:10" ht="18.75" x14ac:dyDescent="0.3">
      <c r="A24" s="107">
        <v>487</v>
      </c>
      <c r="B24" s="107" t="s">
        <v>89</v>
      </c>
      <c r="C24" s="116">
        <v>319484.74</v>
      </c>
      <c r="D24" s="111">
        <v>46056</v>
      </c>
      <c r="E24" s="107" t="s">
        <v>0</v>
      </c>
      <c r="F24" s="111">
        <v>46056</v>
      </c>
      <c r="G24" s="21"/>
      <c r="I24" s="21"/>
      <c r="J24" s="5"/>
    </row>
    <row r="25" spans="1:10" ht="18.75" x14ac:dyDescent="0.3">
      <c r="A25" s="107">
        <v>481</v>
      </c>
      <c r="B25" s="107" t="s">
        <v>81</v>
      </c>
      <c r="C25" s="116">
        <v>3466387</v>
      </c>
      <c r="D25" s="111">
        <v>45698</v>
      </c>
      <c r="E25" s="107" t="s">
        <v>0</v>
      </c>
      <c r="F25" s="111">
        <v>45698</v>
      </c>
      <c r="G25" s="21"/>
      <c r="I25" s="21"/>
      <c r="J25" s="5"/>
    </row>
    <row r="26" spans="1:10" ht="18.75" x14ac:dyDescent="0.3">
      <c r="A26" s="107">
        <v>492</v>
      </c>
      <c r="B26" s="107" t="s">
        <v>120</v>
      </c>
      <c r="C26" s="116">
        <v>678568</v>
      </c>
      <c r="D26" s="111">
        <v>46068</v>
      </c>
      <c r="E26" s="107" t="s">
        <v>0</v>
      </c>
      <c r="F26" s="111">
        <v>46071</v>
      </c>
      <c r="G26" s="21"/>
      <c r="I26" s="21"/>
      <c r="J26" s="5"/>
    </row>
    <row r="27" spans="1:10" ht="18.75" x14ac:dyDescent="0.3">
      <c r="A27" s="107" t="s">
        <v>127</v>
      </c>
      <c r="B27" s="107" t="s">
        <v>60</v>
      </c>
      <c r="C27" s="109">
        <v>1851974.87</v>
      </c>
      <c r="D27" s="121">
        <v>46069</v>
      </c>
      <c r="E27" s="107" t="s">
        <v>0</v>
      </c>
      <c r="F27" s="111">
        <v>46071</v>
      </c>
      <c r="G27" s="21"/>
      <c r="I27" s="21"/>
      <c r="J27" s="5"/>
    </row>
    <row r="28" spans="1:10" ht="18.75" x14ac:dyDescent="0.3">
      <c r="A28" s="107">
        <v>485</v>
      </c>
      <c r="B28" s="107" t="s">
        <v>121</v>
      </c>
      <c r="C28" s="109">
        <v>720000</v>
      </c>
      <c r="D28" s="121">
        <v>46070</v>
      </c>
      <c r="E28" s="107" t="s">
        <v>0</v>
      </c>
      <c r="F28" s="121">
        <v>46071</v>
      </c>
      <c r="G28" s="21"/>
      <c r="I28" s="21"/>
      <c r="J28" s="5"/>
    </row>
    <row r="29" spans="1:10" ht="18.75" x14ac:dyDescent="0.3">
      <c r="A29" s="107">
        <v>490</v>
      </c>
      <c r="B29" s="107" t="s">
        <v>105</v>
      </c>
      <c r="C29" s="109">
        <v>414409</v>
      </c>
      <c r="D29" s="121">
        <v>46069</v>
      </c>
      <c r="E29" s="107" t="s">
        <v>0</v>
      </c>
      <c r="F29" s="111">
        <v>46071</v>
      </c>
      <c r="G29" s="21"/>
      <c r="I29" s="21"/>
      <c r="J29" s="5"/>
    </row>
    <row r="30" spans="1:10" ht="18.75" x14ac:dyDescent="0.3">
      <c r="A30" s="107"/>
      <c r="B30" s="107" t="s">
        <v>22</v>
      </c>
      <c r="C30" s="109">
        <v>378000</v>
      </c>
      <c r="D30" s="111">
        <v>46073</v>
      </c>
      <c r="E30" s="107" t="s">
        <v>0</v>
      </c>
      <c r="F30" s="111">
        <v>46073</v>
      </c>
      <c r="G30" s="144">
        <f>+SUM(C20:C37)</f>
        <v>28186930.959999997</v>
      </c>
      <c r="I30" s="21"/>
      <c r="J30" s="5"/>
    </row>
    <row r="31" spans="1:10" ht="18.75" x14ac:dyDescent="0.3">
      <c r="A31" s="125">
        <v>491</v>
      </c>
      <c r="B31" s="108" t="s">
        <v>108</v>
      </c>
      <c r="C31" s="116">
        <v>625000</v>
      </c>
      <c r="D31" s="121">
        <v>46076</v>
      </c>
      <c r="E31" s="107" t="s">
        <v>0</v>
      </c>
      <c r="F31" s="121">
        <v>46076</v>
      </c>
      <c r="G31" s="21"/>
      <c r="I31" s="21"/>
      <c r="J31" s="5"/>
    </row>
    <row r="32" spans="1:10" ht="18.75" x14ac:dyDescent="0.3">
      <c r="A32" s="125">
        <v>514</v>
      </c>
      <c r="B32" s="108" t="s">
        <v>100</v>
      </c>
      <c r="C32" s="116">
        <v>2504574.9700000002</v>
      </c>
      <c r="D32" s="121">
        <v>46076</v>
      </c>
      <c r="E32" s="107" t="s">
        <v>0</v>
      </c>
      <c r="F32" s="121">
        <v>46076</v>
      </c>
      <c r="G32" s="21"/>
      <c r="I32" s="21"/>
      <c r="J32" s="5"/>
    </row>
    <row r="33" spans="1:10" ht="18.75" x14ac:dyDescent="0.3">
      <c r="A33" s="107" t="s">
        <v>18</v>
      </c>
      <c r="B33" s="107" t="s">
        <v>2</v>
      </c>
      <c r="C33" s="116">
        <v>13000000</v>
      </c>
      <c r="D33" s="111">
        <v>46079</v>
      </c>
      <c r="E33" s="107" t="s">
        <v>0</v>
      </c>
      <c r="F33" s="111">
        <v>46079</v>
      </c>
      <c r="G33" s="21"/>
      <c r="J33" s="23"/>
    </row>
    <row r="34" spans="1:10" ht="18.75" x14ac:dyDescent="0.3">
      <c r="A34" s="13"/>
      <c r="B34" s="34">
        <v>46054</v>
      </c>
      <c r="C34" s="103"/>
      <c r="D34" s="16"/>
      <c r="G34" s="5">
        <f>+SUM(C20:C33)</f>
        <v>27594762.329999998</v>
      </c>
    </row>
    <row r="35" spans="1:10" ht="18.75" x14ac:dyDescent="0.3">
      <c r="A35" s="125" t="s">
        <v>137</v>
      </c>
      <c r="B35" s="108" t="s">
        <v>136</v>
      </c>
      <c r="C35" s="154">
        <v>218626.88</v>
      </c>
      <c r="D35" s="111">
        <v>46084</v>
      </c>
      <c r="E35" s="107" t="s">
        <v>0</v>
      </c>
      <c r="F35" s="111">
        <v>46084</v>
      </c>
      <c r="G35" s="5"/>
    </row>
    <row r="36" spans="1:10" ht="18.75" x14ac:dyDescent="0.3">
      <c r="A36" s="159">
        <v>38600001</v>
      </c>
      <c r="B36" s="115" t="s">
        <v>20</v>
      </c>
      <c r="C36" s="116">
        <v>206505.25</v>
      </c>
      <c r="D36" s="110">
        <v>46081</v>
      </c>
      <c r="E36" s="107" t="s">
        <v>0</v>
      </c>
      <c r="F36" s="121">
        <v>46083</v>
      </c>
      <c r="G36" s="20">
        <v>30640033173</v>
      </c>
      <c r="H36" s="15" t="s">
        <v>23</v>
      </c>
    </row>
    <row r="37" spans="1:10" ht="18.75" x14ac:dyDescent="0.3">
      <c r="A37" s="159">
        <v>38600002</v>
      </c>
      <c r="B37" s="107" t="s">
        <v>21</v>
      </c>
      <c r="C37" s="116">
        <v>167036.5</v>
      </c>
      <c r="D37" s="121">
        <v>46081</v>
      </c>
      <c r="E37" s="107" t="s">
        <v>0</v>
      </c>
      <c r="F37" s="121">
        <v>46083</v>
      </c>
      <c r="G37" s="20">
        <v>30640033173</v>
      </c>
      <c r="H37" s="15" t="s">
        <v>23</v>
      </c>
    </row>
    <row r="38" spans="1:10" ht="18.75" x14ac:dyDescent="0.3">
      <c r="A38" s="125">
        <v>512</v>
      </c>
      <c r="B38" s="108" t="s">
        <v>171</v>
      </c>
      <c r="C38" s="154">
        <v>228737.47</v>
      </c>
      <c r="D38" s="111">
        <v>46084</v>
      </c>
      <c r="E38" s="107" t="s">
        <v>0</v>
      </c>
      <c r="F38" s="111">
        <v>46084</v>
      </c>
    </row>
    <row r="39" spans="1:10" ht="18.75" x14ac:dyDescent="0.3">
      <c r="A39" s="125">
        <v>513</v>
      </c>
      <c r="B39" s="108" t="s">
        <v>129</v>
      </c>
      <c r="C39" s="154">
        <v>594400</v>
      </c>
      <c r="D39" s="111">
        <v>46087</v>
      </c>
      <c r="E39" s="107" t="s">
        <v>0</v>
      </c>
      <c r="F39" s="111">
        <v>46087</v>
      </c>
    </row>
    <row r="40" spans="1:10" ht="18.75" x14ac:dyDescent="0.3">
      <c r="A40" s="107" t="s">
        <v>126</v>
      </c>
      <c r="B40" s="107" t="s">
        <v>60</v>
      </c>
      <c r="C40" s="109">
        <v>1851974.87</v>
      </c>
      <c r="D40" s="121">
        <v>46087</v>
      </c>
      <c r="E40" s="107" t="s">
        <v>0</v>
      </c>
      <c r="F40" s="121">
        <v>46087</v>
      </c>
    </row>
    <row r="41" spans="1:10" ht="18.75" x14ac:dyDescent="0.3">
      <c r="A41" s="125">
        <v>482</v>
      </c>
      <c r="B41" s="108" t="s">
        <v>80</v>
      </c>
      <c r="C41" s="116">
        <v>3466387</v>
      </c>
      <c r="D41" s="121">
        <v>46091</v>
      </c>
      <c r="E41" s="107" t="s">
        <v>0</v>
      </c>
      <c r="F41" s="121">
        <v>46091</v>
      </c>
    </row>
    <row r="42" spans="1:10" ht="18.75" x14ac:dyDescent="0.3">
      <c r="A42" s="162" t="s">
        <v>145</v>
      </c>
      <c r="B42" s="163" t="s">
        <v>144</v>
      </c>
      <c r="C42" s="116">
        <v>295144.8</v>
      </c>
      <c r="D42" s="110">
        <v>46096</v>
      </c>
      <c r="E42" s="107" t="s">
        <v>0</v>
      </c>
      <c r="F42" s="121">
        <v>46097</v>
      </c>
    </row>
    <row r="43" spans="1:10" ht="18.75" x14ac:dyDescent="0.3">
      <c r="A43" s="162">
        <v>519</v>
      </c>
      <c r="B43" s="163" t="s">
        <v>100</v>
      </c>
      <c r="C43" s="116">
        <v>2091239.95</v>
      </c>
      <c r="D43" s="110">
        <v>46104</v>
      </c>
      <c r="E43" s="107" t="s">
        <v>0</v>
      </c>
      <c r="F43" s="121">
        <v>46104</v>
      </c>
    </row>
    <row r="44" spans="1:10" ht="18.75" x14ac:dyDescent="0.3">
      <c r="A44" s="162" t="s">
        <v>1</v>
      </c>
      <c r="B44" s="163" t="s">
        <v>143</v>
      </c>
      <c r="C44" s="116">
        <v>778500</v>
      </c>
      <c r="D44" s="110">
        <v>46105</v>
      </c>
      <c r="E44" s="107" t="s">
        <v>0</v>
      </c>
      <c r="F44" s="121">
        <v>46105</v>
      </c>
    </row>
    <row r="45" spans="1:10" ht="18.75" x14ac:dyDescent="0.3">
      <c r="A45" s="162">
        <v>516</v>
      </c>
      <c r="B45" s="163" t="s">
        <v>146</v>
      </c>
      <c r="C45" s="116">
        <v>1518684.62</v>
      </c>
      <c r="D45" s="110">
        <v>46106</v>
      </c>
      <c r="E45" s="107" t="s">
        <v>0</v>
      </c>
      <c r="F45" s="121">
        <v>46106</v>
      </c>
    </row>
    <row r="46" spans="1:10" ht="18.75" x14ac:dyDescent="0.3">
      <c r="A46" s="125" t="s">
        <v>1</v>
      </c>
      <c r="B46" s="108" t="s">
        <v>161</v>
      </c>
      <c r="C46" s="116">
        <v>1055241</v>
      </c>
      <c r="D46" s="121">
        <v>46109</v>
      </c>
      <c r="E46" s="107" t="s">
        <v>0</v>
      </c>
      <c r="F46" s="121">
        <v>46111</v>
      </c>
    </row>
    <row r="47" spans="1:10" ht="18.75" x14ac:dyDescent="0.3">
      <c r="A47" s="13"/>
      <c r="B47" s="34"/>
      <c r="C47" s="95"/>
      <c r="D47" s="93"/>
      <c r="E47" s="14"/>
      <c r="F47" s="93"/>
    </row>
    <row r="48" spans="1:10" ht="18.75" x14ac:dyDescent="0.3">
      <c r="A48" s="114" t="s">
        <v>1</v>
      </c>
      <c r="B48" s="115" t="s">
        <v>20</v>
      </c>
      <c r="C48" s="116">
        <v>206505.25</v>
      </c>
      <c r="D48" s="110">
        <v>46110</v>
      </c>
      <c r="E48" s="107" t="s">
        <v>0</v>
      </c>
      <c r="F48" s="121">
        <v>46111</v>
      </c>
    </row>
    <row r="49" spans="1:7" ht="18.75" x14ac:dyDescent="0.3">
      <c r="A49" s="107" t="s">
        <v>1</v>
      </c>
      <c r="B49" s="107" t="s">
        <v>21</v>
      </c>
      <c r="C49" s="116">
        <v>167036.5</v>
      </c>
      <c r="D49" s="121">
        <v>46110</v>
      </c>
      <c r="E49" s="107" t="s">
        <v>0</v>
      </c>
      <c r="F49" s="121">
        <v>46111</v>
      </c>
    </row>
    <row r="50" spans="1:7" ht="18.75" x14ac:dyDescent="0.3">
      <c r="A50" s="125" t="s">
        <v>1</v>
      </c>
      <c r="B50" s="108" t="s">
        <v>87</v>
      </c>
      <c r="C50" s="116">
        <v>726000</v>
      </c>
      <c r="D50" s="121">
        <v>46114</v>
      </c>
      <c r="E50" s="107" t="s">
        <v>0</v>
      </c>
      <c r="F50" s="121">
        <v>46118</v>
      </c>
    </row>
    <row r="51" spans="1:7" ht="18.75" x14ac:dyDescent="0.3">
      <c r="A51" s="107" t="s">
        <v>128</v>
      </c>
      <c r="B51" s="107" t="s">
        <v>60</v>
      </c>
      <c r="C51" s="109">
        <v>1851974.87</v>
      </c>
      <c r="D51" s="121">
        <v>46118</v>
      </c>
      <c r="E51" s="107" t="s">
        <v>0</v>
      </c>
      <c r="F51" s="121">
        <v>46118</v>
      </c>
    </row>
    <row r="52" spans="1:7" ht="18.75" x14ac:dyDescent="0.3">
      <c r="A52" s="162" t="s">
        <v>3</v>
      </c>
      <c r="B52" s="115" t="s">
        <v>172</v>
      </c>
      <c r="C52" s="109">
        <v>450000</v>
      </c>
      <c r="D52" s="110">
        <v>46121</v>
      </c>
      <c r="E52" s="107" t="s">
        <v>0</v>
      </c>
      <c r="F52" s="121">
        <v>46121</v>
      </c>
    </row>
    <row r="53" spans="1:7" ht="18.75" x14ac:dyDescent="0.3">
      <c r="A53" s="125">
        <v>515</v>
      </c>
      <c r="B53" s="107" t="s">
        <v>138</v>
      </c>
      <c r="C53" s="116">
        <v>1291290</v>
      </c>
      <c r="D53" s="121">
        <v>46091</v>
      </c>
      <c r="E53" s="107" t="s">
        <v>0</v>
      </c>
      <c r="F53" s="121">
        <v>46091</v>
      </c>
    </row>
    <row r="54" spans="1:7" ht="18.75" x14ac:dyDescent="0.3">
      <c r="A54" s="162">
        <v>521</v>
      </c>
      <c r="B54" s="115" t="s">
        <v>171</v>
      </c>
      <c r="C54" s="109">
        <v>462259.49</v>
      </c>
      <c r="D54" s="110">
        <v>46127</v>
      </c>
      <c r="E54" s="107" t="s">
        <v>0</v>
      </c>
      <c r="F54" s="121">
        <v>46127</v>
      </c>
    </row>
    <row r="55" spans="1:7" ht="18.75" x14ac:dyDescent="0.3">
      <c r="A55" s="162" t="s">
        <v>1</v>
      </c>
      <c r="B55" s="115" t="s">
        <v>162</v>
      </c>
      <c r="C55" s="109">
        <v>712849.91</v>
      </c>
      <c r="D55" s="110">
        <v>46127</v>
      </c>
      <c r="E55" s="107" t="s">
        <v>0</v>
      </c>
      <c r="F55" s="121">
        <v>46127</v>
      </c>
    </row>
    <row r="56" spans="1:7" ht="18.75" x14ac:dyDescent="0.3">
      <c r="A56" s="162">
        <v>520</v>
      </c>
      <c r="B56" s="115" t="s">
        <v>181</v>
      </c>
      <c r="C56" s="109">
        <v>450000</v>
      </c>
      <c r="D56" s="110">
        <v>46127</v>
      </c>
      <c r="E56" s="107" t="s">
        <v>0</v>
      </c>
      <c r="F56" s="121">
        <v>46127</v>
      </c>
    </row>
    <row r="57" spans="1:7" ht="18.75" x14ac:dyDescent="0.3">
      <c r="A57" s="162">
        <v>516</v>
      </c>
      <c r="B57" s="163" t="s">
        <v>146</v>
      </c>
      <c r="C57" s="116">
        <v>1518684</v>
      </c>
      <c r="D57" s="110">
        <v>46129</v>
      </c>
      <c r="E57" s="107" t="s">
        <v>0</v>
      </c>
      <c r="F57" s="121">
        <v>46129</v>
      </c>
    </row>
    <row r="58" spans="1:7" ht="18.75" x14ac:dyDescent="0.3">
      <c r="A58" s="162" t="s">
        <v>3</v>
      </c>
      <c r="B58" s="115" t="s">
        <v>22</v>
      </c>
      <c r="C58" s="109">
        <v>388600</v>
      </c>
      <c r="D58" s="110">
        <v>46129</v>
      </c>
      <c r="E58" s="107" t="s">
        <v>0</v>
      </c>
      <c r="F58" s="121">
        <v>46129</v>
      </c>
    </row>
    <row r="59" spans="1:7" ht="18.75" x14ac:dyDescent="0.3">
      <c r="A59" s="162">
        <v>522</v>
      </c>
      <c r="B59" s="163" t="s">
        <v>178</v>
      </c>
      <c r="C59" s="109">
        <v>570000</v>
      </c>
      <c r="D59" s="110">
        <v>46130</v>
      </c>
      <c r="E59" s="107" t="s">
        <v>0</v>
      </c>
      <c r="F59" s="121">
        <v>46132</v>
      </c>
    </row>
    <row r="60" spans="1:7" ht="18.75" x14ac:dyDescent="0.3">
      <c r="A60" s="162">
        <v>518</v>
      </c>
      <c r="B60" s="115" t="s">
        <v>158</v>
      </c>
      <c r="C60" s="109">
        <v>920300</v>
      </c>
      <c r="D60" s="110">
        <v>46119</v>
      </c>
      <c r="E60" s="107" t="s">
        <v>0</v>
      </c>
      <c r="F60" s="121">
        <v>46119</v>
      </c>
    </row>
    <row r="61" spans="1:7" ht="18.75" x14ac:dyDescent="0.3">
      <c r="A61" s="162">
        <v>526</v>
      </c>
      <c r="B61" s="163" t="s">
        <v>180</v>
      </c>
      <c r="C61" s="109">
        <v>305000</v>
      </c>
      <c r="D61" s="110">
        <v>46132</v>
      </c>
      <c r="E61" s="107" t="s">
        <v>0</v>
      </c>
      <c r="F61" s="121">
        <v>46132</v>
      </c>
    </row>
    <row r="62" spans="1:7" ht="18.75" x14ac:dyDescent="0.3">
      <c r="A62" s="114" t="s">
        <v>3</v>
      </c>
      <c r="B62" s="115" t="s">
        <v>172</v>
      </c>
      <c r="C62" s="109">
        <v>450000</v>
      </c>
      <c r="D62" s="110">
        <v>46136</v>
      </c>
      <c r="E62" s="107" t="s">
        <v>0</v>
      </c>
      <c r="F62" s="121">
        <v>46136</v>
      </c>
    </row>
    <row r="63" spans="1:7" ht="18.75" x14ac:dyDescent="0.3">
      <c r="A63" s="125">
        <v>523</v>
      </c>
      <c r="B63" s="114" t="s">
        <v>89</v>
      </c>
      <c r="C63" s="109">
        <v>419063.52</v>
      </c>
      <c r="D63" s="110">
        <v>46136</v>
      </c>
      <c r="E63" s="107" t="s">
        <v>0</v>
      </c>
      <c r="F63" s="121">
        <v>46136</v>
      </c>
    </row>
    <row r="64" spans="1:7" ht="18.75" x14ac:dyDescent="0.3">
      <c r="A64" s="125">
        <v>525</v>
      </c>
      <c r="B64" s="107" t="s">
        <v>179</v>
      </c>
      <c r="C64" s="116">
        <v>1280000</v>
      </c>
      <c r="D64" s="121">
        <v>46137</v>
      </c>
      <c r="E64" s="107" t="s">
        <v>0</v>
      </c>
      <c r="F64" s="121">
        <v>46139</v>
      </c>
      <c r="G64" s="5">
        <f>+SUM(C48:C64)</f>
        <v>12169563.539999999</v>
      </c>
    </row>
    <row r="65" spans="1:8" ht="18.75" x14ac:dyDescent="0.3">
      <c r="A65" s="102"/>
      <c r="B65" s="34">
        <v>46113</v>
      </c>
      <c r="C65" s="95">
        <f ca="1">+SUM(C65:C68)</f>
        <v>0</v>
      </c>
      <c r="D65" s="93"/>
      <c r="E65" s="14"/>
      <c r="F65" s="93"/>
      <c r="G65" s="20"/>
      <c r="H65" s="15"/>
    </row>
    <row r="66" spans="1:8" ht="18.75" x14ac:dyDescent="0.3">
      <c r="A66" s="125">
        <v>801</v>
      </c>
      <c r="B66" s="107" t="s">
        <v>223</v>
      </c>
      <c r="C66" s="116">
        <v>104214</v>
      </c>
      <c r="D66" s="121">
        <v>46142</v>
      </c>
      <c r="E66" s="107" t="s">
        <v>226</v>
      </c>
      <c r="F66" s="121">
        <v>46142</v>
      </c>
      <c r="G66" s="20"/>
      <c r="H66" s="15"/>
    </row>
    <row r="67" spans="1:8" ht="18.75" x14ac:dyDescent="0.3">
      <c r="A67" s="125">
        <v>802</v>
      </c>
      <c r="B67" s="107" t="s">
        <v>224</v>
      </c>
      <c r="C67" s="116">
        <v>64445</v>
      </c>
      <c r="D67" s="121">
        <v>46142</v>
      </c>
      <c r="E67" s="107" t="s">
        <v>226</v>
      </c>
      <c r="F67" s="121">
        <v>46142</v>
      </c>
      <c r="G67" s="20"/>
      <c r="H67" s="15"/>
    </row>
    <row r="68" spans="1:8" ht="18.75" x14ac:dyDescent="0.3">
      <c r="A68" s="125" t="s">
        <v>1</v>
      </c>
      <c r="B68" s="114" t="s">
        <v>20</v>
      </c>
      <c r="C68" s="116">
        <v>206505.25</v>
      </c>
      <c r="D68" s="110">
        <v>46141</v>
      </c>
      <c r="E68" s="107" t="s">
        <v>0</v>
      </c>
      <c r="F68" s="121">
        <v>46141</v>
      </c>
      <c r="G68" s="20">
        <v>30640033173</v>
      </c>
      <c r="H68" s="15" t="s">
        <v>23</v>
      </c>
    </row>
    <row r="69" spans="1:8" ht="18.75" x14ac:dyDescent="0.3">
      <c r="A69" s="125" t="s">
        <v>1</v>
      </c>
      <c r="B69" s="217" t="s">
        <v>21</v>
      </c>
      <c r="C69" s="116">
        <v>167036.5</v>
      </c>
      <c r="D69" s="121">
        <v>46141</v>
      </c>
      <c r="E69" s="107" t="s">
        <v>0</v>
      </c>
      <c r="F69" s="121">
        <v>46141</v>
      </c>
      <c r="G69" s="20">
        <v>30640033173</v>
      </c>
      <c r="H69" s="15" t="s">
        <v>23</v>
      </c>
    </row>
    <row r="70" spans="1:8" ht="18.75" x14ac:dyDescent="0.3">
      <c r="A70" s="125" t="s">
        <v>3</v>
      </c>
      <c r="B70" s="107" t="s">
        <v>162</v>
      </c>
      <c r="C70" s="116">
        <v>529219.99</v>
      </c>
      <c r="D70" s="121">
        <v>46142</v>
      </c>
      <c r="E70" s="107" t="s">
        <v>0</v>
      </c>
      <c r="F70" s="121">
        <v>46142</v>
      </c>
      <c r="G70" s="20"/>
      <c r="H70" s="15"/>
    </row>
    <row r="71" spans="1:8" ht="18.75" x14ac:dyDescent="0.3">
      <c r="A71" s="125">
        <v>532</v>
      </c>
      <c r="B71" s="108" t="s">
        <v>100</v>
      </c>
      <c r="C71" s="116">
        <v>3867479.07</v>
      </c>
      <c r="D71" s="121">
        <v>46147</v>
      </c>
      <c r="E71" s="107" t="s">
        <v>0</v>
      </c>
      <c r="F71" s="121">
        <v>46147</v>
      </c>
      <c r="G71" s="20"/>
      <c r="H71" s="15"/>
    </row>
    <row r="72" spans="1:8" ht="18.75" x14ac:dyDescent="0.3">
      <c r="A72" s="17">
        <v>803</v>
      </c>
      <c r="B72" s="6" t="s">
        <v>225</v>
      </c>
      <c r="C72" s="7">
        <v>331919</v>
      </c>
      <c r="D72" s="96">
        <v>46142</v>
      </c>
      <c r="E72" s="213" t="s">
        <v>226</v>
      </c>
      <c r="F72" s="96">
        <v>46142</v>
      </c>
      <c r="G72" s="20"/>
      <c r="H72" s="15"/>
    </row>
    <row r="73" spans="1:8" ht="18.75" x14ac:dyDescent="0.3">
      <c r="A73" s="17">
        <v>529</v>
      </c>
      <c r="B73" s="27" t="s">
        <v>182</v>
      </c>
      <c r="C73" s="7">
        <v>600000</v>
      </c>
      <c r="D73" s="96">
        <v>46147</v>
      </c>
      <c r="E73" s="6" t="s">
        <v>0</v>
      </c>
      <c r="F73" s="96">
        <v>46147</v>
      </c>
      <c r="G73" s="20"/>
      <c r="H73" s="15"/>
    </row>
    <row r="74" spans="1:8" ht="18.75" x14ac:dyDescent="0.3">
      <c r="A74" s="17">
        <v>528</v>
      </c>
      <c r="B74" s="27" t="s">
        <v>146</v>
      </c>
      <c r="C74" s="7">
        <v>1569975</v>
      </c>
      <c r="D74" s="96">
        <v>46150</v>
      </c>
      <c r="E74" s="6" t="s">
        <v>0</v>
      </c>
      <c r="F74" s="96">
        <v>46150</v>
      </c>
      <c r="G74" s="20"/>
      <c r="H74" s="15"/>
    </row>
    <row r="75" spans="1:8" ht="18.75" x14ac:dyDescent="0.3">
      <c r="A75" s="17">
        <v>531</v>
      </c>
      <c r="B75" s="27" t="s">
        <v>129</v>
      </c>
      <c r="C75" s="7">
        <v>880972.80000000005</v>
      </c>
      <c r="D75" s="96">
        <v>46152</v>
      </c>
      <c r="E75" s="6" t="s">
        <v>0</v>
      </c>
      <c r="F75" s="96">
        <v>46153</v>
      </c>
      <c r="G75" s="20"/>
      <c r="H75" s="15"/>
    </row>
    <row r="76" spans="1:8" ht="18.75" x14ac:dyDescent="0.3">
      <c r="A76" s="17">
        <v>530</v>
      </c>
      <c r="B76" s="27" t="s">
        <v>181</v>
      </c>
      <c r="C76" s="7">
        <v>493500</v>
      </c>
      <c r="D76" s="96">
        <v>46157</v>
      </c>
      <c r="E76" s="6" t="s">
        <v>0</v>
      </c>
      <c r="F76" s="96">
        <v>46157</v>
      </c>
      <c r="G76" s="20"/>
      <c r="H76" s="15"/>
    </row>
    <row r="77" spans="1:8" ht="18.75" x14ac:dyDescent="0.3">
      <c r="A77" s="17" t="s">
        <v>3</v>
      </c>
      <c r="B77" s="6" t="s">
        <v>22</v>
      </c>
      <c r="C77" s="7">
        <v>388600</v>
      </c>
      <c r="D77" s="96">
        <v>46157</v>
      </c>
      <c r="E77" s="6" t="s">
        <v>0</v>
      </c>
      <c r="F77" s="96">
        <v>46159</v>
      </c>
      <c r="G77" s="20"/>
      <c r="H77" s="15"/>
    </row>
    <row r="78" spans="1:8" ht="18.75" x14ac:dyDescent="0.3">
      <c r="A78" s="17">
        <v>533</v>
      </c>
      <c r="B78" s="6" t="s">
        <v>217</v>
      </c>
      <c r="C78" s="7">
        <v>583850</v>
      </c>
      <c r="D78" s="96">
        <v>46157</v>
      </c>
      <c r="E78" s="6" t="s">
        <v>0</v>
      </c>
      <c r="F78" s="96">
        <v>46159</v>
      </c>
      <c r="G78" s="214"/>
      <c r="H78" s="15"/>
    </row>
    <row r="79" spans="1:8" ht="18.75" x14ac:dyDescent="0.3">
      <c r="A79" s="17">
        <v>535</v>
      </c>
      <c r="B79" s="6" t="s">
        <v>219</v>
      </c>
      <c r="C79" s="7">
        <v>643417.89</v>
      </c>
      <c r="D79" s="96">
        <v>46160</v>
      </c>
      <c r="E79" s="6" t="s">
        <v>0</v>
      </c>
      <c r="F79" s="96">
        <v>46160</v>
      </c>
      <c r="G79" s="20"/>
      <c r="H79" s="15"/>
    </row>
    <row r="80" spans="1:8" ht="18.75" x14ac:dyDescent="0.3">
      <c r="A80" s="17">
        <v>527</v>
      </c>
      <c r="B80" s="6" t="s">
        <v>180</v>
      </c>
      <c r="C80" s="7">
        <v>300000</v>
      </c>
      <c r="D80" s="96">
        <v>46162</v>
      </c>
      <c r="E80" s="6" t="s">
        <v>0</v>
      </c>
      <c r="F80" s="96">
        <v>46162</v>
      </c>
      <c r="G80" s="20"/>
      <c r="H80" s="15"/>
    </row>
    <row r="81" spans="1:8" ht="18.75" x14ac:dyDescent="0.3">
      <c r="A81" s="142" t="s">
        <v>1</v>
      </c>
      <c r="B81" s="143" t="s">
        <v>216</v>
      </c>
      <c r="C81" s="28">
        <v>677600</v>
      </c>
      <c r="D81" s="96">
        <v>46162</v>
      </c>
      <c r="E81" s="6" t="s">
        <v>0</v>
      </c>
      <c r="F81" s="96">
        <v>46162</v>
      </c>
      <c r="G81" s="20"/>
      <c r="H81" s="15"/>
    </row>
    <row r="82" spans="1:8" ht="18.75" x14ac:dyDescent="0.3">
      <c r="A82" s="17">
        <v>524</v>
      </c>
      <c r="B82" s="6" t="s">
        <v>89</v>
      </c>
      <c r="C82" s="7">
        <v>419063.52</v>
      </c>
      <c r="D82" s="96">
        <v>46164</v>
      </c>
      <c r="E82" s="6" t="s">
        <v>0</v>
      </c>
      <c r="F82" s="96">
        <v>46164</v>
      </c>
      <c r="G82" s="20"/>
      <c r="H82" s="15"/>
    </row>
    <row r="83" spans="1:8" ht="18.75" x14ac:dyDescent="0.3">
      <c r="A83" s="17" t="s">
        <v>1</v>
      </c>
      <c r="B83" s="6" t="s">
        <v>162</v>
      </c>
      <c r="C83" s="7">
        <v>575290.1</v>
      </c>
      <c r="D83" s="96">
        <v>46166</v>
      </c>
      <c r="E83" s="6" t="s">
        <v>0</v>
      </c>
      <c r="F83" s="96">
        <v>46168</v>
      </c>
      <c r="G83" s="20"/>
      <c r="H83" s="15"/>
    </row>
    <row r="84" spans="1:8" ht="18.75" x14ac:dyDescent="0.3">
      <c r="A84" s="17">
        <v>804</v>
      </c>
      <c r="B84" s="6" t="s">
        <v>100</v>
      </c>
      <c r="C84" s="7">
        <v>2960561.5</v>
      </c>
      <c r="D84" s="96">
        <v>46167</v>
      </c>
      <c r="E84" s="213" t="s">
        <v>226</v>
      </c>
      <c r="F84" s="96">
        <v>46168</v>
      </c>
      <c r="G84" s="20"/>
      <c r="H84" s="15"/>
    </row>
    <row r="85" spans="1:8" ht="18.75" x14ac:dyDescent="0.3">
      <c r="A85" s="6" t="s">
        <v>3</v>
      </c>
      <c r="B85" s="6" t="s">
        <v>172</v>
      </c>
      <c r="C85" s="7">
        <v>857000</v>
      </c>
      <c r="D85" s="96">
        <v>46171</v>
      </c>
      <c r="E85" s="6" t="s">
        <v>0</v>
      </c>
      <c r="F85" s="96">
        <v>46171</v>
      </c>
      <c r="G85" s="20"/>
      <c r="H85" s="15"/>
    </row>
    <row r="86" spans="1:8" ht="18.75" x14ac:dyDescent="0.3">
      <c r="A86" s="17" t="s">
        <v>1</v>
      </c>
      <c r="B86" s="29" t="s">
        <v>20</v>
      </c>
      <c r="C86" s="7">
        <v>206505.25</v>
      </c>
      <c r="D86" s="67">
        <v>46171</v>
      </c>
      <c r="E86" s="6" t="s">
        <v>0</v>
      </c>
      <c r="F86" s="96">
        <v>46171</v>
      </c>
      <c r="G86" s="20">
        <v>30640033173</v>
      </c>
      <c r="H86" s="15" t="s">
        <v>23</v>
      </c>
    </row>
    <row r="87" spans="1:8" ht="18.75" x14ac:dyDescent="0.3">
      <c r="A87" s="17" t="s">
        <v>1</v>
      </c>
      <c r="B87" s="161" t="s">
        <v>21</v>
      </c>
      <c r="C87" s="7">
        <v>167036.5</v>
      </c>
      <c r="D87" s="96">
        <v>46171</v>
      </c>
      <c r="E87" s="6" t="s">
        <v>0</v>
      </c>
      <c r="F87" s="96">
        <v>46171</v>
      </c>
      <c r="G87" s="20">
        <v>30640033173</v>
      </c>
      <c r="H87" s="15" t="s">
        <v>23</v>
      </c>
    </row>
    <row r="88" spans="1:8" ht="18.75" x14ac:dyDescent="0.3">
      <c r="A88" s="14"/>
      <c r="B88" s="34">
        <v>46143</v>
      </c>
      <c r="C88" s="95">
        <f>+SUM(C72:C87)</f>
        <v>11655291.559999999</v>
      </c>
      <c r="D88" s="93"/>
      <c r="E88" s="14"/>
      <c r="F88" s="93"/>
      <c r="G88" s="20"/>
      <c r="H88" s="15"/>
    </row>
    <row r="89" spans="1:8" ht="18.75" x14ac:dyDescent="0.3">
      <c r="A89" s="17">
        <v>536</v>
      </c>
      <c r="B89" s="27" t="s">
        <v>182</v>
      </c>
      <c r="C89" s="7">
        <v>325000</v>
      </c>
      <c r="D89" s="96">
        <v>46178</v>
      </c>
      <c r="E89" s="6" t="s">
        <v>0</v>
      </c>
      <c r="F89" s="96">
        <v>46178</v>
      </c>
      <c r="G89" s="20"/>
      <c r="H89" s="15"/>
    </row>
    <row r="90" spans="1:8" ht="18.75" x14ac:dyDescent="0.3">
      <c r="A90" s="17"/>
      <c r="B90" s="27" t="s">
        <v>227</v>
      </c>
      <c r="C90" s="7">
        <v>600000</v>
      </c>
      <c r="D90" s="96">
        <v>46181</v>
      </c>
      <c r="E90" s="6" t="s">
        <v>0</v>
      </c>
      <c r="F90" s="96">
        <v>46181</v>
      </c>
      <c r="G90" s="20"/>
      <c r="H90" s="15"/>
    </row>
    <row r="91" spans="1:8" ht="18.75" x14ac:dyDescent="0.3">
      <c r="A91" s="17">
        <v>534</v>
      </c>
      <c r="B91" s="27" t="s">
        <v>217</v>
      </c>
      <c r="C91" s="7">
        <v>583850</v>
      </c>
      <c r="D91" s="96">
        <v>46183</v>
      </c>
      <c r="E91" s="6" t="s">
        <v>0</v>
      </c>
      <c r="F91" s="96">
        <v>46183</v>
      </c>
      <c r="G91" s="20"/>
      <c r="H91" s="15"/>
    </row>
    <row r="92" spans="1:8" ht="18.75" x14ac:dyDescent="0.3">
      <c r="A92" s="17">
        <v>561</v>
      </c>
      <c r="B92" s="216" t="s">
        <v>244</v>
      </c>
      <c r="C92" s="7">
        <v>1297429</v>
      </c>
      <c r="D92" s="67">
        <v>46183</v>
      </c>
      <c r="E92" s="6" t="s">
        <v>0</v>
      </c>
      <c r="F92" s="96"/>
      <c r="G92" s="20"/>
      <c r="H92" s="15"/>
    </row>
    <row r="93" spans="1:8" ht="18.75" x14ac:dyDescent="0.3">
      <c r="A93" s="17" t="s">
        <v>1</v>
      </c>
      <c r="B93" s="29" t="s">
        <v>20</v>
      </c>
      <c r="C93" s="7">
        <v>206505.25</v>
      </c>
      <c r="D93" s="67">
        <v>46202</v>
      </c>
      <c r="E93" s="6" t="s">
        <v>0</v>
      </c>
      <c r="F93" s="96">
        <v>46202</v>
      </c>
      <c r="G93" s="20">
        <v>30640033173</v>
      </c>
      <c r="H93" s="15" t="s">
        <v>23</v>
      </c>
    </row>
    <row r="94" spans="1:8" ht="18.75" x14ac:dyDescent="0.3">
      <c r="A94" s="17" t="s">
        <v>1</v>
      </c>
      <c r="B94" s="161" t="s">
        <v>21</v>
      </c>
      <c r="C94" s="7">
        <v>167036.5</v>
      </c>
      <c r="D94" s="96">
        <v>46202</v>
      </c>
      <c r="E94" s="6" t="s">
        <v>0</v>
      </c>
      <c r="F94" s="96">
        <v>46202</v>
      </c>
      <c r="G94" s="20">
        <v>30640033173</v>
      </c>
      <c r="H94" s="15" t="s">
        <v>23</v>
      </c>
    </row>
    <row r="95" spans="1:8" ht="18.75" x14ac:dyDescent="0.3">
      <c r="A95" s="13"/>
      <c r="B95" s="34">
        <v>46174</v>
      </c>
      <c r="C95" s="193">
        <f>+SUM(C89:C94)</f>
        <v>3179820.75</v>
      </c>
      <c r="D95" s="93"/>
      <c r="E95" s="14"/>
      <c r="F95" s="93"/>
      <c r="G95" s="20"/>
      <c r="H95" s="15"/>
    </row>
    <row r="96" spans="1:8" ht="18.75" x14ac:dyDescent="0.3">
      <c r="A96" s="13">
        <v>562</v>
      </c>
      <c r="B96" s="251" t="s">
        <v>244</v>
      </c>
      <c r="C96" s="7">
        <v>1297429</v>
      </c>
      <c r="D96" s="93">
        <v>46213</v>
      </c>
      <c r="E96" s="14"/>
      <c r="F96" s="93"/>
      <c r="G96" s="20"/>
      <c r="H96" s="15"/>
    </row>
    <row r="97" spans="1:8" ht="18.75" x14ac:dyDescent="0.3">
      <c r="A97" s="13"/>
      <c r="B97" s="34"/>
      <c r="C97" s="193">
        <f>+C96</f>
        <v>1297429</v>
      </c>
      <c r="D97" s="93"/>
      <c r="E97" s="14"/>
      <c r="F97" s="93"/>
      <c r="G97" s="20"/>
      <c r="H97" s="15"/>
    </row>
    <row r="98" spans="1:8" ht="18.75" x14ac:dyDescent="0.3">
      <c r="A98" s="13">
        <v>563</v>
      </c>
      <c r="B98" s="34"/>
      <c r="C98" s="7">
        <v>1297429</v>
      </c>
      <c r="D98" s="93">
        <v>46244</v>
      </c>
      <c r="E98" s="14"/>
      <c r="F98" s="93"/>
      <c r="G98" s="20"/>
      <c r="H98" s="15"/>
    </row>
    <row r="99" spans="1:8" ht="18.75" x14ac:dyDescent="0.3">
      <c r="A99" s="13"/>
      <c r="B99" s="34"/>
      <c r="C99" s="193">
        <f>+C98</f>
        <v>1297429</v>
      </c>
      <c r="D99" s="93"/>
      <c r="E99" s="14"/>
      <c r="F99" s="93"/>
      <c r="G99" s="20"/>
      <c r="H99" s="15"/>
    </row>
    <row r="100" spans="1:8" ht="18.75" x14ac:dyDescent="0.3">
      <c r="A100" s="13">
        <v>564</v>
      </c>
      <c r="B100" s="34"/>
      <c r="C100" s="7">
        <v>1297429</v>
      </c>
      <c r="D100" s="93">
        <v>46275</v>
      </c>
      <c r="E100" s="14"/>
      <c r="F100" s="93"/>
      <c r="G100" s="20"/>
      <c r="H100" s="15"/>
    </row>
    <row r="101" spans="1:8" ht="18.75" x14ac:dyDescent="0.3">
      <c r="A101" s="13"/>
      <c r="B101" s="34"/>
      <c r="C101" s="193">
        <f>+C100</f>
        <v>1297429</v>
      </c>
      <c r="D101" s="93"/>
      <c r="E101" s="14"/>
      <c r="F101" s="93"/>
      <c r="G101" s="20"/>
      <c r="H101" s="15"/>
    </row>
    <row r="102" spans="1:8" ht="18.75" x14ac:dyDescent="0.3">
      <c r="A102" s="13">
        <v>565</v>
      </c>
      <c r="B102" s="34"/>
      <c r="C102" s="7">
        <v>1297429</v>
      </c>
      <c r="D102" s="93">
        <v>46305</v>
      </c>
      <c r="E102" s="14"/>
      <c r="F102" s="93"/>
      <c r="G102" s="20"/>
      <c r="H102" s="15"/>
    </row>
    <row r="103" spans="1:8" ht="18.75" x14ac:dyDescent="0.3">
      <c r="A103" s="13"/>
      <c r="B103" s="34"/>
      <c r="C103" s="193">
        <f>+C102</f>
        <v>1297429</v>
      </c>
      <c r="D103" s="93"/>
      <c r="E103" s="14"/>
      <c r="F103" s="93"/>
      <c r="G103" s="20"/>
      <c r="H103" s="15"/>
    </row>
    <row r="104" spans="1:8" ht="18.75" x14ac:dyDescent="0.3">
      <c r="A104" s="13">
        <v>566</v>
      </c>
      <c r="B104" s="34"/>
      <c r="C104" s="7">
        <v>1297429</v>
      </c>
      <c r="D104" s="93">
        <v>46336</v>
      </c>
      <c r="E104" s="14"/>
      <c r="F104" s="93"/>
      <c r="G104" s="20"/>
      <c r="H104" s="15"/>
    </row>
    <row r="105" spans="1:8" ht="18.75" x14ac:dyDescent="0.3">
      <c r="A105" s="13"/>
      <c r="B105" s="34"/>
      <c r="C105" s="193">
        <f>+C104</f>
        <v>1297429</v>
      </c>
      <c r="D105" s="93"/>
      <c r="E105" s="14"/>
      <c r="F105" s="93"/>
      <c r="G105" s="20"/>
      <c r="H105" s="15"/>
    </row>
    <row r="106" spans="1:8" ht="18.75" x14ac:dyDescent="0.3">
      <c r="A106" s="13">
        <v>567</v>
      </c>
      <c r="B106" s="34"/>
      <c r="C106" s="7">
        <v>1297429</v>
      </c>
      <c r="D106" s="93">
        <v>46366</v>
      </c>
      <c r="E106" s="14"/>
      <c r="F106" s="93"/>
      <c r="G106" s="20"/>
      <c r="H106" s="15"/>
    </row>
    <row r="107" spans="1:8" ht="18.75" x14ac:dyDescent="0.3">
      <c r="A107" s="13"/>
      <c r="B107" s="34"/>
      <c r="C107" s="193">
        <f>+C106</f>
        <v>1297429</v>
      </c>
      <c r="D107" s="93"/>
      <c r="E107" s="14"/>
      <c r="F107" s="93"/>
      <c r="G107" s="20"/>
      <c r="H107" s="15"/>
    </row>
    <row r="108" spans="1:8" ht="18.75" x14ac:dyDescent="0.3">
      <c r="B108" s="137" t="s">
        <v>245</v>
      </c>
      <c r="C108" s="192">
        <f>+C88+C95+C97+C99+C101+C103+C105+C107</f>
        <v>22619686.309999999</v>
      </c>
      <c r="D108" s="16"/>
    </row>
    <row r="109" spans="1:8" ht="18.75" x14ac:dyDescent="0.3">
      <c r="A109" s="13"/>
      <c r="B109" s="14"/>
      <c r="C109" s="15"/>
      <c r="D109" s="16"/>
      <c r="E109" s="2"/>
      <c r="F109" s="4"/>
    </row>
    <row r="110" spans="1:8" ht="18.75" x14ac:dyDescent="0.3">
      <c r="A110" s="13"/>
      <c r="B110" s="2"/>
      <c r="C110" s="2"/>
      <c r="D110" s="3"/>
      <c r="E110" s="1"/>
      <c r="F110" s="3"/>
    </row>
    <row r="111" spans="1:8" ht="15.75" x14ac:dyDescent="0.25">
      <c r="A111" s="2"/>
      <c r="B111" s="10"/>
      <c r="C111" s="11"/>
      <c r="D111" s="3"/>
      <c r="E111" s="1"/>
      <c r="F111" s="3"/>
    </row>
    <row r="112" spans="1:8" ht="15.75" x14ac:dyDescent="0.25">
      <c r="A112" s="9"/>
      <c r="B112" s="10"/>
      <c r="C112" s="11"/>
      <c r="D112" s="3"/>
      <c r="E112" s="1"/>
      <c r="F112" s="3"/>
    </row>
    <row r="113" spans="1:6" ht="15.75" x14ac:dyDescent="0.25">
      <c r="A113" s="9"/>
      <c r="B113" s="10"/>
      <c r="C113" s="11"/>
      <c r="D113" s="3"/>
      <c r="E113" s="1"/>
      <c r="F113" s="3"/>
    </row>
    <row r="114" spans="1:6" ht="15.75" x14ac:dyDescent="0.25">
      <c r="A114" s="9"/>
      <c r="B114" s="10"/>
      <c r="C114" s="11"/>
      <c r="D114" s="3"/>
      <c r="E114" s="1"/>
      <c r="F114" s="3"/>
    </row>
    <row r="115" spans="1:6" ht="15.75" x14ac:dyDescent="0.25">
      <c r="A115" s="9"/>
      <c r="B115" s="10"/>
      <c r="C115" s="11"/>
      <c r="D115" s="3"/>
      <c r="E115" s="1"/>
      <c r="F115" s="3"/>
    </row>
    <row r="116" spans="1:6" ht="15.75" x14ac:dyDescent="0.25">
      <c r="A116" s="9"/>
      <c r="B116" s="12"/>
      <c r="C116" s="11"/>
      <c r="D116" s="3"/>
      <c r="E116" s="1"/>
      <c r="F116" s="3"/>
    </row>
    <row r="117" spans="1:6" ht="15.75" x14ac:dyDescent="0.25">
      <c r="A117" s="9"/>
      <c r="B117" s="12"/>
      <c r="C117" s="11"/>
      <c r="D117" s="3"/>
      <c r="E117" s="1"/>
      <c r="F117" s="3"/>
    </row>
    <row r="118" spans="1:6" ht="15.75" x14ac:dyDescent="0.25">
      <c r="A118" s="9"/>
      <c r="B118" s="12"/>
      <c r="C118" s="11"/>
      <c r="D118" s="3"/>
      <c r="E118" s="1"/>
      <c r="F118" s="3"/>
    </row>
    <row r="119" spans="1:6" ht="15.75" x14ac:dyDescent="0.25">
      <c r="A119" s="9"/>
      <c r="B119" s="12"/>
      <c r="C119" s="11"/>
      <c r="D119" s="3"/>
      <c r="E119" s="1"/>
      <c r="F119" s="3"/>
    </row>
    <row r="120" spans="1:6" ht="15.75" x14ac:dyDescent="0.25">
      <c r="A120" s="9"/>
      <c r="B120" s="12"/>
      <c r="C120" s="11"/>
      <c r="D120" s="3"/>
      <c r="E120" s="1"/>
      <c r="F120" s="3"/>
    </row>
    <row r="121" spans="1:6" ht="15.75" x14ac:dyDescent="0.25">
      <c r="A121" s="9"/>
      <c r="B121" s="12"/>
      <c r="C121" s="11"/>
      <c r="D121" s="3"/>
      <c r="E121" s="1"/>
      <c r="F121" s="3"/>
    </row>
    <row r="122" spans="1:6" ht="15.75" x14ac:dyDescent="0.25">
      <c r="A122" s="9"/>
      <c r="D122" s="3"/>
      <c r="E122" s="1"/>
      <c r="F122" s="1"/>
    </row>
    <row r="124" spans="1:6" x14ac:dyDescent="0.25">
      <c r="C124" s="5"/>
    </row>
  </sheetData>
  <mergeCells count="1">
    <mergeCell ref="A1:F1"/>
  </mergeCells>
  <pageMargins left="0" right="0" top="0" bottom="0" header="0.11811023622047245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activeCell="E6" sqref="E6"/>
    </sheetView>
  </sheetViews>
  <sheetFormatPr baseColWidth="10" defaultRowHeight="15" x14ac:dyDescent="0.25"/>
  <cols>
    <col min="1" max="1" width="43.5703125" bestFit="1" customWidth="1"/>
    <col min="2" max="2" width="20" bestFit="1" customWidth="1"/>
    <col min="3" max="3" width="23.140625" bestFit="1" customWidth="1"/>
    <col min="4" max="4" width="20.85546875" bestFit="1" customWidth="1"/>
    <col min="5" max="5" width="16.85546875" bestFit="1" customWidth="1"/>
  </cols>
  <sheetData>
    <row r="1" spans="1:5" ht="18" x14ac:dyDescent="0.25">
      <c r="B1" s="18" t="s">
        <v>62</v>
      </c>
      <c r="C1" s="49"/>
    </row>
    <row r="2" spans="1:5" ht="18.75" x14ac:dyDescent="0.3">
      <c r="A2" s="122" t="s">
        <v>4</v>
      </c>
      <c r="B2" s="123">
        <v>46032</v>
      </c>
      <c r="C2" s="124">
        <v>1643018.4</v>
      </c>
      <c r="D2" s="123">
        <v>45669</v>
      </c>
      <c r="E2" s="125" t="s">
        <v>119</v>
      </c>
    </row>
    <row r="3" spans="1:5" ht="18" x14ac:dyDescent="0.25">
      <c r="C3" s="70">
        <f>+C2</f>
        <v>1643018.4</v>
      </c>
    </row>
    <row r="4" spans="1:5" ht="18" x14ac:dyDescent="0.25">
      <c r="B4" s="18" t="s">
        <v>221</v>
      </c>
    </row>
    <row r="5" spans="1:5" ht="18.75" x14ac:dyDescent="0.3">
      <c r="A5" s="122" t="s">
        <v>222</v>
      </c>
      <c r="B5" s="123">
        <v>46134</v>
      </c>
      <c r="C5" s="124">
        <v>2814417.65</v>
      </c>
      <c r="D5" s="123">
        <v>46134</v>
      </c>
      <c r="E5" s="125" t="s">
        <v>119</v>
      </c>
    </row>
  </sheetData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76"/>
  <sheetViews>
    <sheetView topLeftCell="A40" zoomScale="93" zoomScaleNormal="93" workbookViewId="0">
      <selection activeCell="B76" sqref="B76"/>
    </sheetView>
  </sheetViews>
  <sheetFormatPr baseColWidth="10" defaultRowHeight="15" x14ac:dyDescent="0.25"/>
  <cols>
    <col min="1" max="1" width="23.85546875" customWidth="1"/>
    <col min="2" max="2" width="23" customWidth="1"/>
    <col min="3" max="3" width="26" customWidth="1"/>
    <col min="4" max="4" width="22.5703125" customWidth="1"/>
    <col min="5" max="9" width="25.140625" customWidth="1"/>
    <col min="10" max="10" width="24.5703125" customWidth="1"/>
    <col min="11" max="11" width="21" hidden="1" customWidth="1"/>
    <col min="12" max="12" width="21.5703125" hidden="1" customWidth="1"/>
    <col min="13" max="13" width="22.140625" hidden="1" customWidth="1"/>
    <col min="14" max="14" width="20.28515625" hidden="1" customWidth="1"/>
    <col min="15" max="15" width="22.5703125" bestFit="1" customWidth="1"/>
    <col min="16" max="16" width="23" customWidth="1"/>
    <col min="17" max="17" width="21.7109375" bestFit="1" customWidth="1"/>
  </cols>
  <sheetData>
    <row r="1" spans="1:19" ht="37.5" x14ac:dyDescent="0.25">
      <c r="A1" s="221" t="s">
        <v>27</v>
      </c>
      <c r="B1" s="221"/>
      <c r="C1" s="221"/>
      <c r="J1" s="74" t="s">
        <v>65</v>
      </c>
      <c r="K1" s="58" t="s">
        <v>49</v>
      </c>
      <c r="L1" s="58" t="s">
        <v>51</v>
      </c>
      <c r="M1" s="82" t="s">
        <v>57</v>
      </c>
      <c r="N1" s="82" t="s">
        <v>139</v>
      </c>
      <c r="O1" s="82" t="s">
        <v>185</v>
      </c>
      <c r="P1" s="82" t="s">
        <v>186</v>
      </c>
      <c r="Q1" s="82" t="s">
        <v>184</v>
      </c>
    </row>
    <row r="2" spans="1:19" ht="18.75" x14ac:dyDescent="0.3">
      <c r="A2" s="14"/>
      <c r="B2" s="14"/>
      <c r="C2" s="14"/>
      <c r="J2" s="78"/>
      <c r="K2" s="73"/>
      <c r="L2" s="83"/>
      <c r="M2" s="119"/>
      <c r="N2" s="78"/>
      <c r="O2" s="78"/>
      <c r="Q2" s="78"/>
      <c r="R2" s="166"/>
      <c r="S2" t="s">
        <v>67</v>
      </c>
    </row>
    <row r="3" spans="1:19" ht="18.75" x14ac:dyDescent="0.3">
      <c r="A3" s="36" t="s">
        <v>37</v>
      </c>
      <c r="B3" s="37" t="s">
        <v>48</v>
      </c>
      <c r="C3" s="17" t="s">
        <v>36</v>
      </c>
      <c r="J3" s="102"/>
      <c r="K3" s="73"/>
      <c r="L3" s="83"/>
      <c r="M3" s="83"/>
      <c r="N3" s="56"/>
      <c r="O3" s="56"/>
      <c r="Q3" s="56"/>
      <c r="R3" s="167"/>
      <c r="S3" t="s">
        <v>69</v>
      </c>
    </row>
    <row r="4" spans="1:19" ht="18.75" x14ac:dyDescent="0.3">
      <c r="A4" s="38">
        <v>54891681.100000001</v>
      </c>
      <c r="B4" s="59">
        <v>38424176.769999996</v>
      </c>
      <c r="C4" s="39">
        <f>+A4-B4</f>
        <v>16467504.330000006</v>
      </c>
      <c r="D4" t="s">
        <v>54</v>
      </c>
      <c r="J4" s="204">
        <f>+C4</f>
        <v>16467504.330000006</v>
      </c>
      <c r="K4" s="73"/>
      <c r="L4" s="83"/>
      <c r="M4" s="83"/>
      <c r="N4" s="61"/>
      <c r="O4" s="56"/>
      <c r="Q4" s="56"/>
      <c r="R4" s="168"/>
      <c r="S4" t="s">
        <v>68</v>
      </c>
    </row>
    <row r="5" spans="1:19" ht="18.75" x14ac:dyDescent="0.3">
      <c r="A5" s="42"/>
      <c r="B5" s="62"/>
      <c r="C5" s="43"/>
      <c r="J5" s="204"/>
      <c r="K5" s="73"/>
      <c r="L5" s="83"/>
      <c r="M5" s="83"/>
      <c r="N5" s="61"/>
      <c r="O5" s="56"/>
      <c r="Q5" s="56"/>
      <c r="R5" s="209"/>
    </row>
    <row r="6" spans="1:19" ht="18.75" x14ac:dyDescent="0.3">
      <c r="A6" s="224" t="s">
        <v>233</v>
      </c>
      <c r="B6" s="225"/>
      <c r="C6" s="39">
        <v>2985806</v>
      </c>
      <c r="J6" s="61"/>
      <c r="K6" s="73"/>
      <c r="L6" s="83"/>
      <c r="M6" s="83"/>
      <c r="N6" s="61"/>
      <c r="O6" s="56"/>
      <c r="Q6" s="56"/>
      <c r="R6" s="209"/>
    </row>
    <row r="7" spans="1:19" ht="18.75" x14ac:dyDescent="0.3">
      <c r="A7" s="45"/>
      <c r="B7" s="45"/>
      <c r="C7" s="136">
        <v>2814417.65</v>
      </c>
      <c r="J7" s="61"/>
      <c r="K7" s="73"/>
      <c r="L7" s="83"/>
      <c r="M7" s="83"/>
      <c r="N7" s="61"/>
      <c r="O7" s="56"/>
      <c r="Q7" s="84">
        <f>+C7</f>
        <v>2814417.65</v>
      </c>
      <c r="R7" s="209"/>
    </row>
    <row r="8" spans="1:19" ht="18.75" x14ac:dyDescent="0.3">
      <c r="A8" s="14"/>
      <c r="B8" s="14"/>
      <c r="C8" s="14"/>
      <c r="J8" s="56"/>
      <c r="K8" s="73"/>
      <c r="L8" s="83"/>
      <c r="M8" s="83"/>
      <c r="N8" s="56"/>
      <c r="O8" s="56"/>
      <c r="Q8" s="56"/>
    </row>
    <row r="9" spans="1:19" ht="18.75" x14ac:dyDescent="0.3">
      <c r="A9" s="219" t="s">
        <v>28</v>
      </c>
      <c r="B9" s="219"/>
      <c r="C9" s="219"/>
      <c r="J9" s="56"/>
      <c r="K9" s="73"/>
      <c r="L9" s="83"/>
      <c r="M9" s="83"/>
      <c r="N9" s="56"/>
      <c r="O9" s="61"/>
      <c r="Q9" s="56"/>
    </row>
    <row r="10" spans="1:19" ht="18.75" x14ac:dyDescent="0.25">
      <c r="D10" s="52" t="s">
        <v>34</v>
      </c>
      <c r="E10" s="68" t="s">
        <v>47</v>
      </c>
      <c r="F10" s="75" t="s">
        <v>63</v>
      </c>
      <c r="G10" s="75" t="s">
        <v>110</v>
      </c>
      <c r="H10" s="75" t="s">
        <v>159</v>
      </c>
      <c r="I10" s="75" t="s">
        <v>210</v>
      </c>
      <c r="J10" s="56"/>
      <c r="K10" s="73"/>
      <c r="L10" s="83"/>
      <c r="M10" s="83"/>
      <c r="N10" s="56"/>
      <c r="O10" s="56"/>
      <c r="Q10" s="56"/>
    </row>
    <row r="11" spans="1:19" ht="37.5" x14ac:dyDescent="0.3">
      <c r="A11" s="48" t="s">
        <v>29</v>
      </c>
      <c r="B11" s="48" t="s">
        <v>38</v>
      </c>
      <c r="C11" s="50" t="s">
        <v>41</v>
      </c>
      <c r="D11" s="54" t="s">
        <v>115</v>
      </c>
      <c r="E11" s="54" t="s">
        <v>116</v>
      </c>
      <c r="F11" s="76" t="s">
        <v>117</v>
      </c>
      <c r="G11" s="76" t="s">
        <v>118</v>
      </c>
      <c r="H11" s="76" t="s">
        <v>160</v>
      </c>
      <c r="I11" s="76" t="s">
        <v>211</v>
      </c>
      <c r="J11" s="210"/>
      <c r="K11" s="73"/>
      <c r="L11" s="83"/>
      <c r="M11" s="83"/>
      <c r="N11" s="56"/>
      <c r="O11" s="56"/>
      <c r="Q11" s="56"/>
    </row>
    <row r="12" spans="1:19" ht="18.75" x14ac:dyDescent="0.3">
      <c r="A12" s="38">
        <v>172665062.38</v>
      </c>
      <c r="B12" s="99">
        <v>51799518.713999994</v>
      </c>
      <c r="C12" s="99">
        <v>2688941.31</v>
      </c>
      <c r="D12" s="53">
        <v>35260237.450000003</v>
      </c>
      <c r="E12" s="53">
        <v>22520106.800000001</v>
      </c>
      <c r="F12" s="71">
        <v>41962705.579999998</v>
      </c>
      <c r="G12" s="53">
        <v>2792808.08</v>
      </c>
      <c r="H12" s="53">
        <v>13535071.390000001</v>
      </c>
      <c r="I12" s="53">
        <v>4794614.37</v>
      </c>
      <c r="J12" s="80">
        <f>+A12-B12-D12-E12-F12-G12-H12</f>
        <v>4794614.3660000116</v>
      </c>
      <c r="K12" s="101"/>
      <c r="L12" s="83"/>
      <c r="M12" s="83"/>
      <c r="N12" s="56"/>
      <c r="O12" s="57"/>
      <c r="Q12" s="56"/>
    </row>
    <row r="13" spans="1:19" ht="18.75" x14ac:dyDescent="0.3">
      <c r="A13" s="42"/>
      <c r="B13" s="42"/>
      <c r="D13" s="55">
        <v>1138182.92</v>
      </c>
      <c r="E13" s="55">
        <v>1846986.94</v>
      </c>
      <c r="F13" s="77">
        <v>3134739.89</v>
      </c>
      <c r="G13" s="55">
        <v>293203.69</v>
      </c>
      <c r="H13" s="152">
        <v>1740323.58</v>
      </c>
      <c r="I13" s="184">
        <v>635172.55000000005</v>
      </c>
      <c r="J13" s="86"/>
      <c r="K13" s="101"/>
      <c r="L13" s="83"/>
      <c r="M13" s="83"/>
      <c r="N13" s="56"/>
      <c r="O13" s="87">
        <f>+G15</f>
        <v>2941981.06</v>
      </c>
      <c r="P13" s="83"/>
      <c r="Q13" s="56"/>
    </row>
    <row r="14" spans="1:19" ht="18.75" x14ac:dyDescent="0.3">
      <c r="A14" s="42"/>
      <c r="B14" s="42"/>
      <c r="C14" s="13"/>
      <c r="D14" s="99">
        <f t="shared" ref="D14:I14" si="0">+D12+D13</f>
        <v>36398420.370000005</v>
      </c>
      <c r="E14" s="99">
        <f t="shared" si="0"/>
        <v>24367093.740000002</v>
      </c>
      <c r="F14" s="145">
        <f t="shared" si="0"/>
        <v>45097445.469999999</v>
      </c>
      <c r="G14" s="99">
        <f t="shared" si="0"/>
        <v>3086011.77</v>
      </c>
      <c r="H14" s="99">
        <f t="shared" si="0"/>
        <v>15275394.970000001</v>
      </c>
      <c r="I14" s="185">
        <f t="shared" si="0"/>
        <v>5429786.9199999999</v>
      </c>
      <c r="J14" s="80"/>
      <c r="K14" s="101"/>
      <c r="L14" s="83"/>
      <c r="M14" s="134"/>
      <c r="N14" s="56"/>
      <c r="O14" s="87">
        <f>+F15</f>
        <v>42974363.759999998</v>
      </c>
      <c r="Q14" s="61"/>
    </row>
    <row r="15" spans="1:19" ht="18.75" x14ac:dyDescent="0.3">
      <c r="A15" s="38" t="s">
        <v>53</v>
      </c>
      <c r="B15" s="59">
        <v>49073039.530000001</v>
      </c>
      <c r="C15" s="59">
        <v>2563615.58</v>
      </c>
      <c r="D15" s="59">
        <v>34685127.439999998</v>
      </c>
      <c r="E15" s="84">
        <v>23220565.780000001</v>
      </c>
      <c r="F15" s="84">
        <v>42974363.759999998</v>
      </c>
      <c r="G15" s="84">
        <v>2941981.06</v>
      </c>
      <c r="H15" s="84">
        <v>14509971.119999999</v>
      </c>
      <c r="I15" s="46"/>
      <c r="J15" s="56"/>
      <c r="K15" s="186">
        <f>+SUM(B15:C15)</f>
        <v>51636655.109999999</v>
      </c>
      <c r="L15" s="84">
        <f>+D15</f>
        <v>34685127.439999998</v>
      </c>
      <c r="M15" s="87">
        <f>+E15</f>
        <v>23220565.780000001</v>
      </c>
      <c r="N15" s="56"/>
      <c r="P15" s="83"/>
      <c r="Q15" s="84">
        <f>+H15</f>
        <v>14509971.119999999</v>
      </c>
    </row>
    <row r="16" spans="1:19" ht="18.75" x14ac:dyDescent="0.3">
      <c r="A16" s="40"/>
      <c r="B16" s="41"/>
      <c r="C16" s="14"/>
      <c r="J16" s="56"/>
      <c r="K16" s="73"/>
      <c r="L16" s="83"/>
      <c r="M16" s="119"/>
      <c r="N16" s="56"/>
      <c r="P16" s="83"/>
      <c r="Q16" s="78"/>
    </row>
    <row r="17" spans="1:17" ht="18.75" x14ac:dyDescent="0.3">
      <c r="A17" s="219" t="s">
        <v>30</v>
      </c>
      <c r="B17" s="219"/>
      <c r="C17" s="219"/>
      <c r="J17" s="56"/>
      <c r="K17" s="73"/>
      <c r="L17" s="83"/>
      <c r="M17" s="83"/>
      <c r="N17" s="56"/>
      <c r="P17" s="83"/>
      <c r="Q17" s="56"/>
    </row>
    <row r="18" spans="1:17" ht="18.75" x14ac:dyDescent="0.25">
      <c r="D18" s="52" t="s">
        <v>35</v>
      </c>
      <c r="E18" s="68" t="s">
        <v>47</v>
      </c>
      <c r="F18" s="75" t="s">
        <v>63</v>
      </c>
      <c r="G18" s="68" t="s">
        <v>110</v>
      </c>
      <c r="H18" s="106"/>
      <c r="I18" s="106"/>
      <c r="J18" s="56"/>
      <c r="K18" s="73"/>
      <c r="L18" s="83"/>
      <c r="M18" s="83"/>
      <c r="N18" s="56"/>
      <c r="P18" s="83"/>
      <c r="Q18" s="56"/>
    </row>
    <row r="19" spans="1:17" ht="37.5" x14ac:dyDescent="0.25">
      <c r="A19" s="48" t="s">
        <v>29</v>
      </c>
      <c r="B19" s="48" t="s">
        <v>33</v>
      </c>
      <c r="C19" s="51" t="s">
        <v>41</v>
      </c>
      <c r="D19" s="54" t="s">
        <v>52</v>
      </c>
      <c r="E19" s="54" t="s">
        <v>56</v>
      </c>
      <c r="F19" s="76" t="s">
        <v>64</v>
      </c>
      <c r="G19" s="54" t="s">
        <v>111</v>
      </c>
      <c r="H19" s="98"/>
      <c r="I19" s="98"/>
      <c r="J19" s="79"/>
      <c r="K19" s="73"/>
      <c r="L19" s="83"/>
      <c r="M19" s="83"/>
      <c r="N19" s="56"/>
      <c r="P19" s="83"/>
      <c r="Q19" s="56"/>
    </row>
    <row r="20" spans="1:17" ht="18.75" x14ac:dyDescent="0.3">
      <c r="A20" s="38">
        <v>79457864.120000005</v>
      </c>
      <c r="B20" s="99">
        <v>7945786.4100000001</v>
      </c>
      <c r="C20" s="99">
        <v>229128.31</v>
      </c>
      <c r="D20" s="53">
        <v>30635324.030000001</v>
      </c>
      <c r="E20" s="53">
        <v>27296344.300000001</v>
      </c>
      <c r="F20" s="71">
        <v>7822754.5800000001</v>
      </c>
      <c r="G20" s="53">
        <v>5757654.7999999998</v>
      </c>
      <c r="H20" s="62"/>
      <c r="J20" s="60">
        <f>+A20-B20-D20-E20-F20-G20</f>
        <v>0</v>
      </c>
      <c r="K20" s="73"/>
      <c r="L20" s="83"/>
      <c r="M20" s="83"/>
      <c r="N20" s="56"/>
      <c r="P20" s="83"/>
      <c r="Q20" s="56"/>
    </row>
    <row r="21" spans="1:17" ht="18.75" x14ac:dyDescent="0.3">
      <c r="A21" s="42"/>
      <c r="B21" s="42"/>
      <c r="D21" s="55">
        <v>784891.34</v>
      </c>
      <c r="E21" s="55">
        <v>1569281.91</v>
      </c>
      <c r="F21" s="72">
        <v>539013.17000000004</v>
      </c>
      <c r="G21" s="55">
        <v>546710.77</v>
      </c>
      <c r="H21" s="62"/>
      <c r="I21" s="62"/>
      <c r="J21" s="80"/>
      <c r="K21" s="73"/>
      <c r="L21" s="83"/>
      <c r="M21" s="83"/>
      <c r="N21" s="56"/>
      <c r="P21" s="83"/>
      <c r="Q21" s="56"/>
    </row>
    <row r="22" spans="1:17" ht="18.75" x14ac:dyDescent="0.3">
      <c r="A22" s="42"/>
      <c r="B22" s="42"/>
      <c r="C22" s="13"/>
      <c r="D22" s="99">
        <f>+D20+D21</f>
        <v>31420215.370000001</v>
      </c>
      <c r="E22" s="120">
        <f>+E20+E21</f>
        <v>28865626.210000001</v>
      </c>
      <c r="F22" s="120">
        <f>+F20+F21</f>
        <v>8361767.75</v>
      </c>
      <c r="G22" s="120">
        <f>+G20+G21</f>
        <v>6304365.5700000003</v>
      </c>
      <c r="H22" s="46"/>
      <c r="I22" s="46"/>
      <c r="J22" s="80"/>
      <c r="K22" s="73"/>
      <c r="L22" s="83"/>
      <c r="M22" s="134"/>
      <c r="N22" s="85"/>
      <c r="P22" s="83"/>
      <c r="Q22" s="56"/>
    </row>
    <row r="23" spans="1:17" ht="18.75" x14ac:dyDescent="0.3">
      <c r="A23" s="38" t="s">
        <v>53</v>
      </c>
      <c r="B23" s="59">
        <v>7572824.1699999999</v>
      </c>
      <c r="C23" s="59">
        <v>219678.05</v>
      </c>
      <c r="D23" s="59">
        <v>20019134.100000001</v>
      </c>
      <c r="E23" s="136">
        <v>27507183.91</v>
      </c>
      <c r="F23" s="84">
        <v>7969209.6900000004</v>
      </c>
      <c r="G23" s="136">
        <v>6008726.4500000002</v>
      </c>
      <c r="H23" s="43"/>
      <c r="I23" s="43"/>
      <c r="J23" s="81"/>
      <c r="K23" s="131">
        <f>+SUM(B23:C23)</f>
        <v>7792502.2199999997</v>
      </c>
      <c r="L23" s="61"/>
      <c r="M23" s="133">
        <f>+E23</f>
        <v>27507183.91</v>
      </c>
      <c r="N23" s="139">
        <f>+F23</f>
        <v>7969209.6900000004</v>
      </c>
      <c r="O23" s="157">
        <f>+G23</f>
        <v>6008726.4500000002</v>
      </c>
      <c r="P23" s="83"/>
      <c r="Q23" s="56"/>
    </row>
    <row r="24" spans="1:17" ht="18.75" x14ac:dyDescent="0.3">
      <c r="A24" s="42"/>
      <c r="B24" s="62"/>
      <c r="C24" s="62"/>
      <c r="D24" s="59">
        <v>9922298.8300000001</v>
      </c>
      <c r="E24" s="43"/>
      <c r="F24" s="43"/>
      <c r="G24" s="153" t="s">
        <v>156</v>
      </c>
      <c r="H24" s="43"/>
      <c r="I24" s="43"/>
      <c r="J24" s="56"/>
      <c r="K24" s="187"/>
      <c r="L24" s="46"/>
      <c r="M24" s="78"/>
      <c r="O24" s="83"/>
      <c r="P24" s="83"/>
      <c r="Q24" s="56"/>
    </row>
    <row r="25" spans="1:17" ht="18.75" x14ac:dyDescent="0.3">
      <c r="A25" s="42"/>
      <c r="B25" s="42"/>
      <c r="C25" s="42"/>
      <c r="D25" s="59">
        <f>+D23+D24</f>
        <v>29941432.93</v>
      </c>
      <c r="J25" s="56"/>
      <c r="K25" s="73"/>
      <c r="L25" s="130">
        <f>+D25</f>
        <v>29941432.93</v>
      </c>
      <c r="M25" s="56"/>
      <c r="O25" s="83"/>
      <c r="P25" s="83"/>
      <c r="Q25" s="56"/>
    </row>
    <row r="26" spans="1:17" ht="18.75" x14ac:dyDescent="0.3">
      <c r="A26" s="219" t="s">
        <v>31</v>
      </c>
      <c r="B26" s="219"/>
      <c r="C26" s="219"/>
      <c r="J26" s="56"/>
      <c r="K26" s="73"/>
      <c r="L26" s="132"/>
      <c r="M26" s="56"/>
      <c r="O26" s="83"/>
      <c r="P26" s="83"/>
      <c r="Q26" s="56"/>
    </row>
    <row r="27" spans="1:17" ht="18.75" x14ac:dyDescent="0.3">
      <c r="A27" s="17" t="s">
        <v>29</v>
      </c>
      <c r="B27" s="17" t="s">
        <v>151</v>
      </c>
      <c r="C27" s="17"/>
      <c r="E27" s="35"/>
      <c r="F27" s="35"/>
      <c r="G27" s="35"/>
      <c r="H27" s="35"/>
      <c r="I27" s="35"/>
      <c r="J27" s="151"/>
      <c r="K27" s="73"/>
      <c r="M27" s="56"/>
      <c r="O27" s="83"/>
      <c r="P27" s="83"/>
      <c r="Q27" s="56"/>
    </row>
    <row r="28" spans="1:17" ht="18.75" x14ac:dyDescent="0.3">
      <c r="A28" s="44">
        <v>67500000</v>
      </c>
      <c r="B28" s="212">
        <v>30037500</v>
      </c>
      <c r="C28" s="17"/>
      <c r="J28" s="100">
        <f>+A28-B28</f>
        <v>37462500</v>
      </c>
      <c r="K28" s="56"/>
      <c r="M28" s="61"/>
      <c r="O28" s="87">
        <v>30037500</v>
      </c>
      <c r="P28" s="83"/>
      <c r="Q28" s="56"/>
    </row>
    <row r="29" spans="1:17" ht="18.75" x14ac:dyDescent="0.3">
      <c r="A29" s="45"/>
      <c r="B29" s="45"/>
      <c r="C29" s="13"/>
      <c r="J29" s="78"/>
      <c r="K29" s="73"/>
      <c r="M29" s="56"/>
      <c r="O29" s="83"/>
      <c r="P29" s="83"/>
      <c r="Q29" s="56"/>
    </row>
    <row r="30" spans="1:17" ht="18.75" x14ac:dyDescent="0.3">
      <c r="A30" s="219" t="s">
        <v>32</v>
      </c>
      <c r="B30" s="219"/>
      <c r="C30" s="219"/>
      <c r="J30" s="56"/>
      <c r="K30" s="73"/>
      <c r="M30" s="56"/>
      <c r="O30" s="83"/>
      <c r="P30" s="83"/>
      <c r="Q30" s="56"/>
    </row>
    <row r="31" spans="1:17" ht="18.75" x14ac:dyDescent="0.3">
      <c r="A31" s="17" t="s">
        <v>29</v>
      </c>
      <c r="B31" s="17"/>
      <c r="C31" s="17"/>
      <c r="E31" s="35"/>
      <c r="F31" s="35"/>
      <c r="G31" s="35"/>
      <c r="H31" s="35"/>
      <c r="I31" s="35"/>
      <c r="J31" s="102"/>
      <c r="K31" s="73"/>
      <c r="M31" s="56"/>
      <c r="O31" s="83"/>
      <c r="P31" s="83"/>
      <c r="Q31" s="56"/>
    </row>
    <row r="32" spans="1:17" ht="18.75" x14ac:dyDescent="0.3">
      <c r="A32" s="38">
        <v>42900000</v>
      </c>
      <c r="B32" s="38"/>
      <c r="C32" s="6"/>
      <c r="J32" s="81"/>
      <c r="K32" s="73"/>
      <c r="M32" s="56"/>
      <c r="O32" s="83"/>
      <c r="P32" s="83"/>
      <c r="Q32" s="56"/>
    </row>
    <row r="33" spans="1:17" ht="18.75" x14ac:dyDescent="0.3">
      <c r="A33" s="40"/>
      <c r="B33" s="14"/>
      <c r="C33" s="14"/>
      <c r="J33" s="56"/>
      <c r="K33" s="73"/>
      <c r="M33" s="56"/>
      <c r="O33" s="83"/>
      <c r="P33" s="83"/>
      <c r="Q33" s="56"/>
    </row>
    <row r="34" spans="1:17" ht="18.75" x14ac:dyDescent="0.3">
      <c r="A34" s="219" t="s">
        <v>50</v>
      </c>
      <c r="B34" s="219"/>
      <c r="C34" s="219"/>
      <c r="J34" s="56"/>
      <c r="K34" s="73"/>
      <c r="M34" s="56"/>
      <c r="O34" s="83"/>
      <c r="P34" s="83"/>
      <c r="Q34" s="56"/>
    </row>
    <row r="35" spans="1:17" ht="37.5" x14ac:dyDescent="0.3">
      <c r="A35" s="17" t="s">
        <v>29</v>
      </c>
      <c r="B35" s="48" t="s">
        <v>39</v>
      </c>
      <c r="C35" s="51" t="s">
        <v>41</v>
      </c>
      <c r="D35" s="52" t="s">
        <v>35</v>
      </c>
      <c r="E35" s="68" t="s">
        <v>47</v>
      </c>
      <c r="F35" s="75" t="s">
        <v>63</v>
      </c>
      <c r="G35" s="75" t="s">
        <v>110</v>
      </c>
      <c r="H35" s="75" t="s">
        <v>159</v>
      </c>
      <c r="I35" s="68"/>
      <c r="J35" s="151"/>
      <c r="K35" s="73"/>
      <c r="M35" s="56"/>
      <c r="O35" s="83"/>
      <c r="P35" s="83"/>
      <c r="Q35" s="56"/>
    </row>
    <row r="36" spans="1:17" ht="37.5" x14ac:dyDescent="0.3">
      <c r="A36" s="38">
        <v>181752962.28999999</v>
      </c>
      <c r="B36" s="99">
        <v>18175296.228999998</v>
      </c>
      <c r="C36" s="99">
        <v>1730179.29</v>
      </c>
      <c r="D36" s="54" t="s">
        <v>112</v>
      </c>
      <c r="E36" s="54" t="s">
        <v>113</v>
      </c>
      <c r="F36" s="76" t="s">
        <v>114</v>
      </c>
      <c r="G36" s="76" t="s">
        <v>212</v>
      </c>
      <c r="H36" s="76" t="s">
        <v>212</v>
      </c>
      <c r="I36" s="180"/>
      <c r="J36" s="197">
        <f>+A36-B36-D37-E37-F37-G37</f>
        <v>84443390.221000001</v>
      </c>
      <c r="K36" s="56"/>
      <c r="L36" s="113"/>
      <c r="M36" s="129"/>
      <c r="N36" s="46"/>
      <c r="O36" s="100"/>
      <c r="P36" s="83"/>
      <c r="Q36" s="56"/>
    </row>
    <row r="37" spans="1:17" ht="18.75" x14ac:dyDescent="0.3">
      <c r="A37" s="42"/>
      <c r="B37" s="42"/>
      <c r="C37" s="14"/>
      <c r="D37" s="53">
        <v>10085646.98</v>
      </c>
      <c r="E37" s="53">
        <v>9343580.5600000005</v>
      </c>
      <c r="F37" s="53">
        <v>14364663.130000001</v>
      </c>
      <c r="G37" s="53">
        <v>45340385.170000002</v>
      </c>
      <c r="H37" s="53">
        <v>50645033.439999998</v>
      </c>
      <c r="I37" s="98"/>
      <c r="J37" s="78"/>
      <c r="K37" s="73"/>
      <c r="L37" s="113"/>
      <c r="M37" s="61"/>
      <c r="O37" s="83"/>
      <c r="P37" s="83"/>
      <c r="Q37" s="56"/>
    </row>
    <row r="38" spans="1:17" ht="18.75" x14ac:dyDescent="0.3">
      <c r="A38" s="42"/>
      <c r="B38" s="42"/>
      <c r="C38" s="14"/>
      <c r="D38" s="55">
        <v>931276.22</v>
      </c>
      <c r="E38" s="55">
        <v>925689.51</v>
      </c>
      <c r="F38" s="55">
        <v>1794766.19</v>
      </c>
      <c r="G38" s="55">
        <v>6631635.4400000004</v>
      </c>
      <c r="H38" s="55">
        <v>8239263.2300000004</v>
      </c>
      <c r="I38" s="98"/>
      <c r="J38" s="81"/>
      <c r="K38" s="73"/>
      <c r="L38" s="113"/>
      <c r="M38" s="61"/>
      <c r="N38" s="126"/>
      <c r="O38" s="83"/>
      <c r="P38" s="83"/>
      <c r="Q38" s="56"/>
    </row>
    <row r="39" spans="1:17" ht="18.75" x14ac:dyDescent="0.3">
      <c r="A39" s="38" t="s">
        <v>53</v>
      </c>
      <c r="B39" s="59">
        <v>17125176.210000001</v>
      </c>
      <c r="C39" s="59">
        <v>1631429.67</v>
      </c>
      <c r="D39" s="99">
        <f>+SUM(D37:D38)</f>
        <v>11016923.200000001</v>
      </c>
      <c r="E39" s="99">
        <f>+E37+E38</f>
        <v>10269270.07</v>
      </c>
      <c r="F39" s="156">
        <f>+F38+F37</f>
        <v>16159429.32</v>
      </c>
      <c r="G39" s="164">
        <f>+G37+G38</f>
        <v>51972020.609999999</v>
      </c>
      <c r="H39" s="39">
        <f>+H37+H38</f>
        <v>58884296.670000002</v>
      </c>
      <c r="J39" s="56"/>
      <c r="K39" s="73"/>
      <c r="M39" s="56"/>
      <c r="N39" s="130">
        <f>+B39+C39</f>
        <v>18756605.880000003</v>
      </c>
      <c r="P39" s="165">
        <f>+F40</f>
        <v>15225929.689999999</v>
      </c>
      <c r="Q39" s="56"/>
    </row>
    <row r="40" spans="1:17" ht="18.75" x14ac:dyDescent="0.3">
      <c r="A40" s="42"/>
      <c r="B40" s="62"/>
      <c r="C40" s="62"/>
      <c r="D40" s="59">
        <v>10380923.939999999</v>
      </c>
      <c r="E40" s="59">
        <v>9676523.4700000007</v>
      </c>
      <c r="F40" s="160">
        <v>15225929.689999999</v>
      </c>
      <c r="J40" s="56"/>
      <c r="K40" s="196"/>
      <c r="L40" s="126"/>
      <c r="M40" s="138"/>
      <c r="N40" s="78"/>
      <c r="O40" s="84">
        <f>+D40</f>
        <v>10380923.939999999</v>
      </c>
      <c r="P40" s="206">
        <v>9676523.4700000007</v>
      </c>
      <c r="Q40" s="205"/>
    </row>
    <row r="41" spans="1:17" ht="18.75" x14ac:dyDescent="0.3">
      <c r="A41" s="42"/>
      <c r="B41" s="62"/>
      <c r="C41" s="62"/>
      <c r="D41" s="62"/>
      <c r="E41" s="62"/>
      <c r="F41" s="195">
        <v>46122</v>
      </c>
      <c r="G41" s="59">
        <v>25459330.989999998</v>
      </c>
      <c r="H41" s="23"/>
      <c r="J41" s="56"/>
      <c r="K41" s="196"/>
      <c r="L41" s="126"/>
      <c r="M41" s="126"/>
      <c r="N41" s="83"/>
      <c r="O41" s="46"/>
      <c r="P41" s="207"/>
      <c r="Q41" s="205"/>
    </row>
    <row r="42" spans="1:17" ht="18.75" x14ac:dyDescent="0.3">
      <c r="A42" s="42"/>
      <c r="B42" s="62"/>
      <c r="C42" s="62"/>
      <c r="D42" s="62"/>
      <c r="E42" s="62"/>
      <c r="F42" s="195">
        <v>46125</v>
      </c>
      <c r="G42" s="59">
        <v>23507387.199999999</v>
      </c>
      <c r="J42" s="56"/>
      <c r="K42" s="196"/>
      <c r="L42" s="126"/>
      <c r="M42" s="126"/>
      <c r="N42" s="83"/>
      <c r="O42" s="46"/>
      <c r="P42" s="200"/>
      <c r="Q42" s="57"/>
    </row>
    <row r="43" spans="1:17" ht="18.75" x14ac:dyDescent="0.3">
      <c r="A43" s="42"/>
      <c r="B43" s="62"/>
      <c r="C43" s="62"/>
      <c r="D43" s="190"/>
      <c r="E43" s="190"/>
      <c r="F43" s="191"/>
      <c r="G43" s="194">
        <f>+G41+G42</f>
        <v>48966718.189999998</v>
      </c>
      <c r="J43" s="56"/>
      <c r="K43" s="196"/>
      <c r="L43" s="126"/>
      <c r="M43" s="126"/>
      <c r="N43" s="83"/>
      <c r="O43" s="46"/>
      <c r="P43" s="198"/>
      <c r="Q43" s="208">
        <f>+G43</f>
        <v>48966718.189999998</v>
      </c>
    </row>
    <row r="44" spans="1:17" ht="18.75" x14ac:dyDescent="0.3">
      <c r="A44" s="222" t="s">
        <v>187</v>
      </c>
      <c r="B44" s="222"/>
      <c r="C44" s="176" t="s">
        <v>189</v>
      </c>
      <c r="D44" s="188">
        <v>46090</v>
      </c>
      <c r="E44" s="188">
        <v>46099</v>
      </c>
      <c r="F44" s="189">
        <v>46112</v>
      </c>
      <c r="G44" s="31" t="s">
        <v>241</v>
      </c>
      <c r="J44" s="56"/>
      <c r="K44" s="196"/>
      <c r="L44" s="126"/>
      <c r="M44" s="126"/>
      <c r="N44" s="83"/>
      <c r="O44" s="46"/>
      <c r="P44" s="199"/>
      <c r="Q44" s="56"/>
    </row>
    <row r="45" spans="1:17" ht="18.75" x14ac:dyDescent="0.3">
      <c r="A45" s="222"/>
      <c r="B45" s="222"/>
      <c r="C45" s="59">
        <v>6000000</v>
      </c>
      <c r="D45" s="59">
        <v>1600000</v>
      </c>
      <c r="E45" s="59">
        <v>2300000</v>
      </c>
      <c r="F45" s="160">
        <v>2275000</v>
      </c>
      <c r="G45" s="84">
        <f>+SUM(C45:F45)</f>
        <v>12175000</v>
      </c>
      <c r="J45" s="56"/>
      <c r="K45" s="196"/>
      <c r="L45" s="126"/>
      <c r="M45" s="126"/>
      <c r="N45" s="83"/>
      <c r="P45" s="84">
        <f>+C45+D45+E45+F45</f>
        <v>12175000</v>
      </c>
      <c r="Q45" s="56"/>
    </row>
    <row r="46" spans="1:17" ht="18.75" x14ac:dyDescent="0.3">
      <c r="A46" s="174"/>
      <c r="B46" s="174"/>
      <c r="C46" s="177">
        <v>46121</v>
      </c>
      <c r="D46" s="177">
        <v>46129</v>
      </c>
      <c r="E46" s="177">
        <v>46136</v>
      </c>
      <c r="F46" s="177">
        <v>46142</v>
      </c>
      <c r="G46" s="211" t="s">
        <v>221</v>
      </c>
      <c r="H46" s="43"/>
      <c r="I46" s="43"/>
      <c r="J46" s="56"/>
      <c r="K46" s="196"/>
      <c r="L46" s="126"/>
      <c r="M46" s="126"/>
      <c r="N46" s="83"/>
      <c r="P46" s="204"/>
      <c r="Q46" s="146"/>
    </row>
    <row r="47" spans="1:17" ht="18.75" x14ac:dyDescent="0.3">
      <c r="A47" s="174"/>
      <c r="B47" s="174"/>
      <c r="C47" s="182">
        <f>655000+470000</f>
        <v>1125000</v>
      </c>
      <c r="D47" s="136">
        <v>2010000</v>
      </c>
      <c r="E47" s="202">
        <v>675000</v>
      </c>
      <c r="F47" s="202">
        <v>1875000</v>
      </c>
      <c r="G47" s="212">
        <f>+SUM(C47:F47)</f>
        <v>5685000</v>
      </c>
      <c r="H47" s="43"/>
      <c r="I47" s="43"/>
      <c r="J47" s="56"/>
      <c r="K47" s="196"/>
      <c r="L47" s="126"/>
      <c r="M47" s="126"/>
      <c r="N47" s="83"/>
      <c r="P47" s="61"/>
      <c r="Q47" s="136">
        <f>+C47+D47+E47+F47</f>
        <v>5685000</v>
      </c>
    </row>
    <row r="48" spans="1:17" ht="18.75" x14ac:dyDescent="0.3">
      <c r="A48" s="174"/>
      <c r="B48" s="174"/>
      <c r="C48" s="62"/>
      <c r="D48" s="62"/>
      <c r="E48" s="62"/>
      <c r="F48" s="169"/>
      <c r="G48" s="62"/>
      <c r="H48" s="43"/>
      <c r="I48" s="43"/>
      <c r="J48" s="56"/>
      <c r="K48" s="196"/>
      <c r="L48" s="126"/>
      <c r="M48" s="126"/>
      <c r="N48" s="83"/>
      <c r="P48" s="61"/>
      <c r="Q48" s="203"/>
    </row>
    <row r="49" spans="1:17" ht="18.75" x14ac:dyDescent="0.3">
      <c r="A49" s="174"/>
      <c r="B49" s="174"/>
      <c r="C49" s="62"/>
      <c r="D49" s="62"/>
      <c r="E49" s="62"/>
      <c r="F49" s="169"/>
      <c r="G49" s="62"/>
      <c r="H49" s="43"/>
      <c r="I49" s="43"/>
      <c r="J49" s="56"/>
      <c r="K49" s="196"/>
      <c r="L49" s="126"/>
      <c r="M49" s="126"/>
      <c r="N49" s="83"/>
      <c r="P49" s="61"/>
      <c r="Q49" s="203"/>
    </row>
    <row r="50" spans="1:17" ht="18.75" x14ac:dyDescent="0.3">
      <c r="A50" s="174"/>
      <c r="B50" s="174"/>
      <c r="C50" s="62"/>
      <c r="D50" s="62"/>
      <c r="E50" s="62"/>
      <c r="F50" s="169"/>
      <c r="J50" s="56"/>
      <c r="K50" s="196"/>
      <c r="L50" s="126"/>
      <c r="M50" s="126"/>
      <c r="N50" s="83"/>
      <c r="P50" s="61"/>
      <c r="Q50" s="73"/>
    </row>
    <row r="51" spans="1:17" ht="18.75" x14ac:dyDescent="0.3">
      <c r="A51" s="223" t="s">
        <v>188</v>
      </c>
      <c r="B51" s="223"/>
      <c r="C51" s="223"/>
      <c r="D51" s="62"/>
      <c r="E51" s="62"/>
      <c r="F51" s="169"/>
      <c r="J51" s="56"/>
      <c r="K51" s="196"/>
      <c r="L51" s="126"/>
      <c r="M51" s="126"/>
      <c r="N51" s="83"/>
      <c r="O51" s="46"/>
      <c r="P51" s="198"/>
      <c r="Q51" s="73"/>
    </row>
    <row r="52" spans="1:17" ht="37.5" x14ac:dyDescent="0.3">
      <c r="A52" s="48" t="s">
        <v>29</v>
      </c>
      <c r="B52" s="48" t="s">
        <v>39</v>
      </c>
      <c r="C52" s="51" t="s">
        <v>41</v>
      </c>
      <c r="D52" s="62"/>
      <c r="E52" s="62"/>
      <c r="F52" s="169"/>
      <c r="J52" s="57"/>
      <c r="K52" s="196"/>
      <c r="L52" s="126"/>
      <c r="M52" s="126"/>
      <c r="N52" s="83"/>
      <c r="O52" s="46"/>
      <c r="P52" s="198"/>
      <c r="Q52" s="73"/>
    </row>
    <row r="53" spans="1:17" ht="18.75" x14ac:dyDescent="0.3">
      <c r="A53" s="38">
        <v>49040518.649999999</v>
      </c>
      <c r="B53" s="60">
        <f>+A53*10%</f>
        <v>4904051.8650000002</v>
      </c>
      <c r="C53" s="60"/>
      <c r="D53" s="62"/>
      <c r="E53" s="62"/>
      <c r="F53" s="169"/>
      <c r="J53" s="39">
        <f>+A53</f>
        <v>49040518.649999999</v>
      </c>
      <c r="K53" s="57"/>
      <c r="L53" s="126"/>
      <c r="M53" s="126"/>
      <c r="N53" s="83"/>
      <c r="O53" s="46"/>
      <c r="P53" s="198"/>
      <c r="Q53" s="73"/>
    </row>
    <row r="54" spans="1:17" ht="18.75" x14ac:dyDescent="0.3">
      <c r="A54" s="42"/>
      <c r="B54" s="62"/>
      <c r="C54" s="62"/>
      <c r="D54" s="62"/>
      <c r="E54" s="62"/>
      <c r="F54" s="169"/>
      <c r="J54" s="57"/>
      <c r="K54" s="57"/>
      <c r="L54" s="126"/>
      <c r="M54" s="126"/>
      <c r="N54" s="83"/>
      <c r="O54" s="46"/>
      <c r="P54" s="199"/>
      <c r="Q54" s="73"/>
    </row>
    <row r="55" spans="1:17" ht="18.75" x14ac:dyDescent="0.3">
      <c r="G55" s="21"/>
      <c r="J55" s="39">
        <f>+SUM(J2:J54)</f>
        <v>192208527.56700003</v>
      </c>
      <c r="K55" s="128">
        <f>+K15+K23</f>
        <v>59429157.329999998</v>
      </c>
      <c r="L55" s="128">
        <f>+SUM(L4:L36)</f>
        <v>64626560.369999997</v>
      </c>
      <c r="M55" s="94">
        <f>+SUM(M4:M39)</f>
        <v>50727749.689999998</v>
      </c>
      <c r="N55" s="85"/>
      <c r="O55" s="84">
        <f>+SUM(O2:O40)</f>
        <v>92343495.210000008</v>
      </c>
      <c r="P55" s="160">
        <f>+P39+P40+P45</f>
        <v>37077453.159999996</v>
      </c>
      <c r="Q55" s="160">
        <f>+SUM(Q2:Q54)</f>
        <v>71976106.959999993</v>
      </c>
    </row>
    <row r="56" spans="1:17" ht="18.75" x14ac:dyDescent="0.3">
      <c r="C56" s="21"/>
      <c r="J56" s="43"/>
      <c r="K56" s="146"/>
      <c r="L56" s="146"/>
      <c r="M56" s="147"/>
      <c r="N56" s="134"/>
      <c r="O56" s="84">
        <f>+O14+O28+O40+O23+O13</f>
        <v>92343495.209999993</v>
      </c>
      <c r="P56" s="160">
        <f>+P55</f>
        <v>37077453.159999996</v>
      </c>
      <c r="Q56" s="160">
        <f>+Q55</f>
        <v>71976106.959999993</v>
      </c>
    </row>
    <row r="57" spans="1:17" ht="18.75" x14ac:dyDescent="0.3">
      <c r="E57" s="43"/>
      <c r="F57" s="43"/>
      <c r="G57" s="43"/>
      <c r="H57" s="43"/>
      <c r="I57" s="43"/>
      <c r="K57" s="39"/>
      <c r="L57" s="39"/>
      <c r="M57" s="39"/>
      <c r="N57" s="139">
        <f>+'ECHEQ RECIBIDOC'!C2</f>
        <v>1643018.4</v>
      </c>
    </row>
    <row r="58" spans="1:17" ht="18.75" x14ac:dyDescent="0.3">
      <c r="A58" s="220" t="s">
        <v>234</v>
      </c>
      <c r="B58" s="220"/>
      <c r="C58" s="173"/>
      <c r="E58" s="43"/>
      <c r="F58" s="43"/>
      <c r="G58" s="43"/>
      <c r="H58" s="43"/>
      <c r="I58" s="43"/>
      <c r="K58" s="39"/>
      <c r="L58" s="39"/>
      <c r="M58" s="127"/>
      <c r="N58" s="140"/>
      <c r="O58" s="46"/>
    </row>
    <row r="59" spans="1:17" ht="18.75" x14ac:dyDescent="0.3">
      <c r="A59" s="171" t="s">
        <v>119</v>
      </c>
      <c r="B59" s="170">
        <f>+P56</f>
        <v>37077453.159999996</v>
      </c>
      <c r="C59" s="6" t="s">
        <v>122</v>
      </c>
      <c r="E59" s="43"/>
      <c r="F59" s="43"/>
      <c r="G59" s="43"/>
      <c r="H59" s="43"/>
      <c r="I59" s="43"/>
      <c r="K59" s="136">
        <f>+K55</f>
        <v>59429157.329999998</v>
      </c>
      <c r="L59" s="136">
        <f>+L55</f>
        <v>64626560.369999997</v>
      </c>
      <c r="M59" s="104">
        <f>+M55+M57</f>
        <v>50727749.689999998</v>
      </c>
      <c r="N59" s="87">
        <f>+N23+N39+N57</f>
        <v>28368833.970000003</v>
      </c>
      <c r="O59" s="46"/>
    </row>
    <row r="60" spans="1:17" ht="18.75" x14ac:dyDescent="0.3">
      <c r="A60" s="172" t="s">
        <v>123</v>
      </c>
      <c r="B60" s="170">
        <f>+E39+F39+H14</f>
        <v>41704094.359999999</v>
      </c>
      <c r="C60" s="6" t="s">
        <v>122</v>
      </c>
    </row>
    <row r="61" spans="1:17" ht="18.75" x14ac:dyDescent="0.3">
      <c r="A61" s="14"/>
      <c r="B61" s="170">
        <f>+B60/1.21</f>
        <v>34466193.685950413</v>
      </c>
      <c r="C61" s="14"/>
    </row>
    <row r="62" spans="1:17" ht="18.75" x14ac:dyDescent="0.3">
      <c r="B62" s="170">
        <f>+B60-B61</f>
        <v>7237900.6740495861</v>
      </c>
      <c r="C62" s="14"/>
      <c r="D62" s="105"/>
      <c r="E62" s="105"/>
      <c r="F62" s="105"/>
      <c r="G62" s="105"/>
      <c r="H62" s="105"/>
      <c r="I62" s="105"/>
      <c r="J62" s="106"/>
      <c r="M62" s="113"/>
    </row>
    <row r="63" spans="1:17" ht="18.75" x14ac:dyDescent="0.3">
      <c r="D63" s="43"/>
      <c r="E63" s="43"/>
      <c r="F63" s="43"/>
      <c r="G63" s="43"/>
      <c r="H63" s="43"/>
      <c r="I63" s="43"/>
      <c r="M63" s="113"/>
    </row>
    <row r="64" spans="1:17" ht="18.75" x14ac:dyDescent="0.3">
      <c r="A64" s="220" t="s">
        <v>235</v>
      </c>
      <c r="B64" s="220"/>
      <c r="E64" s="43"/>
      <c r="F64" s="43"/>
      <c r="G64" s="43"/>
      <c r="H64" s="43"/>
      <c r="I64" s="43"/>
      <c r="J64" s="43"/>
    </row>
    <row r="65" spans="1:11" ht="18.75" x14ac:dyDescent="0.3">
      <c r="A65" s="171" t="s">
        <v>119</v>
      </c>
      <c r="B65" s="170">
        <f>+P62</f>
        <v>0</v>
      </c>
      <c r="E65" s="43"/>
      <c r="F65" s="14"/>
      <c r="G65" s="14"/>
      <c r="H65" s="14"/>
      <c r="I65" s="14"/>
      <c r="J65" s="14"/>
      <c r="K65" s="14"/>
    </row>
    <row r="66" spans="1:11" ht="18.75" x14ac:dyDescent="0.3">
      <c r="A66" s="172" t="s">
        <v>123</v>
      </c>
      <c r="B66" s="183">
        <v>8350500</v>
      </c>
      <c r="C66" s="6" t="s">
        <v>190</v>
      </c>
      <c r="D66" t="s">
        <v>220</v>
      </c>
      <c r="E66" s="14"/>
      <c r="F66" s="14"/>
      <c r="G66" s="14"/>
      <c r="H66" s="14"/>
      <c r="I66" s="14"/>
      <c r="J66" s="14"/>
      <c r="K66" s="14"/>
    </row>
    <row r="67" spans="1:11" ht="18.75" x14ac:dyDescent="0.3">
      <c r="A67" s="14"/>
      <c r="B67" s="183">
        <v>51972020.609999999</v>
      </c>
      <c r="C67" s="6" t="s">
        <v>191</v>
      </c>
      <c r="D67" s="6" t="s">
        <v>207</v>
      </c>
    </row>
    <row r="68" spans="1:11" ht="18.75" x14ac:dyDescent="0.3">
      <c r="A68" s="14"/>
      <c r="B68" s="183">
        <v>15225879.92</v>
      </c>
      <c r="C68" s="6" t="s">
        <v>206</v>
      </c>
      <c r="D68" s="6" t="s">
        <v>209</v>
      </c>
    </row>
    <row r="69" spans="1:11" ht="18.75" x14ac:dyDescent="0.3">
      <c r="A69" s="14"/>
      <c r="B69" s="183">
        <v>2985806</v>
      </c>
      <c r="C69" s="6" t="s">
        <v>218</v>
      </c>
      <c r="D69" s="14"/>
    </row>
    <row r="70" spans="1:11" ht="18.75" x14ac:dyDescent="0.3">
      <c r="A70" s="14"/>
      <c r="B70" s="170">
        <f>+SUM(B66:B69)</f>
        <v>78534206.530000001</v>
      </c>
      <c r="C70" s="14"/>
    </row>
    <row r="71" spans="1:11" ht="18.75" x14ac:dyDescent="0.3">
      <c r="A71" s="14"/>
      <c r="B71" s="170">
        <f>+B70/1.21</f>
        <v>64904302.917355374</v>
      </c>
      <c r="C71" s="14"/>
    </row>
    <row r="72" spans="1:11" ht="18.75" x14ac:dyDescent="0.3">
      <c r="A72" s="14"/>
      <c r="B72" s="170">
        <f>+B70-B71</f>
        <v>13629903.612644628</v>
      </c>
      <c r="C72" s="14"/>
    </row>
    <row r="73" spans="1:11" ht="37.5" x14ac:dyDescent="0.3">
      <c r="A73" s="14"/>
      <c r="B73" s="170">
        <v>15275394.970000001</v>
      </c>
      <c r="C73" s="51" t="s">
        <v>205</v>
      </c>
    </row>
    <row r="74" spans="1:11" ht="18.75" x14ac:dyDescent="0.3">
      <c r="B74" s="170">
        <f>+B73/1.21</f>
        <v>12624293.363636365</v>
      </c>
      <c r="C74" s="17" t="s">
        <v>12</v>
      </c>
    </row>
    <row r="75" spans="1:11" ht="18.75" x14ac:dyDescent="0.25">
      <c r="B75" s="170">
        <f>+B73-B74</f>
        <v>2651101.6063636355</v>
      </c>
      <c r="C75" s="170"/>
    </row>
    <row r="76" spans="1:11" ht="18.75" x14ac:dyDescent="0.25">
      <c r="B76" s="170">
        <f>+B72-B75</f>
        <v>10978802.006280992</v>
      </c>
      <c r="C76" s="175" t="s">
        <v>208</v>
      </c>
    </row>
  </sheetData>
  <mergeCells count="11">
    <mergeCell ref="A64:B64"/>
    <mergeCell ref="A34:C34"/>
    <mergeCell ref="A1:C1"/>
    <mergeCell ref="A26:C26"/>
    <mergeCell ref="A30:C30"/>
    <mergeCell ref="A9:C9"/>
    <mergeCell ref="A17:C17"/>
    <mergeCell ref="A58:B58"/>
    <mergeCell ref="A44:B45"/>
    <mergeCell ref="A51:C51"/>
    <mergeCell ref="A6:B6"/>
  </mergeCells>
  <pageMargins left="0.25" right="0.25" top="0.75" bottom="0.75" header="0.3" footer="0.3"/>
  <pageSetup orientation="landscape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B44C-C10F-471C-B307-D8248868034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4"/>
  <sheetViews>
    <sheetView tabSelected="1" topLeftCell="A49" workbookViewId="0">
      <selection activeCell="J54" sqref="J54"/>
    </sheetView>
  </sheetViews>
  <sheetFormatPr baseColWidth="10" defaultRowHeight="15" x14ac:dyDescent="0.25"/>
  <cols>
    <col min="1" max="1" width="39.7109375" customWidth="1"/>
    <col min="2" max="2" width="36.5703125" bestFit="1" customWidth="1"/>
    <col min="3" max="3" width="19.85546875" hidden="1" customWidth="1"/>
    <col min="4" max="4" width="20" hidden="1" customWidth="1"/>
    <col min="5" max="5" width="19.85546875" hidden="1" customWidth="1"/>
    <col min="6" max="6" width="21.140625" hidden="1" customWidth="1"/>
    <col min="7" max="7" width="19.85546875" hidden="1" customWidth="1"/>
    <col min="8" max="8" width="19.85546875" customWidth="1"/>
    <col min="9" max="9" width="18.42578125" customWidth="1"/>
    <col min="10" max="11" width="19.85546875" bestFit="1" customWidth="1"/>
    <col min="12" max="12" width="18.28515625" customWidth="1"/>
    <col min="13" max="13" width="19.28515625" customWidth="1"/>
  </cols>
  <sheetData>
    <row r="1" spans="1:12" ht="23.25" x14ac:dyDescent="0.35">
      <c r="A1" s="228" t="s">
        <v>176</v>
      </c>
      <c r="B1" s="228"/>
      <c r="C1" s="228"/>
    </row>
    <row r="2" spans="1:12" ht="30" x14ac:dyDescent="0.25">
      <c r="A2" s="229" t="s">
        <v>40</v>
      </c>
      <c r="B2" s="230"/>
      <c r="C2" s="66">
        <v>45992</v>
      </c>
      <c r="D2" s="90" t="s">
        <v>71</v>
      </c>
      <c r="E2" s="135">
        <v>46023</v>
      </c>
      <c r="F2" s="141">
        <v>46054</v>
      </c>
      <c r="G2" s="69" t="s">
        <v>140</v>
      </c>
      <c r="H2" s="135">
        <v>46082</v>
      </c>
      <c r="I2" s="158" t="s">
        <v>192</v>
      </c>
      <c r="J2" s="135">
        <v>46113</v>
      </c>
      <c r="K2" s="141">
        <v>46143</v>
      </c>
      <c r="L2" s="215" t="s">
        <v>243</v>
      </c>
    </row>
    <row r="3" spans="1:12" ht="18.75" x14ac:dyDescent="0.3">
      <c r="A3" s="234" t="s">
        <v>72</v>
      </c>
      <c r="B3" s="239" t="s">
        <v>7</v>
      </c>
      <c r="C3" s="236">
        <v>8462000</v>
      </c>
      <c r="E3" s="88">
        <v>875000</v>
      </c>
      <c r="F3" s="149">
        <v>2300985.3199999998</v>
      </c>
      <c r="G3" s="150"/>
      <c r="H3" s="149">
        <v>2970050</v>
      </c>
      <c r="I3" s="150"/>
      <c r="J3" s="149">
        <v>1773760</v>
      </c>
      <c r="K3" s="7">
        <v>2200000</v>
      </c>
    </row>
    <row r="4" spans="1:12" ht="18.75" x14ac:dyDescent="0.3">
      <c r="A4" s="242"/>
      <c r="B4" s="240"/>
      <c r="C4" s="237"/>
      <c r="D4" s="30"/>
      <c r="E4" s="88">
        <v>1875000</v>
      </c>
      <c r="F4" s="88">
        <v>1865000</v>
      </c>
      <c r="G4" s="30"/>
      <c r="H4" s="149">
        <v>2054600</v>
      </c>
      <c r="I4" s="150"/>
      <c r="J4" s="179">
        <v>2034760</v>
      </c>
      <c r="K4" s="7">
        <v>2200000</v>
      </c>
    </row>
    <row r="5" spans="1:12" ht="18.75" x14ac:dyDescent="0.3">
      <c r="A5" s="242"/>
      <c r="B5" s="240"/>
      <c r="C5" s="237"/>
      <c r="D5" s="30"/>
      <c r="E5" s="88">
        <v>2030000</v>
      </c>
      <c r="F5" s="88">
        <v>1925000</v>
      </c>
      <c r="G5" s="30"/>
      <c r="H5" s="149">
        <v>1710600</v>
      </c>
      <c r="I5" s="150"/>
      <c r="J5" s="179">
        <v>1499520</v>
      </c>
      <c r="K5" s="7">
        <v>2200000</v>
      </c>
    </row>
    <row r="6" spans="1:12" ht="18.75" x14ac:dyDescent="0.3">
      <c r="A6" s="242"/>
      <c r="B6" s="240"/>
      <c r="C6" s="237"/>
      <c r="D6" s="30"/>
      <c r="E6" s="88">
        <v>2531851.3200000003</v>
      </c>
      <c r="F6" s="88">
        <v>1913800</v>
      </c>
      <c r="G6" s="30"/>
      <c r="H6" s="149">
        <v>1706920</v>
      </c>
      <c r="I6" s="150"/>
      <c r="J6" s="179">
        <v>1596800</v>
      </c>
      <c r="K6" s="7">
        <v>2200000</v>
      </c>
    </row>
    <row r="7" spans="1:12" ht="18.75" x14ac:dyDescent="0.3">
      <c r="A7" s="242"/>
      <c r="B7" s="241"/>
      <c r="C7" s="238"/>
      <c r="D7" s="30"/>
      <c r="E7" s="88">
        <v>2155985.3199999998</v>
      </c>
      <c r="F7" s="30"/>
      <c r="G7" s="30"/>
      <c r="H7" s="150"/>
      <c r="I7" s="150"/>
      <c r="J7" s="179">
        <v>1700480</v>
      </c>
      <c r="K7" s="19"/>
    </row>
    <row r="8" spans="1:12" ht="18.75" x14ac:dyDescent="0.3">
      <c r="A8" s="242"/>
      <c r="B8" s="17" t="s">
        <v>42</v>
      </c>
      <c r="C8" s="88">
        <v>2000000</v>
      </c>
      <c r="D8" s="19"/>
      <c r="E8" s="88">
        <v>2225000</v>
      </c>
      <c r="F8" s="88">
        <v>2500000</v>
      </c>
      <c r="G8" s="30"/>
      <c r="H8" s="149">
        <v>2500000</v>
      </c>
      <c r="I8" s="150"/>
      <c r="J8" s="179">
        <v>3500000</v>
      </c>
      <c r="K8" s="7">
        <v>2500000</v>
      </c>
    </row>
    <row r="9" spans="1:12" ht="18.75" x14ac:dyDescent="0.3">
      <c r="A9" s="242"/>
      <c r="B9" s="17" t="s">
        <v>155</v>
      </c>
      <c r="C9" s="88"/>
      <c r="D9" s="19"/>
      <c r="E9" s="88"/>
      <c r="F9" s="88">
        <v>2500000</v>
      </c>
      <c r="G9" s="30"/>
      <c r="H9" s="150"/>
      <c r="I9" s="150"/>
      <c r="J9" s="7"/>
      <c r="K9" s="7">
        <v>2500000</v>
      </c>
    </row>
    <row r="10" spans="1:12" ht="18.75" x14ac:dyDescent="0.3">
      <c r="A10" s="242"/>
      <c r="B10" s="17" t="s">
        <v>74</v>
      </c>
      <c r="C10" s="88">
        <v>700000</v>
      </c>
      <c r="D10" s="19"/>
      <c r="E10" s="30"/>
      <c r="F10" s="30"/>
      <c r="G10" s="30"/>
      <c r="H10" s="150"/>
      <c r="I10" s="150"/>
      <c r="J10" s="179">
        <v>500000</v>
      </c>
      <c r="K10" s="19"/>
    </row>
    <row r="11" spans="1:12" ht="18.75" x14ac:dyDescent="0.3">
      <c r="A11" s="242"/>
      <c r="B11" s="17" t="s">
        <v>43</v>
      </c>
      <c r="C11" s="88">
        <v>960000</v>
      </c>
      <c r="D11" s="19"/>
      <c r="E11" s="88">
        <v>960000</v>
      </c>
      <c r="F11" s="88">
        <f>960000+480000</f>
        <v>1440000</v>
      </c>
      <c r="G11" s="30"/>
      <c r="H11" s="149">
        <v>480000</v>
      </c>
      <c r="I11" s="150"/>
      <c r="J11" s="179">
        <v>960000</v>
      </c>
      <c r="K11" s="19"/>
    </row>
    <row r="12" spans="1:12" ht="18.75" x14ac:dyDescent="0.3">
      <c r="A12" s="242"/>
      <c r="B12" s="17" t="s">
        <v>61</v>
      </c>
      <c r="C12" s="88">
        <v>400000</v>
      </c>
      <c r="D12" s="19"/>
      <c r="E12" s="88">
        <v>500000</v>
      </c>
      <c r="F12" s="30"/>
      <c r="G12" s="30"/>
      <c r="H12" s="150"/>
      <c r="I12" s="150"/>
      <c r="J12" s="19"/>
      <c r="K12" s="19"/>
    </row>
    <row r="13" spans="1:12" ht="18.75" x14ac:dyDescent="0.3">
      <c r="A13" s="242"/>
      <c r="B13" s="17" t="s">
        <v>157</v>
      </c>
      <c r="C13" s="88"/>
      <c r="D13" s="19"/>
      <c r="E13" s="88"/>
      <c r="F13" s="88">
        <v>480000</v>
      </c>
      <c r="G13" s="30"/>
      <c r="H13" s="149">
        <v>500000</v>
      </c>
      <c r="I13" s="150"/>
      <c r="J13" s="179">
        <v>500000</v>
      </c>
      <c r="K13" s="7">
        <v>500000</v>
      </c>
    </row>
    <row r="14" spans="1:12" ht="18.75" x14ac:dyDescent="0.3">
      <c r="A14" s="242"/>
      <c r="B14" s="17" t="s">
        <v>85</v>
      </c>
      <c r="C14" s="88">
        <v>220000</v>
      </c>
      <c r="D14" s="19"/>
      <c r="E14" s="30"/>
      <c r="F14" s="88">
        <v>300000</v>
      </c>
      <c r="G14" s="30"/>
      <c r="H14" s="149">
        <v>300000</v>
      </c>
      <c r="I14" s="150"/>
      <c r="J14" s="179">
        <v>300000</v>
      </c>
      <c r="K14" s="7">
        <v>300000</v>
      </c>
    </row>
    <row r="15" spans="1:12" ht="18.75" x14ac:dyDescent="0.3">
      <c r="A15" s="242"/>
      <c r="B15" s="221" t="s">
        <v>94</v>
      </c>
      <c r="C15" s="88">
        <v>200000</v>
      </c>
      <c r="D15" s="19"/>
      <c r="E15" s="88">
        <v>400000</v>
      </c>
      <c r="F15" s="88">
        <v>500000</v>
      </c>
      <c r="G15" s="30"/>
      <c r="H15" s="149">
        <v>500000</v>
      </c>
      <c r="I15" s="150"/>
      <c r="J15" s="179">
        <v>1000000</v>
      </c>
      <c r="K15" s="7">
        <v>1000000</v>
      </c>
    </row>
    <row r="16" spans="1:12" ht="18.75" x14ac:dyDescent="0.3">
      <c r="A16" s="235"/>
      <c r="B16" s="221"/>
      <c r="C16" s="88"/>
      <c r="D16" s="19"/>
      <c r="E16" s="88">
        <v>1000000</v>
      </c>
      <c r="F16" s="30"/>
      <c r="G16" s="30"/>
      <c r="H16" s="150"/>
      <c r="I16" s="150"/>
      <c r="J16" s="179">
        <v>1000000</v>
      </c>
      <c r="K16" s="19"/>
    </row>
    <row r="17" spans="1:13" ht="18.75" x14ac:dyDescent="0.3">
      <c r="A17" s="226" t="s">
        <v>73</v>
      </c>
      <c r="B17" s="227"/>
      <c r="C17" s="31"/>
      <c r="D17" s="30"/>
      <c r="E17" s="30"/>
      <c r="F17" s="30"/>
      <c r="G17" s="30"/>
      <c r="H17" s="150"/>
      <c r="I17" s="150"/>
      <c r="J17" s="7"/>
      <c r="K17" s="19"/>
    </row>
    <row r="18" spans="1:13" ht="18.75" x14ac:dyDescent="0.3">
      <c r="A18" s="221" t="s">
        <v>77</v>
      </c>
      <c r="B18" s="97" t="s">
        <v>76</v>
      </c>
      <c r="C18" s="31"/>
      <c r="D18" s="30"/>
      <c r="E18" s="30"/>
      <c r="F18" s="30"/>
      <c r="G18" s="30"/>
      <c r="H18" s="150"/>
      <c r="I18" s="150"/>
      <c r="J18" s="7"/>
      <c r="K18" s="19"/>
    </row>
    <row r="19" spans="1:13" ht="18.75" x14ac:dyDescent="0.3">
      <c r="A19" s="221"/>
      <c r="B19" s="91" t="s">
        <v>9</v>
      </c>
      <c r="C19" s="88">
        <v>403700</v>
      </c>
      <c r="D19" s="30"/>
      <c r="E19" s="88">
        <v>407600</v>
      </c>
      <c r="F19" s="88">
        <v>407600</v>
      </c>
      <c r="G19" s="30"/>
      <c r="H19" s="149">
        <v>447600</v>
      </c>
      <c r="I19" s="150"/>
      <c r="J19" s="179">
        <f>473500+240000</f>
        <v>713500</v>
      </c>
      <c r="K19" s="7">
        <v>240000</v>
      </c>
      <c r="M19" s="13"/>
    </row>
    <row r="20" spans="1:13" ht="18.75" x14ac:dyDescent="0.3">
      <c r="A20" s="221" t="s">
        <v>10</v>
      </c>
      <c r="B20" s="30" t="s">
        <v>173</v>
      </c>
      <c r="C20" s="30"/>
      <c r="D20" s="30"/>
      <c r="E20" s="30"/>
      <c r="F20" s="30"/>
      <c r="G20" s="30"/>
      <c r="H20" s="149">
        <f>562589.64+566442.66</f>
        <v>1129032.3</v>
      </c>
      <c r="I20" s="150"/>
      <c r="J20" s="7"/>
      <c r="K20" s="7"/>
      <c r="M20" s="178"/>
    </row>
    <row r="21" spans="1:13" ht="18.75" x14ac:dyDescent="0.3">
      <c r="A21" s="221"/>
      <c r="B21" s="30" t="s">
        <v>204</v>
      </c>
      <c r="C21" s="88">
        <v>109000</v>
      </c>
      <c r="D21" s="30"/>
      <c r="E21" s="88">
        <v>48113.54</v>
      </c>
      <c r="F21" s="88">
        <f>64151.77+64925.23</f>
        <v>129077</v>
      </c>
      <c r="G21" s="30"/>
      <c r="H21" s="149">
        <v>88310.69</v>
      </c>
      <c r="I21" s="150"/>
      <c r="J21" s="179">
        <v>88099.02</v>
      </c>
      <c r="K21" s="7">
        <v>110119.81</v>
      </c>
      <c r="M21" s="178"/>
    </row>
    <row r="22" spans="1:13" ht="18.75" x14ac:dyDescent="0.3">
      <c r="A22" s="221"/>
      <c r="B22" s="30" t="s">
        <v>242</v>
      </c>
      <c r="C22" s="88"/>
      <c r="D22" s="30"/>
      <c r="E22" s="88">
        <v>16493.47</v>
      </c>
      <c r="F22" s="88">
        <v>36160.559999999998</v>
      </c>
      <c r="G22" s="30"/>
      <c r="H22" s="149">
        <v>36947.360000000001</v>
      </c>
      <c r="I22" s="150"/>
      <c r="J22" s="179">
        <v>44166.02</v>
      </c>
      <c r="K22" s="7">
        <v>44148.85</v>
      </c>
      <c r="M22" s="16"/>
    </row>
    <row r="23" spans="1:13" ht="18.75" x14ac:dyDescent="0.3">
      <c r="A23" s="221"/>
      <c r="B23" s="30" t="s">
        <v>107</v>
      </c>
      <c r="C23" s="88"/>
      <c r="D23" s="30"/>
      <c r="E23" s="88">
        <f>2970.59+6287.59</f>
        <v>9258.18</v>
      </c>
      <c r="F23" s="88">
        <f>8642+8663.3</f>
        <v>17305.3</v>
      </c>
      <c r="G23" s="30"/>
      <c r="H23" s="149">
        <v>4352.7299999999996</v>
      </c>
      <c r="I23" s="150"/>
      <c r="J23" s="179">
        <v>8518.75</v>
      </c>
      <c r="K23" s="19"/>
      <c r="M23" s="178"/>
    </row>
    <row r="24" spans="1:13" ht="18.75" x14ac:dyDescent="0.3">
      <c r="A24" s="221"/>
      <c r="B24" s="30" t="s">
        <v>147</v>
      </c>
      <c r="C24" s="88"/>
      <c r="D24" s="30"/>
      <c r="E24" s="88"/>
      <c r="F24" s="88">
        <v>3026.32</v>
      </c>
      <c r="G24" s="30"/>
      <c r="H24" s="149">
        <v>3118.57</v>
      </c>
      <c r="I24" s="150"/>
      <c r="J24" s="179">
        <v>3492.78</v>
      </c>
      <c r="K24" s="19"/>
      <c r="M24" s="178"/>
    </row>
    <row r="25" spans="1:13" ht="18.75" x14ac:dyDescent="0.3">
      <c r="A25" s="221"/>
      <c r="B25" s="30" t="s">
        <v>214</v>
      </c>
      <c r="C25" s="88">
        <v>3973.33</v>
      </c>
      <c r="D25" s="30"/>
      <c r="E25" s="88">
        <v>3747.49</v>
      </c>
      <c r="F25" s="88">
        <f>3983.62+3839.62</f>
        <v>7823.24</v>
      </c>
      <c r="G25" s="30"/>
      <c r="H25" s="149">
        <v>4104.45</v>
      </c>
      <c r="I25" s="150"/>
      <c r="J25" s="179">
        <v>4029.72</v>
      </c>
      <c r="K25" s="19"/>
      <c r="M25" s="178"/>
    </row>
    <row r="26" spans="1:13" ht="18.75" x14ac:dyDescent="0.3">
      <c r="A26" s="221"/>
      <c r="B26" s="30" t="s">
        <v>102</v>
      </c>
      <c r="D26" s="30"/>
      <c r="E26" s="112">
        <v>31492.47</v>
      </c>
      <c r="F26" s="88">
        <v>3765.87</v>
      </c>
      <c r="G26" s="30"/>
      <c r="H26" s="149">
        <f>5252.13+3963.79</f>
        <v>9215.92</v>
      </c>
      <c r="I26" s="150"/>
      <c r="J26" s="179">
        <v>4156.55</v>
      </c>
      <c r="K26" s="19"/>
      <c r="M26" s="178"/>
    </row>
    <row r="27" spans="1:13" ht="18.75" x14ac:dyDescent="0.3">
      <c r="A27" s="221"/>
      <c r="B27" s="30" t="s">
        <v>103</v>
      </c>
      <c r="C27" s="112"/>
      <c r="D27" s="30"/>
      <c r="E27" s="88">
        <v>120367.79</v>
      </c>
      <c r="F27" s="88">
        <v>13823.25</v>
      </c>
      <c r="G27" s="30"/>
      <c r="H27" s="149">
        <v>4044.23</v>
      </c>
      <c r="I27" s="150"/>
      <c r="J27" s="7"/>
      <c r="K27" s="19"/>
      <c r="M27" s="178"/>
    </row>
    <row r="28" spans="1:13" ht="18.75" x14ac:dyDescent="0.3">
      <c r="A28" s="221"/>
      <c r="B28" s="117" t="s">
        <v>215</v>
      </c>
      <c r="C28" s="112"/>
      <c r="D28" s="30"/>
      <c r="E28" s="88">
        <v>29000</v>
      </c>
      <c r="F28" s="88">
        <v>35000</v>
      </c>
      <c r="G28" s="30"/>
      <c r="H28" s="149">
        <v>40000</v>
      </c>
      <c r="I28" s="150"/>
      <c r="J28" s="179">
        <v>56000</v>
      </c>
      <c r="K28" s="19"/>
      <c r="M28" s="178"/>
    </row>
    <row r="29" spans="1:13" ht="18.75" x14ac:dyDescent="0.3">
      <c r="A29" s="221"/>
      <c r="B29" s="117" t="s">
        <v>104</v>
      </c>
      <c r="C29" s="112"/>
      <c r="D29" s="30"/>
      <c r="E29" s="88">
        <v>31901.18</v>
      </c>
      <c r="F29" s="88">
        <v>16156.08</v>
      </c>
      <c r="G29" s="30"/>
      <c r="H29" s="149">
        <v>26554.51</v>
      </c>
      <c r="I29" s="150"/>
      <c r="J29" s="179">
        <v>91637.48</v>
      </c>
      <c r="K29" s="19"/>
      <c r="M29" s="178"/>
    </row>
    <row r="30" spans="1:13" ht="18.75" x14ac:dyDescent="0.3">
      <c r="A30" s="221"/>
      <c r="B30" s="118" t="s">
        <v>95</v>
      </c>
      <c r="C30" s="236">
        <v>163000</v>
      </c>
      <c r="D30" s="30"/>
      <c r="E30" s="88">
        <v>62120.45</v>
      </c>
      <c r="F30" s="88">
        <v>63562.55</v>
      </c>
      <c r="G30" s="30"/>
      <c r="H30" s="149">
        <v>65521.7</v>
      </c>
      <c r="I30" s="150"/>
      <c r="J30" s="179">
        <v>65965.08</v>
      </c>
      <c r="K30" s="7">
        <v>67592.39</v>
      </c>
      <c r="M30" s="16"/>
    </row>
    <row r="31" spans="1:13" ht="18.75" x14ac:dyDescent="0.3">
      <c r="A31" s="221"/>
      <c r="B31" s="118" t="s">
        <v>96</v>
      </c>
      <c r="C31" s="237"/>
      <c r="D31" s="30"/>
      <c r="E31" s="88">
        <v>48600.01</v>
      </c>
      <c r="F31" s="88">
        <v>49849.91</v>
      </c>
      <c r="G31" s="30"/>
      <c r="H31" s="149">
        <v>50699.99</v>
      </c>
      <c r="I31" s="150"/>
      <c r="J31" s="179">
        <v>51695.14</v>
      </c>
      <c r="K31" s="7">
        <v>52695.14</v>
      </c>
      <c r="M31" s="16"/>
    </row>
    <row r="32" spans="1:13" ht="18.75" x14ac:dyDescent="0.3">
      <c r="A32" s="221"/>
      <c r="B32" s="118" t="s">
        <v>97</v>
      </c>
      <c r="C32" s="238"/>
      <c r="D32" s="30"/>
      <c r="E32" s="88">
        <v>63814.21</v>
      </c>
      <c r="F32" s="88">
        <v>65480.22</v>
      </c>
      <c r="G32" s="30"/>
      <c r="H32" s="149">
        <v>66699.600000000006</v>
      </c>
      <c r="I32" s="150"/>
      <c r="J32" s="179">
        <v>68128.63</v>
      </c>
      <c r="K32" s="7">
        <v>69525.119999999995</v>
      </c>
      <c r="M32" s="16"/>
    </row>
    <row r="33" spans="1:13" ht="18.75" x14ac:dyDescent="0.3">
      <c r="A33" s="221"/>
      <c r="B33" s="30" t="s">
        <v>98</v>
      </c>
      <c r="C33" s="236">
        <v>63000</v>
      </c>
      <c r="D33" s="30"/>
      <c r="E33" s="88">
        <v>27400</v>
      </c>
      <c r="F33" s="88">
        <v>64151.77</v>
      </c>
      <c r="G33" s="30"/>
      <c r="H33" s="149">
        <v>27000</v>
      </c>
      <c r="I33" s="150"/>
      <c r="J33" s="179">
        <v>24800</v>
      </c>
      <c r="K33" s="7"/>
      <c r="M33" s="106"/>
    </row>
    <row r="34" spans="1:13" ht="18.75" x14ac:dyDescent="0.3">
      <c r="A34" s="221"/>
      <c r="B34" s="30" t="s">
        <v>99</v>
      </c>
      <c r="C34" s="238"/>
      <c r="D34" s="30"/>
      <c r="E34" s="88">
        <v>75450.22</v>
      </c>
      <c r="F34" s="30">
        <v>0</v>
      </c>
      <c r="G34" s="30"/>
      <c r="H34" s="149">
        <v>44942.41</v>
      </c>
      <c r="I34" s="150"/>
      <c r="J34" s="179">
        <v>49839.74</v>
      </c>
      <c r="K34" s="7">
        <v>58069.59</v>
      </c>
      <c r="M34" s="16"/>
    </row>
    <row r="35" spans="1:13" ht="18.75" x14ac:dyDescent="0.3">
      <c r="A35" s="245" t="s">
        <v>75</v>
      </c>
      <c r="B35" s="30" t="s">
        <v>8</v>
      </c>
      <c r="C35" s="88">
        <v>2768061.84</v>
      </c>
      <c r="D35" s="30"/>
      <c r="E35" s="88">
        <v>4315469.6900000004</v>
      </c>
      <c r="F35" s="88">
        <v>2568957.6800000002</v>
      </c>
      <c r="G35" s="30"/>
      <c r="H35" s="149">
        <v>2254509.46</v>
      </c>
      <c r="I35" s="150"/>
      <c r="J35" s="179">
        <v>3322810.96</v>
      </c>
      <c r="K35" s="7">
        <v>3322810.96</v>
      </c>
      <c r="M35" s="106"/>
    </row>
    <row r="36" spans="1:13" ht="18.75" x14ac:dyDescent="0.3">
      <c r="A36" s="246"/>
      <c r="B36" s="48" t="s">
        <v>11</v>
      </c>
      <c r="C36" s="88">
        <v>119660.24</v>
      </c>
      <c r="D36" s="30"/>
      <c r="E36" s="88">
        <v>122460.3</v>
      </c>
      <c r="F36" s="88">
        <v>125485.06</v>
      </c>
      <c r="G36" s="30"/>
      <c r="H36" s="149">
        <v>129061.38</v>
      </c>
      <c r="I36" s="150"/>
      <c r="J36" s="179">
        <v>132778.35999999999</v>
      </c>
      <c r="K36" s="179">
        <v>136628.92000000001</v>
      </c>
      <c r="M36" s="181"/>
    </row>
    <row r="37" spans="1:13" ht="18.75" x14ac:dyDescent="0.3">
      <c r="A37" s="246"/>
      <c r="B37" s="48" t="s">
        <v>12</v>
      </c>
      <c r="C37" s="88">
        <v>8237589.4699999997</v>
      </c>
      <c r="D37" s="30"/>
      <c r="E37" s="88">
        <v>4023724.52</v>
      </c>
      <c r="F37" s="88">
        <v>10293676.23</v>
      </c>
      <c r="G37" s="30"/>
      <c r="H37" s="149">
        <v>3989738.79</v>
      </c>
      <c r="I37" s="150"/>
      <c r="J37" s="179">
        <v>2823525.17</v>
      </c>
      <c r="K37" s="7">
        <v>7249102.5199999996</v>
      </c>
      <c r="M37" s="178"/>
    </row>
    <row r="38" spans="1:13" ht="18.75" x14ac:dyDescent="0.3">
      <c r="A38" s="246"/>
      <c r="B38" s="48" t="s">
        <v>59</v>
      </c>
      <c r="C38" s="88">
        <v>113840.32000000001</v>
      </c>
      <c r="D38" s="30"/>
      <c r="E38" s="88">
        <v>111784.34</v>
      </c>
      <c r="F38" s="88">
        <v>109728.34</v>
      </c>
      <c r="G38" s="30"/>
      <c r="H38" s="149">
        <v>107672.35</v>
      </c>
      <c r="I38" s="150"/>
      <c r="J38" s="179">
        <v>101731.03</v>
      </c>
      <c r="K38" s="7"/>
      <c r="M38" s="13"/>
    </row>
    <row r="39" spans="1:13" ht="18.75" x14ac:dyDescent="0.3">
      <c r="A39" s="246"/>
      <c r="B39" s="92" t="s">
        <v>84</v>
      </c>
      <c r="C39" s="88">
        <v>238986</v>
      </c>
      <c r="D39" s="30"/>
      <c r="E39" s="30"/>
      <c r="F39" s="30"/>
      <c r="G39" s="30"/>
      <c r="H39" s="150"/>
      <c r="I39" s="150"/>
      <c r="J39" s="7"/>
      <c r="K39" s="7">
        <f>25040.01+68281.49+125736.69+49781.51+63253.28</f>
        <v>332092.98</v>
      </c>
      <c r="M39" s="13"/>
    </row>
    <row r="40" spans="1:13" ht="18.75" x14ac:dyDescent="0.3">
      <c r="A40" s="246"/>
      <c r="B40" s="92" t="s">
        <v>141</v>
      </c>
      <c r="C40" s="88"/>
      <c r="D40" s="30"/>
      <c r="E40" s="19"/>
      <c r="F40" s="88">
        <v>44997.3</v>
      </c>
      <c r="G40" s="30"/>
      <c r="H40" s="150"/>
      <c r="I40" s="150"/>
      <c r="J40" s="7"/>
      <c r="K40" s="19"/>
    </row>
    <row r="41" spans="1:13" ht="18.75" x14ac:dyDescent="0.3">
      <c r="A41" s="246"/>
      <c r="B41" s="92" t="s">
        <v>142</v>
      </c>
      <c r="C41" s="88"/>
      <c r="D41" s="30"/>
      <c r="E41" s="19"/>
      <c r="F41" s="88">
        <v>12112.5</v>
      </c>
      <c r="G41" s="30"/>
      <c r="H41" s="150"/>
      <c r="I41" s="150"/>
      <c r="J41" s="7"/>
      <c r="K41" s="19"/>
    </row>
    <row r="42" spans="1:13" ht="18.75" x14ac:dyDescent="0.3">
      <c r="A42" s="247"/>
      <c r="B42" s="48" t="s">
        <v>13</v>
      </c>
      <c r="C42" s="19"/>
      <c r="D42" s="30"/>
      <c r="E42" s="30"/>
      <c r="F42" s="30"/>
      <c r="G42" s="30"/>
      <c r="H42" s="150"/>
      <c r="I42" s="150"/>
      <c r="J42" s="7"/>
      <c r="K42" s="19"/>
    </row>
    <row r="43" spans="1:13" ht="18.75" x14ac:dyDescent="0.3">
      <c r="A43" s="234" t="s">
        <v>92</v>
      </c>
      <c r="B43" s="48" t="s">
        <v>93</v>
      </c>
      <c r="C43" s="88">
        <v>5109.9799999999996</v>
      </c>
      <c r="D43" s="30"/>
      <c r="E43" s="88">
        <f>7560.35*2</f>
        <v>15120.7</v>
      </c>
      <c r="F43" s="88">
        <v>916.84</v>
      </c>
      <c r="G43" s="19"/>
      <c r="H43" s="149">
        <v>8001.88</v>
      </c>
      <c r="I43" s="150"/>
      <c r="J43" s="179">
        <v>11889.12</v>
      </c>
      <c r="K43" s="7"/>
    </row>
    <row r="44" spans="1:13" ht="18.75" x14ac:dyDescent="0.3">
      <c r="A44" s="235"/>
      <c r="B44" s="48" t="s">
        <v>20</v>
      </c>
      <c r="C44" s="19"/>
      <c r="D44" s="30"/>
      <c r="E44" s="30"/>
      <c r="F44" s="30"/>
      <c r="G44" s="19"/>
      <c r="H44" s="150"/>
      <c r="I44" s="150"/>
      <c r="J44" s="19"/>
      <c r="K44" s="19"/>
      <c r="L44" s="7"/>
    </row>
    <row r="45" spans="1:13" ht="18.75" x14ac:dyDescent="0.3">
      <c r="A45" s="243" t="s">
        <v>26</v>
      </c>
      <c r="B45" s="244"/>
      <c r="C45" s="88">
        <v>233632.87</v>
      </c>
      <c r="D45" s="30"/>
      <c r="E45" s="30"/>
      <c r="F45" s="30"/>
      <c r="G45" s="19"/>
      <c r="H45" s="150"/>
      <c r="I45" s="150"/>
      <c r="J45" s="7"/>
      <c r="K45" s="19"/>
    </row>
    <row r="46" spans="1:13" ht="18.75" x14ac:dyDescent="0.3">
      <c r="A46" s="231" t="s">
        <v>78</v>
      </c>
      <c r="B46" s="91" t="s">
        <v>70</v>
      </c>
      <c r="C46" s="88">
        <v>30514217.52</v>
      </c>
      <c r="D46" s="30"/>
      <c r="E46" s="88">
        <v>28576345.289999999</v>
      </c>
      <c r="F46" s="88">
        <v>27594762.329999998</v>
      </c>
      <c r="G46" s="30">
        <f>+'CHEQUES EMITIDOS '!C34</f>
        <v>0</v>
      </c>
      <c r="H46" s="149">
        <v>12472478.34</v>
      </c>
      <c r="I46" s="150"/>
      <c r="J46" s="179">
        <v>12169563.539999999</v>
      </c>
      <c r="K46" s="7">
        <v>16594191.369999999</v>
      </c>
    </row>
    <row r="47" spans="1:13" ht="18.75" x14ac:dyDescent="0.3">
      <c r="A47" s="232"/>
      <c r="B47" s="17" t="s">
        <v>42</v>
      </c>
      <c r="C47" s="88">
        <v>5000000</v>
      </c>
      <c r="D47" s="30"/>
      <c r="E47" s="30"/>
      <c r="F47" s="88">
        <v>1000000</v>
      </c>
      <c r="G47" s="19"/>
      <c r="H47" s="150"/>
      <c r="I47" s="150"/>
      <c r="J47" s="7"/>
      <c r="K47" s="19"/>
    </row>
    <row r="48" spans="1:13" ht="18.75" x14ac:dyDescent="0.3">
      <c r="A48" s="233"/>
      <c r="B48" s="47" t="s">
        <v>88</v>
      </c>
      <c r="C48" s="88">
        <v>200000</v>
      </c>
      <c r="D48" s="30"/>
      <c r="E48" s="30"/>
      <c r="F48" s="30"/>
      <c r="G48" s="19"/>
      <c r="H48" s="150"/>
      <c r="I48" s="150"/>
      <c r="J48" s="7"/>
      <c r="K48" s="19"/>
    </row>
    <row r="49" spans="1:12" ht="18.75" x14ac:dyDescent="0.3">
      <c r="A49" s="231" t="s">
        <v>79</v>
      </c>
      <c r="B49" s="47" t="s">
        <v>14</v>
      </c>
      <c r="C49" s="88">
        <v>133100</v>
      </c>
      <c r="D49" s="30"/>
      <c r="E49" s="88">
        <v>60500</v>
      </c>
      <c r="F49" s="88">
        <v>72600</v>
      </c>
      <c r="G49" s="30"/>
      <c r="H49" s="149">
        <v>72600</v>
      </c>
      <c r="I49" s="150"/>
      <c r="J49" s="7"/>
      <c r="K49" s="7"/>
    </row>
    <row r="50" spans="1:12" ht="18.75" x14ac:dyDescent="0.3">
      <c r="A50" s="232"/>
      <c r="B50" s="47" t="s">
        <v>15</v>
      </c>
      <c r="C50" s="31"/>
      <c r="D50" s="30"/>
      <c r="E50" s="88">
        <v>242000</v>
      </c>
      <c r="F50" s="88">
        <v>302500</v>
      </c>
      <c r="G50" s="30"/>
      <c r="H50" s="150"/>
      <c r="I50" s="150"/>
      <c r="J50" s="7"/>
      <c r="K50" s="7"/>
    </row>
    <row r="51" spans="1:12" ht="18.75" x14ac:dyDescent="0.3">
      <c r="A51" s="232"/>
      <c r="B51" s="47" t="s">
        <v>148</v>
      </c>
      <c r="C51" s="31"/>
      <c r="D51" s="30"/>
      <c r="E51" s="88"/>
      <c r="F51" s="88">
        <v>30000</v>
      </c>
      <c r="G51" s="19"/>
      <c r="H51" s="150"/>
      <c r="I51" s="150"/>
      <c r="J51" s="7"/>
      <c r="K51" s="7"/>
    </row>
    <row r="52" spans="1:12" ht="18.75" x14ac:dyDescent="0.3">
      <c r="A52" s="233"/>
      <c r="B52" s="17" t="s">
        <v>16</v>
      </c>
      <c r="C52" s="88">
        <v>44580</v>
      </c>
      <c r="D52" s="30"/>
      <c r="E52" s="88">
        <v>49190.080000000002</v>
      </c>
      <c r="F52" s="88">
        <v>49190.080000000002</v>
      </c>
      <c r="G52" s="30"/>
      <c r="H52" s="149">
        <v>49190</v>
      </c>
      <c r="I52" s="150"/>
      <c r="K52" s="7"/>
      <c r="L52" s="7"/>
    </row>
    <row r="53" spans="1:12" ht="18.75" x14ac:dyDescent="0.3">
      <c r="A53" s="219" t="s">
        <v>25</v>
      </c>
      <c r="B53" s="219"/>
      <c r="C53" s="88">
        <v>84200</v>
      </c>
      <c r="D53" s="30"/>
      <c r="E53" s="88">
        <v>145500</v>
      </c>
      <c r="F53" s="30"/>
      <c r="G53" s="19"/>
      <c r="H53" s="150"/>
      <c r="I53" s="150"/>
      <c r="J53" s="7"/>
      <c r="K53" s="19"/>
    </row>
    <row r="54" spans="1:12" ht="36" customHeight="1" x14ac:dyDescent="0.3">
      <c r="A54" s="250" t="s">
        <v>90</v>
      </c>
      <c r="B54" s="250"/>
      <c r="C54" s="89">
        <v>4388346.6800000006</v>
      </c>
      <c r="D54" s="30"/>
      <c r="E54" s="88">
        <v>3882550.6199999996</v>
      </c>
      <c r="F54" s="88">
        <v>4512967.51</v>
      </c>
      <c r="G54" s="30"/>
      <c r="H54" s="149">
        <v>7622567.459999999</v>
      </c>
      <c r="I54" s="150"/>
      <c r="J54" s="179">
        <f>6604530.97+247700.01+518590</f>
        <v>7370820.9799999995</v>
      </c>
      <c r="K54" s="19"/>
    </row>
    <row r="55" spans="1:12" ht="18.75" x14ac:dyDescent="0.3">
      <c r="A55" s="14"/>
      <c r="B55" s="14"/>
      <c r="C55" s="30">
        <f t="shared" ref="C55:H55" si="0">+SUM(C3:C54)</f>
        <v>65765998.25</v>
      </c>
      <c r="D55" s="30">
        <f t="shared" si="0"/>
        <v>0</v>
      </c>
      <c r="E55" s="88">
        <f t="shared" si="0"/>
        <v>57072841.18999999</v>
      </c>
      <c r="F55" s="88">
        <f t="shared" si="0"/>
        <v>63355461.259999998</v>
      </c>
      <c r="G55" s="30">
        <f t="shared" si="0"/>
        <v>0</v>
      </c>
      <c r="H55" s="149">
        <f t="shared" si="0"/>
        <v>41476134.119999997</v>
      </c>
      <c r="I55" s="150">
        <f>+SUM(I3:I53)</f>
        <v>0</v>
      </c>
      <c r="J55" s="150">
        <f>+SUM(J3:J54)</f>
        <v>43572468.07</v>
      </c>
      <c r="K55" s="150">
        <f>+SUM(K3:K54)</f>
        <v>43876977.649999999</v>
      </c>
    </row>
    <row r="56" spans="1:12" ht="18.75" x14ac:dyDescent="0.3">
      <c r="F56" s="30"/>
    </row>
    <row r="58" spans="1:12" x14ac:dyDescent="0.25">
      <c r="A58" s="249" t="s">
        <v>200</v>
      </c>
      <c r="B58" s="249"/>
    </row>
    <row r="59" spans="1:12" ht="18.75" x14ac:dyDescent="0.3">
      <c r="A59" s="31" t="s">
        <v>91</v>
      </c>
      <c r="B59" s="30">
        <v>56350999</v>
      </c>
    </row>
    <row r="60" spans="1:12" ht="30.75" x14ac:dyDescent="0.3">
      <c r="A60" s="69" t="s">
        <v>131</v>
      </c>
      <c r="B60" s="30">
        <v>28368833.970000003</v>
      </c>
    </row>
    <row r="61" spans="1:12" ht="30.75" x14ac:dyDescent="0.3">
      <c r="A61" s="69" t="s">
        <v>133</v>
      </c>
      <c r="B61" s="30">
        <v>2225000</v>
      </c>
    </row>
    <row r="62" spans="1:12" ht="18.75" x14ac:dyDescent="0.3">
      <c r="A62" s="31"/>
      <c r="B62" s="30">
        <f>+B59+B60+B61</f>
        <v>86944832.969999999</v>
      </c>
    </row>
    <row r="63" spans="1:12" ht="18.75" x14ac:dyDescent="0.3">
      <c r="A63" s="31" t="s">
        <v>132</v>
      </c>
      <c r="B63" s="30">
        <v>57089334.659999996</v>
      </c>
    </row>
    <row r="64" spans="1:12" ht="18.75" x14ac:dyDescent="0.3">
      <c r="A64" s="31" t="s">
        <v>134</v>
      </c>
      <c r="B64" s="30">
        <v>31595386</v>
      </c>
    </row>
    <row r="65" spans="1:2" ht="18.75" x14ac:dyDescent="0.3">
      <c r="A65" s="31" t="s">
        <v>135</v>
      </c>
      <c r="B65" s="30">
        <f>+B62-B63</f>
        <v>29855498.310000002</v>
      </c>
    </row>
    <row r="66" spans="1:2" ht="18.75" x14ac:dyDescent="0.3">
      <c r="A66" s="21"/>
      <c r="B66" s="178"/>
    </row>
    <row r="67" spans="1:2" x14ac:dyDescent="0.25">
      <c r="A67" s="249" t="s">
        <v>199</v>
      </c>
      <c r="B67" s="249"/>
    </row>
    <row r="68" spans="1:2" ht="18.75" x14ac:dyDescent="0.3">
      <c r="A68" s="31" t="s">
        <v>164</v>
      </c>
      <c r="B68" s="30">
        <f>+B64</f>
        <v>31595386</v>
      </c>
    </row>
    <row r="69" spans="1:2" ht="30.75" x14ac:dyDescent="0.3">
      <c r="A69" s="69" t="s">
        <v>165</v>
      </c>
      <c r="B69" s="30">
        <f>+OBRAS!O56</f>
        <v>92343495.209999993</v>
      </c>
    </row>
    <row r="70" spans="1:2" ht="18.75" x14ac:dyDescent="0.3">
      <c r="A70" s="69" t="s">
        <v>166</v>
      </c>
      <c r="B70" s="30">
        <v>0</v>
      </c>
    </row>
    <row r="71" spans="1:2" ht="18.75" x14ac:dyDescent="0.3">
      <c r="A71" s="31"/>
      <c r="B71" s="30">
        <f>+B68+B69+B70</f>
        <v>123938881.20999999</v>
      </c>
    </row>
    <row r="72" spans="1:2" ht="18.75" x14ac:dyDescent="0.3">
      <c r="A72" s="31" t="s">
        <v>167</v>
      </c>
      <c r="B72" s="30">
        <f>+F55</f>
        <v>63355461.259999998</v>
      </c>
    </row>
    <row r="73" spans="1:2" ht="18.75" x14ac:dyDescent="0.3">
      <c r="A73" s="31" t="s">
        <v>168</v>
      </c>
      <c r="B73" s="30">
        <f>+'RESUMEN FEBRERO 2026 '!B7</f>
        <v>59437502</v>
      </c>
    </row>
    <row r="74" spans="1:2" ht="18.75" x14ac:dyDescent="0.3">
      <c r="A74" s="31" t="s">
        <v>170</v>
      </c>
      <c r="B74" s="30">
        <f>+B71-B72</f>
        <v>60583419.949999996</v>
      </c>
    </row>
    <row r="75" spans="1:2" ht="18.75" x14ac:dyDescent="0.3">
      <c r="A75" s="31" t="s">
        <v>169</v>
      </c>
      <c r="B75" s="30">
        <f>+B73-B74</f>
        <v>-1145917.9499999955</v>
      </c>
    </row>
    <row r="76" spans="1:2" ht="18.75" x14ac:dyDescent="0.3">
      <c r="A76" s="21"/>
      <c r="B76" s="178"/>
    </row>
    <row r="77" spans="1:2" x14ac:dyDescent="0.25">
      <c r="A77" s="248" t="s">
        <v>198</v>
      </c>
      <c r="B77" s="249"/>
    </row>
    <row r="78" spans="1:2" ht="18.75" x14ac:dyDescent="0.3">
      <c r="A78" s="31" t="s">
        <v>175</v>
      </c>
      <c r="B78" s="30">
        <f>+B73</f>
        <v>59437502</v>
      </c>
    </row>
    <row r="79" spans="1:2" ht="30.75" x14ac:dyDescent="0.3">
      <c r="A79" s="69" t="s">
        <v>193</v>
      </c>
      <c r="B79" s="30">
        <f>+OBRAS!P56</f>
        <v>37077453.159999996</v>
      </c>
    </row>
    <row r="80" spans="1:2" ht="18.75" x14ac:dyDescent="0.3">
      <c r="A80" s="31" t="s">
        <v>194</v>
      </c>
      <c r="B80" s="30">
        <v>22800000</v>
      </c>
    </row>
    <row r="81" spans="1:2" ht="18.75" x14ac:dyDescent="0.3">
      <c r="A81" s="31" t="s">
        <v>196</v>
      </c>
      <c r="B81" s="30">
        <f>+B78+B79+B80</f>
        <v>119314955.16</v>
      </c>
    </row>
    <row r="82" spans="1:2" ht="18.75" x14ac:dyDescent="0.3">
      <c r="A82" s="31" t="s">
        <v>239</v>
      </c>
      <c r="B82" s="30">
        <f>+H55</f>
        <v>41476134.119999997</v>
      </c>
    </row>
    <row r="83" spans="1:2" ht="18.75" x14ac:dyDescent="0.3">
      <c r="A83" s="31" t="s">
        <v>195</v>
      </c>
      <c r="B83" s="30">
        <f>+B81-B82</f>
        <v>77838821.039999992</v>
      </c>
    </row>
    <row r="84" spans="1:2" ht="18.75" x14ac:dyDescent="0.3">
      <c r="A84" s="31" t="s">
        <v>197</v>
      </c>
      <c r="B84" s="30">
        <f>+'RESUMEN MARZO 2026'!B7</f>
        <v>79311350</v>
      </c>
    </row>
    <row r="85" spans="1:2" ht="18.75" x14ac:dyDescent="0.3">
      <c r="A85" s="31" t="s">
        <v>169</v>
      </c>
      <c r="B85" s="30">
        <f>+B84-B83</f>
        <v>1472528.9600000083</v>
      </c>
    </row>
    <row r="87" spans="1:2" x14ac:dyDescent="0.25">
      <c r="A87" s="248" t="s">
        <v>228</v>
      </c>
      <c r="B87" s="249"/>
    </row>
    <row r="88" spans="1:2" ht="18.75" x14ac:dyDescent="0.3">
      <c r="A88" s="31" t="s">
        <v>229</v>
      </c>
      <c r="B88" s="30">
        <f>+B84</f>
        <v>79311350</v>
      </c>
    </row>
    <row r="89" spans="1:2" ht="30.75" x14ac:dyDescent="0.3">
      <c r="A89" s="69" t="s">
        <v>232</v>
      </c>
      <c r="B89" s="30">
        <f>+OBRAS!Q56</f>
        <v>71976106.959999993</v>
      </c>
    </row>
    <row r="90" spans="1:2" ht="18.75" x14ac:dyDescent="0.3">
      <c r="A90" s="31" t="s">
        <v>231</v>
      </c>
      <c r="B90" s="30">
        <f>+B88+B89</f>
        <v>151287456.95999998</v>
      </c>
    </row>
    <row r="91" spans="1:2" ht="18.75" x14ac:dyDescent="0.3">
      <c r="A91" s="31" t="s">
        <v>230</v>
      </c>
      <c r="B91" s="30">
        <f>+J55</f>
        <v>43572468.07</v>
      </c>
    </row>
    <row r="92" spans="1:2" ht="18.75" x14ac:dyDescent="0.3">
      <c r="A92" s="31" t="s">
        <v>237</v>
      </c>
      <c r="B92" s="30">
        <f>+B90-B91</f>
        <v>107714988.88999999</v>
      </c>
    </row>
    <row r="93" spans="1:2" ht="18.75" x14ac:dyDescent="0.3">
      <c r="A93" s="31" t="s">
        <v>240</v>
      </c>
      <c r="B93" s="30">
        <f>+'RESUMEN ABRIL 2026'!B7</f>
        <v>107525282</v>
      </c>
    </row>
    <row r="94" spans="1:2" ht="18.75" x14ac:dyDescent="0.3">
      <c r="A94" s="31" t="s">
        <v>169</v>
      </c>
      <c r="B94" s="30">
        <f>+B93-B92</f>
        <v>-189706.88999998569</v>
      </c>
    </row>
  </sheetData>
  <mergeCells count="22">
    <mergeCell ref="A87:B87"/>
    <mergeCell ref="A49:A52"/>
    <mergeCell ref="A77:B77"/>
    <mergeCell ref="A67:B67"/>
    <mergeCell ref="A58:B58"/>
    <mergeCell ref="A54:B54"/>
    <mergeCell ref="A53:B53"/>
    <mergeCell ref="A17:B17"/>
    <mergeCell ref="A1:C1"/>
    <mergeCell ref="A2:B2"/>
    <mergeCell ref="A46:A48"/>
    <mergeCell ref="A43:A44"/>
    <mergeCell ref="C30:C32"/>
    <mergeCell ref="C33:C34"/>
    <mergeCell ref="B3:B7"/>
    <mergeCell ref="C3:C7"/>
    <mergeCell ref="B15:B16"/>
    <mergeCell ref="A3:A16"/>
    <mergeCell ref="A20:A34"/>
    <mergeCell ref="A45:B45"/>
    <mergeCell ref="A35:A42"/>
    <mergeCell ref="A18:A19"/>
  </mergeCells>
  <printOptions horizontalCentered="1" verticalCentered="1"/>
  <pageMargins left="0" right="0" top="0" bottom="0" header="0.31496062992125984" footer="0.31496062992125984"/>
  <pageSetup paperSize="9" scale="85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9B71-094E-44D0-A087-BA7F5FE1C8B9}">
  <dimension ref="A1:B7"/>
  <sheetViews>
    <sheetView workbookViewId="0">
      <selection activeCell="B7" sqref="B7"/>
    </sheetView>
  </sheetViews>
  <sheetFormatPr baseColWidth="10" defaultRowHeight="15" x14ac:dyDescent="0.25"/>
  <cols>
    <col min="1" max="1" width="61.28515625" bestFit="1" customWidth="1"/>
    <col min="2" max="2" width="23" customWidth="1"/>
  </cols>
  <sheetData>
    <row r="1" spans="1:2" ht="18.75" x14ac:dyDescent="0.3">
      <c r="A1" s="219" t="s">
        <v>213</v>
      </c>
      <c r="B1" s="219"/>
    </row>
    <row r="2" spans="1:2" ht="18.75" x14ac:dyDescent="0.3">
      <c r="A2" s="17" t="s">
        <v>203</v>
      </c>
      <c r="B2" s="201">
        <v>975000</v>
      </c>
    </row>
    <row r="3" spans="1:2" ht="18.75" x14ac:dyDescent="0.3">
      <c r="A3" s="17" t="s">
        <v>17</v>
      </c>
      <c r="B3" s="201">
        <v>103045454</v>
      </c>
    </row>
    <row r="4" spans="1:2" ht="18.75" x14ac:dyDescent="0.3">
      <c r="A4" s="17" t="s">
        <v>44</v>
      </c>
      <c r="B4" s="201">
        <v>3504828</v>
      </c>
    </row>
    <row r="5" spans="1:2" ht="18.75" x14ac:dyDescent="0.3">
      <c r="A5" s="17" t="s">
        <v>236</v>
      </c>
      <c r="B5" s="201">
        <f>+B3+B4+B2</f>
        <v>107525282</v>
      </c>
    </row>
    <row r="6" spans="1:2" ht="18.75" x14ac:dyDescent="0.3">
      <c r="A6" s="17" t="s">
        <v>246</v>
      </c>
      <c r="B6" s="201"/>
    </row>
    <row r="7" spans="1:2" ht="33" customHeight="1" x14ac:dyDescent="0.25">
      <c r="A7" s="51" t="s">
        <v>238</v>
      </c>
      <c r="B7" s="201">
        <f>+B5-B6</f>
        <v>107525282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RESUMEN DICIEMBRE 2025</vt:lpstr>
      <vt:lpstr>RESUMEN FINANCIERO ENERO 2026</vt:lpstr>
      <vt:lpstr>RESUMEN FEBRERO 2026 </vt:lpstr>
      <vt:lpstr>RESUMEN MARZO 2026</vt:lpstr>
      <vt:lpstr>CHEQUES EMITIDOS </vt:lpstr>
      <vt:lpstr>ECHEQ RECIBIDOC</vt:lpstr>
      <vt:lpstr>OBRAS</vt:lpstr>
      <vt:lpstr>Hoja1</vt:lpstr>
      <vt:lpstr>GASTOS MENSUALES 2026 </vt:lpstr>
      <vt:lpstr>RESUMEN ABRIL 2026</vt:lpstr>
      <vt:lpstr>'CHEQUES EMITIDOS '!Área_de_impresión</vt:lpstr>
      <vt:lpstr>'GASTOS MENSUALES 2026 '!Área_de_impresión</vt:lpstr>
      <vt:lpstr>OBRAS!Área_de_impresión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2026-02-12T11:45:10Z</cp:lastPrinted>
  <dcterms:created xsi:type="dcterms:W3CDTF">2024-06-04T15:30:19Z</dcterms:created>
  <dcterms:modified xsi:type="dcterms:W3CDTF">2026-05-06T22:36:45Z</dcterms:modified>
</cp:coreProperties>
</file>