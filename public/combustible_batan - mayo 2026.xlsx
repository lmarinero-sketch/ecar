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0e62a4d00a228fe/ECAR ONE DRIVE/COMBUSTIBLES SHELL - ESTACION CENTRAL/"/>
    </mc:Choice>
  </mc:AlternateContent>
  <xr:revisionPtr revIDLastSave="542" documentId="11_3BF8AC0CDF48852ACE79AE1E33261983A07273C8" xr6:coauthVersionLast="47" xr6:coauthVersionMax="47" xr10:uidLastSave="{2B96C307-CC42-40B8-B0FC-0CC3557F1B6E}"/>
  <bookViews>
    <workbookView xWindow="-120" yWindow="-120" windowWidth="29040" windowHeight="15720" firstSheet="1" activeTab="4" xr2:uid="{00000000-000D-0000-FFFF-FFFF00000000}"/>
  </bookViews>
  <sheets>
    <sheet name="INICIO" sheetId="1" r:id="rId1"/>
    <sheet name="MAESTRO DE UNIDADES" sheetId="2" r:id="rId2"/>
    <sheet name="MAESTRO DE RESPONSABLES" sheetId="3" r:id="rId3"/>
    <sheet name="MAESTRO DE OBRAS" sheetId="4" r:id="rId4"/>
    <sheet name="CARGAS DE COMBUSTIBLE" sheetId="5" r:id="rId5"/>
    <sheet name="CONTROL DE BATAN" sheetId="6" r:id="rId6"/>
    <sheet name="CONTROL MENSUAL PROVEEDOR" sheetId="7" r:id="rId7"/>
    <sheet name="INDICADORES" sheetId="8" r:id="rId8"/>
    <sheet name="DASHBOARD" sheetId="9" r:id="rId9"/>
    <sheet name="LISTAS" sheetId="10" r:id="rId10"/>
  </sheets>
  <definedNames>
    <definedName name="_xlnm._FilterDatabase" localSheetId="5" hidden="1">'CONTROL DE BATAN'!$A$1:$S$301</definedName>
    <definedName name="Lista_Anios">LISTAS!$G$2:$G$5</definedName>
    <definedName name="Lista_Cargas_Batan">'CONTROL DE BATAN'!$A$2:$A$301</definedName>
    <definedName name="Lista_Codigos">LISTAS!$A$3:$A$202</definedName>
    <definedName name="Lista_EstadoProveedor">LISTAS!$F$2:$F$5</definedName>
    <definedName name="Lista_Meses">LISTAS!$H$2:$H$13</definedName>
    <definedName name="Lista_Meses_Dashboard">LISTAS!$I$2:$I$14</definedName>
    <definedName name="Lista_MetodoPago">LISTAS!$E$2:$E$5</definedName>
    <definedName name="Lista_Obras">'MAESTRO DE OBRAS'!$B$2:$B$200</definedName>
    <definedName name="Lista_Obras_Dash">LISTAS!$C$2:$C$202</definedName>
    <definedName name="Lista_Proveedores">LISTAS!$J$2:$J$6</definedName>
    <definedName name="Lista_Responsables">'MAESTRO DE RESPONSABLES'!$A$2:$A$200</definedName>
    <definedName name="Lista_Responsables_Dash">LISTAS!$B$2:$B$202</definedName>
    <definedName name="Lista_TipoCombustible">LISTAS!$D$2:$D$5</definedName>
    <definedName name="Lista_TipoCombustible_Dash">LISTAS!$D$7:$D$11</definedName>
    <definedName name="Lista_Unidades_Dashboard">LISTAS!$K$2:$K$202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E3" i="5"/>
  <c r="D3" i="5"/>
  <c r="C3" i="5"/>
  <c r="I3" i="5"/>
  <c r="H3" i="5"/>
  <c r="A3" i="5"/>
  <c r="F2" i="5"/>
  <c r="A21" i="5"/>
  <c r="Z8" i="5"/>
  <c r="Z9" i="5"/>
  <c r="Z10" i="5"/>
  <c r="Z11" i="5"/>
  <c r="Z12" i="5"/>
  <c r="Z13" i="5"/>
  <c r="Z14" i="5"/>
  <c r="Z15" i="5"/>
  <c r="A2" i="5"/>
  <c r="K202" i="10"/>
  <c r="C202" i="10"/>
  <c r="B202" i="10"/>
  <c r="A202" i="10"/>
  <c r="K201" i="10"/>
  <c r="C201" i="10"/>
  <c r="B201" i="10"/>
  <c r="A201" i="10"/>
  <c r="K200" i="10"/>
  <c r="C200" i="10"/>
  <c r="B200" i="10"/>
  <c r="A200" i="10"/>
  <c r="K199" i="10"/>
  <c r="C199" i="10"/>
  <c r="B199" i="10"/>
  <c r="A199" i="10"/>
  <c r="K198" i="10"/>
  <c r="C198" i="10"/>
  <c r="B198" i="10"/>
  <c r="A198" i="10"/>
  <c r="K197" i="10"/>
  <c r="C197" i="10"/>
  <c r="B197" i="10"/>
  <c r="A197" i="10"/>
  <c r="K196" i="10"/>
  <c r="C196" i="10"/>
  <c r="B196" i="10"/>
  <c r="A196" i="10"/>
  <c r="K195" i="10"/>
  <c r="C195" i="10"/>
  <c r="B195" i="10"/>
  <c r="A195" i="10"/>
  <c r="K194" i="10"/>
  <c r="C194" i="10"/>
  <c r="B194" i="10"/>
  <c r="A194" i="10"/>
  <c r="K193" i="10"/>
  <c r="C193" i="10"/>
  <c r="B193" i="10"/>
  <c r="A193" i="10"/>
  <c r="K192" i="10"/>
  <c r="C192" i="10"/>
  <c r="B192" i="10"/>
  <c r="A192" i="10"/>
  <c r="K191" i="10"/>
  <c r="C191" i="10"/>
  <c r="B191" i="10"/>
  <c r="A191" i="10"/>
  <c r="K190" i="10"/>
  <c r="C190" i="10"/>
  <c r="B190" i="10"/>
  <c r="A190" i="10"/>
  <c r="K189" i="10"/>
  <c r="C189" i="10"/>
  <c r="B189" i="10"/>
  <c r="A189" i="10"/>
  <c r="K188" i="10"/>
  <c r="C188" i="10"/>
  <c r="B188" i="10"/>
  <c r="A188" i="10"/>
  <c r="K187" i="10"/>
  <c r="C187" i="10"/>
  <c r="B187" i="10"/>
  <c r="A187" i="10"/>
  <c r="K186" i="10"/>
  <c r="C186" i="10"/>
  <c r="B186" i="10"/>
  <c r="A186" i="10"/>
  <c r="K185" i="10"/>
  <c r="C185" i="10"/>
  <c r="B185" i="10"/>
  <c r="A185" i="10"/>
  <c r="K184" i="10"/>
  <c r="C184" i="10"/>
  <c r="B184" i="10"/>
  <c r="A184" i="10"/>
  <c r="K183" i="10"/>
  <c r="C183" i="10"/>
  <c r="B183" i="10"/>
  <c r="A183" i="10"/>
  <c r="K182" i="10"/>
  <c r="C182" i="10"/>
  <c r="B182" i="10"/>
  <c r="A182" i="10"/>
  <c r="K181" i="10"/>
  <c r="C181" i="10"/>
  <c r="B181" i="10"/>
  <c r="A181" i="10"/>
  <c r="K180" i="10"/>
  <c r="C180" i="10"/>
  <c r="B180" i="10"/>
  <c r="A180" i="10"/>
  <c r="K179" i="10"/>
  <c r="C179" i="10"/>
  <c r="B179" i="10"/>
  <c r="A179" i="10"/>
  <c r="K178" i="10"/>
  <c r="C178" i="10"/>
  <c r="B178" i="10"/>
  <c r="A178" i="10"/>
  <c r="K177" i="10"/>
  <c r="C177" i="10"/>
  <c r="B177" i="10"/>
  <c r="A177" i="10"/>
  <c r="K176" i="10"/>
  <c r="C176" i="10"/>
  <c r="B176" i="10"/>
  <c r="A176" i="10"/>
  <c r="K175" i="10"/>
  <c r="C175" i="10"/>
  <c r="B175" i="10"/>
  <c r="A175" i="10"/>
  <c r="K174" i="10"/>
  <c r="C174" i="10"/>
  <c r="B174" i="10"/>
  <c r="A174" i="10"/>
  <c r="K173" i="10"/>
  <c r="C173" i="10"/>
  <c r="B173" i="10"/>
  <c r="A173" i="10"/>
  <c r="K172" i="10"/>
  <c r="C172" i="10"/>
  <c r="B172" i="10"/>
  <c r="A172" i="10"/>
  <c r="K171" i="10"/>
  <c r="C171" i="10"/>
  <c r="B171" i="10"/>
  <c r="A171" i="10"/>
  <c r="K170" i="10"/>
  <c r="C170" i="10"/>
  <c r="B170" i="10"/>
  <c r="A170" i="10"/>
  <c r="K169" i="10"/>
  <c r="C169" i="10"/>
  <c r="B169" i="10"/>
  <c r="A169" i="10"/>
  <c r="K168" i="10"/>
  <c r="C168" i="10"/>
  <c r="B168" i="10"/>
  <c r="A168" i="10"/>
  <c r="K167" i="10"/>
  <c r="C167" i="10"/>
  <c r="B167" i="10"/>
  <c r="A167" i="10"/>
  <c r="K166" i="10"/>
  <c r="C166" i="10"/>
  <c r="B166" i="10"/>
  <c r="A166" i="10"/>
  <c r="K165" i="10"/>
  <c r="C165" i="10"/>
  <c r="B165" i="10"/>
  <c r="A165" i="10"/>
  <c r="K164" i="10"/>
  <c r="C164" i="10"/>
  <c r="B164" i="10"/>
  <c r="A164" i="10"/>
  <c r="K163" i="10"/>
  <c r="C163" i="10"/>
  <c r="B163" i="10"/>
  <c r="A163" i="10"/>
  <c r="K162" i="10"/>
  <c r="C162" i="10"/>
  <c r="B162" i="10"/>
  <c r="A162" i="10"/>
  <c r="K161" i="10"/>
  <c r="C161" i="10"/>
  <c r="B161" i="10"/>
  <c r="A161" i="10"/>
  <c r="K160" i="10"/>
  <c r="C160" i="10"/>
  <c r="B160" i="10"/>
  <c r="A160" i="10"/>
  <c r="K159" i="10"/>
  <c r="C159" i="10"/>
  <c r="B159" i="10"/>
  <c r="A159" i="10"/>
  <c r="K158" i="10"/>
  <c r="C158" i="10"/>
  <c r="B158" i="10"/>
  <c r="A158" i="10"/>
  <c r="K157" i="10"/>
  <c r="C157" i="10"/>
  <c r="B157" i="10"/>
  <c r="A157" i="10"/>
  <c r="K156" i="10"/>
  <c r="C156" i="10"/>
  <c r="B156" i="10"/>
  <c r="A156" i="10"/>
  <c r="K155" i="10"/>
  <c r="C155" i="10"/>
  <c r="B155" i="10"/>
  <c r="A155" i="10"/>
  <c r="K154" i="10"/>
  <c r="C154" i="10"/>
  <c r="B154" i="10"/>
  <c r="A154" i="10"/>
  <c r="K153" i="10"/>
  <c r="C153" i="10"/>
  <c r="B153" i="10"/>
  <c r="A153" i="10"/>
  <c r="K152" i="10"/>
  <c r="C152" i="10"/>
  <c r="B152" i="10"/>
  <c r="A152" i="10"/>
  <c r="K151" i="10"/>
  <c r="C151" i="10"/>
  <c r="B151" i="10"/>
  <c r="A151" i="10"/>
  <c r="K150" i="10"/>
  <c r="C150" i="10"/>
  <c r="B150" i="10"/>
  <c r="A150" i="10"/>
  <c r="K149" i="10"/>
  <c r="C149" i="10"/>
  <c r="B149" i="10"/>
  <c r="A149" i="10"/>
  <c r="K148" i="10"/>
  <c r="C148" i="10"/>
  <c r="B148" i="10"/>
  <c r="A148" i="10"/>
  <c r="K147" i="10"/>
  <c r="C147" i="10"/>
  <c r="B147" i="10"/>
  <c r="A147" i="10"/>
  <c r="K146" i="10"/>
  <c r="C146" i="10"/>
  <c r="B146" i="10"/>
  <c r="A146" i="10"/>
  <c r="K145" i="10"/>
  <c r="C145" i="10"/>
  <c r="B145" i="10"/>
  <c r="A145" i="10"/>
  <c r="K144" i="10"/>
  <c r="C144" i="10"/>
  <c r="B144" i="10"/>
  <c r="A144" i="10"/>
  <c r="K143" i="10"/>
  <c r="C143" i="10"/>
  <c r="B143" i="10"/>
  <c r="A143" i="10"/>
  <c r="K142" i="10"/>
  <c r="C142" i="10"/>
  <c r="B142" i="10"/>
  <c r="A142" i="10"/>
  <c r="K141" i="10"/>
  <c r="C141" i="10"/>
  <c r="B141" i="10"/>
  <c r="A141" i="10"/>
  <c r="K140" i="10"/>
  <c r="C140" i="10"/>
  <c r="B140" i="10"/>
  <c r="A140" i="10"/>
  <c r="K139" i="10"/>
  <c r="C139" i="10"/>
  <c r="B139" i="10"/>
  <c r="A139" i="10"/>
  <c r="K138" i="10"/>
  <c r="C138" i="10"/>
  <c r="B138" i="10"/>
  <c r="A138" i="10"/>
  <c r="K137" i="10"/>
  <c r="C137" i="10"/>
  <c r="B137" i="10"/>
  <c r="A137" i="10"/>
  <c r="K136" i="10"/>
  <c r="C136" i="10"/>
  <c r="B136" i="10"/>
  <c r="A136" i="10"/>
  <c r="K135" i="10"/>
  <c r="C135" i="10"/>
  <c r="B135" i="10"/>
  <c r="A135" i="10"/>
  <c r="K134" i="10"/>
  <c r="C134" i="10"/>
  <c r="B134" i="10"/>
  <c r="A134" i="10"/>
  <c r="K133" i="10"/>
  <c r="C133" i="10"/>
  <c r="B133" i="10"/>
  <c r="A133" i="10"/>
  <c r="K132" i="10"/>
  <c r="C132" i="10"/>
  <c r="B132" i="10"/>
  <c r="A132" i="10"/>
  <c r="K131" i="10"/>
  <c r="C131" i="10"/>
  <c r="B131" i="10"/>
  <c r="A131" i="10"/>
  <c r="K130" i="10"/>
  <c r="C130" i="10"/>
  <c r="B130" i="10"/>
  <c r="A130" i="10"/>
  <c r="K129" i="10"/>
  <c r="C129" i="10"/>
  <c r="B129" i="10"/>
  <c r="A129" i="10"/>
  <c r="K128" i="10"/>
  <c r="C128" i="10"/>
  <c r="B128" i="10"/>
  <c r="A128" i="10"/>
  <c r="K127" i="10"/>
  <c r="C127" i="10"/>
  <c r="B127" i="10"/>
  <c r="A127" i="10"/>
  <c r="K126" i="10"/>
  <c r="C126" i="10"/>
  <c r="B126" i="10"/>
  <c r="A126" i="10"/>
  <c r="K125" i="10"/>
  <c r="C125" i="10"/>
  <c r="B125" i="10"/>
  <c r="A125" i="10"/>
  <c r="K124" i="10"/>
  <c r="C124" i="10"/>
  <c r="B124" i="10"/>
  <c r="A124" i="10"/>
  <c r="K123" i="10"/>
  <c r="C123" i="10"/>
  <c r="B123" i="10"/>
  <c r="A123" i="10"/>
  <c r="K122" i="10"/>
  <c r="C122" i="10"/>
  <c r="B122" i="10"/>
  <c r="A122" i="10"/>
  <c r="K121" i="10"/>
  <c r="C121" i="10"/>
  <c r="B121" i="10"/>
  <c r="A121" i="10"/>
  <c r="K120" i="10"/>
  <c r="C120" i="10"/>
  <c r="B120" i="10"/>
  <c r="A120" i="10"/>
  <c r="K119" i="10"/>
  <c r="C119" i="10"/>
  <c r="B119" i="10"/>
  <c r="A119" i="10"/>
  <c r="K118" i="10"/>
  <c r="C118" i="10"/>
  <c r="B118" i="10"/>
  <c r="A118" i="10"/>
  <c r="K117" i="10"/>
  <c r="C117" i="10"/>
  <c r="B117" i="10"/>
  <c r="A117" i="10"/>
  <c r="K116" i="10"/>
  <c r="C116" i="10"/>
  <c r="B116" i="10"/>
  <c r="A116" i="10"/>
  <c r="K115" i="10"/>
  <c r="C115" i="10"/>
  <c r="B115" i="10"/>
  <c r="A115" i="10"/>
  <c r="K114" i="10"/>
  <c r="C114" i="10"/>
  <c r="B114" i="10"/>
  <c r="A114" i="10"/>
  <c r="K113" i="10"/>
  <c r="C113" i="10"/>
  <c r="B113" i="10"/>
  <c r="A113" i="10"/>
  <c r="K112" i="10"/>
  <c r="C112" i="10"/>
  <c r="B112" i="10"/>
  <c r="A112" i="10"/>
  <c r="K111" i="10"/>
  <c r="C111" i="10"/>
  <c r="B111" i="10"/>
  <c r="A111" i="10"/>
  <c r="K110" i="10"/>
  <c r="C110" i="10"/>
  <c r="B110" i="10"/>
  <c r="A110" i="10"/>
  <c r="K109" i="10"/>
  <c r="C109" i="10"/>
  <c r="B109" i="10"/>
  <c r="A109" i="10"/>
  <c r="K108" i="10"/>
  <c r="C108" i="10"/>
  <c r="B108" i="10"/>
  <c r="A108" i="10"/>
  <c r="K107" i="10"/>
  <c r="C107" i="10"/>
  <c r="B107" i="10"/>
  <c r="A107" i="10"/>
  <c r="K106" i="10"/>
  <c r="C106" i="10"/>
  <c r="B106" i="10"/>
  <c r="A106" i="10"/>
  <c r="K105" i="10"/>
  <c r="C105" i="10"/>
  <c r="B105" i="10"/>
  <c r="A105" i="10"/>
  <c r="K104" i="10"/>
  <c r="C104" i="10"/>
  <c r="B104" i="10"/>
  <c r="A104" i="10"/>
  <c r="K103" i="10"/>
  <c r="C103" i="10"/>
  <c r="B103" i="10"/>
  <c r="A103" i="10"/>
  <c r="K102" i="10"/>
  <c r="C102" i="10"/>
  <c r="B102" i="10"/>
  <c r="A102" i="10"/>
  <c r="K101" i="10"/>
  <c r="C101" i="10"/>
  <c r="B101" i="10"/>
  <c r="A101" i="10"/>
  <c r="K100" i="10"/>
  <c r="C100" i="10"/>
  <c r="B100" i="10"/>
  <c r="A100" i="10"/>
  <c r="K99" i="10"/>
  <c r="C99" i="10"/>
  <c r="B99" i="10"/>
  <c r="A99" i="10"/>
  <c r="K98" i="10"/>
  <c r="C98" i="10"/>
  <c r="B98" i="10"/>
  <c r="A98" i="10"/>
  <c r="K97" i="10"/>
  <c r="C97" i="10"/>
  <c r="B97" i="10"/>
  <c r="A97" i="10"/>
  <c r="K96" i="10"/>
  <c r="C96" i="10"/>
  <c r="B96" i="10"/>
  <c r="A96" i="10"/>
  <c r="K95" i="10"/>
  <c r="C95" i="10"/>
  <c r="B95" i="10"/>
  <c r="A95" i="10"/>
  <c r="K94" i="10"/>
  <c r="C94" i="10"/>
  <c r="B94" i="10"/>
  <c r="A94" i="10"/>
  <c r="K93" i="10"/>
  <c r="C93" i="10"/>
  <c r="B93" i="10"/>
  <c r="A93" i="10"/>
  <c r="K92" i="10"/>
  <c r="C92" i="10"/>
  <c r="B92" i="10"/>
  <c r="A92" i="10"/>
  <c r="K91" i="10"/>
  <c r="C91" i="10"/>
  <c r="B91" i="10"/>
  <c r="A91" i="10"/>
  <c r="K90" i="10"/>
  <c r="C90" i="10"/>
  <c r="B90" i="10"/>
  <c r="A90" i="10"/>
  <c r="K89" i="10"/>
  <c r="C89" i="10"/>
  <c r="B89" i="10"/>
  <c r="A89" i="10"/>
  <c r="K88" i="10"/>
  <c r="C88" i="10"/>
  <c r="B88" i="10"/>
  <c r="A88" i="10"/>
  <c r="K87" i="10"/>
  <c r="C87" i="10"/>
  <c r="B87" i="10"/>
  <c r="A87" i="10"/>
  <c r="K86" i="10"/>
  <c r="C86" i="10"/>
  <c r="B86" i="10"/>
  <c r="A86" i="10"/>
  <c r="K85" i="10"/>
  <c r="C85" i="10"/>
  <c r="B85" i="10"/>
  <c r="A85" i="10"/>
  <c r="K84" i="10"/>
  <c r="C84" i="10"/>
  <c r="B84" i="10"/>
  <c r="A84" i="10"/>
  <c r="K83" i="10"/>
  <c r="C83" i="10"/>
  <c r="B83" i="10"/>
  <c r="A83" i="10"/>
  <c r="K82" i="10"/>
  <c r="C82" i="10"/>
  <c r="B82" i="10"/>
  <c r="A82" i="10"/>
  <c r="K81" i="10"/>
  <c r="C81" i="10"/>
  <c r="B81" i="10"/>
  <c r="A81" i="10"/>
  <c r="K80" i="10"/>
  <c r="C80" i="10"/>
  <c r="B80" i="10"/>
  <c r="A80" i="10"/>
  <c r="K79" i="10"/>
  <c r="C79" i="10"/>
  <c r="B79" i="10"/>
  <c r="A79" i="10"/>
  <c r="K78" i="10"/>
  <c r="C78" i="10"/>
  <c r="B78" i="10"/>
  <c r="A78" i="10"/>
  <c r="K77" i="10"/>
  <c r="C77" i="10"/>
  <c r="B77" i="10"/>
  <c r="A77" i="10"/>
  <c r="K76" i="10"/>
  <c r="C76" i="10"/>
  <c r="B76" i="10"/>
  <c r="A76" i="10"/>
  <c r="K75" i="10"/>
  <c r="C75" i="10"/>
  <c r="B75" i="10"/>
  <c r="A75" i="10"/>
  <c r="K74" i="10"/>
  <c r="C74" i="10"/>
  <c r="B74" i="10"/>
  <c r="A74" i="10"/>
  <c r="K73" i="10"/>
  <c r="C73" i="10"/>
  <c r="B73" i="10"/>
  <c r="A73" i="10"/>
  <c r="K72" i="10"/>
  <c r="C72" i="10"/>
  <c r="B72" i="10"/>
  <c r="A72" i="10"/>
  <c r="K71" i="10"/>
  <c r="C71" i="10"/>
  <c r="B71" i="10"/>
  <c r="A71" i="10"/>
  <c r="K70" i="10"/>
  <c r="C70" i="10"/>
  <c r="B70" i="10"/>
  <c r="A70" i="10"/>
  <c r="K69" i="10"/>
  <c r="C69" i="10"/>
  <c r="B69" i="10"/>
  <c r="A69" i="10"/>
  <c r="K68" i="10"/>
  <c r="C68" i="10"/>
  <c r="B68" i="10"/>
  <c r="A68" i="10"/>
  <c r="K67" i="10"/>
  <c r="C67" i="10"/>
  <c r="B67" i="10"/>
  <c r="A67" i="10"/>
  <c r="K66" i="10"/>
  <c r="C66" i="10"/>
  <c r="B66" i="10"/>
  <c r="A66" i="10"/>
  <c r="K65" i="10"/>
  <c r="C65" i="10"/>
  <c r="B65" i="10"/>
  <c r="A65" i="10"/>
  <c r="K64" i="10"/>
  <c r="C64" i="10"/>
  <c r="B64" i="10"/>
  <c r="A64" i="10"/>
  <c r="K63" i="10"/>
  <c r="C63" i="10"/>
  <c r="B63" i="10"/>
  <c r="A63" i="10"/>
  <c r="K62" i="10"/>
  <c r="C62" i="10"/>
  <c r="B62" i="10"/>
  <c r="A62" i="10"/>
  <c r="K61" i="10"/>
  <c r="C61" i="10"/>
  <c r="B61" i="10"/>
  <c r="A61" i="10"/>
  <c r="K60" i="10"/>
  <c r="C60" i="10"/>
  <c r="B60" i="10"/>
  <c r="A60" i="10"/>
  <c r="K59" i="10"/>
  <c r="C59" i="10"/>
  <c r="B59" i="10"/>
  <c r="A59" i="10"/>
  <c r="K58" i="10"/>
  <c r="C58" i="10"/>
  <c r="B58" i="10"/>
  <c r="A58" i="10"/>
  <c r="K57" i="10"/>
  <c r="C57" i="10"/>
  <c r="B57" i="10"/>
  <c r="A57" i="10"/>
  <c r="K56" i="10"/>
  <c r="C56" i="10"/>
  <c r="B56" i="10"/>
  <c r="A56" i="10"/>
  <c r="K55" i="10"/>
  <c r="C55" i="10"/>
  <c r="B55" i="10"/>
  <c r="A55" i="10"/>
  <c r="K54" i="10"/>
  <c r="C54" i="10"/>
  <c r="B54" i="10"/>
  <c r="A54" i="10"/>
  <c r="K53" i="10"/>
  <c r="C53" i="10"/>
  <c r="B53" i="10"/>
  <c r="A53" i="10"/>
  <c r="K52" i="10"/>
  <c r="C52" i="10"/>
  <c r="B52" i="10"/>
  <c r="A52" i="10"/>
  <c r="K51" i="10"/>
  <c r="C51" i="10"/>
  <c r="B51" i="10"/>
  <c r="A51" i="10"/>
  <c r="K50" i="10"/>
  <c r="C50" i="10"/>
  <c r="B50" i="10"/>
  <c r="A50" i="10"/>
  <c r="K49" i="10"/>
  <c r="C49" i="10"/>
  <c r="B49" i="10"/>
  <c r="A49" i="10"/>
  <c r="K48" i="10"/>
  <c r="C48" i="10"/>
  <c r="B48" i="10"/>
  <c r="A48" i="10"/>
  <c r="K47" i="10"/>
  <c r="C47" i="10"/>
  <c r="B47" i="10"/>
  <c r="A47" i="10"/>
  <c r="K46" i="10"/>
  <c r="C46" i="10"/>
  <c r="B46" i="10"/>
  <c r="A46" i="10"/>
  <c r="K45" i="10"/>
  <c r="C45" i="10"/>
  <c r="B45" i="10"/>
  <c r="A45" i="10"/>
  <c r="K44" i="10"/>
  <c r="C44" i="10"/>
  <c r="B44" i="10"/>
  <c r="A44" i="10"/>
  <c r="K43" i="10"/>
  <c r="C43" i="10"/>
  <c r="B43" i="10"/>
  <c r="A43" i="10"/>
  <c r="K42" i="10"/>
  <c r="C42" i="10"/>
  <c r="B42" i="10"/>
  <c r="A42" i="10"/>
  <c r="K41" i="10"/>
  <c r="C41" i="10"/>
  <c r="B41" i="10"/>
  <c r="A41" i="10"/>
  <c r="K40" i="10"/>
  <c r="C40" i="10"/>
  <c r="B40" i="10"/>
  <c r="A40" i="10"/>
  <c r="K39" i="10"/>
  <c r="C39" i="10"/>
  <c r="B39" i="10"/>
  <c r="A39" i="10"/>
  <c r="K38" i="10"/>
  <c r="C38" i="10"/>
  <c r="B38" i="10"/>
  <c r="A38" i="10"/>
  <c r="K37" i="10"/>
  <c r="C37" i="10"/>
  <c r="B37" i="10"/>
  <c r="A37" i="10"/>
  <c r="K36" i="10"/>
  <c r="C36" i="10"/>
  <c r="B36" i="10"/>
  <c r="A36" i="10"/>
  <c r="K35" i="10"/>
  <c r="C35" i="10"/>
  <c r="B35" i="10"/>
  <c r="A35" i="10"/>
  <c r="K34" i="10"/>
  <c r="C34" i="10"/>
  <c r="B34" i="10"/>
  <c r="A34" i="10"/>
  <c r="K33" i="10"/>
  <c r="C33" i="10"/>
  <c r="B33" i="10"/>
  <c r="A33" i="10"/>
  <c r="K32" i="10"/>
  <c r="C32" i="10"/>
  <c r="B32" i="10"/>
  <c r="A32" i="10"/>
  <c r="K31" i="10"/>
  <c r="C31" i="10"/>
  <c r="B31" i="10"/>
  <c r="A31" i="10"/>
  <c r="K30" i="10"/>
  <c r="C30" i="10"/>
  <c r="B30" i="10"/>
  <c r="A30" i="10"/>
  <c r="K29" i="10"/>
  <c r="C29" i="10"/>
  <c r="B29" i="10"/>
  <c r="A29" i="10"/>
  <c r="K28" i="10"/>
  <c r="C28" i="10"/>
  <c r="B28" i="10"/>
  <c r="A28" i="10"/>
  <c r="K27" i="10"/>
  <c r="C27" i="10"/>
  <c r="B27" i="10"/>
  <c r="A27" i="10"/>
  <c r="K26" i="10"/>
  <c r="C26" i="10"/>
  <c r="B26" i="10"/>
  <c r="A26" i="10"/>
  <c r="K25" i="10"/>
  <c r="C25" i="10"/>
  <c r="B25" i="10"/>
  <c r="A25" i="10"/>
  <c r="K24" i="10"/>
  <c r="C24" i="10"/>
  <c r="B24" i="10"/>
  <c r="A24" i="10"/>
  <c r="K23" i="10"/>
  <c r="C23" i="10"/>
  <c r="B23" i="10"/>
  <c r="A23" i="10"/>
  <c r="K22" i="10"/>
  <c r="C22" i="10"/>
  <c r="B22" i="10"/>
  <c r="A22" i="10"/>
  <c r="K21" i="10"/>
  <c r="C21" i="10"/>
  <c r="B21" i="10"/>
  <c r="A21" i="10"/>
  <c r="K20" i="10"/>
  <c r="C20" i="10"/>
  <c r="B20" i="10"/>
  <c r="A20" i="10"/>
  <c r="K19" i="10"/>
  <c r="C19" i="10"/>
  <c r="B19" i="10"/>
  <c r="A19" i="10"/>
  <c r="K18" i="10"/>
  <c r="C18" i="10"/>
  <c r="B18" i="10"/>
  <c r="A18" i="10"/>
  <c r="K17" i="10"/>
  <c r="C17" i="10"/>
  <c r="B17" i="10"/>
  <c r="A17" i="10"/>
  <c r="K16" i="10"/>
  <c r="C16" i="10"/>
  <c r="B16" i="10"/>
  <c r="A16" i="10"/>
  <c r="K15" i="10"/>
  <c r="C15" i="10"/>
  <c r="B15" i="10"/>
  <c r="A15" i="10"/>
  <c r="K14" i="10"/>
  <c r="C14" i="10"/>
  <c r="B14" i="10"/>
  <c r="A14" i="10"/>
  <c r="K13" i="10"/>
  <c r="C13" i="10"/>
  <c r="B13" i="10"/>
  <c r="A13" i="10"/>
  <c r="K12" i="10"/>
  <c r="C12" i="10"/>
  <c r="B12" i="10"/>
  <c r="A12" i="10"/>
  <c r="K11" i="10"/>
  <c r="C11" i="10"/>
  <c r="B11" i="10"/>
  <c r="A11" i="10"/>
  <c r="K10" i="10"/>
  <c r="C10" i="10"/>
  <c r="B10" i="10"/>
  <c r="A10" i="10"/>
  <c r="K9" i="10"/>
  <c r="C9" i="10"/>
  <c r="B9" i="10"/>
  <c r="A9" i="10"/>
  <c r="K8" i="10"/>
  <c r="C8" i="10"/>
  <c r="B8" i="10"/>
  <c r="A8" i="10"/>
  <c r="K7" i="10"/>
  <c r="C7" i="10"/>
  <c r="B7" i="10"/>
  <c r="A7" i="10"/>
  <c r="K6" i="10"/>
  <c r="C6" i="10"/>
  <c r="B6" i="10"/>
  <c r="A6" i="10"/>
  <c r="K5" i="10"/>
  <c r="C5" i="10"/>
  <c r="B5" i="10"/>
  <c r="A5" i="10"/>
  <c r="K4" i="10"/>
  <c r="C4" i="10"/>
  <c r="B4" i="10"/>
  <c r="A4" i="10"/>
  <c r="K3" i="10"/>
  <c r="C3" i="10"/>
  <c r="B3" i="10"/>
  <c r="A3" i="10"/>
  <c r="A99" i="9"/>
  <c r="A98" i="9"/>
  <c r="G97" i="9"/>
  <c r="A97" i="9"/>
  <c r="G96" i="9"/>
  <c r="A96" i="9"/>
  <c r="G95" i="9"/>
  <c r="D95" i="9"/>
  <c r="A95" i="9"/>
  <c r="G94" i="9"/>
  <c r="D94" i="9"/>
  <c r="A94" i="9"/>
  <c r="G93" i="9"/>
  <c r="D93" i="9"/>
  <c r="A93" i="9"/>
  <c r="G92" i="9"/>
  <c r="D92" i="9"/>
  <c r="A92" i="9"/>
  <c r="G91" i="9"/>
  <c r="D91" i="9"/>
  <c r="A91" i="9"/>
  <c r="G90" i="9"/>
  <c r="D90" i="9"/>
  <c r="A90" i="9"/>
  <c r="N2" i="9"/>
  <c r="G14" i="8"/>
  <c r="F14" i="8"/>
  <c r="G13" i="8"/>
  <c r="F13" i="8"/>
  <c r="Q12" i="8"/>
  <c r="G12" i="8"/>
  <c r="F12" i="8"/>
  <c r="Q11" i="8"/>
  <c r="G11" i="8"/>
  <c r="F11" i="8"/>
  <c r="Q10" i="8"/>
  <c r="L10" i="8"/>
  <c r="G10" i="8"/>
  <c r="F10" i="8"/>
  <c r="Q9" i="8"/>
  <c r="L9" i="8"/>
  <c r="G9" i="8"/>
  <c r="F9" i="8"/>
  <c r="Q8" i="8"/>
  <c r="L8" i="8"/>
  <c r="G8" i="8"/>
  <c r="F8" i="8"/>
  <c r="Q7" i="8"/>
  <c r="L7" i="8"/>
  <c r="G7" i="8"/>
  <c r="F7" i="8"/>
  <c r="Q6" i="8"/>
  <c r="L6" i="8"/>
  <c r="G6" i="8"/>
  <c r="F6" i="8"/>
  <c r="Q5" i="8"/>
  <c r="L5" i="8"/>
  <c r="G5" i="8"/>
  <c r="F5" i="8"/>
  <c r="C1" i="8"/>
  <c r="G16" i="7"/>
  <c r="H15" i="7"/>
  <c r="H14" i="7"/>
  <c r="H13" i="7"/>
  <c r="H12" i="7"/>
  <c r="H11" i="7"/>
  <c r="H10" i="7"/>
  <c r="H9" i="7"/>
  <c r="H8" i="7"/>
  <c r="B2" i="7"/>
  <c r="K301" i="6"/>
  <c r="F301" i="6"/>
  <c r="E301" i="6"/>
  <c r="D301" i="6"/>
  <c r="C301" i="6"/>
  <c r="A301" i="6"/>
  <c r="K300" i="6"/>
  <c r="F300" i="6"/>
  <c r="E300" i="6"/>
  <c r="D300" i="6"/>
  <c r="C300" i="6"/>
  <c r="A300" i="6"/>
  <c r="K299" i="6"/>
  <c r="F299" i="6"/>
  <c r="E299" i="6"/>
  <c r="D299" i="6"/>
  <c r="C299" i="6"/>
  <c r="A299" i="6"/>
  <c r="K298" i="6"/>
  <c r="F298" i="6"/>
  <c r="E298" i="6"/>
  <c r="D298" i="6"/>
  <c r="C298" i="6"/>
  <c r="A298" i="6"/>
  <c r="K297" i="6"/>
  <c r="F297" i="6"/>
  <c r="E297" i="6"/>
  <c r="D297" i="6"/>
  <c r="C297" i="6"/>
  <c r="A297" i="6"/>
  <c r="K296" i="6"/>
  <c r="F296" i="6"/>
  <c r="E296" i="6"/>
  <c r="D296" i="6"/>
  <c r="C296" i="6"/>
  <c r="A296" i="6"/>
  <c r="K295" i="6"/>
  <c r="F295" i="6"/>
  <c r="E295" i="6"/>
  <c r="D295" i="6"/>
  <c r="C295" i="6"/>
  <c r="A295" i="6"/>
  <c r="K294" i="6"/>
  <c r="F294" i="6"/>
  <c r="E294" i="6"/>
  <c r="D294" i="6"/>
  <c r="C294" i="6"/>
  <c r="A294" i="6"/>
  <c r="K293" i="6"/>
  <c r="F293" i="6"/>
  <c r="E293" i="6"/>
  <c r="D293" i="6"/>
  <c r="C293" i="6"/>
  <c r="A293" i="6"/>
  <c r="K292" i="6"/>
  <c r="F292" i="6"/>
  <c r="E292" i="6"/>
  <c r="D292" i="6"/>
  <c r="C292" i="6"/>
  <c r="A292" i="6"/>
  <c r="K291" i="6"/>
  <c r="F291" i="6"/>
  <c r="E291" i="6"/>
  <c r="D291" i="6"/>
  <c r="C291" i="6"/>
  <c r="A291" i="6"/>
  <c r="K290" i="6"/>
  <c r="F290" i="6"/>
  <c r="E290" i="6"/>
  <c r="D290" i="6"/>
  <c r="C290" i="6"/>
  <c r="A290" i="6"/>
  <c r="K289" i="6"/>
  <c r="F289" i="6"/>
  <c r="E289" i="6"/>
  <c r="D289" i="6"/>
  <c r="C289" i="6"/>
  <c r="A289" i="6"/>
  <c r="K288" i="6"/>
  <c r="F288" i="6"/>
  <c r="E288" i="6"/>
  <c r="D288" i="6"/>
  <c r="C288" i="6"/>
  <c r="A288" i="6"/>
  <c r="K287" i="6"/>
  <c r="F287" i="6"/>
  <c r="E287" i="6"/>
  <c r="D287" i="6"/>
  <c r="C287" i="6"/>
  <c r="A287" i="6"/>
  <c r="K286" i="6"/>
  <c r="F286" i="6"/>
  <c r="E286" i="6"/>
  <c r="D286" i="6"/>
  <c r="C286" i="6"/>
  <c r="A286" i="6"/>
  <c r="K285" i="6"/>
  <c r="F285" i="6"/>
  <c r="E285" i="6"/>
  <c r="D285" i="6"/>
  <c r="C285" i="6"/>
  <c r="A285" i="6"/>
  <c r="K284" i="6"/>
  <c r="F284" i="6"/>
  <c r="E284" i="6"/>
  <c r="D284" i="6"/>
  <c r="C284" i="6"/>
  <c r="A284" i="6"/>
  <c r="K283" i="6"/>
  <c r="F283" i="6"/>
  <c r="E283" i="6"/>
  <c r="D283" i="6"/>
  <c r="C283" i="6"/>
  <c r="A283" i="6"/>
  <c r="K282" i="6"/>
  <c r="F282" i="6"/>
  <c r="E282" i="6"/>
  <c r="D282" i="6"/>
  <c r="C282" i="6"/>
  <c r="A282" i="6"/>
  <c r="K281" i="6"/>
  <c r="F281" i="6"/>
  <c r="E281" i="6"/>
  <c r="D281" i="6"/>
  <c r="C281" i="6"/>
  <c r="A281" i="6"/>
  <c r="K280" i="6"/>
  <c r="F280" i="6"/>
  <c r="E280" i="6"/>
  <c r="D280" i="6"/>
  <c r="C280" i="6"/>
  <c r="A280" i="6"/>
  <c r="K279" i="6"/>
  <c r="F279" i="6"/>
  <c r="E279" i="6"/>
  <c r="D279" i="6"/>
  <c r="C279" i="6"/>
  <c r="A279" i="6"/>
  <c r="K278" i="6"/>
  <c r="F278" i="6"/>
  <c r="E278" i="6"/>
  <c r="D278" i="6"/>
  <c r="C278" i="6"/>
  <c r="A278" i="6"/>
  <c r="K277" i="6"/>
  <c r="F277" i="6"/>
  <c r="E277" i="6"/>
  <c r="D277" i="6"/>
  <c r="C277" i="6"/>
  <c r="A277" i="6"/>
  <c r="K276" i="6"/>
  <c r="F276" i="6"/>
  <c r="E276" i="6"/>
  <c r="D276" i="6"/>
  <c r="C276" i="6"/>
  <c r="A276" i="6"/>
  <c r="K275" i="6"/>
  <c r="F275" i="6"/>
  <c r="E275" i="6"/>
  <c r="D275" i="6"/>
  <c r="C275" i="6"/>
  <c r="A275" i="6"/>
  <c r="K274" i="6"/>
  <c r="F274" i="6"/>
  <c r="E274" i="6"/>
  <c r="D274" i="6"/>
  <c r="C274" i="6"/>
  <c r="A274" i="6"/>
  <c r="K273" i="6"/>
  <c r="F273" i="6"/>
  <c r="E273" i="6"/>
  <c r="D273" i="6"/>
  <c r="C273" i="6"/>
  <c r="A273" i="6"/>
  <c r="K272" i="6"/>
  <c r="F272" i="6"/>
  <c r="E272" i="6"/>
  <c r="D272" i="6"/>
  <c r="C272" i="6"/>
  <c r="A272" i="6"/>
  <c r="K271" i="6"/>
  <c r="F271" i="6"/>
  <c r="E271" i="6"/>
  <c r="D271" i="6"/>
  <c r="C271" i="6"/>
  <c r="A271" i="6"/>
  <c r="K270" i="6"/>
  <c r="F270" i="6"/>
  <c r="E270" i="6"/>
  <c r="D270" i="6"/>
  <c r="C270" i="6"/>
  <c r="A270" i="6"/>
  <c r="K269" i="6"/>
  <c r="F269" i="6"/>
  <c r="E269" i="6"/>
  <c r="D269" i="6"/>
  <c r="C269" i="6"/>
  <c r="A269" i="6"/>
  <c r="K268" i="6"/>
  <c r="F268" i="6"/>
  <c r="E268" i="6"/>
  <c r="D268" i="6"/>
  <c r="C268" i="6"/>
  <c r="A268" i="6"/>
  <c r="K267" i="6"/>
  <c r="F267" i="6"/>
  <c r="E267" i="6"/>
  <c r="D267" i="6"/>
  <c r="C267" i="6"/>
  <c r="A267" i="6"/>
  <c r="K266" i="6"/>
  <c r="F266" i="6"/>
  <c r="E266" i="6"/>
  <c r="D266" i="6"/>
  <c r="C266" i="6"/>
  <c r="A266" i="6"/>
  <c r="K265" i="6"/>
  <c r="F265" i="6"/>
  <c r="E265" i="6"/>
  <c r="D265" i="6"/>
  <c r="C265" i="6"/>
  <c r="A265" i="6"/>
  <c r="K264" i="6"/>
  <c r="F264" i="6"/>
  <c r="E264" i="6"/>
  <c r="D264" i="6"/>
  <c r="C264" i="6"/>
  <c r="A264" i="6"/>
  <c r="K263" i="6"/>
  <c r="F263" i="6"/>
  <c r="E263" i="6"/>
  <c r="D263" i="6"/>
  <c r="C263" i="6"/>
  <c r="A263" i="6"/>
  <c r="K262" i="6"/>
  <c r="F262" i="6"/>
  <c r="E262" i="6"/>
  <c r="D262" i="6"/>
  <c r="C262" i="6"/>
  <c r="A262" i="6"/>
  <c r="K261" i="6"/>
  <c r="F261" i="6"/>
  <c r="E261" i="6"/>
  <c r="D261" i="6"/>
  <c r="C261" i="6"/>
  <c r="A261" i="6"/>
  <c r="K260" i="6"/>
  <c r="F260" i="6"/>
  <c r="E260" i="6"/>
  <c r="D260" i="6"/>
  <c r="C260" i="6"/>
  <c r="A260" i="6"/>
  <c r="K259" i="6"/>
  <c r="F259" i="6"/>
  <c r="E259" i="6"/>
  <c r="D259" i="6"/>
  <c r="C259" i="6"/>
  <c r="A259" i="6"/>
  <c r="K258" i="6"/>
  <c r="F258" i="6"/>
  <c r="E258" i="6"/>
  <c r="D258" i="6"/>
  <c r="C258" i="6"/>
  <c r="A258" i="6"/>
  <c r="K257" i="6"/>
  <c r="F257" i="6"/>
  <c r="E257" i="6"/>
  <c r="D257" i="6"/>
  <c r="C257" i="6"/>
  <c r="A257" i="6"/>
  <c r="K256" i="6"/>
  <c r="F256" i="6"/>
  <c r="E256" i="6"/>
  <c r="D256" i="6"/>
  <c r="C256" i="6"/>
  <c r="A256" i="6"/>
  <c r="K255" i="6"/>
  <c r="F255" i="6"/>
  <c r="E255" i="6"/>
  <c r="D255" i="6"/>
  <c r="C255" i="6"/>
  <c r="A255" i="6"/>
  <c r="K254" i="6"/>
  <c r="F254" i="6"/>
  <c r="E254" i="6"/>
  <c r="D254" i="6"/>
  <c r="C254" i="6"/>
  <c r="A254" i="6"/>
  <c r="K253" i="6"/>
  <c r="F253" i="6"/>
  <c r="E253" i="6"/>
  <c r="D253" i="6"/>
  <c r="C253" i="6"/>
  <c r="A253" i="6"/>
  <c r="K252" i="6"/>
  <c r="F252" i="6"/>
  <c r="E252" i="6"/>
  <c r="D252" i="6"/>
  <c r="C252" i="6"/>
  <c r="A252" i="6"/>
  <c r="K251" i="6"/>
  <c r="F251" i="6"/>
  <c r="E251" i="6"/>
  <c r="D251" i="6"/>
  <c r="C251" i="6"/>
  <c r="A251" i="6"/>
  <c r="K250" i="6"/>
  <c r="F250" i="6"/>
  <c r="E250" i="6"/>
  <c r="D250" i="6"/>
  <c r="C250" i="6"/>
  <c r="A250" i="6"/>
  <c r="K249" i="6"/>
  <c r="F249" i="6"/>
  <c r="E249" i="6"/>
  <c r="D249" i="6"/>
  <c r="C249" i="6"/>
  <c r="A249" i="6"/>
  <c r="K248" i="6"/>
  <c r="F248" i="6"/>
  <c r="E248" i="6"/>
  <c r="D248" i="6"/>
  <c r="C248" i="6"/>
  <c r="A248" i="6"/>
  <c r="K247" i="6"/>
  <c r="F247" i="6"/>
  <c r="E247" i="6"/>
  <c r="D247" i="6"/>
  <c r="C247" i="6"/>
  <c r="A247" i="6"/>
  <c r="K246" i="6"/>
  <c r="F246" i="6"/>
  <c r="E246" i="6"/>
  <c r="D246" i="6"/>
  <c r="C246" i="6"/>
  <c r="A246" i="6"/>
  <c r="K245" i="6"/>
  <c r="F245" i="6"/>
  <c r="E245" i="6"/>
  <c r="D245" i="6"/>
  <c r="C245" i="6"/>
  <c r="A245" i="6"/>
  <c r="K244" i="6"/>
  <c r="F244" i="6"/>
  <c r="E244" i="6"/>
  <c r="D244" i="6"/>
  <c r="C244" i="6"/>
  <c r="A244" i="6"/>
  <c r="K243" i="6"/>
  <c r="F243" i="6"/>
  <c r="E243" i="6"/>
  <c r="D243" i="6"/>
  <c r="C243" i="6"/>
  <c r="A243" i="6"/>
  <c r="K242" i="6"/>
  <c r="F242" i="6"/>
  <c r="E242" i="6"/>
  <c r="D242" i="6"/>
  <c r="C242" i="6"/>
  <c r="A242" i="6"/>
  <c r="K241" i="6"/>
  <c r="F241" i="6"/>
  <c r="E241" i="6"/>
  <c r="D241" i="6"/>
  <c r="C241" i="6"/>
  <c r="A241" i="6"/>
  <c r="K240" i="6"/>
  <c r="F240" i="6"/>
  <c r="E240" i="6"/>
  <c r="D240" i="6"/>
  <c r="C240" i="6"/>
  <c r="A240" i="6"/>
  <c r="K239" i="6"/>
  <c r="F239" i="6"/>
  <c r="E239" i="6"/>
  <c r="D239" i="6"/>
  <c r="C239" i="6"/>
  <c r="A239" i="6"/>
  <c r="K238" i="6"/>
  <c r="F238" i="6"/>
  <c r="E238" i="6"/>
  <c r="D238" i="6"/>
  <c r="C238" i="6"/>
  <c r="A238" i="6"/>
  <c r="K237" i="6"/>
  <c r="F237" i="6"/>
  <c r="E237" i="6"/>
  <c r="D237" i="6"/>
  <c r="C237" i="6"/>
  <c r="A237" i="6"/>
  <c r="K236" i="6"/>
  <c r="F236" i="6"/>
  <c r="E236" i="6"/>
  <c r="D236" i="6"/>
  <c r="C236" i="6"/>
  <c r="A236" i="6"/>
  <c r="K235" i="6"/>
  <c r="F235" i="6"/>
  <c r="E235" i="6"/>
  <c r="D235" i="6"/>
  <c r="C235" i="6"/>
  <c r="A235" i="6"/>
  <c r="K234" i="6"/>
  <c r="F234" i="6"/>
  <c r="E234" i="6"/>
  <c r="D234" i="6"/>
  <c r="C234" i="6"/>
  <c r="A234" i="6"/>
  <c r="K233" i="6"/>
  <c r="F233" i="6"/>
  <c r="E233" i="6"/>
  <c r="D233" i="6"/>
  <c r="C233" i="6"/>
  <c r="A233" i="6"/>
  <c r="K232" i="6"/>
  <c r="F232" i="6"/>
  <c r="E232" i="6"/>
  <c r="D232" i="6"/>
  <c r="C232" i="6"/>
  <c r="A232" i="6"/>
  <c r="K231" i="6"/>
  <c r="F231" i="6"/>
  <c r="E231" i="6"/>
  <c r="D231" i="6"/>
  <c r="C231" i="6"/>
  <c r="A231" i="6"/>
  <c r="K230" i="6"/>
  <c r="F230" i="6"/>
  <c r="E230" i="6"/>
  <c r="D230" i="6"/>
  <c r="C230" i="6"/>
  <c r="A230" i="6"/>
  <c r="K229" i="6"/>
  <c r="F229" i="6"/>
  <c r="E229" i="6"/>
  <c r="D229" i="6"/>
  <c r="C229" i="6"/>
  <c r="A229" i="6"/>
  <c r="K228" i="6"/>
  <c r="F228" i="6"/>
  <c r="E228" i="6"/>
  <c r="D228" i="6"/>
  <c r="C228" i="6"/>
  <c r="A228" i="6"/>
  <c r="K227" i="6"/>
  <c r="F227" i="6"/>
  <c r="E227" i="6"/>
  <c r="D227" i="6"/>
  <c r="C227" i="6"/>
  <c r="A227" i="6"/>
  <c r="K226" i="6"/>
  <c r="F226" i="6"/>
  <c r="E226" i="6"/>
  <c r="D226" i="6"/>
  <c r="C226" i="6"/>
  <c r="A226" i="6"/>
  <c r="K225" i="6"/>
  <c r="F225" i="6"/>
  <c r="E225" i="6"/>
  <c r="D225" i="6"/>
  <c r="C225" i="6"/>
  <c r="A225" i="6"/>
  <c r="K224" i="6"/>
  <c r="F224" i="6"/>
  <c r="E224" i="6"/>
  <c r="D224" i="6"/>
  <c r="C224" i="6"/>
  <c r="A224" i="6"/>
  <c r="K223" i="6"/>
  <c r="F223" i="6"/>
  <c r="E223" i="6"/>
  <c r="D223" i="6"/>
  <c r="C223" i="6"/>
  <c r="A223" i="6"/>
  <c r="K222" i="6"/>
  <c r="F222" i="6"/>
  <c r="E222" i="6"/>
  <c r="D222" i="6"/>
  <c r="C222" i="6"/>
  <c r="A222" i="6"/>
  <c r="K221" i="6"/>
  <c r="F221" i="6"/>
  <c r="E221" i="6"/>
  <c r="D221" i="6"/>
  <c r="C221" i="6"/>
  <c r="A221" i="6"/>
  <c r="K220" i="6"/>
  <c r="F220" i="6"/>
  <c r="E220" i="6"/>
  <c r="D220" i="6"/>
  <c r="C220" i="6"/>
  <c r="A220" i="6"/>
  <c r="K219" i="6"/>
  <c r="F219" i="6"/>
  <c r="E219" i="6"/>
  <c r="D219" i="6"/>
  <c r="C219" i="6"/>
  <c r="A219" i="6"/>
  <c r="K218" i="6"/>
  <c r="F218" i="6"/>
  <c r="E218" i="6"/>
  <c r="D218" i="6"/>
  <c r="C218" i="6"/>
  <c r="A218" i="6"/>
  <c r="K217" i="6"/>
  <c r="F217" i="6"/>
  <c r="E217" i="6"/>
  <c r="D217" i="6"/>
  <c r="C217" i="6"/>
  <c r="A217" i="6"/>
  <c r="K216" i="6"/>
  <c r="F216" i="6"/>
  <c r="E216" i="6"/>
  <c r="D216" i="6"/>
  <c r="C216" i="6"/>
  <c r="A216" i="6"/>
  <c r="K215" i="6"/>
  <c r="F215" i="6"/>
  <c r="E215" i="6"/>
  <c r="D215" i="6"/>
  <c r="C215" i="6"/>
  <c r="A215" i="6"/>
  <c r="K214" i="6"/>
  <c r="F214" i="6"/>
  <c r="E214" i="6"/>
  <c r="D214" i="6"/>
  <c r="C214" i="6"/>
  <c r="A214" i="6"/>
  <c r="K213" i="6"/>
  <c r="F213" i="6"/>
  <c r="E213" i="6"/>
  <c r="D213" i="6"/>
  <c r="C213" i="6"/>
  <c r="A213" i="6"/>
  <c r="K212" i="6"/>
  <c r="F212" i="6"/>
  <c r="E212" i="6"/>
  <c r="D212" i="6"/>
  <c r="C212" i="6"/>
  <c r="A212" i="6"/>
  <c r="K211" i="6"/>
  <c r="F211" i="6"/>
  <c r="E211" i="6"/>
  <c r="D211" i="6"/>
  <c r="C211" i="6"/>
  <c r="A211" i="6"/>
  <c r="K210" i="6"/>
  <c r="F210" i="6"/>
  <c r="E210" i="6"/>
  <c r="D210" i="6"/>
  <c r="C210" i="6"/>
  <c r="A210" i="6"/>
  <c r="K209" i="6"/>
  <c r="F209" i="6"/>
  <c r="E209" i="6"/>
  <c r="D209" i="6"/>
  <c r="C209" i="6"/>
  <c r="A209" i="6"/>
  <c r="K208" i="6"/>
  <c r="F208" i="6"/>
  <c r="E208" i="6"/>
  <c r="D208" i="6"/>
  <c r="C208" i="6"/>
  <c r="A208" i="6"/>
  <c r="K207" i="6"/>
  <c r="F207" i="6"/>
  <c r="E207" i="6"/>
  <c r="D207" i="6"/>
  <c r="C207" i="6"/>
  <c r="A207" i="6"/>
  <c r="K206" i="6"/>
  <c r="F206" i="6"/>
  <c r="E206" i="6"/>
  <c r="D206" i="6"/>
  <c r="C206" i="6"/>
  <c r="A206" i="6"/>
  <c r="K205" i="6"/>
  <c r="F205" i="6"/>
  <c r="E205" i="6"/>
  <c r="D205" i="6"/>
  <c r="C205" i="6"/>
  <c r="A205" i="6"/>
  <c r="K204" i="6"/>
  <c r="F204" i="6"/>
  <c r="E204" i="6"/>
  <c r="D204" i="6"/>
  <c r="C204" i="6"/>
  <c r="A204" i="6"/>
  <c r="K203" i="6"/>
  <c r="F203" i="6"/>
  <c r="E203" i="6"/>
  <c r="D203" i="6"/>
  <c r="C203" i="6"/>
  <c r="A203" i="6"/>
  <c r="K202" i="6"/>
  <c r="F202" i="6"/>
  <c r="E202" i="6"/>
  <c r="D202" i="6"/>
  <c r="C202" i="6"/>
  <c r="A202" i="6"/>
  <c r="K201" i="6"/>
  <c r="F201" i="6"/>
  <c r="E201" i="6"/>
  <c r="D201" i="6"/>
  <c r="C201" i="6"/>
  <c r="A201" i="6"/>
  <c r="K200" i="6"/>
  <c r="F200" i="6"/>
  <c r="E200" i="6"/>
  <c r="D200" i="6"/>
  <c r="C200" i="6"/>
  <c r="A200" i="6"/>
  <c r="K199" i="6"/>
  <c r="F199" i="6"/>
  <c r="E199" i="6"/>
  <c r="D199" i="6"/>
  <c r="C199" i="6"/>
  <c r="A199" i="6"/>
  <c r="K198" i="6"/>
  <c r="F198" i="6"/>
  <c r="E198" i="6"/>
  <c r="D198" i="6"/>
  <c r="C198" i="6"/>
  <c r="A198" i="6"/>
  <c r="K197" i="6"/>
  <c r="F197" i="6"/>
  <c r="E197" i="6"/>
  <c r="D197" i="6"/>
  <c r="C197" i="6"/>
  <c r="A197" i="6"/>
  <c r="K196" i="6"/>
  <c r="F196" i="6"/>
  <c r="E196" i="6"/>
  <c r="D196" i="6"/>
  <c r="C196" i="6"/>
  <c r="A196" i="6"/>
  <c r="K195" i="6"/>
  <c r="F195" i="6"/>
  <c r="E195" i="6"/>
  <c r="D195" i="6"/>
  <c r="C195" i="6"/>
  <c r="A195" i="6"/>
  <c r="K194" i="6"/>
  <c r="F194" i="6"/>
  <c r="E194" i="6"/>
  <c r="D194" i="6"/>
  <c r="C194" i="6"/>
  <c r="A194" i="6"/>
  <c r="K193" i="6"/>
  <c r="F193" i="6"/>
  <c r="E193" i="6"/>
  <c r="D193" i="6"/>
  <c r="C193" i="6"/>
  <c r="A193" i="6"/>
  <c r="K192" i="6"/>
  <c r="F192" i="6"/>
  <c r="E192" i="6"/>
  <c r="D192" i="6"/>
  <c r="C192" i="6"/>
  <c r="A192" i="6"/>
  <c r="K191" i="6"/>
  <c r="F191" i="6"/>
  <c r="E191" i="6"/>
  <c r="D191" i="6"/>
  <c r="C191" i="6"/>
  <c r="A191" i="6"/>
  <c r="K190" i="6"/>
  <c r="F190" i="6"/>
  <c r="E190" i="6"/>
  <c r="D190" i="6"/>
  <c r="C190" i="6"/>
  <c r="A190" i="6"/>
  <c r="K189" i="6"/>
  <c r="F189" i="6"/>
  <c r="E189" i="6"/>
  <c r="D189" i="6"/>
  <c r="C189" i="6"/>
  <c r="A189" i="6"/>
  <c r="K188" i="6"/>
  <c r="F188" i="6"/>
  <c r="E188" i="6"/>
  <c r="D188" i="6"/>
  <c r="C188" i="6"/>
  <c r="A188" i="6"/>
  <c r="K187" i="6"/>
  <c r="F187" i="6"/>
  <c r="E187" i="6"/>
  <c r="D187" i="6"/>
  <c r="C187" i="6"/>
  <c r="A187" i="6"/>
  <c r="K186" i="6"/>
  <c r="F186" i="6"/>
  <c r="E186" i="6"/>
  <c r="D186" i="6"/>
  <c r="C186" i="6"/>
  <c r="A186" i="6"/>
  <c r="K185" i="6"/>
  <c r="F185" i="6"/>
  <c r="E185" i="6"/>
  <c r="D185" i="6"/>
  <c r="C185" i="6"/>
  <c r="A185" i="6"/>
  <c r="K184" i="6"/>
  <c r="F184" i="6"/>
  <c r="E184" i="6"/>
  <c r="D184" i="6"/>
  <c r="C184" i="6"/>
  <c r="A184" i="6"/>
  <c r="K183" i="6"/>
  <c r="F183" i="6"/>
  <c r="E183" i="6"/>
  <c r="D183" i="6"/>
  <c r="C183" i="6"/>
  <c r="A183" i="6"/>
  <c r="K182" i="6"/>
  <c r="F182" i="6"/>
  <c r="E182" i="6"/>
  <c r="D182" i="6"/>
  <c r="C182" i="6"/>
  <c r="A182" i="6"/>
  <c r="K181" i="6"/>
  <c r="F181" i="6"/>
  <c r="E181" i="6"/>
  <c r="D181" i="6"/>
  <c r="C181" i="6"/>
  <c r="A181" i="6"/>
  <c r="K180" i="6"/>
  <c r="F180" i="6"/>
  <c r="E180" i="6"/>
  <c r="D180" i="6"/>
  <c r="C180" i="6"/>
  <c r="A180" i="6"/>
  <c r="K179" i="6"/>
  <c r="F179" i="6"/>
  <c r="E179" i="6"/>
  <c r="D179" i="6"/>
  <c r="C179" i="6"/>
  <c r="A179" i="6"/>
  <c r="K178" i="6"/>
  <c r="F178" i="6"/>
  <c r="E178" i="6"/>
  <c r="D178" i="6"/>
  <c r="C178" i="6"/>
  <c r="A178" i="6"/>
  <c r="K177" i="6"/>
  <c r="F177" i="6"/>
  <c r="E177" i="6"/>
  <c r="D177" i="6"/>
  <c r="C177" i="6"/>
  <c r="A177" i="6"/>
  <c r="K176" i="6"/>
  <c r="F176" i="6"/>
  <c r="E176" i="6"/>
  <c r="D176" i="6"/>
  <c r="C176" i="6"/>
  <c r="A176" i="6"/>
  <c r="K175" i="6"/>
  <c r="F175" i="6"/>
  <c r="E175" i="6"/>
  <c r="D175" i="6"/>
  <c r="C175" i="6"/>
  <c r="A175" i="6"/>
  <c r="K174" i="6"/>
  <c r="F174" i="6"/>
  <c r="E174" i="6"/>
  <c r="D174" i="6"/>
  <c r="C174" i="6"/>
  <c r="A174" i="6"/>
  <c r="K173" i="6"/>
  <c r="F173" i="6"/>
  <c r="E173" i="6"/>
  <c r="D173" i="6"/>
  <c r="C173" i="6"/>
  <c r="A173" i="6"/>
  <c r="K172" i="6"/>
  <c r="F172" i="6"/>
  <c r="E172" i="6"/>
  <c r="D172" i="6"/>
  <c r="C172" i="6"/>
  <c r="A172" i="6"/>
  <c r="K171" i="6"/>
  <c r="F171" i="6"/>
  <c r="E171" i="6"/>
  <c r="D171" i="6"/>
  <c r="C171" i="6"/>
  <c r="A171" i="6"/>
  <c r="K170" i="6"/>
  <c r="F170" i="6"/>
  <c r="E170" i="6"/>
  <c r="D170" i="6"/>
  <c r="C170" i="6"/>
  <c r="A170" i="6"/>
  <c r="K169" i="6"/>
  <c r="F169" i="6"/>
  <c r="E169" i="6"/>
  <c r="D169" i="6"/>
  <c r="C169" i="6"/>
  <c r="A169" i="6"/>
  <c r="K168" i="6"/>
  <c r="F168" i="6"/>
  <c r="E168" i="6"/>
  <c r="D168" i="6"/>
  <c r="C168" i="6"/>
  <c r="A168" i="6"/>
  <c r="K167" i="6"/>
  <c r="F167" i="6"/>
  <c r="E167" i="6"/>
  <c r="D167" i="6"/>
  <c r="C167" i="6"/>
  <c r="A167" i="6"/>
  <c r="K166" i="6"/>
  <c r="F166" i="6"/>
  <c r="E166" i="6"/>
  <c r="D166" i="6"/>
  <c r="C166" i="6"/>
  <c r="A166" i="6"/>
  <c r="K165" i="6"/>
  <c r="F165" i="6"/>
  <c r="E165" i="6"/>
  <c r="D165" i="6"/>
  <c r="C165" i="6"/>
  <c r="A165" i="6"/>
  <c r="K164" i="6"/>
  <c r="F164" i="6"/>
  <c r="E164" i="6"/>
  <c r="D164" i="6"/>
  <c r="C164" i="6"/>
  <c r="A164" i="6"/>
  <c r="K163" i="6"/>
  <c r="F163" i="6"/>
  <c r="E163" i="6"/>
  <c r="D163" i="6"/>
  <c r="C163" i="6"/>
  <c r="A163" i="6"/>
  <c r="K162" i="6"/>
  <c r="F162" i="6"/>
  <c r="E162" i="6"/>
  <c r="D162" i="6"/>
  <c r="C162" i="6"/>
  <c r="A162" i="6"/>
  <c r="K161" i="6"/>
  <c r="F161" i="6"/>
  <c r="E161" i="6"/>
  <c r="D161" i="6"/>
  <c r="C161" i="6"/>
  <c r="A161" i="6"/>
  <c r="K160" i="6"/>
  <c r="F160" i="6"/>
  <c r="E160" i="6"/>
  <c r="D160" i="6"/>
  <c r="C160" i="6"/>
  <c r="A160" i="6"/>
  <c r="K159" i="6"/>
  <c r="F159" i="6"/>
  <c r="E159" i="6"/>
  <c r="D159" i="6"/>
  <c r="C159" i="6"/>
  <c r="A159" i="6"/>
  <c r="K158" i="6"/>
  <c r="F158" i="6"/>
  <c r="E158" i="6"/>
  <c r="D158" i="6"/>
  <c r="C158" i="6"/>
  <c r="A158" i="6"/>
  <c r="K157" i="6"/>
  <c r="F157" i="6"/>
  <c r="E157" i="6"/>
  <c r="D157" i="6"/>
  <c r="C157" i="6"/>
  <c r="A157" i="6"/>
  <c r="K156" i="6"/>
  <c r="F156" i="6"/>
  <c r="E156" i="6"/>
  <c r="D156" i="6"/>
  <c r="C156" i="6"/>
  <c r="A156" i="6"/>
  <c r="K155" i="6"/>
  <c r="F155" i="6"/>
  <c r="E155" i="6"/>
  <c r="D155" i="6"/>
  <c r="C155" i="6"/>
  <c r="A155" i="6"/>
  <c r="K154" i="6"/>
  <c r="F154" i="6"/>
  <c r="E154" i="6"/>
  <c r="D154" i="6"/>
  <c r="C154" i="6"/>
  <c r="A154" i="6"/>
  <c r="K153" i="6"/>
  <c r="F153" i="6"/>
  <c r="E153" i="6"/>
  <c r="D153" i="6"/>
  <c r="C153" i="6"/>
  <c r="A153" i="6"/>
  <c r="K152" i="6"/>
  <c r="F152" i="6"/>
  <c r="E152" i="6"/>
  <c r="D152" i="6"/>
  <c r="C152" i="6"/>
  <c r="A152" i="6"/>
  <c r="K151" i="6"/>
  <c r="F151" i="6"/>
  <c r="E151" i="6"/>
  <c r="D151" i="6"/>
  <c r="C151" i="6"/>
  <c r="A151" i="6"/>
  <c r="K150" i="6"/>
  <c r="F150" i="6"/>
  <c r="E150" i="6"/>
  <c r="D150" i="6"/>
  <c r="C150" i="6"/>
  <c r="A150" i="6"/>
  <c r="K149" i="6"/>
  <c r="F149" i="6"/>
  <c r="E149" i="6"/>
  <c r="D149" i="6"/>
  <c r="C149" i="6"/>
  <c r="A149" i="6"/>
  <c r="K148" i="6"/>
  <c r="F148" i="6"/>
  <c r="E148" i="6"/>
  <c r="D148" i="6"/>
  <c r="C148" i="6"/>
  <c r="A148" i="6"/>
  <c r="K147" i="6"/>
  <c r="F147" i="6"/>
  <c r="E147" i="6"/>
  <c r="D147" i="6"/>
  <c r="C147" i="6"/>
  <c r="A147" i="6"/>
  <c r="K146" i="6"/>
  <c r="F146" i="6"/>
  <c r="E146" i="6"/>
  <c r="D146" i="6"/>
  <c r="C146" i="6"/>
  <c r="A146" i="6"/>
  <c r="K145" i="6"/>
  <c r="F145" i="6"/>
  <c r="E145" i="6"/>
  <c r="D145" i="6"/>
  <c r="C145" i="6"/>
  <c r="A145" i="6"/>
  <c r="K144" i="6"/>
  <c r="F144" i="6"/>
  <c r="E144" i="6"/>
  <c r="D144" i="6"/>
  <c r="C144" i="6"/>
  <c r="A144" i="6"/>
  <c r="K143" i="6"/>
  <c r="F143" i="6"/>
  <c r="E143" i="6"/>
  <c r="D143" i="6"/>
  <c r="C143" i="6"/>
  <c r="A143" i="6"/>
  <c r="K142" i="6"/>
  <c r="F142" i="6"/>
  <c r="E142" i="6"/>
  <c r="D142" i="6"/>
  <c r="C142" i="6"/>
  <c r="A142" i="6"/>
  <c r="K141" i="6"/>
  <c r="F141" i="6"/>
  <c r="E141" i="6"/>
  <c r="D141" i="6"/>
  <c r="C141" i="6"/>
  <c r="A141" i="6"/>
  <c r="K140" i="6"/>
  <c r="F140" i="6"/>
  <c r="E140" i="6"/>
  <c r="D140" i="6"/>
  <c r="C140" i="6"/>
  <c r="A140" i="6"/>
  <c r="K139" i="6"/>
  <c r="F139" i="6"/>
  <c r="E139" i="6"/>
  <c r="D139" i="6"/>
  <c r="C139" i="6"/>
  <c r="A139" i="6"/>
  <c r="K138" i="6"/>
  <c r="F138" i="6"/>
  <c r="E138" i="6"/>
  <c r="D138" i="6"/>
  <c r="C138" i="6"/>
  <c r="A138" i="6"/>
  <c r="K137" i="6"/>
  <c r="F137" i="6"/>
  <c r="E137" i="6"/>
  <c r="D137" i="6"/>
  <c r="C137" i="6"/>
  <c r="A137" i="6"/>
  <c r="K136" i="6"/>
  <c r="F136" i="6"/>
  <c r="E136" i="6"/>
  <c r="D136" i="6"/>
  <c r="C136" i="6"/>
  <c r="A136" i="6"/>
  <c r="K135" i="6"/>
  <c r="F135" i="6"/>
  <c r="E135" i="6"/>
  <c r="D135" i="6"/>
  <c r="C135" i="6"/>
  <c r="A135" i="6"/>
  <c r="K134" i="6"/>
  <c r="F134" i="6"/>
  <c r="E134" i="6"/>
  <c r="D134" i="6"/>
  <c r="C134" i="6"/>
  <c r="A134" i="6"/>
  <c r="K133" i="6"/>
  <c r="F133" i="6"/>
  <c r="E133" i="6"/>
  <c r="D133" i="6"/>
  <c r="C133" i="6"/>
  <c r="A133" i="6"/>
  <c r="K132" i="6"/>
  <c r="F132" i="6"/>
  <c r="E132" i="6"/>
  <c r="D132" i="6"/>
  <c r="C132" i="6"/>
  <c r="A132" i="6"/>
  <c r="K131" i="6"/>
  <c r="F131" i="6"/>
  <c r="E131" i="6"/>
  <c r="D131" i="6"/>
  <c r="C131" i="6"/>
  <c r="A131" i="6"/>
  <c r="K130" i="6"/>
  <c r="F130" i="6"/>
  <c r="E130" i="6"/>
  <c r="D130" i="6"/>
  <c r="C130" i="6"/>
  <c r="A130" i="6"/>
  <c r="K129" i="6"/>
  <c r="F129" i="6"/>
  <c r="E129" i="6"/>
  <c r="D129" i="6"/>
  <c r="C129" i="6"/>
  <c r="A129" i="6"/>
  <c r="K128" i="6"/>
  <c r="F128" i="6"/>
  <c r="E128" i="6"/>
  <c r="D128" i="6"/>
  <c r="C128" i="6"/>
  <c r="A128" i="6"/>
  <c r="K127" i="6"/>
  <c r="F127" i="6"/>
  <c r="E127" i="6"/>
  <c r="D127" i="6"/>
  <c r="C127" i="6"/>
  <c r="A127" i="6"/>
  <c r="K126" i="6"/>
  <c r="F126" i="6"/>
  <c r="E126" i="6"/>
  <c r="D126" i="6"/>
  <c r="C126" i="6"/>
  <c r="A126" i="6"/>
  <c r="K125" i="6"/>
  <c r="F125" i="6"/>
  <c r="E125" i="6"/>
  <c r="D125" i="6"/>
  <c r="C125" i="6"/>
  <c r="A125" i="6"/>
  <c r="K124" i="6"/>
  <c r="F124" i="6"/>
  <c r="E124" i="6"/>
  <c r="D124" i="6"/>
  <c r="C124" i="6"/>
  <c r="A124" i="6"/>
  <c r="K123" i="6"/>
  <c r="F123" i="6"/>
  <c r="E123" i="6"/>
  <c r="D123" i="6"/>
  <c r="C123" i="6"/>
  <c r="A123" i="6"/>
  <c r="K122" i="6"/>
  <c r="F122" i="6"/>
  <c r="E122" i="6"/>
  <c r="D122" i="6"/>
  <c r="C122" i="6"/>
  <c r="A122" i="6"/>
  <c r="K121" i="6"/>
  <c r="F121" i="6"/>
  <c r="E121" i="6"/>
  <c r="D121" i="6"/>
  <c r="C121" i="6"/>
  <c r="A121" i="6"/>
  <c r="K120" i="6"/>
  <c r="F120" i="6"/>
  <c r="E120" i="6"/>
  <c r="D120" i="6"/>
  <c r="C120" i="6"/>
  <c r="A120" i="6"/>
  <c r="K119" i="6"/>
  <c r="F119" i="6"/>
  <c r="E119" i="6"/>
  <c r="D119" i="6"/>
  <c r="C119" i="6"/>
  <c r="A119" i="6"/>
  <c r="K118" i="6"/>
  <c r="F118" i="6"/>
  <c r="E118" i="6"/>
  <c r="D118" i="6"/>
  <c r="C118" i="6"/>
  <c r="A118" i="6"/>
  <c r="K117" i="6"/>
  <c r="F117" i="6"/>
  <c r="E117" i="6"/>
  <c r="D117" i="6"/>
  <c r="C117" i="6"/>
  <c r="A117" i="6"/>
  <c r="K116" i="6"/>
  <c r="F116" i="6"/>
  <c r="E116" i="6"/>
  <c r="D116" i="6"/>
  <c r="C116" i="6"/>
  <c r="A116" i="6"/>
  <c r="K115" i="6"/>
  <c r="F115" i="6"/>
  <c r="E115" i="6"/>
  <c r="D115" i="6"/>
  <c r="C115" i="6"/>
  <c r="A115" i="6"/>
  <c r="K114" i="6"/>
  <c r="F114" i="6"/>
  <c r="E114" i="6"/>
  <c r="D114" i="6"/>
  <c r="C114" i="6"/>
  <c r="A114" i="6"/>
  <c r="K113" i="6"/>
  <c r="F113" i="6"/>
  <c r="E113" i="6"/>
  <c r="D113" i="6"/>
  <c r="C113" i="6"/>
  <c r="A113" i="6"/>
  <c r="K112" i="6"/>
  <c r="F112" i="6"/>
  <c r="E112" i="6"/>
  <c r="D112" i="6"/>
  <c r="C112" i="6"/>
  <c r="A112" i="6"/>
  <c r="K111" i="6"/>
  <c r="F111" i="6"/>
  <c r="E111" i="6"/>
  <c r="D111" i="6"/>
  <c r="C111" i="6"/>
  <c r="A111" i="6"/>
  <c r="K110" i="6"/>
  <c r="F110" i="6"/>
  <c r="E110" i="6"/>
  <c r="D110" i="6"/>
  <c r="C110" i="6"/>
  <c r="A110" i="6"/>
  <c r="K109" i="6"/>
  <c r="F109" i="6"/>
  <c r="E109" i="6"/>
  <c r="D109" i="6"/>
  <c r="C109" i="6"/>
  <c r="A109" i="6"/>
  <c r="K108" i="6"/>
  <c r="F108" i="6"/>
  <c r="E108" i="6"/>
  <c r="D108" i="6"/>
  <c r="C108" i="6"/>
  <c r="A108" i="6"/>
  <c r="K107" i="6"/>
  <c r="F107" i="6"/>
  <c r="E107" i="6"/>
  <c r="D107" i="6"/>
  <c r="C107" i="6"/>
  <c r="A107" i="6"/>
  <c r="K106" i="6"/>
  <c r="F106" i="6"/>
  <c r="E106" i="6"/>
  <c r="D106" i="6"/>
  <c r="C106" i="6"/>
  <c r="A106" i="6"/>
  <c r="K105" i="6"/>
  <c r="F105" i="6"/>
  <c r="E105" i="6"/>
  <c r="D105" i="6"/>
  <c r="C105" i="6"/>
  <c r="A105" i="6"/>
  <c r="K104" i="6"/>
  <c r="F104" i="6"/>
  <c r="E104" i="6"/>
  <c r="D104" i="6"/>
  <c r="C104" i="6"/>
  <c r="A104" i="6"/>
  <c r="K103" i="6"/>
  <c r="F103" i="6"/>
  <c r="E103" i="6"/>
  <c r="D103" i="6"/>
  <c r="C103" i="6"/>
  <c r="A103" i="6"/>
  <c r="K102" i="6"/>
  <c r="F102" i="6"/>
  <c r="E102" i="6"/>
  <c r="D102" i="6"/>
  <c r="C102" i="6"/>
  <c r="A102" i="6"/>
  <c r="K101" i="6"/>
  <c r="F101" i="6"/>
  <c r="E101" i="6"/>
  <c r="D101" i="6"/>
  <c r="C101" i="6"/>
  <c r="A101" i="6"/>
  <c r="K100" i="6"/>
  <c r="F100" i="6"/>
  <c r="E100" i="6"/>
  <c r="D100" i="6"/>
  <c r="C100" i="6"/>
  <c r="A100" i="6"/>
  <c r="K99" i="6"/>
  <c r="F99" i="6"/>
  <c r="E99" i="6"/>
  <c r="D99" i="6"/>
  <c r="C99" i="6"/>
  <c r="A99" i="6"/>
  <c r="K98" i="6"/>
  <c r="F98" i="6"/>
  <c r="E98" i="6"/>
  <c r="D98" i="6"/>
  <c r="C98" i="6"/>
  <c r="A98" i="6"/>
  <c r="K97" i="6"/>
  <c r="F97" i="6"/>
  <c r="E97" i="6"/>
  <c r="D97" i="6"/>
  <c r="C97" i="6"/>
  <c r="A97" i="6"/>
  <c r="K96" i="6"/>
  <c r="F96" i="6"/>
  <c r="E96" i="6"/>
  <c r="D96" i="6"/>
  <c r="C96" i="6"/>
  <c r="A96" i="6"/>
  <c r="K95" i="6"/>
  <c r="F95" i="6"/>
  <c r="E95" i="6"/>
  <c r="D95" i="6"/>
  <c r="C95" i="6"/>
  <c r="A95" i="6"/>
  <c r="K94" i="6"/>
  <c r="F94" i="6"/>
  <c r="E94" i="6"/>
  <c r="D94" i="6"/>
  <c r="C94" i="6"/>
  <c r="A94" i="6"/>
  <c r="K93" i="6"/>
  <c r="F93" i="6"/>
  <c r="E93" i="6"/>
  <c r="D93" i="6"/>
  <c r="C93" i="6"/>
  <c r="A93" i="6"/>
  <c r="K92" i="6"/>
  <c r="F92" i="6"/>
  <c r="E92" i="6"/>
  <c r="D92" i="6"/>
  <c r="C92" i="6"/>
  <c r="A92" i="6"/>
  <c r="K91" i="6"/>
  <c r="F91" i="6"/>
  <c r="E91" i="6"/>
  <c r="D91" i="6"/>
  <c r="C91" i="6"/>
  <c r="A91" i="6"/>
  <c r="K90" i="6"/>
  <c r="F90" i="6"/>
  <c r="E90" i="6"/>
  <c r="D90" i="6"/>
  <c r="C90" i="6"/>
  <c r="A90" i="6"/>
  <c r="K89" i="6"/>
  <c r="F89" i="6"/>
  <c r="E89" i="6"/>
  <c r="D89" i="6"/>
  <c r="C89" i="6"/>
  <c r="A89" i="6"/>
  <c r="K88" i="6"/>
  <c r="F88" i="6"/>
  <c r="E88" i="6"/>
  <c r="D88" i="6"/>
  <c r="C88" i="6"/>
  <c r="A88" i="6"/>
  <c r="K87" i="6"/>
  <c r="F87" i="6"/>
  <c r="E87" i="6"/>
  <c r="D87" i="6"/>
  <c r="C87" i="6"/>
  <c r="A87" i="6"/>
  <c r="K86" i="6"/>
  <c r="F86" i="6"/>
  <c r="E86" i="6"/>
  <c r="D86" i="6"/>
  <c r="C86" i="6"/>
  <c r="A86" i="6"/>
  <c r="K85" i="6"/>
  <c r="F85" i="6"/>
  <c r="E85" i="6"/>
  <c r="D85" i="6"/>
  <c r="C85" i="6"/>
  <c r="A85" i="6"/>
  <c r="K84" i="6"/>
  <c r="F84" i="6"/>
  <c r="E84" i="6"/>
  <c r="D84" i="6"/>
  <c r="C84" i="6"/>
  <c r="A84" i="6"/>
  <c r="K83" i="6"/>
  <c r="F83" i="6"/>
  <c r="E83" i="6"/>
  <c r="D83" i="6"/>
  <c r="C83" i="6"/>
  <c r="A83" i="6"/>
  <c r="K82" i="6"/>
  <c r="F82" i="6"/>
  <c r="E82" i="6"/>
  <c r="D82" i="6"/>
  <c r="C82" i="6"/>
  <c r="A82" i="6"/>
  <c r="K81" i="6"/>
  <c r="F81" i="6"/>
  <c r="E81" i="6"/>
  <c r="D81" i="6"/>
  <c r="C81" i="6"/>
  <c r="A81" i="6"/>
  <c r="K80" i="6"/>
  <c r="F80" i="6"/>
  <c r="E80" i="6"/>
  <c r="D80" i="6"/>
  <c r="C80" i="6"/>
  <c r="A80" i="6"/>
  <c r="K79" i="6"/>
  <c r="F79" i="6"/>
  <c r="E79" i="6"/>
  <c r="D79" i="6"/>
  <c r="C79" i="6"/>
  <c r="A79" i="6"/>
  <c r="K78" i="6"/>
  <c r="F78" i="6"/>
  <c r="E78" i="6"/>
  <c r="D78" i="6"/>
  <c r="C78" i="6"/>
  <c r="A78" i="6"/>
  <c r="K77" i="6"/>
  <c r="F77" i="6"/>
  <c r="E77" i="6"/>
  <c r="D77" i="6"/>
  <c r="C77" i="6"/>
  <c r="A77" i="6"/>
  <c r="K76" i="6"/>
  <c r="F76" i="6"/>
  <c r="E76" i="6"/>
  <c r="D76" i="6"/>
  <c r="C76" i="6"/>
  <c r="A76" i="6"/>
  <c r="K75" i="6"/>
  <c r="F75" i="6"/>
  <c r="E75" i="6"/>
  <c r="D75" i="6"/>
  <c r="C75" i="6"/>
  <c r="A75" i="6"/>
  <c r="K74" i="6"/>
  <c r="F74" i="6"/>
  <c r="E74" i="6"/>
  <c r="D74" i="6"/>
  <c r="C74" i="6"/>
  <c r="A74" i="6"/>
  <c r="K73" i="6"/>
  <c r="F73" i="6"/>
  <c r="E73" i="6"/>
  <c r="D73" i="6"/>
  <c r="C73" i="6"/>
  <c r="A73" i="6"/>
  <c r="K72" i="6"/>
  <c r="F72" i="6"/>
  <c r="E72" i="6"/>
  <c r="D72" i="6"/>
  <c r="C72" i="6"/>
  <c r="A72" i="6"/>
  <c r="K71" i="6"/>
  <c r="F71" i="6"/>
  <c r="E71" i="6"/>
  <c r="D71" i="6"/>
  <c r="C71" i="6"/>
  <c r="A71" i="6"/>
  <c r="K70" i="6"/>
  <c r="F70" i="6"/>
  <c r="E70" i="6"/>
  <c r="D70" i="6"/>
  <c r="C70" i="6"/>
  <c r="A70" i="6"/>
  <c r="K69" i="6"/>
  <c r="F69" i="6"/>
  <c r="E69" i="6"/>
  <c r="D69" i="6"/>
  <c r="C69" i="6"/>
  <c r="A69" i="6"/>
  <c r="K68" i="6"/>
  <c r="F68" i="6"/>
  <c r="E68" i="6"/>
  <c r="D68" i="6"/>
  <c r="C68" i="6"/>
  <c r="A68" i="6"/>
  <c r="K67" i="6"/>
  <c r="F67" i="6"/>
  <c r="E67" i="6"/>
  <c r="D67" i="6"/>
  <c r="C67" i="6"/>
  <c r="A67" i="6"/>
  <c r="K66" i="6"/>
  <c r="F66" i="6"/>
  <c r="E66" i="6"/>
  <c r="D66" i="6"/>
  <c r="C66" i="6"/>
  <c r="A66" i="6"/>
  <c r="K65" i="6"/>
  <c r="F65" i="6"/>
  <c r="E65" i="6"/>
  <c r="D65" i="6"/>
  <c r="C65" i="6"/>
  <c r="A65" i="6"/>
  <c r="K64" i="6"/>
  <c r="F64" i="6"/>
  <c r="E64" i="6"/>
  <c r="D64" i="6"/>
  <c r="C64" i="6"/>
  <c r="A64" i="6"/>
  <c r="K63" i="6"/>
  <c r="F63" i="6"/>
  <c r="E63" i="6"/>
  <c r="D63" i="6"/>
  <c r="C63" i="6"/>
  <c r="A63" i="6"/>
  <c r="K62" i="6"/>
  <c r="F62" i="6"/>
  <c r="E62" i="6"/>
  <c r="D62" i="6"/>
  <c r="C62" i="6"/>
  <c r="A62" i="6"/>
  <c r="K61" i="6"/>
  <c r="F61" i="6"/>
  <c r="E61" i="6"/>
  <c r="D61" i="6"/>
  <c r="C61" i="6"/>
  <c r="A61" i="6"/>
  <c r="K60" i="6"/>
  <c r="F60" i="6"/>
  <c r="E60" i="6"/>
  <c r="D60" i="6"/>
  <c r="C60" i="6"/>
  <c r="A60" i="6"/>
  <c r="K59" i="6"/>
  <c r="F59" i="6"/>
  <c r="E59" i="6"/>
  <c r="D59" i="6"/>
  <c r="C59" i="6"/>
  <c r="A59" i="6"/>
  <c r="K58" i="6"/>
  <c r="F58" i="6"/>
  <c r="E58" i="6"/>
  <c r="D58" i="6"/>
  <c r="C58" i="6"/>
  <c r="A58" i="6"/>
  <c r="K57" i="6"/>
  <c r="F57" i="6"/>
  <c r="E57" i="6"/>
  <c r="D57" i="6"/>
  <c r="C57" i="6"/>
  <c r="A57" i="6"/>
  <c r="K56" i="6"/>
  <c r="F56" i="6"/>
  <c r="E56" i="6"/>
  <c r="D56" i="6"/>
  <c r="C56" i="6"/>
  <c r="A56" i="6"/>
  <c r="K55" i="6"/>
  <c r="F55" i="6"/>
  <c r="E55" i="6"/>
  <c r="D55" i="6"/>
  <c r="C55" i="6"/>
  <c r="A55" i="6"/>
  <c r="K54" i="6"/>
  <c r="F54" i="6"/>
  <c r="E54" i="6"/>
  <c r="D54" i="6"/>
  <c r="C54" i="6"/>
  <c r="A54" i="6"/>
  <c r="K53" i="6"/>
  <c r="F53" i="6"/>
  <c r="E53" i="6"/>
  <c r="D53" i="6"/>
  <c r="C53" i="6"/>
  <c r="A53" i="6"/>
  <c r="K52" i="6"/>
  <c r="F52" i="6"/>
  <c r="E52" i="6"/>
  <c r="D52" i="6"/>
  <c r="C52" i="6"/>
  <c r="A52" i="6"/>
  <c r="K51" i="6"/>
  <c r="F51" i="6"/>
  <c r="E51" i="6"/>
  <c r="D51" i="6"/>
  <c r="C51" i="6"/>
  <c r="A51" i="6"/>
  <c r="K50" i="6"/>
  <c r="F50" i="6"/>
  <c r="E50" i="6"/>
  <c r="D50" i="6"/>
  <c r="C50" i="6"/>
  <c r="A50" i="6"/>
  <c r="K49" i="6"/>
  <c r="F49" i="6"/>
  <c r="E49" i="6"/>
  <c r="D49" i="6"/>
  <c r="C49" i="6"/>
  <c r="A49" i="6"/>
  <c r="K48" i="6"/>
  <c r="F48" i="6"/>
  <c r="E48" i="6"/>
  <c r="D48" i="6"/>
  <c r="C48" i="6"/>
  <c r="A48" i="6"/>
  <c r="K47" i="6"/>
  <c r="F47" i="6"/>
  <c r="E47" i="6"/>
  <c r="D47" i="6"/>
  <c r="C47" i="6"/>
  <c r="A47" i="6"/>
  <c r="K46" i="6"/>
  <c r="F46" i="6"/>
  <c r="E46" i="6"/>
  <c r="D46" i="6"/>
  <c r="C46" i="6"/>
  <c r="A46" i="6"/>
  <c r="K45" i="6"/>
  <c r="F45" i="6"/>
  <c r="E45" i="6"/>
  <c r="D45" i="6"/>
  <c r="C45" i="6"/>
  <c r="A45" i="6"/>
  <c r="K44" i="6"/>
  <c r="F44" i="6"/>
  <c r="E44" i="6"/>
  <c r="D44" i="6"/>
  <c r="C44" i="6"/>
  <c r="A44" i="6"/>
  <c r="K43" i="6"/>
  <c r="F43" i="6"/>
  <c r="E43" i="6"/>
  <c r="D43" i="6"/>
  <c r="C43" i="6"/>
  <c r="A43" i="6"/>
  <c r="K42" i="6"/>
  <c r="F42" i="6"/>
  <c r="E42" i="6"/>
  <c r="D42" i="6"/>
  <c r="C42" i="6"/>
  <c r="A42" i="6"/>
  <c r="K41" i="6"/>
  <c r="F41" i="6"/>
  <c r="E41" i="6"/>
  <c r="D41" i="6"/>
  <c r="C41" i="6"/>
  <c r="A41" i="6"/>
  <c r="K40" i="6"/>
  <c r="F40" i="6"/>
  <c r="E40" i="6"/>
  <c r="D40" i="6"/>
  <c r="C40" i="6"/>
  <c r="A40" i="6"/>
  <c r="K39" i="6"/>
  <c r="F39" i="6"/>
  <c r="E39" i="6"/>
  <c r="D39" i="6"/>
  <c r="C39" i="6"/>
  <c r="A39" i="6"/>
  <c r="K38" i="6"/>
  <c r="F38" i="6"/>
  <c r="E38" i="6"/>
  <c r="D38" i="6"/>
  <c r="C38" i="6"/>
  <c r="A38" i="6"/>
  <c r="K37" i="6"/>
  <c r="F37" i="6"/>
  <c r="E37" i="6"/>
  <c r="D37" i="6"/>
  <c r="C37" i="6"/>
  <c r="A37" i="6"/>
  <c r="K36" i="6"/>
  <c r="F36" i="6"/>
  <c r="E36" i="6"/>
  <c r="D36" i="6"/>
  <c r="C36" i="6"/>
  <c r="A36" i="6"/>
  <c r="K35" i="6"/>
  <c r="F35" i="6"/>
  <c r="E35" i="6"/>
  <c r="D35" i="6"/>
  <c r="C35" i="6"/>
  <c r="A35" i="6"/>
  <c r="K34" i="6"/>
  <c r="F34" i="6"/>
  <c r="E34" i="6"/>
  <c r="D34" i="6"/>
  <c r="C34" i="6"/>
  <c r="A34" i="6"/>
  <c r="K33" i="6"/>
  <c r="F33" i="6"/>
  <c r="E33" i="6"/>
  <c r="D33" i="6"/>
  <c r="C33" i="6"/>
  <c r="A33" i="6"/>
  <c r="K32" i="6"/>
  <c r="F32" i="6"/>
  <c r="E32" i="6"/>
  <c r="D32" i="6"/>
  <c r="C32" i="6"/>
  <c r="A32" i="6"/>
  <c r="K31" i="6"/>
  <c r="F31" i="6"/>
  <c r="E31" i="6"/>
  <c r="D31" i="6"/>
  <c r="C31" i="6"/>
  <c r="A31" i="6"/>
  <c r="K30" i="6"/>
  <c r="F30" i="6"/>
  <c r="E30" i="6"/>
  <c r="D30" i="6"/>
  <c r="C30" i="6"/>
  <c r="A30" i="6"/>
  <c r="K29" i="6"/>
  <c r="F29" i="6"/>
  <c r="E29" i="6"/>
  <c r="D29" i="6"/>
  <c r="C29" i="6"/>
  <c r="A29" i="6"/>
  <c r="K28" i="6"/>
  <c r="F28" i="6"/>
  <c r="E28" i="6"/>
  <c r="D28" i="6"/>
  <c r="C28" i="6"/>
  <c r="A28" i="6"/>
  <c r="K27" i="6"/>
  <c r="F27" i="6"/>
  <c r="E27" i="6"/>
  <c r="D27" i="6"/>
  <c r="C27" i="6"/>
  <c r="A27" i="6"/>
  <c r="K26" i="6"/>
  <c r="F26" i="6"/>
  <c r="E26" i="6"/>
  <c r="D26" i="6"/>
  <c r="C26" i="6"/>
  <c r="A26" i="6"/>
  <c r="K25" i="6"/>
  <c r="F25" i="6"/>
  <c r="E25" i="6"/>
  <c r="D25" i="6"/>
  <c r="C25" i="6"/>
  <c r="A25" i="6"/>
  <c r="K24" i="6"/>
  <c r="F24" i="6"/>
  <c r="E24" i="6"/>
  <c r="D24" i="6"/>
  <c r="C24" i="6"/>
  <c r="A24" i="6"/>
  <c r="K23" i="6"/>
  <c r="F23" i="6"/>
  <c r="E23" i="6"/>
  <c r="D23" i="6"/>
  <c r="C23" i="6"/>
  <c r="A23" i="6"/>
  <c r="K22" i="6"/>
  <c r="F22" i="6"/>
  <c r="E22" i="6"/>
  <c r="D22" i="6"/>
  <c r="C22" i="6"/>
  <c r="A22" i="6"/>
  <c r="K21" i="6"/>
  <c r="F21" i="6"/>
  <c r="E21" i="6"/>
  <c r="D21" i="6"/>
  <c r="C21" i="6"/>
  <c r="A21" i="6"/>
  <c r="K20" i="6"/>
  <c r="F20" i="6"/>
  <c r="E20" i="6"/>
  <c r="D20" i="6"/>
  <c r="C20" i="6"/>
  <c r="A20" i="6"/>
  <c r="K19" i="6"/>
  <c r="F19" i="6"/>
  <c r="E19" i="6"/>
  <c r="D19" i="6"/>
  <c r="C19" i="6"/>
  <c r="A19" i="6"/>
  <c r="K18" i="6"/>
  <c r="F18" i="6"/>
  <c r="E18" i="6"/>
  <c r="D18" i="6"/>
  <c r="C18" i="6"/>
  <c r="A18" i="6"/>
  <c r="K17" i="6"/>
  <c r="F17" i="6"/>
  <c r="E17" i="6"/>
  <c r="D17" i="6"/>
  <c r="C17" i="6"/>
  <c r="A17" i="6"/>
  <c r="K16" i="6"/>
  <c r="F16" i="6"/>
  <c r="E16" i="6"/>
  <c r="D16" i="6"/>
  <c r="C16" i="6"/>
  <c r="A16" i="6"/>
  <c r="K15" i="6"/>
  <c r="F15" i="6"/>
  <c r="E15" i="6"/>
  <c r="D15" i="6"/>
  <c r="C15" i="6"/>
  <c r="A15" i="6"/>
  <c r="K14" i="6"/>
  <c r="F14" i="6"/>
  <c r="E14" i="6"/>
  <c r="D14" i="6"/>
  <c r="C14" i="6"/>
  <c r="A14" i="6"/>
  <c r="K13" i="6"/>
  <c r="F13" i="6"/>
  <c r="E13" i="6"/>
  <c r="D13" i="6"/>
  <c r="C13" i="6"/>
  <c r="A13" i="6"/>
  <c r="K12" i="6"/>
  <c r="F12" i="6"/>
  <c r="E12" i="6"/>
  <c r="D12" i="6"/>
  <c r="C12" i="6"/>
  <c r="A12" i="6"/>
  <c r="K11" i="6"/>
  <c r="F11" i="6"/>
  <c r="E11" i="6"/>
  <c r="D11" i="6"/>
  <c r="C11" i="6"/>
  <c r="A11" i="6"/>
  <c r="K10" i="6"/>
  <c r="F10" i="6"/>
  <c r="E10" i="6"/>
  <c r="D10" i="6"/>
  <c r="C10" i="6"/>
  <c r="A10" i="6"/>
  <c r="K9" i="6"/>
  <c r="F9" i="6"/>
  <c r="E9" i="6"/>
  <c r="D9" i="6"/>
  <c r="C9" i="6"/>
  <c r="A9" i="6"/>
  <c r="K8" i="6"/>
  <c r="F8" i="6"/>
  <c r="E8" i="6"/>
  <c r="D8" i="6"/>
  <c r="C8" i="6"/>
  <c r="A8" i="6"/>
  <c r="K7" i="6"/>
  <c r="F7" i="6"/>
  <c r="E7" i="6"/>
  <c r="D7" i="6"/>
  <c r="C7" i="6"/>
  <c r="A7" i="6"/>
  <c r="F6" i="6"/>
  <c r="E6" i="6"/>
  <c r="D6" i="6"/>
  <c r="C6" i="6"/>
  <c r="A6" i="6"/>
  <c r="F5" i="6"/>
  <c r="E5" i="6"/>
  <c r="D5" i="6"/>
  <c r="C5" i="6"/>
  <c r="A5" i="6"/>
  <c r="F3" i="6"/>
  <c r="E3" i="6"/>
  <c r="D3" i="6"/>
  <c r="C3" i="6"/>
  <c r="A3" i="6"/>
  <c r="F4" i="6"/>
  <c r="E4" i="6"/>
  <c r="D4" i="6"/>
  <c r="C4" i="6"/>
  <c r="A4" i="6"/>
  <c r="F2" i="6"/>
  <c r="E2" i="6"/>
  <c r="D2" i="6"/>
  <c r="C2" i="6"/>
  <c r="A2" i="6"/>
  <c r="B8" i="1"/>
  <c r="AC301" i="5"/>
  <c r="AB301" i="5"/>
  <c r="Z301" i="5"/>
  <c r="Y301" i="5"/>
  <c r="U301" i="5"/>
  <c r="T301" i="5"/>
  <c r="S301" i="5"/>
  <c r="P301" i="5"/>
  <c r="M301" i="5"/>
  <c r="I301" i="5"/>
  <c r="H301" i="5"/>
  <c r="F301" i="5"/>
  <c r="E301" i="5"/>
  <c r="D301" i="5"/>
  <c r="C301" i="5"/>
  <c r="A301" i="5"/>
  <c r="AC300" i="5"/>
  <c r="AB300" i="5"/>
  <c r="Z300" i="5"/>
  <c r="Y300" i="5"/>
  <c r="U300" i="5"/>
  <c r="T300" i="5"/>
  <c r="S300" i="5"/>
  <c r="P300" i="5"/>
  <c r="M300" i="5"/>
  <c r="I300" i="5"/>
  <c r="H300" i="5"/>
  <c r="F300" i="5"/>
  <c r="E300" i="5"/>
  <c r="D300" i="5"/>
  <c r="C300" i="5"/>
  <c r="A300" i="5"/>
  <c r="AC299" i="5"/>
  <c r="AB299" i="5"/>
  <c r="Z299" i="5"/>
  <c r="Y299" i="5"/>
  <c r="U299" i="5"/>
  <c r="T299" i="5"/>
  <c r="S299" i="5"/>
  <c r="P299" i="5"/>
  <c r="M299" i="5"/>
  <c r="I299" i="5"/>
  <c r="H299" i="5"/>
  <c r="F299" i="5"/>
  <c r="E299" i="5"/>
  <c r="D299" i="5"/>
  <c r="C299" i="5"/>
  <c r="A299" i="5"/>
  <c r="AC298" i="5"/>
  <c r="AB298" i="5"/>
  <c r="Z298" i="5"/>
  <c r="Y298" i="5"/>
  <c r="U298" i="5"/>
  <c r="T298" i="5"/>
  <c r="S298" i="5"/>
  <c r="P298" i="5"/>
  <c r="M298" i="5"/>
  <c r="I298" i="5"/>
  <c r="H298" i="5"/>
  <c r="F298" i="5"/>
  <c r="E298" i="5"/>
  <c r="D298" i="5"/>
  <c r="C298" i="5"/>
  <c r="A298" i="5"/>
  <c r="AC297" i="5"/>
  <c r="AB297" i="5"/>
  <c r="Z297" i="5"/>
  <c r="Y297" i="5"/>
  <c r="U297" i="5"/>
  <c r="T297" i="5"/>
  <c r="S297" i="5"/>
  <c r="P297" i="5"/>
  <c r="M297" i="5"/>
  <c r="I297" i="5"/>
  <c r="H297" i="5"/>
  <c r="F297" i="5"/>
  <c r="E297" i="5"/>
  <c r="D297" i="5"/>
  <c r="C297" i="5"/>
  <c r="A297" i="5"/>
  <c r="AC296" i="5"/>
  <c r="AB296" i="5"/>
  <c r="Z296" i="5"/>
  <c r="Y296" i="5"/>
  <c r="U296" i="5"/>
  <c r="T296" i="5"/>
  <c r="S296" i="5"/>
  <c r="P296" i="5"/>
  <c r="M296" i="5"/>
  <c r="I296" i="5"/>
  <c r="H296" i="5"/>
  <c r="F296" i="5"/>
  <c r="E296" i="5"/>
  <c r="D296" i="5"/>
  <c r="C296" i="5"/>
  <c r="A296" i="5"/>
  <c r="AC295" i="5"/>
  <c r="AB295" i="5"/>
  <c r="Z295" i="5"/>
  <c r="Y295" i="5"/>
  <c r="U295" i="5"/>
  <c r="T295" i="5"/>
  <c r="S295" i="5"/>
  <c r="P295" i="5"/>
  <c r="M295" i="5"/>
  <c r="I295" i="5"/>
  <c r="H295" i="5"/>
  <c r="F295" i="5"/>
  <c r="E295" i="5"/>
  <c r="D295" i="5"/>
  <c r="C295" i="5"/>
  <c r="A295" i="5"/>
  <c r="AC294" i="5"/>
  <c r="AB294" i="5"/>
  <c r="Z294" i="5"/>
  <c r="Y294" i="5"/>
  <c r="U294" i="5"/>
  <c r="T294" i="5"/>
  <c r="S294" i="5"/>
  <c r="P294" i="5"/>
  <c r="M294" i="5"/>
  <c r="I294" i="5"/>
  <c r="H294" i="5"/>
  <c r="F294" i="5"/>
  <c r="E294" i="5"/>
  <c r="D294" i="5"/>
  <c r="C294" i="5"/>
  <c r="A294" i="5"/>
  <c r="AC293" i="5"/>
  <c r="AB293" i="5"/>
  <c r="Z293" i="5"/>
  <c r="Y293" i="5"/>
  <c r="U293" i="5"/>
  <c r="T293" i="5"/>
  <c r="S293" i="5"/>
  <c r="P293" i="5"/>
  <c r="M293" i="5"/>
  <c r="I293" i="5"/>
  <c r="H293" i="5"/>
  <c r="F293" i="5"/>
  <c r="E293" i="5"/>
  <c r="D293" i="5"/>
  <c r="C293" i="5"/>
  <c r="A293" i="5"/>
  <c r="AC292" i="5"/>
  <c r="AB292" i="5"/>
  <c r="Z292" i="5"/>
  <c r="Y292" i="5"/>
  <c r="U292" i="5"/>
  <c r="T292" i="5"/>
  <c r="S292" i="5"/>
  <c r="P292" i="5"/>
  <c r="M292" i="5"/>
  <c r="I292" i="5"/>
  <c r="H292" i="5"/>
  <c r="F292" i="5"/>
  <c r="E292" i="5"/>
  <c r="D292" i="5"/>
  <c r="C292" i="5"/>
  <c r="A292" i="5"/>
  <c r="AC291" i="5"/>
  <c r="AB291" i="5"/>
  <c r="Z291" i="5"/>
  <c r="Y291" i="5"/>
  <c r="U291" i="5"/>
  <c r="T291" i="5"/>
  <c r="S291" i="5"/>
  <c r="P291" i="5"/>
  <c r="M291" i="5"/>
  <c r="I291" i="5"/>
  <c r="H291" i="5"/>
  <c r="F291" i="5"/>
  <c r="E291" i="5"/>
  <c r="D291" i="5"/>
  <c r="C291" i="5"/>
  <c r="A291" i="5"/>
  <c r="AC290" i="5"/>
  <c r="AB290" i="5"/>
  <c r="Z290" i="5"/>
  <c r="Y290" i="5"/>
  <c r="U290" i="5"/>
  <c r="T290" i="5"/>
  <c r="S290" i="5"/>
  <c r="P290" i="5"/>
  <c r="M290" i="5"/>
  <c r="I290" i="5"/>
  <c r="H290" i="5"/>
  <c r="F290" i="5"/>
  <c r="E290" i="5"/>
  <c r="D290" i="5"/>
  <c r="C290" i="5"/>
  <c r="A290" i="5"/>
  <c r="AC289" i="5"/>
  <c r="AB289" i="5"/>
  <c r="Z289" i="5"/>
  <c r="Y289" i="5"/>
  <c r="U289" i="5"/>
  <c r="T289" i="5"/>
  <c r="S289" i="5"/>
  <c r="P289" i="5"/>
  <c r="M289" i="5"/>
  <c r="I289" i="5"/>
  <c r="H289" i="5"/>
  <c r="F289" i="5"/>
  <c r="E289" i="5"/>
  <c r="D289" i="5"/>
  <c r="C289" i="5"/>
  <c r="A289" i="5"/>
  <c r="AC288" i="5"/>
  <c r="AB288" i="5"/>
  <c r="Z288" i="5"/>
  <c r="Y288" i="5"/>
  <c r="U288" i="5"/>
  <c r="T288" i="5"/>
  <c r="S288" i="5"/>
  <c r="P288" i="5"/>
  <c r="M288" i="5"/>
  <c r="I288" i="5"/>
  <c r="H288" i="5"/>
  <c r="F288" i="5"/>
  <c r="E288" i="5"/>
  <c r="D288" i="5"/>
  <c r="C288" i="5"/>
  <c r="A288" i="5"/>
  <c r="AC287" i="5"/>
  <c r="AB287" i="5"/>
  <c r="Z287" i="5"/>
  <c r="Y287" i="5"/>
  <c r="U287" i="5"/>
  <c r="T287" i="5"/>
  <c r="S287" i="5"/>
  <c r="P287" i="5"/>
  <c r="M287" i="5"/>
  <c r="I287" i="5"/>
  <c r="H287" i="5"/>
  <c r="F287" i="5"/>
  <c r="E287" i="5"/>
  <c r="D287" i="5"/>
  <c r="C287" i="5"/>
  <c r="A287" i="5"/>
  <c r="AC286" i="5"/>
  <c r="AB286" i="5"/>
  <c r="Z286" i="5"/>
  <c r="Y286" i="5"/>
  <c r="U286" i="5"/>
  <c r="T286" i="5"/>
  <c r="S286" i="5"/>
  <c r="P286" i="5"/>
  <c r="M286" i="5"/>
  <c r="I286" i="5"/>
  <c r="H286" i="5"/>
  <c r="F286" i="5"/>
  <c r="E286" i="5"/>
  <c r="D286" i="5"/>
  <c r="C286" i="5"/>
  <c r="A286" i="5"/>
  <c r="AC285" i="5"/>
  <c r="AB285" i="5"/>
  <c r="Z285" i="5"/>
  <c r="Y285" i="5"/>
  <c r="U285" i="5"/>
  <c r="T285" i="5"/>
  <c r="S285" i="5"/>
  <c r="P285" i="5"/>
  <c r="M285" i="5"/>
  <c r="I285" i="5"/>
  <c r="H285" i="5"/>
  <c r="F285" i="5"/>
  <c r="E285" i="5"/>
  <c r="D285" i="5"/>
  <c r="C285" i="5"/>
  <c r="A285" i="5"/>
  <c r="AC284" i="5"/>
  <c r="AB284" i="5"/>
  <c r="Z284" i="5"/>
  <c r="Y284" i="5"/>
  <c r="U284" i="5"/>
  <c r="T284" i="5"/>
  <c r="S284" i="5"/>
  <c r="P284" i="5"/>
  <c r="M284" i="5"/>
  <c r="I284" i="5"/>
  <c r="H284" i="5"/>
  <c r="F284" i="5"/>
  <c r="E284" i="5"/>
  <c r="D284" i="5"/>
  <c r="C284" i="5"/>
  <c r="A284" i="5"/>
  <c r="AC283" i="5"/>
  <c r="AB283" i="5"/>
  <c r="Z283" i="5"/>
  <c r="Y283" i="5"/>
  <c r="U283" i="5"/>
  <c r="T283" i="5"/>
  <c r="S283" i="5"/>
  <c r="P283" i="5"/>
  <c r="M283" i="5"/>
  <c r="I283" i="5"/>
  <c r="H283" i="5"/>
  <c r="F283" i="5"/>
  <c r="E283" i="5"/>
  <c r="D283" i="5"/>
  <c r="C283" i="5"/>
  <c r="A283" i="5"/>
  <c r="AC282" i="5"/>
  <c r="AB282" i="5"/>
  <c r="Z282" i="5"/>
  <c r="Y282" i="5"/>
  <c r="U282" i="5"/>
  <c r="T282" i="5"/>
  <c r="S282" i="5"/>
  <c r="P282" i="5"/>
  <c r="M282" i="5"/>
  <c r="I282" i="5"/>
  <c r="H282" i="5"/>
  <c r="F282" i="5"/>
  <c r="E282" i="5"/>
  <c r="D282" i="5"/>
  <c r="C282" i="5"/>
  <c r="A282" i="5"/>
  <c r="AC281" i="5"/>
  <c r="AB281" i="5"/>
  <c r="Z281" i="5"/>
  <c r="Y281" i="5"/>
  <c r="U281" i="5"/>
  <c r="T281" i="5"/>
  <c r="S281" i="5"/>
  <c r="P281" i="5"/>
  <c r="M281" i="5"/>
  <c r="I281" i="5"/>
  <c r="H281" i="5"/>
  <c r="F281" i="5"/>
  <c r="E281" i="5"/>
  <c r="D281" i="5"/>
  <c r="C281" i="5"/>
  <c r="A281" i="5"/>
  <c r="AC280" i="5"/>
  <c r="AB280" i="5"/>
  <c r="Z280" i="5"/>
  <c r="Y280" i="5"/>
  <c r="U280" i="5"/>
  <c r="T280" i="5"/>
  <c r="S280" i="5"/>
  <c r="P280" i="5"/>
  <c r="M280" i="5"/>
  <c r="I280" i="5"/>
  <c r="H280" i="5"/>
  <c r="F280" i="5"/>
  <c r="E280" i="5"/>
  <c r="D280" i="5"/>
  <c r="C280" i="5"/>
  <c r="A280" i="5"/>
  <c r="AC279" i="5"/>
  <c r="AB279" i="5"/>
  <c r="Z279" i="5"/>
  <c r="Y279" i="5"/>
  <c r="U279" i="5"/>
  <c r="T279" i="5"/>
  <c r="S279" i="5"/>
  <c r="P279" i="5"/>
  <c r="M279" i="5"/>
  <c r="I279" i="5"/>
  <c r="H279" i="5"/>
  <c r="F279" i="5"/>
  <c r="E279" i="5"/>
  <c r="D279" i="5"/>
  <c r="C279" i="5"/>
  <c r="A279" i="5"/>
  <c r="AC278" i="5"/>
  <c r="AB278" i="5"/>
  <c r="Z278" i="5"/>
  <c r="Y278" i="5"/>
  <c r="U278" i="5"/>
  <c r="T278" i="5"/>
  <c r="S278" i="5"/>
  <c r="P278" i="5"/>
  <c r="M278" i="5"/>
  <c r="I278" i="5"/>
  <c r="H278" i="5"/>
  <c r="F278" i="5"/>
  <c r="E278" i="5"/>
  <c r="D278" i="5"/>
  <c r="C278" i="5"/>
  <c r="A278" i="5"/>
  <c r="AC277" i="5"/>
  <c r="AB277" i="5"/>
  <c r="Z277" i="5"/>
  <c r="Y277" i="5"/>
  <c r="U277" i="5"/>
  <c r="T277" i="5"/>
  <c r="S277" i="5"/>
  <c r="P277" i="5"/>
  <c r="M277" i="5"/>
  <c r="I277" i="5"/>
  <c r="H277" i="5"/>
  <c r="F277" i="5"/>
  <c r="E277" i="5"/>
  <c r="D277" i="5"/>
  <c r="C277" i="5"/>
  <c r="A277" i="5"/>
  <c r="AC276" i="5"/>
  <c r="AB276" i="5"/>
  <c r="Z276" i="5"/>
  <c r="Y276" i="5"/>
  <c r="U276" i="5"/>
  <c r="T276" i="5"/>
  <c r="S276" i="5"/>
  <c r="P276" i="5"/>
  <c r="M276" i="5"/>
  <c r="I276" i="5"/>
  <c r="H276" i="5"/>
  <c r="F276" i="5"/>
  <c r="E276" i="5"/>
  <c r="D276" i="5"/>
  <c r="C276" i="5"/>
  <c r="A276" i="5"/>
  <c r="AC275" i="5"/>
  <c r="AB275" i="5"/>
  <c r="Z275" i="5"/>
  <c r="Y275" i="5"/>
  <c r="U275" i="5"/>
  <c r="T275" i="5"/>
  <c r="S275" i="5"/>
  <c r="P275" i="5"/>
  <c r="M275" i="5"/>
  <c r="I275" i="5"/>
  <c r="H275" i="5"/>
  <c r="F275" i="5"/>
  <c r="E275" i="5"/>
  <c r="D275" i="5"/>
  <c r="C275" i="5"/>
  <c r="A275" i="5"/>
  <c r="AC274" i="5"/>
  <c r="AB274" i="5"/>
  <c r="Z274" i="5"/>
  <c r="Y274" i="5"/>
  <c r="U274" i="5"/>
  <c r="T274" i="5"/>
  <c r="S274" i="5"/>
  <c r="P274" i="5"/>
  <c r="M274" i="5"/>
  <c r="I274" i="5"/>
  <c r="H274" i="5"/>
  <c r="F274" i="5"/>
  <c r="E274" i="5"/>
  <c r="D274" i="5"/>
  <c r="C274" i="5"/>
  <c r="A274" i="5"/>
  <c r="AC273" i="5"/>
  <c r="AB273" i="5"/>
  <c r="Z273" i="5"/>
  <c r="Y273" i="5"/>
  <c r="U273" i="5"/>
  <c r="T273" i="5"/>
  <c r="S273" i="5"/>
  <c r="P273" i="5"/>
  <c r="M273" i="5"/>
  <c r="I273" i="5"/>
  <c r="H273" i="5"/>
  <c r="F273" i="5"/>
  <c r="E273" i="5"/>
  <c r="D273" i="5"/>
  <c r="C273" i="5"/>
  <c r="A273" i="5"/>
  <c r="AC272" i="5"/>
  <c r="AB272" i="5"/>
  <c r="Z272" i="5"/>
  <c r="Y272" i="5"/>
  <c r="U272" i="5"/>
  <c r="T272" i="5"/>
  <c r="S272" i="5"/>
  <c r="P272" i="5"/>
  <c r="M272" i="5"/>
  <c r="I272" i="5"/>
  <c r="H272" i="5"/>
  <c r="F272" i="5"/>
  <c r="E272" i="5"/>
  <c r="D272" i="5"/>
  <c r="C272" i="5"/>
  <c r="A272" i="5"/>
  <c r="AC271" i="5"/>
  <c r="AB271" i="5"/>
  <c r="Z271" i="5"/>
  <c r="Y271" i="5"/>
  <c r="U271" i="5"/>
  <c r="T271" i="5"/>
  <c r="S271" i="5"/>
  <c r="P271" i="5"/>
  <c r="M271" i="5"/>
  <c r="I271" i="5"/>
  <c r="H271" i="5"/>
  <c r="F271" i="5"/>
  <c r="E271" i="5"/>
  <c r="D271" i="5"/>
  <c r="C271" i="5"/>
  <c r="A271" i="5"/>
  <c r="AC270" i="5"/>
  <c r="AB270" i="5"/>
  <c r="Z270" i="5"/>
  <c r="Y270" i="5"/>
  <c r="U270" i="5"/>
  <c r="T270" i="5"/>
  <c r="S270" i="5"/>
  <c r="P270" i="5"/>
  <c r="M270" i="5"/>
  <c r="I270" i="5"/>
  <c r="H270" i="5"/>
  <c r="F270" i="5"/>
  <c r="E270" i="5"/>
  <c r="D270" i="5"/>
  <c r="C270" i="5"/>
  <c r="A270" i="5"/>
  <c r="AC269" i="5"/>
  <c r="AB269" i="5"/>
  <c r="Z269" i="5"/>
  <c r="Y269" i="5"/>
  <c r="U269" i="5"/>
  <c r="T269" i="5"/>
  <c r="S269" i="5"/>
  <c r="P269" i="5"/>
  <c r="M269" i="5"/>
  <c r="I269" i="5"/>
  <c r="H269" i="5"/>
  <c r="F269" i="5"/>
  <c r="E269" i="5"/>
  <c r="D269" i="5"/>
  <c r="C269" i="5"/>
  <c r="A269" i="5"/>
  <c r="AC268" i="5"/>
  <c r="AB268" i="5"/>
  <c r="Z268" i="5"/>
  <c r="Y268" i="5"/>
  <c r="U268" i="5"/>
  <c r="T268" i="5"/>
  <c r="S268" i="5"/>
  <c r="P268" i="5"/>
  <c r="M268" i="5"/>
  <c r="I268" i="5"/>
  <c r="H268" i="5"/>
  <c r="F268" i="5"/>
  <c r="E268" i="5"/>
  <c r="D268" i="5"/>
  <c r="C268" i="5"/>
  <c r="A268" i="5"/>
  <c r="AC267" i="5"/>
  <c r="AB267" i="5"/>
  <c r="Z267" i="5"/>
  <c r="Y267" i="5"/>
  <c r="U267" i="5"/>
  <c r="T267" i="5"/>
  <c r="S267" i="5"/>
  <c r="P267" i="5"/>
  <c r="M267" i="5"/>
  <c r="I267" i="5"/>
  <c r="H267" i="5"/>
  <c r="F267" i="5"/>
  <c r="E267" i="5"/>
  <c r="D267" i="5"/>
  <c r="C267" i="5"/>
  <c r="A267" i="5"/>
  <c r="AC266" i="5"/>
  <c r="AB266" i="5"/>
  <c r="Z266" i="5"/>
  <c r="Y266" i="5"/>
  <c r="U266" i="5"/>
  <c r="T266" i="5"/>
  <c r="S266" i="5"/>
  <c r="P266" i="5"/>
  <c r="M266" i="5"/>
  <c r="I266" i="5"/>
  <c r="H266" i="5"/>
  <c r="F266" i="5"/>
  <c r="E266" i="5"/>
  <c r="D266" i="5"/>
  <c r="C266" i="5"/>
  <c r="A266" i="5"/>
  <c r="AC265" i="5"/>
  <c r="AB265" i="5"/>
  <c r="Z265" i="5"/>
  <c r="Y265" i="5"/>
  <c r="U265" i="5"/>
  <c r="T265" i="5"/>
  <c r="S265" i="5"/>
  <c r="P265" i="5"/>
  <c r="M265" i="5"/>
  <c r="I265" i="5"/>
  <c r="H265" i="5"/>
  <c r="F265" i="5"/>
  <c r="E265" i="5"/>
  <c r="D265" i="5"/>
  <c r="C265" i="5"/>
  <c r="A265" i="5"/>
  <c r="AC264" i="5"/>
  <c r="AB264" i="5"/>
  <c r="Z264" i="5"/>
  <c r="Y264" i="5"/>
  <c r="U264" i="5"/>
  <c r="T264" i="5"/>
  <c r="S264" i="5"/>
  <c r="P264" i="5"/>
  <c r="M264" i="5"/>
  <c r="I264" i="5"/>
  <c r="H264" i="5"/>
  <c r="F264" i="5"/>
  <c r="E264" i="5"/>
  <c r="D264" i="5"/>
  <c r="C264" i="5"/>
  <c r="A264" i="5"/>
  <c r="AC263" i="5"/>
  <c r="AB263" i="5"/>
  <c r="Z263" i="5"/>
  <c r="Y263" i="5"/>
  <c r="U263" i="5"/>
  <c r="T263" i="5"/>
  <c r="S263" i="5"/>
  <c r="P263" i="5"/>
  <c r="M263" i="5"/>
  <c r="I263" i="5"/>
  <c r="H263" i="5"/>
  <c r="F263" i="5"/>
  <c r="E263" i="5"/>
  <c r="D263" i="5"/>
  <c r="C263" i="5"/>
  <c r="A263" i="5"/>
  <c r="AC262" i="5"/>
  <c r="AB262" i="5"/>
  <c r="Z262" i="5"/>
  <c r="Y262" i="5"/>
  <c r="U262" i="5"/>
  <c r="T262" i="5"/>
  <c r="S262" i="5"/>
  <c r="P262" i="5"/>
  <c r="M262" i="5"/>
  <c r="I262" i="5"/>
  <c r="H262" i="5"/>
  <c r="F262" i="5"/>
  <c r="E262" i="5"/>
  <c r="D262" i="5"/>
  <c r="C262" i="5"/>
  <c r="A262" i="5"/>
  <c r="AC261" i="5"/>
  <c r="AB261" i="5"/>
  <c r="Z261" i="5"/>
  <c r="Y261" i="5"/>
  <c r="U261" i="5"/>
  <c r="T261" i="5"/>
  <c r="S261" i="5"/>
  <c r="P261" i="5"/>
  <c r="M261" i="5"/>
  <c r="I261" i="5"/>
  <c r="H261" i="5"/>
  <c r="F261" i="5"/>
  <c r="E261" i="5"/>
  <c r="D261" i="5"/>
  <c r="C261" i="5"/>
  <c r="A261" i="5"/>
  <c r="AC260" i="5"/>
  <c r="AB260" i="5"/>
  <c r="Z260" i="5"/>
  <c r="Y260" i="5"/>
  <c r="U260" i="5"/>
  <c r="T260" i="5"/>
  <c r="S260" i="5"/>
  <c r="P260" i="5"/>
  <c r="M260" i="5"/>
  <c r="I260" i="5"/>
  <c r="H260" i="5"/>
  <c r="F260" i="5"/>
  <c r="E260" i="5"/>
  <c r="D260" i="5"/>
  <c r="C260" i="5"/>
  <c r="A260" i="5"/>
  <c r="AC259" i="5"/>
  <c r="AB259" i="5"/>
  <c r="Z259" i="5"/>
  <c r="Y259" i="5"/>
  <c r="U259" i="5"/>
  <c r="T259" i="5"/>
  <c r="S259" i="5"/>
  <c r="P259" i="5"/>
  <c r="M259" i="5"/>
  <c r="I259" i="5"/>
  <c r="H259" i="5"/>
  <c r="F259" i="5"/>
  <c r="E259" i="5"/>
  <c r="D259" i="5"/>
  <c r="C259" i="5"/>
  <c r="A259" i="5"/>
  <c r="AC258" i="5"/>
  <c r="AB258" i="5"/>
  <c r="Z258" i="5"/>
  <c r="Y258" i="5"/>
  <c r="U258" i="5"/>
  <c r="T258" i="5"/>
  <c r="S258" i="5"/>
  <c r="P258" i="5"/>
  <c r="M258" i="5"/>
  <c r="I258" i="5"/>
  <c r="H258" i="5"/>
  <c r="F258" i="5"/>
  <c r="E258" i="5"/>
  <c r="D258" i="5"/>
  <c r="C258" i="5"/>
  <c r="A258" i="5"/>
  <c r="AC257" i="5"/>
  <c r="AB257" i="5"/>
  <c r="Z257" i="5"/>
  <c r="Y257" i="5"/>
  <c r="U257" i="5"/>
  <c r="T257" i="5"/>
  <c r="S257" i="5"/>
  <c r="P257" i="5"/>
  <c r="M257" i="5"/>
  <c r="I257" i="5"/>
  <c r="H257" i="5"/>
  <c r="F257" i="5"/>
  <c r="E257" i="5"/>
  <c r="D257" i="5"/>
  <c r="C257" i="5"/>
  <c r="A257" i="5"/>
  <c r="AC256" i="5"/>
  <c r="AB256" i="5"/>
  <c r="Z256" i="5"/>
  <c r="Y256" i="5"/>
  <c r="U256" i="5"/>
  <c r="T256" i="5"/>
  <c r="S256" i="5"/>
  <c r="P256" i="5"/>
  <c r="M256" i="5"/>
  <c r="I256" i="5"/>
  <c r="H256" i="5"/>
  <c r="F256" i="5"/>
  <c r="E256" i="5"/>
  <c r="D256" i="5"/>
  <c r="C256" i="5"/>
  <c r="A256" i="5"/>
  <c r="AC255" i="5"/>
  <c r="AB255" i="5"/>
  <c r="Z255" i="5"/>
  <c r="Y255" i="5"/>
  <c r="U255" i="5"/>
  <c r="T255" i="5"/>
  <c r="S255" i="5"/>
  <c r="P255" i="5"/>
  <c r="M255" i="5"/>
  <c r="I255" i="5"/>
  <c r="H255" i="5"/>
  <c r="F255" i="5"/>
  <c r="E255" i="5"/>
  <c r="D255" i="5"/>
  <c r="C255" i="5"/>
  <c r="A255" i="5"/>
  <c r="AC254" i="5"/>
  <c r="AB254" i="5"/>
  <c r="Z254" i="5"/>
  <c r="Y254" i="5"/>
  <c r="U254" i="5"/>
  <c r="T254" i="5"/>
  <c r="S254" i="5"/>
  <c r="P254" i="5"/>
  <c r="M254" i="5"/>
  <c r="I254" i="5"/>
  <c r="H254" i="5"/>
  <c r="F254" i="5"/>
  <c r="E254" i="5"/>
  <c r="D254" i="5"/>
  <c r="C254" i="5"/>
  <c r="A254" i="5"/>
  <c r="AC253" i="5"/>
  <c r="AB253" i="5"/>
  <c r="Z253" i="5"/>
  <c r="Y253" i="5"/>
  <c r="U253" i="5"/>
  <c r="T253" i="5"/>
  <c r="S253" i="5"/>
  <c r="P253" i="5"/>
  <c r="M253" i="5"/>
  <c r="I253" i="5"/>
  <c r="H253" i="5"/>
  <c r="F253" i="5"/>
  <c r="E253" i="5"/>
  <c r="D253" i="5"/>
  <c r="C253" i="5"/>
  <c r="A253" i="5"/>
  <c r="AC252" i="5"/>
  <c r="AB252" i="5"/>
  <c r="Z252" i="5"/>
  <c r="Y252" i="5"/>
  <c r="U252" i="5"/>
  <c r="T252" i="5"/>
  <c r="S252" i="5"/>
  <c r="P252" i="5"/>
  <c r="M252" i="5"/>
  <c r="I252" i="5"/>
  <c r="H252" i="5"/>
  <c r="F252" i="5"/>
  <c r="E252" i="5"/>
  <c r="D252" i="5"/>
  <c r="C252" i="5"/>
  <c r="A252" i="5"/>
  <c r="AC251" i="5"/>
  <c r="AB251" i="5"/>
  <c r="Z251" i="5"/>
  <c r="Y251" i="5"/>
  <c r="U251" i="5"/>
  <c r="T251" i="5"/>
  <c r="S251" i="5"/>
  <c r="P251" i="5"/>
  <c r="M251" i="5"/>
  <c r="I251" i="5"/>
  <c r="H251" i="5"/>
  <c r="F251" i="5"/>
  <c r="E251" i="5"/>
  <c r="D251" i="5"/>
  <c r="C251" i="5"/>
  <c r="A251" i="5"/>
  <c r="AC250" i="5"/>
  <c r="AB250" i="5"/>
  <c r="Z250" i="5"/>
  <c r="Y250" i="5"/>
  <c r="U250" i="5"/>
  <c r="T250" i="5"/>
  <c r="S250" i="5"/>
  <c r="P250" i="5"/>
  <c r="M250" i="5"/>
  <c r="I250" i="5"/>
  <c r="H250" i="5"/>
  <c r="F250" i="5"/>
  <c r="E250" i="5"/>
  <c r="D250" i="5"/>
  <c r="C250" i="5"/>
  <c r="A250" i="5"/>
  <c r="AC249" i="5"/>
  <c r="AB249" i="5"/>
  <c r="Z249" i="5"/>
  <c r="Y249" i="5"/>
  <c r="U249" i="5"/>
  <c r="T249" i="5"/>
  <c r="S249" i="5"/>
  <c r="P249" i="5"/>
  <c r="M249" i="5"/>
  <c r="I249" i="5"/>
  <c r="H249" i="5"/>
  <c r="F249" i="5"/>
  <c r="E249" i="5"/>
  <c r="D249" i="5"/>
  <c r="C249" i="5"/>
  <c r="A249" i="5"/>
  <c r="AC248" i="5"/>
  <c r="AB248" i="5"/>
  <c r="Z248" i="5"/>
  <c r="Y248" i="5"/>
  <c r="U248" i="5"/>
  <c r="T248" i="5"/>
  <c r="S248" i="5"/>
  <c r="P248" i="5"/>
  <c r="M248" i="5"/>
  <c r="I248" i="5"/>
  <c r="H248" i="5"/>
  <c r="F248" i="5"/>
  <c r="E248" i="5"/>
  <c r="D248" i="5"/>
  <c r="C248" i="5"/>
  <c r="A248" i="5"/>
  <c r="AC247" i="5"/>
  <c r="AB247" i="5"/>
  <c r="Z247" i="5"/>
  <c r="Y247" i="5"/>
  <c r="U247" i="5"/>
  <c r="T247" i="5"/>
  <c r="S247" i="5"/>
  <c r="P247" i="5"/>
  <c r="M247" i="5"/>
  <c r="I247" i="5"/>
  <c r="H247" i="5"/>
  <c r="F247" i="5"/>
  <c r="E247" i="5"/>
  <c r="D247" i="5"/>
  <c r="C247" i="5"/>
  <c r="A247" i="5"/>
  <c r="AC246" i="5"/>
  <c r="AB246" i="5"/>
  <c r="Z246" i="5"/>
  <c r="Y246" i="5"/>
  <c r="U246" i="5"/>
  <c r="T246" i="5"/>
  <c r="S246" i="5"/>
  <c r="P246" i="5"/>
  <c r="M246" i="5"/>
  <c r="I246" i="5"/>
  <c r="H246" i="5"/>
  <c r="F246" i="5"/>
  <c r="E246" i="5"/>
  <c r="D246" i="5"/>
  <c r="C246" i="5"/>
  <c r="A246" i="5"/>
  <c r="AC245" i="5"/>
  <c r="AB245" i="5"/>
  <c r="Z245" i="5"/>
  <c r="Y245" i="5"/>
  <c r="U245" i="5"/>
  <c r="T245" i="5"/>
  <c r="S245" i="5"/>
  <c r="P245" i="5"/>
  <c r="M245" i="5"/>
  <c r="I245" i="5"/>
  <c r="H245" i="5"/>
  <c r="F245" i="5"/>
  <c r="E245" i="5"/>
  <c r="D245" i="5"/>
  <c r="C245" i="5"/>
  <c r="A245" i="5"/>
  <c r="AC244" i="5"/>
  <c r="AB244" i="5"/>
  <c r="Z244" i="5"/>
  <c r="Y244" i="5"/>
  <c r="U244" i="5"/>
  <c r="T244" i="5"/>
  <c r="S244" i="5"/>
  <c r="P244" i="5"/>
  <c r="M244" i="5"/>
  <c r="I244" i="5"/>
  <c r="H244" i="5"/>
  <c r="F244" i="5"/>
  <c r="E244" i="5"/>
  <c r="D244" i="5"/>
  <c r="C244" i="5"/>
  <c r="A244" i="5"/>
  <c r="AC243" i="5"/>
  <c r="AB243" i="5"/>
  <c r="Z243" i="5"/>
  <c r="Y243" i="5"/>
  <c r="U243" i="5"/>
  <c r="T243" i="5"/>
  <c r="S243" i="5"/>
  <c r="P243" i="5"/>
  <c r="M243" i="5"/>
  <c r="I243" i="5"/>
  <c r="H243" i="5"/>
  <c r="F243" i="5"/>
  <c r="E243" i="5"/>
  <c r="D243" i="5"/>
  <c r="C243" i="5"/>
  <c r="A243" i="5"/>
  <c r="AC242" i="5"/>
  <c r="AB242" i="5"/>
  <c r="Z242" i="5"/>
  <c r="Y242" i="5"/>
  <c r="U242" i="5"/>
  <c r="T242" i="5"/>
  <c r="S242" i="5"/>
  <c r="P242" i="5"/>
  <c r="M242" i="5"/>
  <c r="I242" i="5"/>
  <c r="H242" i="5"/>
  <c r="F242" i="5"/>
  <c r="E242" i="5"/>
  <c r="D242" i="5"/>
  <c r="C242" i="5"/>
  <c r="A242" i="5"/>
  <c r="AC241" i="5"/>
  <c r="AB241" i="5"/>
  <c r="Z241" i="5"/>
  <c r="Y241" i="5"/>
  <c r="U241" i="5"/>
  <c r="T241" i="5"/>
  <c r="S241" i="5"/>
  <c r="P241" i="5"/>
  <c r="M241" i="5"/>
  <c r="I241" i="5"/>
  <c r="H241" i="5"/>
  <c r="F241" i="5"/>
  <c r="E241" i="5"/>
  <c r="D241" i="5"/>
  <c r="C241" i="5"/>
  <c r="A241" i="5"/>
  <c r="AC240" i="5"/>
  <c r="AB240" i="5"/>
  <c r="Z240" i="5"/>
  <c r="Y240" i="5"/>
  <c r="U240" i="5"/>
  <c r="T240" i="5"/>
  <c r="S240" i="5"/>
  <c r="P240" i="5"/>
  <c r="M240" i="5"/>
  <c r="I240" i="5"/>
  <c r="H240" i="5"/>
  <c r="F240" i="5"/>
  <c r="E240" i="5"/>
  <c r="D240" i="5"/>
  <c r="C240" i="5"/>
  <c r="A240" i="5"/>
  <c r="AC239" i="5"/>
  <c r="AB239" i="5"/>
  <c r="Z239" i="5"/>
  <c r="Y239" i="5"/>
  <c r="U239" i="5"/>
  <c r="T239" i="5"/>
  <c r="S239" i="5"/>
  <c r="P239" i="5"/>
  <c r="M239" i="5"/>
  <c r="I239" i="5"/>
  <c r="H239" i="5"/>
  <c r="F239" i="5"/>
  <c r="E239" i="5"/>
  <c r="D239" i="5"/>
  <c r="C239" i="5"/>
  <c r="A239" i="5"/>
  <c r="AC238" i="5"/>
  <c r="AB238" i="5"/>
  <c r="Z238" i="5"/>
  <c r="Y238" i="5"/>
  <c r="U238" i="5"/>
  <c r="T238" i="5"/>
  <c r="S238" i="5"/>
  <c r="P238" i="5"/>
  <c r="M238" i="5"/>
  <c r="I238" i="5"/>
  <c r="H238" i="5"/>
  <c r="F238" i="5"/>
  <c r="E238" i="5"/>
  <c r="D238" i="5"/>
  <c r="C238" i="5"/>
  <c r="A238" i="5"/>
  <c r="AC237" i="5"/>
  <c r="AB237" i="5"/>
  <c r="Z237" i="5"/>
  <c r="Y237" i="5"/>
  <c r="U237" i="5"/>
  <c r="T237" i="5"/>
  <c r="S237" i="5"/>
  <c r="P237" i="5"/>
  <c r="M237" i="5"/>
  <c r="I237" i="5"/>
  <c r="H237" i="5"/>
  <c r="F237" i="5"/>
  <c r="E237" i="5"/>
  <c r="D237" i="5"/>
  <c r="C237" i="5"/>
  <c r="A237" i="5"/>
  <c r="AC236" i="5"/>
  <c r="AB236" i="5"/>
  <c r="Z236" i="5"/>
  <c r="Y236" i="5"/>
  <c r="U236" i="5"/>
  <c r="T236" i="5"/>
  <c r="S236" i="5"/>
  <c r="P236" i="5"/>
  <c r="M236" i="5"/>
  <c r="I236" i="5"/>
  <c r="H236" i="5"/>
  <c r="F236" i="5"/>
  <c r="E236" i="5"/>
  <c r="D236" i="5"/>
  <c r="C236" i="5"/>
  <c r="A236" i="5"/>
  <c r="AC235" i="5"/>
  <c r="AB235" i="5"/>
  <c r="Z235" i="5"/>
  <c r="Y235" i="5"/>
  <c r="U235" i="5"/>
  <c r="T235" i="5"/>
  <c r="S235" i="5"/>
  <c r="P235" i="5"/>
  <c r="M235" i="5"/>
  <c r="I235" i="5"/>
  <c r="H235" i="5"/>
  <c r="F235" i="5"/>
  <c r="E235" i="5"/>
  <c r="D235" i="5"/>
  <c r="C235" i="5"/>
  <c r="A235" i="5"/>
  <c r="AC234" i="5"/>
  <c r="AB234" i="5"/>
  <c r="Z234" i="5"/>
  <c r="Y234" i="5"/>
  <c r="U234" i="5"/>
  <c r="T234" i="5"/>
  <c r="S234" i="5"/>
  <c r="P234" i="5"/>
  <c r="M234" i="5"/>
  <c r="I234" i="5"/>
  <c r="H234" i="5"/>
  <c r="F234" i="5"/>
  <c r="E234" i="5"/>
  <c r="D234" i="5"/>
  <c r="C234" i="5"/>
  <c r="A234" i="5"/>
  <c r="AC233" i="5"/>
  <c r="AB233" i="5"/>
  <c r="Z233" i="5"/>
  <c r="Y233" i="5"/>
  <c r="U233" i="5"/>
  <c r="T233" i="5"/>
  <c r="S233" i="5"/>
  <c r="P233" i="5"/>
  <c r="M233" i="5"/>
  <c r="I233" i="5"/>
  <c r="H233" i="5"/>
  <c r="F233" i="5"/>
  <c r="E233" i="5"/>
  <c r="D233" i="5"/>
  <c r="C233" i="5"/>
  <c r="A233" i="5"/>
  <c r="AC232" i="5"/>
  <c r="AB232" i="5"/>
  <c r="Z232" i="5"/>
  <c r="Y232" i="5"/>
  <c r="U232" i="5"/>
  <c r="T232" i="5"/>
  <c r="S232" i="5"/>
  <c r="P232" i="5"/>
  <c r="M232" i="5"/>
  <c r="I232" i="5"/>
  <c r="H232" i="5"/>
  <c r="F232" i="5"/>
  <c r="E232" i="5"/>
  <c r="D232" i="5"/>
  <c r="C232" i="5"/>
  <c r="A232" i="5"/>
  <c r="AC231" i="5"/>
  <c r="AB231" i="5"/>
  <c r="Z231" i="5"/>
  <c r="Y231" i="5"/>
  <c r="U231" i="5"/>
  <c r="T231" i="5"/>
  <c r="S231" i="5"/>
  <c r="P231" i="5"/>
  <c r="M231" i="5"/>
  <c r="I231" i="5"/>
  <c r="H231" i="5"/>
  <c r="F231" i="5"/>
  <c r="E231" i="5"/>
  <c r="D231" i="5"/>
  <c r="C231" i="5"/>
  <c r="A231" i="5"/>
  <c r="AC230" i="5"/>
  <c r="AB230" i="5"/>
  <c r="Z230" i="5"/>
  <c r="Y230" i="5"/>
  <c r="U230" i="5"/>
  <c r="T230" i="5"/>
  <c r="S230" i="5"/>
  <c r="P230" i="5"/>
  <c r="M230" i="5"/>
  <c r="I230" i="5"/>
  <c r="H230" i="5"/>
  <c r="F230" i="5"/>
  <c r="E230" i="5"/>
  <c r="D230" i="5"/>
  <c r="C230" i="5"/>
  <c r="A230" i="5"/>
  <c r="AC229" i="5"/>
  <c r="AB229" i="5"/>
  <c r="Z229" i="5"/>
  <c r="Y229" i="5"/>
  <c r="U229" i="5"/>
  <c r="T229" i="5"/>
  <c r="S229" i="5"/>
  <c r="P229" i="5"/>
  <c r="M229" i="5"/>
  <c r="I229" i="5"/>
  <c r="H229" i="5"/>
  <c r="F229" i="5"/>
  <c r="E229" i="5"/>
  <c r="D229" i="5"/>
  <c r="C229" i="5"/>
  <c r="A229" i="5"/>
  <c r="AC228" i="5"/>
  <c r="AB228" i="5"/>
  <c r="Z228" i="5"/>
  <c r="Y228" i="5"/>
  <c r="U228" i="5"/>
  <c r="T228" i="5"/>
  <c r="S228" i="5"/>
  <c r="P228" i="5"/>
  <c r="M228" i="5"/>
  <c r="I228" i="5"/>
  <c r="H228" i="5"/>
  <c r="F228" i="5"/>
  <c r="E228" i="5"/>
  <c r="D228" i="5"/>
  <c r="C228" i="5"/>
  <c r="A228" i="5"/>
  <c r="AC227" i="5"/>
  <c r="AB227" i="5"/>
  <c r="Z227" i="5"/>
  <c r="Y227" i="5"/>
  <c r="U227" i="5"/>
  <c r="T227" i="5"/>
  <c r="S227" i="5"/>
  <c r="P227" i="5"/>
  <c r="M227" i="5"/>
  <c r="I227" i="5"/>
  <c r="H227" i="5"/>
  <c r="F227" i="5"/>
  <c r="E227" i="5"/>
  <c r="D227" i="5"/>
  <c r="C227" i="5"/>
  <c r="A227" i="5"/>
  <c r="AC226" i="5"/>
  <c r="AB226" i="5"/>
  <c r="Z226" i="5"/>
  <c r="Y226" i="5"/>
  <c r="U226" i="5"/>
  <c r="T226" i="5"/>
  <c r="S226" i="5"/>
  <c r="P226" i="5"/>
  <c r="M226" i="5"/>
  <c r="I226" i="5"/>
  <c r="H226" i="5"/>
  <c r="F226" i="5"/>
  <c r="E226" i="5"/>
  <c r="D226" i="5"/>
  <c r="C226" i="5"/>
  <c r="A226" i="5"/>
  <c r="AC225" i="5"/>
  <c r="AB225" i="5"/>
  <c r="Z225" i="5"/>
  <c r="Y225" i="5"/>
  <c r="U225" i="5"/>
  <c r="T225" i="5"/>
  <c r="S225" i="5"/>
  <c r="P225" i="5"/>
  <c r="M225" i="5"/>
  <c r="I225" i="5"/>
  <c r="H225" i="5"/>
  <c r="F225" i="5"/>
  <c r="E225" i="5"/>
  <c r="D225" i="5"/>
  <c r="C225" i="5"/>
  <c r="A225" i="5"/>
  <c r="AC224" i="5"/>
  <c r="AB224" i="5"/>
  <c r="Z224" i="5"/>
  <c r="Y224" i="5"/>
  <c r="U224" i="5"/>
  <c r="T224" i="5"/>
  <c r="S224" i="5"/>
  <c r="P224" i="5"/>
  <c r="M224" i="5"/>
  <c r="I224" i="5"/>
  <c r="H224" i="5"/>
  <c r="F224" i="5"/>
  <c r="E224" i="5"/>
  <c r="D224" i="5"/>
  <c r="C224" i="5"/>
  <c r="A224" i="5"/>
  <c r="AC223" i="5"/>
  <c r="AB223" i="5"/>
  <c r="Z223" i="5"/>
  <c r="Y223" i="5"/>
  <c r="U223" i="5"/>
  <c r="T223" i="5"/>
  <c r="S223" i="5"/>
  <c r="P223" i="5"/>
  <c r="M223" i="5"/>
  <c r="I223" i="5"/>
  <c r="H223" i="5"/>
  <c r="F223" i="5"/>
  <c r="E223" i="5"/>
  <c r="D223" i="5"/>
  <c r="C223" i="5"/>
  <c r="A223" i="5"/>
  <c r="AC222" i="5"/>
  <c r="AB222" i="5"/>
  <c r="Z222" i="5"/>
  <c r="Y222" i="5"/>
  <c r="U222" i="5"/>
  <c r="T222" i="5"/>
  <c r="S222" i="5"/>
  <c r="P222" i="5"/>
  <c r="M222" i="5"/>
  <c r="I222" i="5"/>
  <c r="H222" i="5"/>
  <c r="F222" i="5"/>
  <c r="E222" i="5"/>
  <c r="D222" i="5"/>
  <c r="C222" i="5"/>
  <c r="A222" i="5"/>
  <c r="AC221" i="5"/>
  <c r="AB221" i="5"/>
  <c r="Z221" i="5"/>
  <c r="Y221" i="5"/>
  <c r="U221" i="5"/>
  <c r="T221" i="5"/>
  <c r="S221" i="5"/>
  <c r="P221" i="5"/>
  <c r="M221" i="5"/>
  <c r="I221" i="5"/>
  <c r="H221" i="5"/>
  <c r="F221" i="5"/>
  <c r="E221" i="5"/>
  <c r="D221" i="5"/>
  <c r="C221" i="5"/>
  <c r="A221" i="5"/>
  <c r="AC220" i="5"/>
  <c r="AB220" i="5"/>
  <c r="Z220" i="5"/>
  <c r="Y220" i="5"/>
  <c r="U220" i="5"/>
  <c r="T220" i="5"/>
  <c r="S220" i="5"/>
  <c r="P220" i="5"/>
  <c r="M220" i="5"/>
  <c r="I220" i="5"/>
  <c r="H220" i="5"/>
  <c r="F220" i="5"/>
  <c r="E220" i="5"/>
  <c r="D220" i="5"/>
  <c r="C220" i="5"/>
  <c r="A220" i="5"/>
  <c r="AC219" i="5"/>
  <c r="AB219" i="5"/>
  <c r="Z219" i="5"/>
  <c r="Y219" i="5"/>
  <c r="U219" i="5"/>
  <c r="T219" i="5"/>
  <c r="S219" i="5"/>
  <c r="P219" i="5"/>
  <c r="M219" i="5"/>
  <c r="I219" i="5"/>
  <c r="H219" i="5"/>
  <c r="F219" i="5"/>
  <c r="E219" i="5"/>
  <c r="D219" i="5"/>
  <c r="C219" i="5"/>
  <c r="A219" i="5"/>
  <c r="AC218" i="5"/>
  <c r="AB218" i="5"/>
  <c r="Z218" i="5"/>
  <c r="Y218" i="5"/>
  <c r="U218" i="5"/>
  <c r="T218" i="5"/>
  <c r="S218" i="5"/>
  <c r="P218" i="5"/>
  <c r="M218" i="5"/>
  <c r="I218" i="5"/>
  <c r="H218" i="5"/>
  <c r="F218" i="5"/>
  <c r="E218" i="5"/>
  <c r="D218" i="5"/>
  <c r="C218" i="5"/>
  <c r="A218" i="5"/>
  <c r="AC217" i="5"/>
  <c r="AB217" i="5"/>
  <c r="Z217" i="5"/>
  <c r="Y217" i="5"/>
  <c r="U217" i="5"/>
  <c r="T217" i="5"/>
  <c r="S217" i="5"/>
  <c r="P217" i="5"/>
  <c r="M217" i="5"/>
  <c r="I217" i="5"/>
  <c r="H217" i="5"/>
  <c r="F217" i="5"/>
  <c r="E217" i="5"/>
  <c r="D217" i="5"/>
  <c r="C217" i="5"/>
  <c r="A217" i="5"/>
  <c r="AC216" i="5"/>
  <c r="AB216" i="5"/>
  <c r="Z216" i="5"/>
  <c r="Y216" i="5"/>
  <c r="U216" i="5"/>
  <c r="T216" i="5"/>
  <c r="S216" i="5"/>
  <c r="P216" i="5"/>
  <c r="M216" i="5"/>
  <c r="I216" i="5"/>
  <c r="H216" i="5"/>
  <c r="F216" i="5"/>
  <c r="E216" i="5"/>
  <c r="D216" i="5"/>
  <c r="C216" i="5"/>
  <c r="A216" i="5"/>
  <c r="AC215" i="5"/>
  <c r="AB215" i="5"/>
  <c r="Z215" i="5"/>
  <c r="Y215" i="5"/>
  <c r="U215" i="5"/>
  <c r="T215" i="5"/>
  <c r="S215" i="5"/>
  <c r="P215" i="5"/>
  <c r="M215" i="5"/>
  <c r="I215" i="5"/>
  <c r="H215" i="5"/>
  <c r="F215" i="5"/>
  <c r="E215" i="5"/>
  <c r="D215" i="5"/>
  <c r="C215" i="5"/>
  <c r="A215" i="5"/>
  <c r="AC214" i="5"/>
  <c r="AB214" i="5"/>
  <c r="Z214" i="5"/>
  <c r="Y214" i="5"/>
  <c r="U214" i="5"/>
  <c r="T214" i="5"/>
  <c r="S214" i="5"/>
  <c r="P214" i="5"/>
  <c r="M214" i="5"/>
  <c r="I214" i="5"/>
  <c r="H214" i="5"/>
  <c r="F214" i="5"/>
  <c r="E214" i="5"/>
  <c r="D214" i="5"/>
  <c r="C214" i="5"/>
  <c r="A214" i="5"/>
  <c r="AC213" i="5"/>
  <c r="AB213" i="5"/>
  <c r="Z213" i="5"/>
  <c r="Y213" i="5"/>
  <c r="U213" i="5"/>
  <c r="T213" i="5"/>
  <c r="S213" i="5"/>
  <c r="P213" i="5"/>
  <c r="M213" i="5"/>
  <c r="I213" i="5"/>
  <c r="H213" i="5"/>
  <c r="F213" i="5"/>
  <c r="E213" i="5"/>
  <c r="D213" i="5"/>
  <c r="C213" i="5"/>
  <c r="A213" i="5"/>
  <c r="AC212" i="5"/>
  <c r="AB212" i="5"/>
  <c r="Z212" i="5"/>
  <c r="Y212" i="5"/>
  <c r="U212" i="5"/>
  <c r="T212" i="5"/>
  <c r="S212" i="5"/>
  <c r="P212" i="5"/>
  <c r="M212" i="5"/>
  <c r="I212" i="5"/>
  <c r="H212" i="5"/>
  <c r="F212" i="5"/>
  <c r="E212" i="5"/>
  <c r="D212" i="5"/>
  <c r="C212" i="5"/>
  <c r="A212" i="5"/>
  <c r="AC211" i="5"/>
  <c r="AB211" i="5"/>
  <c r="Z211" i="5"/>
  <c r="Y211" i="5"/>
  <c r="U211" i="5"/>
  <c r="T211" i="5"/>
  <c r="S211" i="5"/>
  <c r="P211" i="5"/>
  <c r="M211" i="5"/>
  <c r="I211" i="5"/>
  <c r="H211" i="5"/>
  <c r="F211" i="5"/>
  <c r="E211" i="5"/>
  <c r="D211" i="5"/>
  <c r="C211" i="5"/>
  <c r="A211" i="5"/>
  <c r="AC210" i="5"/>
  <c r="AB210" i="5"/>
  <c r="Z210" i="5"/>
  <c r="Y210" i="5"/>
  <c r="U210" i="5"/>
  <c r="T210" i="5"/>
  <c r="S210" i="5"/>
  <c r="P210" i="5"/>
  <c r="M210" i="5"/>
  <c r="I210" i="5"/>
  <c r="H210" i="5"/>
  <c r="F210" i="5"/>
  <c r="E210" i="5"/>
  <c r="D210" i="5"/>
  <c r="C210" i="5"/>
  <c r="A210" i="5"/>
  <c r="AC209" i="5"/>
  <c r="AB209" i="5"/>
  <c r="Z209" i="5"/>
  <c r="Y209" i="5"/>
  <c r="U209" i="5"/>
  <c r="T209" i="5"/>
  <c r="S209" i="5"/>
  <c r="P209" i="5"/>
  <c r="M209" i="5"/>
  <c r="I209" i="5"/>
  <c r="H209" i="5"/>
  <c r="F209" i="5"/>
  <c r="E209" i="5"/>
  <c r="D209" i="5"/>
  <c r="C209" i="5"/>
  <c r="A209" i="5"/>
  <c r="AC208" i="5"/>
  <c r="AB208" i="5"/>
  <c r="Z208" i="5"/>
  <c r="Y208" i="5"/>
  <c r="U208" i="5"/>
  <c r="T208" i="5"/>
  <c r="S208" i="5"/>
  <c r="P208" i="5"/>
  <c r="M208" i="5"/>
  <c r="I208" i="5"/>
  <c r="H208" i="5"/>
  <c r="F208" i="5"/>
  <c r="E208" i="5"/>
  <c r="D208" i="5"/>
  <c r="C208" i="5"/>
  <c r="A208" i="5"/>
  <c r="AC207" i="5"/>
  <c r="AB207" i="5"/>
  <c r="Z207" i="5"/>
  <c r="Y207" i="5"/>
  <c r="U207" i="5"/>
  <c r="T207" i="5"/>
  <c r="S207" i="5"/>
  <c r="P207" i="5"/>
  <c r="M207" i="5"/>
  <c r="I207" i="5"/>
  <c r="H207" i="5"/>
  <c r="F207" i="5"/>
  <c r="E207" i="5"/>
  <c r="D207" i="5"/>
  <c r="C207" i="5"/>
  <c r="A207" i="5"/>
  <c r="AC206" i="5"/>
  <c r="AB206" i="5"/>
  <c r="Z206" i="5"/>
  <c r="Y206" i="5"/>
  <c r="U206" i="5"/>
  <c r="T206" i="5"/>
  <c r="S206" i="5"/>
  <c r="P206" i="5"/>
  <c r="M206" i="5"/>
  <c r="I206" i="5"/>
  <c r="H206" i="5"/>
  <c r="F206" i="5"/>
  <c r="E206" i="5"/>
  <c r="D206" i="5"/>
  <c r="C206" i="5"/>
  <c r="A206" i="5"/>
  <c r="AC205" i="5"/>
  <c r="AB205" i="5"/>
  <c r="Z205" i="5"/>
  <c r="Y205" i="5"/>
  <c r="U205" i="5"/>
  <c r="T205" i="5"/>
  <c r="S205" i="5"/>
  <c r="P205" i="5"/>
  <c r="M205" i="5"/>
  <c r="I205" i="5"/>
  <c r="H205" i="5"/>
  <c r="F205" i="5"/>
  <c r="E205" i="5"/>
  <c r="D205" i="5"/>
  <c r="C205" i="5"/>
  <c r="A205" i="5"/>
  <c r="AC204" i="5"/>
  <c r="AB204" i="5"/>
  <c r="Z204" i="5"/>
  <c r="Y204" i="5"/>
  <c r="U204" i="5"/>
  <c r="T204" i="5"/>
  <c r="S204" i="5"/>
  <c r="P204" i="5"/>
  <c r="M204" i="5"/>
  <c r="I204" i="5"/>
  <c r="H204" i="5"/>
  <c r="F204" i="5"/>
  <c r="E204" i="5"/>
  <c r="D204" i="5"/>
  <c r="C204" i="5"/>
  <c r="A204" i="5"/>
  <c r="AC203" i="5"/>
  <c r="AB203" i="5"/>
  <c r="Z203" i="5"/>
  <c r="Y203" i="5"/>
  <c r="U203" i="5"/>
  <c r="T203" i="5"/>
  <c r="S203" i="5"/>
  <c r="P203" i="5"/>
  <c r="M203" i="5"/>
  <c r="I203" i="5"/>
  <c r="H203" i="5"/>
  <c r="F203" i="5"/>
  <c r="E203" i="5"/>
  <c r="D203" i="5"/>
  <c r="C203" i="5"/>
  <c r="A203" i="5"/>
  <c r="AC202" i="5"/>
  <c r="AB202" i="5"/>
  <c r="Z202" i="5"/>
  <c r="Y202" i="5"/>
  <c r="U202" i="5"/>
  <c r="T202" i="5"/>
  <c r="S202" i="5"/>
  <c r="P202" i="5"/>
  <c r="M202" i="5"/>
  <c r="I202" i="5"/>
  <c r="H202" i="5"/>
  <c r="F202" i="5"/>
  <c r="E202" i="5"/>
  <c r="D202" i="5"/>
  <c r="C202" i="5"/>
  <c r="A202" i="5"/>
  <c r="AC201" i="5"/>
  <c r="AB201" i="5"/>
  <c r="Z201" i="5"/>
  <c r="Y201" i="5"/>
  <c r="U201" i="5"/>
  <c r="T201" i="5"/>
  <c r="S201" i="5"/>
  <c r="P201" i="5"/>
  <c r="M201" i="5"/>
  <c r="I201" i="5"/>
  <c r="H201" i="5"/>
  <c r="F201" i="5"/>
  <c r="E201" i="5"/>
  <c r="D201" i="5"/>
  <c r="C201" i="5"/>
  <c r="A201" i="5"/>
  <c r="AC200" i="5"/>
  <c r="AB200" i="5"/>
  <c r="Z200" i="5"/>
  <c r="Y200" i="5"/>
  <c r="U200" i="5"/>
  <c r="T200" i="5"/>
  <c r="S200" i="5"/>
  <c r="P200" i="5"/>
  <c r="M200" i="5"/>
  <c r="I200" i="5"/>
  <c r="H200" i="5"/>
  <c r="F200" i="5"/>
  <c r="E200" i="5"/>
  <c r="D200" i="5"/>
  <c r="C200" i="5"/>
  <c r="A200" i="5"/>
  <c r="AC199" i="5"/>
  <c r="AB199" i="5"/>
  <c r="Z199" i="5"/>
  <c r="Y199" i="5"/>
  <c r="U199" i="5"/>
  <c r="T199" i="5"/>
  <c r="S199" i="5"/>
  <c r="P199" i="5"/>
  <c r="M199" i="5"/>
  <c r="I199" i="5"/>
  <c r="H199" i="5"/>
  <c r="F199" i="5"/>
  <c r="E199" i="5"/>
  <c r="D199" i="5"/>
  <c r="C199" i="5"/>
  <c r="A199" i="5"/>
  <c r="AC198" i="5"/>
  <c r="AB198" i="5"/>
  <c r="Z198" i="5"/>
  <c r="Y198" i="5"/>
  <c r="U198" i="5"/>
  <c r="T198" i="5"/>
  <c r="S198" i="5"/>
  <c r="P198" i="5"/>
  <c r="M198" i="5"/>
  <c r="I198" i="5"/>
  <c r="H198" i="5"/>
  <c r="F198" i="5"/>
  <c r="E198" i="5"/>
  <c r="D198" i="5"/>
  <c r="C198" i="5"/>
  <c r="A198" i="5"/>
  <c r="AC197" i="5"/>
  <c r="AB197" i="5"/>
  <c r="Z197" i="5"/>
  <c r="Y197" i="5"/>
  <c r="U197" i="5"/>
  <c r="T197" i="5"/>
  <c r="S197" i="5"/>
  <c r="P197" i="5"/>
  <c r="M197" i="5"/>
  <c r="I197" i="5"/>
  <c r="H197" i="5"/>
  <c r="F197" i="5"/>
  <c r="E197" i="5"/>
  <c r="D197" i="5"/>
  <c r="C197" i="5"/>
  <c r="A197" i="5"/>
  <c r="AC196" i="5"/>
  <c r="AB196" i="5"/>
  <c r="Z196" i="5"/>
  <c r="Y196" i="5"/>
  <c r="U196" i="5"/>
  <c r="T196" i="5"/>
  <c r="S196" i="5"/>
  <c r="P196" i="5"/>
  <c r="M196" i="5"/>
  <c r="I196" i="5"/>
  <c r="H196" i="5"/>
  <c r="F196" i="5"/>
  <c r="E196" i="5"/>
  <c r="D196" i="5"/>
  <c r="C196" i="5"/>
  <c r="A196" i="5"/>
  <c r="AC195" i="5"/>
  <c r="AB195" i="5"/>
  <c r="Z195" i="5"/>
  <c r="Y195" i="5"/>
  <c r="U195" i="5"/>
  <c r="T195" i="5"/>
  <c r="S195" i="5"/>
  <c r="P195" i="5"/>
  <c r="M195" i="5"/>
  <c r="I195" i="5"/>
  <c r="H195" i="5"/>
  <c r="F195" i="5"/>
  <c r="E195" i="5"/>
  <c r="D195" i="5"/>
  <c r="C195" i="5"/>
  <c r="A195" i="5"/>
  <c r="AC194" i="5"/>
  <c r="AB194" i="5"/>
  <c r="Z194" i="5"/>
  <c r="Y194" i="5"/>
  <c r="U194" i="5"/>
  <c r="T194" i="5"/>
  <c r="S194" i="5"/>
  <c r="P194" i="5"/>
  <c r="M194" i="5"/>
  <c r="I194" i="5"/>
  <c r="H194" i="5"/>
  <c r="F194" i="5"/>
  <c r="E194" i="5"/>
  <c r="D194" i="5"/>
  <c r="C194" i="5"/>
  <c r="A194" i="5"/>
  <c r="AC193" i="5"/>
  <c r="AB193" i="5"/>
  <c r="Z193" i="5"/>
  <c r="Y193" i="5"/>
  <c r="U193" i="5"/>
  <c r="T193" i="5"/>
  <c r="S193" i="5"/>
  <c r="P193" i="5"/>
  <c r="M193" i="5"/>
  <c r="I193" i="5"/>
  <c r="H193" i="5"/>
  <c r="F193" i="5"/>
  <c r="E193" i="5"/>
  <c r="D193" i="5"/>
  <c r="C193" i="5"/>
  <c r="A193" i="5"/>
  <c r="AC192" i="5"/>
  <c r="AB192" i="5"/>
  <c r="Z192" i="5"/>
  <c r="Y192" i="5"/>
  <c r="U192" i="5"/>
  <c r="T192" i="5"/>
  <c r="S192" i="5"/>
  <c r="P192" i="5"/>
  <c r="M192" i="5"/>
  <c r="I192" i="5"/>
  <c r="H192" i="5"/>
  <c r="F192" i="5"/>
  <c r="E192" i="5"/>
  <c r="D192" i="5"/>
  <c r="C192" i="5"/>
  <c r="A192" i="5"/>
  <c r="AC191" i="5"/>
  <c r="AB191" i="5"/>
  <c r="Z191" i="5"/>
  <c r="Y191" i="5"/>
  <c r="U191" i="5"/>
  <c r="T191" i="5"/>
  <c r="S191" i="5"/>
  <c r="P191" i="5"/>
  <c r="M191" i="5"/>
  <c r="I191" i="5"/>
  <c r="H191" i="5"/>
  <c r="F191" i="5"/>
  <c r="E191" i="5"/>
  <c r="D191" i="5"/>
  <c r="C191" i="5"/>
  <c r="A191" i="5"/>
  <c r="AC190" i="5"/>
  <c r="AB190" i="5"/>
  <c r="Z190" i="5"/>
  <c r="Y190" i="5"/>
  <c r="U190" i="5"/>
  <c r="T190" i="5"/>
  <c r="S190" i="5"/>
  <c r="P190" i="5"/>
  <c r="M190" i="5"/>
  <c r="I190" i="5"/>
  <c r="H190" i="5"/>
  <c r="F190" i="5"/>
  <c r="E190" i="5"/>
  <c r="D190" i="5"/>
  <c r="C190" i="5"/>
  <c r="A190" i="5"/>
  <c r="AC189" i="5"/>
  <c r="AB189" i="5"/>
  <c r="Z189" i="5"/>
  <c r="Y189" i="5"/>
  <c r="U189" i="5"/>
  <c r="T189" i="5"/>
  <c r="S189" i="5"/>
  <c r="P189" i="5"/>
  <c r="M189" i="5"/>
  <c r="I189" i="5"/>
  <c r="H189" i="5"/>
  <c r="F189" i="5"/>
  <c r="E189" i="5"/>
  <c r="D189" i="5"/>
  <c r="C189" i="5"/>
  <c r="A189" i="5"/>
  <c r="AC188" i="5"/>
  <c r="AB188" i="5"/>
  <c r="Z188" i="5"/>
  <c r="Y188" i="5"/>
  <c r="U188" i="5"/>
  <c r="T188" i="5"/>
  <c r="S188" i="5"/>
  <c r="P188" i="5"/>
  <c r="M188" i="5"/>
  <c r="I188" i="5"/>
  <c r="H188" i="5"/>
  <c r="F188" i="5"/>
  <c r="E188" i="5"/>
  <c r="D188" i="5"/>
  <c r="C188" i="5"/>
  <c r="A188" i="5"/>
  <c r="AC187" i="5"/>
  <c r="AB187" i="5"/>
  <c r="Z187" i="5"/>
  <c r="Y187" i="5"/>
  <c r="U187" i="5"/>
  <c r="T187" i="5"/>
  <c r="S187" i="5"/>
  <c r="P187" i="5"/>
  <c r="M187" i="5"/>
  <c r="I187" i="5"/>
  <c r="H187" i="5"/>
  <c r="F187" i="5"/>
  <c r="E187" i="5"/>
  <c r="D187" i="5"/>
  <c r="C187" i="5"/>
  <c r="A187" i="5"/>
  <c r="AC186" i="5"/>
  <c r="AB186" i="5"/>
  <c r="Z186" i="5"/>
  <c r="Y186" i="5"/>
  <c r="U186" i="5"/>
  <c r="T186" i="5"/>
  <c r="S186" i="5"/>
  <c r="P186" i="5"/>
  <c r="M186" i="5"/>
  <c r="I186" i="5"/>
  <c r="H186" i="5"/>
  <c r="F186" i="5"/>
  <c r="E186" i="5"/>
  <c r="D186" i="5"/>
  <c r="C186" i="5"/>
  <c r="A186" i="5"/>
  <c r="AC185" i="5"/>
  <c r="AB185" i="5"/>
  <c r="Z185" i="5"/>
  <c r="Y185" i="5"/>
  <c r="U185" i="5"/>
  <c r="T185" i="5"/>
  <c r="S185" i="5"/>
  <c r="P185" i="5"/>
  <c r="M185" i="5"/>
  <c r="I185" i="5"/>
  <c r="H185" i="5"/>
  <c r="F185" i="5"/>
  <c r="E185" i="5"/>
  <c r="D185" i="5"/>
  <c r="C185" i="5"/>
  <c r="A185" i="5"/>
  <c r="AC184" i="5"/>
  <c r="AB184" i="5"/>
  <c r="Z184" i="5"/>
  <c r="Y184" i="5"/>
  <c r="U184" i="5"/>
  <c r="T184" i="5"/>
  <c r="S184" i="5"/>
  <c r="P184" i="5"/>
  <c r="M184" i="5"/>
  <c r="I184" i="5"/>
  <c r="H184" i="5"/>
  <c r="F184" i="5"/>
  <c r="E184" i="5"/>
  <c r="D184" i="5"/>
  <c r="C184" i="5"/>
  <c r="A184" i="5"/>
  <c r="AC183" i="5"/>
  <c r="AB183" i="5"/>
  <c r="Z183" i="5"/>
  <c r="Y183" i="5"/>
  <c r="U183" i="5"/>
  <c r="T183" i="5"/>
  <c r="S183" i="5"/>
  <c r="P183" i="5"/>
  <c r="M183" i="5"/>
  <c r="I183" i="5"/>
  <c r="H183" i="5"/>
  <c r="F183" i="5"/>
  <c r="E183" i="5"/>
  <c r="D183" i="5"/>
  <c r="C183" i="5"/>
  <c r="A183" i="5"/>
  <c r="AC182" i="5"/>
  <c r="AB182" i="5"/>
  <c r="Z182" i="5"/>
  <c r="Y182" i="5"/>
  <c r="U182" i="5"/>
  <c r="T182" i="5"/>
  <c r="S182" i="5"/>
  <c r="P182" i="5"/>
  <c r="M182" i="5"/>
  <c r="I182" i="5"/>
  <c r="H182" i="5"/>
  <c r="F182" i="5"/>
  <c r="E182" i="5"/>
  <c r="D182" i="5"/>
  <c r="C182" i="5"/>
  <c r="A182" i="5"/>
  <c r="AC181" i="5"/>
  <c r="AB181" i="5"/>
  <c r="Z181" i="5"/>
  <c r="Y181" i="5"/>
  <c r="U181" i="5"/>
  <c r="T181" i="5"/>
  <c r="S181" i="5"/>
  <c r="P181" i="5"/>
  <c r="M181" i="5"/>
  <c r="I181" i="5"/>
  <c r="H181" i="5"/>
  <c r="F181" i="5"/>
  <c r="E181" i="5"/>
  <c r="D181" i="5"/>
  <c r="C181" i="5"/>
  <c r="A181" i="5"/>
  <c r="AC180" i="5"/>
  <c r="AB180" i="5"/>
  <c r="Z180" i="5"/>
  <c r="Y180" i="5"/>
  <c r="U180" i="5"/>
  <c r="T180" i="5"/>
  <c r="S180" i="5"/>
  <c r="P180" i="5"/>
  <c r="M180" i="5"/>
  <c r="I180" i="5"/>
  <c r="H180" i="5"/>
  <c r="F180" i="5"/>
  <c r="E180" i="5"/>
  <c r="D180" i="5"/>
  <c r="C180" i="5"/>
  <c r="A180" i="5"/>
  <c r="AC179" i="5"/>
  <c r="AB179" i="5"/>
  <c r="Z179" i="5"/>
  <c r="Y179" i="5"/>
  <c r="U179" i="5"/>
  <c r="T179" i="5"/>
  <c r="S179" i="5"/>
  <c r="P179" i="5"/>
  <c r="M179" i="5"/>
  <c r="I179" i="5"/>
  <c r="H179" i="5"/>
  <c r="F179" i="5"/>
  <c r="E179" i="5"/>
  <c r="D179" i="5"/>
  <c r="C179" i="5"/>
  <c r="A179" i="5"/>
  <c r="AC178" i="5"/>
  <c r="AB178" i="5"/>
  <c r="Z178" i="5"/>
  <c r="Y178" i="5"/>
  <c r="U178" i="5"/>
  <c r="T178" i="5"/>
  <c r="S178" i="5"/>
  <c r="P178" i="5"/>
  <c r="M178" i="5"/>
  <c r="I178" i="5"/>
  <c r="H178" i="5"/>
  <c r="F178" i="5"/>
  <c r="E178" i="5"/>
  <c r="D178" i="5"/>
  <c r="C178" i="5"/>
  <c r="A178" i="5"/>
  <c r="AC177" i="5"/>
  <c r="AB177" i="5"/>
  <c r="Z177" i="5"/>
  <c r="Y177" i="5"/>
  <c r="U177" i="5"/>
  <c r="T177" i="5"/>
  <c r="S177" i="5"/>
  <c r="P177" i="5"/>
  <c r="M177" i="5"/>
  <c r="I177" i="5"/>
  <c r="H177" i="5"/>
  <c r="F177" i="5"/>
  <c r="E177" i="5"/>
  <c r="D177" i="5"/>
  <c r="C177" i="5"/>
  <c r="A177" i="5"/>
  <c r="AC176" i="5"/>
  <c r="AB176" i="5"/>
  <c r="Z176" i="5"/>
  <c r="Y176" i="5"/>
  <c r="U176" i="5"/>
  <c r="T176" i="5"/>
  <c r="S176" i="5"/>
  <c r="P176" i="5"/>
  <c r="M176" i="5"/>
  <c r="I176" i="5"/>
  <c r="H176" i="5"/>
  <c r="F176" i="5"/>
  <c r="E176" i="5"/>
  <c r="D176" i="5"/>
  <c r="C176" i="5"/>
  <c r="A176" i="5"/>
  <c r="AC175" i="5"/>
  <c r="AB175" i="5"/>
  <c r="Z175" i="5"/>
  <c r="Y175" i="5"/>
  <c r="U175" i="5"/>
  <c r="T175" i="5"/>
  <c r="S175" i="5"/>
  <c r="P175" i="5"/>
  <c r="M175" i="5"/>
  <c r="I175" i="5"/>
  <c r="H175" i="5"/>
  <c r="F175" i="5"/>
  <c r="E175" i="5"/>
  <c r="D175" i="5"/>
  <c r="C175" i="5"/>
  <c r="A175" i="5"/>
  <c r="AC174" i="5"/>
  <c r="AB174" i="5"/>
  <c r="Z174" i="5"/>
  <c r="Y174" i="5"/>
  <c r="U174" i="5"/>
  <c r="T174" i="5"/>
  <c r="S174" i="5"/>
  <c r="P174" i="5"/>
  <c r="M174" i="5"/>
  <c r="I174" i="5"/>
  <c r="H174" i="5"/>
  <c r="F174" i="5"/>
  <c r="E174" i="5"/>
  <c r="D174" i="5"/>
  <c r="C174" i="5"/>
  <c r="A174" i="5"/>
  <c r="AC173" i="5"/>
  <c r="AB173" i="5"/>
  <c r="Z173" i="5"/>
  <c r="Y173" i="5"/>
  <c r="U173" i="5"/>
  <c r="T173" i="5"/>
  <c r="S173" i="5"/>
  <c r="P173" i="5"/>
  <c r="M173" i="5"/>
  <c r="I173" i="5"/>
  <c r="H173" i="5"/>
  <c r="F173" i="5"/>
  <c r="E173" i="5"/>
  <c r="D173" i="5"/>
  <c r="C173" i="5"/>
  <c r="A173" i="5"/>
  <c r="AC172" i="5"/>
  <c r="AB172" i="5"/>
  <c r="Z172" i="5"/>
  <c r="Y172" i="5"/>
  <c r="U172" i="5"/>
  <c r="T172" i="5"/>
  <c r="S172" i="5"/>
  <c r="P172" i="5"/>
  <c r="M172" i="5"/>
  <c r="I172" i="5"/>
  <c r="H172" i="5"/>
  <c r="F172" i="5"/>
  <c r="E172" i="5"/>
  <c r="D172" i="5"/>
  <c r="C172" i="5"/>
  <c r="A172" i="5"/>
  <c r="AC171" i="5"/>
  <c r="AB171" i="5"/>
  <c r="Z171" i="5"/>
  <c r="Y171" i="5"/>
  <c r="U171" i="5"/>
  <c r="T171" i="5"/>
  <c r="S171" i="5"/>
  <c r="P171" i="5"/>
  <c r="M171" i="5"/>
  <c r="I171" i="5"/>
  <c r="H171" i="5"/>
  <c r="F171" i="5"/>
  <c r="E171" i="5"/>
  <c r="D171" i="5"/>
  <c r="C171" i="5"/>
  <c r="A171" i="5"/>
  <c r="AC170" i="5"/>
  <c r="AB170" i="5"/>
  <c r="Z170" i="5"/>
  <c r="Y170" i="5"/>
  <c r="U170" i="5"/>
  <c r="T170" i="5"/>
  <c r="S170" i="5"/>
  <c r="P170" i="5"/>
  <c r="M170" i="5"/>
  <c r="I170" i="5"/>
  <c r="H170" i="5"/>
  <c r="F170" i="5"/>
  <c r="E170" i="5"/>
  <c r="D170" i="5"/>
  <c r="C170" i="5"/>
  <c r="A170" i="5"/>
  <c r="AC169" i="5"/>
  <c r="AB169" i="5"/>
  <c r="Z169" i="5"/>
  <c r="Y169" i="5"/>
  <c r="U169" i="5"/>
  <c r="T169" i="5"/>
  <c r="S169" i="5"/>
  <c r="P169" i="5"/>
  <c r="M169" i="5"/>
  <c r="I169" i="5"/>
  <c r="H169" i="5"/>
  <c r="F169" i="5"/>
  <c r="E169" i="5"/>
  <c r="D169" i="5"/>
  <c r="C169" i="5"/>
  <c r="A169" i="5"/>
  <c r="AC168" i="5"/>
  <c r="AB168" i="5"/>
  <c r="Z168" i="5"/>
  <c r="Y168" i="5"/>
  <c r="U168" i="5"/>
  <c r="T168" i="5"/>
  <c r="S168" i="5"/>
  <c r="P168" i="5"/>
  <c r="M168" i="5"/>
  <c r="I168" i="5"/>
  <c r="H168" i="5"/>
  <c r="F168" i="5"/>
  <c r="E168" i="5"/>
  <c r="D168" i="5"/>
  <c r="C168" i="5"/>
  <c r="A168" i="5"/>
  <c r="AC167" i="5"/>
  <c r="AB167" i="5"/>
  <c r="Z167" i="5"/>
  <c r="Y167" i="5"/>
  <c r="U167" i="5"/>
  <c r="T167" i="5"/>
  <c r="S167" i="5"/>
  <c r="P167" i="5"/>
  <c r="M167" i="5"/>
  <c r="I167" i="5"/>
  <c r="H167" i="5"/>
  <c r="F167" i="5"/>
  <c r="E167" i="5"/>
  <c r="D167" i="5"/>
  <c r="C167" i="5"/>
  <c r="A167" i="5"/>
  <c r="AC166" i="5"/>
  <c r="AB166" i="5"/>
  <c r="Z166" i="5"/>
  <c r="Y166" i="5"/>
  <c r="U166" i="5"/>
  <c r="T166" i="5"/>
  <c r="S166" i="5"/>
  <c r="P166" i="5"/>
  <c r="M166" i="5"/>
  <c r="I166" i="5"/>
  <c r="H166" i="5"/>
  <c r="F166" i="5"/>
  <c r="E166" i="5"/>
  <c r="D166" i="5"/>
  <c r="C166" i="5"/>
  <c r="A166" i="5"/>
  <c r="AC165" i="5"/>
  <c r="AB165" i="5"/>
  <c r="Z165" i="5"/>
  <c r="Y165" i="5"/>
  <c r="U165" i="5"/>
  <c r="T165" i="5"/>
  <c r="S165" i="5"/>
  <c r="P165" i="5"/>
  <c r="M165" i="5"/>
  <c r="I165" i="5"/>
  <c r="H165" i="5"/>
  <c r="F165" i="5"/>
  <c r="E165" i="5"/>
  <c r="D165" i="5"/>
  <c r="C165" i="5"/>
  <c r="A165" i="5"/>
  <c r="AC164" i="5"/>
  <c r="AB164" i="5"/>
  <c r="Z164" i="5"/>
  <c r="Y164" i="5"/>
  <c r="U164" i="5"/>
  <c r="T164" i="5"/>
  <c r="S164" i="5"/>
  <c r="P164" i="5"/>
  <c r="M164" i="5"/>
  <c r="I164" i="5"/>
  <c r="H164" i="5"/>
  <c r="F164" i="5"/>
  <c r="E164" i="5"/>
  <c r="D164" i="5"/>
  <c r="C164" i="5"/>
  <c r="A164" i="5"/>
  <c r="AC163" i="5"/>
  <c r="AB163" i="5"/>
  <c r="Z163" i="5"/>
  <c r="Y163" i="5"/>
  <c r="U163" i="5"/>
  <c r="T163" i="5"/>
  <c r="S163" i="5"/>
  <c r="P163" i="5"/>
  <c r="M163" i="5"/>
  <c r="I163" i="5"/>
  <c r="H163" i="5"/>
  <c r="F163" i="5"/>
  <c r="E163" i="5"/>
  <c r="D163" i="5"/>
  <c r="C163" i="5"/>
  <c r="A163" i="5"/>
  <c r="AC162" i="5"/>
  <c r="AB162" i="5"/>
  <c r="Z162" i="5"/>
  <c r="Y162" i="5"/>
  <c r="U162" i="5"/>
  <c r="T162" i="5"/>
  <c r="S162" i="5"/>
  <c r="P162" i="5"/>
  <c r="M162" i="5"/>
  <c r="I162" i="5"/>
  <c r="H162" i="5"/>
  <c r="F162" i="5"/>
  <c r="E162" i="5"/>
  <c r="D162" i="5"/>
  <c r="C162" i="5"/>
  <c r="A162" i="5"/>
  <c r="AC161" i="5"/>
  <c r="AB161" i="5"/>
  <c r="Z161" i="5"/>
  <c r="Y161" i="5"/>
  <c r="U161" i="5"/>
  <c r="T161" i="5"/>
  <c r="S161" i="5"/>
  <c r="P161" i="5"/>
  <c r="M161" i="5"/>
  <c r="I161" i="5"/>
  <c r="H161" i="5"/>
  <c r="F161" i="5"/>
  <c r="E161" i="5"/>
  <c r="D161" i="5"/>
  <c r="C161" i="5"/>
  <c r="A161" i="5"/>
  <c r="AC160" i="5"/>
  <c r="AB160" i="5"/>
  <c r="Z160" i="5"/>
  <c r="Y160" i="5"/>
  <c r="U160" i="5"/>
  <c r="T160" i="5"/>
  <c r="S160" i="5"/>
  <c r="P160" i="5"/>
  <c r="M160" i="5"/>
  <c r="I160" i="5"/>
  <c r="H160" i="5"/>
  <c r="F160" i="5"/>
  <c r="E160" i="5"/>
  <c r="D160" i="5"/>
  <c r="C160" i="5"/>
  <c r="A160" i="5"/>
  <c r="AC159" i="5"/>
  <c r="AB159" i="5"/>
  <c r="Z159" i="5"/>
  <c r="Y159" i="5"/>
  <c r="U159" i="5"/>
  <c r="T159" i="5"/>
  <c r="S159" i="5"/>
  <c r="P159" i="5"/>
  <c r="M159" i="5"/>
  <c r="I159" i="5"/>
  <c r="H159" i="5"/>
  <c r="F159" i="5"/>
  <c r="E159" i="5"/>
  <c r="D159" i="5"/>
  <c r="C159" i="5"/>
  <c r="A159" i="5"/>
  <c r="AC158" i="5"/>
  <c r="AB158" i="5"/>
  <c r="Z158" i="5"/>
  <c r="Y158" i="5"/>
  <c r="U158" i="5"/>
  <c r="T158" i="5"/>
  <c r="S158" i="5"/>
  <c r="P158" i="5"/>
  <c r="M158" i="5"/>
  <c r="I158" i="5"/>
  <c r="H158" i="5"/>
  <c r="F158" i="5"/>
  <c r="E158" i="5"/>
  <c r="D158" i="5"/>
  <c r="C158" i="5"/>
  <c r="A158" i="5"/>
  <c r="AC157" i="5"/>
  <c r="AB157" i="5"/>
  <c r="Z157" i="5"/>
  <c r="Y157" i="5"/>
  <c r="U157" i="5"/>
  <c r="T157" i="5"/>
  <c r="S157" i="5"/>
  <c r="P157" i="5"/>
  <c r="M157" i="5"/>
  <c r="I157" i="5"/>
  <c r="H157" i="5"/>
  <c r="F157" i="5"/>
  <c r="E157" i="5"/>
  <c r="D157" i="5"/>
  <c r="C157" i="5"/>
  <c r="A157" i="5"/>
  <c r="AC156" i="5"/>
  <c r="AB156" i="5"/>
  <c r="Z156" i="5"/>
  <c r="Y156" i="5"/>
  <c r="U156" i="5"/>
  <c r="T156" i="5"/>
  <c r="S156" i="5"/>
  <c r="P156" i="5"/>
  <c r="M156" i="5"/>
  <c r="I156" i="5"/>
  <c r="H156" i="5"/>
  <c r="F156" i="5"/>
  <c r="E156" i="5"/>
  <c r="D156" i="5"/>
  <c r="C156" i="5"/>
  <c r="A156" i="5"/>
  <c r="AC155" i="5"/>
  <c r="AB155" i="5"/>
  <c r="Z155" i="5"/>
  <c r="Y155" i="5"/>
  <c r="U155" i="5"/>
  <c r="T155" i="5"/>
  <c r="S155" i="5"/>
  <c r="P155" i="5"/>
  <c r="M155" i="5"/>
  <c r="I155" i="5"/>
  <c r="H155" i="5"/>
  <c r="F155" i="5"/>
  <c r="E155" i="5"/>
  <c r="D155" i="5"/>
  <c r="C155" i="5"/>
  <c r="A155" i="5"/>
  <c r="AC154" i="5"/>
  <c r="AB154" i="5"/>
  <c r="Z154" i="5"/>
  <c r="Y154" i="5"/>
  <c r="U154" i="5"/>
  <c r="T154" i="5"/>
  <c r="S154" i="5"/>
  <c r="P154" i="5"/>
  <c r="M154" i="5"/>
  <c r="I154" i="5"/>
  <c r="H154" i="5"/>
  <c r="F154" i="5"/>
  <c r="E154" i="5"/>
  <c r="D154" i="5"/>
  <c r="C154" i="5"/>
  <c r="A154" i="5"/>
  <c r="AC153" i="5"/>
  <c r="AB153" i="5"/>
  <c r="Z153" i="5"/>
  <c r="Y153" i="5"/>
  <c r="U153" i="5"/>
  <c r="T153" i="5"/>
  <c r="S153" i="5"/>
  <c r="P153" i="5"/>
  <c r="M153" i="5"/>
  <c r="I153" i="5"/>
  <c r="H153" i="5"/>
  <c r="F153" i="5"/>
  <c r="E153" i="5"/>
  <c r="D153" i="5"/>
  <c r="C153" i="5"/>
  <c r="A153" i="5"/>
  <c r="AC152" i="5"/>
  <c r="AB152" i="5"/>
  <c r="Z152" i="5"/>
  <c r="Y152" i="5"/>
  <c r="U152" i="5"/>
  <c r="T152" i="5"/>
  <c r="S152" i="5"/>
  <c r="P152" i="5"/>
  <c r="M152" i="5"/>
  <c r="I152" i="5"/>
  <c r="H152" i="5"/>
  <c r="F152" i="5"/>
  <c r="E152" i="5"/>
  <c r="D152" i="5"/>
  <c r="C152" i="5"/>
  <c r="A152" i="5"/>
  <c r="AC151" i="5"/>
  <c r="AB151" i="5"/>
  <c r="Z151" i="5"/>
  <c r="Y151" i="5"/>
  <c r="U151" i="5"/>
  <c r="T151" i="5"/>
  <c r="S151" i="5"/>
  <c r="P151" i="5"/>
  <c r="M151" i="5"/>
  <c r="I151" i="5"/>
  <c r="H151" i="5"/>
  <c r="F151" i="5"/>
  <c r="E151" i="5"/>
  <c r="D151" i="5"/>
  <c r="C151" i="5"/>
  <c r="A151" i="5"/>
  <c r="AC150" i="5"/>
  <c r="AB150" i="5"/>
  <c r="Z150" i="5"/>
  <c r="Y150" i="5"/>
  <c r="U150" i="5"/>
  <c r="T150" i="5"/>
  <c r="S150" i="5"/>
  <c r="P150" i="5"/>
  <c r="M150" i="5"/>
  <c r="I150" i="5"/>
  <c r="H150" i="5"/>
  <c r="F150" i="5"/>
  <c r="E150" i="5"/>
  <c r="D150" i="5"/>
  <c r="C150" i="5"/>
  <c r="A150" i="5"/>
  <c r="AC149" i="5"/>
  <c r="AB149" i="5"/>
  <c r="Z149" i="5"/>
  <c r="Y149" i="5"/>
  <c r="U149" i="5"/>
  <c r="T149" i="5"/>
  <c r="S149" i="5"/>
  <c r="P149" i="5"/>
  <c r="M149" i="5"/>
  <c r="I149" i="5"/>
  <c r="H149" i="5"/>
  <c r="F149" i="5"/>
  <c r="E149" i="5"/>
  <c r="D149" i="5"/>
  <c r="C149" i="5"/>
  <c r="A149" i="5"/>
  <c r="AC148" i="5"/>
  <c r="AB148" i="5"/>
  <c r="Z148" i="5"/>
  <c r="Y148" i="5"/>
  <c r="U148" i="5"/>
  <c r="T148" i="5"/>
  <c r="S148" i="5"/>
  <c r="P148" i="5"/>
  <c r="M148" i="5"/>
  <c r="I148" i="5"/>
  <c r="H148" i="5"/>
  <c r="F148" i="5"/>
  <c r="E148" i="5"/>
  <c r="D148" i="5"/>
  <c r="C148" i="5"/>
  <c r="A148" i="5"/>
  <c r="AC147" i="5"/>
  <c r="AB147" i="5"/>
  <c r="Z147" i="5"/>
  <c r="Y147" i="5"/>
  <c r="U147" i="5"/>
  <c r="T147" i="5"/>
  <c r="S147" i="5"/>
  <c r="P147" i="5"/>
  <c r="M147" i="5"/>
  <c r="I147" i="5"/>
  <c r="H147" i="5"/>
  <c r="F147" i="5"/>
  <c r="E147" i="5"/>
  <c r="D147" i="5"/>
  <c r="C147" i="5"/>
  <c r="A147" i="5"/>
  <c r="AC146" i="5"/>
  <c r="AB146" i="5"/>
  <c r="Z146" i="5"/>
  <c r="Y146" i="5"/>
  <c r="U146" i="5"/>
  <c r="T146" i="5"/>
  <c r="S146" i="5"/>
  <c r="P146" i="5"/>
  <c r="M146" i="5"/>
  <c r="I146" i="5"/>
  <c r="H146" i="5"/>
  <c r="F146" i="5"/>
  <c r="E146" i="5"/>
  <c r="D146" i="5"/>
  <c r="C146" i="5"/>
  <c r="A146" i="5"/>
  <c r="AC145" i="5"/>
  <c r="AB145" i="5"/>
  <c r="Z145" i="5"/>
  <c r="Y145" i="5"/>
  <c r="U145" i="5"/>
  <c r="T145" i="5"/>
  <c r="S145" i="5"/>
  <c r="P145" i="5"/>
  <c r="M145" i="5"/>
  <c r="I145" i="5"/>
  <c r="H145" i="5"/>
  <c r="F145" i="5"/>
  <c r="E145" i="5"/>
  <c r="D145" i="5"/>
  <c r="C145" i="5"/>
  <c r="A145" i="5"/>
  <c r="AC144" i="5"/>
  <c r="AB144" i="5"/>
  <c r="Z144" i="5"/>
  <c r="Y144" i="5"/>
  <c r="U144" i="5"/>
  <c r="T144" i="5"/>
  <c r="S144" i="5"/>
  <c r="P144" i="5"/>
  <c r="M144" i="5"/>
  <c r="I144" i="5"/>
  <c r="H144" i="5"/>
  <c r="F144" i="5"/>
  <c r="E144" i="5"/>
  <c r="D144" i="5"/>
  <c r="C144" i="5"/>
  <c r="A144" i="5"/>
  <c r="AC143" i="5"/>
  <c r="AB143" i="5"/>
  <c r="Z143" i="5"/>
  <c r="Y143" i="5"/>
  <c r="U143" i="5"/>
  <c r="T143" i="5"/>
  <c r="S143" i="5"/>
  <c r="P143" i="5"/>
  <c r="M143" i="5"/>
  <c r="I143" i="5"/>
  <c r="H143" i="5"/>
  <c r="F143" i="5"/>
  <c r="E143" i="5"/>
  <c r="D143" i="5"/>
  <c r="C143" i="5"/>
  <c r="A143" i="5"/>
  <c r="AC142" i="5"/>
  <c r="AB142" i="5"/>
  <c r="Z142" i="5"/>
  <c r="Y142" i="5"/>
  <c r="U142" i="5"/>
  <c r="T142" i="5"/>
  <c r="S142" i="5"/>
  <c r="P142" i="5"/>
  <c r="M142" i="5"/>
  <c r="I142" i="5"/>
  <c r="H142" i="5"/>
  <c r="F142" i="5"/>
  <c r="E142" i="5"/>
  <c r="D142" i="5"/>
  <c r="C142" i="5"/>
  <c r="A142" i="5"/>
  <c r="AC141" i="5"/>
  <c r="AB141" i="5"/>
  <c r="Z141" i="5"/>
  <c r="Y141" i="5"/>
  <c r="U141" i="5"/>
  <c r="T141" i="5"/>
  <c r="S141" i="5"/>
  <c r="P141" i="5"/>
  <c r="M141" i="5"/>
  <c r="I141" i="5"/>
  <c r="H141" i="5"/>
  <c r="F141" i="5"/>
  <c r="E141" i="5"/>
  <c r="D141" i="5"/>
  <c r="C141" i="5"/>
  <c r="A141" i="5"/>
  <c r="AC140" i="5"/>
  <c r="AB140" i="5"/>
  <c r="Z140" i="5"/>
  <c r="Y140" i="5"/>
  <c r="U140" i="5"/>
  <c r="T140" i="5"/>
  <c r="S140" i="5"/>
  <c r="P140" i="5"/>
  <c r="M140" i="5"/>
  <c r="I140" i="5"/>
  <c r="H140" i="5"/>
  <c r="F140" i="5"/>
  <c r="E140" i="5"/>
  <c r="D140" i="5"/>
  <c r="C140" i="5"/>
  <c r="A140" i="5"/>
  <c r="AC139" i="5"/>
  <c r="AB139" i="5"/>
  <c r="Z139" i="5"/>
  <c r="Y139" i="5"/>
  <c r="U139" i="5"/>
  <c r="T139" i="5"/>
  <c r="S139" i="5"/>
  <c r="P139" i="5"/>
  <c r="M139" i="5"/>
  <c r="I139" i="5"/>
  <c r="H139" i="5"/>
  <c r="F139" i="5"/>
  <c r="E139" i="5"/>
  <c r="D139" i="5"/>
  <c r="C139" i="5"/>
  <c r="A139" i="5"/>
  <c r="AC138" i="5"/>
  <c r="AB138" i="5"/>
  <c r="Z138" i="5"/>
  <c r="Y138" i="5"/>
  <c r="U138" i="5"/>
  <c r="T138" i="5"/>
  <c r="S138" i="5"/>
  <c r="P138" i="5"/>
  <c r="M138" i="5"/>
  <c r="I138" i="5"/>
  <c r="H138" i="5"/>
  <c r="F138" i="5"/>
  <c r="E138" i="5"/>
  <c r="D138" i="5"/>
  <c r="C138" i="5"/>
  <c r="A138" i="5"/>
  <c r="AC137" i="5"/>
  <c r="AB137" i="5"/>
  <c r="Z137" i="5"/>
  <c r="Y137" i="5"/>
  <c r="U137" i="5"/>
  <c r="T137" i="5"/>
  <c r="S137" i="5"/>
  <c r="P137" i="5"/>
  <c r="M137" i="5"/>
  <c r="I137" i="5"/>
  <c r="H137" i="5"/>
  <c r="F137" i="5"/>
  <c r="E137" i="5"/>
  <c r="D137" i="5"/>
  <c r="C137" i="5"/>
  <c r="A137" i="5"/>
  <c r="AC136" i="5"/>
  <c r="AB136" i="5"/>
  <c r="Z136" i="5"/>
  <c r="Y136" i="5"/>
  <c r="U136" i="5"/>
  <c r="T136" i="5"/>
  <c r="S136" i="5"/>
  <c r="P136" i="5"/>
  <c r="M136" i="5"/>
  <c r="I136" i="5"/>
  <c r="H136" i="5"/>
  <c r="F136" i="5"/>
  <c r="E136" i="5"/>
  <c r="D136" i="5"/>
  <c r="C136" i="5"/>
  <c r="A136" i="5"/>
  <c r="AC135" i="5"/>
  <c r="AB135" i="5"/>
  <c r="Z135" i="5"/>
  <c r="Y135" i="5"/>
  <c r="U135" i="5"/>
  <c r="T135" i="5"/>
  <c r="S135" i="5"/>
  <c r="P135" i="5"/>
  <c r="M135" i="5"/>
  <c r="I135" i="5"/>
  <c r="H135" i="5"/>
  <c r="F135" i="5"/>
  <c r="E135" i="5"/>
  <c r="D135" i="5"/>
  <c r="C135" i="5"/>
  <c r="A135" i="5"/>
  <c r="AC134" i="5"/>
  <c r="AB134" i="5"/>
  <c r="Z134" i="5"/>
  <c r="Y134" i="5"/>
  <c r="U134" i="5"/>
  <c r="T134" i="5"/>
  <c r="S134" i="5"/>
  <c r="P134" i="5"/>
  <c r="M134" i="5"/>
  <c r="I134" i="5"/>
  <c r="H134" i="5"/>
  <c r="F134" i="5"/>
  <c r="E134" i="5"/>
  <c r="D134" i="5"/>
  <c r="C134" i="5"/>
  <c r="A134" i="5"/>
  <c r="AC133" i="5"/>
  <c r="AB133" i="5"/>
  <c r="Z133" i="5"/>
  <c r="Y133" i="5"/>
  <c r="U133" i="5"/>
  <c r="T133" i="5"/>
  <c r="S133" i="5"/>
  <c r="P133" i="5"/>
  <c r="M133" i="5"/>
  <c r="I133" i="5"/>
  <c r="H133" i="5"/>
  <c r="F133" i="5"/>
  <c r="E133" i="5"/>
  <c r="D133" i="5"/>
  <c r="C133" i="5"/>
  <c r="A133" i="5"/>
  <c r="AC132" i="5"/>
  <c r="AB132" i="5"/>
  <c r="Z132" i="5"/>
  <c r="Y132" i="5"/>
  <c r="U132" i="5"/>
  <c r="T132" i="5"/>
  <c r="S132" i="5"/>
  <c r="P132" i="5"/>
  <c r="M132" i="5"/>
  <c r="I132" i="5"/>
  <c r="H132" i="5"/>
  <c r="F132" i="5"/>
  <c r="E132" i="5"/>
  <c r="D132" i="5"/>
  <c r="C132" i="5"/>
  <c r="A132" i="5"/>
  <c r="AC131" i="5"/>
  <c r="AB131" i="5"/>
  <c r="Z131" i="5"/>
  <c r="Y131" i="5"/>
  <c r="U131" i="5"/>
  <c r="T131" i="5"/>
  <c r="S131" i="5"/>
  <c r="P131" i="5"/>
  <c r="M131" i="5"/>
  <c r="I131" i="5"/>
  <c r="H131" i="5"/>
  <c r="F131" i="5"/>
  <c r="E131" i="5"/>
  <c r="D131" i="5"/>
  <c r="C131" i="5"/>
  <c r="A131" i="5"/>
  <c r="AC130" i="5"/>
  <c r="AB130" i="5"/>
  <c r="Z130" i="5"/>
  <c r="Y130" i="5"/>
  <c r="U130" i="5"/>
  <c r="T130" i="5"/>
  <c r="S130" i="5"/>
  <c r="P130" i="5"/>
  <c r="M130" i="5"/>
  <c r="I130" i="5"/>
  <c r="H130" i="5"/>
  <c r="F130" i="5"/>
  <c r="E130" i="5"/>
  <c r="D130" i="5"/>
  <c r="C130" i="5"/>
  <c r="A130" i="5"/>
  <c r="AC129" i="5"/>
  <c r="AB129" i="5"/>
  <c r="Z129" i="5"/>
  <c r="Y129" i="5"/>
  <c r="U129" i="5"/>
  <c r="T129" i="5"/>
  <c r="S129" i="5"/>
  <c r="P129" i="5"/>
  <c r="M129" i="5"/>
  <c r="I129" i="5"/>
  <c r="H129" i="5"/>
  <c r="F129" i="5"/>
  <c r="E129" i="5"/>
  <c r="D129" i="5"/>
  <c r="C129" i="5"/>
  <c r="A129" i="5"/>
  <c r="AC128" i="5"/>
  <c r="AB128" i="5"/>
  <c r="Z128" i="5"/>
  <c r="Y128" i="5"/>
  <c r="U128" i="5"/>
  <c r="T128" i="5"/>
  <c r="S128" i="5"/>
  <c r="P128" i="5"/>
  <c r="M128" i="5"/>
  <c r="I128" i="5"/>
  <c r="H128" i="5"/>
  <c r="F128" i="5"/>
  <c r="E128" i="5"/>
  <c r="D128" i="5"/>
  <c r="C128" i="5"/>
  <c r="A128" i="5"/>
  <c r="AC127" i="5"/>
  <c r="AB127" i="5"/>
  <c r="Z127" i="5"/>
  <c r="Y127" i="5"/>
  <c r="U127" i="5"/>
  <c r="T127" i="5"/>
  <c r="S127" i="5"/>
  <c r="P127" i="5"/>
  <c r="M127" i="5"/>
  <c r="I127" i="5"/>
  <c r="H127" i="5"/>
  <c r="F127" i="5"/>
  <c r="E127" i="5"/>
  <c r="D127" i="5"/>
  <c r="C127" i="5"/>
  <c r="A127" i="5"/>
  <c r="AC126" i="5"/>
  <c r="AB126" i="5"/>
  <c r="Z126" i="5"/>
  <c r="Y126" i="5"/>
  <c r="U126" i="5"/>
  <c r="T126" i="5"/>
  <c r="S126" i="5"/>
  <c r="P126" i="5"/>
  <c r="M126" i="5"/>
  <c r="I126" i="5"/>
  <c r="H126" i="5"/>
  <c r="F126" i="5"/>
  <c r="E126" i="5"/>
  <c r="D126" i="5"/>
  <c r="C126" i="5"/>
  <c r="A126" i="5"/>
  <c r="AC125" i="5"/>
  <c r="AB125" i="5"/>
  <c r="Z125" i="5"/>
  <c r="Y125" i="5"/>
  <c r="U125" i="5"/>
  <c r="T125" i="5"/>
  <c r="S125" i="5"/>
  <c r="P125" i="5"/>
  <c r="M125" i="5"/>
  <c r="I125" i="5"/>
  <c r="H125" i="5"/>
  <c r="F125" i="5"/>
  <c r="E125" i="5"/>
  <c r="D125" i="5"/>
  <c r="C125" i="5"/>
  <c r="A125" i="5"/>
  <c r="AC124" i="5"/>
  <c r="AB124" i="5"/>
  <c r="Z124" i="5"/>
  <c r="Y124" i="5"/>
  <c r="U124" i="5"/>
  <c r="T124" i="5"/>
  <c r="S124" i="5"/>
  <c r="P124" i="5"/>
  <c r="M124" i="5"/>
  <c r="I124" i="5"/>
  <c r="H124" i="5"/>
  <c r="F124" i="5"/>
  <c r="E124" i="5"/>
  <c r="D124" i="5"/>
  <c r="C124" i="5"/>
  <c r="A124" i="5"/>
  <c r="AC123" i="5"/>
  <c r="AB123" i="5"/>
  <c r="Z123" i="5"/>
  <c r="Y123" i="5"/>
  <c r="U123" i="5"/>
  <c r="T123" i="5"/>
  <c r="S123" i="5"/>
  <c r="P123" i="5"/>
  <c r="M123" i="5"/>
  <c r="I123" i="5"/>
  <c r="H123" i="5"/>
  <c r="F123" i="5"/>
  <c r="E123" i="5"/>
  <c r="D123" i="5"/>
  <c r="C123" i="5"/>
  <c r="A123" i="5"/>
  <c r="AC122" i="5"/>
  <c r="AB122" i="5"/>
  <c r="Z122" i="5"/>
  <c r="Y122" i="5"/>
  <c r="U122" i="5"/>
  <c r="T122" i="5"/>
  <c r="S122" i="5"/>
  <c r="P122" i="5"/>
  <c r="M122" i="5"/>
  <c r="I122" i="5"/>
  <c r="H122" i="5"/>
  <c r="F122" i="5"/>
  <c r="E122" i="5"/>
  <c r="D122" i="5"/>
  <c r="C122" i="5"/>
  <c r="A122" i="5"/>
  <c r="AC121" i="5"/>
  <c r="AB121" i="5"/>
  <c r="Z121" i="5"/>
  <c r="Y121" i="5"/>
  <c r="U121" i="5"/>
  <c r="T121" i="5"/>
  <c r="S121" i="5"/>
  <c r="P121" i="5"/>
  <c r="M121" i="5"/>
  <c r="I121" i="5"/>
  <c r="H121" i="5"/>
  <c r="F121" i="5"/>
  <c r="E121" i="5"/>
  <c r="D121" i="5"/>
  <c r="C121" i="5"/>
  <c r="A121" i="5"/>
  <c r="AC120" i="5"/>
  <c r="AB120" i="5"/>
  <c r="Z120" i="5"/>
  <c r="Y120" i="5"/>
  <c r="U120" i="5"/>
  <c r="T120" i="5"/>
  <c r="S120" i="5"/>
  <c r="P120" i="5"/>
  <c r="M120" i="5"/>
  <c r="I120" i="5"/>
  <c r="H120" i="5"/>
  <c r="F120" i="5"/>
  <c r="E120" i="5"/>
  <c r="D120" i="5"/>
  <c r="C120" i="5"/>
  <c r="A120" i="5"/>
  <c r="AC119" i="5"/>
  <c r="AB119" i="5"/>
  <c r="Z119" i="5"/>
  <c r="Y119" i="5"/>
  <c r="U119" i="5"/>
  <c r="T119" i="5"/>
  <c r="S119" i="5"/>
  <c r="P119" i="5"/>
  <c r="M119" i="5"/>
  <c r="I119" i="5"/>
  <c r="H119" i="5"/>
  <c r="F119" i="5"/>
  <c r="E119" i="5"/>
  <c r="D119" i="5"/>
  <c r="C119" i="5"/>
  <c r="A119" i="5"/>
  <c r="AC118" i="5"/>
  <c r="AB118" i="5"/>
  <c r="Z118" i="5"/>
  <c r="Y118" i="5"/>
  <c r="U118" i="5"/>
  <c r="T118" i="5"/>
  <c r="S118" i="5"/>
  <c r="P118" i="5"/>
  <c r="M118" i="5"/>
  <c r="I118" i="5"/>
  <c r="H118" i="5"/>
  <c r="F118" i="5"/>
  <c r="E118" i="5"/>
  <c r="D118" i="5"/>
  <c r="C118" i="5"/>
  <c r="A118" i="5"/>
  <c r="AC117" i="5"/>
  <c r="AB117" i="5"/>
  <c r="Z117" i="5"/>
  <c r="Y117" i="5"/>
  <c r="U117" i="5"/>
  <c r="T117" i="5"/>
  <c r="S117" i="5"/>
  <c r="P117" i="5"/>
  <c r="M117" i="5"/>
  <c r="I117" i="5"/>
  <c r="H117" i="5"/>
  <c r="F117" i="5"/>
  <c r="E117" i="5"/>
  <c r="D117" i="5"/>
  <c r="C117" i="5"/>
  <c r="A117" i="5"/>
  <c r="AC116" i="5"/>
  <c r="AB116" i="5"/>
  <c r="Z116" i="5"/>
  <c r="Y116" i="5"/>
  <c r="U116" i="5"/>
  <c r="T116" i="5"/>
  <c r="S116" i="5"/>
  <c r="P116" i="5"/>
  <c r="M116" i="5"/>
  <c r="I116" i="5"/>
  <c r="H116" i="5"/>
  <c r="F116" i="5"/>
  <c r="E116" i="5"/>
  <c r="D116" i="5"/>
  <c r="C116" i="5"/>
  <c r="A116" i="5"/>
  <c r="AC115" i="5"/>
  <c r="AB115" i="5"/>
  <c r="Z115" i="5"/>
  <c r="Y115" i="5"/>
  <c r="U115" i="5"/>
  <c r="T115" i="5"/>
  <c r="S115" i="5"/>
  <c r="P115" i="5"/>
  <c r="M115" i="5"/>
  <c r="I115" i="5"/>
  <c r="H115" i="5"/>
  <c r="F115" i="5"/>
  <c r="E115" i="5"/>
  <c r="D115" i="5"/>
  <c r="C115" i="5"/>
  <c r="A115" i="5"/>
  <c r="AC114" i="5"/>
  <c r="AB114" i="5"/>
  <c r="Z114" i="5"/>
  <c r="Y114" i="5"/>
  <c r="U114" i="5"/>
  <c r="T114" i="5"/>
  <c r="S114" i="5"/>
  <c r="P114" i="5"/>
  <c r="M114" i="5"/>
  <c r="I114" i="5"/>
  <c r="H114" i="5"/>
  <c r="F114" i="5"/>
  <c r="E114" i="5"/>
  <c r="D114" i="5"/>
  <c r="C114" i="5"/>
  <c r="A114" i="5"/>
  <c r="AC113" i="5"/>
  <c r="AB113" i="5"/>
  <c r="Z113" i="5"/>
  <c r="Y113" i="5"/>
  <c r="U113" i="5"/>
  <c r="T113" i="5"/>
  <c r="S113" i="5"/>
  <c r="P113" i="5"/>
  <c r="M113" i="5"/>
  <c r="I113" i="5"/>
  <c r="H113" i="5"/>
  <c r="F113" i="5"/>
  <c r="E113" i="5"/>
  <c r="D113" i="5"/>
  <c r="C113" i="5"/>
  <c r="A113" i="5"/>
  <c r="AC112" i="5"/>
  <c r="AB112" i="5"/>
  <c r="Z112" i="5"/>
  <c r="Y112" i="5"/>
  <c r="U112" i="5"/>
  <c r="T112" i="5"/>
  <c r="S112" i="5"/>
  <c r="P112" i="5"/>
  <c r="M112" i="5"/>
  <c r="I112" i="5"/>
  <c r="H112" i="5"/>
  <c r="F112" i="5"/>
  <c r="E112" i="5"/>
  <c r="D112" i="5"/>
  <c r="C112" i="5"/>
  <c r="A112" i="5"/>
  <c r="AC111" i="5"/>
  <c r="AB111" i="5"/>
  <c r="Z111" i="5"/>
  <c r="Y111" i="5"/>
  <c r="U111" i="5"/>
  <c r="T111" i="5"/>
  <c r="S111" i="5"/>
  <c r="P111" i="5"/>
  <c r="M111" i="5"/>
  <c r="I111" i="5"/>
  <c r="H111" i="5"/>
  <c r="F111" i="5"/>
  <c r="E111" i="5"/>
  <c r="D111" i="5"/>
  <c r="C111" i="5"/>
  <c r="A111" i="5"/>
  <c r="AC110" i="5"/>
  <c r="AB110" i="5"/>
  <c r="Z110" i="5"/>
  <c r="Y110" i="5"/>
  <c r="U110" i="5"/>
  <c r="T110" i="5"/>
  <c r="S110" i="5"/>
  <c r="P110" i="5"/>
  <c r="M110" i="5"/>
  <c r="I110" i="5"/>
  <c r="H110" i="5"/>
  <c r="F110" i="5"/>
  <c r="E110" i="5"/>
  <c r="D110" i="5"/>
  <c r="C110" i="5"/>
  <c r="A110" i="5"/>
  <c r="AC109" i="5"/>
  <c r="AB109" i="5"/>
  <c r="Z109" i="5"/>
  <c r="Y109" i="5"/>
  <c r="U109" i="5"/>
  <c r="T109" i="5"/>
  <c r="S109" i="5"/>
  <c r="P109" i="5"/>
  <c r="M109" i="5"/>
  <c r="I109" i="5"/>
  <c r="H109" i="5"/>
  <c r="F109" i="5"/>
  <c r="E109" i="5"/>
  <c r="D109" i="5"/>
  <c r="C109" i="5"/>
  <c r="A109" i="5"/>
  <c r="AC108" i="5"/>
  <c r="AB108" i="5"/>
  <c r="Z108" i="5"/>
  <c r="Y108" i="5"/>
  <c r="U108" i="5"/>
  <c r="T108" i="5"/>
  <c r="S108" i="5"/>
  <c r="P108" i="5"/>
  <c r="M108" i="5"/>
  <c r="I108" i="5"/>
  <c r="H108" i="5"/>
  <c r="F108" i="5"/>
  <c r="E108" i="5"/>
  <c r="D108" i="5"/>
  <c r="C108" i="5"/>
  <c r="A108" i="5"/>
  <c r="AC107" i="5"/>
  <c r="AB107" i="5"/>
  <c r="Z107" i="5"/>
  <c r="Y107" i="5"/>
  <c r="U107" i="5"/>
  <c r="T107" i="5"/>
  <c r="S107" i="5"/>
  <c r="P107" i="5"/>
  <c r="M107" i="5"/>
  <c r="I107" i="5"/>
  <c r="H107" i="5"/>
  <c r="F107" i="5"/>
  <c r="E107" i="5"/>
  <c r="D107" i="5"/>
  <c r="C107" i="5"/>
  <c r="A107" i="5"/>
  <c r="AC106" i="5"/>
  <c r="AB106" i="5"/>
  <c r="Z106" i="5"/>
  <c r="Y106" i="5"/>
  <c r="U106" i="5"/>
  <c r="T106" i="5"/>
  <c r="S106" i="5"/>
  <c r="P106" i="5"/>
  <c r="M106" i="5"/>
  <c r="I106" i="5"/>
  <c r="H106" i="5"/>
  <c r="F106" i="5"/>
  <c r="E106" i="5"/>
  <c r="D106" i="5"/>
  <c r="C106" i="5"/>
  <c r="A106" i="5"/>
  <c r="AC105" i="5"/>
  <c r="AB105" i="5"/>
  <c r="Z105" i="5"/>
  <c r="Y105" i="5"/>
  <c r="U105" i="5"/>
  <c r="T105" i="5"/>
  <c r="S105" i="5"/>
  <c r="P105" i="5"/>
  <c r="M105" i="5"/>
  <c r="I105" i="5"/>
  <c r="H105" i="5"/>
  <c r="F105" i="5"/>
  <c r="E105" i="5"/>
  <c r="D105" i="5"/>
  <c r="C105" i="5"/>
  <c r="A105" i="5"/>
  <c r="AC104" i="5"/>
  <c r="AB104" i="5"/>
  <c r="Z104" i="5"/>
  <c r="Y104" i="5"/>
  <c r="U104" i="5"/>
  <c r="T104" i="5"/>
  <c r="S104" i="5"/>
  <c r="P104" i="5"/>
  <c r="M104" i="5"/>
  <c r="I104" i="5"/>
  <c r="H104" i="5"/>
  <c r="F104" i="5"/>
  <c r="E104" i="5"/>
  <c r="D104" i="5"/>
  <c r="C104" i="5"/>
  <c r="A104" i="5"/>
  <c r="AC103" i="5"/>
  <c r="AB103" i="5"/>
  <c r="Z103" i="5"/>
  <c r="Y103" i="5"/>
  <c r="U103" i="5"/>
  <c r="T103" i="5"/>
  <c r="S103" i="5"/>
  <c r="P103" i="5"/>
  <c r="M103" i="5"/>
  <c r="I103" i="5"/>
  <c r="H103" i="5"/>
  <c r="F103" i="5"/>
  <c r="E103" i="5"/>
  <c r="D103" i="5"/>
  <c r="C103" i="5"/>
  <c r="A103" i="5"/>
  <c r="AC102" i="5"/>
  <c r="AB102" i="5"/>
  <c r="Z102" i="5"/>
  <c r="Y102" i="5"/>
  <c r="U102" i="5"/>
  <c r="T102" i="5"/>
  <c r="S102" i="5"/>
  <c r="P102" i="5"/>
  <c r="M102" i="5"/>
  <c r="I102" i="5"/>
  <c r="H102" i="5"/>
  <c r="F102" i="5"/>
  <c r="E102" i="5"/>
  <c r="D102" i="5"/>
  <c r="C102" i="5"/>
  <c r="A102" i="5"/>
  <c r="AC101" i="5"/>
  <c r="AB101" i="5"/>
  <c r="Z101" i="5"/>
  <c r="Y101" i="5"/>
  <c r="U101" i="5"/>
  <c r="T101" i="5"/>
  <c r="S101" i="5"/>
  <c r="P101" i="5"/>
  <c r="M101" i="5"/>
  <c r="I101" i="5"/>
  <c r="H101" i="5"/>
  <c r="F101" i="5"/>
  <c r="E101" i="5"/>
  <c r="D101" i="5"/>
  <c r="C101" i="5"/>
  <c r="A101" i="5"/>
  <c r="AC100" i="5"/>
  <c r="AB100" i="5"/>
  <c r="Z100" i="5"/>
  <c r="Y100" i="5"/>
  <c r="U100" i="5"/>
  <c r="T100" i="5"/>
  <c r="S100" i="5"/>
  <c r="P100" i="5"/>
  <c r="M100" i="5"/>
  <c r="I100" i="5"/>
  <c r="H100" i="5"/>
  <c r="F100" i="5"/>
  <c r="E100" i="5"/>
  <c r="D100" i="5"/>
  <c r="C100" i="5"/>
  <c r="A100" i="5"/>
  <c r="AC99" i="5"/>
  <c r="AB99" i="5"/>
  <c r="Z99" i="5"/>
  <c r="Y99" i="5"/>
  <c r="U99" i="5"/>
  <c r="T99" i="5"/>
  <c r="S99" i="5"/>
  <c r="P99" i="5"/>
  <c r="M99" i="5"/>
  <c r="I99" i="5"/>
  <c r="H99" i="5"/>
  <c r="F99" i="5"/>
  <c r="E99" i="5"/>
  <c r="D99" i="5"/>
  <c r="C99" i="5"/>
  <c r="A99" i="5"/>
  <c r="AC98" i="5"/>
  <c r="AB98" i="5"/>
  <c r="Z98" i="5"/>
  <c r="Y98" i="5"/>
  <c r="U98" i="5"/>
  <c r="T98" i="5"/>
  <c r="S98" i="5"/>
  <c r="P98" i="5"/>
  <c r="M98" i="5"/>
  <c r="I98" i="5"/>
  <c r="H98" i="5"/>
  <c r="F98" i="5"/>
  <c r="E98" i="5"/>
  <c r="D98" i="5"/>
  <c r="C98" i="5"/>
  <c r="A98" i="5"/>
  <c r="AC97" i="5"/>
  <c r="AB97" i="5"/>
  <c r="Z97" i="5"/>
  <c r="Y97" i="5"/>
  <c r="U97" i="5"/>
  <c r="T97" i="5"/>
  <c r="S97" i="5"/>
  <c r="P97" i="5"/>
  <c r="M97" i="5"/>
  <c r="I97" i="5"/>
  <c r="H97" i="5"/>
  <c r="F97" i="5"/>
  <c r="E97" i="5"/>
  <c r="D97" i="5"/>
  <c r="C97" i="5"/>
  <c r="A97" i="5"/>
  <c r="AC96" i="5"/>
  <c r="AB96" i="5"/>
  <c r="Z96" i="5"/>
  <c r="Y96" i="5"/>
  <c r="U96" i="5"/>
  <c r="T96" i="5"/>
  <c r="S96" i="5"/>
  <c r="P96" i="5"/>
  <c r="M96" i="5"/>
  <c r="I96" i="5"/>
  <c r="H96" i="5"/>
  <c r="F96" i="5"/>
  <c r="E96" i="5"/>
  <c r="D96" i="5"/>
  <c r="C96" i="5"/>
  <c r="A96" i="5"/>
  <c r="AC95" i="5"/>
  <c r="AB95" i="5"/>
  <c r="Z95" i="5"/>
  <c r="Y95" i="5"/>
  <c r="U95" i="5"/>
  <c r="T95" i="5"/>
  <c r="S95" i="5"/>
  <c r="P95" i="5"/>
  <c r="M95" i="5"/>
  <c r="I95" i="5"/>
  <c r="H95" i="5"/>
  <c r="F95" i="5"/>
  <c r="E95" i="5"/>
  <c r="D95" i="5"/>
  <c r="C95" i="5"/>
  <c r="A95" i="5"/>
  <c r="AC94" i="5"/>
  <c r="AB94" i="5"/>
  <c r="Z94" i="5"/>
  <c r="Y94" i="5"/>
  <c r="U94" i="5"/>
  <c r="T94" i="5"/>
  <c r="S94" i="5"/>
  <c r="P94" i="5"/>
  <c r="M94" i="5"/>
  <c r="I94" i="5"/>
  <c r="H94" i="5"/>
  <c r="F94" i="5"/>
  <c r="E94" i="5"/>
  <c r="D94" i="5"/>
  <c r="C94" i="5"/>
  <c r="A94" i="5"/>
  <c r="AC93" i="5"/>
  <c r="AB93" i="5"/>
  <c r="Z93" i="5"/>
  <c r="Y93" i="5"/>
  <c r="U93" i="5"/>
  <c r="T93" i="5"/>
  <c r="S93" i="5"/>
  <c r="P93" i="5"/>
  <c r="M93" i="5"/>
  <c r="I93" i="5"/>
  <c r="H93" i="5"/>
  <c r="F93" i="5"/>
  <c r="E93" i="5"/>
  <c r="D93" i="5"/>
  <c r="C93" i="5"/>
  <c r="A93" i="5"/>
  <c r="AC92" i="5"/>
  <c r="AB92" i="5"/>
  <c r="Z92" i="5"/>
  <c r="Y92" i="5"/>
  <c r="U92" i="5"/>
  <c r="T92" i="5"/>
  <c r="S92" i="5"/>
  <c r="P92" i="5"/>
  <c r="M92" i="5"/>
  <c r="I92" i="5"/>
  <c r="H92" i="5"/>
  <c r="F92" i="5"/>
  <c r="E92" i="5"/>
  <c r="D92" i="5"/>
  <c r="C92" i="5"/>
  <c r="A92" i="5"/>
  <c r="AC91" i="5"/>
  <c r="AB91" i="5"/>
  <c r="Z91" i="5"/>
  <c r="Y91" i="5"/>
  <c r="U91" i="5"/>
  <c r="T91" i="5"/>
  <c r="S91" i="5"/>
  <c r="P91" i="5"/>
  <c r="M91" i="5"/>
  <c r="I91" i="5"/>
  <c r="H91" i="5"/>
  <c r="F91" i="5"/>
  <c r="E91" i="5"/>
  <c r="D91" i="5"/>
  <c r="C91" i="5"/>
  <c r="A91" i="5"/>
  <c r="AC90" i="5"/>
  <c r="AB90" i="5"/>
  <c r="Z90" i="5"/>
  <c r="Y90" i="5"/>
  <c r="U90" i="5"/>
  <c r="T90" i="5"/>
  <c r="S90" i="5"/>
  <c r="P90" i="5"/>
  <c r="M90" i="5"/>
  <c r="I90" i="5"/>
  <c r="H90" i="5"/>
  <c r="F90" i="5"/>
  <c r="E90" i="5"/>
  <c r="D90" i="5"/>
  <c r="C90" i="5"/>
  <c r="A90" i="5"/>
  <c r="AC89" i="5"/>
  <c r="AB89" i="5"/>
  <c r="Z89" i="5"/>
  <c r="Y89" i="5"/>
  <c r="U89" i="5"/>
  <c r="T89" i="5"/>
  <c r="S89" i="5"/>
  <c r="P89" i="5"/>
  <c r="M89" i="5"/>
  <c r="I89" i="5"/>
  <c r="H89" i="5"/>
  <c r="F89" i="5"/>
  <c r="E89" i="5"/>
  <c r="D89" i="5"/>
  <c r="C89" i="5"/>
  <c r="A89" i="5"/>
  <c r="AC88" i="5"/>
  <c r="AB88" i="5"/>
  <c r="Z88" i="5"/>
  <c r="Y88" i="5"/>
  <c r="U88" i="5"/>
  <c r="T88" i="5"/>
  <c r="S88" i="5"/>
  <c r="P88" i="5"/>
  <c r="M88" i="5"/>
  <c r="I88" i="5"/>
  <c r="H88" i="5"/>
  <c r="F88" i="5"/>
  <c r="E88" i="5"/>
  <c r="D88" i="5"/>
  <c r="C88" i="5"/>
  <c r="A88" i="5"/>
  <c r="AC87" i="5"/>
  <c r="AB87" i="5"/>
  <c r="Z87" i="5"/>
  <c r="Y87" i="5"/>
  <c r="U87" i="5"/>
  <c r="T87" i="5"/>
  <c r="S87" i="5"/>
  <c r="P87" i="5"/>
  <c r="M87" i="5"/>
  <c r="I87" i="5"/>
  <c r="H87" i="5"/>
  <c r="F87" i="5"/>
  <c r="E87" i="5"/>
  <c r="D87" i="5"/>
  <c r="C87" i="5"/>
  <c r="A87" i="5"/>
  <c r="AC86" i="5"/>
  <c r="AB86" i="5"/>
  <c r="Z86" i="5"/>
  <c r="Y86" i="5"/>
  <c r="U86" i="5"/>
  <c r="T86" i="5"/>
  <c r="S86" i="5"/>
  <c r="P86" i="5"/>
  <c r="M86" i="5"/>
  <c r="I86" i="5"/>
  <c r="H86" i="5"/>
  <c r="F86" i="5"/>
  <c r="E86" i="5"/>
  <c r="D86" i="5"/>
  <c r="C86" i="5"/>
  <c r="A86" i="5"/>
  <c r="AC85" i="5"/>
  <c r="AB85" i="5"/>
  <c r="Z85" i="5"/>
  <c r="Y85" i="5"/>
  <c r="U85" i="5"/>
  <c r="T85" i="5"/>
  <c r="S85" i="5"/>
  <c r="P85" i="5"/>
  <c r="M85" i="5"/>
  <c r="I85" i="5"/>
  <c r="H85" i="5"/>
  <c r="F85" i="5"/>
  <c r="E85" i="5"/>
  <c r="D85" i="5"/>
  <c r="C85" i="5"/>
  <c r="A85" i="5"/>
  <c r="AC84" i="5"/>
  <c r="AB84" i="5"/>
  <c r="Z84" i="5"/>
  <c r="Y84" i="5"/>
  <c r="U84" i="5"/>
  <c r="T84" i="5"/>
  <c r="S84" i="5"/>
  <c r="P84" i="5"/>
  <c r="M84" i="5"/>
  <c r="I84" i="5"/>
  <c r="H84" i="5"/>
  <c r="F84" i="5"/>
  <c r="E84" i="5"/>
  <c r="D84" i="5"/>
  <c r="C84" i="5"/>
  <c r="A84" i="5"/>
  <c r="AC83" i="5"/>
  <c r="AB83" i="5"/>
  <c r="Z83" i="5"/>
  <c r="Y83" i="5"/>
  <c r="U83" i="5"/>
  <c r="T83" i="5"/>
  <c r="S83" i="5"/>
  <c r="P83" i="5"/>
  <c r="M83" i="5"/>
  <c r="I83" i="5"/>
  <c r="H83" i="5"/>
  <c r="F83" i="5"/>
  <c r="E83" i="5"/>
  <c r="D83" i="5"/>
  <c r="C83" i="5"/>
  <c r="A83" i="5"/>
  <c r="AC82" i="5"/>
  <c r="AB82" i="5"/>
  <c r="Z82" i="5"/>
  <c r="Y82" i="5"/>
  <c r="U82" i="5"/>
  <c r="T82" i="5"/>
  <c r="S82" i="5"/>
  <c r="P82" i="5"/>
  <c r="M82" i="5"/>
  <c r="I82" i="5"/>
  <c r="H82" i="5"/>
  <c r="F82" i="5"/>
  <c r="E82" i="5"/>
  <c r="D82" i="5"/>
  <c r="C82" i="5"/>
  <c r="A82" i="5"/>
  <c r="AC81" i="5"/>
  <c r="AB81" i="5"/>
  <c r="Z81" i="5"/>
  <c r="Y81" i="5"/>
  <c r="U81" i="5"/>
  <c r="T81" i="5"/>
  <c r="S81" i="5"/>
  <c r="P81" i="5"/>
  <c r="M81" i="5"/>
  <c r="I81" i="5"/>
  <c r="H81" i="5"/>
  <c r="F81" i="5"/>
  <c r="E81" i="5"/>
  <c r="D81" i="5"/>
  <c r="C81" i="5"/>
  <c r="A81" i="5"/>
  <c r="AC80" i="5"/>
  <c r="AB80" i="5"/>
  <c r="Z80" i="5"/>
  <c r="Y80" i="5"/>
  <c r="U80" i="5"/>
  <c r="T80" i="5"/>
  <c r="S80" i="5"/>
  <c r="P80" i="5"/>
  <c r="M80" i="5"/>
  <c r="I80" i="5"/>
  <c r="H80" i="5"/>
  <c r="F80" i="5"/>
  <c r="E80" i="5"/>
  <c r="D80" i="5"/>
  <c r="C80" i="5"/>
  <c r="A80" i="5"/>
  <c r="AC79" i="5"/>
  <c r="AB79" i="5"/>
  <c r="Z79" i="5"/>
  <c r="Y79" i="5"/>
  <c r="U79" i="5"/>
  <c r="T79" i="5"/>
  <c r="S79" i="5"/>
  <c r="P79" i="5"/>
  <c r="M79" i="5"/>
  <c r="I79" i="5"/>
  <c r="H79" i="5"/>
  <c r="F79" i="5"/>
  <c r="E79" i="5"/>
  <c r="D79" i="5"/>
  <c r="C79" i="5"/>
  <c r="A79" i="5"/>
  <c r="AC78" i="5"/>
  <c r="AB78" i="5"/>
  <c r="Z78" i="5"/>
  <c r="Y78" i="5"/>
  <c r="U78" i="5"/>
  <c r="T78" i="5"/>
  <c r="S78" i="5"/>
  <c r="P78" i="5"/>
  <c r="M78" i="5"/>
  <c r="I78" i="5"/>
  <c r="H78" i="5"/>
  <c r="F78" i="5"/>
  <c r="E78" i="5"/>
  <c r="D78" i="5"/>
  <c r="C78" i="5"/>
  <c r="A78" i="5"/>
  <c r="AC77" i="5"/>
  <c r="AB77" i="5"/>
  <c r="Z77" i="5"/>
  <c r="Y77" i="5"/>
  <c r="U77" i="5"/>
  <c r="T77" i="5"/>
  <c r="S77" i="5"/>
  <c r="P77" i="5"/>
  <c r="M77" i="5"/>
  <c r="I77" i="5"/>
  <c r="H77" i="5"/>
  <c r="F77" i="5"/>
  <c r="E77" i="5"/>
  <c r="D77" i="5"/>
  <c r="C77" i="5"/>
  <c r="A77" i="5"/>
  <c r="AC76" i="5"/>
  <c r="AB76" i="5"/>
  <c r="Z76" i="5"/>
  <c r="Y76" i="5"/>
  <c r="U76" i="5"/>
  <c r="T76" i="5"/>
  <c r="S76" i="5"/>
  <c r="P76" i="5"/>
  <c r="M76" i="5"/>
  <c r="I76" i="5"/>
  <c r="H76" i="5"/>
  <c r="F76" i="5"/>
  <c r="E76" i="5"/>
  <c r="D76" i="5"/>
  <c r="C76" i="5"/>
  <c r="A76" i="5"/>
  <c r="AC75" i="5"/>
  <c r="AB75" i="5"/>
  <c r="Z75" i="5"/>
  <c r="Y75" i="5"/>
  <c r="U75" i="5"/>
  <c r="T75" i="5"/>
  <c r="S75" i="5"/>
  <c r="P75" i="5"/>
  <c r="M75" i="5"/>
  <c r="I75" i="5"/>
  <c r="H75" i="5"/>
  <c r="F75" i="5"/>
  <c r="E75" i="5"/>
  <c r="D75" i="5"/>
  <c r="C75" i="5"/>
  <c r="A75" i="5"/>
  <c r="AC74" i="5"/>
  <c r="AB74" i="5"/>
  <c r="Z74" i="5"/>
  <c r="Y74" i="5"/>
  <c r="U74" i="5"/>
  <c r="T74" i="5"/>
  <c r="S74" i="5"/>
  <c r="P74" i="5"/>
  <c r="M74" i="5"/>
  <c r="I74" i="5"/>
  <c r="H74" i="5"/>
  <c r="F74" i="5"/>
  <c r="E74" i="5"/>
  <c r="D74" i="5"/>
  <c r="C74" i="5"/>
  <c r="A74" i="5"/>
  <c r="AC73" i="5"/>
  <c r="AB73" i="5"/>
  <c r="Z73" i="5"/>
  <c r="Y73" i="5"/>
  <c r="U73" i="5"/>
  <c r="T73" i="5"/>
  <c r="S73" i="5"/>
  <c r="P73" i="5"/>
  <c r="M73" i="5"/>
  <c r="I73" i="5"/>
  <c r="H73" i="5"/>
  <c r="F73" i="5"/>
  <c r="E73" i="5"/>
  <c r="D73" i="5"/>
  <c r="C73" i="5"/>
  <c r="A73" i="5"/>
  <c r="AC72" i="5"/>
  <c r="AB72" i="5"/>
  <c r="Z72" i="5"/>
  <c r="Y72" i="5"/>
  <c r="U72" i="5"/>
  <c r="T72" i="5"/>
  <c r="S72" i="5"/>
  <c r="P72" i="5"/>
  <c r="M72" i="5"/>
  <c r="I72" i="5"/>
  <c r="H72" i="5"/>
  <c r="F72" i="5"/>
  <c r="E72" i="5"/>
  <c r="D72" i="5"/>
  <c r="C72" i="5"/>
  <c r="A72" i="5"/>
  <c r="AC71" i="5"/>
  <c r="AB71" i="5"/>
  <c r="Z71" i="5"/>
  <c r="Y71" i="5"/>
  <c r="U71" i="5"/>
  <c r="T71" i="5"/>
  <c r="S71" i="5"/>
  <c r="P71" i="5"/>
  <c r="M71" i="5"/>
  <c r="I71" i="5"/>
  <c r="H71" i="5"/>
  <c r="F71" i="5"/>
  <c r="E71" i="5"/>
  <c r="D71" i="5"/>
  <c r="C71" i="5"/>
  <c r="A71" i="5"/>
  <c r="AC70" i="5"/>
  <c r="AB70" i="5"/>
  <c r="Z70" i="5"/>
  <c r="Y70" i="5"/>
  <c r="U70" i="5"/>
  <c r="T70" i="5"/>
  <c r="S70" i="5"/>
  <c r="P70" i="5"/>
  <c r="M70" i="5"/>
  <c r="I70" i="5"/>
  <c r="H70" i="5"/>
  <c r="F70" i="5"/>
  <c r="E70" i="5"/>
  <c r="D70" i="5"/>
  <c r="C70" i="5"/>
  <c r="A70" i="5"/>
  <c r="AC69" i="5"/>
  <c r="AB69" i="5"/>
  <c r="Z69" i="5"/>
  <c r="Y69" i="5"/>
  <c r="U69" i="5"/>
  <c r="T69" i="5"/>
  <c r="S69" i="5"/>
  <c r="P69" i="5"/>
  <c r="M69" i="5"/>
  <c r="I69" i="5"/>
  <c r="H69" i="5"/>
  <c r="F69" i="5"/>
  <c r="E69" i="5"/>
  <c r="D69" i="5"/>
  <c r="C69" i="5"/>
  <c r="A69" i="5"/>
  <c r="AC68" i="5"/>
  <c r="AB68" i="5"/>
  <c r="Z68" i="5"/>
  <c r="Y68" i="5"/>
  <c r="U68" i="5"/>
  <c r="T68" i="5"/>
  <c r="S68" i="5"/>
  <c r="P68" i="5"/>
  <c r="M68" i="5"/>
  <c r="I68" i="5"/>
  <c r="H68" i="5"/>
  <c r="F68" i="5"/>
  <c r="E68" i="5"/>
  <c r="D68" i="5"/>
  <c r="C68" i="5"/>
  <c r="A68" i="5"/>
  <c r="AC67" i="5"/>
  <c r="AB67" i="5"/>
  <c r="Z67" i="5"/>
  <c r="Y67" i="5"/>
  <c r="U67" i="5"/>
  <c r="T67" i="5"/>
  <c r="S67" i="5"/>
  <c r="P67" i="5"/>
  <c r="M67" i="5"/>
  <c r="I67" i="5"/>
  <c r="H67" i="5"/>
  <c r="F67" i="5"/>
  <c r="E67" i="5"/>
  <c r="D67" i="5"/>
  <c r="C67" i="5"/>
  <c r="A67" i="5"/>
  <c r="AC66" i="5"/>
  <c r="AB66" i="5"/>
  <c r="Z66" i="5"/>
  <c r="Y66" i="5"/>
  <c r="U66" i="5"/>
  <c r="T66" i="5"/>
  <c r="S66" i="5"/>
  <c r="P66" i="5"/>
  <c r="M66" i="5"/>
  <c r="I66" i="5"/>
  <c r="H66" i="5"/>
  <c r="F66" i="5"/>
  <c r="E66" i="5"/>
  <c r="D66" i="5"/>
  <c r="C66" i="5"/>
  <c r="A66" i="5"/>
  <c r="AC65" i="5"/>
  <c r="AB65" i="5"/>
  <c r="Z65" i="5"/>
  <c r="Y65" i="5"/>
  <c r="U65" i="5"/>
  <c r="T65" i="5"/>
  <c r="S65" i="5"/>
  <c r="P65" i="5"/>
  <c r="M65" i="5"/>
  <c r="I65" i="5"/>
  <c r="H65" i="5"/>
  <c r="F65" i="5"/>
  <c r="E65" i="5"/>
  <c r="D65" i="5"/>
  <c r="C65" i="5"/>
  <c r="A65" i="5"/>
  <c r="AC64" i="5"/>
  <c r="AB64" i="5"/>
  <c r="Z64" i="5"/>
  <c r="Y64" i="5"/>
  <c r="U64" i="5"/>
  <c r="T64" i="5"/>
  <c r="S64" i="5"/>
  <c r="P64" i="5"/>
  <c r="M64" i="5"/>
  <c r="I64" i="5"/>
  <c r="H64" i="5"/>
  <c r="F64" i="5"/>
  <c r="E64" i="5"/>
  <c r="D64" i="5"/>
  <c r="C64" i="5"/>
  <c r="A64" i="5"/>
  <c r="AC63" i="5"/>
  <c r="AB63" i="5"/>
  <c r="Z63" i="5"/>
  <c r="Y63" i="5"/>
  <c r="U63" i="5"/>
  <c r="T63" i="5"/>
  <c r="S63" i="5"/>
  <c r="P63" i="5"/>
  <c r="M63" i="5"/>
  <c r="I63" i="5"/>
  <c r="H63" i="5"/>
  <c r="F63" i="5"/>
  <c r="E63" i="5"/>
  <c r="D63" i="5"/>
  <c r="C63" i="5"/>
  <c r="A63" i="5"/>
  <c r="AC62" i="5"/>
  <c r="AB62" i="5"/>
  <c r="Z62" i="5"/>
  <c r="Y62" i="5"/>
  <c r="U62" i="5"/>
  <c r="T62" i="5"/>
  <c r="S62" i="5"/>
  <c r="P62" i="5"/>
  <c r="M62" i="5"/>
  <c r="I62" i="5"/>
  <c r="H62" i="5"/>
  <c r="F62" i="5"/>
  <c r="E62" i="5"/>
  <c r="D62" i="5"/>
  <c r="C62" i="5"/>
  <c r="A62" i="5"/>
  <c r="AC61" i="5"/>
  <c r="AB61" i="5"/>
  <c r="Z61" i="5"/>
  <c r="Y61" i="5"/>
  <c r="U61" i="5"/>
  <c r="T61" i="5"/>
  <c r="S61" i="5"/>
  <c r="P61" i="5"/>
  <c r="M61" i="5"/>
  <c r="I61" i="5"/>
  <c r="H61" i="5"/>
  <c r="F61" i="5"/>
  <c r="E61" i="5"/>
  <c r="D61" i="5"/>
  <c r="C61" i="5"/>
  <c r="A61" i="5"/>
  <c r="AC60" i="5"/>
  <c r="AB60" i="5"/>
  <c r="Z60" i="5"/>
  <c r="Y60" i="5"/>
  <c r="U60" i="5"/>
  <c r="T60" i="5"/>
  <c r="S60" i="5"/>
  <c r="P60" i="5"/>
  <c r="M60" i="5"/>
  <c r="I60" i="5"/>
  <c r="H60" i="5"/>
  <c r="F60" i="5"/>
  <c r="E60" i="5"/>
  <c r="D60" i="5"/>
  <c r="C60" i="5"/>
  <c r="A60" i="5"/>
  <c r="AC59" i="5"/>
  <c r="AB59" i="5"/>
  <c r="Z59" i="5"/>
  <c r="Y59" i="5"/>
  <c r="U59" i="5"/>
  <c r="T59" i="5"/>
  <c r="S59" i="5"/>
  <c r="P59" i="5"/>
  <c r="M59" i="5"/>
  <c r="I59" i="5"/>
  <c r="H59" i="5"/>
  <c r="F59" i="5"/>
  <c r="E59" i="5"/>
  <c r="D59" i="5"/>
  <c r="C59" i="5"/>
  <c r="A59" i="5"/>
  <c r="AC58" i="5"/>
  <c r="AB58" i="5"/>
  <c r="Z58" i="5"/>
  <c r="Y58" i="5"/>
  <c r="U58" i="5"/>
  <c r="T58" i="5"/>
  <c r="S58" i="5"/>
  <c r="P58" i="5"/>
  <c r="M58" i="5"/>
  <c r="I58" i="5"/>
  <c r="H58" i="5"/>
  <c r="F58" i="5"/>
  <c r="E58" i="5"/>
  <c r="D58" i="5"/>
  <c r="C58" i="5"/>
  <c r="A58" i="5"/>
  <c r="AC57" i="5"/>
  <c r="AB57" i="5"/>
  <c r="Z57" i="5"/>
  <c r="Y57" i="5"/>
  <c r="U57" i="5"/>
  <c r="T57" i="5"/>
  <c r="S57" i="5"/>
  <c r="P57" i="5"/>
  <c r="M57" i="5"/>
  <c r="I57" i="5"/>
  <c r="H57" i="5"/>
  <c r="F57" i="5"/>
  <c r="E57" i="5"/>
  <c r="D57" i="5"/>
  <c r="C57" i="5"/>
  <c r="A57" i="5"/>
  <c r="AC56" i="5"/>
  <c r="AB56" i="5"/>
  <c r="Z56" i="5"/>
  <c r="Y56" i="5"/>
  <c r="U56" i="5"/>
  <c r="T56" i="5"/>
  <c r="S56" i="5"/>
  <c r="P56" i="5"/>
  <c r="M56" i="5"/>
  <c r="I56" i="5"/>
  <c r="H56" i="5"/>
  <c r="F56" i="5"/>
  <c r="E56" i="5"/>
  <c r="D56" i="5"/>
  <c r="C56" i="5"/>
  <c r="A56" i="5"/>
  <c r="AC55" i="5"/>
  <c r="AB55" i="5"/>
  <c r="Z55" i="5"/>
  <c r="Y55" i="5"/>
  <c r="U55" i="5"/>
  <c r="T55" i="5"/>
  <c r="S55" i="5"/>
  <c r="P55" i="5"/>
  <c r="M55" i="5"/>
  <c r="I55" i="5"/>
  <c r="H55" i="5"/>
  <c r="F55" i="5"/>
  <c r="E55" i="5"/>
  <c r="D55" i="5"/>
  <c r="C55" i="5"/>
  <c r="A55" i="5"/>
  <c r="AC54" i="5"/>
  <c r="AB54" i="5"/>
  <c r="Z54" i="5"/>
  <c r="Y54" i="5"/>
  <c r="U54" i="5"/>
  <c r="T54" i="5"/>
  <c r="S54" i="5"/>
  <c r="P54" i="5"/>
  <c r="M54" i="5"/>
  <c r="I54" i="5"/>
  <c r="H54" i="5"/>
  <c r="F54" i="5"/>
  <c r="E54" i="5"/>
  <c r="D54" i="5"/>
  <c r="C54" i="5"/>
  <c r="A54" i="5"/>
  <c r="AC53" i="5"/>
  <c r="AB53" i="5"/>
  <c r="Z53" i="5"/>
  <c r="Y53" i="5"/>
  <c r="U53" i="5"/>
  <c r="T53" i="5"/>
  <c r="S53" i="5"/>
  <c r="P53" i="5"/>
  <c r="M53" i="5"/>
  <c r="I53" i="5"/>
  <c r="H53" i="5"/>
  <c r="F53" i="5"/>
  <c r="E53" i="5"/>
  <c r="D53" i="5"/>
  <c r="C53" i="5"/>
  <c r="A53" i="5"/>
  <c r="AC52" i="5"/>
  <c r="AB52" i="5"/>
  <c r="Z52" i="5"/>
  <c r="Y52" i="5"/>
  <c r="U52" i="5"/>
  <c r="T52" i="5"/>
  <c r="S52" i="5"/>
  <c r="P52" i="5"/>
  <c r="M52" i="5"/>
  <c r="I52" i="5"/>
  <c r="H52" i="5"/>
  <c r="F52" i="5"/>
  <c r="E52" i="5"/>
  <c r="D52" i="5"/>
  <c r="C52" i="5"/>
  <c r="A52" i="5"/>
  <c r="AC51" i="5"/>
  <c r="AB51" i="5"/>
  <c r="Z51" i="5"/>
  <c r="Y51" i="5"/>
  <c r="U51" i="5"/>
  <c r="T51" i="5"/>
  <c r="S51" i="5"/>
  <c r="P51" i="5"/>
  <c r="M51" i="5"/>
  <c r="I51" i="5"/>
  <c r="H51" i="5"/>
  <c r="F51" i="5"/>
  <c r="E51" i="5"/>
  <c r="D51" i="5"/>
  <c r="C51" i="5"/>
  <c r="A51" i="5"/>
  <c r="AC50" i="5"/>
  <c r="AB50" i="5"/>
  <c r="Z50" i="5"/>
  <c r="Y50" i="5"/>
  <c r="U50" i="5"/>
  <c r="T50" i="5"/>
  <c r="S50" i="5"/>
  <c r="P50" i="5"/>
  <c r="M50" i="5"/>
  <c r="I50" i="5"/>
  <c r="H50" i="5"/>
  <c r="F50" i="5"/>
  <c r="E50" i="5"/>
  <c r="D50" i="5"/>
  <c r="C50" i="5"/>
  <c r="A50" i="5"/>
  <c r="AC49" i="5"/>
  <c r="AB49" i="5"/>
  <c r="Z49" i="5"/>
  <c r="Y49" i="5"/>
  <c r="U49" i="5"/>
  <c r="T49" i="5"/>
  <c r="S49" i="5"/>
  <c r="P49" i="5"/>
  <c r="M49" i="5"/>
  <c r="I49" i="5"/>
  <c r="H49" i="5"/>
  <c r="F49" i="5"/>
  <c r="E49" i="5"/>
  <c r="D49" i="5"/>
  <c r="C49" i="5"/>
  <c r="A49" i="5"/>
  <c r="AC48" i="5"/>
  <c r="AB48" i="5"/>
  <c r="Z48" i="5"/>
  <c r="Y48" i="5"/>
  <c r="U48" i="5"/>
  <c r="T48" i="5"/>
  <c r="S48" i="5"/>
  <c r="P48" i="5"/>
  <c r="M48" i="5"/>
  <c r="I48" i="5"/>
  <c r="H48" i="5"/>
  <c r="F48" i="5"/>
  <c r="E48" i="5"/>
  <c r="D48" i="5"/>
  <c r="C48" i="5"/>
  <c r="A48" i="5"/>
  <c r="AC47" i="5"/>
  <c r="AB47" i="5"/>
  <c r="Z47" i="5"/>
  <c r="Y47" i="5"/>
  <c r="U47" i="5"/>
  <c r="T47" i="5"/>
  <c r="S47" i="5"/>
  <c r="P47" i="5"/>
  <c r="M47" i="5"/>
  <c r="I47" i="5"/>
  <c r="H47" i="5"/>
  <c r="F47" i="5"/>
  <c r="E47" i="5"/>
  <c r="D47" i="5"/>
  <c r="C47" i="5"/>
  <c r="A47" i="5"/>
  <c r="AC46" i="5"/>
  <c r="AB46" i="5"/>
  <c r="Z46" i="5"/>
  <c r="Y46" i="5"/>
  <c r="U46" i="5"/>
  <c r="T46" i="5"/>
  <c r="S46" i="5"/>
  <c r="P46" i="5"/>
  <c r="M46" i="5"/>
  <c r="I46" i="5"/>
  <c r="H46" i="5"/>
  <c r="F46" i="5"/>
  <c r="E46" i="5"/>
  <c r="D46" i="5"/>
  <c r="C46" i="5"/>
  <c r="A46" i="5"/>
  <c r="AC45" i="5"/>
  <c r="AB45" i="5"/>
  <c r="Z45" i="5"/>
  <c r="Y45" i="5"/>
  <c r="U45" i="5"/>
  <c r="T45" i="5"/>
  <c r="S45" i="5"/>
  <c r="P45" i="5"/>
  <c r="M45" i="5"/>
  <c r="I45" i="5"/>
  <c r="H45" i="5"/>
  <c r="F45" i="5"/>
  <c r="E45" i="5"/>
  <c r="D45" i="5"/>
  <c r="C45" i="5"/>
  <c r="A45" i="5"/>
  <c r="AC44" i="5"/>
  <c r="AB44" i="5"/>
  <c r="Z44" i="5"/>
  <c r="Y44" i="5"/>
  <c r="U44" i="5"/>
  <c r="T44" i="5"/>
  <c r="S44" i="5"/>
  <c r="P44" i="5"/>
  <c r="M44" i="5"/>
  <c r="I44" i="5"/>
  <c r="H44" i="5"/>
  <c r="F44" i="5"/>
  <c r="E44" i="5"/>
  <c r="D44" i="5"/>
  <c r="C44" i="5"/>
  <c r="A44" i="5"/>
  <c r="AC43" i="5"/>
  <c r="AB43" i="5"/>
  <c r="Z43" i="5"/>
  <c r="Y43" i="5"/>
  <c r="U43" i="5"/>
  <c r="T43" i="5"/>
  <c r="S43" i="5"/>
  <c r="P43" i="5"/>
  <c r="M43" i="5"/>
  <c r="I43" i="5"/>
  <c r="H43" i="5"/>
  <c r="F43" i="5"/>
  <c r="E43" i="5"/>
  <c r="D43" i="5"/>
  <c r="C43" i="5"/>
  <c r="A43" i="5"/>
  <c r="AC42" i="5"/>
  <c r="AB42" i="5"/>
  <c r="Z42" i="5"/>
  <c r="Y42" i="5"/>
  <c r="U42" i="5"/>
  <c r="T42" i="5"/>
  <c r="S42" i="5"/>
  <c r="P42" i="5"/>
  <c r="M42" i="5"/>
  <c r="I42" i="5"/>
  <c r="H42" i="5"/>
  <c r="F42" i="5"/>
  <c r="E42" i="5"/>
  <c r="D42" i="5"/>
  <c r="C42" i="5"/>
  <c r="A42" i="5"/>
  <c r="AC41" i="5"/>
  <c r="AB41" i="5"/>
  <c r="Z41" i="5"/>
  <c r="Y41" i="5"/>
  <c r="U41" i="5"/>
  <c r="T41" i="5"/>
  <c r="S41" i="5"/>
  <c r="P41" i="5"/>
  <c r="M41" i="5"/>
  <c r="I41" i="5"/>
  <c r="H41" i="5"/>
  <c r="F41" i="5"/>
  <c r="E41" i="5"/>
  <c r="D41" i="5"/>
  <c r="C41" i="5"/>
  <c r="A41" i="5"/>
  <c r="AC40" i="5"/>
  <c r="AB40" i="5"/>
  <c r="Z40" i="5"/>
  <c r="Y40" i="5"/>
  <c r="U40" i="5"/>
  <c r="T40" i="5"/>
  <c r="S40" i="5"/>
  <c r="P40" i="5"/>
  <c r="M40" i="5"/>
  <c r="I40" i="5"/>
  <c r="H40" i="5"/>
  <c r="F40" i="5"/>
  <c r="E40" i="5"/>
  <c r="D40" i="5"/>
  <c r="C40" i="5"/>
  <c r="A40" i="5"/>
  <c r="AC39" i="5"/>
  <c r="AB39" i="5"/>
  <c r="Z39" i="5"/>
  <c r="Y39" i="5"/>
  <c r="U39" i="5"/>
  <c r="T39" i="5"/>
  <c r="S39" i="5"/>
  <c r="P39" i="5"/>
  <c r="M39" i="5"/>
  <c r="I39" i="5"/>
  <c r="H39" i="5"/>
  <c r="F39" i="5"/>
  <c r="E39" i="5"/>
  <c r="D39" i="5"/>
  <c r="C39" i="5"/>
  <c r="A39" i="5"/>
  <c r="AC38" i="5"/>
  <c r="AB38" i="5"/>
  <c r="Z38" i="5"/>
  <c r="Y38" i="5"/>
  <c r="U38" i="5"/>
  <c r="T38" i="5"/>
  <c r="S38" i="5"/>
  <c r="P38" i="5"/>
  <c r="M38" i="5"/>
  <c r="I38" i="5"/>
  <c r="H38" i="5"/>
  <c r="F38" i="5"/>
  <c r="E38" i="5"/>
  <c r="D38" i="5"/>
  <c r="C38" i="5"/>
  <c r="A38" i="5"/>
  <c r="AC37" i="5"/>
  <c r="AB37" i="5"/>
  <c r="Z37" i="5"/>
  <c r="Y37" i="5"/>
  <c r="U37" i="5"/>
  <c r="T37" i="5"/>
  <c r="S37" i="5"/>
  <c r="P37" i="5"/>
  <c r="M37" i="5"/>
  <c r="I37" i="5"/>
  <c r="H37" i="5"/>
  <c r="F37" i="5"/>
  <c r="E37" i="5"/>
  <c r="D37" i="5"/>
  <c r="C37" i="5"/>
  <c r="A37" i="5"/>
  <c r="AC36" i="5"/>
  <c r="AB36" i="5"/>
  <c r="Z36" i="5"/>
  <c r="Y36" i="5"/>
  <c r="U36" i="5"/>
  <c r="T36" i="5"/>
  <c r="S36" i="5"/>
  <c r="P36" i="5"/>
  <c r="M36" i="5"/>
  <c r="I36" i="5"/>
  <c r="H36" i="5"/>
  <c r="F36" i="5"/>
  <c r="E36" i="5"/>
  <c r="D36" i="5"/>
  <c r="C36" i="5"/>
  <c r="A36" i="5"/>
  <c r="AC35" i="5"/>
  <c r="AB35" i="5"/>
  <c r="Z35" i="5"/>
  <c r="Y35" i="5"/>
  <c r="U35" i="5"/>
  <c r="T35" i="5"/>
  <c r="S35" i="5"/>
  <c r="P35" i="5"/>
  <c r="M35" i="5"/>
  <c r="I35" i="5"/>
  <c r="H35" i="5"/>
  <c r="F35" i="5"/>
  <c r="E35" i="5"/>
  <c r="D35" i="5"/>
  <c r="C35" i="5"/>
  <c r="A35" i="5"/>
  <c r="AC34" i="5"/>
  <c r="AB34" i="5"/>
  <c r="Z34" i="5"/>
  <c r="Y34" i="5"/>
  <c r="U34" i="5"/>
  <c r="T34" i="5"/>
  <c r="S34" i="5"/>
  <c r="P34" i="5"/>
  <c r="M34" i="5"/>
  <c r="I34" i="5"/>
  <c r="H34" i="5"/>
  <c r="F34" i="5"/>
  <c r="E34" i="5"/>
  <c r="D34" i="5"/>
  <c r="C34" i="5"/>
  <c r="A34" i="5"/>
  <c r="AC33" i="5"/>
  <c r="AB33" i="5"/>
  <c r="Z33" i="5"/>
  <c r="Y33" i="5"/>
  <c r="U33" i="5"/>
  <c r="T33" i="5"/>
  <c r="S33" i="5"/>
  <c r="P33" i="5"/>
  <c r="M33" i="5"/>
  <c r="I33" i="5"/>
  <c r="H33" i="5"/>
  <c r="F33" i="5"/>
  <c r="E33" i="5"/>
  <c r="D33" i="5"/>
  <c r="C33" i="5"/>
  <c r="A33" i="5"/>
  <c r="AC32" i="5"/>
  <c r="AB32" i="5"/>
  <c r="Z32" i="5"/>
  <c r="Y32" i="5"/>
  <c r="U32" i="5"/>
  <c r="T32" i="5"/>
  <c r="S32" i="5"/>
  <c r="P32" i="5"/>
  <c r="M32" i="5"/>
  <c r="I32" i="5"/>
  <c r="H32" i="5"/>
  <c r="F32" i="5"/>
  <c r="E32" i="5"/>
  <c r="D32" i="5"/>
  <c r="C32" i="5"/>
  <c r="A32" i="5"/>
  <c r="AC31" i="5"/>
  <c r="AB31" i="5"/>
  <c r="Z31" i="5"/>
  <c r="Y31" i="5"/>
  <c r="U31" i="5"/>
  <c r="T31" i="5"/>
  <c r="S31" i="5"/>
  <c r="P31" i="5"/>
  <c r="M31" i="5"/>
  <c r="I31" i="5"/>
  <c r="H31" i="5"/>
  <c r="F31" i="5"/>
  <c r="E31" i="5"/>
  <c r="D31" i="5"/>
  <c r="C31" i="5"/>
  <c r="A31" i="5"/>
  <c r="AC30" i="5"/>
  <c r="AB30" i="5"/>
  <c r="Z30" i="5"/>
  <c r="Y30" i="5"/>
  <c r="U30" i="5"/>
  <c r="T30" i="5"/>
  <c r="S30" i="5"/>
  <c r="P30" i="5"/>
  <c r="M30" i="5"/>
  <c r="I30" i="5"/>
  <c r="H30" i="5"/>
  <c r="F30" i="5"/>
  <c r="E30" i="5"/>
  <c r="D30" i="5"/>
  <c r="C30" i="5"/>
  <c r="A30" i="5"/>
  <c r="AC29" i="5"/>
  <c r="AB29" i="5"/>
  <c r="Z29" i="5"/>
  <c r="Y29" i="5"/>
  <c r="U29" i="5"/>
  <c r="T29" i="5"/>
  <c r="S29" i="5"/>
  <c r="P29" i="5"/>
  <c r="M29" i="5"/>
  <c r="I29" i="5"/>
  <c r="H29" i="5"/>
  <c r="F29" i="5"/>
  <c r="E29" i="5"/>
  <c r="D29" i="5"/>
  <c r="C29" i="5"/>
  <c r="A29" i="5"/>
  <c r="AC28" i="5"/>
  <c r="AB28" i="5"/>
  <c r="Z28" i="5"/>
  <c r="Y28" i="5"/>
  <c r="U28" i="5"/>
  <c r="T28" i="5"/>
  <c r="S28" i="5"/>
  <c r="P28" i="5"/>
  <c r="M28" i="5"/>
  <c r="I28" i="5"/>
  <c r="H28" i="5"/>
  <c r="F28" i="5"/>
  <c r="E28" i="5"/>
  <c r="D28" i="5"/>
  <c r="C28" i="5"/>
  <c r="A28" i="5"/>
  <c r="AC27" i="5"/>
  <c r="AB27" i="5"/>
  <c r="Z27" i="5"/>
  <c r="Y27" i="5"/>
  <c r="U27" i="5"/>
  <c r="T27" i="5"/>
  <c r="S27" i="5"/>
  <c r="P27" i="5"/>
  <c r="M27" i="5"/>
  <c r="I27" i="5"/>
  <c r="H27" i="5"/>
  <c r="F27" i="5"/>
  <c r="E27" i="5"/>
  <c r="D27" i="5"/>
  <c r="C27" i="5"/>
  <c r="A27" i="5"/>
  <c r="AC26" i="5"/>
  <c r="AB26" i="5"/>
  <c r="Z26" i="5"/>
  <c r="Y26" i="5"/>
  <c r="U26" i="5"/>
  <c r="T26" i="5"/>
  <c r="S26" i="5"/>
  <c r="P26" i="5"/>
  <c r="M26" i="5"/>
  <c r="I26" i="5"/>
  <c r="H26" i="5"/>
  <c r="F26" i="5"/>
  <c r="E26" i="5"/>
  <c r="D26" i="5"/>
  <c r="C26" i="5"/>
  <c r="A26" i="5"/>
  <c r="AC25" i="5"/>
  <c r="AB25" i="5"/>
  <c r="Z25" i="5"/>
  <c r="Y25" i="5"/>
  <c r="U25" i="5"/>
  <c r="T25" i="5"/>
  <c r="S25" i="5"/>
  <c r="P25" i="5"/>
  <c r="M25" i="5"/>
  <c r="I25" i="5"/>
  <c r="H25" i="5"/>
  <c r="F25" i="5"/>
  <c r="E25" i="5"/>
  <c r="D25" i="5"/>
  <c r="C25" i="5"/>
  <c r="A25" i="5"/>
  <c r="AC24" i="5"/>
  <c r="AB24" i="5"/>
  <c r="Z24" i="5"/>
  <c r="Y24" i="5"/>
  <c r="U24" i="5"/>
  <c r="T24" i="5"/>
  <c r="S24" i="5"/>
  <c r="P24" i="5"/>
  <c r="M24" i="5"/>
  <c r="I24" i="5"/>
  <c r="H24" i="5"/>
  <c r="F24" i="5"/>
  <c r="E24" i="5"/>
  <c r="D24" i="5"/>
  <c r="C24" i="5"/>
  <c r="A24" i="5"/>
  <c r="AC23" i="5"/>
  <c r="AB23" i="5"/>
  <c r="Z23" i="5"/>
  <c r="Y23" i="5"/>
  <c r="U23" i="5"/>
  <c r="T23" i="5"/>
  <c r="S23" i="5"/>
  <c r="P23" i="5"/>
  <c r="M23" i="5"/>
  <c r="I23" i="5"/>
  <c r="H23" i="5"/>
  <c r="F23" i="5"/>
  <c r="E23" i="5"/>
  <c r="D23" i="5"/>
  <c r="C23" i="5"/>
  <c r="A23" i="5"/>
  <c r="AC22" i="5"/>
  <c r="AB22" i="5"/>
  <c r="Z22" i="5"/>
  <c r="Y22" i="5"/>
  <c r="U22" i="5"/>
  <c r="T22" i="5"/>
  <c r="S22" i="5"/>
  <c r="P22" i="5"/>
  <c r="M22" i="5"/>
  <c r="I22" i="5"/>
  <c r="H22" i="5"/>
  <c r="F22" i="5"/>
  <c r="E22" i="5"/>
  <c r="D22" i="5"/>
  <c r="C22" i="5"/>
  <c r="A22" i="5"/>
  <c r="AC21" i="5"/>
  <c r="AB21" i="5"/>
  <c r="Z21" i="5"/>
  <c r="T20" i="5"/>
  <c r="S20" i="5"/>
  <c r="P20" i="5"/>
  <c r="I20" i="5"/>
  <c r="H20" i="5"/>
  <c r="E20" i="5"/>
  <c r="D20" i="5"/>
  <c r="C20" i="5"/>
  <c r="A20" i="5"/>
  <c r="AC20" i="5"/>
  <c r="Y20" i="5" s="1"/>
  <c r="AB20" i="5"/>
  <c r="Z20" i="5"/>
  <c r="T19" i="5"/>
  <c r="S19" i="5"/>
  <c r="P19" i="5"/>
  <c r="M19" i="5"/>
  <c r="I19" i="5"/>
  <c r="H19" i="5"/>
  <c r="E19" i="5"/>
  <c r="D19" i="5"/>
  <c r="C19" i="5"/>
  <c r="A19" i="5"/>
  <c r="AC19" i="5"/>
  <c r="Y19" i="5" s="1"/>
  <c r="AB19" i="5"/>
  <c r="Z19" i="5"/>
  <c r="T18" i="5"/>
  <c r="S18" i="5"/>
  <c r="P18" i="5"/>
  <c r="M18" i="5"/>
  <c r="I18" i="5"/>
  <c r="H18" i="5"/>
  <c r="E18" i="5"/>
  <c r="D18" i="5"/>
  <c r="C18" i="5"/>
  <c r="A18" i="5"/>
  <c r="AC18" i="5"/>
  <c r="Y18" i="5" s="1"/>
  <c r="AB18" i="5"/>
  <c r="Z18" i="5"/>
  <c r="Y21" i="5"/>
  <c r="T21" i="5"/>
  <c r="S21" i="5"/>
  <c r="P21" i="5"/>
  <c r="M21" i="5"/>
  <c r="I21" i="5"/>
  <c r="H21" i="5"/>
  <c r="E21" i="5"/>
  <c r="D21" i="5"/>
  <c r="C21" i="5"/>
  <c r="AC17" i="5"/>
  <c r="AB17" i="5"/>
  <c r="Z17" i="5"/>
  <c r="Y17" i="5"/>
  <c r="T17" i="5"/>
  <c r="S17" i="5"/>
  <c r="P17" i="5"/>
  <c r="M17" i="5"/>
  <c r="I17" i="5"/>
  <c r="H17" i="5"/>
  <c r="E17" i="5"/>
  <c r="D17" i="5"/>
  <c r="C17" i="5"/>
  <c r="A17" i="5"/>
  <c r="AC16" i="5"/>
  <c r="AB16" i="5"/>
  <c r="Z16" i="5"/>
  <c r="Y16" i="5"/>
  <c r="T16" i="5"/>
  <c r="S16" i="5"/>
  <c r="P16" i="5"/>
  <c r="M16" i="5"/>
  <c r="I16" i="5"/>
  <c r="E16" i="5"/>
  <c r="D16" i="5"/>
  <c r="C16" i="5"/>
  <c r="A16" i="5"/>
  <c r="T11" i="5"/>
  <c r="S11" i="5"/>
  <c r="M11" i="5"/>
  <c r="I11" i="5"/>
  <c r="H11" i="5"/>
  <c r="E11" i="5"/>
  <c r="D11" i="5"/>
  <c r="C11" i="5"/>
  <c r="A11" i="5"/>
  <c r="T10" i="5"/>
  <c r="S10" i="5"/>
  <c r="M10" i="5"/>
  <c r="I10" i="5"/>
  <c r="H10" i="5"/>
  <c r="E10" i="5"/>
  <c r="D10" i="5"/>
  <c r="C10" i="5"/>
  <c r="A10" i="5"/>
  <c r="Y13" i="5"/>
  <c r="T15" i="5"/>
  <c r="S15" i="5"/>
  <c r="M15" i="5"/>
  <c r="I15" i="5"/>
  <c r="H15" i="5"/>
  <c r="E15" i="5"/>
  <c r="D15" i="5"/>
  <c r="C15" i="5"/>
  <c r="A15" i="5"/>
  <c r="Y12" i="5"/>
  <c r="T14" i="5"/>
  <c r="S14" i="5"/>
  <c r="M14" i="5"/>
  <c r="I14" i="5"/>
  <c r="H14" i="5"/>
  <c r="E14" i="5"/>
  <c r="D14" i="5"/>
  <c r="C14" i="5"/>
  <c r="A14" i="5"/>
  <c r="T9" i="5"/>
  <c r="S9" i="5"/>
  <c r="M9" i="5"/>
  <c r="I9" i="5"/>
  <c r="H9" i="5"/>
  <c r="E9" i="5"/>
  <c r="D9" i="5"/>
  <c r="C9" i="5"/>
  <c r="A9" i="5"/>
  <c r="T8" i="5"/>
  <c r="S8" i="5"/>
  <c r="M8" i="5"/>
  <c r="I8" i="5"/>
  <c r="H8" i="5"/>
  <c r="E8" i="5"/>
  <c r="D8" i="5"/>
  <c r="C8" i="5"/>
  <c r="A8" i="5"/>
  <c r="T6" i="5"/>
  <c r="S6" i="5"/>
  <c r="P6" i="5"/>
  <c r="M6" i="5"/>
  <c r="I6" i="5"/>
  <c r="H6" i="5"/>
  <c r="E6" i="5"/>
  <c r="D6" i="5"/>
  <c r="C6" i="5"/>
  <c r="A6" i="5"/>
  <c r="Y7" i="5"/>
  <c r="Z7" i="5"/>
  <c r="T7" i="5"/>
  <c r="S7" i="5"/>
  <c r="P7" i="5"/>
  <c r="M7" i="5"/>
  <c r="I7" i="5"/>
  <c r="H7" i="5"/>
  <c r="E7" i="5"/>
  <c r="D7" i="5"/>
  <c r="C7" i="5"/>
  <c r="A7" i="5"/>
  <c r="Y6" i="5"/>
  <c r="Z6" i="5"/>
  <c r="T13" i="5"/>
  <c r="S13" i="5"/>
  <c r="P13" i="5"/>
  <c r="M13" i="5"/>
  <c r="I13" i="5"/>
  <c r="H13" i="5"/>
  <c r="E13" i="5"/>
  <c r="D13" i="5"/>
  <c r="C13" i="5"/>
  <c r="A13" i="5"/>
  <c r="Z5" i="5"/>
  <c r="T2" i="5"/>
  <c r="S2" i="5"/>
  <c r="P2" i="5"/>
  <c r="M2" i="5"/>
  <c r="I2" i="5"/>
  <c r="H2" i="5"/>
  <c r="E2" i="5"/>
  <c r="D2" i="5"/>
  <c r="C2" i="5"/>
  <c r="Z4" i="5"/>
  <c r="T4" i="5"/>
  <c r="S4" i="5"/>
  <c r="P4" i="5"/>
  <c r="M4" i="5"/>
  <c r="I4" i="5"/>
  <c r="H4" i="5"/>
  <c r="E4" i="5"/>
  <c r="D4" i="5"/>
  <c r="C4" i="5"/>
  <c r="A4" i="5"/>
  <c r="T12" i="5"/>
  <c r="S12" i="5"/>
  <c r="P12" i="5"/>
  <c r="M12" i="5"/>
  <c r="I12" i="5"/>
  <c r="H12" i="5"/>
  <c r="E12" i="5"/>
  <c r="D12" i="5"/>
  <c r="C12" i="5"/>
  <c r="A12" i="5"/>
  <c r="Y2" i="5"/>
  <c r="Z2" i="5"/>
  <c r="Y5" i="5"/>
  <c r="T5" i="5"/>
  <c r="S5" i="5"/>
  <c r="P5" i="5"/>
  <c r="I5" i="5"/>
  <c r="H5" i="5"/>
  <c r="E5" i="5"/>
  <c r="D5" i="5"/>
  <c r="C5" i="5"/>
  <c r="A5" i="5"/>
  <c r="U20" i="5" l="1"/>
  <c r="U19" i="5"/>
  <c r="U21" i="5"/>
  <c r="U18" i="5"/>
  <c r="P15" i="5"/>
  <c r="U17" i="5"/>
  <c r="U16" i="5"/>
  <c r="U4" i="5"/>
  <c r="P11" i="5"/>
  <c r="P9" i="5"/>
  <c r="P10" i="5"/>
  <c r="Y10" i="5"/>
  <c r="Y11" i="5"/>
  <c r="Y14" i="5"/>
  <c r="Y15" i="5"/>
  <c r="Y9" i="5"/>
  <c r="P14" i="5"/>
  <c r="U12" i="5"/>
  <c r="U14" i="5"/>
  <c r="U2" i="5"/>
  <c r="U13" i="5"/>
  <c r="U5" i="5"/>
  <c r="U7" i="5"/>
  <c r="U6" i="5"/>
  <c r="U8" i="5"/>
  <c r="U9" i="5"/>
  <c r="U15" i="5"/>
  <c r="U10" i="5"/>
  <c r="U11" i="5"/>
  <c r="P5" i="6"/>
  <c r="Q5" i="6" s="1"/>
  <c r="R5" i="6" s="1"/>
  <c r="R6" i="6"/>
  <c r="Q6" i="6"/>
  <c r="P6" i="6"/>
  <c r="R7" i="6"/>
  <c r="Q7" i="6"/>
  <c r="P7" i="6"/>
  <c r="R8" i="6"/>
  <c r="Q8" i="6"/>
  <c r="P8" i="6"/>
  <c r="R9" i="6"/>
  <c r="Q9" i="6"/>
  <c r="P9" i="6"/>
  <c r="R10" i="6"/>
  <c r="Q10" i="6"/>
  <c r="P10" i="6"/>
  <c r="R11" i="6"/>
  <c r="Q11" i="6"/>
  <c r="P11" i="6"/>
  <c r="R12" i="6"/>
  <c r="Q12" i="6"/>
  <c r="P12" i="6"/>
  <c r="R13" i="6"/>
  <c r="Q13" i="6"/>
  <c r="P13" i="6"/>
  <c r="R14" i="6"/>
  <c r="Q14" i="6"/>
  <c r="P14" i="6"/>
  <c r="R15" i="6"/>
  <c r="Q15" i="6"/>
  <c r="P15" i="6"/>
  <c r="R16" i="6"/>
  <c r="Q16" i="6"/>
  <c r="P16" i="6"/>
  <c r="R17" i="6"/>
  <c r="Q17" i="6"/>
  <c r="P17" i="6"/>
  <c r="R18" i="6"/>
  <c r="Q18" i="6"/>
  <c r="P18" i="6"/>
  <c r="R19" i="6"/>
  <c r="Q19" i="6"/>
  <c r="P19" i="6"/>
  <c r="R20" i="6"/>
  <c r="Q20" i="6"/>
  <c r="P20" i="6"/>
  <c r="R21" i="6"/>
  <c r="Q21" i="6"/>
  <c r="P21" i="6"/>
  <c r="R22" i="6"/>
  <c r="Q22" i="6"/>
  <c r="P22" i="6"/>
  <c r="R23" i="6"/>
  <c r="Q23" i="6"/>
  <c r="P23" i="6"/>
  <c r="R24" i="6"/>
  <c r="Q24" i="6"/>
  <c r="P24" i="6"/>
  <c r="R25" i="6"/>
  <c r="Q25" i="6"/>
  <c r="P25" i="6"/>
  <c r="R26" i="6"/>
  <c r="Q26" i="6"/>
  <c r="P26" i="6"/>
  <c r="R27" i="6"/>
  <c r="Q27" i="6"/>
  <c r="P27" i="6"/>
  <c r="R28" i="6"/>
  <c r="Q28" i="6"/>
  <c r="P28" i="6"/>
  <c r="R29" i="6"/>
  <c r="Q29" i="6"/>
  <c r="P29" i="6"/>
  <c r="R30" i="6"/>
  <c r="Q30" i="6"/>
  <c r="P30" i="6"/>
  <c r="R31" i="6"/>
  <c r="Q31" i="6"/>
  <c r="P31" i="6"/>
  <c r="R32" i="6"/>
  <c r="Q32" i="6"/>
  <c r="P32" i="6"/>
  <c r="R33" i="6"/>
  <c r="Q33" i="6"/>
  <c r="P33" i="6"/>
  <c r="R34" i="6"/>
  <c r="Q34" i="6"/>
  <c r="P34" i="6"/>
  <c r="R35" i="6"/>
  <c r="Q35" i="6"/>
  <c r="P35" i="6"/>
  <c r="R36" i="6"/>
  <c r="Q36" i="6"/>
  <c r="P36" i="6"/>
  <c r="R37" i="6"/>
  <c r="Q37" i="6"/>
  <c r="P37" i="6"/>
  <c r="R38" i="6"/>
  <c r="Q38" i="6"/>
  <c r="P38" i="6"/>
  <c r="R39" i="6"/>
  <c r="Q39" i="6"/>
  <c r="P39" i="6"/>
  <c r="R40" i="6"/>
  <c r="Q40" i="6"/>
  <c r="P40" i="6"/>
  <c r="R41" i="6"/>
  <c r="Q41" i="6"/>
  <c r="P41" i="6"/>
  <c r="R42" i="6"/>
  <c r="Q42" i="6"/>
  <c r="P42" i="6"/>
  <c r="R43" i="6"/>
  <c r="Q43" i="6"/>
  <c r="P43" i="6"/>
  <c r="R44" i="6"/>
  <c r="Q44" i="6"/>
  <c r="P44" i="6"/>
  <c r="R45" i="6"/>
  <c r="Q45" i="6"/>
  <c r="P45" i="6"/>
  <c r="R46" i="6"/>
  <c r="Q46" i="6"/>
  <c r="P46" i="6"/>
  <c r="R47" i="6"/>
  <c r="Q47" i="6"/>
  <c r="P47" i="6"/>
  <c r="R48" i="6"/>
  <c r="Q48" i="6"/>
  <c r="P48" i="6"/>
  <c r="R49" i="6"/>
  <c r="Q49" i="6"/>
  <c r="P49" i="6"/>
  <c r="R50" i="6"/>
  <c r="Q50" i="6"/>
  <c r="P50" i="6"/>
  <c r="R51" i="6"/>
  <c r="Q51" i="6"/>
  <c r="P51" i="6"/>
  <c r="R52" i="6"/>
  <c r="Q52" i="6"/>
  <c r="P52" i="6"/>
  <c r="R53" i="6"/>
  <c r="Q53" i="6"/>
  <c r="P53" i="6"/>
  <c r="R54" i="6"/>
  <c r="Q54" i="6"/>
  <c r="P54" i="6"/>
  <c r="R55" i="6"/>
  <c r="Q55" i="6"/>
  <c r="P55" i="6"/>
  <c r="R56" i="6"/>
  <c r="Q56" i="6"/>
  <c r="P56" i="6"/>
  <c r="R57" i="6"/>
  <c r="Q57" i="6"/>
  <c r="P57" i="6"/>
  <c r="R58" i="6"/>
  <c r="Q58" i="6"/>
  <c r="P58" i="6"/>
  <c r="R59" i="6"/>
  <c r="Q59" i="6"/>
  <c r="P59" i="6"/>
  <c r="R60" i="6"/>
  <c r="Q60" i="6"/>
  <c r="P60" i="6"/>
  <c r="R61" i="6"/>
  <c r="Q61" i="6"/>
  <c r="P61" i="6"/>
  <c r="R62" i="6"/>
  <c r="Q62" i="6"/>
  <c r="P62" i="6"/>
  <c r="R63" i="6"/>
  <c r="Q63" i="6"/>
  <c r="P63" i="6"/>
  <c r="R64" i="6"/>
  <c r="Q64" i="6"/>
  <c r="P64" i="6"/>
  <c r="R65" i="6"/>
  <c r="Q65" i="6"/>
  <c r="P65" i="6"/>
  <c r="R66" i="6"/>
  <c r="Q66" i="6"/>
  <c r="P66" i="6"/>
  <c r="R67" i="6"/>
  <c r="Q67" i="6"/>
  <c r="P67" i="6"/>
  <c r="R68" i="6"/>
  <c r="Q68" i="6"/>
  <c r="P68" i="6"/>
  <c r="R69" i="6"/>
  <c r="Q69" i="6"/>
  <c r="P69" i="6"/>
  <c r="R70" i="6"/>
  <c r="Q70" i="6"/>
  <c r="P70" i="6"/>
  <c r="R71" i="6"/>
  <c r="Q71" i="6"/>
  <c r="P71" i="6"/>
  <c r="R72" i="6"/>
  <c r="Q72" i="6"/>
  <c r="P72" i="6"/>
  <c r="R73" i="6"/>
  <c r="Q73" i="6"/>
  <c r="P73" i="6"/>
  <c r="R74" i="6"/>
  <c r="Q74" i="6"/>
  <c r="P74" i="6"/>
  <c r="R75" i="6"/>
  <c r="Q75" i="6"/>
  <c r="P75" i="6"/>
  <c r="R76" i="6"/>
  <c r="Q76" i="6"/>
  <c r="P76" i="6"/>
  <c r="R77" i="6"/>
  <c r="Q77" i="6"/>
  <c r="P77" i="6"/>
  <c r="R78" i="6"/>
  <c r="Q78" i="6"/>
  <c r="P78" i="6"/>
  <c r="R79" i="6"/>
  <c r="Q79" i="6"/>
  <c r="P79" i="6"/>
  <c r="R80" i="6"/>
  <c r="Q80" i="6"/>
  <c r="P80" i="6"/>
  <c r="R81" i="6"/>
  <c r="Q81" i="6"/>
  <c r="P81" i="6"/>
  <c r="R82" i="6"/>
  <c r="Q82" i="6"/>
  <c r="P82" i="6"/>
  <c r="R83" i="6"/>
  <c r="Q83" i="6"/>
  <c r="P83" i="6"/>
  <c r="R84" i="6"/>
  <c r="Q84" i="6"/>
  <c r="P84" i="6"/>
  <c r="R85" i="6"/>
  <c r="Q85" i="6"/>
  <c r="P85" i="6"/>
  <c r="R86" i="6"/>
  <c r="Q86" i="6"/>
  <c r="P86" i="6"/>
  <c r="R87" i="6"/>
  <c r="Q87" i="6"/>
  <c r="P87" i="6"/>
  <c r="R88" i="6"/>
  <c r="Q88" i="6"/>
  <c r="P88" i="6"/>
  <c r="R89" i="6"/>
  <c r="Q89" i="6"/>
  <c r="P89" i="6"/>
  <c r="R90" i="6"/>
  <c r="Q90" i="6"/>
  <c r="P90" i="6"/>
  <c r="R91" i="6"/>
  <c r="Q91" i="6"/>
  <c r="P91" i="6"/>
  <c r="R92" i="6"/>
  <c r="Q92" i="6"/>
  <c r="P92" i="6"/>
  <c r="R93" i="6"/>
  <c r="Q93" i="6"/>
  <c r="P93" i="6"/>
  <c r="R94" i="6"/>
  <c r="Q94" i="6"/>
  <c r="P94" i="6"/>
  <c r="R95" i="6"/>
  <c r="Q95" i="6"/>
  <c r="P95" i="6"/>
  <c r="R96" i="6"/>
  <c r="Q96" i="6"/>
  <c r="P96" i="6"/>
  <c r="R97" i="6"/>
  <c r="Q97" i="6"/>
  <c r="P97" i="6"/>
  <c r="R98" i="6"/>
  <c r="Q98" i="6"/>
  <c r="P98" i="6"/>
  <c r="R99" i="6"/>
  <c r="Q99" i="6"/>
  <c r="P99" i="6"/>
  <c r="R100" i="6"/>
  <c r="Q100" i="6"/>
  <c r="P100" i="6"/>
  <c r="R101" i="6"/>
  <c r="Q101" i="6"/>
  <c r="P101" i="6"/>
  <c r="R102" i="6"/>
  <c r="Q102" i="6"/>
  <c r="P102" i="6"/>
  <c r="R103" i="6"/>
  <c r="Q103" i="6"/>
  <c r="P103" i="6"/>
  <c r="R104" i="6"/>
  <c r="Q104" i="6"/>
  <c r="P104" i="6"/>
  <c r="R105" i="6"/>
  <c r="Q105" i="6"/>
  <c r="P105" i="6"/>
  <c r="R106" i="6"/>
  <c r="Q106" i="6"/>
  <c r="P106" i="6"/>
  <c r="R107" i="6"/>
  <c r="Q107" i="6"/>
  <c r="P107" i="6"/>
  <c r="R108" i="6"/>
  <c r="Q108" i="6"/>
  <c r="P108" i="6"/>
  <c r="R109" i="6"/>
  <c r="Q109" i="6"/>
  <c r="P109" i="6"/>
  <c r="R110" i="6"/>
  <c r="Q110" i="6"/>
  <c r="P110" i="6"/>
  <c r="R111" i="6"/>
  <c r="Q111" i="6"/>
  <c r="P111" i="6"/>
  <c r="R112" i="6"/>
  <c r="Q112" i="6"/>
  <c r="P112" i="6"/>
  <c r="R113" i="6"/>
  <c r="Q113" i="6"/>
  <c r="P113" i="6"/>
  <c r="R114" i="6"/>
  <c r="Q114" i="6"/>
  <c r="P114" i="6"/>
  <c r="R115" i="6"/>
  <c r="Q115" i="6"/>
  <c r="P115" i="6"/>
  <c r="R116" i="6"/>
  <c r="Q116" i="6"/>
  <c r="P116" i="6"/>
  <c r="R117" i="6"/>
  <c r="Q117" i="6"/>
  <c r="P117" i="6"/>
  <c r="R118" i="6"/>
  <c r="Q118" i="6"/>
  <c r="P118" i="6"/>
  <c r="R119" i="6"/>
  <c r="Q119" i="6"/>
  <c r="P119" i="6"/>
  <c r="R120" i="6"/>
  <c r="Q120" i="6"/>
  <c r="P120" i="6"/>
  <c r="R121" i="6"/>
  <c r="Q121" i="6"/>
  <c r="P121" i="6"/>
  <c r="R122" i="6"/>
  <c r="Q122" i="6"/>
  <c r="P122" i="6"/>
  <c r="R123" i="6"/>
  <c r="Q123" i="6"/>
  <c r="P123" i="6"/>
  <c r="R124" i="6"/>
  <c r="Q124" i="6"/>
  <c r="P124" i="6"/>
  <c r="R125" i="6"/>
  <c r="Q125" i="6"/>
  <c r="P125" i="6"/>
  <c r="R126" i="6"/>
  <c r="Q126" i="6"/>
  <c r="P126" i="6"/>
  <c r="R127" i="6"/>
  <c r="Q127" i="6"/>
  <c r="P127" i="6"/>
  <c r="R128" i="6"/>
  <c r="Q128" i="6"/>
  <c r="P128" i="6"/>
  <c r="R129" i="6"/>
  <c r="Q129" i="6"/>
  <c r="P129" i="6"/>
  <c r="R130" i="6"/>
  <c r="Q130" i="6"/>
  <c r="P130" i="6"/>
  <c r="R131" i="6"/>
  <c r="Q131" i="6"/>
  <c r="P131" i="6"/>
  <c r="R132" i="6"/>
  <c r="Q132" i="6"/>
  <c r="P132" i="6"/>
  <c r="R133" i="6"/>
  <c r="Q133" i="6"/>
  <c r="P133" i="6"/>
  <c r="R134" i="6"/>
  <c r="Q134" i="6"/>
  <c r="P134" i="6"/>
  <c r="R135" i="6"/>
  <c r="Q135" i="6"/>
  <c r="P135" i="6"/>
  <c r="R136" i="6"/>
  <c r="Q136" i="6"/>
  <c r="P136" i="6"/>
  <c r="R137" i="6"/>
  <c r="Q137" i="6"/>
  <c r="P137" i="6"/>
  <c r="R138" i="6"/>
  <c r="Q138" i="6"/>
  <c r="P138" i="6"/>
  <c r="R139" i="6"/>
  <c r="Q139" i="6"/>
  <c r="P139" i="6"/>
  <c r="R140" i="6"/>
  <c r="Q140" i="6"/>
  <c r="P140" i="6"/>
  <c r="R141" i="6"/>
  <c r="Q141" i="6"/>
  <c r="P141" i="6"/>
  <c r="R142" i="6"/>
  <c r="Q142" i="6"/>
  <c r="P142" i="6"/>
  <c r="R143" i="6"/>
  <c r="Q143" i="6"/>
  <c r="P143" i="6"/>
  <c r="R144" i="6"/>
  <c r="Q144" i="6"/>
  <c r="P144" i="6"/>
  <c r="R145" i="6"/>
  <c r="Q145" i="6"/>
  <c r="P145" i="6"/>
  <c r="R146" i="6"/>
  <c r="Q146" i="6"/>
  <c r="P146" i="6"/>
  <c r="R147" i="6"/>
  <c r="Q147" i="6"/>
  <c r="P147" i="6"/>
  <c r="R148" i="6"/>
  <c r="Q148" i="6"/>
  <c r="P148" i="6"/>
  <c r="R149" i="6"/>
  <c r="Q149" i="6"/>
  <c r="P149" i="6"/>
  <c r="R150" i="6"/>
  <c r="Q150" i="6"/>
  <c r="P150" i="6"/>
  <c r="R151" i="6"/>
  <c r="Q151" i="6"/>
  <c r="P151" i="6"/>
  <c r="R152" i="6"/>
  <c r="Q152" i="6"/>
  <c r="P152" i="6"/>
  <c r="R153" i="6"/>
  <c r="Q153" i="6"/>
  <c r="P153" i="6"/>
  <c r="R154" i="6"/>
  <c r="Q154" i="6"/>
  <c r="P154" i="6"/>
  <c r="R155" i="6"/>
  <c r="Q155" i="6"/>
  <c r="P155" i="6"/>
  <c r="R156" i="6"/>
  <c r="Q156" i="6"/>
  <c r="P156" i="6"/>
  <c r="R157" i="6"/>
  <c r="Q157" i="6"/>
  <c r="P157" i="6"/>
  <c r="R158" i="6"/>
  <c r="Q158" i="6"/>
  <c r="P158" i="6"/>
  <c r="R159" i="6"/>
  <c r="Q159" i="6"/>
  <c r="P159" i="6"/>
  <c r="R160" i="6"/>
  <c r="Q160" i="6"/>
  <c r="P160" i="6"/>
  <c r="R161" i="6"/>
  <c r="Q161" i="6"/>
  <c r="P161" i="6"/>
  <c r="R162" i="6"/>
  <c r="Q162" i="6"/>
  <c r="P162" i="6"/>
  <c r="R163" i="6"/>
  <c r="Q163" i="6"/>
  <c r="P163" i="6"/>
  <c r="R164" i="6"/>
  <c r="Q164" i="6"/>
  <c r="P164" i="6"/>
  <c r="R165" i="6"/>
  <c r="Q165" i="6"/>
  <c r="P165" i="6"/>
  <c r="R166" i="6"/>
  <c r="Q166" i="6"/>
  <c r="P166" i="6"/>
  <c r="R167" i="6"/>
  <c r="Q167" i="6"/>
  <c r="P167" i="6"/>
  <c r="R168" i="6"/>
  <c r="Q168" i="6"/>
  <c r="P168" i="6"/>
  <c r="R169" i="6"/>
  <c r="Q169" i="6"/>
  <c r="P169" i="6"/>
  <c r="R170" i="6"/>
  <c r="Q170" i="6"/>
  <c r="P170" i="6"/>
  <c r="R171" i="6"/>
  <c r="Q171" i="6"/>
  <c r="P171" i="6"/>
  <c r="R172" i="6"/>
  <c r="Q172" i="6"/>
  <c r="P172" i="6"/>
  <c r="R173" i="6"/>
  <c r="Q173" i="6"/>
  <c r="P173" i="6"/>
  <c r="R174" i="6"/>
  <c r="Q174" i="6"/>
  <c r="P174" i="6"/>
  <c r="R175" i="6"/>
  <c r="Q175" i="6"/>
  <c r="P175" i="6"/>
  <c r="R176" i="6"/>
  <c r="Q176" i="6"/>
  <c r="P176" i="6"/>
  <c r="R177" i="6"/>
  <c r="Q177" i="6"/>
  <c r="P177" i="6"/>
  <c r="R178" i="6"/>
  <c r="Q178" i="6"/>
  <c r="P178" i="6"/>
  <c r="R179" i="6"/>
  <c r="Q179" i="6"/>
  <c r="P179" i="6"/>
  <c r="R180" i="6"/>
  <c r="Q180" i="6"/>
  <c r="P180" i="6"/>
  <c r="R181" i="6"/>
  <c r="Q181" i="6"/>
  <c r="P181" i="6"/>
  <c r="R182" i="6"/>
  <c r="Q182" i="6"/>
  <c r="P182" i="6"/>
  <c r="R183" i="6"/>
  <c r="Q183" i="6"/>
  <c r="P183" i="6"/>
  <c r="R184" i="6"/>
  <c r="Q184" i="6"/>
  <c r="P184" i="6"/>
  <c r="R185" i="6"/>
  <c r="Q185" i="6"/>
  <c r="P185" i="6"/>
  <c r="R186" i="6"/>
  <c r="Q186" i="6"/>
  <c r="P186" i="6"/>
  <c r="R187" i="6"/>
  <c r="Q187" i="6"/>
  <c r="P187" i="6"/>
  <c r="R188" i="6"/>
  <c r="Q188" i="6"/>
  <c r="P188" i="6"/>
  <c r="R189" i="6"/>
  <c r="Q189" i="6"/>
  <c r="P189" i="6"/>
  <c r="R190" i="6"/>
  <c r="Q190" i="6"/>
  <c r="P190" i="6"/>
  <c r="R191" i="6"/>
  <c r="Q191" i="6"/>
  <c r="P191" i="6"/>
  <c r="R192" i="6"/>
  <c r="Q192" i="6"/>
  <c r="P192" i="6"/>
  <c r="R193" i="6"/>
  <c r="Q193" i="6"/>
  <c r="P193" i="6"/>
  <c r="R194" i="6"/>
  <c r="Q194" i="6"/>
  <c r="P194" i="6"/>
  <c r="R195" i="6"/>
  <c r="Q195" i="6"/>
  <c r="P195" i="6"/>
  <c r="R196" i="6"/>
  <c r="Q196" i="6"/>
  <c r="P196" i="6"/>
  <c r="R197" i="6"/>
  <c r="Q197" i="6"/>
  <c r="P197" i="6"/>
  <c r="R198" i="6"/>
  <c r="Q198" i="6"/>
  <c r="P198" i="6"/>
  <c r="R199" i="6"/>
  <c r="Q199" i="6"/>
  <c r="P199" i="6"/>
  <c r="R200" i="6"/>
  <c r="Q200" i="6"/>
  <c r="P200" i="6"/>
  <c r="R201" i="6"/>
  <c r="Q201" i="6"/>
  <c r="P201" i="6"/>
  <c r="R202" i="6"/>
  <c r="Q202" i="6"/>
  <c r="P202" i="6"/>
  <c r="R203" i="6"/>
  <c r="Q203" i="6"/>
  <c r="P203" i="6"/>
  <c r="R204" i="6"/>
  <c r="Q204" i="6"/>
  <c r="P204" i="6"/>
  <c r="R205" i="6"/>
  <c r="Q205" i="6"/>
  <c r="P205" i="6"/>
  <c r="R206" i="6"/>
  <c r="Q206" i="6"/>
  <c r="P206" i="6"/>
  <c r="R207" i="6"/>
  <c r="Q207" i="6"/>
  <c r="P207" i="6"/>
  <c r="R208" i="6"/>
  <c r="Q208" i="6"/>
  <c r="P208" i="6"/>
  <c r="R209" i="6"/>
  <c r="Q209" i="6"/>
  <c r="P209" i="6"/>
  <c r="R210" i="6"/>
  <c r="Q210" i="6"/>
  <c r="P210" i="6"/>
  <c r="R211" i="6"/>
  <c r="Q211" i="6"/>
  <c r="P211" i="6"/>
  <c r="R212" i="6"/>
  <c r="Q212" i="6"/>
  <c r="P212" i="6"/>
  <c r="R213" i="6"/>
  <c r="Q213" i="6"/>
  <c r="P213" i="6"/>
  <c r="R214" i="6"/>
  <c r="Q214" i="6"/>
  <c r="P214" i="6"/>
  <c r="R215" i="6"/>
  <c r="Q215" i="6"/>
  <c r="P215" i="6"/>
  <c r="R216" i="6"/>
  <c r="Q216" i="6"/>
  <c r="P216" i="6"/>
  <c r="R217" i="6"/>
  <c r="Q217" i="6"/>
  <c r="P217" i="6"/>
  <c r="R218" i="6"/>
  <c r="Q218" i="6"/>
  <c r="P218" i="6"/>
  <c r="R219" i="6"/>
  <c r="Q219" i="6"/>
  <c r="P219" i="6"/>
  <c r="R220" i="6"/>
  <c r="Q220" i="6"/>
  <c r="P220" i="6"/>
  <c r="R221" i="6"/>
  <c r="Q221" i="6"/>
  <c r="P221" i="6"/>
  <c r="R222" i="6"/>
  <c r="Q222" i="6"/>
  <c r="P222" i="6"/>
  <c r="R223" i="6"/>
  <c r="Q223" i="6"/>
  <c r="P223" i="6"/>
  <c r="R224" i="6"/>
  <c r="Q224" i="6"/>
  <c r="P224" i="6"/>
  <c r="R225" i="6"/>
  <c r="Q225" i="6"/>
  <c r="P225" i="6"/>
  <c r="R226" i="6"/>
  <c r="Q226" i="6"/>
  <c r="P226" i="6"/>
  <c r="R227" i="6"/>
  <c r="Q227" i="6"/>
  <c r="P227" i="6"/>
  <c r="R228" i="6"/>
  <c r="Q228" i="6"/>
  <c r="P228" i="6"/>
  <c r="R229" i="6"/>
  <c r="Q229" i="6"/>
  <c r="P229" i="6"/>
  <c r="R230" i="6"/>
  <c r="Q230" i="6"/>
  <c r="P230" i="6"/>
  <c r="R231" i="6"/>
  <c r="Q231" i="6"/>
  <c r="P231" i="6"/>
  <c r="R232" i="6"/>
  <c r="Q232" i="6"/>
  <c r="P232" i="6"/>
  <c r="R233" i="6"/>
  <c r="Q233" i="6"/>
  <c r="P233" i="6"/>
  <c r="R234" i="6"/>
  <c r="Q234" i="6"/>
  <c r="P234" i="6"/>
  <c r="R235" i="6"/>
  <c r="Q235" i="6"/>
  <c r="P235" i="6"/>
  <c r="R236" i="6"/>
  <c r="Q236" i="6"/>
  <c r="P236" i="6"/>
  <c r="R237" i="6"/>
  <c r="Q237" i="6"/>
  <c r="P237" i="6"/>
  <c r="R238" i="6"/>
  <c r="Q238" i="6"/>
  <c r="P238" i="6"/>
  <c r="R239" i="6"/>
  <c r="Q239" i="6"/>
  <c r="P239" i="6"/>
  <c r="R240" i="6"/>
  <c r="Q240" i="6"/>
  <c r="P240" i="6"/>
  <c r="R241" i="6"/>
  <c r="Q241" i="6"/>
  <c r="P241" i="6"/>
  <c r="R242" i="6"/>
  <c r="Q242" i="6"/>
  <c r="P242" i="6"/>
  <c r="R243" i="6"/>
  <c r="Q243" i="6"/>
  <c r="P243" i="6"/>
  <c r="R244" i="6"/>
  <c r="Q244" i="6"/>
  <c r="P244" i="6"/>
  <c r="R245" i="6"/>
  <c r="Q245" i="6"/>
  <c r="P245" i="6"/>
  <c r="R246" i="6"/>
  <c r="Q246" i="6"/>
  <c r="P246" i="6"/>
  <c r="R247" i="6"/>
  <c r="Q247" i="6"/>
  <c r="P247" i="6"/>
  <c r="R248" i="6"/>
  <c r="Q248" i="6"/>
  <c r="P248" i="6"/>
  <c r="R249" i="6"/>
  <c r="Q249" i="6"/>
  <c r="P249" i="6"/>
  <c r="R250" i="6"/>
  <c r="Q250" i="6"/>
  <c r="P250" i="6"/>
  <c r="R251" i="6"/>
  <c r="Q251" i="6"/>
  <c r="P251" i="6"/>
  <c r="R252" i="6"/>
  <c r="Q252" i="6"/>
  <c r="P252" i="6"/>
  <c r="R253" i="6"/>
  <c r="Q253" i="6"/>
  <c r="P253" i="6"/>
  <c r="R254" i="6"/>
  <c r="Q254" i="6"/>
  <c r="P254" i="6"/>
  <c r="R255" i="6"/>
  <c r="Q255" i="6"/>
  <c r="P255" i="6"/>
  <c r="R256" i="6"/>
  <c r="Q256" i="6"/>
  <c r="P256" i="6"/>
  <c r="R257" i="6"/>
  <c r="Q257" i="6"/>
  <c r="P257" i="6"/>
  <c r="R258" i="6"/>
  <c r="Q258" i="6"/>
  <c r="P258" i="6"/>
  <c r="R259" i="6"/>
  <c r="Q259" i="6"/>
  <c r="P259" i="6"/>
  <c r="R260" i="6"/>
  <c r="Q260" i="6"/>
  <c r="P260" i="6"/>
  <c r="R261" i="6"/>
  <c r="Q261" i="6"/>
  <c r="P261" i="6"/>
  <c r="R262" i="6"/>
  <c r="Q262" i="6"/>
  <c r="P262" i="6"/>
  <c r="R263" i="6"/>
  <c r="Q263" i="6"/>
  <c r="P263" i="6"/>
  <c r="R264" i="6"/>
  <c r="Q264" i="6"/>
  <c r="P264" i="6"/>
  <c r="R265" i="6"/>
  <c r="Q265" i="6"/>
  <c r="P265" i="6"/>
  <c r="R266" i="6"/>
  <c r="Q266" i="6"/>
  <c r="P266" i="6"/>
  <c r="R267" i="6"/>
  <c r="Q267" i="6"/>
  <c r="P267" i="6"/>
  <c r="R268" i="6"/>
  <c r="Q268" i="6"/>
  <c r="P268" i="6"/>
  <c r="R269" i="6"/>
  <c r="Q269" i="6"/>
  <c r="P269" i="6"/>
  <c r="R270" i="6"/>
  <c r="Q270" i="6"/>
  <c r="P270" i="6"/>
  <c r="R271" i="6"/>
  <c r="Q271" i="6"/>
  <c r="P271" i="6"/>
  <c r="R272" i="6"/>
  <c r="Q272" i="6"/>
  <c r="P272" i="6"/>
  <c r="R273" i="6"/>
  <c r="Q273" i="6"/>
  <c r="P273" i="6"/>
  <c r="R274" i="6"/>
  <c r="Q274" i="6"/>
  <c r="P274" i="6"/>
  <c r="R275" i="6"/>
  <c r="Q275" i="6"/>
  <c r="P275" i="6"/>
  <c r="R276" i="6"/>
  <c r="Q276" i="6"/>
  <c r="P276" i="6"/>
  <c r="R277" i="6"/>
  <c r="Q277" i="6"/>
  <c r="P277" i="6"/>
  <c r="R278" i="6"/>
  <c r="Q278" i="6"/>
  <c r="P278" i="6"/>
  <c r="R279" i="6"/>
  <c r="Q279" i="6"/>
  <c r="P279" i="6"/>
  <c r="R280" i="6"/>
  <c r="Q280" i="6"/>
  <c r="P280" i="6"/>
  <c r="R281" i="6"/>
  <c r="Q281" i="6"/>
  <c r="P281" i="6"/>
  <c r="R282" i="6"/>
  <c r="Q282" i="6"/>
  <c r="P282" i="6"/>
  <c r="R283" i="6"/>
  <c r="Q283" i="6"/>
  <c r="P283" i="6"/>
  <c r="R284" i="6"/>
  <c r="Q284" i="6"/>
  <c r="P284" i="6"/>
  <c r="R285" i="6"/>
  <c r="Q285" i="6"/>
  <c r="P285" i="6"/>
  <c r="R286" i="6"/>
  <c r="Q286" i="6"/>
  <c r="P286" i="6"/>
  <c r="R287" i="6"/>
  <c r="Q287" i="6"/>
  <c r="P287" i="6"/>
  <c r="R288" i="6"/>
  <c r="Q288" i="6"/>
  <c r="P288" i="6"/>
  <c r="R289" i="6"/>
  <c r="Q289" i="6"/>
  <c r="P289" i="6"/>
  <c r="R290" i="6"/>
  <c r="Q290" i="6"/>
  <c r="P290" i="6"/>
  <c r="R291" i="6"/>
  <c r="Q291" i="6"/>
  <c r="P291" i="6"/>
  <c r="R292" i="6"/>
  <c r="Q292" i="6"/>
  <c r="P292" i="6"/>
  <c r="R293" i="6"/>
  <c r="Q293" i="6"/>
  <c r="P293" i="6"/>
  <c r="R294" i="6"/>
  <c r="Q294" i="6"/>
  <c r="P294" i="6"/>
  <c r="R295" i="6"/>
  <c r="Q295" i="6"/>
  <c r="P295" i="6"/>
  <c r="R296" i="6"/>
  <c r="Q296" i="6"/>
  <c r="P296" i="6"/>
  <c r="R297" i="6"/>
  <c r="Q297" i="6"/>
  <c r="P297" i="6"/>
  <c r="R298" i="6"/>
  <c r="Q298" i="6"/>
  <c r="P298" i="6"/>
  <c r="R299" i="6"/>
  <c r="Q299" i="6"/>
  <c r="P299" i="6"/>
  <c r="R300" i="6"/>
  <c r="Q300" i="6"/>
  <c r="P300" i="6"/>
  <c r="R301" i="6"/>
  <c r="Q301" i="6"/>
  <c r="P301" i="6"/>
  <c r="E15" i="7"/>
  <c r="D15" i="7"/>
  <c r="C15" i="7"/>
  <c r="B15" i="7"/>
  <c r="F15" i="7" s="1"/>
  <c r="E14" i="7"/>
  <c r="D14" i="7"/>
  <c r="C14" i="7"/>
  <c r="B14" i="7"/>
  <c r="F14" i="7" s="1"/>
  <c r="E13" i="7"/>
  <c r="D13" i="7"/>
  <c r="C13" i="7"/>
  <c r="B13" i="7"/>
  <c r="F13" i="7" s="1"/>
  <c r="E12" i="7"/>
  <c r="D12" i="7"/>
  <c r="C12" i="7"/>
  <c r="B12" i="7"/>
  <c r="F12" i="7" s="1"/>
  <c r="E11" i="7"/>
  <c r="D11" i="7"/>
  <c r="C11" i="7"/>
  <c r="B11" i="7"/>
  <c r="F11" i="7" s="1"/>
  <c r="E10" i="7"/>
  <c r="D10" i="7"/>
  <c r="C10" i="7"/>
  <c r="B10" i="7"/>
  <c r="F10" i="7" s="1"/>
  <c r="E9" i="7"/>
  <c r="D9" i="7"/>
  <c r="C9" i="7"/>
  <c r="B9" i="7"/>
  <c r="F9" i="7" s="1"/>
  <c r="E8" i="7"/>
  <c r="C8" i="7"/>
  <c r="B8" i="7"/>
  <c r="E7" i="7"/>
  <c r="E6" i="7"/>
  <c r="D6" i="7"/>
  <c r="H6" i="7" s="1"/>
  <c r="C6" i="7"/>
  <c r="B6" i="7"/>
  <c r="F6" i="7" s="1"/>
  <c r="E5" i="7"/>
  <c r="D5" i="7"/>
  <c r="H5" i="7" s="1"/>
  <c r="C5" i="7"/>
  <c r="B5" i="7"/>
  <c r="F5" i="7" s="1"/>
  <c r="E4" i="7"/>
  <c r="D4" i="7"/>
  <c r="C4" i="7"/>
  <c r="B4" i="7"/>
  <c r="D16" i="8"/>
  <c r="C16" i="8"/>
  <c r="B16" i="8"/>
  <c r="D15" i="8"/>
  <c r="C15" i="8"/>
  <c r="B15" i="8"/>
  <c r="J14" i="8"/>
  <c r="I14" i="8"/>
  <c r="H14" i="8"/>
  <c r="D14" i="8"/>
  <c r="C14" i="8"/>
  <c r="B14" i="8"/>
  <c r="J13" i="8"/>
  <c r="I13" i="8"/>
  <c r="H13" i="8"/>
  <c r="D13" i="8"/>
  <c r="C13" i="8"/>
  <c r="B13" i="8"/>
  <c r="T12" i="8"/>
  <c r="S12" i="8"/>
  <c r="R12" i="8"/>
  <c r="J12" i="8"/>
  <c r="I12" i="8"/>
  <c r="H12" i="8"/>
  <c r="D12" i="8"/>
  <c r="C12" i="8"/>
  <c r="B12" i="8"/>
  <c r="T11" i="8"/>
  <c r="S11" i="8"/>
  <c r="R11" i="8"/>
  <c r="J11" i="8"/>
  <c r="I11" i="8"/>
  <c r="H11" i="8"/>
  <c r="D11" i="8"/>
  <c r="C11" i="8"/>
  <c r="B11" i="8"/>
  <c r="T10" i="8"/>
  <c r="R10" i="8"/>
  <c r="O10" i="8"/>
  <c r="N10" i="8"/>
  <c r="M10" i="8"/>
  <c r="J10" i="8"/>
  <c r="I10" i="8"/>
  <c r="H10" i="8"/>
  <c r="D10" i="8"/>
  <c r="C10" i="8"/>
  <c r="B10" i="8"/>
  <c r="T9" i="8"/>
  <c r="S9" i="8"/>
  <c r="R9" i="8"/>
  <c r="O9" i="8"/>
  <c r="N9" i="8"/>
  <c r="M9" i="8"/>
  <c r="J9" i="8"/>
  <c r="I9" i="8"/>
  <c r="H9" i="8"/>
  <c r="D9" i="8"/>
  <c r="B9" i="8"/>
  <c r="X8" i="8"/>
  <c r="W8" i="8"/>
  <c r="T8" i="8"/>
  <c r="S8" i="8"/>
  <c r="R8" i="8"/>
  <c r="O8" i="8"/>
  <c r="N8" i="8"/>
  <c r="M8" i="8"/>
  <c r="J8" i="8"/>
  <c r="I8" i="8"/>
  <c r="H8" i="8"/>
  <c r="D8" i="8"/>
  <c r="B8" i="8"/>
  <c r="X7" i="8"/>
  <c r="W7" i="8"/>
  <c r="T7" i="8"/>
  <c r="S7" i="8"/>
  <c r="R7" i="8"/>
  <c r="O7" i="8"/>
  <c r="N7" i="8"/>
  <c r="M7" i="8"/>
  <c r="J7" i="8"/>
  <c r="I7" i="8"/>
  <c r="H7" i="8"/>
  <c r="D7" i="8"/>
  <c r="C7" i="8"/>
  <c r="B7" i="8"/>
  <c r="X6" i="8"/>
  <c r="W6" i="8"/>
  <c r="T6" i="8"/>
  <c r="S6" i="8"/>
  <c r="R6" i="8"/>
  <c r="O6" i="8"/>
  <c r="N6" i="8"/>
  <c r="M6" i="8"/>
  <c r="J6" i="8"/>
  <c r="I6" i="8"/>
  <c r="H6" i="8"/>
  <c r="D6" i="8"/>
  <c r="C6" i="8"/>
  <c r="B6" i="8"/>
  <c r="X5" i="8"/>
  <c r="W5" i="8"/>
  <c r="T5" i="8"/>
  <c r="S5" i="8"/>
  <c r="R5" i="8"/>
  <c r="O5" i="8"/>
  <c r="M5" i="8"/>
  <c r="J5" i="8"/>
  <c r="I5" i="8"/>
  <c r="H5" i="8"/>
  <c r="D5" i="8"/>
  <c r="C5" i="8"/>
  <c r="B5" i="8"/>
  <c r="E16" i="7" l="1"/>
  <c r="F4" i="7"/>
  <c r="H4" i="7"/>
  <c r="B99" i="9" l="1"/>
  <c r="B98" i="9"/>
  <c r="H97" i="9"/>
  <c r="B97" i="9"/>
  <c r="H96" i="9"/>
  <c r="B96" i="9"/>
  <c r="H95" i="9"/>
  <c r="E95" i="9"/>
  <c r="B95" i="9"/>
  <c r="H94" i="9"/>
  <c r="E94" i="9"/>
  <c r="B94" i="9"/>
  <c r="H93" i="9"/>
  <c r="E93" i="9"/>
  <c r="B93" i="9"/>
  <c r="H92" i="9"/>
  <c r="E92" i="9"/>
  <c r="B92" i="9"/>
  <c r="H91" i="9"/>
  <c r="E91" i="9"/>
  <c r="B91" i="9"/>
  <c r="H90" i="9"/>
  <c r="E90" i="9"/>
  <c r="B90" i="9"/>
  <c r="X4" i="9"/>
  <c r="J4" i="9" s="1"/>
  <c r="X2" i="9"/>
  <c r="X10" i="9" s="1"/>
  <c r="D10" i="9" s="1"/>
  <c r="X3" i="9"/>
  <c r="G4" i="9" s="1"/>
  <c r="P2" i="6"/>
  <c r="Q2" i="6" s="1"/>
  <c r="R2" i="6" s="1"/>
  <c r="P4" i="6"/>
  <c r="Q4" i="6" s="1"/>
  <c r="R4" i="6" s="1"/>
  <c r="P3" i="6"/>
  <c r="Q3" i="6" s="1"/>
  <c r="R3" i="6" s="1"/>
  <c r="C7" i="7"/>
  <c r="C16" i="7" s="1"/>
  <c r="B7" i="7"/>
  <c r="B16" i="7" s="1"/>
  <c r="Y8" i="5"/>
  <c r="P8" i="5"/>
  <c r="C9" i="8" l="1"/>
  <c r="D8" i="7"/>
  <c r="F8" i="7" s="1"/>
  <c r="X7" i="9"/>
  <c r="G7" i="9" s="1"/>
  <c r="X8" i="9"/>
  <c r="J7" i="9" s="1"/>
  <c r="X9" i="9"/>
  <c r="M7" i="9" s="1"/>
  <c r="W10" i="8"/>
  <c r="X12" i="9"/>
  <c r="J10" i="9" s="1"/>
  <c r="X5" i="9"/>
  <c r="M4" i="9" s="1"/>
  <c r="X6" i="9"/>
  <c r="D7" i="9" s="1"/>
  <c r="D4" i="9"/>
  <c r="C8" i="8"/>
  <c r="D7" i="7"/>
  <c r="F7" i="7" s="1"/>
  <c r="S10" i="8"/>
  <c r="N5" i="8"/>
  <c r="W12" i="8" l="1"/>
  <c r="W11" i="8"/>
  <c r="D16" i="7"/>
  <c r="F16" i="7" s="1"/>
  <c r="H7" i="7"/>
  <c r="X11" i="9" l="1"/>
  <c r="G10" i="9" s="1"/>
  <c r="H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Si la carga del equipo se hizo desde el batán, elegir aquí el ID BATAN-xxxx para descontar stock automáticamente.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Registrar aquí cada carga del batán realizada en la estación de servicio. Luego, desde CARGAS DE COMBUSTIBLE, vincular las cargas a equipos con el ID BATAN-xxxx.</t>
        </r>
      </text>
    </comment>
  </commentList>
</comments>
</file>

<file path=xl/sharedStrings.xml><?xml version="1.0" encoding="utf-8"?>
<sst xmlns="http://schemas.openxmlformats.org/spreadsheetml/2006/main" count="449" uniqueCount="247">
  <si>
    <t>CONTROL DE COMBUSTIBLE</t>
  </si>
  <si>
    <t>Planilla integral para registro, análisis y conciliación mensual con proveedor</t>
  </si>
  <si>
    <t>Objetivo</t>
  </si>
  <si>
    <t>Registrar cada carga, controlar consumos, detectar desvíos y validar el pago mensual al proveedor.</t>
  </si>
  <si>
    <t>Uso sugerido</t>
  </si>
  <si>
    <t>1) Completar maestros. 2) Registrar cargas en la hoja principal. 3) Revisar alertas. 4) Conciliar factura en Control Mensual. 5) Analizar KPIs en Dashboard.</t>
  </si>
  <si>
    <t>Fecha de actualización</t>
  </si>
  <si>
    <t>Hojas incluidas</t>
  </si>
  <si>
    <t>Inicio, Maestros, Cargas, Control Mensual Proveedor, Indicadores y Dashboard.</t>
  </si>
  <si>
    <t>Accesos rápidos</t>
  </si>
  <si>
    <t>Ir a cargas</t>
  </si>
  <si>
    <t>Ir a dashboard</t>
  </si>
  <si>
    <t>Ir a control mensual</t>
  </si>
  <si>
    <t>Código interno</t>
  </si>
  <si>
    <t>Tipo de unidad</t>
  </si>
  <si>
    <t>Descripción</t>
  </si>
  <si>
    <t>Marca</t>
  </si>
  <si>
    <t>Modelo</t>
  </si>
  <si>
    <t>Patente</t>
  </si>
  <si>
    <t>Año</t>
  </si>
  <si>
    <t>Tipo de combustible</t>
  </si>
  <si>
    <t>Capacidad de tanque</t>
  </si>
  <si>
    <t>Área / sector</t>
  </si>
  <si>
    <t>Responsable habitual</t>
  </si>
  <si>
    <t>Estado</t>
  </si>
  <si>
    <t>C-001</t>
  </si>
  <si>
    <t>Camioneta</t>
  </si>
  <si>
    <t>Toyota Hilux 2.4</t>
  </si>
  <si>
    <t>Toyota</t>
  </si>
  <si>
    <t>Hilux</t>
  </si>
  <si>
    <t>AE829HD</t>
  </si>
  <si>
    <t>Diesel V-Power</t>
  </si>
  <si>
    <t xml:space="preserve">G. General </t>
  </si>
  <si>
    <t>G. Regalado</t>
  </si>
  <si>
    <t>Activo</t>
  </si>
  <si>
    <t>C-002</t>
  </si>
  <si>
    <t>AG839PV</t>
  </si>
  <si>
    <t xml:space="preserve">Directorio </t>
  </si>
  <si>
    <t>C. Regalado</t>
  </si>
  <si>
    <t>C-003</t>
  </si>
  <si>
    <t>RAM 1500 5.7 V8 LARAMIE4X4</t>
  </si>
  <si>
    <t>RAM</t>
  </si>
  <si>
    <t>LARAMIE</t>
  </si>
  <si>
    <t>AE453FS</t>
  </si>
  <si>
    <t>Nafta</t>
  </si>
  <si>
    <t>C-004</t>
  </si>
  <si>
    <t>Peugeot Partner confort 1.6 HDI</t>
  </si>
  <si>
    <t>Peugeot</t>
  </si>
  <si>
    <t>Partner</t>
  </si>
  <si>
    <t>OWQ190</t>
  </si>
  <si>
    <t>Diesel-Evolux</t>
  </si>
  <si>
    <t>Obras</t>
  </si>
  <si>
    <t>C-005</t>
  </si>
  <si>
    <t>Toyota Hilux 4X4 C/S DX2.4 TDI 6M/T</t>
  </si>
  <si>
    <t>AE167AT</t>
  </si>
  <si>
    <t>CM-001</t>
  </si>
  <si>
    <t>Camión</t>
  </si>
  <si>
    <t>Iveco Tector</t>
  </si>
  <si>
    <t>Iveco</t>
  </si>
  <si>
    <t>Tector</t>
  </si>
  <si>
    <t>AC</t>
  </si>
  <si>
    <t>Logística</t>
  </si>
  <si>
    <t>CM-002</t>
  </si>
  <si>
    <t>IVECO Daily 70c17 PASO 4350</t>
  </si>
  <si>
    <t>IVECO</t>
  </si>
  <si>
    <t>Daily</t>
  </si>
  <si>
    <t>AD478QW</t>
  </si>
  <si>
    <t>EP-001</t>
  </si>
  <si>
    <t>Equipo</t>
  </si>
  <si>
    <t>Motocompresor</t>
  </si>
  <si>
    <t>EP-002</t>
  </si>
  <si>
    <t>Motosoldador</t>
  </si>
  <si>
    <t>EP-003</t>
  </si>
  <si>
    <t>Montacarga</t>
  </si>
  <si>
    <t>Longking</t>
  </si>
  <si>
    <t>MC-001</t>
  </si>
  <si>
    <t>Mini cargadora</t>
  </si>
  <si>
    <t>CAT</t>
  </si>
  <si>
    <t>Caterpillar</t>
  </si>
  <si>
    <t>Luis Martínez</t>
  </si>
  <si>
    <t>MC-002</t>
  </si>
  <si>
    <t>RP-001</t>
  </si>
  <si>
    <t>Retroexcavadora</t>
  </si>
  <si>
    <t>Hidromek</t>
  </si>
  <si>
    <t>HIDROMEK</t>
  </si>
  <si>
    <t>RP-002</t>
  </si>
  <si>
    <t>MAXION 750</t>
  </si>
  <si>
    <t>BT-001</t>
  </si>
  <si>
    <t>Batan</t>
  </si>
  <si>
    <t>Batan de 200lts</t>
  </si>
  <si>
    <t>C-006</t>
  </si>
  <si>
    <t>ISB 928</t>
  </si>
  <si>
    <t xml:space="preserve">Varios </t>
  </si>
  <si>
    <t>Nombre y apellido</t>
  </si>
  <si>
    <t>Cargo</t>
  </si>
  <si>
    <t>Área</t>
  </si>
  <si>
    <t>Observaciones</t>
  </si>
  <si>
    <t>Ariel Jofre</t>
  </si>
  <si>
    <t>Chofer</t>
  </si>
  <si>
    <t xml:space="preserve">Bruno Guevara </t>
  </si>
  <si>
    <t xml:space="preserve">Encargado de obra </t>
  </si>
  <si>
    <t xml:space="preserve">Enrico </t>
  </si>
  <si>
    <t>Gerencia</t>
  </si>
  <si>
    <t xml:space="preserve">Administracion </t>
  </si>
  <si>
    <t>Gustavo</t>
  </si>
  <si>
    <t xml:space="preserve">Gerencia General </t>
  </si>
  <si>
    <t>Adolfo</t>
  </si>
  <si>
    <t>Financiera</t>
  </si>
  <si>
    <t>Daniel Pereyra</t>
  </si>
  <si>
    <t>Maquinista</t>
  </si>
  <si>
    <t>Martin</t>
  </si>
  <si>
    <t>Daniel</t>
  </si>
  <si>
    <t>Nota:</t>
  </si>
  <si>
    <t>Para los que usan los vehiculos si o si tiene que tener gestionados los permisos de manejo y el carnet de conducir comun o prefesional según corresponda</t>
  </si>
  <si>
    <t>Código</t>
  </si>
  <si>
    <t>Obra / sector</t>
  </si>
  <si>
    <t>Cliente</t>
  </si>
  <si>
    <t>Ubicación</t>
  </si>
  <si>
    <t>OB-001</t>
  </si>
  <si>
    <t xml:space="preserve">Barrio Don Jose </t>
  </si>
  <si>
    <t xml:space="preserve">Gobierno </t>
  </si>
  <si>
    <t>Activa</t>
  </si>
  <si>
    <t>OB-002</t>
  </si>
  <si>
    <t xml:space="preserve">Escuela Stgo del Estero </t>
  </si>
  <si>
    <t>OB-003</t>
  </si>
  <si>
    <t xml:space="preserve">Mantenimiento Escuelas </t>
  </si>
  <si>
    <t>OB-004</t>
  </si>
  <si>
    <t xml:space="preserve">Movimientos Internos </t>
  </si>
  <si>
    <t>OB-005</t>
  </si>
  <si>
    <t>Barrio ASEC</t>
  </si>
  <si>
    <t xml:space="preserve">Borrego </t>
  </si>
  <si>
    <t>OB-006</t>
  </si>
  <si>
    <t xml:space="preserve">Barrio San Martin </t>
  </si>
  <si>
    <t>ID de carga</t>
  </si>
  <si>
    <t>Fecha</t>
  </si>
  <si>
    <t>Mes</t>
  </si>
  <si>
    <t>Día de semana</t>
  </si>
  <si>
    <t>Vehículo / equipo</t>
  </si>
  <si>
    <t>Responsable</t>
  </si>
  <si>
    <t>Obra / centro de costo</t>
  </si>
  <si>
    <t>Proveedor / estación</t>
  </si>
  <si>
    <t>Litros cargados</t>
  </si>
  <si>
    <t>Precio por litro</t>
  </si>
  <si>
    <t>Importe total</t>
  </si>
  <si>
    <t>Kilometraje al cargar</t>
  </si>
  <si>
    <t>Horómetro al cargar</t>
  </si>
  <si>
    <t>Kilómetros recorridos desde la carga anterior</t>
  </si>
  <si>
    <t>Horas trabajadas desde la carga anterior</t>
  </si>
  <si>
    <t>Rendimiento estimado</t>
  </si>
  <si>
    <t>Método de pago</t>
  </si>
  <si>
    <t xml:space="preserve">VALE DE COMBUSTIBLE </t>
  </si>
  <si>
    <t>Validación / estado del registro</t>
  </si>
  <si>
    <t>Origen de carga</t>
  </si>
  <si>
    <t>ID carga de batán</t>
  </si>
  <si>
    <t>Precio batán aplicado</t>
  </si>
  <si>
    <t>Saldo batán luego de la carga</t>
  </si>
  <si>
    <t>Shell Agro</t>
  </si>
  <si>
    <t>Cuenta corriente</t>
  </si>
  <si>
    <t>Otro</t>
  </si>
  <si>
    <t>ID de carga batán</t>
  </si>
  <si>
    <t>Batán / depósito</t>
  </si>
  <si>
    <t>Capacidad (L)</t>
  </si>
  <si>
    <t>Litros cargados al batán</t>
  </si>
  <si>
    <t>N° remito estación</t>
  </si>
  <si>
    <t>N° vale empresa</t>
  </si>
  <si>
    <t>Litros descargados a equipos</t>
  </si>
  <si>
    <t>Saldo del movimiento</t>
  </si>
  <si>
    <t>Estado del movimiento</t>
  </si>
  <si>
    <t>Diesel - EVOLUX</t>
  </si>
  <si>
    <t>CONTROL MENSUAL Y CONCILIACIÓN CON PROVEEDOR</t>
  </si>
  <si>
    <t>Año a controlar</t>
  </si>
  <si>
    <t>Total de cargas</t>
  </si>
  <si>
    <t>Total litros</t>
  </si>
  <si>
    <t>Importe planilla</t>
  </si>
  <si>
    <t>Cantidad de tickets</t>
  </si>
  <si>
    <t>Promedio por carga</t>
  </si>
  <si>
    <t>Factura proveedor</t>
  </si>
  <si>
    <t>Diferencia</t>
  </si>
  <si>
    <t>Observaciones conciliación</t>
  </si>
  <si>
    <t>Enero</t>
  </si>
  <si>
    <t>Controlado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</si>
  <si>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</si>
  <si>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</si>
  <si>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</si>
  <si>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</si>
  <si>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</si>
  <si>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</si>
  <si>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</si>
  <si>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</si>
  <si>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</si>
  <si>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</si>
  <si>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</si>
  <si>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</si>
  <si>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INDICADORES Y RESÚMENES AUTOMÁTICOS</t>
  </si>
  <si>
    <t>Año analizado</t>
  </si>
  <si>
    <t>Evolución mensual</t>
  </si>
  <si>
    <t>Consumo por unidad</t>
  </si>
  <si>
    <t>Consumo por obra / centro de costo</t>
  </si>
  <si>
    <t>Consumo por responsable</t>
  </si>
  <si>
    <t>Distribución por tipo de combustible</t>
  </si>
  <si>
    <t>Litros</t>
  </si>
  <si>
    <t>Importe</t>
  </si>
  <si>
    <t>Cargas</t>
  </si>
  <si>
    <t>Unidad</t>
  </si>
  <si>
    <t>Obra</t>
  </si>
  <si>
    <t>Diesel - VPower</t>
  </si>
  <si>
    <t>Aceite</t>
  </si>
  <si>
    <t>Registros incompletos</t>
  </si>
  <si>
    <t>Variación mensual importe</t>
  </si>
  <si>
    <t>DASHBOARD EJECUTIVO - CONTROL DE COMBUSTIBLE</t>
  </si>
  <si>
    <t>Total cargado ($)</t>
  </si>
  <si>
    <t>Cantidad de cargas</t>
  </si>
  <si>
    <t>Ticket promedio</t>
  </si>
  <si>
    <t>Todos</t>
  </si>
  <si>
    <t>Litros promedio por carga</t>
  </si>
  <si>
    <t>Unidad con mayor consumo</t>
  </si>
  <si>
    <t>Obra con mayor consumo</t>
  </si>
  <si>
    <t>Responsable con mayor consumo</t>
  </si>
  <si>
    <t>Tipo combustible</t>
  </si>
  <si>
    <t>Dif. vs mes anterior</t>
  </si>
  <si>
    <t>Dif. vs factura proveedor</t>
  </si>
  <si>
    <t>Registros observados</t>
  </si>
  <si>
    <t>Distribución operativa</t>
  </si>
  <si>
    <t>Consumo por obra / tipo</t>
  </si>
  <si>
    <t>Seguimiento y conciliación</t>
  </si>
  <si>
    <t>Planilla vs factura</t>
  </si>
  <si>
    <t>Cargas por mes</t>
  </si>
  <si>
    <t>Lista codigos</t>
  </si>
  <si>
    <t>Lista responsables</t>
  </si>
  <si>
    <t>Lista obras</t>
  </si>
  <si>
    <t>Lista unidades dashboard</t>
  </si>
  <si>
    <t>Pendiente</t>
  </si>
  <si>
    <t>YPF Agro</t>
  </si>
  <si>
    <t>Tarjeta flota</t>
  </si>
  <si>
    <t>Axion</t>
  </si>
  <si>
    <t>Transferencia</t>
  </si>
  <si>
    <t>Validado</t>
  </si>
  <si>
    <t>Efectivo</t>
  </si>
  <si>
    <t>Pagado</t>
  </si>
  <si>
    <t>Puma</t>
  </si>
  <si>
    <t>N°205 / REMITO N° 7687</t>
  </si>
  <si>
    <t>Iveco tector</t>
  </si>
  <si>
    <t>4174/ S-V</t>
  </si>
  <si>
    <t>S-V</t>
  </si>
  <si>
    <t>OK</t>
  </si>
  <si>
    <t>Estación de servicio</t>
  </si>
  <si>
    <t>4175/S-V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</si>
</sst>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2"/>
      <color rgb="FFFFFFFF"/>
      <name val="Calibri"/>
      <family val="2"/>
    </font>
    <font>
      <b/>
      <sz val="11"/>
      <color rgb="FF1F4E78"/>
      <name val="Calibri"/>
      <family val="2"/>
    </font>
    <font>
      <sz val="10"/>
      <color rgb="FF000000"/>
      <name val="Calibri"/>
      <family val="2"/>
    </font>
    <font>
      <b/>
      <sz val="12"/>
      <color rgb="FF1F4E78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FF"/>
      <name val="Calibri"/>
      <family val="2"/>
    </font>
    <font>
      <sz val="10"/>
      <color rgb="FF008000"/>
      <name val="Calibri"/>
      <family val="2"/>
    </font>
    <font>
      <sz val="10"/>
      <color rgb="FF666666"/>
      <name val="Calibri"/>
      <family val="2"/>
    </font>
    <font>
      <b/>
      <sz val="16"/>
      <color rgb="FF1F4E78"/>
      <name val="Calibri"/>
      <family val="2"/>
    </font>
    <font>
      <b/>
      <sz val="12"/>
      <color rgb="FFFFFFFF"/>
      <name val="Calibri"/>
      <family val="2"/>
    </font>
    <font>
      <b/>
      <sz val="10"/>
      <color rgb="FF1F4E78"/>
      <name val="Calibri"/>
      <family val="2"/>
    </font>
    <font>
      <b/>
      <sz val="20"/>
      <color rgb="FF1F4E78"/>
      <name val="Calibri"/>
      <family val="2"/>
    </font>
    <font>
      <b/>
      <sz val="10"/>
      <color rgb="FF666666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F0EE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0F766E"/>
      </patternFill>
    </fill>
    <fill>
      <patternFill patternType="solid">
        <fgColor rgb="FFE7E6E6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84">
    <xf numFmtId="0" fontId="0" fillId="0" borderId="0" xfId="0"/>
    <xf numFmtId="0" fontId="3" fillId="3" borderId="1" xfId="0" applyFont="1" applyFill="1" applyBorder="1" applyAlignment="1">
      <alignment horizontal="left"/>
    </xf>
    <xf numFmtId="0" fontId="5" fillId="0" borderId="1" xfId="0" applyFont="1" applyBorder="1"/>
    <xf numFmtId="0" fontId="6" fillId="0" borderId="0" xfId="1"/>
    <xf numFmtId="0" fontId="8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5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14" fontId="8" fillId="5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7" fillId="6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1" fillId="0" borderId="1" xfId="0" applyFont="1" applyBorder="1"/>
    <xf numFmtId="0" fontId="12" fillId="6" borderId="1" xfId="0" applyFont="1" applyFill="1" applyBorder="1"/>
    <xf numFmtId="0" fontId="4" fillId="4" borderId="1" xfId="0" applyFont="1" applyFill="1" applyBorder="1"/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/>
    <xf numFmtId="164" fontId="8" fillId="5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" fontId="8" fillId="0" borderId="16" xfId="0" applyNumberFormat="1" applyFont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7" fillId="2" borderId="1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5" borderId="13" xfId="0" applyFont="1" applyFill="1" applyBorder="1"/>
    <xf numFmtId="0" fontId="8" fillId="5" borderId="9" xfId="0" applyFont="1" applyFill="1" applyBorder="1"/>
    <xf numFmtId="0" fontId="10" fillId="4" borderId="14" xfId="0" applyFont="1" applyFill="1" applyBorder="1"/>
    <xf numFmtId="0" fontId="8" fillId="5" borderId="15" xfId="0" applyFont="1" applyFill="1" applyBorder="1"/>
    <xf numFmtId="0" fontId="8" fillId="5" borderId="16" xfId="0" applyFont="1" applyFill="1" applyBorder="1"/>
    <xf numFmtId="0" fontId="10" fillId="4" borderId="17" xfId="0" applyFont="1" applyFill="1" applyBorder="1"/>
    <xf numFmtId="2" fontId="8" fillId="5" borderId="1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wrapText="1"/>
    </xf>
    <xf numFmtId="0" fontId="8" fillId="8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wrapText="1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" fontId="8" fillId="0" borderId="9" xfId="0" applyNumberFormat="1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14" fontId="8" fillId="5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/>
    </xf>
    <xf numFmtId="164" fontId="14" fillId="4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/>
    </xf>
    <xf numFmtId="1" fontId="1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2">
    <cellStyle name="Hyperlink" xfId="1" xr:uid="{00000000-0005-0000-0000-000001000000}"/>
    <cellStyle name="Normal" xfId="0" builtinId="0"/>
  </cellStyles>
  <dxfs count="31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alignment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nidades" displayName="tblUnidades" ref="A1:L19" headerRowDxfId="30" dataDxfId="28" totalsRowDxfId="26" headerRowBorderDxfId="29" tableBorderDxfId="27">
  <autoFilter ref="A1:L19" xr:uid="{00000000-0009-0000-0100-000001000000}"/>
  <sortState xmlns:xlrd2="http://schemas.microsoft.com/office/spreadsheetml/2017/richdata2" ref="A2:L19">
    <sortCondition ref="A1:A19"/>
  </sortState>
  <tableColumns count="12">
    <tableColumn id="1" xr3:uid="{00000000-0010-0000-0000-000001000000}" name="Código interno" dataDxfId="25"/>
    <tableColumn id="2" xr3:uid="{00000000-0010-0000-0000-000002000000}" name="Tipo de unidad" dataDxfId="24"/>
    <tableColumn id="3" xr3:uid="{00000000-0010-0000-0000-000003000000}" name="Descripción" dataDxfId="23"/>
    <tableColumn id="4" xr3:uid="{00000000-0010-0000-0000-000004000000}" name="Marca" dataDxfId="22"/>
    <tableColumn id="5" xr3:uid="{00000000-0010-0000-0000-000005000000}" name="Modelo" dataDxfId="21"/>
    <tableColumn id="6" xr3:uid="{00000000-0010-0000-0000-000006000000}" name="Patente" dataDxfId="20"/>
    <tableColumn id="7" xr3:uid="{00000000-0010-0000-0000-000007000000}" name="Año" dataDxfId="19"/>
    <tableColumn id="8" xr3:uid="{00000000-0010-0000-0000-000008000000}" name="Tipo de combustible" dataDxfId="18"/>
    <tableColumn id="9" xr3:uid="{00000000-0010-0000-0000-000009000000}" name="Capacidad de tanque" dataDxfId="17"/>
    <tableColumn id="10" xr3:uid="{00000000-0010-0000-0000-00000A000000}" name="Área / sector" dataDxfId="16"/>
    <tableColumn id="11" xr3:uid="{00000000-0010-0000-0000-00000B000000}" name="Responsable habitual" dataDxfId="15"/>
    <tableColumn id="12" xr3:uid="{00000000-0010-0000-0000-00000C000000}" name="Estado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sponsables" displayName="tblResponsables" ref="A1:D9" headerRowDxfId="13" totalsRowDxfId="10" headerRowBorderDxfId="12" tableBorderDxfId="11">
  <autoFilter ref="A1:D9" xr:uid="{00000000-0009-0000-0100-000002000000}"/>
  <tableColumns count="4">
    <tableColumn id="1" xr3:uid="{00000000-0010-0000-0100-000001000000}" name="Nombre y apellido" dataDxfId="9"/>
    <tableColumn id="2" xr3:uid="{00000000-0010-0000-0100-000002000000}" name="Cargo" dataDxfId="8"/>
    <tableColumn id="3" xr3:uid="{00000000-0010-0000-0100-000003000000}" name="Área" dataDxfId="7"/>
    <tableColumn id="4" xr3:uid="{00000000-0010-0000-0100-000004000000}" name="Observacione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bras" displayName="tblObras" ref="A1:E7">
  <autoFilter ref="A1:E7" xr:uid="{00000000-0009-0000-0100-000003000000}"/>
  <tableColumns count="5">
    <tableColumn id="1" xr3:uid="{00000000-0010-0000-0200-000001000000}" name="Código"/>
    <tableColumn id="2" xr3:uid="{00000000-0010-0000-0200-000002000000}" name="Obra / sector"/>
    <tableColumn id="3" xr3:uid="{00000000-0010-0000-0200-000003000000}" name="Cliente"/>
    <tableColumn id="4" xr3:uid="{00000000-0010-0000-0200-000004000000}" name="Ubicación"/>
    <tableColumn id="5" xr3:uid="{00000000-0010-0000-0200-000005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rgas" displayName="tblCargas" ref="A1:Y301">
  <autoFilter ref="A1:Y301" xr:uid="{00000000-0009-0000-0100-000004000000}"/>
  <sortState xmlns:xlrd2="http://schemas.microsoft.com/office/spreadsheetml/2017/richdata2" ref="A2:Y301">
    <sortCondition ref="B1:B301"/>
  </sortState>
  <tableColumns count="25">
    <tableColumn id="1" xr3:uid="{00000000-0010-0000-0300-000001000000}" name="ID de carga"/>
    <tableColumn id="2" xr3:uid="{00000000-0010-0000-0300-000002000000}" name="Fecha"/>
    <tableColumn id="3" xr3:uid="{00000000-0010-0000-0300-000003000000}" name="Mes"/>
    <tableColumn id="4" xr3:uid="{00000000-0010-0000-0300-000004000000}" name="Año"/>
    <tableColumn id="5" xr3:uid="{00000000-0010-0000-0300-000005000000}" name="Día de semana"/>
    <tableColumn id="6" xr3:uid="{00000000-0010-0000-0300-000006000000}" name="Vehículo / equipo"/>
    <tableColumn id="7" xr3:uid="{00000000-0010-0000-0300-000007000000}" name="Código interno"/>
    <tableColumn id="8" xr3:uid="{00000000-0010-0000-0300-000008000000}" name="Patente"/>
    <tableColumn id="9" xr3:uid="{00000000-0010-0000-0300-000009000000}" name="Tipo de unidad"/>
    <tableColumn id="10" xr3:uid="{00000000-0010-0000-0300-00000A000000}" name="Responsable"/>
    <tableColumn id="11" xr3:uid="{00000000-0010-0000-0300-00000B000000}" name="Obra / centro de costo"/>
    <tableColumn id="12" xr3:uid="{00000000-0010-0000-0300-00000C000000}" name="Proveedor / estación"/>
    <tableColumn id="13" xr3:uid="{00000000-0010-0000-0300-00000D000000}" name="Tipo de combustible"/>
    <tableColumn id="14" xr3:uid="{00000000-0010-0000-0300-00000E000000}" name="Litros cargados"/>
    <tableColumn id="15" xr3:uid="{00000000-0010-0000-0300-00000F000000}" name="Precio por litro"/>
    <tableColumn id="16" xr3:uid="{00000000-0010-0000-0300-000010000000}" name="Importe total"/>
    <tableColumn id="17" xr3:uid="{00000000-0010-0000-0300-000011000000}" name="Kilometraje al cargar"/>
    <tableColumn id="18" xr3:uid="{00000000-0010-0000-0300-000012000000}" name="Horómetro al cargar"/>
    <tableColumn id="19" xr3:uid="{00000000-0010-0000-0300-000013000000}" name="Kilómetros recorridos desde la carga anterior"/>
    <tableColumn id="20" xr3:uid="{00000000-0010-0000-0300-000014000000}" name="Horas trabajadas desde la carga anterior"/>
    <tableColumn id="21" xr3:uid="{00000000-0010-0000-0300-000015000000}" name="Rendimiento estimado"/>
    <tableColumn id="22" xr3:uid="{00000000-0010-0000-0300-000016000000}" name="Método de pago"/>
    <tableColumn id="23" xr3:uid="{00000000-0010-0000-0300-000017000000}" name="VALE DE COMBUSTIBLE "/>
    <tableColumn id="24" xr3:uid="{00000000-0010-0000-0300-000018000000}" name="Observaciones"/>
    <tableColumn id="25" xr3:uid="{00000000-0010-0000-0300-000019000000}" name="Validación / estado del registr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trolProveedor" displayName="tblControlProveedor" ref="A3:J15">
  <autoFilter ref="A3:J15" xr:uid="{00000000-0009-0000-0100-000005000000}"/>
  <tableColumns count="10">
    <tableColumn id="1" xr3:uid="{00000000-0010-0000-0400-000001000000}" name="Mes"/>
    <tableColumn id="2" xr3:uid="{00000000-0010-0000-0400-000002000000}" name="Total de cargas"/>
    <tableColumn id="3" xr3:uid="{00000000-0010-0000-0400-000003000000}" name="Total litros"/>
    <tableColumn id="4" xr3:uid="{00000000-0010-0000-0400-000004000000}" name="Importe planilla"/>
    <tableColumn id="5" xr3:uid="{00000000-0010-0000-0400-000005000000}" name="Cantidad de tickets"/>
    <tableColumn id="6" xr3:uid="{00000000-0010-0000-0400-000006000000}" name="Promedio por carga"/>
    <tableColumn id="7" xr3:uid="{00000000-0010-0000-0400-000007000000}" name="Factura proveedor"/>
    <tableColumn id="8" xr3:uid="{00000000-0010-0000-0400-000008000000}" name="Diferencia"/>
    <tableColumn id="9" xr3:uid="{00000000-0010-0000-0400-000009000000}" name="Observaciones conciliación"/>
    <tableColumn id="10" xr3:uid="{00000000-0010-0000-0400-00000A000000}" name="Esta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Normal="100" workbookViewId="0">
      <selection activeCell="A12" sqref="A12"/>
    </sheetView>
  </sheetViews>
  <sheetFormatPr baseColWidth="10" defaultColWidth="9.140625" defaultRowHeight="15" x14ac:dyDescent="0.25"/>
  <cols>
    <col min="1" max="1" width="20" customWidth="1"/>
    <col min="2" max="8" width="18" customWidth="1"/>
  </cols>
  <sheetData>
    <row r="1" spans="1:8" ht="24" customHeight="1" x14ac:dyDescent="0.25">
      <c r="A1" s="70" t="s">
        <v>0</v>
      </c>
      <c r="B1" s="71"/>
      <c r="C1" s="71"/>
      <c r="D1" s="71"/>
      <c r="E1" s="71"/>
      <c r="F1" s="71"/>
      <c r="G1" s="71"/>
      <c r="H1" s="72"/>
    </row>
    <row r="2" spans="1:8" ht="24" customHeight="1" x14ac:dyDescent="0.25">
      <c r="A2" s="73"/>
      <c r="B2" s="74"/>
      <c r="C2" s="74"/>
      <c r="D2" s="74"/>
      <c r="E2" s="74"/>
      <c r="F2" s="74"/>
      <c r="G2" s="74"/>
      <c r="H2" s="75"/>
    </row>
    <row r="3" spans="1:8" ht="15.6" customHeight="1" x14ac:dyDescent="0.25">
      <c r="A3" s="68" t="s">
        <v>1</v>
      </c>
      <c r="B3" s="66"/>
      <c r="C3" s="66"/>
      <c r="D3" s="66"/>
      <c r="E3" s="66"/>
      <c r="F3" s="66"/>
      <c r="G3" s="66"/>
      <c r="H3" s="67"/>
    </row>
    <row r="5" spans="1:8" x14ac:dyDescent="0.25">
      <c r="A5" s="1" t="s">
        <v>2</v>
      </c>
      <c r="B5" s="69" t="s">
        <v>3</v>
      </c>
      <c r="C5" s="66"/>
      <c r="D5" s="66"/>
      <c r="E5" s="66"/>
      <c r="F5" s="66"/>
      <c r="G5" s="66"/>
      <c r="H5" s="67"/>
    </row>
    <row r="6" spans="1:8" x14ac:dyDescent="0.25">
      <c r="A6" s="1" t="s">
        <v>4</v>
      </c>
      <c r="B6" s="69" t="s">
        <v>5</v>
      </c>
      <c r="C6" s="66"/>
      <c r="D6" s="66"/>
      <c r="E6" s="66"/>
      <c r="F6" s="66"/>
      <c r="G6" s="66"/>
      <c r="H6" s="67"/>
    </row>
    <row r="8" spans="1:8" x14ac:dyDescent="0.25">
      <c r="A8" s="1" t="s">
        <v>6</v>
      </c>
      <c r="B8" s="65">
        <f ca="1">TODAY()</f>
        <v>46160</v>
      </c>
      <c r="C8" s="66"/>
      <c r="D8" s="66"/>
      <c r="E8" s="66"/>
      <c r="F8" s="66"/>
      <c r="G8" s="66"/>
      <c r="H8" s="67"/>
    </row>
    <row r="9" spans="1:8" x14ac:dyDescent="0.25">
      <c r="A9" s="1" t="s">
        <v>7</v>
      </c>
      <c r="B9" s="69" t="s">
        <v>8</v>
      </c>
      <c r="C9" s="66"/>
      <c r="D9" s="66"/>
      <c r="E9" s="66"/>
      <c r="F9" s="66"/>
      <c r="G9" s="66"/>
      <c r="H9" s="67"/>
    </row>
    <row r="11" spans="1:8" ht="15.6" customHeight="1" x14ac:dyDescent="0.25">
      <c r="A11" s="2" t="s">
        <v>9</v>
      </c>
    </row>
    <row r="12" spans="1:8" ht="15.6" customHeight="1" x14ac:dyDescent="0.25">
      <c r="A12" s="3" t="s">
        <v>10</v>
      </c>
    </row>
    <row r="13" spans="1:8" ht="15.6" customHeight="1" x14ac:dyDescent="0.25">
      <c r="A13" s="3" t="s">
        <v>11</v>
      </c>
    </row>
    <row r="14" spans="1:8" ht="15.6" customHeight="1" x14ac:dyDescent="0.25">
      <c r="A14" s="3" t="s">
        <v>12</v>
      </c>
    </row>
  </sheetData>
  <mergeCells count="6">
    <mergeCell ref="B8:H8"/>
    <mergeCell ref="A3:H3"/>
    <mergeCell ref="B9:H9"/>
    <mergeCell ref="B6:H6"/>
    <mergeCell ref="A1:H2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zoomScaleNormal="100" workbookViewId="0">
      <selection activeCell="E31" sqref="E31"/>
    </sheetView>
  </sheetViews>
  <sheetFormatPr baseColWidth="10" defaultColWidth="9.140625" defaultRowHeight="15" x14ac:dyDescent="0.25"/>
  <cols>
    <col min="1" max="1" width="12.140625" customWidth="1"/>
    <col min="2" max="2" width="13.5703125" customWidth="1"/>
    <col min="3" max="3" width="30.85546875" customWidth="1"/>
    <col min="4" max="12" width="12.7109375" customWidth="1"/>
  </cols>
  <sheetData>
    <row r="1" spans="1:12" s="31" customFormat="1" ht="27" customHeight="1" x14ac:dyDescent="0.25">
      <c r="A1" s="32" t="s">
        <v>13</v>
      </c>
      <c r="B1" s="39" t="s">
        <v>14</v>
      </c>
      <c r="C1" s="33" t="s">
        <v>15</v>
      </c>
      <c r="D1" s="33" t="s">
        <v>16</v>
      </c>
      <c r="E1" s="33" t="s">
        <v>17</v>
      </c>
      <c r="F1" s="33" t="s">
        <v>18</v>
      </c>
      <c r="G1" s="33" t="s">
        <v>19</v>
      </c>
      <c r="H1" s="33" t="s">
        <v>20</v>
      </c>
      <c r="I1" s="33" t="s">
        <v>21</v>
      </c>
      <c r="J1" s="33" t="s">
        <v>22</v>
      </c>
      <c r="K1" s="33" t="s">
        <v>23</v>
      </c>
      <c r="L1" s="34" t="s">
        <v>24</v>
      </c>
    </row>
    <row r="2" spans="1:12" x14ac:dyDescent="0.25">
      <c r="A2" s="57" t="s">
        <v>25</v>
      </c>
      <c r="B2" s="58" t="s">
        <v>26</v>
      </c>
      <c r="C2" s="59" t="s">
        <v>27</v>
      </c>
      <c r="D2" s="59" t="s">
        <v>28</v>
      </c>
      <c r="E2" s="59" t="s">
        <v>29</v>
      </c>
      <c r="F2" s="60" t="s">
        <v>30</v>
      </c>
      <c r="G2" s="61">
        <v>2021</v>
      </c>
      <c r="H2" s="58" t="s">
        <v>31</v>
      </c>
      <c r="I2" s="61">
        <v>80</v>
      </c>
      <c r="J2" s="58" t="s">
        <v>32</v>
      </c>
      <c r="K2" s="58" t="s">
        <v>33</v>
      </c>
      <c r="L2" s="62" t="s">
        <v>34</v>
      </c>
    </row>
    <row r="3" spans="1:12" x14ac:dyDescent="0.25">
      <c r="A3" s="57" t="s">
        <v>35</v>
      </c>
      <c r="B3" s="58" t="s">
        <v>26</v>
      </c>
      <c r="C3" s="59" t="s">
        <v>27</v>
      </c>
      <c r="D3" s="59" t="s">
        <v>28</v>
      </c>
      <c r="E3" s="59" t="s">
        <v>29</v>
      </c>
      <c r="F3" s="58" t="s">
        <v>36</v>
      </c>
      <c r="G3" s="61">
        <v>2024</v>
      </c>
      <c r="H3" s="58" t="s">
        <v>31</v>
      </c>
      <c r="I3" s="61">
        <v>80</v>
      </c>
      <c r="J3" s="58" t="s">
        <v>37</v>
      </c>
      <c r="K3" s="58" t="s">
        <v>38</v>
      </c>
      <c r="L3" s="62" t="s">
        <v>34</v>
      </c>
    </row>
    <row r="4" spans="1:12" x14ac:dyDescent="0.25">
      <c r="A4" s="57" t="s">
        <v>39</v>
      </c>
      <c r="B4" s="58" t="s">
        <v>26</v>
      </c>
      <c r="C4" s="59" t="s">
        <v>40</v>
      </c>
      <c r="D4" s="59" t="s">
        <v>41</v>
      </c>
      <c r="E4" s="59" t="s">
        <v>42</v>
      </c>
      <c r="F4" s="58" t="s">
        <v>43</v>
      </c>
      <c r="G4" s="61">
        <v>2021</v>
      </c>
      <c r="H4" s="58" t="s">
        <v>44</v>
      </c>
      <c r="I4" s="61">
        <v>98</v>
      </c>
      <c r="J4" s="58" t="s">
        <v>37</v>
      </c>
      <c r="K4" s="58" t="s">
        <v>38</v>
      </c>
      <c r="L4" s="62" t="s">
        <v>34</v>
      </c>
    </row>
    <row r="5" spans="1:12" x14ac:dyDescent="0.25">
      <c r="A5" s="57" t="s">
        <v>45</v>
      </c>
      <c r="B5" s="58" t="s">
        <v>26</v>
      </c>
      <c r="C5" s="59" t="s">
        <v>46</v>
      </c>
      <c r="D5" s="59" t="s">
        <v>47</v>
      </c>
      <c r="E5" s="59" t="s">
        <v>48</v>
      </c>
      <c r="F5" s="58" t="s">
        <v>49</v>
      </c>
      <c r="G5" s="61">
        <v>2015</v>
      </c>
      <c r="H5" s="58" t="s">
        <v>50</v>
      </c>
      <c r="I5" s="61">
        <v>55</v>
      </c>
      <c r="J5" s="58" t="s">
        <v>51</v>
      </c>
      <c r="K5" s="58"/>
      <c r="L5" s="62" t="s">
        <v>34</v>
      </c>
    </row>
    <row r="6" spans="1:12" x14ac:dyDescent="0.25">
      <c r="A6" s="57" t="s">
        <v>52</v>
      </c>
      <c r="B6" s="58" t="s">
        <v>26</v>
      </c>
      <c r="C6" s="59" t="s">
        <v>53</v>
      </c>
      <c r="D6" s="59" t="s">
        <v>28</v>
      </c>
      <c r="E6" s="59" t="s">
        <v>29</v>
      </c>
      <c r="F6" s="58" t="s">
        <v>54</v>
      </c>
      <c r="G6" s="61">
        <v>2024</v>
      </c>
      <c r="H6" s="58" t="s">
        <v>31</v>
      </c>
      <c r="I6" s="61">
        <v>80</v>
      </c>
      <c r="J6" s="58" t="s">
        <v>37</v>
      </c>
      <c r="K6" s="58" t="s">
        <v>38</v>
      </c>
      <c r="L6" s="62" t="s">
        <v>34</v>
      </c>
    </row>
    <row r="7" spans="1:12" x14ac:dyDescent="0.25">
      <c r="A7" s="57" t="s">
        <v>55</v>
      </c>
      <c r="B7" s="58" t="s">
        <v>56</v>
      </c>
      <c r="C7" s="59" t="s">
        <v>57</v>
      </c>
      <c r="D7" s="59" t="s">
        <v>58</v>
      </c>
      <c r="E7" s="59" t="s">
        <v>59</v>
      </c>
      <c r="F7" s="58" t="s">
        <v>60</v>
      </c>
      <c r="G7" s="61">
        <v>2020</v>
      </c>
      <c r="H7" s="58" t="s">
        <v>31</v>
      </c>
      <c r="I7" s="61">
        <v>150</v>
      </c>
      <c r="J7" s="58" t="s">
        <v>61</v>
      </c>
      <c r="K7" s="58"/>
      <c r="L7" s="62" t="s">
        <v>34</v>
      </c>
    </row>
    <row r="8" spans="1:12" x14ac:dyDescent="0.25">
      <c r="A8" s="57" t="s">
        <v>62</v>
      </c>
      <c r="B8" s="58" t="s">
        <v>56</v>
      </c>
      <c r="C8" s="59" t="s">
        <v>63</v>
      </c>
      <c r="D8" s="59" t="s">
        <v>64</v>
      </c>
      <c r="E8" s="59" t="s">
        <v>65</v>
      </c>
      <c r="F8" s="58" t="s">
        <v>66</v>
      </c>
      <c r="G8" s="61">
        <v>2018</v>
      </c>
      <c r="H8" s="58" t="s">
        <v>31</v>
      </c>
      <c r="I8" s="61">
        <v>100</v>
      </c>
      <c r="J8" s="58" t="s">
        <v>51</v>
      </c>
      <c r="K8" s="58"/>
      <c r="L8" s="62" t="s">
        <v>34</v>
      </c>
    </row>
    <row r="9" spans="1:12" x14ac:dyDescent="0.25">
      <c r="A9" s="57" t="s">
        <v>67</v>
      </c>
      <c r="B9" s="58" t="s">
        <v>68</v>
      </c>
      <c r="C9" s="59" t="s">
        <v>69</v>
      </c>
      <c r="D9" s="59"/>
      <c r="E9" s="59"/>
      <c r="F9" s="58"/>
      <c r="G9" s="61"/>
      <c r="H9" s="58" t="s">
        <v>50</v>
      </c>
      <c r="I9" s="61">
        <v>70</v>
      </c>
      <c r="J9" s="58" t="s">
        <v>51</v>
      </c>
      <c r="K9" s="58"/>
      <c r="L9" s="62" t="s">
        <v>34</v>
      </c>
    </row>
    <row r="10" spans="1:12" x14ac:dyDescent="0.25">
      <c r="A10" s="57" t="s">
        <v>70</v>
      </c>
      <c r="B10" s="58" t="s">
        <v>68</v>
      </c>
      <c r="C10" s="59" t="s">
        <v>71</v>
      </c>
      <c r="D10" s="59"/>
      <c r="E10" s="59"/>
      <c r="F10" s="58"/>
      <c r="G10" s="61"/>
      <c r="H10" s="58" t="s">
        <v>50</v>
      </c>
      <c r="I10" s="61"/>
      <c r="J10" s="58" t="s">
        <v>51</v>
      </c>
      <c r="K10" s="58"/>
      <c r="L10" s="62"/>
    </row>
    <row r="11" spans="1:12" x14ac:dyDescent="0.25">
      <c r="A11" s="57" t="s">
        <v>72</v>
      </c>
      <c r="B11" s="58" t="s">
        <v>68</v>
      </c>
      <c r="C11" s="59" t="s">
        <v>73</v>
      </c>
      <c r="D11" s="59" t="s">
        <v>74</v>
      </c>
      <c r="E11" s="59"/>
      <c r="F11" s="58"/>
      <c r="G11" s="61"/>
      <c r="H11" s="58" t="s">
        <v>50</v>
      </c>
      <c r="I11" s="61"/>
      <c r="J11" s="58"/>
      <c r="K11" s="58"/>
      <c r="L11" s="62"/>
    </row>
    <row r="12" spans="1:12" x14ac:dyDescent="0.25">
      <c r="A12" s="57" t="s">
        <v>75</v>
      </c>
      <c r="B12" s="58" t="s">
        <v>76</v>
      </c>
      <c r="C12" s="59" t="s">
        <v>77</v>
      </c>
      <c r="D12" s="59" t="s">
        <v>78</v>
      </c>
      <c r="E12" s="59"/>
      <c r="F12" s="58"/>
      <c r="G12" s="61">
        <v>2017</v>
      </c>
      <c r="H12" s="58" t="s">
        <v>50</v>
      </c>
      <c r="I12" s="61"/>
      <c r="J12" s="58"/>
      <c r="K12" s="58" t="s">
        <v>79</v>
      </c>
      <c r="L12" s="62" t="s">
        <v>34</v>
      </c>
    </row>
    <row r="13" spans="1:12" x14ac:dyDescent="0.25">
      <c r="A13" s="57" t="s">
        <v>80</v>
      </c>
      <c r="B13" s="58" t="s">
        <v>76</v>
      </c>
      <c r="C13" s="59" t="s">
        <v>74</v>
      </c>
      <c r="D13" s="59"/>
      <c r="E13" s="59"/>
      <c r="F13" s="58"/>
      <c r="G13" s="61"/>
      <c r="H13" s="58" t="s">
        <v>50</v>
      </c>
      <c r="I13" s="61"/>
      <c r="J13" s="58"/>
      <c r="K13" s="58"/>
      <c r="L13" s="62"/>
    </row>
    <row r="14" spans="1:12" x14ac:dyDescent="0.25">
      <c r="A14" s="57" t="s">
        <v>81</v>
      </c>
      <c r="B14" s="58" t="s">
        <v>82</v>
      </c>
      <c r="C14" s="59" t="s">
        <v>83</v>
      </c>
      <c r="D14" s="59" t="s">
        <v>84</v>
      </c>
      <c r="E14" s="59"/>
      <c r="F14" s="58"/>
      <c r="G14" s="61">
        <v>2024</v>
      </c>
      <c r="H14" s="58" t="s">
        <v>50</v>
      </c>
      <c r="I14" s="61">
        <v>140</v>
      </c>
      <c r="J14" s="58" t="s">
        <v>51</v>
      </c>
      <c r="K14" s="58"/>
      <c r="L14" s="62" t="s">
        <v>34</v>
      </c>
    </row>
    <row r="15" spans="1:12" x14ac:dyDescent="0.25">
      <c r="A15" s="57" t="s">
        <v>85</v>
      </c>
      <c r="B15" s="58" t="s">
        <v>82</v>
      </c>
      <c r="C15" s="59" t="s">
        <v>86</v>
      </c>
      <c r="D15" s="59"/>
      <c r="E15" s="59"/>
      <c r="F15" s="58"/>
      <c r="G15" s="61"/>
      <c r="H15" s="58" t="s">
        <v>50</v>
      </c>
      <c r="I15" s="61"/>
      <c r="J15" s="58"/>
      <c r="K15" s="58"/>
      <c r="L15" s="62" t="s">
        <v>34</v>
      </c>
    </row>
    <row r="16" spans="1:12" x14ac:dyDescent="0.25">
      <c r="A16" s="57" t="s">
        <v>87</v>
      </c>
      <c r="B16" s="58" t="s">
        <v>88</v>
      </c>
      <c r="C16" s="59" t="s">
        <v>89</v>
      </c>
      <c r="D16" s="59"/>
      <c r="E16" s="59"/>
      <c r="F16" s="58"/>
      <c r="G16" s="61">
        <v>2024</v>
      </c>
      <c r="H16" s="58" t="s">
        <v>50</v>
      </c>
      <c r="I16" s="61">
        <v>200</v>
      </c>
      <c r="J16" s="58"/>
      <c r="K16" s="58"/>
      <c r="L16" s="62"/>
    </row>
    <row r="17" spans="1:12" x14ac:dyDescent="0.25">
      <c r="A17" s="57" t="s">
        <v>90</v>
      </c>
      <c r="B17" s="58" t="s">
        <v>26</v>
      </c>
      <c r="C17" s="59" t="s">
        <v>27</v>
      </c>
      <c r="D17" s="59" t="s">
        <v>28</v>
      </c>
      <c r="E17" s="59" t="s">
        <v>29</v>
      </c>
      <c r="F17" s="58" t="s">
        <v>91</v>
      </c>
      <c r="G17" s="61">
        <v>2011</v>
      </c>
      <c r="H17" s="58" t="s">
        <v>50</v>
      </c>
      <c r="I17" s="61">
        <v>80</v>
      </c>
      <c r="J17" s="58" t="s">
        <v>92</v>
      </c>
      <c r="K17" s="58" t="s">
        <v>33</v>
      </c>
      <c r="L17" s="62" t="s">
        <v>34</v>
      </c>
    </row>
    <row r="18" spans="1:12" x14ac:dyDescent="0.25">
      <c r="A18" s="57"/>
      <c r="B18" s="58"/>
      <c r="C18" s="59"/>
      <c r="D18" s="59"/>
      <c r="E18" s="59"/>
      <c r="F18" s="58"/>
      <c r="G18" s="61"/>
      <c r="H18" s="58"/>
      <c r="I18" s="61"/>
      <c r="J18" s="58"/>
      <c r="K18" s="58"/>
      <c r="L18" s="62"/>
    </row>
    <row r="19" spans="1:12" x14ac:dyDescent="0.25">
      <c r="A19" s="40"/>
      <c r="B19" s="35"/>
      <c r="C19" s="36"/>
      <c r="D19" s="36"/>
      <c r="E19" s="36"/>
      <c r="F19" s="35"/>
      <c r="G19" s="37"/>
      <c r="H19" s="35"/>
      <c r="I19" s="37"/>
      <c r="J19" s="35"/>
      <c r="K19" s="35"/>
      <c r="L19" s="3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220" zoomScaleNormal="220" workbookViewId="0">
      <selection activeCell="B8" sqref="B8"/>
    </sheetView>
  </sheetViews>
  <sheetFormatPr baseColWidth="10" defaultColWidth="9.140625" defaultRowHeight="15" x14ac:dyDescent="0.25"/>
  <cols>
    <col min="1" max="4" width="22.85546875" customWidth="1"/>
  </cols>
  <sheetData>
    <row r="1" spans="1:4" s="41" customFormat="1" ht="21.75" customHeight="1" x14ac:dyDescent="0.25">
      <c r="A1" s="42" t="s">
        <v>93</v>
      </c>
      <c r="B1" s="39" t="s">
        <v>94</v>
      </c>
      <c r="C1" s="39" t="s">
        <v>95</v>
      </c>
      <c r="D1" s="43" t="s">
        <v>96</v>
      </c>
    </row>
    <row r="2" spans="1:4" x14ac:dyDescent="0.25">
      <c r="A2" s="44" t="s">
        <v>97</v>
      </c>
      <c r="B2" s="45" t="s">
        <v>98</v>
      </c>
      <c r="C2" s="45" t="s">
        <v>61</v>
      </c>
      <c r="D2" s="46"/>
    </row>
    <row r="3" spans="1:4" x14ac:dyDescent="0.25">
      <c r="A3" s="44" t="s">
        <v>99</v>
      </c>
      <c r="B3" s="45" t="s">
        <v>100</v>
      </c>
      <c r="C3" s="45" t="s">
        <v>51</v>
      </c>
      <c r="D3" s="46"/>
    </row>
    <row r="4" spans="1:4" x14ac:dyDescent="0.25">
      <c r="A4" s="44" t="s">
        <v>101</v>
      </c>
      <c r="B4" s="45" t="s">
        <v>102</v>
      </c>
      <c r="C4" s="45" t="s">
        <v>103</v>
      </c>
      <c r="D4" s="46"/>
    </row>
    <row r="5" spans="1:4" x14ac:dyDescent="0.25">
      <c r="A5" s="44" t="s">
        <v>104</v>
      </c>
      <c r="B5" s="45" t="s">
        <v>102</v>
      </c>
      <c r="C5" s="45" t="s">
        <v>105</v>
      </c>
      <c r="D5" s="46"/>
    </row>
    <row r="6" spans="1:4" x14ac:dyDescent="0.25">
      <c r="A6" s="44" t="s">
        <v>106</v>
      </c>
      <c r="B6" s="45" t="s">
        <v>102</v>
      </c>
      <c r="C6" s="45" t="s">
        <v>107</v>
      </c>
      <c r="D6" s="46"/>
    </row>
    <row r="7" spans="1:4" x14ac:dyDescent="0.25">
      <c r="A7" s="44" t="s">
        <v>108</v>
      </c>
      <c r="B7" s="45" t="s">
        <v>109</v>
      </c>
      <c r="C7" s="45" t="s">
        <v>51</v>
      </c>
      <c r="D7" s="46"/>
    </row>
    <row r="8" spans="1:4" x14ac:dyDescent="0.25">
      <c r="A8" s="44" t="s">
        <v>110</v>
      </c>
      <c r="B8" s="45" t="s">
        <v>109</v>
      </c>
      <c r="C8" s="45" t="s">
        <v>51</v>
      </c>
      <c r="D8" s="46"/>
    </row>
    <row r="9" spans="1:4" x14ac:dyDescent="0.25">
      <c r="A9" s="47" t="s">
        <v>111</v>
      </c>
      <c r="B9" s="48" t="s">
        <v>98</v>
      </c>
      <c r="C9" s="45" t="s">
        <v>51</v>
      </c>
      <c r="D9" s="49"/>
    </row>
    <row r="12" spans="1:4" x14ac:dyDescent="0.25">
      <c r="A12" t="s">
        <v>112</v>
      </c>
      <c r="B12" s="76" t="s">
        <v>113</v>
      </c>
      <c r="C12" s="77"/>
      <c r="D12" s="77"/>
    </row>
    <row r="13" spans="1:4" x14ac:dyDescent="0.25">
      <c r="B13" s="77"/>
      <c r="C13" s="77"/>
      <c r="D13" s="77"/>
    </row>
  </sheetData>
  <mergeCells count="1">
    <mergeCell ref="B12:D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F8" sqref="F8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4" width="18" customWidth="1"/>
    <col min="5" max="5" width="12" customWidth="1"/>
  </cols>
  <sheetData>
    <row r="1" spans="1:5" x14ac:dyDescent="0.25">
      <c r="A1" s="5" t="s">
        <v>114</v>
      </c>
      <c r="B1" s="5" t="s">
        <v>115</v>
      </c>
      <c r="C1" s="5" t="s">
        <v>116</v>
      </c>
      <c r="D1" s="5" t="s">
        <v>117</v>
      </c>
      <c r="E1" s="5" t="s">
        <v>24</v>
      </c>
    </row>
    <row r="2" spans="1:5" x14ac:dyDescent="0.25">
      <c r="A2" s="6" t="s">
        <v>118</v>
      </c>
      <c r="B2" s="6" t="s">
        <v>119</v>
      </c>
      <c r="C2" s="6" t="s">
        <v>120</v>
      </c>
      <c r="D2" s="6"/>
      <c r="E2" s="6" t="s">
        <v>121</v>
      </c>
    </row>
    <row r="3" spans="1:5" x14ac:dyDescent="0.25">
      <c r="A3" s="6" t="s">
        <v>122</v>
      </c>
      <c r="B3" s="6" t="s">
        <v>123</v>
      </c>
      <c r="C3" s="6" t="s">
        <v>120</v>
      </c>
      <c r="D3" s="6"/>
      <c r="E3" s="6" t="s">
        <v>121</v>
      </c>
    </row>
    <row r="4" spans="1:5" x14ac:dyDescent="0.25">
      <c r="A4" s="6" t="s">
        <v>124</v>
      </c>
      <c r="B4" s="6" t="s">
        <v>125</v>
      </c>
      <c r="C4" s="6" t="s">
        <v>120</v>
      </c>
      <c r="D4" s="6"/>
      <c r="E4" s="6" t="s">
        <v>121</v>
      </c>
    </row>
    <row r="5" spans="1:5" x14ac:dyDescent="0.25">
      <c r="A5" s="6" t="s">
        <v>126</v>
      </c>
      <c r="B5" s="6" t="s">
        <v>127</v>
      </c>
      <c r="C5" s="6"/>
      <c r="D5" s="6"/>
      <c r="E5" s="6" t="s">
        <v>121</v>
      </c>
    </row>
    <row r="6" spans="1:5" x14ac:dyDescent="0.25">
      <c r="A6" s="6" t="s">
        <v>128</v>
      </c>
      <c r="B6" s="6" t="s">
        <v>129</v>
      </c>
      <c r="C6" s="6" t="s">
        <v>130</v>
      </c>
      <c r="D6" s="6"/>
      <c r="E6" s="6" t="s">
        <v>121</v>
      </c>
    </row>
    <row r="7" spans="1:5" x14ac:dyDescent="0.25">
      <c r="A7" s="6" t="s">
        <v>131</v>
      </c>
      <c r="B7" s="6" t="s">
        <v>132</v>
      </c>
      <c r="C7" s="6" t="s">
        <v>120</v>
      </c>
      <c r="D7" s="6"/>
      <c r="E7" s="6" t="s">
        <v>121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1"/>
  <sheetViews>
    <sheetView tabSelected="1" zoomScale="85" zoomScaleNormal="85" workbookViewId="0">
      <selection activeCell="F4" sqref="F4"/>
    </sheetView>
  </sheetViews>
  <sheetFormatPr baseColWidth="10" defaultColWidth="9.140625" defaultRowHeight="15" x14ac:dyDescent="0.25"/>
  <cols>
    <col min="1" max="1" width="14" customWidth="1"/>
    <col min="2" max="3" width="12" customWidth="1"/>
    <col min="4" max="4" width="8" customWidth="1"/>
    <col min="5" max="5" width="14" customWidth="1"/>
    <col min="6" max="6" width="24" customWidth="1"/>
    <col min="7" max="7" width="14" customWidth="1"/>
    <col min="8" max="8" width="12" customWidth="1"/>
    <col min="9" max="9" width="16" customWidth="1"/>
    <col min="10" max="10" width="18" customWidth="1"/>
    <col min="11" max="11" width="24" customWidth="1"/>
    <col min="12" max="12" width="18" customWidth="1"/>
    <col min="13" max="13" width="16" customWidth="1"/>
    <col min="14" max="14" width="13" customWidth="1"/>
    <col min="15" max="16" width="14" customWidth="1"/>
    <col min="17" max="17" width="18" customWidth="1"/>
    <col min="18" max="18" width="16" customWidth="1"/>
    <col min="19" max="20" width="20" customWidth="1"/>
    <col min="21" max="21" width="15" customWidth="1"/>
    <col min="22" max="23" width="18" customWidth="1"/>
    <col min="24" max="24" width="32.140625" customWidth="1"/>
    <col min="25" max="25" width="30" customWidth="1"/>
    <col min="26" max="26" width="17" customWidth="1"/>
    <col min="27" max="27" width="18" customWidth="1"/>
    <col min="28" max="28" width="16" customWidth="1"/>
    <col min="29" max="29" width="20" customWidth="1"/>
  </cols>
  <sheetData>
    <row r="1" spans="1:29" ht="59.25" customHeight="1" x14ac:dyDescent="0.25">
      <c r="A1" s="7" t="s">
        <v>133</v>
      </c>
      <c r="B1" s="7" t="s">
        <v>134</v>
      </c>
      <c r="C1" s="7" t="s">
        <v>135</v>
      </c>
      <c r="D1" s="7" t="s">
        <v>19</v>
      </c>
      <c r="E1" s="7" t="s">
        <v>136</v>
      </c>
      <c r="F1" s="7" t="s">
        <v>137</v>
      </c>
      <c r="G1" s="7" t="s">
        <v>13</v>
      </c>
      <c r="H1" s="7" t="s">
        <v>18</v>
      </c>
      <c r="I1" s="7" t="s">
        <v>14</v>
      </c>
      <c r="J1" s="7" t="s">
        <v>138</v>
      </c>
      <c r="K1" s="7" t="s">
        <v>139</v>
      </c>
      <c r="L1" s="7" t="s">
        <v>140</v>
      </c>
      <c r="M1" s="7" t="s">
        <v>20</v>
      </c>
      <c r="N1" s="7" t="s">
        <v>141</v>
      </c>
      <c r="O1" s="7" t="s">
        <v>142</v>
      </c>
      <c r="P1" s="7" t="s">
        <v>143</v>
      </c>
      <c r="Q1" s="7" t="s">
        <v>144</v>
      </c>
      <c r="R1" s="7" t="s">
        <v>145</v>
      </c>
      <c r="S1" s="7" t="s">
        <v>146</v>
      </c>
      <c r="T1" s="7" t="s">
        <v>147</v>
      </c>
      <c r="U1" s="7" t="s">
        <v>148</v>
      </c>
      <c r="V1" s="7" t="s">
        <v>149</v>
      </c>
      <c r="W1" s="7" t="s">
        <v>150</v>
      </c>
      <c r="X1" s="7" t="s">
        <v>96</v>
      </c>
      <c r="Y1" s="7" t="s">
        <v>151</v>
      </c>
      <c r="Z1" s="7" t="s">
        <v>152</v>
      </c>
      <c r="AA1" s="7" t="s">
        <v>153</v>
      </c>
      <c r="AB1" s="7" t="s">
        <v>154</v>
      </c>
      <c r="AC1" s="7" t="s">
        <v>155</v>
      </c>
    </row>
    <row r="2" spans="1:29" x14ac:dyDescent="0.25">
      <c r="A2" s="8" t="str">
        <f>IF(B2="","","CARGA-"&amp;TEXT(ROW()-1,"0000"))</f>
        <v>CARGA-0001</v>
      </c>
      <c r="B2" s="63">
        <v>46147</v>
      </c>
      <c r="C2" s="8" t="str">
        <f>IF(B2="","",CHOOSE(MONTH(B2),"Enero","Febrero","Marzo","Abril","Mayo","Junio","Julio","Agosto","Septiembre","Octubre","Noviembre","Diciembre"))</f>
        <v>Mayo</v>
      </c>
      <c r="D2" s="10">
        <f>IF(B2="","",YEAR(B2))</f>
        <v>2026</v>
      </c>
      <c r="E2" s="8" t="str">
        <f>IF(B2="","",CHOOSE(WEEKDAY(B2,2),"Lunes","Martes","Miércoles","Jueves","Viernes","Sábado","Domingo"))</f>
        <v>Martes</v>
      </c>
      <c r="F2" s="54" t="str">
        <f>+tblUnidades[[#This Row],[Descripción]]</f>
        <v>Toyota Hilux 2.4</v>
      </c>
      <c r="G2" s="4" t="s">
        <v>35</v>
      </c>
      <c r="H2" s="8" t="str">
        <f>IF($G2="","",IFERROR(INDEX('MAESTRO DE UNIDADES'!$F$2:$F$208,MATCH($G2,'MAESTRO DE UNIDADES'!$A$2:$A$208,0)),""))</f>
        <v>AG839PV</v>
      </c>
      <c r="I2" s="8" t="str">
        <f>IF($G2="","",IFERROR(INDEX('MAESTRO DE UNIDADES'!$B$2:$B$208,MATCH($G2,'MAESTRO DE UNIDADES'!$A$2:$A$208,0)),""))</f>
        <v>Camioneta</v>
      </c>
      <c r="J2" s="4" t="s">
        <v>106</v>
      </c>
      <c r="K2" s="4" t="s">
        <v>127</v>
      </c>
      <c r="L2" s="4" t="s">
        <v>156</v>
      </c>
      <c r="M2" s="8" t="str">
        <f>IF($G2="","",IFERROR(INDEX('MAESTRO DE UNIDADES'!$H$2:$H$208,MATCH($G2,'MAESTRO DE UNIDADES'!$A$2:$A$208,0)),""))</f>
        <v>Diesel V-Power</v>
      </c>
      <c r="N2" s="17">
        <v>40</v>
      </c>
      <c r="O2" s="25"/>
      <c r="P2" s="26" t="str">
        <f>IF($N2="","",IF($AA2&lt;&gt;"",IF($AB2="","",$N2*$AB2),IF($O2="","",$N2*$O2)))</f>
        <v/>
      </c>
      <c r="Q2" s="27"/>
      <c r="R2" s="27"/>
      <c r="S2" s="28" t="str">
        <f>IF(OR($G2="",$Q2="",COUNTIF($G$1:G2,$G2)=0),"",$Q2-LOOKUP(2,1/($G$1:G2=$G2),$Q$1:Q2))</f>
        <v/>
      </c>
      <c r="T2" s="28" t="str">
        <f>IF(OR($G2="",$R2="",COUNTIF($G$1:G2,$G2)=0),"",$R2-LOOKUP(2,1/($G$1:G2=$G2),$R$1:R2))</f>
        <v/>
      </c>
      <c r="U2" s="11" t="str">
        <f>IF(N2="","",IF(S2&lt;&gt;"",S2/N2,IF(T2&lt;&gt;"",T2/N2,"")))</f>
        <v/>
      </c>
      <c r="V2" s="4"/>
      <c r="W2" s="4">
        <v>205</v>
      </c>
      <c r="X2" s="52" t="s">
        <v>240</v>
      </c>
      <c r="Y2" s="56" t="str">
        <f>IF($B2="","",IF((IF($G2="","Sin unidad | ","")&amp;IF($J2="","Sin responsable | ","")&amp;IF($K2="","Sin obra | ","")&amp;IF(AND($N2&lt;&gt;"",$G2&lt;&gt;"",$N2&gt;IFERROR(INDEX('MAESTRO DE UNIDADES'!$I$2:$I$208,MATCH($G2,'MAESTRO DE UNIDADES'!$A$2:$A$208,0)),0)),"Litros &gt; tanque | ","")&amp;IF(AND($W2&lt;&gt;"",COUNTIF($W$2:$W2,$W2)&gt;1),"Ticket duplicado | ","")&amp;IF(AND($G2&lt;&gt;"",IFERROR(INDEX('MAESTRO DE UNIDADES'!$L$2:$L$208,MATCH($G2,'MAESTRO DE UNIDADES'!$A$2:$A$208,0)),"")="Inactivo"),"Unidad inactiva | ","")&amp;IF(AND($AA2&lt;&gt;"",$N2=""),"Carga de batán sin litros | ","")&amp;IF(AND($AA2&lt;&gt;"",$AC2&lt;0),"Supera saldo batán | ",""))="","OK",LEFT((IF($G2="","Sin unidad | ","")&amp;IF($J2="","Sin responsable | ","")&amp;IF($K2="","Sin obra | ","")&amp;IF(AND($N2&lt;&gt;"",$G2&lt;&gt;"",$N2&gt;IFERROR(INDEX('MAESTRO DE UNIDADES'!$I$2:$I$208,MATCH($G2,'MAESTRO DE UNIDADES'!$A$2:$A$208,0)),0)),"Litros &gt; tanque | ","")&amp;IF(AND($W2&lt;&gt;"",COUNTIF($W$2:$W2,$W2)&gt;1),"Ticket duplicado | ","")&amp;IF(AND($G2&lt;&gt;"",IFERROR(INDEX('MAESTRO DE UNIDADES'!$L$2:$L$208,MATCH($G2,'MAESTRO DE UNIDADES'!$A$2:$A$208,0)),"")="Inactivo"),"Unidad inactiva | ","")&amp;IF(AND($AA2&lt;&gt;"",$N2=""),"Carga de batán sin litros | ","")&amp;IF(AND($AA2&lt;&gt;"",$AC2&lt;0),"Supera saldo batán | ","")),LEN((IF($G2="","Sin unidad | ","")&amp;IF($J2="","Sin responsable | ","")&amp;IF($K2="","Sin obra | ","")&amp;IF(AND($N2&lt;&gt;"",$G2&lt;&gt;"",$N2&gt;IFERROR(INDEX('MAESTRO DE UNIDADES'!$I$2:$I$208,MATCH($G2,'MAESTRO DE UNIDADES'!$A$2:$A$208,0)),0)),"Litros &gt; tanque | ","")&amp;IF(AND($W2&lt;&gt;"",COUNTIF($W$2:$W2,$W2)&gt;1),"Ticket duplicado | ","")&amp;IF(AND($G2&lt;&gt;"",IFERROR(INDEX('MAESTRO DE UNIDADES'!$L$2:$L$208,MATCH($G2,'MAESTRO DE UNIDADES'!$A$2:$A$208,0)),"")="Inactivo"),"Unidad inactiva | ","")&amp;IF(AND($AA2&lt;&gt;"",$N2=""),"Carga de batán sin litros | ","")&amp;IF(AND($AA2&lt;&gt;"",$AC2&lt;0),"Supera saldo batán | ","")))-3)))</f>
        <v>OK</v>
      </c>
      <c r="Z2" s="8" t="str">
        <f t="shared" ref="Z2" si="0">IF($B2="","",IF($AA2&lt;&gt;"","Batán","Estación de servicio"))</f>
        <v>Estación de servicio</v>
      </c>
      <c r="AA2" s="4"/>
      <c r="AB2" s="26"/>
      <c r="AC2" s="28"/>
    </row>
    <row r="3" spans="1:29" x14ac:dyDescent="0.25">
      <c r="A3" s="8" t="str">
        <f>IF(B3="","","CARGA-"&amp;TEXT(ROW()-1,"0000"))</f>
        <v>CARGA-0002</v>
      </c>
      <c r="B3" s="63">
        <v>46157</v>
      </c>
      <c r="C3" s="8" t="str">
        <f>IF(B3="","",CHOOSE(MONTH(B3),"Enero","Febrero","Marzo","Abril","Mayo","Junio","Julio","Agosto","Septiembre","Octubre","Noviembre","Diciembre"))</f>
        <v>Mayo</v>
      </c>
      <c r="D3" s="10">
        <f>IF(B3="","",YEAR(B3))</f>
        <v>2026</v>
      </c>
      <c r="E3" s="8" t="str">
        <f>IF(B3="","",CHOOSE(WEEKDAY(B3,2),"Lunes","Martes","Miércoles","Jueves","Viernes","Sábado","Domingo"))</f>
        <v>Viernes</v>
      </c>
      <c r="F3" s="8" t="s">
        <v>241</v>
      </c>
      <c r="G3" s="4" t="s">
        <v>62</v>
      </c>
      <c r="H3" s="8" t="str">
        <f>IF($G3="","",IFERROR(INDEX('MAESTRO DE UNIDADES'!$F$2:$F$208,MATCH($G3,'MAESTRO DE UNIDADES'!$A$2:$A$208,0)),""))</f>
        <v>AD478QW</v>
      </c>
      <c r="I3" s="8" t="str">
        <f>IF($G3="","",IFERROR(INDEX('MAESTRO DE UNIDADES'!$B$2:$B$208,MATCH($G3,'MAESTRO DE UNIDADES'!$A$2:$A$208,0)),""))</f>
        <v>Camión</v>
      </c>
      <c r="J3" s="4" t="s">
        <v>99</v>
      </c>
      <c r="K3" s="4" t="s">
        <v>119</v>
      </c>
      <c r="L3" s="4" t="s">
        <v>156</v>
      </c>
      <c r="M3" s="8" t="str">
        <f>IF($G3="","",IFERROR(INDEX('MAESTRO DE UNIDADES'!$H$2:$H$208,MATCH($G3,'MAESTRO DE UNIDADES'!$A$2:$A$208,0)),""))</f>
        <v>Diesel V-Power</v>
      </c>
      <c r="N3" s="17">
        <v>49.65</v>
      </c>
      <c r="O3" s="25"/>
      <c r="P3" s="26"/>
      <c r="Q3" s="27"/>
      <c r="R3" s="27"/>
      <c r="S3" s="28"/>
      <c r="T3" s="28"/>
      <c r="U3" s="11"/>
      <c r="V3" s="4"/>
      <c r="W3" s="4" t="s">
        <v>243</v>
      </c>
      <c r="X3" s="4" t="s">
        <v>242</v>
      </c>
      <c r="Y3" s="56" t="s">
        <v>244</v>
      </c>
      <c r="Z3" s="8" t="s">
        <v>245</v>
      </c>
      <c r="AA3" s="4"/>
      <c r="AB3" s="26"/>
      <c r="AC3" s="28"/>
    </row>
    <row r="4" spans="1:29" x14ac:dyDescent="0.25">
      <c r="A4" s="8" t="str">
        <f t="shared" ref="A4:A67" si="1">IF(B4="","","CARGA-"&amp;TEXT(ROW()-1,"0000"))</f>
        <v>CARGA-0003</v>
      </c>
      <c r="B4" s="63">
        <v>46157</v>
      </c>
      <c r="C4" s="8" t="str">
        <f t="shared" ref="C4:C67" si="2">IF(B4="","",CHOOSE(MONTH(B4),"Enero","Febrero","Marzo","Abril","Mayo","Junio","Julio","Agosto","Septiembre","Octubre","Noviembre","Diciembre"))</f>
        <v>Mayo</v>
      </c>
      <c r="D4" s="10">
        <f t="shared" ref="D4:D67" si="3">IF(B4="","",YEAR(B4))</f>
        <v>2026</v>
      </c>
      <c r="E4" s="8" t="str">
        <f t="shared" ref="E4:E67" si="4">IF(B4="","",CHOOSE(WEEKDAY(B4,2),"Lunes","Martes","Miércoles","Jueves","Viernes","Sábado","Domingo"))</f>
        <v>Viernes</v>
      </c>
      <c r="F4" s="8" t="s">
        <v>27</v>
      </c>
      <c r="G4" s="4" t="s">
        <v>35</v>
      </c>
      <c r="H4" s="8" t="str">
        <f>IF($G4="","",IFERROR(INDEX('MAESTRO DE UNIDADES'!$F$2:$F$208,MATCH($G4,'MAESTRO DE UNIDADES'!$A$2:$A$208,0)),""))</f>
        <v>AG839PV</v>
      </c>
      <c r="I4" s="8" t="str">
        <f>IF($G4="","",IFERROR(INDEX('MAESTRO DE UNIDADES'!$B$2:$B$208,MATCH($G4,'MAESTRO DE UNIDADES'!$A$2:$A$208,0)),""))</f>
        <v>Camioneta</v>
      </c>
      <c r="J4" s="4" t="s">
        <v>106</v>
      </c>
      <c r="K4" s="4" t="s">
        <v>127</v>
      </c>
      <c r="L4" s="4" t="s">
        <v>156</v>
      </c>
      <c r="M4" s="8" t="str">
        <f>IF($G4="","",IFERROR(INDEX('MAESTRO DE UNIDADES'!$H$2:$H$208,MATCH($G4,'MAESTRO DE UNIDADES'!$A$2:$A$208,0)),""))</f>
        <v>Diesel V-Power</v>
      </c>
      <c r="N4" s="17">
        <v>50</v>
      </c>
      <c r="O4" s="25"/>
      <c r="P4" s="26" t="str">
        <f t="shared" ref="P4:P67" si="5">IF($N4="","",IF($AA4&lt;&gt;"",IF($AB4="","",$N4*$AB4),IF($O4="","",$N4*$O4)))</f>
        <v/>
      </c>
      <c r="Q4" s="27"/>
      <c r="R4" s="27"/>
      <c r="S4" s="28" t="str">
        <f>IF(OR($G4="",$Q4="",COUNTIF($G$2:G3,$G4)=0),"",$Q4-LOOKUP(2,1/($G$2:G3=$G4),$Q$2:Q3))</f>
        <v/>
      </c>
      <c r="T4" s="28" t="str">
        <f>IF(OR($G4="",$R4="",COUNTIF($G$2:G3,$G4)=0),"",$R4-LOOKUP(2,1/($G$2:G3=$G4),$R$2:R3))</f>
        <v/>
      </c>
      <c r="U4" s="11" t="str">
        <f t="shared" ref="U4:U67" si="6">IF(N4="","",IF(S4&lt;&gt;"",S4/N4,IF(T4&lt;&gt;"",T4/N4,"")))</f>
        <v/>
      </c>
      <c r="V4" s="4"/>
      <c r="W4" s="4" t="s">
        <v>243</v>
      </c>
      <c r="X4" s="4" t="s">
        <v>246</v>
      </c>
      <c r="Y4" s="56" t="s">
        <v>244</v>
      </c>
      <c r="Z4" s="8" t="str">
        <f t="shared" ref="Z4:Z67" si="7">IF($B4="","",IF($AA4&lt;&gt;"","Batán","Estación de servicio"))</f>
        <v>Estación de servicio</v>
      </c>
      <c r="AA4" s="4"/>
      <c r="AB4" s="26"/>
      <c r="AC4" s="28"/>
    </row>
    <row r="5" spans="1:29" ht="26.25" x14ac:dyDescent="0.25">
      <c r="A5" s="8" t="str">
        <f t="shared" si="1"/>
        <v/>
      </c>
      <c r="B5" s="63"/>
      <c r="C5" s="8" t="str">
        <f t="shared" si="2"/>
        <v/>
      </c>
      <c r="D5" s="10" t="str">
        <f t="shared" si="3"/>
        <v/>
      </c>
      <c r="E5" s="8" t="str">
        <f t="shared" si="4"/>
        <v/>
      </c>
      <c r="F5" s="8"/>
      <c r="G5" s="4"/>
      <c r="H5" s="8" t="str">
        <f>IF($G5="","",IFERROR(INDEX('MAESTRO DE UNIDADES'!$F$2:$F$208,MATCH($G5,'MAESTRO DE UNIDADES'!$A$2:$A$208,0)),""))</f>
        <v/>
      </c>
      <c r="I5" s="8" t="str">
        <f>IF($G5="","",IFERROR(INDEX('MAESTRO DE UNIDADES'!$B$2:$B$208,MATCH($G5,'MAESTRO DE UNIDADES'!$A$2:$A$208,0)),""))</f>
        <v/>
      </c>
      <c r="J5" s="4"/>
      <c r="K5" s="4"/>
      <c r="L5" s="4"/>
      <c r="M5" s="8"/>
      <c r="N5" s="17"/>
      <c r="O5" s="25"/>
      <c r="P5" s="26" t="str">
        <f t="shared" si="5"/>
        <v/>
      </c>
      <c r="Q5" s="27"/>
      <c r="R5" s="27"/>
      <c r="S5" s="28" t="str">
        <f>IF(OR($G5="",$Q5=""),"","")</f>
        <v/>
      </c>
      <c r="T5" s="28" t="str">
        <f>IF(OR($G5="",$R5=""),"","")</f>
        <v/>
      </c>
      <c r="U5" s="11" t="str">
        <f t="shared" si="6"/>
        <v/>
      </c>
      <c r="V5" s="4"/>
      <c r="W5" s="51"/>
      <c r="X5" s="53"/>
      <c r="Y5" s="56" t="str">
        <f>IF($B5="","",IF((IF($G5="","Sin unidad | ","")&amp;IF($J5="","Sin responsable | ","")&amp;IF($K5="","Sin obra | ","")&amp;IF(AND($N5&lt;&gt;"",$G5&lt;&gt;"",$N5&gt;IFERROR(INDEX('MAESTRO DE UNIDADES'!$I$2:$I$208,MATCH($G5,'MAESTRO DE UNIDADES'!$A$2:$A$208,0)),0)),"Litros &gt; tanque | ","")&amp;IF(AND($W5&lt;&gt;"",COUNTIF($W$2:$W5,$W5)&gt;1),"Ticket duplicado | ","")&amp;IF(AND($G5&lt;&gt;"",IFERROR(INDEX('MAESTRO DE UNIDADES'!$L$2:$L$208,MATCH($G5,'MAESTRO DE UNIDADES'!$A$2:$A$208,0)),"")="Inactivo"),"Unidad inactiva | ","")&amp;IF(AND($AA5&lt;&gt;"",$N5=""),"Carga de batán sin litros | ","")&amp;IF(AND($AA5&lt;&gt;"",$AC5&lt;0),"Supera saldo batán | ",""))="","OK",LEFT((IF($G5="","Sin unidad | ","")&amp;IF($J5="","Sin responsable | ","")&amp;IF($K5="","Sin obra | ","")&amp;IF(AND($N5&lt;&gt;"",$G5&lt;&gt;"",$N5&gt;IFERROR(INDEX('MAESTRO DE UNIDADES'!$I$2:$I$208,MATCH($G5,'MAESTRO DE UNIDADES'!$A$2:$A$208,0)),0)),"Litros &gt; tanque | ","")&amp;IF(AND($W5&lt;&gt;"",COUNTIF($W$2:$W5,$W5)&gt;1),"Ticket duplicado | ","")&amp;IF(AND($G5&lt;&gt;"",IFERROR(INDEX('MAESTRO DE UNIDADES'!$L$2:$L$208,MATCH($G5,'MAESTRO DE UNIDADES'!$A$2:$A$208,0)),"")="Inactivo"),"Unidad inactiva | ","")&amp;IF(AND($AA5&lt;&gt;"",$N5=""),"Carga de batán sin litros | ","")&amp;IF(AND($AA5&lt;&gt;"",$AC5&lt;0),"Supera saldo batán | ","")),LEN((IF($G5="","Sin unidad | ","")&amp;IF($J5="","Sin responsable | ","")&amp;IF($K5="","Sin obra | ","")&amp;IF(AND($N5&lt;&gt;"",$G5&lt;&gt;"",$N5&gt;IFERROR(INDEX('MAESTRO DE UNIDADES'!$I$2:$I$208,MATCH($G5,'MAESTRO DE UNIDADES'!$A$2:$A$208,0)),0)),"Litros &gt; tanque | ","")&amp;IF(AND($W5&lt;&gt;"",COUNTIF($W$2:$W5,$W5)&gt;1),"Ticket duplicado | ","")&amp;IF(AND($G5&lt;&gt;"",IFERROR(INDEX('MAESTRO DE UNIDADES'!$L$2:$L$208,MATCH($G5,'MAESTRO DE UNIDADES'!$A$2:$A$208,0)),"")="Inactivo"),"Unidad inactiva | ","")&amp;IF(AND($AA5&lt;&gt;"",$N5=""),"Carga de batán sin litros | ","")&amp;IF(AND($AA5&lt;&gt;"",$AC5&lt;0),"Supera saldo batán | ","")))-3)))</f>
        <v/>
      </c>
      <c r="Z5" s="8" t="str">
        <f t="shared" si="7"/>
        <v/>
      </c>
      <c r="AA5" s="4"/>
      <c r="AB5" s="26"/>
      <c r="AC5" s="28"/>
    </row>
    <row r="6" spans="1:29" ht="26.25" x14ac:dyDescent="0.25">
      <c r="A6" s="8" t="str">
        <f t="shared" si="1"/>
        <v/>
      </c>
      <c r="B6" s="63"/>
      <c r="C6" s="8" t="str">
        <f t="shared" si="2"/>
        <v/>
      </c>
      <c r="D6" s="10" t="str">
        <f t="shared" si="3"/>
        <v/>
      </c>
      <c r="E6" s="8" t="str">
        <f t="shared" si="4"/>
        <v/>
      </c>
      <c r="F6" s="8"/>
      <c r="G6" s="4"/>
      <c r="H6" s="8" t="str">
        <f>IF($G6="","",IFERROR(INDEX('MAESTRO DE UNIDADES'!$F$2:$F$208,MATCH($G6,'MAESTRO DE UNIDADES'!$A$2:$A$208,0)),""))</f>
        <v/>
      </c>
      <c r="I6" s="8" t="str">
        <f>IF($G6="","",IFERROR(INDEX('MAESTRO DE UNIDADES'!$B$2:$B$208,MATCH($G6,'MAESTRO DE UNIDADES'!$A$2:$A$208,0)),""))</f>
        <v/>
      </c>
      <c r="J6" s="4"/>
      <c r="K6" s="4"/>
      <c r="L6" s="4"/>
      <c r="M6" s="8" t="str">
        <f>IF($G6="","",IFERROR(INDEX('MAESTRO DE UNIDADES'!$H$2:$H$208,MATCH($G6,'MAESTRO DE UNIDADES'!$A$2:$A$208,0)),""))</f>
        <v/>
      </c>
      <c r="N6" s="17"/>
      <c r="O6" s="25"/>
      <c r="P6" s="26" t="str">
        <f t="shared" si="5"/>
        <v/>
      </c>
      <c r="Q6" s="27"/>
      <c r="R6" s="27"/>
      <c r="S6" s="28" t="str">
        <f>IF(OR($G6="",$Q6="",COUNTIF($G$2:G5,$G6)=0),"",$Q6-LOOKUP(2,1/($G$2:G5=$G6),$Q$2:Q5))</f>
        <v/>
      </c>
      <c r="T6" s="28" t="str">
        <f>IF(OR($G6="",$R6="",COUNTIF($G$2:G5,$G6)=0),"",$R6-LOOKUP(2,1/($G$2:G5=$G6),$R$2:R5))</f>
        <v/>
      </c>
      <c r="U6" s="11" t="str">
        <f t="shared" si="6"/>
        <v/>
      </c>
      <c r="V6" s="4"/>
      <c r="W6" s="4"/>
      <c r="X6" s="4"/>
      <c r="Y6" s="56" t="str">
        <f>IF($B6="","",IF((IF($G6="","Sin unidad | ","")&amp;IF($J6="","Sin responsable | ","")&amp;IF($K6="","Sin obra | ","")&amp;IF(AND($N6&lt;&gt;"",$G6&lt;&gt;"",$N6&gt;IFERROR(INDEX('MAESTRO DE UNIDADES'!$I$2:$I$208,MATCH($G6,'MAESTRO DE UNIDADES'!$A$2:$A$208,0)),0)),"Litros &gt; tanque | ","")&amp;IF(AND($W6&lt;&gt;"",COUNTIF($W$2:$W6,$W6)&gt;1),"Ticket duplicado | ","")&amp;IF(AND($G6&lt;&gt;"",IFERROR(INDEX('MAESTRO DE UNIDADES'!$L$2:$L$208,MATCH($G6,'MAESTRO DE UNIDADES'!$A$2:$A$208,0)),"")="Inactivo"),"Unidad inactiva | ","")&amp;IF(AND($AA6&lt;&gt;"",$N6=""),"Carga de batán sin litros | ","")&amp;IF(AND($AA6&lt;&gt;"",$AC6&lt;0),"Supera saldo batán | ",""))="","OK",LEFT((IF($G6="","Sin unidad | ","")&amp;IF($J6="","Sin responsable | ","")&amp;IF($K6="","Sin obra | ","")&amp;IF(AND($N6&lt;&gt;"",$G6&lt;&gt;"",$N6&gt;IFERROR(INDEX('MAESTRO DE UNIDADES'!$I$2:$I$208,MATCH($G6,'MAESTRO DE UNIDADES'!$A$2:$A$208,0)),0)),"Litros &gt; tanque | ","")&amp;IF(AND($W6&lt;&gt;"",COUNTIF($W$2:$W6,$W6)&gt;1),"Ticket duplicado | ","")&amp;IF(AND($G6&lt;&gt;"",IFERROR(INDEX('MAESTRO DE UNIDADES'!$L$2:$L$208,MATCH($G6,'MAESTRO DE UNIDADES'!$A$2:$A$208,0)),"")="Inactivo"),"Unidad inactiva | ","")&amp;IF(AND($AA6&lt;&gt;"",$N6=""),"Carga de batán sin litros | ","")&amp;IF(AND($AA6&lt;&gt;"",$AC6&lt;0),"Supera saldo batán | ","")),LEN((IF($G6="","Sin unidad | ","")&amp;IF($J6="","Sin responsable | ","")&amp;IF($K6="","Sin obra | ","")&amp;IF(AND($N6&lt;&gt;"",$G6&lt;&gt;"",$N6&gt;IFERROR(INDEX('MAESTRO DE UNIDADES'!$I$2:$I$208,MATCH($G6,'MAESTRO DE UNIDADES'!$A$2:$A$208,0)),0)),"Litros &gt; tanque | ","")&amp;IF(AND($W6&lt;&gt;"",COUNTIF($W$2:$W6,$W6)&gt;1),"Ticket duplicado | ","")&amp;IF(AND($G6&lt;&gt;"",IFERROR(INDEX('MAESTRO DE UNIDADES'!$L$2:$L$208,MATCH($G6,'MAESTRO DE UNIDADES'!$A$2:$A$208,0)),"")="Inactivo"),"Unidad inactiva | ","")&amp;IF(AND($AA6&lt;&gt;"",$N6=""),"Carga de batán sin litros | ","")&amp;IF(AND($AA6&lt;&gt;"",$AC6&lt;0),"Supera saldo batán | ","")))-3)))</f>
        <v/>
      </c>
      <c r="Z6" s="8" t="str">
        <f t="shared" si="7"/>
        <v/>
      </c>
      <c r="AA6" s="4"/>
      <c r="AB6" s="26"/>
      <c r="AC6" s="28"/>
    </row>
    <row r="7" spans="1:29" ht="26.25" x14ac:dyDescent="0.25">
      <c r="A7" s="8" t="str">
        <f t="shared" si="1"/>
        <v/>
      </c>
      <c r="B7" s="63"/>
      <c r="C7" s="8" t="str">
        <f t="shared" si="2"/>
        <v/>
      </c>
      <c r="D7" s="10" t="str">
        <f t="shared" si="3"/>
        <v/>
      </c>
      <c r="E7" s="8" t="str">
        <f t="shared" si="4"/>
        <v/>
      </c>
      <c r="F7" s="64"/>
      <c r="G7" s="4"/>
      <c r="H7" s="8" t="str">
        <f>IF($G7="","",IFERROR(INDEX('MAESTRO DE UNIDADES'!$F$2:$F$208,MATCH($G7,'MAESTRO DE UNIDADES'!$A$2:$A$208,0)),""))</f>
        <v/>
      </c>
      <c r="I7" s="8" t="str">
        <f>IF($G7="","",IFERROR(INDEX('MAESTRO DE UNIDADES'!$B$2:$B$208,MATCH($G7,'MAESTRO DE UNIDADES'!$A$2:$A$208,0)),""))</f>
        <v/>
      </c>
      <c r="J7" s="4"/>
      <c r="K7" s="4"/>
      <c r="L7" s="4"/>
      <c r="M7" s="8" t="str">
        <f>IF($G7="","",IFERROR(INDEX('MAESTRO DE UNIDADES'!$H$2:$H$208,MATCH($G7,'MAESTRO DE UNIDADES'!$A$2:$A$208,0)),""))</f>
        <v/>
      </c>
      <c r="N7" s="17"/>
      <c r="O7" s="25"/>
      <c r="P7" s="26" t="str">
        <f t="shared" si="5"/>
        <v/>
      </c>
      <c r="Q7" s="27"/>
      <c r="R7" s="27"/>
      <c r="S7" s="28" t="str">
        <f>IF(OR($G7="",$Q7="",COUNTIF($G$2:G6,$G7)=0),"",$Q7-LOOKUP(2,1/($G$2:G6=$G7),$Q$2:Q6))</f>
        <v/>
      </c>
      <c r="T7" s="28" t="str">
        <f>IF(OR($G7="",$R7="",COUNTIF($G$2:G6,$G7)=0),"",$R7-LOOKUP(2,1/($G$2:G6=$G7),$R$2:R6))</f>
        <v/>
      </c>
      <c r="U7" s="11" t="str">
        <f t="shared" si="6"/>
        <v/>
      </c>
      <c r="V7" s="4"/>
      <c r="W7" s="4"/>
      <c r="X7" s="4"/>
      <c r="Y7" s="56" t="str">
        <f>IF($B7="","",IF((IF($G7="","Sin unidad | ","")&amp;IF($J7="","Sin responsable | ","")&amp;IF($K7="","Sin obra | ","")&amp;IF(AND($N7&lt;&gt;"",$G7&lt;&gt;"",$N7&gt;IFERROR(INDEX('MAESTRO DE UNIDADES'!$I$2:$I$208,MATCH($G7,'MAESTRO DE UNIDADES'!$A$2:$A$208,0)),0)),"Litros &gt; tanque | ","")&amp;IF(AND($W7&lt;&gt;"",COUNTIF($W$2:$W7,$W7)&gt;1),"Ticket duplicado | ","")&amp;IF(AND($G7&lt;&gt;"",IFERROR(INDEX('MAESTRO DE UNIDADES'!$L$2:$L$208,MATCH($G7,'MAESTRO DE UNIDADES'!$A$2:$A$208,0)),"")="Inactivo"),"Unidad inactiva | ","")&amp;IF(AND($AA7&lt;&gt;"",$N7=""),"Carga de batán sin litros | ","")&amp;IF(AND($AA7&lt;&gt;"",$AC7&lt;0),"Supera saldo batán | ",""))="","OK",LEFT((IF($G7="","Sin unidad | ","")&amp;IF($J7="","Sin responsable | ","")&amp;IF($K7="","Sin obra | ","")&amp;IF(AND($N7&lt;&gt;"",$G7&lt;&gt;"",$N7&gt;IFERROR(INDEX('MAESTRO DE UNIDADES'!$I$2:$I$208,MATCH($G7,'MAESTRO DE UNIDADES'!$A$2:$A$208,0)),0)),"Litros &gt; tanque | ","")&amp;IF(AND($W7&lt;&gt;"",COUNTIF($W$2:$W7,$W7)&gt;1),"Ticket duplicado | ","")&amp;IF(AND($G7&lt;&gt;"",IFERROR(INDEX('MAESTRO DE UNIDADES'!$L$2:$L$208,MATCH($G7,'MAESTRO DE UNIDADES'!$A$2:$A$208,0)),"")="Inactivo"),"Unidad inactiva | ","")&amp;IF(AND($AA7&lt;&gt;"",$N7=""),"Carga de batán sin litros | ","")&amp;IF(AND($AA7&lt;&gt;"",$AC7&lt;0),"Supera saldo batán | ","")),LEN((IF($G7="","Sin unidad | ","")&amp;IF($J7="","Sin responsable | ","")&amp;IF($K7="","Sin obra | ","")&amp;IF(AND($N7&lt;&gt;"",$G7&lt;&gt;"",$N7&gt;IFERROR(INDEX('MAESTRO DE UNIDADES'!$I$2:$I$208,MATCH($G7,'MAESTRO DE UNIDADES'!$A$2:$A$208,0)),0)),"Litros &gt; tanque | ","")&amp;IF(AND($W7&lt;&gt;"",COUNTIF($W$2:$W7,$W7)&gt;1),"Ticket duplicado | ","")&amp;IF(AND($G7&lt;&gt;"",IFERROR(INDEX('MAESTRO DE UNIDADES'!$L$2:$L$208,MATCH($G7,'MAESTRO DE UNIDADES'!$A$2:$A$208,0)),"")="Inactivo"),"Unidad inactiva | ","")&amp;IF(AND($AA7&lt;&gt;"",$N7=""),"Carga de batán sin litros | ","")&amp;IF(AND($AA7&lt;&gt;"",$AC7&lt;0),"Supera saldo batán | ","")))-3)))</f>
        <v/>
      </c>
      <c r="Z7" s="8" t="str">
        <f t="shared" si="7"/>
        <v/>
      </c>
      <c r="AA7" s="4"/>
      <c r="AB7" s="26"/>
      <c r="AC7" s="28"/>
    </row>
    <row r="8" spans="1:29" ht="26.25" x14ac:dyDescent="0.25">
      <c r="A8" s="8" t="str">
        <f t="shared" si="1"/>
        <v/>
      </c>
      <c r="B8" s="63"/>
      <c r="C8" s="8" t="str">
        <f t="shared" si="2"/>
        <v/>
      </c>
      <c r="D8" s="10" t="str">
        <f t="shared" si="3"/>
        <v/>
      </c>
      <c r="E8" s="8" t="str">
        <f t="shared" si="4"/>
        <v/>
      </c>
      <c r="F8" s="64"/>
      <c r="G8" s="4"/>
      <c r="H8" s="8" t="str">
        <f>IF($G8="","",IFERROR(INDEX('MAESTRO DE UNIDADES'!$F$2:$F$208,MATCH($G8,'MAESTRO DE UNIDADES'!$A$2:$A$208,0)),""))</f>
        <v/>
      </c>
      <c r="I8" s="8" t="str">
        <f>IF($G8="","",IFERROR(INDEX('MAESTRO DE UNIDADES'!$B$2:$B$208,MATCH($G8,'MAESTRO DE UNIDADES'!$A$2:$A$208,0)),""))</f>
        <v/>
      </c>
      <c r="J8" s="4"/>
      <c r="K8" s="4"/>
      <c r="L8" s="4"/>
      <c r="M8" s="8" t="str">
        <f>IF($G8="","",IFERROR(INDEX('MAESTRO DE UNIDADES'!$H$2:$H$208,MATCH($G8,'MAESTRO DE UNIDADES'!$A$2:$A$208,0)),""))</f>
        <v/>
      </c>
      <c r="N8" s="17"/>
      <c r="O8" s="25"/>
      <c r="P8" s="26" t="str">
        <f t="shared" si="5"/>
        <v/>
      </c>
      <c r="Q8" s="27"/>
      <c r="R8" s="27"/>
      <c r="S8" s="28" t="str">
        <f>IF(OR($G8="",$Q8="",COUNTIF($G$2:G7,$G8)=0),"",$Q8-LOOKUP(2,1/($G$2:G7=$G8),$Q$2:Q7))</f>
        <v/>
      </c>
      <c r="T8" s="28" t="str">
        <f>IF(OR($G8="",$R8="",COUNTIF($G$2:G7,$G8)=0),"",$R8-LOOKUP(2,1/($G$2:G7=$G8),$R$2:R7))</f>
        <v/>
      </c>
      <c r="U8" s="11" t="str">
        <f t="shared" si="6"/>
        <v/>
      </c>
      <c r="V8" s="4"/>
      <c r="W8" s="4"/>
      <c r="X8" s="4"/>
      <c r="Y8" s="56" t="str">
        <f>IF($B8="","",IF((IF($G8="","Sin unidad | ","")&amp;IF($J8="","Sin responsable | ","")&amp;IF($K8="","Sin obra | ","")&amp;IF(AND($N8&lt;&gt;"",$G8&lt;&gt;"",$N8&gt;IFERROR(INDEX('MAESTRO DE UNIDADES'!$I$2:$I$208,MATCH($G8,'MAESTRO DE UNIDADES'!$A$2:$A$208,0)),0)),"Litros &gt; tanque | ","")&amp;IF(AND($W8&lt;&gt;"",COUNTIF($W$2:$W8,$W8)&gt;1),"Ticket duplicado | ","")&amp;IF(AND($G8&lt;&gt;"",IFERROR(INDEX('MAESTRO DE UNIDADES'!$L$2:$L$208,MATCH($G8,'MAESTRO DE UNIDADES'!$A$2:$A$208,0)),"")="Inactivo"),"Unidad inactiva | ","")&amp;IF(AND($AA8&lt;&gt;"",$N8=""),"Carga de batán sin litros | ","")&amp;IF(AND($AA8&lt;&gt;"",$AC8&lt;0),"Supera saldo batán | ",""))="","OK",LEFT((IF($G8="","Sin unidad | ","")&amp;IF($J8="","Sin responsable | ","")&amp;IF($K8="","Sin obra | ","")&amp;IF(AND($N8&lt;&gt;"",$G8&lt;&gt;"",$N8&gt;IFERROR(INDEX('MAESTRO DE UNIDADES'!$I$2:$I$208,MATCH($G8,'MAESTRO DE UNIDADES'!$A$2:$A$208,0)),0)),"Litros &gt; tanque | ","")&amp;IF(AND($W8&lt;&gt;"",COUNTIF($W$2:$W8,$W8)&gt;1),"Ticket duplicado | ","")&amp;IF(AND($G8&lt;&gt;"",IFERROR(INDEX('MAESTRO DE UNIDADES'!$L$2:$L$208,MATCH($G8,'MAESTRO DE UNIDADES'!$A$2:$A$208,0)),"")="Inactivo"),"Unidad inactiva | ","")&amp;IF(AND($AA8&lt;&gt;"",$N8=""),"Carga de batán sin litros | ","")&amp;IF(AND($AA8&lt;&gt;"",$AC8&lt;0),"Supera saldo batán | ","")),LEN((IF($G8="","Sin unidad | ","")&amp;IF($J8="","Sin responsable | ","")&amp;IF($K8="","Sin obra | ","")&amp;IF(AND($N8&lt;&gt;"",$G8&lt;&gt;"",$N8&gt;IFERROR(INDEX('MAESTRO DE UNIDADES'!$I$2:$I$208,MATCH($G8,'MAESTRO DE UNIDADES'!$A$2:$A$208,0)),0)),"Litros &gt; tanque | ","")&amp;IF(AND($W8&lt;&gt;"",COUNTIF($W$2:$W8,$W8)&gt;1),"Ticket duplicado | ","")&amp;IF(AND($G8&lt;&gt;"",IFERROR(INDEX('MAESTRO DE UNIDADES'!$L$2:$L$208,MATCH($G8,'MAESTRO DE UNIDADES'!$A$2:$A$208,0)),"")="Inactivo"),"Unidad inactiva | ","")&amp;IF(AND($AA8&lt;&gt;"",$N8=""),"Carga de batán sin litros | ","")&amp;IF(AND($AA8&lt;&gt;"",$AC8&lt;0),"Supera saldo batán | ","")))-3)))</f>
        <v/>
      </c>
      <c r="Z8" s="8" t="str">
        <f t="shared" si="7"/>
        <v/>
      </c>
      <c r="AA8" s="4"/>
      <c r="AB8" s="26"/>
      <c r="AC8" s="28"/>
    </row>
    <row r="9" spans="1:29" ht="26.25" x14ac:dyDescent="0.25">
      <c r="A9" s="8" t="str">
        <f t="shared" si="1"/>
        <v/>
      </c>
      <c r="B9" s="63"/>
      <c r="C9" s="8" t="str">
        <f t="shared" si="2"/>
        <v/>
      </c>
      <c r="D9" s="10" t="str">
        <f t="shared" si="3"/>
        <v/>
      </c>
      <c r="E9" s="8" t="str">
        <f t="shared" si="4"/>
        <v/>
      </c>
      <c r="F9" s="64"/>
      <c r="G9" s="4"/>
      <c r="H9" s="8" t="str">
        <f>IF($G9="","",IFERROR(INDEX('MAESTRO DE UNIDADES'!$F$2:$F$208,MATCH($G9,'MAESTRO DE UNIDADES'!$A$2:$A$208,0)),""))</f>
        <v/>
      </c>
      <c r="I9" s="8" t="str">
        <f>IF($G9="","",IFERROR(INDEX('MAESTRO DE UNIDADES'!$B$2:$B$208,MATCH($G9,'MAESTRO DE UNIDADES'!$A$2:$A$208,0)),""))</f>
        <v/>
      </c>
      <c r="J9" s="4"/>
      <c r="K9" s="4"/>
      <c r="L9" s="4"/>
      <c r="M9" s="8" t="str">
        <f>IF($G9="","",IFERROR(INDEX('MAESTRO DE UNIDADES'!$H$2:$H$208,MATCH($G9,'MAESTRO DE UNIDADES'!$A$2:$A$208,0)),""))</f>
        <v/>
      </c>
      <c r="N9" s="17"/>
      <c r="O9" s="25"/>
      <c r="P9" s="26" t="str">
        <f t="shared" si="5"/>
        <v/>
      </c>
      <c r="Q9" s="27"/>
      <c r="R9" s="27"/>
      <c r="S9" s="28" t="str">
        <f>IF(OR($G9="",$Q9="",COUNTIF($G$2:G8,$G9)=0),"",$Q9-LOOKUP(2,1/($G$2:G8=$G9),$Q$2:Q8))</f>
        <v/>
      </c>
      <c r="T9" s="28" t="str">
        <f>IF(OR($G9="",$R9="",COUNTIF($G$2:G8,$G9)=0),"",$R9-LOOKUP(2,1/($G$2:G8=$G9),$R$2:R8))</f>
        <v/>
      </c>
      <c r="U9" s="11" t="str">
        <f t="shared" si="6"/>
        <v/>
      </c>
      <c r="V9" s="4"/>
      <c r="W9" s="4"/>
      <c r="X9" s="4"/>
      <c r="Y9" s="56" t="str">
        <f>IF($B9="","",IF((IF($G9="","Sin unidad | ","")&amp;IF($J9="","Sin responsable | ","")&amp;IF($K9="","Sin obra | ","")&amp;IF(AND($N9&lt;&gt;"",$G9&lt;&gt;"",$N9&gt;IFERROR(INDEX('MAESTRO DE UNIDADES'!$I$2:$I$208,MATCH($G9,'MAESTRO DE UNIDADES'!$A$2:$A$208,0)),0)),"Litros &gt; tanque | ","")&amp;IF(AND($W9&lt;&gt;"",COUNTIF($W$2:$W9,$W9)&gt;1),"Ticket duplicado | ","")&amp;IF(AND($G9&lt;&gt;"",IFERROR(INDEX('MAESTRO DE UNIDADES'!$L$2:$L$208,MATCH($G9,'MAESTRO DE UNIDADES'!$A$2:$A$208,0)),"")="Inactivo"),"Unidad inactiva | ","")&amp;IF(AND($AA9&lt;&gt;"",$N9=""),"Carga de batán sin litros | ","")&amp;IF(AND($AA9&lt;&gt;"",$AC9&lt;0),"Supera saldo batán | ",""))="","OK",LEFT((IF($G9="","Sin unidad | ","")&amp;IF($J9="","Sin responsable | ","")&amp;IF($K9="","Sin obra | ","")&amp;IF(AND($N9&lt;&gt;"",$G9&lt;&gt;"",$N9&gt;IFERROR(INDEX('MAESTRO DE UNIDADES'!$I$2:$I$208,MATCH($G9,'MAESTRO DE UNIDADES'!$A$2:$A$208,0)),0)),"Litros &gt; tanque | ","")&amp;IF(AND($W9&lt;&gt;"",COUNTIF($W$2:$W9,$W9)&gt;1),"Ticket duplicado | ","")&amp;IF(AND($G9&lt;&gt;"",IFERROR(INDEX('MAESTRO DE UNIDADES'!$L$2:$L$208,MATCH($G9,'MAESTRO DE UNIDADES'!$A$2:$A$208,0)),"")="Inactivo"),"Unidad inactiva | ","")&amp;IF(AND($AA9&lt;&gt;"",$N9=""),"Carga de batán sin litros | ","")&amp;IF(AND($AA9&lt;&gt;"",$AC9&lt;0),"Supera saldo batán | ","")),LEN((IF($G9="","Sin unidad | ","")&amp;IF($J9="","Sin responsable | ","")&amp;IF($K9="","Sin obra | ","")&amp;IF(AND($N9&lt;&gt;"",$G9&lt;&gt;"",$N9&gt;IFERROR(INDEX('MAESTRO DE UNIDADES'!$I$2:$I$208,MATCH($G9,'MAESTRO DE UNIDADES'!$A$2:$A$208,0)),0)),"Litros &gt; tanque | ","")&amp;IF(AND($W9&lt;&gt;"",COUNTIF($W$2:$W9,$W9)&gt;1),"Ticket duplicado | ","")&amp;IF(AND($G9&lt;&gt;"",IFERROR(INDEX('MAESTRO DE UNIDADES'!$L$2:$L$208,MATCH($G9,'MAESTRO DE UNIDADES'!$A$2:$A$208,0)),"")="Inactivo"),"Unidad inactiva | ","")&amp;IF(AND($AA9&lt;&gt;"",$N9=""),"Carga de batán sin litros | ","")&amp;IF(AND($AA9&lt;&gt;"",$AC9&lt;0),"Supera saldo batán | ","")))-3)))</f>
        <v/>
      </c>
      <c r="Z9" s="8" t="str">
        <f t="shared" si="7"/>
        <v/>
      </c>
      <c r="AA9" s="4"/>
      <c r="AB9" s="26"/>
      <c r="AC9" s="28"/>
    </row>
    <row r="10" spans="1:29" ht="26.25" x14ac:dyDescent="0.25">
      <c r="A10" s="8" t="str">
        <f t="shared" si="1"/>
        <v/>
      </c>
      <c r="B10" s="63"/>
      <c r="C10" s="8" t="str">
        <f t="shared" si="2"/>
        <v/>
      </c>
      <c r="D10" s="10" t="str">
        <f t="shared" si="3"/>
        <v/>
      </c>
      <c r="E10" s="8" t="str">
        <f t="shared" si="4"/>
        <v/>
      </c>
      <c r="F10" s="64"/>
      <c r="G10" s="4"/>
      <c r="H10" s="8" t="str">
        <f>IF($G10="","",IFERROR(INDEX('MAESTRO DE UNIDADES'!$F$2:$F$208,MATCH($G10,'MAESTRO DE UNIDADES'!$A$2:$A$208,0)),""))</f>
        <v/>
      </c>
      <c r="I10" s="8" t="str">
        <f>IF($G10="","",IFERROR(INDEX('MAESTRO DE UNIDADES'!$B$2:$B$208,MATCH($G10,'MAESTRO DE UNIDADES'!$A$2:$A$208,0)),""))</f>
        <v/>
      </c>
      <c r="J10" s="4"/>
      <c r="K10" s="4"/>
      <c r="L10" s="4"/>
      <c r="M10" s="8" t="str">
        <f>IF($G10="","",IFERROR(INDEX('MAESTRO DE UNIDADES'!$H$2:$H$208,MATCH($G10,'MAESTRO DE UNIDADES'!$A$2:$A$208,0)),""))</f>
        <v/>
      </c>
      <c r="N10" s="17"/>
      <c r="O10" s="25"/>
      <c r="P10" s="26" t="str">
        <f t="shared" si="5"/>
        <v/>
      </c>
      <c r="Q10" s="27"/>
      <c r="R10" s="27"/>
      <c r="S10" s="28" t="str">
        <f>IF(OR($G10="",$Q10="",COUNTIF($G$2:G9,$G10)=0),"",$Q10-LOOKUP(2,1/($G$2:G9=$G10),$Q$2:Q9))</f>
        <v/>
      </c>
      <c r="T10" s="28" t="str">
        <f>IF(OR($G10="",$R10="",COUNTIF($G$2:G9,$G10)=0),"",$R10-LOOKUP(2,1/($G$2:G9=$G10),$R$2:R9))</f>
        <v/>
      </c>
      <c r="U10" s="11" t="str">
        <f t="shared" si="6"/>
        <v/>
      </c>
      <c r="V10" s="4"/>
      <c r="W10" s="4"/>
      <c r="X10" s="4"/>
      <c r="Y10" s="56" t="str">
        <f>IF($B10="","",IF((IF($G10="","Sin unidad | ","")&amp;IF($J10="","Sin responsable | ","")&amp;IF($K10="","Sin obra | ","")&amp;IF(AND($N10&lt;&gt;"",$G10&lt;&gt;"",$N10&gt;IFERROR(INDEX('MAESTRO DE UNIDADES'!$I$2:$I$208,MATCH($G10,'MAESTRO DE UNIDADES'!$A$2:$A$208,0)),0)),"Litros &gt; tanque | ","")&amp;IF(AND($W10&lt;&gt;"",COUNTIF($W$2:$W10,$W10)&gt;1),"Ticket duplicado | ","")&amp;IF(AND($G10&lt;&gt;"",IFERROR(INDEX('MAESTRO DE UNIDADES'!$L$2:$L$208,MATCH($G10,'MAESTRO DE UNIDADES'!$A$2:$A$208,0)),"")="Inactivo"),"Unidad inactiva | ","")&amp;IF(AND($AA10&lt;&gt;"",$N10=""),"Carga de batán sin litros | ","")&amp;IF(AND($AA10&lt;&gt;"",$AC10&lt;0),"Supera saldo batán | ",""))="","OK",LEFT((IF($G10="","Sin unidad | ","")&amp;IF($J10="","Sin responsable | ","")&amp;IF($K10="","Sin obra | ","")&amp;IF(AND($N10&lt;&gt;"",$G10&lt;&gt;"",$N10&gt;IFERROR(INDEX('MAESTRO DE UNIDADES'!$I$2:$I$208,MATCH($G10,'MAESTRO DE UNIDADES'!$A$2:$A$208,0)),0)),"Litros &gt; tanque | ","")&amp;IF(AND($W10&lt;&gt;"",COUNTIF($W$2:$W10,$W10)&gt;1),"Ticket duplicado | ","")&amp;IF(AND($G10&lt;&gt;"",IFERROR(INDEX('MAESTRO DE UNIDADES'!$L$2:$L$208,MATCH($G10,'MAESTRO DE UNIDADES'!$A$2:$A$208,0)),"")="Inactivo"),"Unidad inactiva | ","")&amp;IF(AND($AA10&lt;&gt;"",$N10=""),"Carga de batán sin litros | ","")&amp;IF(AND($AA10&lt;&gt;"",$AC10&lt;0),"Supera saldo batán | ","")),LEN((IF($G10="","Sin unidad | ","")&amp;IF($J10="","Sin responsable | ","")&amp;IF($K10="","Sin obra | ","")&amp;IF(AND($N10&lt;&gt;"",$G10&lt;&gt;"",$N10&gt;IFERROR(INDEX('MAESTRO DE UNIDADES'!$I$2:$I$208,MATCH($G10,'MAESTRO DE UNIDADES'!$A$2:$A$208,0)),0)),"Litros &gt; tanque | ","")&amp;IF(AND($W10&lt;&gt;"",COUNTIF($W$2:$W10,$W10)&gt;1),"Ticket duplicado | ","")&amp;IF(AND($G10&lt;&gt;"",IFERROR(INDEX('MAESTRO DE UNIDADES'!$L$2:$L$208,MATCH($G10,'MAESTRO DE UNIDADES'!$A$2:$A$208,0)),"")="Inactivo"),"Unidad inactiva | ","")&amp;IF(AND($AA10&lt;&gt;"",$N10=""),"Carga de batán sin litros | ","")&amp;IF(AND($AA10&lt;&gt;"",$AC10&lt;0),"Supera saldo batán | ","")))-3)))</f>
        <v/>
      </c>
      <c r="Z10" s="8" t="str">
        <f t="shared" si="7"/>
        <v/>
      </c>
      <c r="AA10" s="4"/>
      <c r="AB10" s="26"/>
      <c r="AC10" s="28"/>
    </row>
    <row r="11" spans="1:29" ht="26.25" x14ac:dyDescent="0.25">
      <c r="A11" s="8" t="str">
        <f t="shared" si="1"/>
        <v/>
      </c>
      <c r="B11" s="63"/>
      <c r="C11" s="8" t="str">
        <f t="shared" si="2"/>
        <v/>
      </c>
      <c r="D11" s="10" t="str">
        <f t="shared" si="3"/>
        <v/>
      </c>
      <c r="E11" s="8" t="str">
        <f t="shared" si="4"/>
        <v/>
      </c>
      <c r="F11" s="64"/>
      <c r="G11" s="4"/>
      <c r="H11" s="8" t="str">
        <f>IF($G11="","",IFERROR(INDEX('MAESTRO DE UNIDADES'!$F$2:$F$208,MATCH($G11,'MAESTRO DE UNIDADES'!$A$2:$A$208,0)),""))</f>
        <v/>
      </c>
      <c r="I11" s="8" t="str">
        <f>IF($G11="","",IFERROR(INDEX('MAESTRO DE UNIDADES'!$B$2:$B$208,MATCH($G11,'MAESTRO DE UNIDADES'!$A$2:$A$208,0)),""))</f>
        <v/>
      </c>
      <c r="J11" s="4"/>
      <c r="K11" s="4"/>
      <c r="L11" s="4"/>
      <c r="M11" s="8" t="str">
        <f>IF($G11="","",IFERROR(INDEX('MAESTRO DE UNIDADES'!$H$2:$H$208,MATCH($G11,'MAESTRO DE UNIDADES'!$A$2:$A$208,0)),""))</f>
        <v/>
      </c>
      <c r="N11" s="17"/>
      <c r="O11" s="25"/>
      <c r="P11" s="26" t="str">
        <f t="shared" si="5"/>
        <v/>
      </c>
      <c r="Q11" s="27"/>
      <c r="R11" s="27"/>
      <c r="S11" s="28" t="str">
        <f>IF(OR($G11="",$Q11="",COUNTIF($G$2:G10,$G11)=0),"",$Q11-LOOKUP(2,1/($G$2:G10=$G11),$Q$2:Q10))</f>
        <v/>
      </c>
      <c r="T11" s="28" t="str">
        <f>IF(OR($G11="",$R11="",COUNTIF($G$2:G10,$G11)=0),"",$R11-LOOKUP(2,1/($G$2:G10=$G11),$R$2:R10))</f>
        <v/>
      </c>
      <c r="U11" s="11" t="str">
        <f t="shared" si="6"/>
        <v/>
      </c>
      <c r="V11" s="4"/>
      <c r="W11" s="4"/>
      <c r="X11" s="4"/>
      <c r="Y11" s="56" t="str">
        <f>IF($B11="","",IF((IF($G11="","Sin unidad | ","")&amp;IF($J11="","Sin responsable | ","")&amp;IF($K11="","Sin obra | ","")&amp;IF(AND($N11&lt;&gt;"",$G11&lt;&gt;"",$N11&gt;IFERROR(INDEX('MAESTRO DE UNIDADES'!$I$2:$I$208,MATCH($G11,'MAESTRO DE UNIDADES'!$A$2:$A$208,0)),0)),"Litros &gt; tanque | ","")&amp;IF(AND($W11&lt;&gt;"",COUNTIF($W$2:$W11,$W11)&gt;1),"Ticket duplicado | ","")&amp;IF(AND($G11&lt;&gt;"",IFERROR(INDEX('MAESTRO DE UNIDADES'!$L$2:$L$208,MATCH($G11,'MAESTRO DE UNIDADES'!$A$2:$A$208,0)),"")="Inactivo"),"Unidad inactiva | ","")&amp;IF(AND($AA11&lt;&gt;"",$N11=""),"Carga de batán sin litros | ","")&amp;IF(AND($AA11&lt;&gt;"",$AC11&lt;0),"Supera saldo batán | ",""))="","OK",LEFT((IF($G11="","Sin unidad | ","")&amp;IF($J11="","Sin responsable | ","")&amp;IF($K11="","Sin obra | ","")&amp;IF(AND($N11&lt;&gt;"",$G11&lt;&gt;"",$N11&gt;IFERROR(INDEX('MAESTRO DE UNIDADES'!$I$2:$I$208,MATCH($G11,'MAESTRO DE UNIDADES'!$A$2:$A$208,0)),0)),"Litros &gt; tanque | ","")&amp;IF(AND($W11&lt;&gt;"",COUNTIF($W$2:$W11,$W11)&gt;1),"Ticket duplicado | ","")&amp;IF(AND($G11&lt;&gt;"",IFERROR(INDEX('MAESTRO DE UNIDADES'!$L$2:$L$208,MATCH($G11,'MAESTRO DE UNIDADES'!$A$2:$A$208,0)),"")="Inactivo"),"Unidad inactiva | ","")&amp;IF(AND($AA11&lt;&gt;"",$N11=""),"Carga de batán sin litros | ","")&amp;IF(AND($AA11&lt;&gt;"",$AC11&lt;0),"Supera saldo batán | ","")),LEN((IF($G11="","Sin unidad | ","")&amp;IF($J11="","Sin responsable | ","")&amp;IF($K11="","Sin obra | ","")&amp;IF(AND($N11&lt;&gt;"",$G11&lt;&gt;"",$N11&gt;IFERROR(INDEX('MAESTRO DE UNIDADES'!$I$2:$I$208,MATCH($G11,'MAESTRO DE UNIDADES'!$A$2:$A$208,0)),0)),"Litros &gt; tanque | ","")&amp;IF(AND($W11&lt;&gt;"",COUNTIF($W$2:$W11,$W11)&gt;1),"Ticket duplicado | ","")&amp;IF(AND($G11&lt;&gt;"",IFERROR(INDEX('MAESTRO DE UNIDADES'!$L$2:$L$208,MATCH($G11,'MAESTRO DE UNIDADES'!$A$2:$A$208,0)),"")="Inactivo"),"Unidad inactiva | ","")&amp;IF(AND($AA11&lt;&gt;"",$N11=""),"Carga de batán sin litros | ","")&amp;IF(AND($AA11&lt;&gt;"",$AC11&lt;0),"Supera saldo batán | ","")))-3)))</f>
        <v/>
      </c>
      <c r="Z11" s="8" t="str">
        <f t="shared" si="7"/>
        <v/>
      </c>
      <c r="AA11" s="4"/>
      <c r="AB11" s="26"/>
      <c r="AC11" s="28"/>
    </row>
    <row r="12" spans="1:29" ht="26.25" x14ac:dyDescent="0.25">
      <c r="A12" s="8" t="str">
        <f t="shared" si="1"/>
        <v/>
      </c>
      <c r="B12" s="63"/>
      <c r="C12" s="8" t="str">
        <f t="shared" si="2"/>
        <v/>
      </c>
      <c r="D12" s="10" t="str">
        <f t="shared" si="3"/>
        <v/>
      </c>
      <c r="E12" s="8" t="str">
        <f t="shared" si="4"/>
        <v/>
      </c>
      <c r="F12" s="64"/>
      <c r="G12" s="4"/>
      <c r="H12" s="8" t="str">
        <f>IF($G12="","",IFERROR(INDEX('MAESTRO DE UNIDADES'!$F$2:$F$208,MATCH($G12,'MAESTRO DE UNIDADES'!$A$2:$A$208,0)),""))</f>
        <v/>
      </c>
      <c r="I12" s="8" t="str">
        <f>IF($G12="","",IFERROR(INDEX('MAESTRO DE UNIDADES'!$B$2:$B$208,MATCH($G12,'MAESTRO DE UNIDADES'!$A$2:$A$208,0)),""))</f>
        <v/>
      </c>
      <c r="J12" s="4"/>
      <c r="K12" s="4"/>
      <c r="L12" s="4"/>
      <c r="M12" s="8" t="str">
        <f>IF($G12="","",IFERROR(INDEX('MAESTRO DE UNIDADES'!$H$2:$H$208,MATCH($G12,'MAESTRO DE UNIDADES'!$A$2:$A$208,0)),""))</f>
        <v/>
      </c>
      <c r="N12" s="17"/>
      <c r="O12" s="25"/>
      <c r="P12" s="26" t="str">
        <f t="shared" si="5"/>
        <v/>
      </c>
      <c r="Q12" s="27"/>
      <c r="R12" s="27"/>
      <c r="S12" s="28" t="str">
        <f>IF(OR($G12="",$Q12="",COUNTIF($G$2:G11,$G12)=0),"",$Q12-LOOKUP(2,1/($G$2:G11=$G12),$Q$2:Q11))</f>
        <v/>
      </c>
      <c r="T12" s="28" t="str">
        <f>IF(OR($G12="",$R12="",COUNTIF($G$2:G11,$G12)=0),"",$R12-LOOKUP(2,1/($G$2:G11=$G12),$R$2:R11))</f>
        <v/>
      </c>
      <c r="U12" s="11" t="str">
        <f t="shared" si="6"/>
        <v/>
      </c>
      <c r="V12" s="4"/>
      <c r="W12" s="4"/>
      <c r="X12" s="53"/>
      <c r="Y12" s="56" t="str">
        <f>IF($B12="","",IF((IF($G12="","Sin unidad | ","")&amp;IF($J12="","Sin responsable | ","")&amp;IF($K12="","Sin obra | ","")&amp;IF(AND($N12&lt;&gt;"",$G12&lt;&gt;"",$N12&gt;IFERROR(INDEX('MAESTRO DE UNIDADES'!$I$2:$I$208,MATCH($G12,'MAESTRO DE UNIDADES'!$A$2:$A$208,0)),0)),"Litros &gt; tanque | ","")&amp;IF(AND($W12&lt;&gt;"",COUNTIF($W$2:$W12,$W12)&gt;1),"Ticket duplicado | ","")&amp;IF(AND($G12&lt;&gt;"",IFERROR(INDEX('MAESTRO DE UNIDADES'!$L$2:$L$208,MATCH($G12,'MAESTRO DE UNIDADES'!$A$2:$A$208,0)),"")="Inactivo"),"Unidad inactiva | ","")&amp;IF(AND($AA12&lt;&gt;"",$N12=""),"Carga de batán sin litros | ","")&amp;IF(AND($AA12&lt;&gt;"",$AC12&lt;0),"Supera saldo batán | ",""))="","OK",LEFT((IF($G12="","Sin unidad | ","")&amp;IF($J12="","Sin responsable | ","")&amp;IF($K12="","Sin obra | ","")&amp;IF(AND($N12&lt;&gt;"",$G12&lt;&gt;"",$N12&gt;IFERROR(INDEX('MAESTRO DE UNIDADES'!$I$2:$I$208,MATCH($G12,'MAESTRO DE UNIDADES'!$A$2:$A$208,0)),0)),"Litros &gt; tanque | ","")&amp;IF(AND($W12&lt;&gt;"",COUNTIF($W$2:$W12,$W12)&gt;1),"Ticket duplicado | ","")&amp;IF(AND($G12&lt;&gt;"",IFERROR(INDEX('MAESTRO DE UNIDADES'!$L$2:$L$208,MATCH($G12,'MAESTRO DE UNIDADES'!$A$2:$A$208,0)),"")="Inactivo"),"Unidad inactiva | ","")&amp;IF(AND($AA12&lt;&gt;"",$N12=""),"Carga de batán sin litros | ","")&amp;IF(AND($AA12&lt;&gt;"",$AC12&lt;0),"Supera saldo batán | ","")),LEN((IF($G12="","Sin unidad | ","")&amp;IF($J12="","Sin responsable | ","")&amp;IF($K12="","Sin obra | ","")&amp;IF(AND($N12&lt;&gt;"",$G12&lt;&gt;"",$N12&gt;IFERROR(INDEX('MAESTRO DE UNIDADES'!$I$2:$I$208,MATCH($G12,'MAESTRO DE UNIDADES'!$A$2:$A$208,0)),0)),"Litros &gt; tanque | ","")&amp;IF(AND($W12&lt;&gt;"",COUNTIF($W$2:$W12,$W12)&gt;1),"Ticket duplicado | ","")&amp;IF(AND($G12&lt;&gt;"",IFERROR(INDEX('MAESTRO DE UNIDADES'!$L$2:$L$208,MATCH($G12,'MAESTRO DE UNIDADES'!$A$2:$A$208,0)),"")="Inactivo"),"Unidad inactiva | ","")&amp;IF(AND($AA12&lt;&gt;"",$N12=""),"Carga de batán sin litros | ","")&amp;IF(AND($AA12&lt;&gt;"",$AC12&lt;0),"Supera saldo batán | ","")))-3)))</f>
        <v/>
      </c>
      <c r="Z12" s="8" t="str">
        <f t="shared" si="7"/>
        <v/>
      </c>
      <c r="AA12" s="4"/>
      <c r="AB12" s="26"/>
      <c r="AC12" s="28"/>
    </row>
    <row r="13" spans="1:29" ht="26.25" x14ac:dyDescent="0.25">
      <c r="A13" s="8" t="str">
        <f t="shared" si="1"/>
        <v/>
      </c>
      <c r="B13" s="63"/>
      <c r="C13" s="8" t="str">
        <f t="shared" si="2"/>
        <v/>
      </c>
      <c r="D13" s="10" t="str">
        <f t="shared" si="3"/>
        <v/>
      </c>
      <c r="E13" s="8" t="str">
        <f t="shared" si="4"/>
        <v/>
      </c>
      <c r="F13" s="64"/>
      <c r="G13" s="4"/>
      <c r="H13" s="8" t="str">
        <f>IF($G13="","",IFERROR(INDEX('MAESTRO DE UNIDADES'!$F$2:$F$208,MATCH($G13,'MAESTRO DE UNIDADES'!$A$2:$A$208,0)),""))</f>
        <v/>
      </c>
      <c r="I13" s="8" t="str">
        <f>IF($G13="","",IFERROR(INDEX('MAESTRO DE UNIDADES'!$B$2:$B$208,MATCH($G13,'MAESTRO DE UNIDADES'!$A$2:$A$208,0)),""))</f>
        <v/>
      </c>
      <c r="J13" s="4"/>
      <c r="K13" s="4"/>
      <c r="L13" s="4"/>
      <c r="M13" s="8" t="str">
        <f>IF($G13="","",IFERROR(INDEX('MAESTRO DE UNIDADES'!$H$2:$H$208,MATCH($G13,'MAESTRO DE UNIDADES'!$A$2:$A$208,0)),""))</f>
        <v/>
      </c>
      <c r="N13" s="17"/>
      <c r="O13" s="25"/>
      <c r="P13" s="26" t="str">
        <f t="shared" si="5"/>
        <v/>
      </c>
      <c r="Q13" s="27"/>
      <c r="R13" s="27"/>
      <c r="S13" s="28" t="str">
        <f>IF(OR($G13="",$Q13="",COUNTIF($G$2:G12,$G13)=0),"",$Q13-LOOKUP(2,1/($G$2:G12=$G13),$Q$2:Q12))</f>
        <v/>
      </c>
      <c r="T13" s="28" t="str">
        <f>IF(OR($G13="",$R13="",COUNTIF($G$2:G12,$G13)=0),"",$R13-LOOKUP(2,1/($G$2:G12=$G13),$R$2:R12))</f>
        <v/>
      </c>
      <c r="U13" s="11" t="str">
        <f t="shared" si="6"/>
        <v/>
      </c>
      <c r="V13" s="4"/>
      <c r="W13" s="17"/>
      <c r="X13" s="4"/>
      <c r="Y13" s="56" t="str">
        <f>IF($B13="","",IF((IF($G13="","Sin unidad | ","")&amp;IF($J13="","Sin responsable | ","")&amp;IF($K13="","Sin obra | ","")&amp;IF(AND($N13&lt;&gt;"",$G13&lt;&gt;"",$N13&gt;IFERROR(INDEX('MAESTRO DE UNIDADES'!$I$2:$I$208,MATCH($G13,'MAESTRO DE UNIDADES'!$A$2:$A$208,0)),0)),"Litros &gt; tanque | ","")&amp;IF(AND($W13&lt;&gt;"",COUNTIF($W$2:$W13,$W13)&gt;1),"Ticket duplicado | ","")&amp;IF(AND($G13&lt;&gt;"",IFERROR(INDEX('MAESTRO DE UNIDADES'!$L$2:$L$208,MATCH($G13,'MAESTRO DE UNIDADES'!$A$2:$A$208,0)),"")="Inactivo"),"Unidad inactiva | ","")&amp;IF(AND($AA13&lt;&gt;"",$N13=""),"Carga de batán sin litros | ","")&amp;IF(AND($AA13&lt;&gt;"",$AC13&lt;0),"Supera saldo batán | ",""))="","OK",LEFT((IF($G13="","Sin unidad | ","")&amp;IF($J13="","Sin responsable | ","")&amp;IF($K13="","Sin obra | ","")&amp;IF(AND($N13&lt;&gt;"",$G13&lt;&gt;"",$N13&gt;IFERROR(INDEX('MAESTRO DE UNIDADES'!$I$2:$I$208,MATCH($G13,'MAESTRO DE UNIDADES'!$A$2:$A$208,0)),0)),"Litros &gt; tanque | ","")&amp;IF(AND($W13&lt;&gt;"",COUNTIF($W$2:$W13,$W13)&gt;1),"Ticket duplicado | ","")&amp;IF(AND($G13&lt;&gt;"",IFERROR(INDEX('MAESTRO DE UNIDADES'!$L$2:$L$208,MATCH($G13,'MAESTRO DE UNIDADES'!$A$2:$A$208,0)),"")="Inactivo"),"Unidad inactiva | ","")&amp;IF(AND($AA13&lt;&gt;"",$N13=""),"Carga de batán sin litros | ","")&amp;IF(AND($AA13&lt;&gt;"",$AC13&lt;0),"Supera saldo batán | ","")),LEN((IF($G13="","Sin unidad | ","")&amp;IF($J13="","Sin responsable | ","")&amp;IF($K13="","Sin obra | ","")&amp;IF(AND($N13&lt;&gt;"",$G13&lt;&gt;"",$N13&gt;IFERROR(INDEX('MAESTRO DE UNIDADES'!$I$2:$I$208,MATCH($G13,'MAESTRO DE UNIDADES'!$A$2:$A$208,0)),0)),"Litros &gt; tanque | ","")&amp;IF(AND($W13&lt;&gt;"",COUNTIF($W$2:$W13,$W13)&gt;1),"Ticket duplicado | ","")&amp;IF(AND($G13&lt;&gt;"",IFERROR(INDEX('MAESTRO DE UNIDADES'!$L$2:$L$208,MATCH($G13,'MAESTRO DE UNIDADES'!$A$2:$A$208,0)),"")="Inactivo"),"Unidad inactiva | ","")&amp;IF(AND($AA13&lt;&gt;"",$N13=""),"Carga de batán sin litros | ","")&amp;IF(AND($AA13&lt;&gt;"",$AC13&lt;0),"Supera saldo batán | ","")))-3)))</f>
        <v/>
      </c>
      <c r="Z13" s="8" t="str">
        <f t="shared" si="7"/>
        <v/>
      </c>
      <c r="AA13" s="4"/>
      <c r="AB13" s="26"/>
      <c r="AC13" s="28"/>
    </row>
    <row r="14" spans="1:29" ht="26.25" x14ac:dyDescent="0.25">
      <c r="A14" s="8" t="str">
        <f t="shared" si="1"/>
        <v/>
      </c>
      <c r="B14" s="63"/>
      <c r="C14" s="8" t="str">
        <f t="shared" si="2"/>
        <v/>
      </c>
      <c r="D14" s="10" t="str">
        <f t="shared" si="3"/>
        <v/>
      </c>
      <c r="E14" s="8" t="str">
        <f t="shared" si="4"/>
        <v/>
      </c>
      <c r="F14" s="64"/>
      <c r="G14" s="4"/>
      <c r="H14" s="8" t="str">
        <f>IF($G14="","",IFERROR(INDEX('MAESTRO DE UNIDADES'!$F$2:$F$208,MATCH($G14,'MAESTRO DE UNIDADES'!$A$2:$A$208,0)),""))</f>
        <v/>
      </c>
      <c r="I14" s="8" t="str">
        <f>IF($G14="","",IFERROR(INDEX('MAESTRO DE UNIDADES'!$B$2:$B$208,MATCH($G14,'MAESTRO DE UNIDADES'!$A$2:$A$208,0)),""))</f>
        <v/>
      </c>
      <c r="J14" s="4"/>
      <c r="K14" s="4"/>
      <c r="L14" s="4"/>
      <c r="M14" s="8" t="str">
        <f>IF($G14="","",IFERROR(INDEX('MAESTRO DE UNIDADES'!$H$2:$H$208,MATCH($G14,'MAESTRO DE UNIDADES'!$A$2:$A$208,0)),""))</f>
        <v/>
      </c>
      <c r="N14" s="17"/>
      <c r="O14" s="25"/>
      <c r="P14" s="26" t="str">
        <f t="shared" si="5"/>
        <v/>
      </c>
      <c r="Q14" s="27"/>
      <c r="R14" s="27"/>
      <c r="S14" s="28" t="str">
        <f>IF(OR($G14="",$Q14="",COUNTIF($G$2:G13,$G14)=0),"",$Q14-LOOKUP(2,1/($G$2:G13=$G14),$Q$2:Q13))</f>
        <v/>
      </c>
      <c r="T14" s="28" t="str">
        <f>IF(OR($G14="",$R14="",COUNTIF($G$2:G13,$G14)=0),"",$R14-LOOKUP(2,1/($G$2:G13=$G14),$R$2:R13))</f>
        <v/>
      </c>
      <c r="U14" s="11" t="str">
        <f t="shared" si="6"/>
        <v/>
      </c>
      <c r="V14" s="4"/>
      <c r="W14" s="4"/>
      <c r="X14" s="4"/>
      <c r="Y14" s="56" t="str">
        <f>IF($B14="","",IF((IF($G14="","Sin unidad | ","")&amp;IF($J14="","Sin responsable | ","")&amp;IF($K14="","Sin obra | ","")&amp;IF(AND($N14&lt;&gt;"",$G14&lt;&gt;"",$N14&gt;IFERROR(INDEX('MAESTRO DE UNIDADES'!$I$2:$I$208,MATCH($G14,'MAESTRO DE UNIDADES'!$A$2:$A$208,0)),0)),"Litros &gt; tanque | ","")&amp;IF(AND($W14&lt;&gt;"",COUNTIF($W$2:$W14,$W14)&gt;1),"Ticket duplicado | ","")&amp;IF(AND($G14&lt;&gt;"",IFERROR(INDEX('MAESTRO DE UNIDADES'!$L$2:$L$208,MATCH($G14,'MAESTRO DE UNIDADES'!$A$2:$A$208,0)),"")="Inactivo"),"Unidad inactiva | ","")&amp;IF(AND($AA14&lt;&gt;"",$N14=""),"Carga de batán sin litros | ","")&amp;IF(AND($AA14&lt;&gt;"",$AC14&lt;0),"Supera saldo batán | ",""))="","OK",LEFT((IF($G14="","Sin unidad | ","")&amp;IF($J14="","Sin responsable | ","")&amp;IF($K14="","Sin obra | ","")&amp;IF(AND($N14&lt;&gt;"",$G14&lt;&gt;"",$N14&gt;IFERROR(INDEX('MAESTRO DE UNIDADES'!$I$2:$I$208,MATCH($G14,'MAESTRO DE UNIDADES'!$A$2:$A$208,0)),0)),"Litros &gt; tanque | ","")&amp;IF(AND($W14&lt;&gt;"",COUNTIF($W$2:$W14,$W14)&gt;1),"Ticket duplicado | ","")&amp;IF(AND($G14&lt;&gt;"",IFERROR(INDEX('MAESTRO DE UNIDADES'!$L$2:$L$208,MATCH($G14,'MAESTRO DE UNIDADES'!$A$2:$A$208,0)),"")="Inactivo"),"Unidad inactiva | ","")&amp;IF(AND($AA14&lt;&gt;"",$N14=""),"Carga de batán sin litros | ","")&amp;IF(AND($AA14&lt;&gt;"",$AC14&lt;0),"Supera saldo batán | ","")),LEN((IF($G14="","Sin unidad | ","")&amp;IF($J14="","Sin responsable | ","")&amp;IF($K14="","Sin obra | ","")&amp;IF(AND($N14&lt;&gt;"",$G14&lt;&gt;"",$N14&gt;IFERROR(INDEX('MAESTRO DE UNIDADES'!$I$2:$I$208,MATCH($G14,'MAESTRO DE UNIDADES'!$A$2:$A$208,0)),0)),"Litros &gt; tanque | ","")&amp;IF(AND($W14&lt;&gt;"",COUNTIF($W$2:$W14,$W14)&gt;1),"Ticket duplicado | ","")&amp;IF(AND($G14&lt;&gt;"",IFERROR(INDEX('MAESTRO DE UNIDADES'!$L$2:$L$208,MATCH($G14,'MAESTRO DE UNIDADES'!$A$2:$A$208,0)),"")="Inactivo"),"Unidad inactiva | ","")&amp;IF(AND($AA14&lt;&gt;"",$N14=""),"Carga de batán sin litros | ","")&amp;IF(AND($AA14&lt;&gt;"",$AC14&lt;0),"Supera saldo batán | ","")))-3)))</f>
        <v/>
      </c>
      <c r="Z14" s="8" t="str">
        <f t="shared" si="7"/>
        <v/>
      </c>
      <c r="AA14" s="4"/>
      <c r="AB14" s="26"/>
      <c r="AC14" s="28"/>
    </row>
    <row r="15" spans="1:29" ht="26.25" x14ac:dyDescent="0.25">
      <c r="A15" s="8" t="str">
        <f t="shared" si="1"/>
        <v/>
      </c>
      <c r="B15" s="63"/>
      <c r="C15" s="8" t="str">
        <f t="shared" si="2"/>
        <v/>
      </c>
      <c r="D15" s="10" t="str">
        <f t="shared" si="3"/>
        <v/>
      </c>
      <c r="E15" s="8" t="str">
        <f t="shared" si="4"/>
        <v/>
      </c>
      <c r="F15" s="64"/>
      <c r="G15" s="4"/>
      <c r="H15" s="8" t="str">
        <f>IF($G15="","",IFERROR(INDEX('MAESTRO DE UNIDADES'!$F$2:$F$208,MATCH($G15,'MAESTRO DE UNIDADES'!$A$2:$A$208,0)),""))</f>
        <v/>
      </c>
      <c r="I15" s="8" t="str">
        <f>IF($G15="","",IFERROR(INDEX('MAESTRO DE UNIDADES'!$B$2:$B$208,MATCH($G15,'MAESTRO DE UNIDADES'!$A$2:$A$208,0)),""))</f>
        <v/>
      </c>
      <c r="J15" s="4"/>
      <c r="K15" s="4"/>
      <c r="L15" s="4"/>
      <c r="M15" s="8" t="str">
        <f>IF($G15="","",IFERROR(INDEX('MAESTRO DE UNIDADES'!$H$2:$H$208,MATCH($G15,'MAESTRO DE UNIDADES'!$A$2:$A$208,0)),""))</f>
        <v/>
      </c>
      <c r="N15" s="17"/>
      <c r="O15" s="25"/>
      <c r="P15" s="26" t="str">
        <f t="shared" si="5"/>
        <v/>
      </c>
      <c r="Q15" s="27"/>
      <c r="R15" s="27"/>
      <c r="S15" s="28" t="str">
        <f>IF(OR($G15="",$Q15="",COUNTIF($G$2:G14,$G15)=0),"",$Q15-LOOKUP(2,1/($G$2:G14=$G15),$Q$2:Q14))</f>
        <v/>
      </c>
      <c r="T15" s="28" t="str">
        <f>IF(OR($G15="",$R15="",COUNTIF($G$2:G14,$G15)=0),"",$R15-LOOKUP(2,1/($G$2:G14=$G15),$R$2:R14))</f>
        <v/>
      </c>
      <c r="U15" s="11" t="str">
        <f t="shared" si="6"/>
        <v/>
      </c>
      <c r="V15" s="4"/>
      <c r="W15" s="4"/>
      <c r="X15" s="4"/>
      <c r="Y15" s="56" t="str">
        <f>IF($B15="","",IF((IF($G15="","Sin unidad | ","")&amp;IF($J15="","Sin responsable | ","")&amp;IF($K15="","Sin obra | ","")&amp;IF(AND($N15&lt;&gt;"",$G15&lt;&gt;"",$N15&gt;IFERROR(INDEX('MAESTRO DE UNIDADES'!$I$2:$I$208,MATCH($G15,'MAESTRO DE UNIDADES'!$A$2:$A$208,0)),0)),"Litros &gt; tanque | ","")&amp;IF(AND($W15&lt;&gt;"",COUNTIF($W$2:$W15,$W15)&gt;1),"Ticket duplicado | ","")&amp;IF(AND($G15&lt;&gt;"",IFERROR(INDEX('MAESTRO DE UNIDADES'!$L$2:$L$208,MATCH($G15,'MAESTRO DE UNIDADES'!$A$2:$A$208,0)),"")="Inactivo"),"Unidad inactiva | ","")&amp;IF(AND($AA15&lt;&gt;"",$N15=""),"Carga de batán sin litros | ","")&amp;IF(AND($AA15&lt;&gt;"",$AC15&lt;0),"Supera saldo batán | ",""))="","OK",LEFT((IF($G15="","Sin unidad | ","")&amp;IF($J15="","Sin responsable | ","")&amp;IF($K15="","Sin obra | ","")&amp;IF(AND($N15&lt;&gt;"",$G15&lt;&gt;"",$N15&gt;IFERROR(INDEX('MAESTRO DE UNIDADES'!$I$2:$I$208,MATCH($G15,'MAESTRO DE UNIDADES'!$A$2:$A$208,0)),0)),"Litros &gt; tanque | ","")&amp;IF(AND($W15&lt;&gt;"",COUNTIF($W$2:$W15,$W15)&gt;1),"Ticket duplicado | ","")&amp;IF(AND($G15&lt;&gt;"",IFERROR(INDEX('MAESTRO DE UNIDADES'!$L$2:$L$208,MATCH($G15,'MAESTRO DE UNIDADES'!$A$2:$A$208,0)),"")="Inactivo"),"Unidad inactiva | ","")&amp;IF(AND($AA15&lt;&gt;"",$N15=""),"Carga de batán sin litros | ","")&amp;IF(AND($AA15&lt;&gt;"",$AC15&lt;0),"Supera saldo batán | ","")),LEN((IF($G15="","Sin unidad | ","")&amp;IF($J15="","Sin responsable | ","")&amp;IF($K15="","Sin obra | ","")&amp;IF(AND($N15&lt;&gt;"",$G15&lt;&gt;"",$N15&gt;IFERROR(INDEX('MAESTRO DE UNIDADES'!$I$2:$I$208,MATCH($G15,'MAESTRO DE UNIDADES'!$A$2:$A$208,0)),0)),"Litros &gt; tanque | ","")&amp;IF(AND($W15&lt;&gt;"",COUNTIF($W$2:$W15,$W15)&gt;1),"Ticket duplicado | ","")&amp;IF(AND($G15&lt;&gt;"",IFERROR(INDEX('MAESTRO DE UNIDADES'!$L$2:$L$208,MATCH($G15,'MAESTRO DE UNIDADES'!$A$2:$A$208,0)),"")="Inactivo"),"Unidad inactiva | ","")&amp;IF(AND($AA15&lt;&gt;"",$N15=""),"Carga de batán sin litros | ","")&amp;IF(AND($AA15&lt;&gt;"",$AC15&lt;0),"Supera saldo batán | ","")))-3)))</f>
        <v/>
      </c>
      <c r="Z15" s="8" t="str">
        <f t="shared" si="7"/>
        <v/>
      </c>
      <c r="AA15" s="4"/>
      <c r="AB15" s="26"/>
      <c r="AC15" s="28"/>
    </row>
    <row r="16" spans="1:29" ht="26.25" x14ac:dyDescent="0.25">
      <c r="A16" s="8" t="str">
        <f t="shared" si="1"/>
        <v/>
      </c>
      <c r="B16" s="63"/>
      <c r="C16" s="8" t="str">
        <f t="shared" si="2"/>
        <v/>
      </c>
      <c r="D16" s="10" t="str">
        <f t="shared" si="3"/>
        <v/>
      </c>
      <c r="E16" s="8" t="str">
        <f t="shared" si="4"/>
        <v/>
      </c>
      <c r="F16" s="8"/>
      <c r="G16" s="4"/>
      <c r="H16" s="54"/>
      <c r="I16" s="8" t="str">
        <f>IF($G16="","",IFERROR(INDEX('MAESTRO DE UNIDADES'!$B$2:$B$208,MATCH($G16,'MAESTRO DE UNIDADES'!$A$2:$A$208,0)),""))</f>
        <v/>
      </c>
      <c r="J16" s="4"/>
      <c r="K16" s="4"/>
      <c r="L16" s="4"/>
      <c r="M16" s="8" t="str">
        <f>IF($G16="","",IFERROR(INDEX('MAESTRO DE UNIDADES'!$H$2:$H$208,MATCH($G16,'MAESTRO DE UNIDADES'!$A$2:$A$208,0)),""))</f>
        <v/>
      </c>
      <c r="N16" s="17"/>
      <c r="O16" s="25"/>
      <c r="P16" s="26" t="str">
        <f t="shared" si="5"/>
        <v/>
      </c>
      <c r="Q16" s="27"/>
      <c r="R16" s="27"/>
      <c r="S16" s="28" t="str">
        <f>IF(OR($G16="",$Q16="",COUNTIF($G$2:G15,$G16)=0),"",$Q16-LOOKUP(2,1/($G$2:G15=$G16),$Q$2:Q15))</f>
        <v/>
      </c>
      <c r="T16" s="28" t="str">
        <f>IF(OR($G16="",$R16="",COUNTIF($G$2:G15,$G16)=0),"",$R16-LOOKUP(2,1/($G$2:G15=$G16),$R$2:R15))</f>
        <v/>
      </c>
      <c r="U16" s="11" t="str">
        <f t="shared" si="6"/>
        <v/>
      </c>
      <c r="V16" s="4"/>
      <c r="W16" s="4"/>
      <c r="X16" s="55"/>
      <c r="Y16" s="56" t="str">
        <f>IF($B16="","",IF((IF($G16="","Sin unidad | ","")&amp;IF($J16="","Sin responsable | ","")&amp;IF($K16="","Sin obra | ","")&amp;IF(AND($N16&lt;&gt;"",$G16&lt;&gt;"",$N16&gt;IFERROR(INDEX('MAESTRO DE UNIDADES'!$I$2:$I$208,MATCH($G16,'MAESTRO DE UNIDADES'!$A$2:$A$208,0)),0)),"Litros &gt; tanque | ","")&amp;IF(AND($W16&lt;&gt;"",COUNTIF($W$2:$W16,$W16)&gt;1),"Ticket duplicado | ","")&amp;IF(AND($G16&lt;&gt;"",IFERROR(INDEX('MAESTRO DE UNIDADES'!$L$2:$L$208,MATCH($G16,'MAESTRO DE UNIDADES'!$A$2:$A$208,0)),"")="Inactivo"),"Unidad inactiva | ","")&amp;IF(AND($AA16&lt;&gt;"",$N16=""),"Carga de batán sin litros | ","")&amp;IF(AND($AA16&lt;&gt;"",$AC16&lt;0),"Supera saldo batán | ",""))="","OK",LEFT((IF($G16="","Sin unidad | ","")&amp;IF($J16="","Sin responsable | ","")&amp;IF($K16="","Sin obra | ","")&amp;IF(AND($N16&lt;&gt;"",$G16&lt;&gt;"",$N16&gt;IFERROR(INDEX('MAESTRO DE UNIDADES'!$I$2:$I$208,MATCH($G16,'MAESTRO DE UNIDADES'!$A$2:$A$208,0)),0)),"Litros &gt; tanque | ","")&amp;IF(AND($W16&lt;&gt;"",COUNTIF($W$2:$W16,$W16)&gt;1),"Ticket duplicado | ","")&amp;IF(AND($G16&lt;&gt;"",IFERROR(INDEX('MAESTRO DE UNIDADES'!$L$2:$L$208,MATCH($G16,'MAESTRO DE UNIDADES'!$A$2:$A$208,0)),"")="Inactivo"),"Unidad inactiva | ","")&amp;IF(AND($AA16&lt;&gt;"",$N16=""),"Carga de batán sin litros | ","")&amp;IF(AND($AA16&lt;&gt;"",$AC16&lt;0),"Supera saldo batán | ","")),LEN((IF($G16="","Sin unidad | ","")&amp;IF($J16="","Sin responsable | ","")&amp;IF($K16="","Sin obra | ","")&amp;IF(AND($N16&lt;&gt;"",$G16&lt;&gt;"",$N16&gt;IFERROR(INDEX('MAESTRO DE UNIDADES'!$I$2:$I$208,MATCH($G16,'MAESTRO DE UNIDADES'!$A$2:$A$208,0)),0)),"Litros &gt; tanque | ","")&amp;IF(AND($W16&lt;&gt;"",COUNTIF($W$2:$W16,$W16)&gt;1),"Ticket duplicado | ","")&amp;IF(AND($G16&lt;&gt;"",IFERROR(INDEX('MAESTRO DE UNIDADES'!$L$2:$L$208,MATCH($G16,'MAESTRO DE UNIDADES'!$A$2:$A$208,0)),"")="Inactivo"),"Unidad inactiva | ","")&amp;IF(AND($AA16&lt;&gt;"",$N16=""),"Carga de batán sin litros | ","")&amp;IF(AND($AA16&lt;&gt;"",$AC16&lt;0),"Supera saldo batán | ","")))-3)))</f>
        <v/>
      </c>
      <c r="Z16" s="8" t="str">
        <f t="shared" si="7"/>
        <v/>
      </c>
      <c r="AA16" s="4"/>
      <c r="AB16" s="26" t="str">
        <f>IF($AA16="","",IFERROR(INDEX('CONTROL DE BATAN'!$J$2:$J$301,MATCH($AA16,'CONTROL DE BATAN'!$A$2:$A$301,0)),""))</f>
        <v/>
      </c>
      <c r="AC16" s="28" t="str">
        <f>IF($AA16="","",IFERROR(INDEX('CONTROL DE BATAN'!$I$2:$I$301,MATCH($AA16,'CONTROL DE BATAN'!$A$2:$A$301,0)),0)-SUMIFS($N$2:$N16,$AA$2:$AA16,$AA16))</f>
        <v/>
      </c>
    </row>
    <row r="17" spans="1:29" ht="26.25" x14ac:dyDescent="0.25">
      <c r="A17" s="8" t="str">
        <f t="shared" si="1"/>
        <v/>
      </c>
      <c r="B17" s="63"/>
      <c r="C17" s="8" t="str">
        <f t="shared" si="2"/>
        <v/>
      </c>
      <c r="D17" s="10" t="str">
        <f t="shared" si="3"/>
        <v/>
      </c>
      <c r="E17" s="8" t="str">
        <f t="shared" si="4"/>
        <v/>
      </c>
      <c r="F17" s="8"/>
      <c r="G17" s="4"/>
      <c r="H17" s="8" t="str">
        <f>IF($G17="","",IFERROR(INDEX('MAESTRO DE UNIDADES'!$F$2:$F$208,MATCH($G17,'MAESTRO DE UNIDADES'!$A$2:$A$208,0)),""))</f>
        <v/>
      </c>
      <c r="I17" s="8" t="str">
        <f>IF($G17="","",IFERROR(INDEX('MAESTRO DE UNIDADES'!$B$2:$B$208,MATCH($G17,'MAESTRO DE UNIDADES'!$A$2:$A$208,0)),""))</f>
        <v/>
      </c>
      <c r="J17" s="4"/>
      <c r="K17" s="4"/>
      <c r="L17" s="4"/>
      <c r="M17" s="8" t="str">
        <f>IF($G17="","",IFERROR(INDEX('MAESTRO DE UNIDADES'!$H$2:$H$208,MATCH($G17,'MAESTRO DE UNIDADES'!$A$2:$A$208,0)),""))</f>
        <v/>
      </c>
      <c r="N17" s="17"/>
      <c r="O17" s="25"/>
      <c r="P17" s="26" t="str">
        <f t="shared" si="5"/>
        <v/>
      </c>
      <c r="Q17" s="27"/>
      <c r="R17" s="27"/>
      <c r="S17" s="28" t="str">
        <f>IF(OR($G17="",$Q17="",COUNTIF($G$2:G16,$G17)=0),"",$Q17-LOOKUP(2,1/($G$2:G16=$G17),$Q$2:Q16))</f>
        <v/>
      </c>
      <c r="T17" s="28" t="str">
        <f>IF(OR($G17="",$R17="",COUNTIF($G$2:G16,$G17)=0),"",$R17-LOOKUP(2,1/($G$2:G16=$G17),$R$2:R16))</f>
        <v/>
      </c>
      <c r="U17" s="11" t="str">
        <f t="shared" si="6"/>
        <v/>
      </c>
      <c r="V17" s="4"/>
      <c r="W17" s="55"/>
      <c r="X17" s="55"/>
      <c r="Y17" s="56" t="str">
        <f>IF($B17="","",IF((IF($G17="","Sin unidad | ","")&amp;IF($J17="","Sin responsable | ","")&amp;IF($K17="","Sin obra | ","")&amp;IF(AND($N17&lt;&gt;"",$G17&lt;&gt;"",$N17&gt;IFERROR(INDEX('MAESTRO DE UNIDADES'!$I$2:$I$208,MATCH($G17,'MAESTRO DE UNIDADES'!$A$2:$A$208,0)),0)),"Litros &gt; tanque | ","")&amp;IF(AND($W17&lt;&gt;"",COUNTIF($W$2:$W17,$W17)&gt;1),"Ticket duplicado | ","")&amp;IF(AND($G17&lt;&gt;"",IFERROR(INDEX('MAESTRO DE UNIDADES'!$L$2:$L$208,MATCH($G17,'MAESTRO DE UNIDADES'!$A$2:$A$208,0)),"")="Inactivo"),"Unidad inactiva | ","")&amp;IF(AND($AA17&lt;&gt;"",$N17=""),"Carga de batán sin litros | ","")&amp;IF(AND($AA17&lt;&gt;"",$AC17&lt;0),"Supera saldo batán | ",""))="","OK",LEFT((IF($G17="","Sin unidad | ","")&amp;IF($J17="","Sin responsable | ","")&amp;IF($K17="","Sin obra | ","")&amp;IF(AND($N17&lt;&gt;"",$G17&lt;&gt;"",$N17&gt;IFERROR(INDEX('MAESTRO DE UNIDADES'!$I$2:$I$208,MATCH($G17,'MAESTRO DE UNIDADES'!$A$2:$A$208,0)),0)),"Litros &gt; tanque | ","")&amp;IF(AND($W17&lt;&gt;"",COUNTIF($W$2:$W17,$W17)&gt;1),"Ticket duplicado | ","")&amp;IF(AND($G17&lt;&gt;"",IFERROR(INDEX('MAESTRO DE UNIDADES'!$L$2:$L$208,MATCH($G17,'MAESTRO DE UNIDADES'!$A$2:$A$208,0)),"")="Inactivo"),"Unidad inactiva | ","")&amp;IF(AND($AA17&lt;&gt;"",$N17=""),"Carga de batán sin litros | ","")&amp;IF(AND($AA17&lt;&gt;"",$AC17&lt;0),"Supera saldo batán | ","")),LEN((IF($G17="","Sin unidad | ","")&amp;IF($J17="","Sin responsable | ","")&amp;IF($K17="","Sin obra | ","")&amp;IF(AND($N17&lt;&gt;"",$G17&lt;&gt;"",$N17&gt;IFERROR(INDEX('MAESTRO DE UNIDADES'!$I$2:$I$208,MATCH($G17,'MAESTRO DE UNIDADES'!$A$2:$A$208,0)),0)),"Litros &gt; tanque | ","")&amp;IF(AND($W17&lt;&gt;"",COUNTIF($W$2:$W17,$W17)&gt;1),"Ticket duplicado | ","")&amp;IF(AND($G17&lt;&gt;"",IFERROR(INDEX('MAESTRO DE UNIDADES'!$L$2:$L$208,MATCH($G17,'MAESTRO DE UNIDADES'!$A$2:$A$208,0)),"")="Inactivo"),"Unidad inactiva | ","")&amp;IF(AND($AA17&lt;&gt;"",$N17=""),"Carga de batán sin litros | ","")&amp;IF(AND($AA17&lt;&gt;"",$AC17&lt;0),"Supera saldo batán | ","")))-3)))</f>
        <v/>
      </c>
      <c r="Z17" s="8" t="str">
        <f t="shared" si="7"/>
        <v/>
      </c>
      <c r="AA17" s="4"/>
      <c r="AB17" s="26" t="str">
        <f>IF($AA17="","",IFERROR(INDEX('CONTROL DE BATAN'!$J$2:$J$301,MATCH($AA17,'CONTROL DE BATAN'!$A$2:$A$301,0)),""))</f>
        <v/>
      </c>
      <c r="AC17" s="28" t="str">
        <f>IF($AA17="","",IFERROR(INDEX('CONTROL DE BATAN'!$I$2:$I$301,MATCH($AA17,'CONTROL DE BATAN'!$A$2:$A$301,0)),0)-SUMIFS($N$2:$N17,$AA$2:$AA17,$AA17))</f>
        <v/>
      </c>
    </row>
    <row r="18" spans="1:29" ht="26.25" x14ac:dyDescent="0.25">
      <c r="A18" s="8" t="str">
        <f t="shared" si="1"/>
        <v/>
      </c>
      <c r="B18" s="63"/>
      <c r="C18" s="8" t="str">
        <f t="shared" si="2"/>
        <v/>
      </c>
      <c r="D18" s="10" t="str">
        <f t="shared" si="3"/>
        <v/>
      </c>
      <c r="E18" s="8" t="str">
        <f t="shared" si="4"/>
        <v/>
      </c>
      <c r="F18" s="8"/>
      <c r="G18" s="4"/>
      <c r="H18" s="8" t="str">
        <f>IF($G18="","",IFERROR(INDEX('MAESTRO DE UNIDADES'!$F$2:$F$208,MATCH($G18,'MAESTRO DE UNIDADES'!$A$2:$A$208,0)),""))</f>
        <v/>
      </c>
      <c r="I18" s="8" t="str">
        <f>IF($G18="","",IFERROR(INDEX('MAESTRO DE UNIDADES'!$B$2:$B$208,MATCH($G18,'MAESTRO DE UNIDADES'!$A$2:$A$208,0)),""))</f>
        <v/>
      </c>
      <c r="J18" s="4"/>
      <c r="K18" s="4"/>
      <c r="L18" s="4"/>
      <c r="M18" s="8" t="str">
        <f>IF($G18="","",IFERROR(INDEX('MAESTRO DE UNIDADES'!$H$2:$H$208,MATCH($G18,'MAESTRO DE UNIDADES'!$A$2:$A$208,0)),""))</f>
        <v/>
      </c>
      <c r="N18" s="17"/>
      <c r="O18" s="25"/>
      <c r="P18" s="26" t="str">
        <f t="shared" si="5"/>
        <v/>
      </c>
      <c r="Q18" s="27"/>
      <c r="R18" s="27"/>
      <c r="S18" s="28" t="str">
        <f>IF(OR($G18="",$Q18="",COUNTIF($G$2:G17,$G18)=0),"",$Q18-LOOKUP(2,1/($G$2:G17=$G18),$Q$2:Q17))</f>
        <v/>
      </c>
      <c r="T18" s="28" t="str">
        <f>IF(OR($G18="",$R18="",COUNTIF($G$2:G17,$G18)=0),"",$R18-LOOKUP(2,1/($G$2:G17=$G18),$R$2:R17))</f>
        <v/>
      </c>
      <c r="U18" s="11" t="str">
        <f t="shared" si="6"/>
        <v/>
      </c>
      <c r="V18" s="4"/>
      <c r="W18" s="4"/>
      <c r="X18" s="55"/>
      <c r="Y18" s="56" t="str">
        <f>IF($B18="","",IF((IF($G18="","Sin unidad | ","")&amp;IF($J18="","Sin responsable | ","")&amp;IF($K18="","Sin obra | ","")&amp;IF(AND($N18&lt;&gt;"",$G18&lt;&gt;"",$N18&gt;IFERROR(INDEX('MAESTRO DE UNIDADES'!$I$2:$I$208,MATCH($G18,'MAESTRO DE UNIDADES'!$A$2:$A$208,0)),0)),"Litros &gt; tanque | ","")&amp;IF(AND($W18&lt;&gt;"",COUNTIF($W$2:$W18,$W18)&gt;1),"Ticket duplicado | ","")&amp;IF(AND($G18&lt;&gt;"",IFERROR(INDEX('MAESTRO DE UNIDADES'!$L$2:$L$208,MATCH($G18,'MAESTRO DE UNIDADES'!$A$2:$A$208,0)),"")="Inactivo"),"Unidad inactiva | ","")&amp;IF(AND($AA18&lt;&gt;"",$N18=""),"Carga de batán sin litros | ","")&amp;IF(AND($AA18&lt;&gt;"",$AC18&lt;0),"Supera saldo batán | ",""))="","OK",LEFT((IF($G18="","Sin unidad | ","")&amp;IF($J18="","Sin responsable | ","")&amp;IF($K18="","Sin obra | ","")&amp;IF(AND($N18&lt;&gt;"",$G18&lt;&gt;"",$N18&gt;IFERROR(INDEX('MAESTRO DE UNIDADES'!$I$2:$I$208,MATCH($G18,'MAESTRO DE UNIDADES'!$A$2:$A$208,0)),0)),"Litros &gt; tanque | ","")&amp;IF(AND($W18&lt;&gt;"",COUNTIF($W$2:$W18,$W18)&gt;1),"Ticket duplicado | ","")&amp;IF(AND($G18&lt;&gt;"",IFERROR(INDEX('MAESTRO DE UNIDADES'!$L$2:$L$208,MATCH($G18,'MAESTRO DE UNIDADES'!$A$2:$A$208,0)),"")="Inactivo"),"Unidad inactiva | ","")&amp;IF(AND($AA18&lt;&gt;"",$N18=""),"Carga de batán sin litros | ","")&amp;IF(AND($AA18&lt;&gt;"",$AC18&lt;0),"Supera saldo batán | ","")),LEN((IF($G18="","Sin unidad | ","")&amp;IF($J18="","Sin responsable | ","")&amp;IF($K18="","Sin obra | ","")&amp;IF(AND($N18&lt;&gt;"",$G18&lt;&gt;"",$N18&gt;IFERROR(INDEX('MAESTRO DE UNIDADES'!$I$2:$I$208,MATCH($G18,'MAESTRO DE UNIDADES'!$A$2:$A$208,0)),0)),"Litros &gt; tanque | ","")&amp;IF(AND($W18&lt;&gt;"",COUNTIF($W$2:$W18,$W18)&gt;1),"Ticket duplicado | ","")&amp;IF(AND($G18&lt;&gt;"",IFERROR(INDEX('MAESTRO DE UNIDADES'!$L$2:$L$208,MATCH($G18,'MAESTRO DE UNIDADES'!$A$2:$A$208,0)),"")="Inactivo"),"Unidad inactiva | ","")&amp;IF(AND($AA18&lt;&gt;"",$N18=""),"Carga de batán sin litros | ","")&amp;IF(AND($AA18&lt;&gt;"",$AC18&lt;0),"Supera saldo batán | ","")))-3)))</f>
        <v/>
      </c>
      <c r="Z18" s="8" t="str">
        <f t="shared" si="7"/>
        <v/>
      </c>
      <c r="AA18" s="4"/>
      <c r="AB18" s="26" t="str">
        <f>IF($AA18="","",IFERROR(INDEX('CONTROL DE BATAN'!$J$2:$J$301,MATCH($AA18,'CONTROL DE BATAN'!$A$2:$A$301,0)),""))</f>
        <v/>
      </c>
      <c r="AC18" s="28" t="str">
        <f>IF($AA18="","",IFERROR(INDEX('CONTROL DE BATAN'!$I$2:$I$301,MATCH($AA18,'CONTROL DE BATAN'!$A$2:$A$301,0)),0)-SUMIFS($N$2:$N18,$AA$2:$AA18,$AA18))</f>
        <v/>
      </c>
    </row>
    <row r="19" spans="1:29" ht="26.25" x14ac:dyDescent="0.25">
      <c r="A19" s="8" t="str">
        <f t="shared" si="1"/>
        <v/>
      </c>
      <c r="B19" s="63"/>
      <c r="C19" s="8" t="str">
        <f t="shared" si="2"/>
        <v/>
      </c>
      <c r="D19" s="10" t="str">
        <f t="shared" si="3"/>
        <v/>
      </c>
      <c r="E19" s="8" t="str">
        <f t="shared" si="4"/>
        <v/>
      </c>
      <c r="F19" s="8"/>
      <c r="G19" s="4"/>
      <c r="H19" s="8" t="str">
        <f>IF($G19="","",IFERROR(INDEX('MAESTRO DE UNIDADES'!$F$2:$F$208,MATCH($G19,'MAESTRO DE UNIDADES'!$A$2:$A$208,0)),""))</f>
        <v/>
      </c>
      <c r="I19" s="8" t="str">
        <f>IF($G19="","",IFERROR(INDEX('MAESTRO DE UNIDADES'!$B$2:$B$208,MATCH($G19,'MAESTRO DE UNIDADES'!$A$2:$A$208,0)),""))</f>
        <v/>
      </c>
      <c r="J19" s="4"/>
      <c r="K19" s="4"/>
      <c r="L19" s="4"/>
      <c r="M19" s="8" t="str">
        <f>IF($G19="","",IFERROR(INDEX('MAESTRO DE UNIDADES'!$H$2:$H$208,MATCH($G19,'MAESTRO DE UNIDADES'!$A$2:$A$208,0)),""))</f>
        <v/>
      </c>
      <c r="N19" s="17"/>
      <c r="O19" s="25"/>
      <c r="P19" s="26" t="str">
        <f t="shared" si="5"/>
        <v/>
      </c>
      <c r="Q19" s="27"/>
      <c r="R19" s="27"/>
      <c r="S19" s="28" t="str">
        <f>IF(OR($G19="",$Q19="",COUNTIF($G$2:G18,$G19)=0),"",$Q19-LOOKUP(2,1/($G$2:G18=$G19),$Q$2:Q18))</f>
        <v/>
      </c>
      <c r="T19" s="28" t="str">
        <f>IF(OR($G19="",$R19="",COUNTIF($G$2:G18,$G19)=0),"",$R19-LOOKUP(2,1/($G$2:G18=$G19),$R$2:R18))</f>
        <v/>
      </c>
      <c r="U19" s="11" t="str">
        <f t="shared" si="6"/>
        <v/>
      </c>
      <c r="V19" s="4"/>
      <c r="W19" s="4"/>
      <c r="X19" s="55"/>
      <c r="Y19" s="56" t="str">
        <f>IF($B19="","",IF((IF($G19="","Sin unidad | ","")&amp;IF($J19="","Sin responsable | ","")&amp;IF($K19="","Sin obra | ","")&amp;IF(AND($N19&lt;&gt;"",$G19&lt;&gt;"",$N19&gt;IFERROR(INDEX('MAESTRO DE UNIDADES'!$I$2:$I$208,MATCH($G19,'MAESTRO DE UNIDADES'!$A$2:$A$208,0)),0)),"Litros &gt; tanque | ","")&amp;IF(AND($W19&lt;&gt;"",COUNTIF($W$2:$W19,$W19)&gt;1),"Ticket duplicado | ","")&amp;IF(AND($G19&lt;&gt;"",IFERROR(INDEX('MAESTRO DE UNIDADES'!$L$2:$L$208,MATCH($G19,'MAESTRO DE UNIDADES'!$A$2:$A$208,0)),"")="Inactivo"),"Unidad inactiva | ","")&amp;IF(AND($AA19&lt;&gt;"",$N19=""),"Carga de batán sin litros | ","")&amp;IF(AND($AA19&lt;&gt;"",$AC19&lt;0),"Supera saldo batán | ",""))="","OK",LEFT((IF($G19="","Sin unidad | ","")&amp;IF($J19="","Sin responsable | ","")&amp;IF($K19="","Sin obra | ","")&amp;IF(AND($N19&lt;&gt;"",$G19&lt;&gt;"",$N19&gt;IFERROR(INDEX('MAESTRO DE UNIDADES'!$I$2:$I$208,MATCH($G19,'MAESTRO DE UNIDADES'!$A$2:$A$208,0)),0)),"Litros &gt; tanque | ","")&amp;IF(AND($W19&lt;&gt;"",COUNTIF($W$2:$W19,$W19)&gt;1),"Ticket duplicado | ","")&amp;IF(AND($G19&lt;&gt;"",IFERROR(INDEX('MAESTRO DE UNIDADES'!$L$2:$L$208,MATCH($G19,'MAESTRO DE UNIDADES'!$A$2:$A$208,0)),"")="Inactivo"),"Unidad inactiva | ","")&amp;IF(AND($AA19&lt;&gt;"",$N19=""),"Carga de batán sin litros | ","")&amp;IF(AND($AA19&lt;&gt;"",$AC19&lt;0),"Supera saldo batán | ","")),LEN((IF($G19="","Sin unidad | ","")&amp;IF($J19="","Sin responsable | ","")&amp;IF($K19="","Sin obra | ","")&amp;IF(AND($N19&lt;&gt;"",$G19&lt;&gt;"",$N19&gt;IFERROR(INDEX('MAESTRO DE UNIDADES'!$I$2:$I$208,MATCH($G19,'MAESTRO DE UNIDADES'!$A$2:$A$208,0)),0)),"Litros &gt; tanque | ","")&amp;IF(AND($W19&lt;&gt;"",COUNTIF($W$2:$W19,$W19)&gt;1),"Ticket duplicado | ","")&amp;IF(AND($G19&lt;&gt;"",IFERROR(INDEX('MAESTRO DE UNIDADES'!$L$2:$L$208,MATCH($G19,'MAESTRO DE UNIDADES'!$A$2:$A$208,0)),"")="Inactivo"),"Unidad inactiva | ","")&amp;IF(AND($AA19&lt;&gt;"",$N19=""),"Carga de batán sin litros | ","")&amp;IF(AND($AA19&lt;&gt;"",$AC19&lt;0),"Supera saldo batán | ","")))-3)))</f>
        <v/>
      </c>
      <c r="Z19" s="8" t="str">
        <f t="shared" si="7"/>
        <v/>
      </c>
      <c r="AA19" s="4"/>
      <c r="AB19" s="26" t="str">
        <f>IF($AA19="","",IFERROR(INDEX('CONTROL DE BATAN'!$J$2:$J$301,MATCH($AA19,'CONTROL DE BATAN'!$A$2:$A$301,0)),""))</f>
        <v/>
      </c>
      <c r="AC19" s="28" t="str">
        <f>IF($AA19="","",IFERROR(INDEX('CONTROL DE BATAN'!$I$2:$I$301,MATCH($AA19,'CONTROL DE BATAN'!$A$2:$A$301,0)),0)-SUMIFS($N$2:$N19,$AA$2:$AA19,$AA19))</f>
        <v/>
      </c>
    </row>
    <row r="20" spans="1:29" ht="26.25" x14ac:dyDescent="0.25">
      <c r="A20" s="8" t="str">
        <f t="shared" si="1"/>
        <v/>
      </c>
      <c r="B20" s="63"/>
      <c r="C20" s="8" t="str">
        <f t="shared" si="2"/>
        <v/>
      </c>
      <c r="D20" s="10" t="str">
        <f t="shared" si="3"/>
        <v/>
      </c>
      <c r="E20" s="8" t="str">
        <f t="shared" si="4"/>
        <v/>
      </c>
      <c r="F20" s="8"/>
      <c r="G20" s="4"/>
      <c r="H20" s="8" t="str">
        <f>IF($G20="","",IFERROR(INDEX('MAESTRO DE UNIDADES'!$F$2:$F$208,MATCH($G20,'MAESTRO DE UNIDADES'!$A$2:$A$208,0)),""))</f>
        <v/>
      </c>
      <c r="I20" s="8" t="str">
        <f>IF($G20="","",IFERROR(INDEX('MAESTRO DE UNIDADES'!$B$2:$B$208,MATCH($G20,'MAESTRO DE UNIDADES'!$A$2:$A$208,0)),""))</f>
        <v/>
      </c>
      <c r="J20" s="4"/>
      <c r="K20" s="4"/>
      <c r="L20" s="4"/>
      <c r="M20" s="54"/>
      <c r="N20" s="17"/>
      <c r="O20" s="25"/>
      <c r="P20" s="26" t="str">
        <f t="shared" si="5"/>
        <v/>
      </c>
      <c r="Q20" s="27"/>
      <c r="R20" s="27"/>
      <c r="S20" s="28" t="str">
        <f>IF(OR($G20="",$Q20="",COUNTIF($G$2:G19,$G20)=0),"",$Q20-LOOKUP(2,1/($G$2:G19=$G20),$Q$2:Q19))</f>
        <v/>
      </c>
      <c r="T20" s="28" t="str">
        <f>IF(OR($G20="",$R20="",COUNTIF($G$2:G19,$G20)=0),"",$R20-LOOKUP(2,1/($G$2:G19=$G20),$R$2:R19))</f>
        <v/>
      </c>
      <c r="U20" s="11" t="str">
        <f t="shared" si="6"/>
        <v/>
      </c>
      <c r="V20" s="4"/>
      <c r="W20" s="4"/>
      <c r="X20" s="55"/>
      <c r="Y20" s="56" t="str">
        <f>IF($B20="","",IF((IF($G20="","Sin unidad | ","")&amp;IF($J20="","Sin responsable | ","")&amp;IF($K20="","Sin obra | ","")&amp;IF(AND($N20&lt;&gt;"",$G20&lt;&gt;"",$N20&gt;IFERROR(INDEX('MAESTRO DE UNIDADES'!$I$2:$I$208,MATCH($G20,'MAESTRO DE UNIDADES'!$A$2:$A$208,0)),0)),"Litros &gt; tanque | ","")&amp;IF(AND($W20&lt;&gt;"",COUNTIF($W$2:$W20,$W20)&gt;1),"Ticket duplicado | ","")&amp;IF(AND($G20&lt;&gt;"",IFERROR(INDEX('MAESTRO DE UNIDADES'!$L$2:$L$208,MATCH($G20,'MAESTRO DE UNIDADES'!$A$2:$A$208,0)),"")="Inactivo"),"Unidad inactiva | ","")&amp;IF(AND($AA20&lt;&gt;"",$N20=""),"Carga de batán sin litros | ","")&amp;IF(AND($AA20&lt;&gt;"",$AC20&lt;0),"Supera saldo batán | ",""))="","OK",LEFT((IF($G20="","Sin unidad | ","")&amp;IF($J20="","Sin responsable | ","")&amp;IF($K20="","Sin obra | ","")&amp;IF(AND($N20&lt;&gt;"",$G20&lt;&gt;"",$N20&gt;IFERROR(INDEX('MAESTRO DE UNIDADES'!$I$2:$I$208,MATCH($G20,'MAESTRO DE UNIDADES'!$A$2:$A$208,0)),0)),"Litros &gt; tanque | ","")&amp;IF(AND($W20&lt;&gt;"",COUNTIF($W$2:$W20,$W20)&gt;1),"Ticket duplicado | ","")&amp;IF(AND($G20&lt;&gt;"",IFERROR(INDEX('MAESTRO DE UNIDADES'!$L$2:$L$208,MATCH($G20,'MAESTRO DE UNIDADES'!$A$2:$A$208,0)),"")="Inactivo"),"Unidad inactiva | ","")&amp;IF(AND($AA20&lt;&gt;"",$N20=""),"Carga de batán sin litros | ","")&amp;IF(AND($AA20&lt;&gt;"",$AC20&lt;0),"Supera saldo batán | ","")),LEN((IF($G20="","Sin unidad | ","")&amp;IF($J20="","Sin responsable | ","")&amp;IF($K20="","Sin obra | ","")&amp;IF(AND($N20&lt;&gt;"",$G20&lt;&gt;"",$N20&gt;IFERROR(INDEX('MAESTRO DE UNIDADES'!$I$2:$I$208,MATCH($G20,'MAESTRO DE UNIDADES'!$A$2:$A$208,0)),0)),"Litros &gt; tanque | ","")&amp;IF(AND($W20&lt;&gt;"",COUNTIF($W$2:$W20,$W20)&gt;1),"Ticket duplicado | ","")&amp;IF(AND($G20&lt;&gt;"",IFERROR(INDEX('MAESTRO DE UNIDADES'!$L$2:$L$208,MATCH($G20,'MAESTRO DE UNIDADES'!$A$2:$A$208,0)),"")="Inactivo"),"Unidad inactiva | ","")&amp;IF(AND($AA20&lt;&gt;"",$N20=""),"Carga de batán sin litros | ","")&amp;IF(AND($AA20&lt;&gt;"",$AC20&lt;0),"Supera saldo batán | ","")))-3)))</f>
        <v/>
      </c>
      <c r="Z20" s="8" t="str">
        <f t="shared" si="7"/>
        <v/>
      </c>
      <c r="AA20" s="4"/>
      <c r="AB20" s="26" t="str">
        <f>IF($AA20="","",IFERROR(INDEX('CONTROL DE BATAN'!$J$2:$J$301,MATCH($AA20,'CONTROL DE BATAN'!$A$2:$A$301,0)),""))</f>
        <v/>
      </c>
      <c r="AC20" s="28" t="str">
        <f>IF($AA20="","",IFERROR(INDEX('CONTROL DE BATAN'!$I$2:$I$301,MATCH($AA20,'CONTROL DE BATAN'!$A$2:$A$301,0)),0)-SUMIFS($N$2:$N20,$AA$2:$AA20,$AA20))</f>
        <v/>
      </c>
    </row>
    <row r="21" spans="1:29" ht="26.25" x14ac:dyDescent="0.25">
      <c r="A21" s="8" t="str">
        <f t="shared" si="1"/>
        <v/>
      </c>
      <c r="B21" s="63"/>
      <c r="C21" s="8" t="str">
        <f t="shared" si="2"/>
        <v/>
      </c>
      <c r="D21" s="10" t="str">
        <f t="shared" si="3"/>
        <v/>
      </c>
      <c r="E21" s="8" t="str">
        <f t="shared" si="4"/>
        <v/>
      </c>
      <c r="F21" s="8"/>
      <c r="G21" s="4"/>
      <c r="H21" s="8" t="str">
        <f>IF($G21="","",IFERROR(INDEX('MAESTRO DE UNIDADES'!$F$2:$F$208,MATCH($G21,'MAESTRO DE UNIDADES'!$A$2:$A$208,0)),""))</f>
        <v/>
      </c>
      <c r="I21" s="8" t="str">
        <f>IF($G21="","",IFERROR(INDEX('MAESTRO DE UNIDADES'!$B$2:$B$208,MATCH($G21,'MAESTRO DE UNIDADES'!$A$2:$A$208,0)),""))</f>
        <v/>
      </c>
      <c r="J21" s="4"/>
      <c r="K21" s="4"/>
      <c r="L21" s="4"/>
      <c r="M21" s="8" t="str">
        <f>IF($G21="","",IFERROR(INDEX('MAESTRO DE UNIDADES'!$H$2:$H$208,MATCH($G21,'MAESTRO DE UNIDADES'!$A$2:$A$208,0)),""))</f>
        <v/>
      </c>
      <c r="N21" s="17"/>
      <c r="O21" s="25"/>
      <c r="P21" s="26" t="str">
        <f t="shared" si="5"/>
        <v/>
      </c>
      <c r="Q21" s="27"/>
      <c r="R21" s="27"/>
      <c r="S21" s="28" t="str">
        <f>IF(OR($G21="",$Q21="",COUNTIF($G$2:G20,$G21)=0),"",$Q21-LOOKUP(2,1/($G$2:G20=$G21),$Q$2:Q20))</f>
        <v/>
      </c>
      <c r="T21" s="28" t="str">
        <f>IF(OR($G21="",$R21="",COUNTIF($G$2:G20,$G21)=0),"",$R21-LOOKUP(2,1/($G$2:G20=$G21),$R$2:R20))</f>
        <v/>
      </c>
      <c r="U21" s="11" t="str">
        <f t="shared" si="6"/>
        <v/>
      </c>
      <c r="V21" s="4"/>
      <c r="W21" s="4"/>
      <c r="X21" s="55"/>
      <c r="Y21" s="56" t="str">
        <f>IF($B21="","",IF((IF($G21="","Sin unidad | ","")&amp;IF($J21="","Sin responsable | ","")&amp;IF($K21="","Sin obra | ","")&amp;IF(AND($N21&lt;&gt;"",$G21&lt;&gt;"",$N21&gt;IFERROR(INDEX('MAESTRO DE UNIDADES'!$I$2:$I$208,MATCH($G21,'MAESTRO DE UNIDADES'!$A$2:$A$208,0)),0)),"Litros &gt; tanque | ","")&amp;IF(AND($W21&lt;&gt;"",COUNTIF($W$2:$W21,$W21)&gt;1),"Ticket duplicado | ","")&amp;IF(AND($G21&lt;&gt;"",IFERROR(INDEX('MAESTRO DE UNIDADES'!$L$2:$L$208,MATCH($G21,'MAESTRO DE UNIDADES'!$A$2:$A$208,0)),"")="Inactivo"),"Unidad inactiva | ","")&amp;IF(AND($AA21&lt;&gt;"",$N21=""),"Carga de batán sin litros | ","")&amp;IF(AND($AA21&lt;&gt;"",$AC21&lt;0),"Supera saldo batán | ",""))="","OK",LEFT((IF($G21="","Sin unidad | ","")&amp;IF($J21="","Sin responsable | ","")&amp;IF($K21="","Sin obra | ","")&amp;IF(AND($N21&lt;&gt;"",$G21&lt;&gt;"",$N21&gt;IFERROR(INDEX('MAESTRO DE UNIDADES'!$I$2:$I$208,MATCH($G21,'MAESTRO DE UNIDADES'!$A$2:$A$208,0)),0)),"Litros &gt; tanque | ","")&amp;IF(AND($W21&lt;&gt;"",COUNTIF($W$2:$W21,$W21)&gt;1),"Ticket duplicado | ","")&amp;IF(AND($G21&lt;&gt;"",IFERROR(INDEX('MAESTRO DE UNIDADES'!$L$2:$L$208,MATCH($G21,'MAESTRO DE UNIDADES'!$A$2:$A$208,0)),"")="Inactivo"),"Unidad inactiva | ","")&amp;IF(AND($AA21&lt;&gt;"",$N21=""),"Carga de batán sin litros | ","")&amp;IF(AND($AA21&lt;&gt;"",$AC21&lt;0),"Supera saldo batán | ","")),LEN((IF($G21="","Sin unidad | ","")&amp;IF($J21="","Sin responsable | ","")&amp;IF($K21="","Sin obra | ","")&amp;IF(AND($N21&lt;&gt;"",$G21&lt;&gt;"",$N21&gt;IFERROR(INDEX('MAESTRO DE UNIDADES'!$I$2:$I$208,MATCH($G21,'MAESTRO DE UNIDADES'!$A$2:$A$208,0)),0)),"Litros &gt; tanque | ","")&amp;IF(AND($W21&lt;&gt;"",COUNTIF($W$2:$W21,$W21)&gt;1),"Ticket duplicado | ","")&amp;IF(AND($G21&lt;&gt;"",IFERROR(INDEX('MAESTRO DE UNIDADES'!$L$2:$L$208,MATCH($G21,'MAESTRO DE UNIDADES'!$A$2:$A$208,0)),"")="Inactivo"),"Unidad inactiva | ","")&amp;IF(AND($AA21&lt;&gt;"",$N21=""),"Carga de batán sin litros | ","")&amp;IF(AND($AA21&lt;&gt;"",$AC21&lt;0),"Supera saldo batán | ","")))-3)))</f>
        <v/>
      </c>
      <c r="Z21" s="8" t="str">
        <f t="shared" si="7"/>
        <v/>
      </c>
      <c r="AA21" s="4"/>
      <c r="AB21" s="26" t="str">
        <f>IF($AA21="","",IFERROR(INDEX('CONTROL DE BATAN'!$J$2:$J$301,MATCH($AA21,'CONTROL DE BATAN'!$A$2:$A$301,0)),""))</f>
        <v/>
      </c>
      <c r="AC21" s="28" t="str">
        <f>IF($AA21="","",IFERROR(INDEX('CONTROL DE BATAN'!$I$2:$I$301,MATCH($AA21,'CONTROL DE BATAN'!$A$2:$A$301,0)),0)-SUMIFS($N$2:$N21,$AA$2:$AA21,$AA21))</f>
        <v/>
      </c>
    </row>
    <row r="22" spans="1:29" ht="26.25" x14ac:dyDescent="0.25">
      <c r="A22" s="8" t="str">
        <f t="shared" si="1"/>
        <v/>
      </c>
      <c r="B22" s="63"/>
      <c r="C22" s="8" t="str">
        <f t="shared" si="2"/>
        <v/>
      </c>
      <c r="D22" s="10" t="str">
        <f t="shared" si="3"/>
        <v/>
      </c>
      <c r="E22" s="8" t="str">
        <f t="shared" si="4"/>
        <v/>
      </c>
      <c r="F22" s="8" t="str">
        <f>IF($G22="","",IFERROR(INDEX('MAESTRO DE UNIDADES'!$C$2:$C$208,MATCH($G22,'MAESTRO DE UNIDADES'!$A$2:$A$208,0)),""))</f>
        <v/>
      </c>
      <c r="G22" s="4"/>
      <c r="H22" s="8" t="str">
        <f>IF($G22="","",IFERROR(INDEX('MAESTRO DE UNIDADES'!$F$2:$F$208,MATCH($G22,'MAESTRO DE UNIDADES'!$A$2:$A$208,0)),""))</f>
        <v/>
      </c>
      <c r="I22" s="8" t="str">
        <f>IF($G22="","",IFERROR(INDEX('MAESTRO DE UNIDADES'!$B$2:$B$208,MATCH($G22,'MAESTRO DE UNIDADES'!$A$2:$A$208,0)),""))</f>
        <v/>
      </c>
      <c r="J22" s="4"/>
      <c r="K22" s="4"/>
      <c r="L22" s="4"/>
      <c r="M22" s="8" t="str">
        <f>IF($G22="","",IFERROR(INDEX('MAESTRO DE UNIDADES'!$H$2:$H$208,MATCH($G22,'MAESTRO DE UNIDADES'!$A$2:$A$208,0)),""))</f>
        <v/>
      </c>
      <c r="N22" s="17"/>
      <c r="O22" s="25"/>
      <c r="P22" s="26" t="str">
        <f t="shared" si="5"/>
        <v/>
      </c>
      <c r="Q22" s="27"/>
      <c r="R22" s="27"/>
      <c r="S22" s="28" t="str">
        <f>IF(OR($G22="",$Q22="",COUNTIF($G$2:G21,$G22)=0),"",$Q22-LOOKUP(2,1/($G$2:G21=$G22),$Q$2:Q21))</f>
        <v/>
      </c>
      <c r="T22" s="28" t="str">
        <f>IF(OR($G22="",$R22="",COUNTIF($G$2:G21,$G22)=0),"",$R22-LOOKUP(2,1/($G$2:G21=$G22),$R$2:R21))</f>
        <v/>
      </c>
      <c r="U22" s="11" t="str">
        <f t="shared" si="6"/>
        <v/>
      </c>
      <c r="V22" s="4"/>
      <c r="W22" s="4"/>
      <c r="X22" s="55"/>
      <c r="Y22" s="56" t="str">
        <f>IF($B22="","",IF((IF($G22="","Sin unidad | ","")&amp;IF($J22="","Sin responsable | ","")&amp;IF($K22="","Sin obra | ","")&amp;IF(AND($N22&lt;&gt;"",$G22&lt;&gt;"",$N22&gt;IFERROR(INDEX('MAESTRO DE UNIDADES'!$I$2:$I$208,MATCH($G22,'MAESTRO DE UNIDADES'!$A$2:$A$208,0)),0)),"Litros &gt; tanque | ","")&amp;IF(AND($W22&lt;&gt;"",COUNTIF($W$2:$W22,$W22)&gt;1),"Ticket duplicado | ","")&amp;IF(AND($G22&lt;&gt;"",IFERROR(INDEX('MAESTRO DE UNIDADES'!$L$2:$L$208,MATCH($G22,'MAESTRO DE UNIDADES'!$A$2:$A$208,0)),"")="Inactivo"),"Unidad inactiva | ","")&amp;IF(AND($AA22&lt;&gt;"",$N22=""),"Carga de batán sin litros | ","")&amp;IF(AND($AA22&lt;&gt;"",$AC22&lt;0),"Supera saldo batán | ",""))="","OK",LEFT((IF($G22="","Sin unidad | ","")&amp;IF($J22="","Sin responsable | ","")&amp;IF($K22="","Sin obra | ","")&amp;IF(AND($N22&lt;&gt;"",$G22&lt;&gt;"",$N22&gt;IFERROR(INDEX('MAESTRO DE UNIDADES'!$I$2:$I$208,MATCH($G22,'MAESTRO DE UNIDADES'!$A$2:$A$208,0)),0)),"Litros &gt; tanque | ","")&amp;IF(AND($W22&lt;&gt;"",COUNTIF($W$2:$W22,$W22)&gt;1),"Ticket duplicado | ","")&amp;IF(AND($G22&lt;&gt;"",IFERROR(INDEX('MAESTRO DE UNIDADES'!$L$2:$L$208,MATCH($G22,'MAESTRO DE UNIDADES'!$A$2:$A$208,0)),"")="Inactivo"),"Unidad inactiva | ","")&amp;IF(AND($AA22&lt;&gt;"",$N22=""),"Carga de batán sin litros | ","")&amp;IF(AND($AA22&lt;&gt;"",$AC22&lt;0),"Supera saldo batán | ","")),LEN((IF($G22="","Sin unidad | ","")&amp;IF($J22="","Sin responsable | ","")&amp;IF($K22="","Sin obra | ","")&amp;IF(AND($N22&lt;&gt;"",$G22&lt;&gt;"",$N22&gt;IFERROR(INDEX('MAESTRO DE UNIDADES'!$I$2:$I$208,MATCH($G22,'MAESTRO DE UNIDADES'!$A$2:$A$208,0)),0)),"Litros &gt; tanque | ","")&amp;IF(AND($W22&lt;&gt;"",COUNTIF($W$2:$W22,$W22)&gt;1),"Ticket duplicado | ","")&amp;IF(AND($G22&lt;&gt;"",IFERROR(INDEX('MAESTRO DE UNIDADES'!$L$2:$L$208,MATCH($G22,'MAESTRO DE UNIDADES'!$A$2:$A$208,0)),"")="Inactivo"),"Unidad inactiva | ","")&amp;IF(AND($AA22&lt;&gt;"",$N22=""),"Carga de batán sin litros | ","")&amp;IF(AND($AA22&lt;&gt;"",$AC22&lt;0),"Supera saldo batán | ","")))-3)))</f>
        <v/>
      </c>
      <c r="Z22" s="8" t="str">
        <f t="shared" si="7"/>
        <v/>
      </c>
      <c r="AA22" s="4"/>
      <c r="AB22" s="26" t="str">
        <f>IF($AA22="","",IFERROR(INDEX('CONTROL DE BATAN'!$J$2:$J$301,MATCH($AA22,'CONTROL DE BATAN'!$A$2:$A$301,0)),""))</f>
        <v/>
      </c>
      <c r="AC22" s="28" t="str">
        <f>IF($AA22="","",IFERROR(INDEX('CONTROL DE BATAN'!$I$2:$I$301,MATCH($AA22,'CONTROL DE BATAN'!$A$2:$A$301,0)),0)-SUMIFS($N$2:$N22,$AA$2:$AA22,$AA22))</f>
        <v/>
      </c>
    </row>
    <row r="23" spans="1:29" ht="26.25" x14ac:dyDescent="0.25">
      <c r="A23" s="8" t="str">
        <f t="shared" si="1"/>
        <v/>
      </c>
      <c r="B23" s="63"/>
      <c r="C23" s="8" t="str">
        <f t="shared" si="2"/>
        <v/>
      </c>
      <c r="D23" s="10" t="str">
        <f t="shared" si="3"/>
        <v/>
      </c>
      <c r="E23" s="8" t="str">
        <f t="shared" si="4"/>
        <v/>
      </c>
      <c r="F23" s="8" t="str">
        <f>IF($G23="","",IFERROR(INDEX('MAESTRO DE UNIDADES'!$C$2:$C$208,MATCH($G23,'MAESTRO DE UNIDADES'!$A$2:$A$208,0)),""))</f>
        <v/>
      </c>
      <c r="G23" s="4"/>
      <c r="H23" s="8" t="str">
        <f>IF($G23="","",IFERROR(INDEX('MAESTRO DE UNIDADES'!$F$2:$F$208,MATCH($G23,'MAESTRO DE UNIDADES'!$A$2:$A$208,0)),""))</f>
        <v/>
      </c>
      <c r="I23" s="8" t="str">
        <f>IF($G23="","",IFERROR(INDEX('MAESTRO DE UNIDADES'!$B$2:$B$208,MATCH($G23,'MAESTRO DE UNIDADES'!$A$2:$A$208,0)),""))</f>
        <v/>
      </c>
      <c r="J23" s="4"/>
      <c r="K23" s="4"/>
      <c r="L23" s="4"/>
      <c r="M23" s="8" t="str">
        <f>IF($G23="","",IFERROR(INDEX('MAESTRO DE UNIDADES'!$H$2:$H$208,MATCH($G23,'MAESTRO DE UNIDADES'!$A$2:$A$208,0)),""))</f>
        <v/>
      </c>
      <c r="N23" s="17"/>
      <c r="O23" s="25"/>
      <c r="P23" s="26" t="str">
        <f t="shared" si="5"/>
        <v/>
      </c>
      <c r="Q23" s="27"/>
      <c r="R23" s="27"/>
      <c r="S23" s="28" t="str">
        <f>IF(OR($G23="",$Q23="",COUNTIF($G$2:G22,$G23)=0),"",$Q23-LOOKUP(2,1/($G$2:G22=$G23),$Q$2:Q22))</f>
        <v/>
      </c>
      <c r="T23" s="28" t="str">
        <f>IF(OR($G23="",$R23="",COUNTIF($G$2:G22,$G23)=0),"",$R23-LOOKUP(2,1/($G$2:G22=$G23),$R$2:R22))</f>
        <v/>
      </c>
      <c r="U23" s="11" t="str">
        <f t="shared" si="6"/>
        <v/>
      </c>
      <c r="V23" s="4"/>
      <c r="W23" s="4"/>
      <c r="X23" s="55"/>
      <c r="Y23" s="56" t="str">
        <f>IF($B23="","",IF((IF($G23="","Sin unidad | ","")&amp;IF($J23="","Sin responsable | ","")&amp;IF($K23="","Sin obra | ","")&amp;IF(AND($N23&lt;&gt;"",$G23&lt;&gt;"",$N23&gt;IFERROR(INDEX('MAESTRO DE UNIDADES'!$I$2:$I$208,MATCH($G23,'MAESTRO DE UNIDADES'!$A$2:$A$208,0)),0)),"Litros &gt; tanque | ","")&amp;IF(AND($W23&lt;&gt;"",COUNTIF($W$2:$W23,$W23)&gt;1),"Ticket duplicado | ","")&amp;IF(AND($G23&lt;&gt;"",IFERROR(INDEX('MAESTRO DE UNIDADES'!$L$2:$L$208,MATCH($G23,'MAESTRO DE UNIDADES'!$A$2:$A$208,0)),"")="Inactivo"),"Unidad inactiva | ","")&amp;IF(AND($AA23&lt;&gt;"",$N23=""),"Carga de batán sin litros | ","")&amp;IF(AND($AA23&lt;&gt;"",$AC23&lt;0),"Supera saldo batán | ",""))="","OK",LEFT((IF($G23="","Sin unidad | ","")&amp;IF($J23="","Sin responsable | ","")&amp;IF($K23="","Sin obra | ","")&amp;IF(AND($N23&lt;&gt;"",$G23&lt;&gt;"",$N23&gt;IFERROR(INDEX('MAESTRO DE UNIDADES'!$I$2:$I$208,MATCH($G23,'MAESTRO DE UNIDADES'!$A$2:$A$208,0)),0)),"Litros &gt; tanque | ","")&amp;IF(AND($W23&lt;&gt;"",COUNTIF($W$2:$W23,$W23)&gt;1),"Ticket duplicado | ","")&amp;IF(AND($G23&lt;&gt;"",IFERROR(INDEX('MAESTRO DE UNIDADES'!$L$2:$L$208,MATCH($G23,'MAESTRO DE UNIDADES'!$A$2:$A$208,0)),"")="Inactivo"),"Unidad inactiva | ","")&amp;IF(AND($AA23&lt;&gt;"",$N23=""),"Carga de batán sin litros | ","")&amp;IF(AND($AA23&lt;&gt;"",$AC23&lt;0),"Supera saldo batán | ","")),LEN((IF($G23="","Sin unidad | ","")&amp;IF($J23="","Sin responsable | ","")&amp;IF($K23="","Sin obra | ","")&amp;IF(AND($N23&lt;&gt;"",$G23&lt;&gt;"",$N23&gt;IFERROR(INDEX('MAESTRO DE UNIDADES'!$I$2:$I$208,MATCH($G23,'MAESTRO DE UNIDADES'!$A$2:$A$208,0)),0)),"Litros &gt; tanque | ","")&amp;IF(AND($W23&lt;&gt;"",COUNTIF($W$2:$W23,$W23)&gt;1),"Ticket duplicado | ","")&amp;IF(AND($G23&lt;&gt;"",IFERROR(INDEX('MAESTRO DE UNIDADES'!$L$2:$L$208,MATCH($G23,'MAESTRO DE UNIDADES'!$A$2:$A$208,0)),"")="Inactivo"),"Unidad inactiva | ","")&amp;IF(AND($AA23&lt;&gt;"",$N23=""),"Carga de batán sin litros | ","")&amp;IF(AND($AA23&lt;&gt;"",$AC23&lt;0),"Supera saldo batán | ","")))-3)))</f>
        <v/>
      </c>
      <c r="Z23" s="8" t="str">
        <f t="shared" si="7"/>
        <v/>
      </c>
      <c r="AA23" s="4"/>
      <c r="AB23" s="26" t="str">
        <f>IF($AA23="","",IFERROR(INDEX('CONTROL DE BATAN'!$J$2:$J$301,MATCH($AA23,'CONTROL DE BATAN'!$A$2:$A$301,0)),""))</f>
        <v/>
      </c>
      <c r="AC23" s="28" t="str">
        <f>IF($AA23="","",IFERROR(INDEX('CONTROL DE BATAN'!$I$2:$I$301,MATCH($AA23,'CONTROL DE BATAN'!$A$2:$A$301,0)),0)-SUMIFS($N$2:$N23,$AA$2:$AA23,$AA23))</f>
        <v/>
      </c>
    </row>
    <row r="24" spans="1:29" ht="26.25" x14ac:dyDescent="0.25">
      <c r="A24" s="8" t="str">
        <f t="shared" si="1"/>
        <v/>
      </c>
      <c r="B24" s="63"/>
      <c r="C24" s="8" t="str">
        <f t="shared" si="2"/>
        <v/>
      </c>
      <c r="D24" s="10" t="str">
        <f t="shared" si="3"/>
        <v/>
      </c>
      <c r="E24" s="8" t="str">
        <f t="shared" si="4"/>
        <v/>
      </c>
      <c r="F24" s="8" t="str">
        <f>IF($G24="","",IFERROR(INDEX('MAESTRO DE UNIDADES'!$C$2:$C$208,MATCH($G24,'MAESTRO DE UNIDADES'!$A$2:$A$208,0)),""))</f>
        <v/>
      </c>
      <c r="G24" s="4"/>
      <c r="H24" s="8" t="str">
        <f>IF($G24="","",IFERROR(INDEX('MAESTRO DE UNIDADES'!$F$2:$F$208,MATCH($G24,'MAESTRO DE UNIDADES'!$A$2:$A$208,0)),""))</f>
        <v/>
      </c>
      <c r="I24" s="8" t="str">
        <f>IF($G24="","",IFERROR(INDEX('MAESTRO DE UNIDADES'!$B$2:$B$208,MATCH($G24,'MAESTRO DE UNIDADES'!$A$2:$A$208,0)),""))</f>
        <v/>
      </c>
      <c r="J24" s="4"/>
      <c r="K24" s="4"/>
      <c r="L24" s="4"/>
      <c r="M24" s="8" t="str">
        <f>IF($G24="","",IFERROR(INDEX('MAESTRO DE UNIDADES'!$H$2:$H$208,MATCH($G24,'MAESTRO DE UNIDADES'!$A$2:$A$208,0)),""))</f>
        <v/>
      </c>
      <c r="N24" s="17"/>
      <c r="O24" s="25"/>
      <c r="P24" s="26" t="str">
        <f t="shared" si="5"/>
        <v/>
      </c>
      <c r="Q24" s="27"/>
      <c r="R24" s="27"/>
      <c r="S24" s="28" t="str">
        <f>IF(OR($G24="",$Q24="",COUNTIF($G$2:G23,$G24)=0),"",$Q24-LOOKUP(2,1/($G$2:G23=$G24),$Q$2:Q23))</f>
        <v/>
      </c>
      <c r="T24" s="28" t="str">
        <f>IF(OR($G24="",$R24="",COUNTIF($G$2:G23,$G24)=0),"",$R24-LOOKUP(2,1/($G$2:G23=$G24),$R$2:R23))</f>
        <v/>
      </c>
      <c r="U24" s="11" t="str">
        <f t="shared" si="6"/>
        <v/>
      </c>
      <c r="V24" s="4"/>
      <c r="W24" s="4"/>
      <c r="X24" s="55"/>
      <c r="Y24" s="56" t="str">
        <f>IF($B24="","",IF((IF($G24="","Sin unidad | ","")&amp;IF($J24="","Sin responsable | ","")&amp;IF($K24="","Sin obra | ","")&amp;IF(AND($N24&lt;&gt;"",$G24&lt;&gt;"",$N24&gt;IFERROR(INDEX('MAESTRO DE UNIDADES'!$I$2:$I$208,MATCH($G24,'MAESTRO DE UNIDADES'!$A$2:$A$208,0)),0)),"Litros &gt; tanque | ","")&amp;IF(AND($W24&lt;&gt;"",COUNTIF($W$2:$W24,$W24)&gt;1),"Ticket duplicado | ","")&amp;IF(AND($G24&lt;&gt;"",IFERROR(INDEX('MAESTRO DE UNIDADES'!$L$2:$L$208,MATCH($G24,'MAESTRO DE UNIDADES'!$A$2:$A$208,0)),"")="Inactivo"),"Unidad inactiva | ","")&amp;IF(AND($AA24&lt;&gt;"",$N24=""),"Carga de batán sin litros | ","")&amp;IF(AND($AA24&lt;&gt;"",$AC24&lt;0),"Supera saldo batán | ",""))="","OK",LEFT((IF($G24="","Sin unidad | ","")&amp;IF($J24="","Sin responsable | ","")&amp;IF($K24="","Sin obra | ","")&amp;IF(AND($N24&lt;&gt;"",$G24&lt;&gt;"",$N24&gt;IFERROR(INDEX('MAESTRO DE UNIDADES'!$I$2:$I$208,MATCH($G24,'MAESTRO DE UNIDADES'!$A$2:$A$208,0)),0)),"Litros &gt; tanque | ","")&amp;IF(AND($W24&lt;&gt;"",COUNTIF($W$2:$W24,$W24)&gt;1),"Ticket duplicado | ","")&amp;IF(AND($G24&lt;&gt;"",IFERROR(INDEX('MAESTRO DE UNIDADES'!$L$2:$L$208,MATCH($G24,'MAESTRO DE UNIDADES'!$A$2:$A$208,0)),"")="Inactivo"),"Unidad inactiva | ","")&amp;IF(AND($AA24&lt;&gt;"",$N24=""),"Carga de batán sin litros | ","")&amp;IF(AND($AA24&lt;&gt;"",$AC24&lt;0),"Supera saldo batán | ","")),LEN((IF($G24="","Sin unidad | ","")&amp;IF($J24="","Sin responsable | ","")&amp;IF($K24="","Sin obra | ","")&amp;IF(AND($N24&lt;&gt;"",$G24&lt;&gt;"",$N24&gt;IFERROR(INDEX('MAESTRO DE UNIDADES'!$I$2:$I$208,MATCH($G24,'MAESTRO DE UNIDADES'!$A$2:$A$208,0)),0)),"Litros &gt; tanque | ","")&amp;IF(AND($W24&lt;&gt;"",COUNTIF($W$2:$W24,$W24)&gt;1),"Ticket duplicado | ","")&amp;IF(AND($G24&lt;&gt;"",IFERROR(INDEX('MAESTRO DE UNIDADES'!$L$2:$L$208,MATCH($G24,'MAESTRO DE UNIDADES'!$A$2:$A$208,0)),"")="Inactivo"),"Unidad inactiva | ","")&amp;IF(AND($AA24&lt;&gt;"",$N24=""),"Carga de batán sin litros | ","")&amp;IF(AND($AA24&lt;&gt;"",$AC24&lt;0),"Supera saldo batán | ","")))-3)))</f>
        <v/>
      </c>
      <c r="Z24" s="8" t="str">
        <f t="shared" si="7"/>
        <v/>
      </c>
      <c r="AA24" s="4"/>
      <c r="AB24" s="26" t="str">
        <f>IF($AA24="","",IFERROR(INDEX('CONTROL DE BATAN'!$J$2:$J$301,MATCH($AA24,'CONTROL DE BATAN'!$A$2:$A$301,0)),""))</f>
        <v/>
      </c>
      <c r="AC24" s="28" t="str">
        <f>IF($AA24="","",IFERROR(INDEX('CONTROL DE BATAN'!$I$2:$I$301,MATCH($AA24,'CONTROL DE BATAN'!$A$2:$A$301,0)),0)-SUMIFS($N$2:$N24,$AA$2:$AA24,$AA24))</f>
        <v/>
      </c>
    </row>
    <row r="25" spans="1:29" ht="26.25" x14ac:dyDescent="0.25">
      <c r="A25" s="8" t="str">
        <f t="shared" si="1"/>
        <v/>
      </c>
      <c r="B25" s="63"/>
      <c r="C25" s="8" t="str">
        <f t="shared" si="2"/>
        <v/>
      </c>
      <c r="D25" s="10" t="str">
        <f t="shared" si="3"/>
        <v/>
      </c>
      <c r="E25" s="8" t="str">
        <f t="shared" si="4"/>
        <v/>
      </c>
      <c r="F25" s="8" t="str">
        <f>IF($G25="","",IFERROR(INDEX('MAESTRO DE UNIDADES'!$C$2:$C$208,MATCH($G25,'MAESTRO DE UNIDADES'!$A$2:$A$208,0)),""))</f>
        <v/>
      </c>
      <c r="G25" s="4"/>
      <c r="H25" s="8" t="str">
        <f>IF($G25="","",IFERROR(INDEX('MAESTRO DE UNIDADES'!$F$2:$F$208,MATCH($G25,'MAESTRO DE UNIDADES'!$A$2:$A$208,0)),""))</f>
        <v/>
      </c>
      <c r="I25" s="8" t="str">
        <f>IF($G25="","",IFERROR(INDEX('MAESTRO DE UNIDADES'!$B$2:$B$208,MATCH($G25,'MAESTRO DE UNIDADES'!$A$2:$A$208,0)),""))</f>
        <v/>
      </c>
      <c r="J25" s="4"/>
      <c r="K25" s="4"/>
      <c r="L25" s="4"/>
      <c r="M25" s="8" t="str">
        <f>IF($G25="","",IFERROR(INDEX('MAESTRO DE UNIDADES'!$H$2:$H$208,MATCH($G25,'MAESTRO DE UNIDADES'!$A$2:$A$208,0)),""))</f>
        <v/>
      </c>
      <c r="N25" s="17"/>
      <c r="O25" s="25"/>
      <c r="P25" s="26" t="str">
        <f t="shared" si="5"/>
        <v/>
      </c>
      <c r="Q25" s="27"/>
      <c r="R25" s="27"/>
      <c r="S25" s="28" t="str">
        <f>IF(OR($G25="",$Q25="",COUNTIF($G$2:G24,$G25)=0),"",$Q25-LOOKUP(2,1/($G$2:G24=$G25),$Q$2:Q24))</f>
        <v/>
      </c>
      <c r="T25" s="28" t="str">
        <f>IF(OR($G25="",$R25="",COUNTIF($G$2:G24,$G25)=0),"",$R25-LOOKUP(2,1/($G$2:G24=$G25),$R$2:R24))</f>
        <v/>
      </c>
      <c r="U25" s="11" t="str">
        <f t="shared" si="6"/>
        <v/>
      </c>
      <c r="V25" s="4"/>
      <c r="W25" s="4"/>
      <c r="X25" s="55"/>
      <c r="Y25" s="56" t="str">
        <f>IF($B25="","",IF((IF($G25="","Sin unidad | ","")&amp;IF($J25="","Sin responsable | ","")&amp;IF($K25="","Sin obra | ","")&amp;IF(AND($N25&lt;&gt;"",$G25&lt;&gt;"",$N25&gt;IFERROR(INDEX('MAESTRO DE UNIDADES'!$I$2:$I$208,MATCH($G25,'MAESTRO DE UNIDADES'!$A$2:$A$208,0)),0)),"Litros &gt; tanque | ","")&amp;IF(AND($W25&lt;&gt;"",COUNTIF($W$2:$W25,$W25)&gt;1),"Ticket duplicado | ","")&amp;IF(AND($G25&lt;&gt;"",IFERROR(INDEX('MAESTRO DE UNIDADES'!$L$2:$L$208,MATCH($G25,'MAESTRO DE UNIDADES'!$A$2:$A$208,0)),"")="Inactivo"),"Unidad inactiva | ","")&amp;IF(AND($AA25&lt;&gt;"",$N25=""),"Carga de batán sin litros | ","")&amp;IF(AND($AA25&lt;&gt;"",$AC25&lt;0),"Supera saldo batán | ",""))="","OK",LEFT((IF($G25="","Sin unidad | ","")&amp;IF($J25="","Sin responsable | ","")&amp;IF($K25="","Sin obra | ","")&amp;IF(AND($N25&lt;&gt;"",$G25&lt;&gt;"",$N25&gt;IFERROR(INDEX('MAESTRO DE UNIDADES'!$I$2:$I$208,MATCH($G25,'MAESTRO DE UNIDADES'!$A$2:$A$208,0)),0)),"Litros &gt; tanque | ","")&amp;IF(AND($W25&lt;&gt;"",COUNTIF($W$2:$W25,$W25)&gt;1),"Ticket duplicado | ","")&amp;IF(AND($G25&lt;&gt;"",IFERROR(INDEX('MAESTRO DE UNIDADES'!$L$2:$L$208,MATCH($G25,'MAESTRO DE UNIDADES'!$A$2:$A$208,0)),"")="Inactivo"),"Unidad inactiva | ","")&amp;IF(AND($AA25&lt;&gt;"",$N25=""),"Carga de batán sin litros | ","")&amp;IF(AND($AA25&lt;&gt;"",$AC25&lt;0),"Supera saldo batán | ","")),LEN((IF($G25="","Sin unidad | ","")&amp;IF($J25="","Sin responsable | ","")&amp;IF($K25="","Sin obra | ","")&amp;IF(AND($N25&lt;&gt;"",$G25&lt;&gt;"",$N25&gt;IFERROR(INDEX('MAESTRO DE UNIDADES'!$I$2:$I$208,MATCH($G25,'MAESTRO DE UNIDADES'!$A$2:$A$208,0)),0)),"Litros &gt; tanque | ","")&amp;IF(AND($W25&lt;&gt;"",COUNTIF($W$2:$W25,$W25)&gt;1),"Ticket duplicado | ","")&amp;IF(AND($G25&lt;&gt;"",IFERROR(INDEX('MAESTRO DE UNIDADES'!$L$2:$L$208,MATCH($G25,'MAESTRO DE UNIDADES'!$A$2:$A$208,0)),"")="Inactivo"),"Unidad inactiva | ","")&amp;IF(AND($AA25&lt;&gt;"",$N25=""),"Carga de batán sin litros | ","")&amp;IF(AND($AA25&lt;&gt;"",$AC25&lt;0),"Supera saldo batán | ","")))-3)))</f>
        <v/>
      </c>
      <c r="Z25" s="8" t="str">
        <f t="shared" si="7"/>
        <v/>
      </c>
      <c r="AA25" s="4"/>
      <c r="AB25" s="26" t="str">
        <f>IF($AA25="","",IFERROR(INDEX('CONTROL DE BATAN'!$J$2:$J$301,MATCH($AA25,'CONTROL DE BATAN'!$A$2:$A$301,0)),""))</f>
        <v/>
      </c>
      <c r="AC25" s="28" t="str">
        <f>IF($AA25="","",IFERROR(INDEX('CONTROL DE BATAN'!$I$2:$I$301,MATCH($AA25,'CONTROL DE BATAN'!$A$2:$A$301,0)),0)-SUMIFS($N$2:$N25,$AA$2:$AA25,$AA25))</f>
        <v/>
      </c>
    </row>
    <row r="26" spans="1:29" x14ac:dyDescent="0.25">
      <c r="A26" s="8" t="str">
        <f t="shared" si="1"/>
        <v/>
      </c>
      <c r="B26" s="63"/>
      <c r="C26" s="8" t="str">
        <f t="shared" si="2"/>
        <v/>
      </c>
      <c r="D26" s="10" t="str">
        <f t="shared" si="3"/>
        <v/>
      </c>
      <c r="E26" s="8" t="str">
        <f t="shared" si="4"/>
        <v/>
      </c>
      <c r="F26" s="8" t="str">
        <f>IF($G26="","",IFERROR(INDEX('MAESTRO DE UNIDADES'!$C$2:$C$208,MATCH($G26,'MAESTRO DE UNIDADES'!$A$2:$A$208,0)),""))</f>
        <v/>
      </c>
      <c r="G26" s="4"/>
      <c r="H26" s="8" t="str">
        <f>IF($G26="","",IFERROR(INDEX('MAESTRO DE UNIDADES'!$F$2:$F$208,MATCH($G26,'MAESTRO DE UNIDADES'!$A$2:$A$208,0)),""))</f>
        <v/>
      </c>
      <c r="I26" s="8" t="str">
        <f>IF($G26="","",IFERROR(INDEX('MAESTRO DE UNIDADES'!$B$2:$B$208,MATCH($G26,'MAESTRO DE UNIDADES'!$A$2:$A$208,0)),""))</f>
        <v/>
      </c>
      <c r="J26" s="4"/>
      <c r="K26" s="4"/>
      <c r="L26" s="4"/>
      <c r="M26" s="8" t="str">
        <f>IF($G26="","",IFERROR(INDEX('MAESTRO DE UNIDADES'!$H$2:$H$208,MATCH($G26,'MAESTRO DE UNIDADES'!$A$2:$A$208,0)),""))</f>
        <v/>
      </c>
      <c r="N26" s="17"/>
      <c r="O26" s="25"/>
      <c r="P26" s="26" t="str">
        <f t="shared" si="5"/>
        <v/>
      </c>
      <c r="Q26" s="27"/>
      <c r="R26" s="27"/>
      <c r="S26" s="28" t="str">
        <f>IF(OR($G26="",$Q26="",COUNTIF($G$2:G25,$G26)=0),"",$Q26-LOOKUP(2,1/($G$2:G25=$G26),$Q$2:Q25))</f>
        <v/>
      </c>
      <c r="T26" s="28" t="str">
        <f>IF(OR($G26="",$R26="",COUNTIF($G$2:G25,$G26)=0),"",$R26-LOOKUP(2,1/($G$2:G25=$G26),$R$2:R25))</f>
        <v/>
      </c>
      <c r="U26" s="11" t="str">
        <f t="shared" si="6"/>
        <v/>
      </c>
      <c r="V26" s="4"/>
      <c r="W26" s="4"/>
      <c r="X26" s="55"/>
      <c r="Y26" s="56" t="str">
        <f>IF($B26="","",IF((IF($G26="","Sin unidad | ","")&amp;IF($J26="","Sin responsable | ","")&amp;IF($K26="","Sin obra | ","")&amp;IF(AND($N26&lt;&gt;"",$G26&lt;&gt;"",$N26&gt;IFERROR(INDEX('MAESTRO DE UNIDADES'!$I$2:$I$208,MATCH($G26,'MAESTRO DE UNIDADES'!$A$2:$A$208,0)),0)),"Litros &gt; tanque | ","")&amp;IF(AND($W26&lt;&gt;"",COUNTIF($W$2:$W26,$W26)&gt;1),"Ticket duplicado | ","")&amp;IF(AND($G26&lt;&gt;"",IFERROR(INDEX('MAESTRO DE UNIDADES'!$L$2:$L$208,MATCH($G26,'MAESTRO DE UNIDADES'!$A$2:$A$208,0)),"")="Inactivo"),"Unidad inactiva | ","")&amp;IF(AND($AA26&lt;&gt;"",$N26=""),"Carga de batán sin litros | ","")&amp;IF(AND($AA26&lt;&gt;"",$AC26&lt;0),"Supera saldo batán | ",""))="","OK",LEFT((IF($G26="","Sin unidad | ","")&amp;IF($J26="","Sin responsable | ","")&amp;IF($K26="","Sin obra | ","")&amp;IF(AND($N26&lt;&gt;"",$G26&lt;&gt;"",$N26&gt;IFERROR(INDEX('MAESTRO DE UNIDADES'!$I$2:$I$208,MATCH($G26,'MAESTRO DE UNIDADES'!$A$2:$A$208,0)),0)),"Litros &gt; tanque | ","")&amp;IF(AND($W26&lt;&gt;"",COUNTIF($W$2:$W26,$W26)&gt;1),"Ticket duplicado | ","")&amp;IF(AND($G26&lt;&gt;"",IFERROR(INDEX('MAESTRO DE UNIDADES'!$L$2:$L$208,MATCH($G26,'MAESTRO DE UNIDADES'!$A$2:$A$208,0)),"")="Inactivo"),"Unidad inactiva | ","")&amp;IF(AND($AA26&lt;&gt;"",$N26=""),"Carga de batán sin litros | ","")&amp;IF(AND($AA26&lt;&gt;"",$AC26&lt;0),"Supera saldo batán | ","")),LEN((IF($G26="","Sin unidad | ","")&amp;IF($J26="","Sin responsable | ","")&amp;IF($K26="","Sin obra | ","")&amp;IF(AND($N26&lt;&gt;"",$G26&lt;&gt;"",$N26&gt;IFERROR(INDEX('MAESTRO DE UNIDADES'!$I$2:$I$208,MATCH($G26,'MAESTRO DE UNIDADES'!$A$2:$A$208,0)),0)),"Litros &gt; tanque | ","")&amp;IF(AND($W26&lt;&gt;"",COUNTIF($W$2:$W26,$W26)&gt;1),"Ticket duplicado | ","")&amp;IF(AND($G26&lt;&gt;"",IFERROR(INDEX('MAESTRO DE UNIDADES'!$L$2:$L$208,MATCH($G26,'MAESTRO DE UNIDADES'!$A$2:$A$208,0)),"")="Inactivo"),"Unidad inactiva | ","")&amp;IF(AND($AA26&lt;&gt;"",$N26=""),"Carga de batán sin litros | ","")&amp;IF(AND($AA26&lt;&gt;"",$AC26&lt;0),"Supera saldo batán | ","")))-3)))</f>
        <v/>
      </c>
      <c r="Z26" s="8" t="str">
        <f t="shared" si="7"/>
        <v/>
      </c>
      <c r="AA26" s="4"/>
      <c r="AB26" s="26" t="str">
        <f>IF($AA26="","",IFERROR(INDEX('CONTROL DE BATAN'!$J$2:$J$301,MATCH($AA26,'CONTROL DE BATAN'!$A$2:$A$301,0)),""))</f>
        <v/>
      </c>
      <c r="AC26" s="28" t="str">
        <f>IF($AA26="","",IFERROR(INDEX('CONTROL DE BATAN'!$I$2:$I$301,MATCH($AA26,'CONTROL DE BATAN'!$A$2:$A$301,0)),0)-SUMIFS($N$2:$N26,$AA$2:$AA26,$AA26))</f>
        <v/>
      </c>
    </row>
    <row r="27" spans="1:29" x14ac:dyDescent="0.25">
      <c r="A27" s="8" t="str">
        <f t="shared" si="1"/>
        <v/>
      </c>
      <c r="B27" s="9"/>
      <c r="C27" s="8" t="str">
        <f t="shared" si="2"/>
        <v/>
      </c>
      <c r="D27" s="10" t="str">
        <f t="shared" si="3"/>
        <v/>
      </c>
      <c r="E27" s="8" t="str">
        <f t="shared" si="4"/>
        <v/>
      </c>
      <c r="F27" s="8" t="str">
        <f>IF($G27="","",IFERROR(INDEX('MAESTRO DE UNIDADES'!$C$2:$C$208,MATCH($G27,'MAESTRO DE UNIDADES'!$A$2:$A$208,0)),""))</f>
        <v/>
      </c>
      <c r="G27" s="4"/>
      <c r="H27" s="8" t="str">
        <f>IF($G27="","",IFERROR(INDEX('MAESTRO DE UNIDADES'!$F$2:$F$208,MATCH($G27,'MAESTRO DE UNIDADES'!$A$2:$A$208,0)),""))</f>
        <v/>
      </c>
      <c r="I27" s="8" t="str">
        <f>IF($G27="","",IFERROR(INDEX('MAESTRO DE UNIDADES'!$B$2:$B$208,MATCH($G27,'MAESTRO DE UNIDADES'!$A$2:$A$208,0)),""))</f>
        <v/>
      </c>
      <c r="J27" s="4"/>
      <c r="K27" s="4"/>
      <c r="L27" s="4"/>
      <c r="M27" s="8" t="str">
        <f>IF($G27="","",IFERROR(INDEX('MAESTRO DE UNIDADES'!$H$2:$H$208,MATCH($G27,'MAESTRO DE UNIDADES'!$A$2:$A$208,0)),""))</f>
        <v/>
      </c>
      <c r="N27" s="17"/>
      <c r="O27" s="25"/>
      <c r="P27" s="26" t="str">
        <f t="shared" si="5"/>
        <v/>
      </c>
      <c r="Q27" s="27"/>
      <c r="R27" s="27"/>
      <c r="S27" s="28" t="str">
        <f>IF(OR($G27="",$Q27="",COUNTIF($G$2:G26,$G27)=0),"",$Q27-LOOKUP(2,1/($G$2:G26=$G27),$Q$2:Q26))</f>
        <v/>
      </c>
      <c r="T27" s="28" t="str">
        <f>IF(OR($G27="",$R27="",COUNTIF($G$2:G26,$G27)=0),"",$R27-LOOKUP(2,1/($G$2:G26=$G27),$R$2:R26))</f>
        <v/>
      </c>
      <c r="U27" s="11" t="str">
        <f t="shared" si="6"/>
        <v/>
      </c>
      <c r="V27" s="4"/>
      <c r="W27" s="4"/>
      <c r="X27" s="55"/>
      <c r="Y27" s="56" t="str">
        <f>IF($B27="","",IF((IF($G27="","Sin unidad | ","")&amp;IF($J27="","Sin responsable | ","")&amp;IF($K27="","Sin obra | ","")&amp;IF(AND($N27&lt;&gt;"",$G27&lt;&gt;"",$N27&gt;IFERROR(INDEX('MAESTRO DE UNIDADES'!$I$2:$I$208,MATCH($G27,'MAESTRO DE UNIDADES'!$A$2:$A$208,0)),0)),"Litros &gt; tanque | ","")&amp;IF(AND($W27&lt;&gt;"",COUNTIF($W$2:$W27,$W27)&gt;1),"Ticket duplicado | ","")&amp;IF(AND($G27&lt;&gt;"",IFERROR(INDEX('MAESTRO DE UNIDADES'!$L$2:$L$208,MATCH($G27,'MAESTRO DE UNIDADES'!$A$2:$A$208,0)),"")="Inactivo"),"Unidad inactiva | ","")&amp;IF(AND($AA27&lt;&gt;"",$N27=""),"Carga de batán sin litros | ","")&amp;IF(AND($AA27&lt;&gt;"",$AC27&lt;0),"Supera saldo batán | ",""))="","OK",LEFT((IF($G27="","Sin unidad | ","")&amp;IF($J27="","Sin responsable | ","")&amp;IF($K27="","Sin obra | ","")&amp;IF(AND($N27&lt;&gt;"",$G27&lt;&gt;"",$N27&gt;IFERROR(INDEX('MAESTRO DE UNIDADES'!$I$2:$I$208,MATCH($G27,'MAESTRO DE UNIDADES'!$A$2:$A$208,0)),0)),"Litros &gt; tanque | ","")&amp;IF(AND($W27&lt;&gt;"",COUNTIF($W$2:$W27,$W27)&gt;1),"Ticket duplicado | ","")&amp;IF(AND($G27&lt;&gt;"",IFERROR(INDEX('MAESTRO DE UNIDADES'!$L$2:$L$208,MATCH($G27,'MAESTRO DE UNIDADES'!$A$2:$A$208,0)),"")="Inactivo"),"Unidad inactiva | ","")&amp;IF(AND($AA27&lt;&gt;"",$N27=""),"Carga de batán sin litros | ","")&amp;IF(AND($AA27&lt;&gt;"",$AC27&lt;0),"Supera saldo batán | ","")),LEN((IF($G27="","Sin unidad | ","")&amp;IF($J27="","Sin responsable | ","")&amp;IF($K27="","Sin obra | ","")&amp;IF(AND($N27&lt;&gt;"",$G27&lt;&gt;"",$N27&gt;IFERROR(INDEX('MAESTRO DE UNIDADES'!$I$2:$I$208,MATCH($G27,'MAESTRO DE UNIDADES'!$A$2:$A$208,0)),0)),"Litros &gt; tanque | ","")&amp;IF(AND($W27&lt;&gt;"",COUNTIF($W$2:$W27,$W27)&gt;1),"Ticket duplicado | ","")&amp;IF(AND($G27&lt;&gt;"",IFERROR(INDEX('MAESTRO DE UNIDADES'!$L$2:$L$208,MATCH($G27,'MAESTRO DE UNIDADES'!$A$2:$A$208,0)),"")="Inactivo"),"Unidad inactiva | ","")&amp;IF(AND($AA27&lt;&gt;"",$N27=""),"Carga de batán sin litros | ","")&amp;IF(AND($AA27&lt;&gt;"",$AC27&lt;0),"Supera saldo batán | ","")))-3)))</f>
        <v/>
      </c>
      <c r="Z27" s="8" t="str">
        <f t="shared" si="7"/>
        <v/>
      </c>
      <c r="AA27" s="4"/>
      <c r="AB27" s="26" t="str">
        <f>IF($AA27="","",IFERROR(INDEX('CONTROL DE BATAN'!$J$2:$J$301,MATCH($AA27,'CONTROL DE BATAN'!$A$2:$A$301,0)),""))</f>
        <v/>
      </c>
      <c r="AC27" s="28" t="str">
        <f>IF($AA27="","",IFERROR(INDEX('CONTROL DE BATAN'!$I$2:$I$301,MATCH($AA27,'CONTROL DE BATAN'!$A$2:$A$301,0)),0)-SUMIFS($N$2:$N27,$AA$2:$AA27,$AA27))</f>
        <v/>
      </c>
    </row>
    <row r="28" spans="1:29" x14ac:dyDescent="0.25">
      <c r="A28" s="8" t="str">
        <f t="shared" si="1"/>
        <v/>
      </c>
      <c r="B28" s="9"/>
      <c r="C28" s="8" t="str">
        <f t="shared" si="2"/>
        <v/>
      </c>
      <c r="D28" s="10" t="str">
        <f t="shared" si="3"/>
        <v/>
      </c>
      <c r="E28" s="8" t="str">
        <f t="shared" si="4"/>
        <v/>
      </c>
      <c r="F28" s="8" t="str">
        <f>IF($G28="","",IFERROR(INDEX('MAESTRO DE UNIDADES'!$C$2:$C$208,MATCH($G28,'MAESTRO DE UNIDADES'!$A$2:$A$208,0)),""))</f>
        <v/>
      </c>
      <c r="G28" s="4"/>
      <c r="H28" s="8" t="str">
        <f>IF($G28="","",IFERROR(INDEX('MAESTRO DE UNIDADES'!$F$2:$F$208,MATCH($G28,'MAESTRO DE UNIDADES'!$A$2:$A$208,0)),""))</f>
        <v/>
      </c>
      <c r="I28" s="8" t="str">
        <f>IF($G28="","",IFERROR(INDEX('MAESTRO DE UNIDADES'!$B$2:$B$208,MATCH($G28,'MAESTRO DE UNIDADES'!$A$2:$A$208,0)),""))</f>
        <v/>
      </c>
      <c r="J28" s="4"/>
      <c r="K28" s="4"/>
      <c r="L28" s="4"/>
      <c r="M28" s="8" t="str">
        <f>IF($G28="","",IFERROR(INDEX('MAESTRO DE UNIDADES'!$H$2:$H$208,MATCH($G28,'MAESTRO DE UNIDADES'!$A$2:$A$208,0)),""))</f>
        <v/>
      </c>
      <c r="N28" s="17"/>
      <c r="O28" s="25"/>
      <c r="P28" s="26" t="str">
        <f t="shared" si="5"/>
        <v/>
      </c>
      <c r="Q28" s="27"/>
      <c r="R28" s="27"/>
      <c r="S28" s="28" t="str">
        <f>IF(OR($G28="",$Q28="",COUNTIF($G$2:G27,$G28)=0),"",$Q28-LOOKUP(2,1/($G$2:G27=$G28),$Q$2:Q27))</f>
        <v/>
      </c>
      <c r="T28" s="28" t="str">
        <f>IF(OR($G28="",$R28="",COUNTIF($G$2:G27,$G28)=0),"",$R28-LOOKUP(2,1/($G$2:G27=$G28),$R$2:R27))</f>
        <v/>
      </c>
      <c r="U28" s="11" t="str">
        <f t="shared" si="6"/>
        <v/>
      </c>
      <c r="V28" s="4"/>
      <c r="W28" s="4"/>
      <c r="X28" s="55"/>
      <c r="Y28" s="56" t="str">
        <f>IF($B28="","",IF((IF($G28="","Sin unidad | ","")&amp;IF($J28="","Sin responsable | ","")&amp;IF($K28="","Sin obra | ","")&amp;IF(AND($N28&lt;&gt;"",$G28&lt;&gt;"",$N28&gt;IFERROR(INDEX('MAESTRO DE UNIDADES'!$I$2:$I$208,MATCH($G28,'MAESTRO DE UNIDADES'!$A$2:$A$208,0)),0)),"Litros &gt; tanque | ","")&amp;IF(AND($W28&lt;&gt;"",COUNTIF($W$2:$W28,$W28)&gt;1),"Ticket duplicado | ","")&amp;IF(AND($G28&lt;&gt;"",IFERROR(INDEX('MAESTRO DE UNIDADES'!$L$2:$L$208,MATCH($G28,'MAESTRO DE UNIDADES'!$A$2:$A$208,0)),"")="Inactivo"),"Unidad inactiva | ","")&amp;IF(AND($AA28&lt;&gt;"",$N28=""),"Carga de batán sin litros | ","")&amp;IF(AND($AA28&lt;&gt;"",$AC28&lt;0),"Supera saldo batán | ",""))="","OK",LEFT((IF($G28="","Sin unidad | ","")&amp;IF($J28="","Sin responsable | ","")&amp;IF($K28="","Sin obra | ","")&amp;IF(AND($N28&lt;&gt;"",$G28&lt;&gt;"",$N28&gt;IFERROR(INDEX('MAESTRO DE UNIDADES'!$I$2:$I$208,MATCH($G28,'MAESTRO DE UNIDADES'!$A$2:$A$208,0)),0)),"Litros &gt; tanque | ","")&amp;IF(AND($W28&lt;&gt;"",COUNTIF($W$2:$W28,$W28)&gt;1),"Ticket duplicado | ","")&amp;IF(AND($G28&lt;&gt;"",IFERROR(INDEX('MAESTRO DE UNIDADES'!$L$2:$L$208,MATCH($G28,'MAESTRO DE UNIDADES'!$A$2:$A$208,0)),"")="Inactivo"),"Unidad inactiva | ","")&amp;IF(AND($AA28&lt;&gt;"",$N28=""),"Carga de batán sin litros | ","")&amp;IF(AND($AA28&lt;&gt;"",$AC28&lt;0),"Supera saldo batán | ","")),LEN((IF($G28="","Sin unidad | ","")&amp;IF($J28="","Sin responsable | ","")&amp;IF($K28="","Sin obra | ","")&amp;IF(AND($N28&lt;&gt;"",$G28&lt;&gt;"",$N28&gt;IFERROR(INDEX('MAESTRO DE UNIDADES'!$I$2:$I$208,MATCH($G28,'MAESTRO DE UNIDADES'!$A$2:$A$208,0)),0)),"Litros &gt; tanque | ","")&amp;IF(AND($W28&lt;&gt;"",COUNTIF($W$2:$W28,$W28)&gt;1),"Ticket duplicado | ","")&amp;IF(AND($G28&lt;&gt;"",IFERROR(INDEX('MAESTRO DE UNIDADES'!$L$2:$L$208,MATCH($G28,'MAESTRO DE UNIDADES'!$A$2:$A$208,0)),"")="Inactivo"),"Unidad inactiva | ","")&amp;IF(AND($AA28&lt;&gt;"",$N28=""),"Carga de batán sin litros | ","")&amp;IF(AND($AA28&lt;&gt;"",$AC28&lt;0),"Supera saldo batán | ","")))-3)))</f>
        <v/>
      </c>
      <c r="Z28" s="8" t="str">
        <f t="shared" si="7"/>
        <v/>
      </c>
      <c r="AA28" s="4"/>
      <c r="AB28" s="26" t="str">
        <f>IF($AA28="","",IFERROR(INDEX('CONTROL DE BATAN'!$J$2:$J$301,MATCH($AA28,'CONTROL DE BATAN'!$A$2:$A$301,0)),""))</f>
        <v/>
      </c>
      <c r="AC28" s="28" t="str">
        <f>IF($AA28="","",IFERROR(INDEX('CONTROL DE BATAN'!$I$2:$I$301,MATCH($AA28,'CONTROL DE BATAN'!$A$2:$A$301,0)),0)-SUMIFS($N$2:$N28,$AA$2:$AA28,$AA28))</f>
        <v/>
      </c>
    </row>
    <row r="29" spans="1:29" x14ac:dyDescent="0.25">
      <c r="A29" s="8" t="str">
        <f t="shared" si="1"/>
        <v/>
      </c>
      <c r="B29" s="9"/>
      <c r="C29" s="8" t="str">
        <f t="shared" si="2"/>
        <v/>
      </c>
      <c r="D29" s="10" t="str">
        <f t="shared" si="3"/>
        <v/>
      </c>
      <c r="E29" s="8" t="str">
        <f t="shared" si="4"/>
        <v/>
      </c>
      <c r="F29" s="8" t="str">
        <f>IF($G29="","",IFERROR(INDEX('MAESTRO DE UNIDADES'!$C$2:$C$208,MATCH($G29,'MAESTRO DE UNIDADES'!$A$2:$A$208,0)),""))</f>
        <v/>
      </c>
      <c r="G29" s="4"/>
      <c r="H29" s="8" t="str">
        <f>IF($G29="","",IFERROR(INDEX('MAESTRO DE UNIDADES'!$F$2:$F$208,MATCH($G29,'MAESTRO DE UNIDADES'!$A$2:$A$208,0)),""))</f>
        <v/>
      </c>
      <c r="I29" s="8" t="str">
        <f>IF($G29="","",IFERROR(INDEX('MAESTRO DE UNIDADES'!$B$2:$B$208,MATCH($G29,'MAESTRO DE UNIDADES'!$A$2:$A$208,0)),""))</f>
        <v/>
      </c>
      <c r="J29" s="4"/>
      <c r="K29" s="4"/>
      <c r="L29" s="4"/>
      <c r="M29" s="8" t="str">
        <f>IF($G29="","",IFERROR(INDEX('MAESTRO DE UNIDADES'!$H$2:$H$208,MATCH($G29,'MAESTRO DE UNIDADES'!$A$2:$A$208,0)),""))</f>
        <v/>
      </c>
      <c r="N29" s="17"/>
      <c r="O29" s="25"/>
      <c r="P29" s="26" t="str">
        <f t="shared" si="5"/>
        <v/>
      </c>
      <c r="Q29" s="27"/>
      <c r="R29" s="27"/>
      <c r="S29" s="28" t="str">
        <f>IF(OR($G29="",$Q29="",COUNTIF($G$2:G28,$G29)=0),"",$Q29-LOOKUP(2,1/($G$2:G28=$G29),$Q$2:Q28))</f>
        <v/>
      </c>
      <c r="T29" s="28" t="str">
        <f>IF(OR($G29="",$R29="",COUNTIF($G$2:G28,$G29)=0),"",$R29-LOOKUP(2,1/($G$2:G28=$G29),$R$2:R28))</f>
        <v/>
      </c>
      <c r="U29" s="11" t="str">
        <f t="shared" si="6"/>
        <v/>
      </c>
      <c r="V29" s="4"/>
      <c r="W29" s="4"/>
      <c r="X29" s="55"/>
      <c r="Y29" s="56" t="str">
        <f>IF($B29="","",IF((IF($G29="","Sin unidad | ","")&amp;IF($J29="","Sin responsable | ","")&amp;IF($K29="","Sin obra | ","")&amp;IF(AND($N29&lt;&gt;"",$G29&lt;&gt;"",$N29&gt;IFERROR(INDEX('MAESTRO DE UNIDADES'!$I$2:$I$208,MATCH($G29,'MAESTRO DE UNIDADES'!$A$2:$A$208,0)),0)),"Litros &gt; tanque | ","")&amp;IF(AND($W29&lt;&gt;"",COUNTIF($W$2:$W29,$W29)&gt;1),"Ticket duplicado | ","")&amp;IF(AND($G29&lt;&gt;"",IFERROR(INDEX('MAESTRO DE UNIDADES'!$L$2:$L$208,MATCH($G29,'MAESTRO DE UNIDADES'!$A$2:$A$208,0)),"")="Inactivo"),"Unidad inactiva | ","")&amp;IF(AND($AA29&lt;&gt;"",$N29=""),"Carga de batán sin litros | ","")&amp;IF(AND($AA29&lt;&gt;"",$AC29&lt;0),"Supera saldo batán | ",""))="","OK",LEFT((IF($G29="","Sin unidad | ","")&amp;IF($J29="","Sin responsable | ","")&amp;IF($K29="","Sin obra | ","")&amp;IF(AND($N29&lt;&gt;"",$G29&lt;&gt;"",$N29&gt;IFERROR(INDEX('MAESTRO DE UNIDADES'!$I$2:$I$208,MATCH($G29,'MAESTRO DE UNIDADES'!$A$2:$A$208,0)),0)),"Litros &gt; tanque | ","")&amp;IF(AND($W29&lt;&gt;"",COUNTIF($W$2:$W29,$W29)&gt;1),"Ticket duplicado | ","")&amp;IF(AND($G29&lt;&gt;"",IFERROR(INDEX('MAESTRO DE UNIDADES'!$L$2:$L$208,MATCH($G29,'MAESTRO DE UNIDADES'!$A$2:$A$208,0)),"")="Inactivo"),"Unidad inactiva | ","")&amp;IF(AND($AA29&lt;&gt;"",$N29=""),"Carga de batán sin litros | ","")&amp;IF(AND($AA29&lt;&gt;"",$AC29&lt;0),"Supera saldo batán | ","")),LEN((IF($G29="","Sin unidad | ","")&amp;IF($J29="","Sin responsable | ","")&amp;IF($K29="","Sin obra | ","")&amp;IF(AND($N29&lt;&gt;"",$G29&lt;&gt;"",$N29&gt;IFERROR(INDEX('MAESTRO DE UNIDADES'!$I$2:$I$208,MATCH($G29,'MAESTRO DE UNIDADES'!$A$2:$A$208,0)),0)),"Litros &gt; tanque | ","")&amp;IF(AND($W29&lt;&gt;"",COUNTIF($W$2:$W29,$W29)&gt;1),"Ticket duplicado | ","")&amp;IF(AND($G29&lt;&gt;"",IFERROR(INDEX('MAESTRO DE UNIDADES'!$L$2:$L$208,MATCH($G29,'MAESTRO DE UNIDADES'!$A$2:$A$208,0)),"")="Inactivo"),"Unidad inactiva | ","")&amp;IF(AND($AA29&lt;&gt;"",$N29=""),"Carga de batán sin litros | ","")&amp;IF(AND($AA29&lt;&gt;"",$AC29&lt;0),"Supera saldo batán | ","")))-3)))</f>
        <v/>
      </c>
      <c r="Z29" s="8" t="str">
        <f t="shared" si="7"/>
        <v/>
      </c>
      <c r="AA29" s="4"/>
      <c r="AB29" s="26" t="str">
        <f>IF($AA29="","",IFERROR(INDEX('CONTROL DE BATAN'!$J$2:$J$301,MATCH($AA29,'CONTROL DE BATAN'!$A$2:$A$301,0)),""))</f>
        <v/>
      </c>
      <c r="AC29" s="28" t="str">
        <f>IF($AA29="","",IFERROR(INDEX('CONTROL DE BATAN'!$I$2:$I$301,MATCH($AA29,'CONTROL DE BATAN'!$A$2:$A$301,0)),0)-SUMIFS($N$2:$N29,$AA$2:$AA29,$AA29))</f>
        <v/>
      </c>
    </row>
    <row r="30" spans="1:29" x14ac:dyDescent="0.25">
      <c r="A30" s="8" t="str">
        <f t="shared" si="1"/>
        <v/>
      </c>
      <c r="B30" s="9"/>
      <c r="C30" s="8" t="str">
        <f t="shared" si="2"/>
        <v/>
      </c>
      <c r="D30" s="10" t="str">
        <f t="shared" si="3"/>
        <v/>
      </c>
      <c r="E30" s="8" t="str">
        <f t="shared" si="4"/>
        <v/>
      </c>
      <c r="F30" s="8" t="str">
        <f>IF($G30="","",IFERROR(INDEX('MAESTRO DE UNIDADES'!$C$2:$C$208,MATCH($G30,'MAESTRO DE UNIDADES'!$A$2:$A$208,0)),""))</f>
        <v/>
      </c>
      <c r="G30" s="4"/>
      <c r="H30" s="8" t="str">
        <f>IF($G30="","",IFERROR(INDEX('MAESTRO DE UNIDADES'!$F$2:$F$208,MATCH($G30,'MAESTRO DE UNIDADES'!$A$2:$A$208,0)),""))</f>
        <v/>
      </c>
      <c r="I30" s="8" t="str">
        <f>IF($G30="","",IFERROR(INDEX('MAESTRO DE UNIDADES'!$B$2:$B$208,MATCH($G30,'MAESTRO DE UNIDADES'!$A$2:$A$208,0)),""))</f>
        <v/>
      </c>
      <c r="J30" s="4"/>
      <c r="K30" s="4"/>
      <c r="L30" s="4"/>
      <c r="M30" s="8" t="str">
        <f>IF($G30="","",IFERROR(INDEX('MAESTRO DE UNIDADES'!$H$2:$H$208,MATCH($G30,'MAESTRO DE UNIDADES'!$A$2:$A$208,0)),""))</f>
        <v/>
      </c>
      <c r="N30" s="17"/>
      <c r="O30" s="25"/>
      <c r="P30" s="26" t="str">
        <f t="shared" si="5"/>
        <v/>
      </c>
      <c r="Q30" s="27"/>
      <c r="R30" s="27"/>
      <c r="S30" s="28" t="str">
        <f>IF(OR($G30="",$Q30="",COUNTIF($G$2:G29,$G30)=0),"",$Q30-LOOKUP(2,1/($G$2:G29=$G30),$Q$2:Q29))</f>
        <v/>
      </c>
      <c r="T30" s="28" t="str">
        <f>IF(OR($G30="",$R30="",COUNTIF($G$2:G29,$G30)=0),"",$R30-LOOKUP(2,1/($G$2:G29=$G30),$R$2:R29))</f>
        <v/>
      </c>
      <c r="U30" s="11" t="str">
        <f t="shared" si="6"/>
        <v/>
      </c>
      <c r="V30" s="4"/>
      <c r="W30" s="4"/>
      <c r="X30" s="55"/>
      <c r="Y30" s="56" t="str">
        <f>IF($B30="","",IF((IF($G30="","Sin unidad | ","")&amp;IF($J30="","Sin responsable | ","")&amp;IF($K30="","Sin obra | ","")&amp;IF(AND($N30&lt;&gt;"",$G30&lt;&gt;"",$N30&gt;IFERROR(INDEX('MAESTRO DE UNIDADES'!$I$2:$I$208,MATCH($G30,'MAESTRO DE UNIDADES'!$A$2:$A$208,0)),0)),"Litros &gt; tanque | ","")&amp;IF(AND($W30&lt;&gt;"",COUNTIF($W$2:$W30,$W30)&gt;1),"Ticket duplicado | ","")&amp;IF(AND($G30&lt;&gt;"",IFERROR(INDEX('MAESTRO DE UNIDADES'!$L$2:$L$208,MATCH($G30,'MAESTRO DE UNIDADES'!$A$2:$A$208,0)),"")="Inactivo"),"Unidad inactiva | ","")&amp;IF(AND($AA30&lt;&gt;"",$N30=""),"Carga de batán sin litros | ","")&amp;IF(AND($AA30&lt;&gt;"",$AC30&lt;0),"Supera saldo batán | ",""))="","OK",LEFT((IF($G30="","Sin unidad | ","")&amp;IF($J30="","Sin responsable | ","")&amp;IF($K30="","Sin obra | ","")&amp;IF(AND($N30&lt;&gt;"",$G30&lt;&gt;"",$N30&gt;IFERROR(INDEX('MAESTRO DE UNIDADES'!$I$2:$I$208,MATCH($G30,'MAESTRO DE UNIDADES'!$A$2:$A$208,0)),0)),"Litros &gt; tanque | ","")&amp;IF(AND($W30&lt;&gt;"",COUNTIF($W$2:$W30,$W30)&gt;1),"Ticket duplicado | ","")&amp;IF(AND($G30&lt;&gt;"",IFERROR(INDEX('MAESTRO DE UNIDADES'!$L$2:$L$208,MATCH($G30,'MAESTRO DE UNIDADES'!$A$2:$A$208,0)),"")="Inactivo"),"Unidad inactiva | ","")&amp;IF(AND($AA30&lt;&gt;"",$N30=""),"Carga de batán sin litros | ","")&amp;IF(AND($AA30&lt;&gt;"",$AC30&lt;0),"Supera saldo batán | ","")),LEN((IF($G30="","Sin unidad | ","")&amp;IF($J30="","Sin responsable | ","")&amp;IF($K30="","Sin obra | ","")&amp;IF(AND($N30&lt;&gt;"",$G30&lt;&gt;"",$N30&gt;IFERROR(INDEX('MAESTRO DE UNIDADES'!$I$2:$I$208,MATCH($G30,'MAESTRO DE UNIDADES'!$A$2:$A$208,0)),0)),"Litros &gt; tanque | ","")&amp;IF(AND($W30&lt;&gt;"",COUNTIF($W$2:$W30,$W30)&gt;1),"Ticket duplicado | ","")&amp;IF(AND($G30&lt;&gt;"",IFERROR(INDEX('MAESTRO DE UNIDADES'!$L$2:$L$208,MATCH($G30,'MAESTRO DE UNIDADES'!$A$2:$A$208,0)),"")="Inactivo"),"Unidad inactiva | ","")&amp;IF(AND($AA30&lt;&gt;"",$N30=""),"Carga de batán sin litros | ","")&amp;IF(AND($AA30&lt;&gt;"",$AC30&lt;0),"Supera saldo batán | ","")))-3)))</f>
        <v/>
      </c>
      <c r="Z30" s="8" t="str">
        <f t="shared" si="7"/>
        <v/>
      </c>
      <c r="AA30" s="4"/>
      <c r="AB30" s="26" t="str">
        <f>IF($AA30="","",IFERROR(INDEX('CONTROL DE BATAN'!$J$2:$J$301,MATCH($AA30,'CONTROL DE BATAN'!$A$2:$A$301,0)),""))</f>
        <v/>
      </c>
      <c r="AC30" s="28" t="str">
        <f>IF($AA30="","",IFERROR(INDEX('CONTROL DE BATAN'!$I$2:$I$301,MATCH($AA30,'CONTROL DE BATAN'!$A$2:$A$301,0)),0)-SUMIFS($N$2:$N30,$AA$2:$AA30,$AA30))</f>
        <v/>
      </c>
    </row>
    <row r="31" spans="1:29" x14ac:dyDescent="0.25">
      <c r="A31" s="8" t="str">
        <f t="shared" si="1"/>
        <v/>
      </c>
      <c r="B31" s="9"/>
      <c r="C31" s="8" t="str">
        <f t="shared" si="2"/>
        <v/>
      </c>
      <c r="D31" s="10" t="str">
        <f t="shared" si="3"/>
        <v/>
      </c>
      <c r="E31" s="8" t="str">
        <f t="shared" si="4"/>
        <v/>
      </c>
      <c r="F31" s="8" t="str">
        <f>IF($G31="","",IFERROR(INDEX('MAESTRO DE UNIDADES'!$C$2:$C$208,MATCH($G31,'MAESTRO DE UNIDADES'!$A$2:$A$208,0)),""))</f>
        <v/>
      </c>
      <c r="G31" s="4"/>
      <c r="H31" s="8" t="str">
        <f>IF($G31="","",IFERROR(INDEX('MAESTRO DE UNIDADES'!$F$2:$F$208,MATCH($G31,'MAESTRO DE UNIDADES'!$A$2:$A$208,0)),""))</f>
        <v/>
      </c>
      <c r="I31" s="8" t="str">
        <f>IF($G31="","",IFERROR(INDEX('MAESTRO DE UNIDADES'!$B$2:$B$208,MATCH($G31,'MAESTRO DE UNIDADES'!$A$2:$A$208,0)),""))</f>
        <v/>
      </c>
      <c r="J31" s="4"/>
      <c r="K31" s="4"/>
      <c r="L31" s="4"/>
      <c r="M31" s="8" t="str">
        <f>IF($G31="","",IFERROR(INDEX('MAESTRO DE UNIDADES'!$H$2:$H$208,MATCH($G31,'MAESTRO DE UNIDADES'!$A$2:$A$208,0)),""))</f>
        <v/>
      </c>
      <c r="N31" s="17"/>
      <c r="O31" s="25"/>
      <c r="P31" s="26" t="str">
        <f t="shared" si="5"/>
        <v/>
      </c>
      <c r="Q31" s="27"/>
      <c r="R31" s="27"/>
      <c r="S31" s="28" t="str">
        <f>IF(OR($G31="",$Q31="",COUNTIF($G$2:G30,$G31)=0),"",$Q31-LOOKUP(2,1/($G$2:G30=$G31),$Q$2:Q30))</f>
        <v/>
      </c>
      <c r="T31" s="28" t="str">
        <f>IF(OR($G31="",$R31="",COUNTIF($G$2:G30,$G31)=0),"",$R31-LOOKUP(2,1/($G$2:G30=$G31),$R$2:R30))</f>
        <v/>
      </c>
      <c r="U31" s="11" t="str">
        <f t="shared" si="6"/>
        <v/>
      </c>
      <c r="V31" s="4"/>
      <c r="W31" s="4"/>
      <c r="X31" s="55"/>
      <c r="Y31" s="56" t="str">
        <f>IF($B31="","",IF((IF($G31="","Sin unidad | ","")&amp;IF($J31="","Sin responsable | ","")&amp;IF($K31="","Sin obra | ","")&amp;IF(AND($N31&lt;&gt;"",$G31&lt;&gt;"",$N31&gt;IFERROR(INDEX('MAESTRO DE UNIDADES'!$I$2:$I$208,MATCH($G31,'MAESTRO DE UNIDADES'!$A$2:$A$208,0)),0)),"Litros &gt; tanque | ","")&amp;IF(AND($W31&lt;&gt;"",COUNTIF($W$2:$W31,$W31)&gt;1),"Ticket duplicado | ","")&amp;IF(AND($G31&lt;&gt;"",IFERROR(INDEX('MAESTRO DE UNIDADES'!$L$2:$L$208,MATCH($G31,'MAESTRO DE UNIDADES'!$A$2:$A$208,0)),"")="Inactivo"),"Unidad inactiva | ","")&amp;IF(AND($AA31&lt;&gt;"",$N31=""),"Carga de batán sin litros | ","")&amp;IF(AND($AA31&lt;&gt;"",$AC31&lt;0),"Supera saldo batán | ",""))="","OK",LEFT((IF($G31="","Sin unidad | ","")&amp;IF($J31="","Sin responsable | ","")&amp;IF($K31="","Sin obra | ","")&amp;IF(AND($N31&lt;&gt;"",$G31&lt;&gt;"",$N31&gt;IFERROR(INDEX('MAESTRO DE UNIDADES'!$I$2:$I$208,MATCH($G31,'MAESTRO DE UNIDADES'!$A$2:$A$208,0)),0)),"Litros &gt; tanque | ","")&amp;IF(AND($W31&lt;&gt;"",COUNTIF($W$2:$W31,$W31)&gt;1),"Ticket duplicado | ","")&amp;IF(AND($G31&lt;&gt;"",IFERROR(INDEX('MAESTRO DE UNIDADES'!$L$2:$L$208,MATCH($G31,'MAESTRO DE UNIDADES'!$A$2:$A$208,0)),"")="Inactivo"),"Unidad inactiva | ","")&amp;IF(AND($AA31&lt;&gt;"",$N31=""),"Carga de batán sin litros | ","")&amp;IF(AND($AA31&lt;&gt;"",$AC31&lt;0),"Supera saldo batán | ","")),LEN((IF($G31="","Sin unidad | ","")&amp;IF($J31="","Sin responsable | ","")&amp;IF($K31="","Sin obra | ","")&amp;IF(AND($N31&lt;&gt;"",$G31&lt;&gt;"",$N31&gt;IFERROR(INDEX('MAESTRO DE UNIDADES'!$I$2:$I$208,MATCH($G31,'MAESTRO DE UNIDADES'!$A$2:$A$208,0)),0)),"Litros &gt; tanque | ","")&amp;IF(AND($W31&lt;&gt;"",COUNTIF($W$2:$W31,$W31)&gt;1),"Ticket duplicado | ","")&amp;IF(AND($G31&lt;&gt;"",IFERROR(INDEX('MAESTRO DE UNIDADES'!$L$2:$L$208,MATCH($G31,'MAESTRO DE UNIDADES'!$A$2:$A$208,0)),"")="Inactivo"),"Unidad inactiva | ","")&amp;IF(AND($AA31&lt;&gt;"",$N31=""),"Carga de batán sin litros | ","")&amp;IF(AND($AA31&lt;&gt;"",$AC31&lt;0),"Supera saldo batán | ","")))-3)))</f>
        <v/>
      </c>
      <c r="Z31" s="8" t="str">
        <f t="shared" si="7"/>
        <v/>
      </c>
      <c r="AA31" s="4"/>
      <c r="AB31" s="26" t="str">
        <f>IF($AA31="","",IFERROR(INDEX('CONTROL DE BATAN'!$J$2:$J$301,MATCH($AA31,'CONTROL DE BATAN'!$A$2:$A$301,0)),""))</f>
        <v/>
      </c>
      <c r="AC31" s="28" t="str">
        <f>IF($AA31="","",IFERROR(INDEX('CONTROL DE BATAN'!$I$2:$I$301,MATCH($AA31,'CONTROL DE BATAN'!$A$2:$A$301,0)),0)-SUMIFS($N$2:$N31,$AA$2:$AA31,$AA31))</f>
        <v/>
      </c>
    </row>
    <row r="32" spans="1:29" x14ac:dyDescent="0.25">
      <c r="A32" s="8" t="str">
        <f t="shared" si="1"/>
        <v/>
      </c>
      <c r="B32" s="9"/>
      <c r="C32" s="8" t="str">
        <f t="shared" si="2"/>
        <v/>
      </c>
      <c r="D32" s="10" t="str">
        <f t="shared" si="3"/>
        <v/>
      </c>
      <c r="E32" s="8" t="str">
        <f t="shared" si="4"/>
        <v/>
      </c>
      <c r="F32" s="8" t="str">
        <f>IF($G32="","",IFERROR(INDEX('MAESTRO DE UNIDADES'!$C$2:$C$208,MATCH($G32,'MAESTRO DE UNIDADES'!$A$2:$A$208,0)),""))</f>
        <v/>
      </c>
      <c r="G32" s="4"/>
      <c r="H32" s="8" t="str">
        <f>IF($G32="","",IFERROR(INDEX('MAESTRO DE UNIDADES'!$F$2:$F$208,MATCH($G32,'MAESTRO DE UNIDADES'!$A$2:$A$208,0)),""))</f>
        <v/>
      </c>
      <c r="I32" s="8" t="str">
        <f>IF($G32="","",IFERROR(INDEX('MAESTRO DE UNIDADES'!$B$2:$B$208,MATCH($G32,'MAESTRO DE UNIDADES'!$A$2:$A$208,0)),""))</f>
        <v/>
      </c>
      <c r="J32" s="4"/>
      <c r="K32" s="4"/>
      <c r="L32" s="4"/>
      <c r="M32" s="8" t="str">
        <f>IF($G32="","",IFERROR(INDEX('MAESTRO DE UNIDADES'!$H$2:$H$208,MATCH($G32,'MAESTRO DE UNIDADES'!$A$2:$A$208,0)),""))</f>
        <v/>
      </c>
      <c r="N32" s="17"/>
      <c r="O32" s="25"/>
      <c r="P32" s="26" t="str">
        <f t="shared" si="5"/>
        <v/>
      </c>
      <c r="Q32" s="27"/>
      <c r="R32" s="27"/>
      <c r="S32" s="28" t="str">
        <f>IF(OR($G32="",$Q32="",COUNTIF($G$2:G31,$G32)=0),"",$Q32-LOOKUP(2,1/($G$2:G31=$G32),$Q$2:Q31))</f>
        <v/>
      </c>
      <c r="T32" s="28" t="str">
        <f>IF(OR($G32="",$R32="",COUNTIF($G$2:G31,$G32)=0),"",$R32-LOOKUP(2,1/($G$2:G31=$G32),$R$2:R31))</f>
        <v/>
      </c>
      <c r="U32" s="11" t="str">
        <f t="shared" si="6"/>
        <v/>
      </c>
      <c r="V32" s="4"/>
      <c r="W32" s="4"/>
      <c r="X32" s="55"/>
      <c r="Y32" s="56" t="str">
        <f>IF($B32="","",IF((IF($G32="","Sin unidad | ","")&amp;IF($J32="","Sin responsable | ","")&amp;IF($K32="","Sin obra | ","")&amp;IF(AND($N32&lt;&gt;"",$G32&lt;&gt;"",$N32&gt;IFERROR(INDEX('MAESTRO DE UNIDADES'!$I$2:$I$208,MATCH($G32,'MAESTRO DE UNIDADES'!$A$2:$A$208,0)),0)),"Litros &gt; tanque | ","")&amp;IF(AND($W32&lt;&gt;"",COUNTIF($W$2:$W32,$W32)&gt;1),"Ticket duplicado | ","")&amp;IF(AND($G32&lt;&gt;"",IFERROR(INDEX('MAESTRO DE UNIDADES'!$L$2:$L$208,MATCH($G32,'MAESTRO DE UNIDADES'!$A$2:$A$208,0)),"")="Inactivo"),"Unidad inactiva | ","")&amp;IF(AND($AA32&lt;&gt;"",$N32=""),"Carga de batán sin litros | ","")&amp;IF(AND($AA32&lt;&gt;"",$AC32&lt;0),"Supera saldo batán | ",""))="","OK",LEFT((IF($G32="","Sin unidad | ","")&amp;IF($J32="","Sin responsable | ","")&amp;IF($K32="","Sin obra | ","")&amp;IF(AND($N32&lt;&gt;"",$G32&lt;&gt;"",$N32&gt;IFERROR(INDEX('MAESTRO DE UNIDADES'!$I$2:$I$208,MATCH($G32,'MAESTRO DE UNIDADES'!$A$2:$A$208,0)),0)),"Litros &gt; tanque | ","")&amp;IF(AND($W32&lt;&gt;"",COUNTIF($W$2:$W32,$W32)&gt;1),"Ticket duplicado | ","")&amp;IF(AND($G32&lt;&gt;"",IFERROR(INDEX('MAESTRO DE UNIDADES'!$L$2:$L$208,MATCH($G32,'MAESTRO DE UNIDADES'!$A$2:$A$208,0)),"")="Inactivo"),"Unidad inactiva | ","")&amp;IF(AND($AA32&lt;&gt;"",$N32=""),"Carga de batán sin litros | ","")&amp;IF(AND($AA32&lt;&gt;"",$AC32&lt;0),"Supera saldo batán | ","")),LEN((IF($G32="","Sin unidad | ","")&amp;IF($J32="","Sin responsable | ","")&amp;IF($K32="","Sin obra | ","")&amp;IF(AND($N32&lt;&gt;"",$G32&lt;&gt;"",$N32&gt;IFERROR(INDEX('MAESTRO DE UNIDADES'!$I$2:$I$208,MATCH($G32,'MAESTRO DE UNIDADES'!$A$2:$A$208,0)),0)),"Litros &gt; tanque | ","")&amp;IF(AND($W32&lt;&gt;"",COUNTIF($W$2:$W32,$W32)&gt;1),"Ticket duplicado | ","")&amp;IF(AND($G32&lt;&gt;"",IFERROR(INDEX('MAESTRO DE UNIDADES'!$L$2:$L$208,MATCH($G32,'MAESTRO DE UNIDADES'!$A$2:$A$208,0)),"")="Inactivo"),"Unidad inactiva | ","")&amp;IF(AND($AA32&lt;&gt;"",$N32=""),"Carga de batán sin litros | ","")&amp;IF(AND($AA32&lt;&gt;"",$AC32&lt;0),"Supera saldo batán | ","")))-3)))</f>
        <v/>
      </c>
      <c r="Z32" s="8" t="str">
        <f t="shared" si="7"/>
        <v/>
      </c>
      <c r="AA32" s="4"/>
      <c r="AB32" s="26" t="str">
        <f>IF($AA32="","",IFERROR(INDEX('CONTROL DE BATAN'!$J$2:$J$301,MATCH($AA32,'CONTROL DE BATAN'!$A$2:$A$301,0)),""))</f>
        <v/>
      </c>
      <c r="AC32" s="28" t="str">
        <f>IF($AA32="","",IFERROR(INDEX('CONTROL DE BATAN'!$I$2:$I$301,MATCH($AA32,'CONTROL DE BATAN'!$A$2:$A$301,0)),0)-SUMIFS($N$2:$N32,$AA$2:$AA32,$AA32))</f>
        <v/>
      </c>
    </row>
    <row r="33" spans="1:29" x14ac:dyDescent="0.25">
      <c r="A33" s="8" t="str">
        <f t="shared" si="1"/>
        <v/>
      </c>
      <c r="B33" s="9"/>
      <c r="C33" s="8" t="str">
        <f t="shared" si="2"/>
        <v/>
      </c>
      <c r="D33" s="10" t="str">
        <f t="shared" si="3"/>
        <v/>
      </c>
      <c r="E33" s="8" t="str">
        <f t="shared" si="4"/>
        <v/>
      </c>
      <c r="F33" s="8" t="str">
        <f>IF($G33="","",IFERROR(INDEX('MAESTRO DE UNIDADES'!$C$2:$C$208,MATCH($G33,'MAESTRO DE UNIDADES'!$A$2:$A$208,0)),""))</f>
        <v/>
      </c>
      <c r="G33" s="4"/>
      <c r="H33" s="8" t="str">
        <f>IF($G33="","",IFERROR(INDEX('MAESTRO DE UNIDADES'!$F$2:$F$208,MATCH($G33,'MAESTRO DE UNIDADES'!$A$2:$A$208,0)),""))</f>
        <v/>
      </c>
      <c r="I33" s="8" t="str">
        <f>IF($G33="","",IFERROR(INDEX('MAESTRO DE UNIDADES'!$B$2:$B$208,MATCH($G33,'MAESTRO DE UNIDADES'!$A$2:$A$208,0)),""))</f>
        <v/>
      </c>
      <c r="J33" s="4"/>
      <c r="K33" s="4"/>
      <c r="L33" s="4"/>
      <c r="M33" s="8" t="str">
        <f>IF($G33="","",IFERROR(INDEX('MAESTRO DE UNIDADES'!$H$2:$H$208,MATCH($G33,'MAESTRO DE UNIDADES'!$A$2:$A$208,0)),""))</f>
        <v/>
      </c>
      <c r="N33" s="17"/>
      <c r="O33" s="25"/>
      <c r="P33" s="26" t="str">
        <f t="shared" si="5"/>
        <v/>
      </c>
      <c r="Q33" s="27"/>
      <c r="R33" s="27"/>
      <c r="S33" s="28" t="str">
        <f>IF(OR($G33="",$Q33="",COUNTIF($G$2:G32,$G33)=0),"",$Q33-LOOKUP(2,1/($G$2:G32=$G33),$Q$2:Q32))</f>
        <v/>
      </c>
      <c r="T33" s="28" t="str">
        <f>IF(OR($G33="",$R33="",COUNTIF($G$2:G32,$G33)=0),"",$R33-LOOKUP(2,1/($G$2:G32=$G33),$R$2:R32))</f>
        <v/>
      </c>
      <c r="U33" s="11" t="str">
        <f t="shared" si="6"/>
        <v/>
      </c>
      <c r="V33" s="4"/>
      <c r="W33" s="4"/>
      <c r="X33" s="55"/>
      <c r="Y33" s="56" t="str">
        <f>IF($B33="","",IF((IF($G33="","Sin unidad | ","")&amp;IF($J33="","Sin responsable | ","")&amp;IF($K33="","Sin obra | ","")&amp;IF(AND($N33&lt;&gt;"",$G33&lt;&gt;"",$N33&gt;IFERROR(INDEX('MAESTRO DE UNIDADES'!$I$2:$I$208,MATCH($G33,'MAESTRO DE UNIDADES'!$A$2:$A$208,0)),0)),"Litros &gt; tanque | ","")&amp;IF(AND($W33&lt;&gt;"",COUNTIF($W$2:$W33,$W33)&gt;1),"Ticket duplicado | ","")&amp;IF(AND($G33&lt;&gt;"",IFERROR(INDEX('MAESTRO DE UNIDADES'!$L$2:$L$208,MATCH($G33,'MAESTRO DE UNIDADES'!$A$2:$A$208,0)),"")="Inactivo"),"Unidad inactiva | ","")&amp;IF(AND($AA33&lt;&gt;"",$N33=""),"Carga de batán sin litros | ","")&amp;IF(AND($AA33&lt;&gt;"",$AC33&lt;0),"Supera saldo batán | ",""))="","OK",LEFT((IF($G33="","Sin unidad | ","")&amp;IF($J33="","Sin responsable | ","")&amp;IF($K33="","Sin obra | ","")&amp;IF(AND($N33&lt;&gt;"",$G33&lt;&gt;"",$N33&gt;IFERROR(INDEX('MAESTRO DE UNIDADES'!$I$2:$I$208,MATCH($G33,'MAESTRO DE UNIDADES'!$A$2:$A$208,0)),0)),"Litros &gt; tanque | ","")&amp;IF(AND($W33&lt;&gt;"",COUNTIF($W$2:$W33,$W33)&gt;1),"Ticket duplicado | ","")&amp;IF(AND($G33&lt;&gt;"",IFERROR(INDEX('MAESTRO DE UNIDADES'!$L$2:$L$208,MATCH($G33,'MAESTRO DE UNIDADES'!$A$2:$A$208,0)),"")="Inactivo"),"Unidad inactiva | ","")&amp;IF(AND($AA33&lt;&gt;"",$N33=""),"Carga de batán sin litros | ","")&amp;IF(AND($AA33&lt;&gt;"",$AC33&lt;0),"Supera saldo batán | ","")),LEN((IF($G33="","Sin unidad | ","")&amp;IF($J33="","Sin responsable | ","")&amp;IF($K33="","Sin obra | ","")&amp;IF(AND($N33&lt;&gt;"",$G33&lt;&gt;"",$N33&gt;IFERROR(INDEX('MAESTRO DE UNIDADES'!$I$2:$I$208,MATCH($G33,'MAESTRO DE UNIDADES'!$A$2:$A$208,0)),0)),"Litros &gt; tanque | ","")&amp;IF(AND($W33&lt;&gt;"",COUNTIF($W$2:$W33,$W33)&gt;1),"Ticket duplicado | ","")&amp;IF(AND($G33&lt;&gt;"",IFERROR(INDEX('MAESTRO DE UNIDADES'!$L$2:$L$208,MATCH($G33,'MAESTRO DE UNIDADES'!$A$2:$A$208,0)),"")="Inactivo"),"Unidad inactiva | ","")&amp;IF(AND($AA33&lt;&gt;"",$N33=""),"Carga de batán sin litros | ","")&amp;IF(AND($AA33&lt;&gt;"",$AC33&lt;0),"Supera saldo batán | ","")))-3)))</f>
        <v/>
      </c>
      <c r="Z33" s="8" t="str">
        <f t="shared" si="7"/>
        <v/>
      </c>
      <c r="AA33" s="4"/>
      <c r="AB33" s="26" t="str">
        <f>IF($AA33="","",IFERROR(INDEX('CONTROL DE BATAN'!$J$2:$J$301,MATCH($AA33,'CONTROL DE BATAN'!$A$2:$A$301,0)),""))</f>
        <v/>
      </c>
      <c r="AC33" s="28" t="str">
        <f>IF($AA33="","",IFERROR(INDEX('CONTROL DE BATAN'!$I$2:$I$301,MATCH($AA33,'CONTROL DE BATAN'!$A$2:$A$301,0)),0)-SUMIFS($N$2:$N33,$AA$2:$AA33,$AA33))</f>
        <v/>
      </c>
    </row>
    <row r="34" spans="1:29" x14ac:dyDescent="0.25">
      <c r="A34" s="8" t="str">
        <f t="shared" si="1"/>
        <v/>
      </c>
      <c r="B34" s="9"/>
      <c r="C34" s="8" t="str">
        <f t="shared" si="2"/>
        <v/>
      </c>
      <c r="D34" s="10" t="str">
        <f t="shared" si="3"/>
        <v/>
      </c>
      <c r="E34" s="8" t="str">
        <f t="shared" si="4"/>
        <v/>
      </c>
      <c r="F34" s="8" t="str">
        <f>IF($G34="","",IFERROR(INDEX('MAESTRO DE UNIDADES'!$C$2:$C$208,MATCH($G34,'MAESTRO DE UNIDADES'!$A$2:$A$208,0)),""))</f>
        <v/>
      </c>
      <c r="G34" s="4"/>
      <c r="H34" s="8" t="str">
        <f>IF($G34="","",IFERROR(INDEX('MAESTRO DE UNIDADES'!$F$2:$F$208,MATCH($G34,'MAESTRO DE UNIDADES'!$A$2:$A$208,0)),""))</f>
        <v/>
      </c>
      <c r="I34" s="8" t="str">
        <f>IF($G34="","",IFERROR(INDEX('MAESTRO DE UNIDADES'!$B$2:$B$208,MATCH($G34,'MAESTRO DE UNIDADES'!$A$2:$A$208,0)),""))</f>
        <v/>
      </c>
      <c r="J34" s="4"/>
      <c r="K34" s="4"/>
      <c r="L34" s="4"/>
      <c r="M34" s="8" t="str">
        <f>IF($G34="","",IFERROR(INDEX('MAESTRO DE UNIDADES'!$H$2:$H$208,MATCH($G34,'MAESTRO DE UNIDADES'!$A$2:$A$208,0)),""))</f>
        <v/>
      </c>
      <c r="N34" s="17"/>
      <c r="O34" s="25"/>
      <c r="P34" s="26" t="str">
        <f t="shared" si="5"/>
        <v/>
      </c>
      <c r="Q34" s="27"/>
      <c r="R34" s="27"/>
      <c r="S34" s="28" t="str">
        <f>IF(OR($G34="",$Q34="",COUNTIF($G$2:G33,$G34)=0),"",$Q34-LOOKUP(2,1/($G$2:G33=$G34),$Q$2:Q33))</f>
        <v/>
      </c>
      <c r="T34" s="28" t="str">
        <f>IF(OR($G34="",$R34="",COUNTIF($G$2:G33,$G34)=0),"",$R34-LOOKUP(2,1/($G$2:G33=$G34),$R$2:R33))</f>
        <v/>
      </c>
      <c r="U34" s="11" t="str">
        <f t="shared" si="6"/>
        <v/>
      </c>
      <c r="V34" s="4"/>
      <c r="W34" s="4"/>
      <c r="X34" s="55"/>
      <c r="Y34" s="56" t="str">
        <f>IF($B34="","",IF((IF($G34="","Sin unidad | ","")&amp;IF($J34="","Sin responsable | ","")&amp;IF($K34="","Sin obra | ","")&amp;IF(AND($N34&lt;&gt;"",$G34&lt;&gt;"",$N34&gt;IFERROR(INDEX('MAESTRO DE UNIDADES'!$I$2:$I$208,MATCH($G34,'MAESTRO DE UNIDADES'!$A$2:$A$208,0)),0)),"Litros &gt; tanque | ","")&amp;IF(AND($W34&lt;&gt;"",COUNTIF($W$2:$W34,$W34)&gt;1),"Ticket duplicado | ","")&amp;IF(AND($G34&lt;&gt;"",IFERROR(INDEX('MAESTRO DE UNIDADES'!$L$2:$L$208,MATCH($G34,'MAESTRO DE UNIDADES'!$A$2:$A$208,0)),"")="Inactivo"),"Unidad inactiva | ","")&amp;IF(AND($AA34&lt;&gt;"",$N34=""),"Carga de batán sin litros | ","")&amp;IF(AND($AA34&lt;&gt;"",$AC34&lt;0),"Supera saldo batán | ",""))="","OK",LEFT((IF($G34="","Sin unidad | ","")&amp;IF($J34="","Sin responsable | ","")&amp;IF($K34="","Sin obra | ","")&amp;IF(AND($N34&lt;&gt;"",$G34&lt;&gt;"",$N34&gt;IFERROR(INDEX('MAESTRO DE UNIDADES'!$I$2:$I$208,MATCH($G34,'MAESTRO DE UNIDADES'!$A$2:$A$208,0)),0)),"Litros &gt; tanque | ","")&amp;IF(AND($W34&lt;&gt;"",COUNTIF($W$2:$W34,$W34)&gt;1),"Ticket duplicado | ","")&amp;IF(AND($G34&lt;&gt;"",IFERROR(INDEX('MAESTRO DE UNIDADES'!$L$2:$L$208,MATCH($G34,'MAESTRO DE UNIDADES'!$A$2:$A$208,0)),"")="Inactivo"),"Unidad inactiva | ","")&amp;IF(AND($AA34&lt;&gt;"",$N34=""),"Carga de batán sin litros | ","")&amp;IF(AND($AA34&lt;&gt;"",$AC34&lt;0),"Supera saldo batán | ","")),LEN((IF($G34="","Sin unidad | ","")&amp;IF($J34="","Sin responsable | ","")&amp;IF($K34="","Sin obra | ","")&amp;IF(AND($N34&lt;&gt;"",$G34&lt;&gt;"",$N34&gt;IFERROR(INDEX('MAESTRO DE UNIDADES'!$I$2:$I$208,MATCH($G34,'MAESTRO DE UNIDADES'!$A$2:$A$208,0)),0)),"Litros &gt; tanque | ","")&amp;IF(AND($W34&lt;&gt;"",COUNTIF($W$2:$W34,$W34)&gt;1),"Ticket duplicado | ","")&amp;IF(AND($G34&lt;&gt;"",IFERROR(INDEX('MAESTRO DE UNIDADES'!$L$2:$L$208,MATCH($G34,'MAESTRO DE UNIDADES'!$A$2:$A$208,0)),"")="Inactivo"),"Unidad inactiva | ","")&amp;IF(AND($AA34&lt;&gt;"",$N34=""),"Carga de batán sin litros | ","")&amp;IF(AND($AA34&lt;&gt;"",$AC34&lt;0),"Supera saldo batán | ","")))-3)))</f>
        <v/>
      </c>
      <c r="Z34" s="8" t="str">
        <f t="shared" si="7"/>
        <v/>
      </c>
      <c r="AA34" s="4"/>
      <c r="AB34" s="26" t="str">
        <f>IF($AA34="","",IFERROR(INDEX('CONTROL DE BATAN'!$J$2:$J$301,MATCH($AA34,'CONTROL DE BATAN'!$A$2:$A$301,0)),""))</f>
        <v/>
      </c>
      <c r="AC34" s="28" t="str">
        <f>IF($AA34="","",IFERROR(INDEX('CONTROL DE BATAN'!$I$2:$I$301,MATCH($AA34,'CONTROL DE BATAN'!$A$2:$A$301,0)),0)-SUMIFS($N$2:$N34,$AA$2:$AA34,$AA34))</f>
        <v/>
      </c>
    </row>
    <row r="35" spans="1:29" x14ac:dyDescent="0.25">
      <c r="A35" s="8" t="str">
        <f t="shared" si="1"/>
        <v/>
      </c>
      <c r="B35" s="9"/>
      <c r="C35" s="8" t="str">
        <f t="shared" si="2"/>
        <v/>
      </c>
      <c r="D35" s="10" t="str">
        <f t="shared" si="3"/>
        <v/>
      </c>
      <c r="E35" s="8" t="str">
        <f t="shared" si="4"/>
        <v/>
      </c>
      <c r="F35" s="8" t="str">
        <f>IF($G35="","",IFERROR(INDEX('MAESTRO DE UNIDADES'!$C$2:$C$208,MATCH($G35,'MAESTRO DE UNIDADES'!$A$2:$A$208,0)),""))</f>
        <v/>
      </c>
      <c r="G35" s="4"/>
      <c r="H35" s="8" t="str">
        <f>IF($G35="","",IFERROR(INDEX('MAESTRO DE UNIDADES'!$F$2:$F$208,MATCH($G35,'MAESTRO DE UNIDADES'!$A$2:$A$208,0)),""))</f>
        <v/>
      </c>
      <c r="I35" s="8" t="str">
        <f>IF($G35="","",IFERROR(INDEX('MAESTRO DE UNIDADES'!$B$2:$B$208,MATCH($G35,'MAESTRO DE UNIDADES'!$A$2:$A$208,0)),""))</f>
        <v/>
      </c>
      <c r="J35" s="4"/>
      <c r="K35" s="4"/>
      <c r="L35" s="4"/>
      <c r="M35" s="8" t="str">
        <f>IF($G35="","",IFERROR(INDEX('MAESTRO DE UNIDADES'!$H$2:$H$208,MATCH($G35,'MAESTRO DE UNIDADES'!$A$2:$A$208,0)),""))</f>
        <v/>
      </c>
      <c r="N35" s="17"/>
      <c r="O35" s="25"/>
      <c r="P35" s="26" t="str">
        <f t="shared" si="5"/>
        <v/>
      </c>
      <c r="Q35" s="27"/>
      <c r="R35" s="27"/>
      <c r="S35" s="28" t="str">
        <f>IF(OR($G35="",$Q35="",COUNTIF($G$2:G34,$G35)=0),"",$Q35-LOOKUP(2,1/($G$2:G34=$G35),$Q$2:Q34))</f>
        <v/>
      </c>
      <c r="T35" s="28" t="str">
        <f>IF(OR($G35="",$R35="",COUNTIF($G$2:G34,$G35)=0),"",$R35-LOOKUP(2,1/($G$2:G34=$G35),$R$2:R34))</f>
        <v/>
      </c>
      <c r="U35" s="11" t="str">
        <f t="shared" si="6"/>
        <v/>
      </c>
      <c r="V35" s="4"/>
      <c r="W35" s="4"/>
      <c r="X35" s="55"/>
      <c r="Y35" s="56" t="str">
        <f>IF($B35="","",IF((IF($G35="","Sin unidad | ","")&amp;IF($J35="","Sin responsable | ","")&amp;IF($K35="","Sin obra | ","")&amp;IF(AND($N35&lt;&gt;"",$G35&lt;&gt;"",$N35&gt;IFERROR(INDEX('MAESTRO DE UNIDADES'!$I$2:$I$208,MATCH($G35,'MAESTRO DE UNIDADES'!$A$2:$A$208,0)),0)),"Litros &gt; tanque | ","")&amp;IF(AND($W35&lt;&gt;"",COUNTIF($W$2:$W35,$W35)&gt;1),"Ticket duplicado | ","")&amp;IF(AND($G35&lt;&gt;"",IFERROR(INDEX('MAESTRO DE UNIDADES'!$L$2:$L$208,MATCH($G35,'MAESTRO DE UNIDADES'!$A$2:$A$208,0)),"")="Inactivo"),"Unidad inactiva | ","")&amp;IF(AND($AA35&lt;&gt;"",$N35=""),"Carga de batán sin litros | ","")&amp;IF(AND($AA35&lt;&gt;"",$AC35&lt;0),"Supera saldo batán | ",""))="","OK",LEFT((IF($G35="","Sin unidad | ","")&amp;IF($J35="","Sin responsable | ","")&amp;IF($K35="","Sin obra | ","")&amp;IF(AND($N35&lt;&gt;"",$G35&lt;&gt;"",$N35&gt;IFERROR(INDEX('MAESTRO DE UNIDADES'!$I$2:$I$208,MATCH($G35,'MAESTRO DE UNIDADES'!$A$2:$A$208,0)),0)),"Litros &gt; tanque | ","")&amp;IF(AND($W35&lt;&gt;"",COUNTIF($W$2:$W35,$W35)&gt;1),"Ticket duplicado | ","")&amp;IF(AND($G35&lt;&gt;"",IFERROR(INDEX('MAESTRO DE UNIDADES'!$L$2:$L$208,MATCH($G35,'MAESTRO DE UNIDADES'!$A$2:$A$208,0)),"")="Inactivo"),"Unidad inactiva | ","")&amp;IF(AND($AA35&lt;&gt;"",$N35=""),"Carga de batán sin litros | ","")&amp;IF(AND($AA35&lt;&gt;"",$AC35&lt;0),"Supera saldo batán | ","")),LEN((IF($G35="","Sin unidad | ","")&amp;IF($J35="","Sin responsable | ","")&amp;IF($K35="","Sin obra | ","")&amp;IF(AND($N35&lt;&gt;"",$G35&lt;&gt;"",$N35&gt;IFERROR(INDEX('MAESTRO DE UNIDADES'!$I$2:$I$208,MATCH($G35,'MAESTRO DE UNIDADES'!$A$2:$A$208,0)),0)),"Litros &gt; tanque | ","")&amp;IF(AND($W35&lt;&gt;"",COUNTIF($W$2:$W35,$W35)&gt;1),"Ticket duplicado | ","")&amp;IF(AND($G35&lt;&gt;"",IFERROR(INDEX('MAESTRO DE UNIDADES'!$L$2:$L$208,MATCH($G35,'MAESTRO DE UNIDADES'!$A$2:$A$208,0)),"")="Inactivo"),"Unidad inactiva | ","")&amp;IF(AND($AA35&lt;&gt;"",$N35=""),"Carga de batán sin litros | ","")&amp;IF(AND($AA35&lt;&gt;"",$AC35&lt;0),"Supera saldo batán | ","")))-3)))</f>
        <v/>
      </c>
      <c r="Z35" s="8" t="str">
        <f t="shared" si="7"/>
        <v/>
      </c>
      <c r="AA35" s="4"/>
      <c r="AB35" s="26" t="str">
        <f>IF($AA35="","",IFERROR(INDEX('CONTROL DE BATAN'!$J$2:$J$301,MATCH($AA35,'CONTROL DE BATAN'!$A$2:$A$301,0)),""))</f>
        <v/>
      </c>
      <c r="AC35" s="28" t="str">
        <f>IF($AA35="","",IFERROR(INDEX('CONTROL DE BATAN'!$I$2:$I$301,MATCH($AA35,'CONTROL DE BATAN'!$A$2:$A$301,0)),0)-SUMIFS($N$2:$N35,$AA$2:$AA35,$AA35))</f>
        <v/>
      </c>
    </row>
    <row r="36" spans="1:29" x14ac:dyDescent="0.25">
      <c r="A36" s="8" t="str">
        <f t="shared" si="1"/>
        <v/>
      </c>
      <c r="B36" s="9"/>
      <c r="C36" s="8" t="str">
        <f t="shared" si="2"/>
        <v/>
      </c>
      <c r="D36" s="10" t="str">
        <f t="shared" si="3"/>
        <v/>
      </c>
      <c r="E36" s="8" t="str">
        <f t="shared" si="4"/>
        <v/>
      </c>
      <c r="F36" s="8" t="str">
        <f>IF($G36="","",IFERROR(INDEX('MAESTRO DE UNIDADES'!$C$2:$C$208,MATCH($G36,'MAESTRO DE UNIDADES'!$A$2:$A$208,0)),""))</f>
        <v/>
      </c>
      <c r="G36" s="4"/>
      <c r="H36" s="8" t="str">
        <f>IF($G36="","",IFERROR(INDEX('MAESTRO DE UNIDADES'!$F$2:$F$208,MATCH($G36,'MAESTRO DE UNIDADES'!$A$2:$A$208,0)),""))</f>
        <v/>
      </c>
      <c r="I36" s="8" t="str">
        <f>IF($G36="","",IFERROR(INDEX('MAESTRO DE UNIDADES'!$B$2:$B$208,MATCH($G36,'MAESTRO DE UNIDADES'!$A$2:$A$208,0)),""))</f>
        <v/>
      </c>
      <c r="J36" s="4"/>
      <c r="K36" s="4"/>
      <c r="L36" s="4"/>
      <c r="M36" s="8" t="str">
        <f>IF($G36="","",IFERROR(INDEX('MAESTRO DE UNIDADES'!$H$2:$H$208,MATCH($G36,'MAESTRO DE UNIDADES'!$A$2:$A$208,0)),""))</f>
        <v/>
      </c>
      <c r="N36" s="17"/>
      <c r="O36" s="25"/>
      <c r="P36" s="26" t="str">
        <f t="shared" si="5"/>
        <v/>
      </c>
      <c r="Q36" s="27"/>
      <c r="R36" s="27"/>
      <c r="S36" s="28" t="str">
        <f>IF(OR($G36="",$Q36="",COUNTIF($G$2:G35,$G36)=0),"",$Q36-LOOKUP(2,1/($G$2:G35=$G36),$Q$2:Q35))</f>
        <v/>
      </c>
      <c r="T36" s="28" t="str">
        <f>IF(OR($G36="",$R36="",COUNTIF($G$2:G35,$G36)=0),"",$R36-LOOKUP(2,1/($G$2:G35=$G36),$R$2:R35))</f>
        <v/>
      </c>
      <c r="U36" s="11" t="str">
        <f t="shared" si="6"/>
        <v/>
      </c>
      <c r="V36" s="4"/>
      <c r="W36" s="4"/>
      <c r="X36" s="55"/>
      <c r="Y36" s="56" t="str">
        <f>IF($B36="","",IF((IF($G36="","Sin unidad | ","")&amp;IF($J36="","Sin responsable | ","")&amp;IF($K36="","Sin obra | ","")&amp;IF(AND($N36&lt;&gt;"",$G36&lt;&gt;"",$N36&gt;IFERROR(INDEX('MAESTRO DE UNIDADES'!$I$2:$I$208,MATCH($G36,'MAESTRO DE UNIDADES'!$A$2:$A$208,0)),0)),"Litros &gt; tanque | ","")&amp;IF(AND($W36&lt;&gt;"",COUNTIF($W$2:$W36,$W36)&gt;1),"Ticket duplicado | ","")&amp;IF(AND($G36&lt;&gt;"",IFERROR(INDEX('MAESTRO DE UNIDADES'!$L$2:$L$208,MATCH($G36,'MAESTRO DE UNIDADES'!$A$2:$A$208,0)),"")="Inactivo"),"Unidad inactiva | ","")&amp;IF(AND($AA36&lt;&gt;"",$N36=""),"Carga de batán sin litros | ","")&amp;IF(AND($AA36&lt;&gt;"",$AC36&lt;0),"Supera saldo batán | ",""))="","OK",LEFT((IF($G36="","Sin unidad | ","")&amp;IF($J36="","Sin responsable | ","")&amp;IF($K36="","Sin obra | ","")&amp;IF(AND($N36&lt;&gt;"",$G36&lt;&gt;"",$N36&gt;IFERROR(INDEX('MAESTRO DE UNIDADES'!$I$2:$I$208,MATCH($G36,'MAESTRO DE UNIDADES'!$A$2:$A$208,0)),0)),"Litros &gt; tanque | ","")&amp;IF(AND($W36&lt;&gt;"",COUNTIF($W$2:$W36,$W36)&gt;1),"Ticket duplicado | ","")&amp;IF(AND($G36&lt;&gt;"",IFERROR(INDEX('MAESTRO DE UNIDADES'!$L$2:$L$208,MATCH($G36,'MAESTRO DE UNIDADES'!$A$2:$A$208,0)),"")="Inactivo"),"Unidad inactiva | ","")&amp;IF(AND($AA36&lt;&gt;"",$N36=""),"Carga de batán sin litros | ","")&amp;IF(AND($AA36&lt;&gt;"",$AC36&lt;0),"Supera saldo batán | ","")),LEN((IF($G36="","Sin unidad | ","")&amp;IF($J36="","Sin responsable | ","")&amp;IF($K36="","Sin obra | ","")&amp;IF(AND($N36&lt;&gt;"",$G36&lt;&gt;"",$N36&gt;IFERROR(INDEX('MAESTRO DE UNIDADES'!$I$2:$I$208,MATCH($G36,'MAESTRO DE UNIDADES'!$A$2:$A$208,0)),0)),"Litros &gt; tanque | ","")&amp;IF(AND($W36&lt;&gt;"",COUNTIF($W$2:$W36,$W36)&gt;1),"Ticket duplicado | ","")&amp;IF(AND($G36&lt;&gt;"",IFERROR(INDEX('MAESTRO DE UNIDADES'!$L$2:$L$208,MATCH($G36,'MAESTRO DE UNIDADES'!$A$2:$A$208,0)),"")="Inactivo"),"Unidad inactiva | ","")&amp;IF(AND($AA36&lt;&gt;"",$N36=""),"Carga de batán sin litros | ","")&amp;IF(AND($AA36&lt;&gt;"",$AC36&lt;0),"Supera saldo batán | ","")))-3)))</f>
        <v/>
      </c>
      <c r="Z36" s="8" t="str">
        <f t="shared" si="7"/>
        <v/>
      </c>
      <c r="AA36" s="4"/>
      <c r="AB36" s="26" t="str">
        <f>IF($AA36="","",IFERROR(INDEX('CONTROL DE BATAN'!$J$2:$J$301,MATCH($AA36,'CONTROL DE BATAN'!$A$2:$A$301,0)),""))</f>
        <v/>
      </c>
      <c r="AC36" s="28" t="str">
        <f>IF($AA36="","",IFERROR(INDEX('CONTROL DE BATAN'!$I$2:$I$301,MATCH($AA36,'CONTROL DE BATAN'!$A$2:$A$301,0)),0)-SUMIFS($N$2:$N36,$AA$2:$AA36,$AA36))</f>
        <v/>
      </c>
    </row>
    <row r="37" spans="1:29" x14ac:dyDescent="0.25">
      <c r="A37" s="8" t="str">
        <f t="shared" si="1"/>
        <v/>
      </c>
      <c r="B37" s="9"/>
      <c r="C37" s="8" t="str">
        <f t="shared" si="2"/>
        <v/>
      </c>
      <c r="D37" s="10" t="str">
        <f t="shared" si="3"/>
        <v/>
      </c>
      <c r="E37" s="8" t="str">
        <f t="shared" si="4"/>
        <v/>
      </c>
      <c r="F37" s="8" t="str">
        <f>IF($G37="","",IFERROR(INDEX('MAESTRO DE UNIDADES'!$C$2:$C$208,MATCH($G37,'MAESTRO DE UNIDADES'!$A$2:$A$208,0)),""))</f>
        <v/>
      </c>
      <c r="G37" s="4"/>
      <c r="H37" s="8" t="str">
        <f>IF($G37="","",IFERROR(INDEX('MAESTRO DE UNIDADES'!$F$2:$F$208,MATCH($G37,'MAESTRO DE UNIDADES'!$A$2:$A$208,0)),""))</f>
        <v/>
      </c>
      <c r="I37" s="8" t="str">
        <f>IF($G37="","",IFERROR(INDEX('MAESTRO DE UNIDADES'!$B$2:$B$208,MATCH($G37,'MAESTRO DE UNIDADES'!$A$2:$A$208,0)),""))</f>
        <v/>
      </c>
      <c r="J37" s="4"/>
      <c r="K37" s="4"/>
      <c r="L37" s="4"/>
      <c r="M37" s="8" t="str">
        <f>IF($G37="","",IFERROR(INDEX('MAESTRO DE UNIDADES'!$H$2:$H$208,MATCH($G37,'MAESTRO DE UNIDADES'!$A$2:$A$208,0)),""))</f>
        <v/>
      </c>
      <c r="N37" s="17"/>
      <c r="O37" s="25"/>
      <c r="P37" s="26" t="str">
        <f t="shared" si="5"/>
        <v/>
      </c>
      <c r="Q37" s="27"/>
      <c r="R37" s="27"/>
      <c r="S37" s="28" t="str">
        <f>IF(OR($G37="",$Q37="",COUNTIF($G$2:G36,$G37)=0),"",$Q37-LOOKUP(2,1/($G$2:G36=$G37),$Q$2:Q36))</f>
        <v/>
      </c>
      <c r="T37" s="28" t="str">
        <f>IF(OR($G37="",$R37="",COUNTIF($G$2:G36,$G37)=0),"",$R37-LOOKUP(2,1/($G$2:G36=$G37),$R$2:R36))</f>
        <v/>
      </c>
      <c r="U37" s="11" t="str">
        <f t="shared" si="6"/>
        <v/>
      </c>
      <c r="V37" s="4"/>
      <c r="W37" s="4"/>
      <c r="X37" s="55"/>
      <c r="Y37" s="56" t="str">
        <f>IF($B37="","",IF((IF($G37="","Sin unidad | ","")&amp;IF($J37="","Sin responsable | ","")&amp;IF($K37="","Sin obra | ","")&amp;IF(AND($N37&lt;&gt;"",$G37&lt;&gt;"",$N37&gt;IFERROR(INDEX('MAESTRO DE UNIDADES'!$I$2:$I$208,MATCH($G37,'MAESTRO DE UNIDADES'!$A$2:$A$208,0)),0)),"Litros &gt; tanque | ","")&amp;IF(AND($W37&lt;&gt;"",COUNTIF($W$2:$W37,$W37)&gt;1),"Ticket duplicado | ","")&amp;IF(AND($G37&lt;&gt;"",IFERROR(INDEX('MAESTRO DE UNIDADES'!$L$2:$L$208,MATCH($G37,'MAESTRO DE UNIDADES'!$A$2:$A$208,0)),"")="Inactivo"),"Unidad inactiva | ","")&amp;IF(AND($AA37&lt;&gt;"",$N37=""),"Carga de batán sin litros | ","")&amp;IF(AND($AA37&lt;&gt;"",$AC37&lt;0),"Supera saldo batán | ",""))="","OK",LEFT((IF($G37="","Sin unidad | ","")&amp;IF($J37="","Sin responsable | ","")&amp;IF($K37="","Sin obra | ","")&amp;IF(AND($N37&lt;&gt;"",$G37&lt;&gt;"",$N37&gt;IFERROR(INDEX('MAESTRO DE UNIDADES'!$I$2:$I$208,MATCH($G37,'MAESTRO DE UNIDADES'!$A$2:$A$208,0)),0)),"Litros &gt; tanque | ","")&amp;IF(AND($W37&lt;&gt;"",COUNTIF($W$2:$W37,$W37)&gt;1),"Ticket duplicado | ","")&amp;IF(AND($G37&lt;&gt;"",IFERROR(INDEX('MAESTRO DE UNIDADES'!$L$2:$L$208,MATCH($G37,'MAESTRO DE UNIDADES'!$A$2:$A$208,0)),"")="Inactivo"),"Unidad inactiva | ","")&amp;IF(AND($AA37&lt;&gt;"",$N37=""),"Carga de batán sin litros | ","")&amp;IF(AND($AA37&lt;&gt;"",$AC37&lt;0),"Supera saldo batán | ","")),LEN((IF($G37="","Sin unidad | ","")&amp;IF($J37="","Sin responsable | ","")&amp;IF($K37="","Sin obra | ","")&amp;IF(AND($N37&lt;&gt;"",$G37&lt;&gt;"",$N37&gt;IFERROR(INDEX('MAESTRO DE UNIDADES'!$I$2:$I$208,MATCH($G37,'MAESTRO DE UNIDADES'!$A$2:$A$208,0)),0)),"Litros &gt; tanque | ","")&amp;IF(AND($W37&lt;&gt;"",COUNTIF($W$2:$W37,$W37)&gt;1),"Ticket duplicado | ","")&amp;IF(AND($G37&lt;&gt;"",IFERROR(INDEX('MAESTRO DE UNIDADES'!$L$2:$L$208,MATCH($G37,'MAESTRO DE UNIDADES'!$A$2:$A$208,0)),"")="Inactivo"),"Unidad inactiva | ","")&amp;IF(AND($AA37&lt;&gt;"",$N37=""),"Carga de batán sin litros | ","")&amp;IF(AND($AA37&lt;&gt;"",$AC37&lt;0),"Supera saldo batán | ","")))-3)))</f>
        <v/>
      </c>
      <c r="Z37" s="8" t="str">
        <f t="shared" si="7"/>
        <v/>
      </c>
      <c r="AA37" s="4"/>
      <c r="AB37" s="26" t="str">
        <f>IF($AA37="","",IFERROR(INDEX('CONTROL DE BATAN'!$J$2:$J$301,MATCH($AA37,'CONTROL DE BATAN'!$A$2:$A$301,0)),""))</f>
        <v/>
      </c>
      <c r="AC37" s="28" t="str">
        <f>IF($AA37="","",IFERROR(INDEX('CONTROL DE BATAN'!$I$2:$I$301,MATCH($AA37,'CONTROL DE BATAN'!$A$2:$A$301,0)),0)-SUMIFS($N$2:$N37,$AA$2:$AA37,$AA37))</f>
        <v/>
      </c>
    </row>
    <row r="38" spans="1:29" x14ac:dyDescent="0.25">
      <c r="A38" s="8" t="str">
        <f t="shared" si="1"/>
        <v/>
      </c>
      <c r="B38" s="9"/>
      <c r="C38" s="8" t="str">
        <f t="shared" si="2"/>
        <v/>
      </c>
      <c r="D38" s="10" t="str">
        <f t="shared" si="3"/>
        <v/>
      </c>
      <c r="E38" s="8" t="str">
        <f t="shared" si="4"/>
        <v/>
      </c>
      <c r="F38" s="8" t="str">
        <f>IF($G38="","",IFERROR(INDEX('MAESTRO DE UNIDADES'!$C$2:$C$208,MATCH($G38,'MAESTRO DE UNIDADES'!$A$2:$A$208,0)),""))</f>
        <v/>
      </c>
      <c r="G38" s="4"/>
      <c r="H38" s="8" t="str">
        <f>IF($G38="","",IFERROR(INDEX('MAESTRO DE UNIDADES'!$F$2:$F$208,MATCH($G38,'MAESTRO DE UNIDADES'!$A$2:$A$208,0)),""))</f>
        <v/>
      </c>
      <c r="I38" s="8" t="str">
        <f>IF($G38="","",IFERROR(INDEX('MAESTRO DE UNIDADES'!$B$2:$B$208,MATCH($G38,'MAESTRO DE UNIDADES'!$A$2:$A$208,0)),""))</f>
        <v/>
      </c>
      <c r="J38" s="4"/>
      <c r="K38" s="4"/>
      <c r="L38" s="4"/>
      <c r="M38" s="8" t="str">
        <f>IF($G38="","",IFERROR(INDEX('MAESTRO DE UNIDADES'!$H$2:$H$208,MATCH($G38,'MAESTRO DE UNIDADES'!$A$2:$A$208,0)),""))</f>
        <v/>
      </c>
      <c r="N38" s="17"/>
      <c r="O38" s="25"/>
      <c r="P38" s="26" t="str">
        <f t="shared" si="5"/>
        <v/>
      </c>
      <c r="Q38" s="27"/>
      <c r="R38" s="27"/>
      <c r="S38" s="28" t="str">
        <f>IF(OR($G38="",$Q38="",COUNTIF($G$2:G37,$G38)=0),"",$Q38-LOOKUP(2,1/($G$2:G37=$G38),$Q$2:Q37))</f>
        <v/>
      </c>
      <c r="T38" s="28" t="str">
        <f>IF(OR($G38="",$R38="",COUNTIF($G$2:G37,$G38)=0),"",$R38-LOOKUP(2,1/($G$2:G37=$G38),$R$2:R37))</f>
        <v/>
      </c>
      <c r="U38" s="11" t="str">
        <f t="shared" si="6"/>
        <v/>
      </c>
      <c r="V38" s="4"/>
      <c r="W38" s="4"/>
      <c r="X38" s="55"/>
      <c r="Y38" s="56" t="str">
        <f>IF($B38="","",IF((IF($G38="","Sin unidad | ","")&amp;IF($J38="","Sin responsable | ","")&amp;IF($K38="","Sin obra | ","")&amp;IF(AND($N38&lt;&gt;"",$G38&lt;&gt;"",$N38&gt;IFERROR(INDEX('MAESTRO DE UNIDADES'!$I$2:$I$208,MATCH($G38,'MAESTRO DE UNIDADES'!$A$2:$A$208,0)),0)),"Litros &gt; tanque | ","")&amp;IF(AND($W38&lt;&gt;"",COUNTIF($W$2:$W38,$W38)&gt;1),"Ticket duplicado | ","")&amp;IF(AND($G38&lt;&gt;"",IFERROR(INDEX('MAESTRO DE UNIDADES'!$L$2:$L$208,MATCH($G38,'MAESTRO DE UNIDADES'!$A$2:$A$208,0)),"")="Inactivo"),"Unidad inactiva | ","")&amp;IF(AND($AA38&lt;&gt;"",$N38=""),"Carga de batán sin litros | ","")&amp;IF(AND($AA38&lt;&gt;"",$AC38&lt;0),"Supera saldo batán | ",""))="","OK",LEFT((IF($G38="","Sin unidad | ","")&amp;IF($J38="","Sin responsable | ","")&amp;IF($K38="","Sin obra | ","")&amp;IF(AND($N38&lt;&gt;"",$G38&lt;&gt;"",$N38&gt;IFERROR(INDEX('MAESTRO DE UNIDADES'!$I$2:$I$208,MATCH($G38,'MAESTRO DE UNIDADES'!$A$2:$A$208,0)),0)),"Litros &gt; tanque | ","")&amp;IF(AND($W38&lt;&gt;"",COUNTIF($W$2:$W38,$W38)&gt;1),"Ticket duplicado | ","")&amp;IF(AND($G38&lt;&gt;"",IFERROR(INDEX('MAESTRO DE UNIDADES'!$L$2:$L$208,MATCH($G38,'MAESTRO DE UNIDADES'!$A$2:$A$208,0)),"")="Inactivo"),"Unidad inactiva | ","")&amp;IF(AND($AA38&lt;&gt;"",$N38=""),"Carga de batán sin litros | ","")&amp;IF(AND($AA38&lt;&gt;"",$AC38&lt;0),"Supera saldo batán | ","")),LEN((IF($G38="","Sin unidad | ","")&amp;IF($J38="","Sin responsable | ","")&amp;IF($K38="","Sin obra | ","")&amp;IF(AND($N38&lt;&gt;"",$G38&lt;&gt;"",$N38&gt;IFERROR(INDEX('MAESTRO DE UNIDADES'!$I$2:$I$208,MATCH($G38,'MAESTRO DE UNIDADES'!$A$2:$A$208,0)),0)),"Litros &gt; tanque | ","")&amp;IF(AND($W38&lt;&gt;"",COUNTIF($W$2:$W38,$W38)&gt;1),"Ticket duplicado | ","")&amp;IF(AND($G38&lt;&gt;"",IFERROR(INDEX('MAESTRO DE UNIDADES'!$L$2:$L$208,MATCH($G38,'MAESTRO DE UNIDADES'!$A$2:$A$208,0)),"")="Inactivo"),"Unidad inactiva | ","")&amp;IF(AND($AA38&lt;&gt;"",$N38=""),"Carga de batán sin litros | ","")&amp;IF(AND($AA38&lt;&gt;"",$AC38&lt;0),"Supera saldo batán | ","")))-3)))</f>
        <v/>
      </c>
      <c r="Z38" s="8" t="str">
        <f t="shared" si="7"/>
        <v/>
      </c>
      <c r="AA38" s="4"/>
      <c r="AB38" s="26" t="str">
        <f>IF($AA38="","",IFERROR(INDEX('CONTROL DE BATAN'!$J$2:$J$301,MATCH($AA38,'CONTROL DE BATAN'!$A$2:$A$301,0)),""))</f>
        <v/>
      </c>
      <c r="AC38" s="28" t="str">
        <f>IF($AA38="","",IFERROR(INDEX('CONTROL DE BATAN'!$I$2:$I$301,MATCH($AA38,'CONTROL DE BATAN'!$A$2:$A$301,0)),0)-SUMIFS($N$2:$N38,$AA$2:$AA38,$AA38))</f>
        <v/>
      </c>
    </row>
    <row r="39" spans="1:29" x14ac:dyDescent="0.25">
      <c r="A39" s="8" t="str">
        <f t="shared" si="1"/>
        <v/>
      </c>
      <c r="B39" s="9"/>
      <c r="C39" s="8" t="str">
        <f t="shared" si="2"/>
        <v/>
      </c>
      <c r="D39" s="10" t="str">
        <f t="shared" si="3"/>
        <v/>
      </c>
      <c r="E39" s="8" t="str">
        <f t="shared" si="4"/>
        <v/>
      </c>
      <c r="F39" s="8" t="str">
        <f>IF($G39="","",IFERROR(INDEX('MAESTRO DE UNIDADES'!$C$2:$C$208,MATCH($G39,'MAESTRO DE UNIDADES'!$A$2:$A$208,0)),""))</f>
        <v/>
      </c>
      <c r="G39" s="4"/>
      <c r="H39" s="8" t="str">
        <f>IF($G39="","",IFERROR(INDEX('MAESTRO DE UNIDADES'!$F$2:$F$208,MATCH($G39,'MAESTRO DE UNIDADES'!$A$2:$A$208,0)),""))</f>
        <v/>
      </c>
      <c r="I39" s="8" t="str">
        <f>IF($G39="","",IFERROR(INDEX('MAESTRO DE UNIDADES'!$B$2:$B$208,MATCH($G39,'MAESTRO DE UNIDADES'!$A$2:$A$208,0)),""))</f>
        <v/>
      </c>
      <c r="J39" s="4"/>
      <c r="K39" s="4"/>
      <c r="L39" s="4"/>
      <c r="M39" s="8" t="str">
        <f>IF($G39="","",IFERROR(INDEX('MAESTRO DE UNIDADES'!$H$2:$H$208,MATCH($G39,'MAESTRO DE UNIDADES'!$A$2:$A$208,0)),""))</f>
        <v/>
      </c>
      <c r="N39" s="17"/>
      <c r="O39" s="25"/>
      <c r="P39" s="26" t="str">
        <f t="shared" si="5"/>
        <v/>
      </c>
      <c r="Q39" s="27"/>
      <c r="R39" s="27"/>
      <c r="S39" s="28" t="str">
        <f>IF(OR($G39="",$Q39="",COUNTIF($G$2:G38,$G39)=0),"",$Q39-LOOKUP(2,1/($G$2:G38=$G39),$Q$2:Q38))</f>
        <v/>
      </c>
      <c r="T39" s="28" t="str">
        <f>IF(OR($G39="",$R39="",COUNTIF($G$2:G38,$G39)=0),"",$R39-LOOKUP(2,1/($G$2:G38=$G39),$R$2:R38))</f>
        <v/>
      </c>
      <c r="U39" s="11" t="str">
        <f t="shared" si="6"/>
        <v/>
      </c>
      <c r="V39" s="4"/>
      <c r="W39" s="4"/>
      <c r="X39" s="55"/>
      <c r="Y39" s="56" t="str">
        <f>IF($B39="","",IF((IF($G39="","Sin unidad | ","")&amp;IF($J39="","Sin responsable | ","")&amp;IF($K39="","Sin obra | ","")&amp;IF(AND($N39&lt;&gt;"",$G39&lt;&gt;"",$N39&gt;IFERROR(INDEX('MAESTRO DE UNIDADES'!$I$2:$I$208,MATCH($G39,'MAESTRO DE UNIDADES'!$A$2:$A$208,0)),0)),"Litros &gt; tanque | ","")&amp;IF(AND($W39&lt;&gt;"",COUNTIF($W$2:$W39,$W39)&gt;1),"Ticket duplicado | ","")&amp;IF(AND($G39&lt;&gt;"",IFERROR(INDEX('MAESTRO DE UNIDADES'!$L$2:$L$208,MATCH($G39,'MAESTRO DE UNIDADES'!$A$2:$A$208,0)),"")="Inactivo"),"Unidad inactiva | ","")&amp;IF(AND($AA39&lt;&gt;"",$N39=""),"Carga de batán sin litros | ","")&amp;IF(AND($AA39&lt;&gt;"",$AC39&lt;0),"Supera saldo batán | ",""))="","OK",LEFT((IF($G39="","Sin unidad | ","")&amp;IF($J39="","Sin responsable | ","")&amp;IF($K39="","Sin obra | ","")&amp;IF(AND($N39&lt;&gt;"",$G39&lt;&gt;"",$N39&gt;IFERROR(INDEX('MAESTRO DE UNIDADES'!$I$2:$I$208,MATCH($G39,'MAESTRO DE UNIDADES'!$A$2:$A$208,0)),0)),"Litros &gt; tanque | ","")&amp;IF(AND($W39&lt;&gt;"",COUNTIF($W$2:$W39,$W39)&gt;1),"Ticket duplicado | ","")&amp;IF(AND($G39&lt;&gt;"",IFERROR(INDEX('MAESTRO DE UNIDADES'!$L$2:$L$208,MATCH($G39,'MAESTRO DE UNIDADES'!$A$2:$A$208,0)),"")="Inactivo"),"Unidad inactiva | ","")&amp;IF(AND($AA39&lt;&gt;"",$N39=""),"Carga de batán sin litros | ","")&amp;IF(AND($AA39&lt;&gt;"",$AC39&lt;0),"Supera saldo batán | ","")),LEN((IF($G39="","Sin unidad | ","")&amp;IF($J39="","Sin responsable | ","")&amp;IF($K39="","Sin obra | ","")&amp;IF(AND($N39&lt;&gt;"",$G39&lt;&gt;"",$N39&gt;IFERROR(INDEX('MAESTRO DE UNIDADES'!$I$2:$I$208,MATCH($G39,'MAESTRO DE UNIDADES'!$A$2:$A$208,0)),0)),"Litros &gt; tanque | ","")&amp;IF(AND($W39&lt;&gt;"",COUNTIF($W$2:$W39,$W39)&gt;1),"Ticket duplicado | ","")&amp;IF(AND($G39&lt;&gt;"",IFERROR(INDEX('MAESTRO DE UNIDADES'!$L$2:$L$208,MATCH($G39,'MAESTRO DE UNIDADES'!$A$2:$A$208,0)),"")="Inactivo"),"Unidad inactiva | ","")&amp;IF(AND($AA39&lt;&gt;"",$N39=""),"Carga de batán sin litros | ","")&amp;IF(AND($AA39&lt;&gt;"",$AC39&lt;0),"Supera saldo batán | ","")))-3)))</f>
        <v/>
      </c>
      <c r="Z39" s="8" t="str">
        <f t="shared" si="7"/>
        <v/>
      </c>
      <c r="AA39" s="4"/>
      <c r="AB39" s="26" t="str">
        <f>IF($AA39="","",IFERROR(INDEX('CONTROL DE BATAN'!$J$2:$J$301,MATCH($AA39,'CONTROL DE BATAN'!$A$2:$A$301,0)),""))</f>
        <v/>
      </c>
      <c r="AC39" s="28" t="str">
        <f>IF($AA39="","",IFERROR(INDEX('CONTROL DE BATAN'!$I$2:$I$301,MATCH($AA39,'CONTROL DE BATAN'!$A$2:$A$301,0)),0)-SUMIFS($N$2:$N39,$AA$2:$AA39,$AA39))</f>
        <v/>
      </c>
    </row>
    <row r="40" spans="1:29" x14ac:dyDescent="0.25">
      <c r="A40" s="8" t="str">
        <f t="shared" si="1"/>
        <v/>
      </c>
      <c r="B40" s="9"/>
      <c r="C40" s="8" t="str">
        <f t="shared" si="2"/>
        <v/>
      </c>
      <c r="D40" s="10" t="str">
        <f t="shared" si="3"/>
        <v/>
      </c>
      <c r="E40" s="8" t="str">
        <f t="shared" si="4"/>
        <v/>
      </c>
      <c r="F40" s="8" t="str">
        <f>IF($G40="","",IFERROR(INDEX('MAESTRO DE UNIDADES'!$C$2:$C$208,MATCH($G40,'MAESTRO DE UNIDADES'!$A$2:$A$208,0)),""))</f>
        <v/>
      </c>
      <c r="G40" s="4"/>
      <c r="H40" s="8" t="str">
        <f>IF($G40="","",IFERROR(INDEX('MAESTRO DE UNIDADES'!$F$2:$F$208,MATCH($G40,'MAESTRO DE UNIDADES'!$A$2:$A$208,0)),""))</f>
        <v/>
      </c>
      <c r="I40" s="8" t="str">
        <f>IF($G40="","",IFERROR(INDEX('MAESTRO DE UNIDADES'!$B$2:$B$208,MATCH($G40,'MAESTRO DE UNIDADES'!$A$2:$A$208,0)),""))</f>
        <v/>
      </c>
      <c r="J40" s="4"/>
      <c r="K40" s="4"/>
      <c r="L40" s="4"/>
      <c r="M40" s="8" t="str">
        <f>IF($G40="","",IFERROR(INDEX('MAESTRO DE UNIDADES'!$H$2:$H$208,MATCH($G40,'MAESTRO DE UNIDADES'!$A$2:$A$208,0)),""))</f>
        <v/>
      </c>
      <c r="N40" s="17"/>
      <c r="O40" s="25"/>
      <c r="P40" s="26" t="str">
        <f t="shared" si="5"/>
        <v/>
      </c>
      <c r="Q40" s="27"/>
      <c r="R40" s="27"/>
      <c r="S40" s="28" t="str">
        <f>IF(OR($G40="",$Q40="",COUNTIF($G$2:G39,$G40)=0),"",$Q40-LOOKUP(2,1/($G$2:G39=$G40),$Q$2:Q39))</f>
        <v/>
      </c>
      <c r="T40" s="28" t="str">
        <f>IF(OR($G40="",$R40="",COUNTIF($G$2:G39,$G40)=0),"",$R40-LOOKUP(2,1/($G$2:G39=$G40),$R$2:R39))</f>
        <v/>
      </c>
      <c r="U40" s="11" t="str">
        <f t="shared" si="6"/>
        <v/>
      </c>
      <c r="V40" s="4"/>
      <c r="W40" s="4"/>
      <c r="X40" s="55"/>
      <c r="Y40" s="56" t="str">
        <f>IF($B40="","",IF((IF($G40="","Sin unidad | ","")&amp;IF($J40="","Sin responsable | ","")&amp;IF($K40="","Sin obra | ","")&amp;IF(AND($N40&lt;&gt;"",$G40&lt;&gt;"",$N40&gt;IFERROR(INDEX('MAESTRO DE UNIDADES'!$I$2:$I$208,MATCH($G40,'MAESTRO DE UNIDADES'!$A$2:$A$208,0)),0)),"Litros &gt; tanque | ","")&amp;IF(AND($W40&lt;&gt;"",COUNTIF($W$2:$W40,$W40)&gt;1),"Ticket duplicado | ","")&amp;IF(AND($G40&lt;&gt;"",IFERROR(INDEX('MAESTRO DE UNIDADES'!$L$2:$L$208,MATCH($G40,'MAESTRO DE UNIDADES'!$A$2:$A$208,0)),"")="Inactivo"),"Unidad inactiva | ","")&amp;IF(AND($AA40&lt;&gt;"",$N40=""),"Carga de batán sin litros | ","")&amp;IF(AND($AA40&lt;&gt;"",$AC40&lt;0),"Supera saldo batán | ",""))="","OK",LEFT((IF($G40="","Sin unidad | ","")&amp;IF($J40="","Sin responsable | ","")&amp;IF($K40="","Sin obra | ","")&amp;IF(AND($N40&lt;&gt;"",$G40&lt;&gt;"",$N40&gt;IFERROR(INDEX('MAESTRO DE UNIDADES'!$I$2:$I$208,MATCH($G40,'MAESTRO DE UNIDADES'!$A$2:$A$208,0)),0)),"Litros &gt; tanque | ","")&amp;IF(AND($W40&lt;&gt;"",COUNTIF($W$2:$W40,$W40)&gt;1),"Ticket duplicado | ","")&amp;IF(AND($G40&lt;&gt;"",IFERROR(INDEX('MAESTRO DE UNIDADES'!$L$2:$L$208,MATCH($G40,'MAESTRO DE UNIDADES'!$A$2:$A$208,0)),"")="Inactivo"),"Unidad inactiva | ","")&amp;IF(AND($AA40&lt;&gt;"",$N40=""),"Carga de batán sin litros | ","")&amp;IF(AND($AA40&lt;&gt;"",$AC40&lt;0),"Supera saldo batán | ","")),LEN((IF($G40="","Sin unidad | ","")&amp;IF($J40="","Sin responsable | ","")&amp;IF($K40="","Sin obra | ","")&amp;IF(AND($N40&lt;&gt;"",$G40&lt;&gt;"",$N40&gt;IFERROR(INDEX('MAESTRO DE UNIDADES'!$I$2:$I$208,MATCH($G40,'MAESTRO DE UNIDADES'!$A$2:$A$208,0)),0)),"Litros &gt; tanque | ","")&amp;IF(AND($W40&lt;&gt;"",COUNTIF($W$2:$W40,$W40)&gt;1),"Ticket duplicado | ","")&amp;IF(AND($G40&lt;&gt;"",IFERROR(INDEX('MAESTRO DE UNIDADES'!$L$2:$L$208,MATCH($G40,'MAESTRO DE UNIDADES'!$A$2:$A$208,0)),"")="Inactivo"),"Unidad inactiva | ","")&amp;IF(AND($AA40&lt;&gt;"",$N40=""),"Carga de batán sin litros | ","")&amp;IF(AND($AA40&lt;&gt;"",$AC40&lt;0),"Supera saldo batán | ","")))-3)))</f>
        <v/>
      </c>
      <c r="Z40" s="8" t="str">
        <f t="shared" si="7"/>
        <v/>
      </c>
      <c r="AA40" s="4"/>
      <c r="AB40" s="26" t="str">
        <f>IF($AA40="","",IFERROR(INDEX('CONTROL DE BATAN'!$J$2:$J$301,MATCH($AA40,'CONTROL DE BATAN'!$A$2:$A$301,0)),""))</f>
        <v/>
      </c>
      <c r="AC40" s="28" t="str">
        <f>IF($AA40="","",IFERROR(INDEX('CONTROL DE BATAN'!$I$2:$I$301,MATCH($AA40,'CONTROL DE BATAN'!$A$2:$A$301,0)),0)-SUMIFS($N$2:$N40,$AA$2:$AA40,$AA40))</f>
        <v/>
      </c>
    </row>
    <row r="41" spans="1:29" x14ac:dyDescent="0.25">
      <c r="A41" s="8" t="str">
        <f t="shared" si="1"/>
        <v/>
      </c>
      <c r="B41" s="9"/>
      <c r="C41" s="8" t="str">
        <f t="shared" si="2"/>
        <v/>
      </c>
      <c r="D41" s="10" t="str">
        <f t="shared" si="3"/>
        <v/>
      </c>
      <c r="E41" s="8" t="str">
        <f t="shared" si="4"/>
        <v/>
      </c>
      <c r="F41" s="8" t="str">
        <f>IF($G41="","",IFERROR(INDEX('MAESTRO DE UNIDADES'!$C$2:$C$208,MATCH($G41,'MAESTRO DE UNIDADES'!$A$2:$A$208,0)),""))</f>
        <v/>
      </c>
      <c r="G41" s="4"/>
      <c r="H41" s="8" t="str">
        <f>IF($G41="","",IFERROR(INDEX('MAESTRO DE UNIDADES'!$F$2:$F$208,MATCH($G41,'MAESTRO DE UNIDADES'!$A$2:$A$208,0)),""))</f>
        <v/>
      </c>
      <c r="I41" s="8" t="str">
        <f>IF($G41="","",IFERROR(INDEX('MAESTRO DE UNIDADES'!$B$2:$B$208,MATCH($G41,'MAESTRO DE UNIDADES'!$A$2:$A$208,0)),""))</f>
        <v/>
      </c>
      <c r="J41" s="4"/>
      <c r="K41" s="4"/>
      <c r="L41" s="4"/>
      <c r="M41" s="8" t="str">
        <f>IF($G41="","",IFERROR(INDEX('MAESTRO DE UNIDADES'!$H$2:$H$208,MATCH($G41,'MAESTRO DE UNIDADES'!$A$2:$A$208,0)),""))</f>
        <v/>
      </c>
      <c r="N41" s="17"/>
      <c r="O41" s="25"/>
      <c r="P41" s="26" t="str">
        <f t="shared" si="5"/>
        <v/>
      </c>
      <c r="Q41" s="27"/>
      <c r="R41" s="27"/>
      <c r="S41" s="28" t="str">
        <f>IF(OR($G41="",$Q41="",COUNTIF($G$2:G40,$G41)=0),"",$Q41-LOOKUP(2,1/($G$2:G40=$G41),$Q$2:Q40))</f>
        <v/>
      </c>
      <c r="T41" s="28" t="str">
        <f>IF(OR($G41="",$R41="",COUNTIF($G$2:G40,$G41)=0),"",$R41-LOOKUP(2,1/($G$2:G40=$G41),$R$2:R40))</f>
        <v/>
      </c>
      <c r="U41" s="11" t="str">
        <f t="shared" si="6"/>
        <v/>
      </c>
      <c r="V41" s="4"/>
      <c r="W41" s="4"/>
      <c r="X41" s="55"/>
      <c r="Y41" s="56" t="str">
        <f>IF($B41="","",IF((IF($G41="","Sin unidad | ","")&amp;IF($J41="","Sin responsable | ","")&amp;IF($K41="","Sin obra | ","")&amp;IF(AND($N41&lt;&gt;"",$G41&lt;&gt;"",$N41&gt;IFERROR(INDEX('MAESTRO DE UNIDADES'!$I$2:$I$208,MATCH($G41,'MAESTRO DE UNIDADES'!$A$2:$A$208,0)),0)),"Litros &gt; tanque | ","")&amp;IF(AND($W41&lt;&gt;"",COUNTIF($W$2:$W41,$W41)&gt;1),"Ticket duplicado | ","")&amp;IF(AND($G41&lt;&gt;"",IFERROR(INDEX('MAESTRO DE UNIDADES'!$L$2:$L$208,MATCH($G41,'MAESTRO DE UNIDADES'!$A$2:$A$208,0)),"")="Inactivo"),"Unidad inactiva | ","")&amp;IF(AND($AA41&lt;&gt;"",$N41=""),"Carga de batán sin litros | ","")&amp;IF(AND($AA41&lt;&gt;"",$AC41&lt;0),"Supera saldo batán | ",""))="","OK",LEFT((IF($G41="","Sin unidad | ","")&amp;IF($J41="","Sin responsable | ","")&amp;IF($K41="","Sin obra | ","")&amp;IF(AND($N41&lt;&gt;"",$G41&lt;&gt;"",$N41&gt;IFERROR(INDEX('MAESTRO DE UNIDADES'!$I$2:$I$208,MATCH($G41,'MAESTRO DE UNIDADES'!$A$2:$A$208,0)),0)),"Litros &gt; tanque | ","")&amp;IF(AND($W41&lt;&gt;"",COUNTIF($W$2:$W41,$W41)&gt;1),"Ticket duplicado | ","")&amp;IF(AND($G41&lt;&gt;"",IFERROR(INDEX('MAESTRO DE UNIDADES'!$L$2:$L$208,MATCH($G41,'MAESTRO DE UNIDADES'!$A$2:$A$208,0)),"")="Inactivo"),"Unidad inactiva | ","")&amp;IF(AND($AA41&lt;&gt;"",$N41=""),"Carga de batán sin litros | ","")&amp;IF(AND($AA41&lt;&gt;"",$AC41&lt;0),"Supera saldo batán | ","")),LEN((IF($G41="","Sin unidad | ","")&amp;IF($J41="","Sin responsable | ","")&amp;IF($K41="","Sin obra | ","")&amp;IF(AND($N41&lt;&gt;"",$G41&lt;&gt;"",$N41&gt;IFERROR(INDEX('MAESTRO DE UNIDADES'!$I$2:$I$208,MATCH($G41,'MAESTRO DE UNIDADES'!$A$2:$A$208,0)),0)),"Litros &gt; tanque | ","")&amp;IF(AND($W41&lt;&gt;"",COUNTIF($W$2:$W41,$W41)&gt;1),"Ticket duplicado | ","")&amp;IF(AND($G41&lt;&gt;"",IFERROR(INDEX('MAESTRO DE UNIDADES'!$L$2:$L$208,MATCH($G41,'MAESTRO DE UNIDADES'!$A$2:$A$208,0)),"")="Inactivo"),"Unidad inactiva | ","")&amp;IF(AND($AA41&lt;&gt;"",$N41=""),"Carga de batán sin litros | ","")&amp;IF(AND($AA41&lt;&gt;"",$AC41&lt;0),"Supera saldo batán | ","")))-3)))</f>
        <v/>
      </c>
      <c r="Z41" s="8" t="str">
        <f t="shared" si="7"/>
        <v/>
      </c>
      <c r="AA41" s="4"/>
      <c r="AB41" s="26" t="str">
        <f>IF($AA41="","",IFERROR(INDEX('CONTROL DE BATAN'!$J$2:$J$301,MATCH($AA41,'CONTROL DE BATAN'!$A$2:$A$301,0)),""))</f>
        <v/>
      </c>
      <c r="AC41" s="28" t="str">
        <f>IF($AA41="","",IFERROR(INDEX('CONTROL DE BATAN'!$I$2:$I$301,MATCH($AA41,'CONTROL DE BATAN'!$A$2:$A$301,0)),0)-SUMIFS($N$2:$N41,$AA$2:$AA41,$AA41))</f>
        <v/>
      </c>
    </row>
    <row r="42" spans="1:29" x14ac:dyDescent="0.25">
      <c r="A42" s="8" t="str">
        <f t="shared" si="1"/>
        <v/>
      </c>
      <c r="B42" s="9"/>
      <c r="C42" s="8" t="str">
        <f t="shared" si="2"/>
        <v/>
      </c>
      <c r="D42" s="10" t="str">
        <f t="shared" si="3"/>
        <v/>
      </c>
      <c r="E42" s="8" t="str">
        <f t="shared" si="4"/>
        <v/>
      </c>
      <c r="F42" s="8" t="str">
        <f>IF($G42="","",IFERROR(INDEX('MAESTRO DE UNIDADES'!$C$2:$C$208,MATCH($G42,'MAESTRO DE UNIDADES'!$A$2:$A$208,0)),""))</f>
        <v/>
      </c>
      <c r="G42" s="4"/>
      <c r="H42" s="8" t="str">
        <f>IF($G42="","",IFERROR(INDEX('MAESTRO DE UNIDADES'!$F$2:$F$208,MATCH($G42,'MAESTRO DE UNIDADES'!$A$2:$A$208,0)),""))</f>
        <v/>
      </c>
      <c r="I42" s="8" t="str">
        <f>IF($G42="","",IFERROR(INDEX('MAESTRO DE UNIDADES'!$B$2:$B$208,MATCH($G42,'MAESTRO DE UNIDADES'!$A$2:$A$208,0)),""))</f>
        <v/>
      </c>
      <c r="J42" s="4"/>
      <c r="K42" s="4"/>
      <c r="L42" s="4"/>
      <c r="M42" s="8" t="str">
        <f>IF($G42="","",IFERROR(INDEX('MAESTRO DE UNIDADES'!$H$2:$H$208,MATCH($G42,'MAESTRO DE UNIDADES'!$A$2:$A$208,0)),""))</f>
        <v/>
      </c>
      <c r="N42" s="17"/>
      <c r="O42" s="25"/>
      <c r="P42" s="26" t="str">
        <f t="shared" si="5"/>
        <v/>
      </c>
      <c r="Q42" s="27"/>
      <c r="R42" s="27"/>
      <c r="S42" s="28" t="str">
        <f>IF(OR($G42="",$Q42="",COUNTIF($G$2:G41,$G42)=0),"",$Q42-LOOKUP(2,1/($G$2:G41=$G42),$Q$2:Q41))</f>
        <v/>
      </c>
      <c r="T42" s="28" t="str">
        <f>IF(OR($G42="",$R42="",COUNTIF($G$2:G41,$G42)=0),"",$R42-LOOKUP(2,1/($G$2:G41=$G42),$R$2:R41))</f>
        <v/>
      </c>
      <c r="U42" s="11" t="str">
        <f t="shared" si="6"/>
        <v/>
      </c>
      <c r="V42" s="4"/>
      <c r="W42" s="4"/>
      <c r="X42" s="55"/>
      <c r="Y42" s="56" t="str">
        <f>IF($B42="","",IF((IF($G42="","Sin unidad | ","")&amp;IF($J42="","Sin responsable | ","")&amp;IF($K42="","Sin obra | ","")&amp;IF(AND($N42&lt;&gt;"",$G42&lt;&gt;"",$N42&gt;IFERROR(INDEX('MAESTRO DE UNIDADES'!$I$2:$I$208,MATCH($G42,'MAESTRO DE UNIDADES'!$A$2:$A$208,0)),0)),"Litros &gt; tanque | ","")&amp;IF(AND($W42&lt;&gt;"",COUNTIF($W$2:$W42,$W42)&gt;1),"Ticket duplicado | ","")&amp;IF(AND($G42&lt;&gt;"",IFERROR(INDEX('MAESTRO DE UNIDADES'!$L$2:$L$208,MATCH($G42,'MAESTRO DE UNIDADES'!$A$2:$A$208,0)),"")="Inactivo"),"Unidad inactiva | ","")&amp;IF(AND($AA42&lt;&gt;"",$N42=""),"Carga de batán sin litros | ","")&amp;IF(AND($AA42&lt;&gt;"",$AC42&lt;0),"Supera saldo batán | ",""))="","OK",LEFT((IF($G42="","Sin unidad | ","")&amp;IF($J42="","Sin responsable | ","")&amp;IF($K42="","Sin obra | ","")&amp;IF(AND($N42&lt;&gt;"",$G42&lt;&gt;"",$N42&gt;IFERROR(INDEX('MAESTRO DE UNIDADES'!$I$2:$I$208,MATCH($G42,'MAESTRO DE UNIDADES'!$A$2:$A$208,0)),0)),"Litros &gt; tanque | ","")&amp;IF(AND($W42&lt;&gt;"",COUNTIF($W$2:$W42,$W42)&gt;1),"Ticket duplicado | ","")&amp;IF(AND($G42&lt;&gt;"",IFERROR(INDEX('MAESTRO DE UNIDADES'!$L$2:$L$208,MATCH($G42,'MAESTRO DE UNIDADES'!$A$2:$A$208,0)),"")="Inactivo"),"Unidad inactiva | ","")&amp;IF(AND($AA42&lt;&gt;"",$N42=""),"Carga de batán sin litros | ","")&amp;IF(AND($AA42&lt;&gt;"",$AC42&lt;0),"Supera saldo batán | ","")),LEN((IF($G42="","Sin unidad | ","")&amp;IF($J42="","Sin responsable | ","")&amp;IF($K42="","Sin obra | ","")&amp;IF(AND($N42&lt;&gt;"",$G42&lt;&gt;"",$N42&gt;IFERROR(INDEX('MAESTRO DE UNIDADES'!$I$2:$I$208,MATCH($G42,'MAESTRO DE UNIDADES'!$A$2:$A$208,0)),0)),"Litros &gt; tanque | ","")&amp;IF(AND($W42&lt;&gt;"",COUNTIF($W$2:$W42,$W42)&gt;1),"Ticket duplicado | ","")&amp;IF(AND($G42&lt;&gt;"",IFERROR(INDEX('MAESTRO DE UNIDADES'!$L$2:$L$208,MATCH($G42,'MAESTRO DE UNIDADES'!$A$2:$A$208,0)),"")="Inactivo"),"Unidad inactiva | ","")&amp;IF(AND($AA42&lt;&gt;"",$N42=""),"Carga de batán sin litros | ","")&amp;IF(AND($AA42&lt;&gt;"",$AC42&lt;0),"Supera saldo batán | ","")))-3)))</f>
        <v/>
      </c>
      <c r="Z42" s="8" t="str">
        <f t="shared" si="7"/>
        <v/>
      </c>
      <c r="AA42" s="4"/>
      <c r="AB42" s="26" t="str">
        <f>IF($AA42="","",IFERROR(INDEX('CONTROL DE BATAN'!$J$2:$J$301,MATCH($AA42,'CONTROL DE BATAN'!$A$2:$A$301,0)),""))</f>
        <v/>
      </c>
      <c r="AC42" s="28" t="str">
        <f>IF($AA42="","",IFERROR(INDEX('CONTROL DE BATAN'!$I$2:$I$301,MATCH($AA42,'CONTROL DE BATAN'!$A$2:$A$301,0)),0)-SUMIFS($N$2:$N42,$AA$2:$AA42,$AA42))</f>
        <v/>
      </c>
    </row>
    <row r="43" spans="1:29" x14ac:dyDescent="0.25">
      <c r="A43" s="8" t="str">
        <f t="shared" si="1"/>
        <v/>
      </c>
      <c r="B43" s="9"/>
      <c r="C43" s="8" t="str">
        <f t="shared" si="2"/>
        <v/>
      </c>
      <c r="D43" s="10" t="str">
        <f t="shared" si="3"/>
        <v/>
      </c>
      <c r="E43" s="8" t="str">
        <f t="shared" si="4"/>
        <v/>
      </c>
      <c r="F43" s="8" t="str">
        <f>IF($G43="","",IFERROR(INDEX('MAESTRO DE UNIDADES'!$C$2:$C$208,MATCH($G43,'MAESTRO DE UNIDADES'!$A$2:$A$208,0)),""))</f>
        <v/>
      </c>
      <c r="G43" s="4"/>
      <c r="H43" s="8" t="str">
        <f>IF($G43="","",IFERROR(INDEX('MAESTRO DE UNIDADES'!$F$2:$F$208,MATCH($G43,'MAESTRO DE UNIDADES'!$A$2:$A$208,0)),""))</f>
        <v/>
      </c>
      <c r="I43" s="8" t="str">
        <f>IF($G43="","",IFERROR(INDEX('MAESTRO DE UNIDADES'!$B$2:$B$208,MATCH($G43,'MAESTRO DE UNIDADES'!$A$2:$A$208,0)),""))</f>
        <v/>
      </c>
      <c r="J43" s="4"/>
      <c r="K43" s="4"/>
      <c r="L43" s="4"/>
      <c r="M43" s="8" t="str">
        <f>IF($G43="","",IFERROR(INDEX('MAESTRO DE UNIDADES'!$H$2:$H$208,MATCH($G43,'MAESTRO DE UNIDADES'!$A$2:$A$208,0)),""))</f>
        <v/>
      </c>
      <c r="N43" s="17"/>
      <c r="O43" s="25"/>
      <c r="P43" s="26" t="str">
        <f t="shared" si="5"/>
        <v/>
      </c>
      <c r="Q43" s="27"/>
      <c r="R43" s="27"/>
      <c r="S43" s="28" t="str">
        <f>IF(OR($G43="",$Q43="",COUNTIF($G$2:G42,$G43)=0),"",$Q43-LOOKUP(2,1/($G$2:G42=$G43),$Q$2:Q42))</f>
        <v/>
      </c>
      <c r="T43" s="28" t="str">
        <f>IF(OR($G43="",$R43="",COUNTIF($G$2:G42,$G43)=0),"",$R43-LOOKUP(2,1/($G$2:G42=$G43),$R$2:R42))</f>
        <v/>
      </c>
      <c r="U43" s="11" t="str">
        <f t="shared" si="6"/>
        <v/>
      </c>
      <c r="V43" s="4"/>
      <c r="W43" s="4"/>
      <c r="X43" s="55"/>
      <c r="Y43" s="56" t="str">
        <f>IF($B43="","",IF((IF($G43="","Sin unidad | ","")&amp;IF($J43="","Sin responsable | ","")&amp;IF($K43="","Sin obra | ","")&amp;IF(AND($N43&lt;&gt;"",$G43&lt;&gt;"",$N43&gt;IFERROR(INDEX('MAESTRO DE UNIDADES'!$I$2:$I$208,MATCH($G43,'MAESTRO DE UNIDADES'!$A$2:$A$208,0)),0)),"Litros &gt; tanque | ","")&amp;IF(AND($W43&lt;&gt;"",COUNTIF($W$2:$W43,$W43)&gt;1),"Ticket duplicado | ","")&amp;IF(AND($G43&lt;&gt;"",IFERROR(INDEX('MAESTRO DE UNIDADES'!$L$2:$L$208,MATCH($G43,'MAESTRO DE UNIDADES'!$A$2:$A$208,0)),"")="Inactivo"),"Unidad inactiva | ","")&amp;IF(AND($AA43&lt;&gt;"",$N43=""),"Carga de batán sin litros | ","")&amp;IF(AND($AA43&lt;&gt;"",$AC43&lt;0),"Supera saldo batán | ",""))="","OK",LEFT((IF($G43="","Sin unidad | ","")&amp;IF($J43="","Sin responsable | ","")&amp;IF($K43="","Sin obra | ","")&amp;IF(AND($N43&lt;&gt;"",$G43&lt;&gt;"",$N43&gt;IFERROR(INDEX('MAESTRO DE UNIDADES'!$I$2:$I$208,MATCH($G43,'MAESTRO DE UNIDADES'!$A$2:$A$208,0)),0)),"Litros &gt; tanque | ","")&amp;IF(AND($W43&lt;&gt;"",COUNTIF($W$2:$W43,$W43)&gt;1),"Ticket duplicado | ","")&amp;IF(AND($G43&lt;&gt;"",IFERROR(INDEX('MAESTRO DE UNIDADES'!$L$2:$L$208,MATCH($G43,'MAESTRO DE UNIDADES'!$A$2:$A$208,0)),"")="Inactivo"),"Unidad inactiva | ","")&amp;IF(AND($AA43&lt;&gt;"",$N43=""),"Carga de batán sin litros | ","")&amp;IF(AND($AA43&lt;&gt;"",$AC43&lt;0),"Supera saldo batán | ","")),LEN((IF($G43="","Sin unidad | ","")&amp;IF($J43="","Sin responsable | ","")&amp;IF($K43="","Sin obra | ","")&amp;IF(AND($N43&lt;&gt;"",$G43&lt;&gt;"",$N43&gt;IFERROR(INDEX('MAESTRO DE UNIDADES'!$I$2:$I$208,MATCH($G43,'MAESTRO DE UNIDADES'!$A$2:$A$208,0)),0)),"Litros &gt; tanque | ","")&amp;IF(AND($W43&lt;&gt;"",COUNTIF($W$2:$W43,$W43)&gt;1),"Ticket duplicado | ","")&amp;IF(AND($G43&lt;&gt;"",IFERROR(INDEX('MAESTRO DE UNIDADES'!$L$2:$L$208,MATCH($G43,'MAESTRO DE UNIDADES'!$A$2:$A$208,0)),"")="Inactivo"),"Unidad inactiva | ","")&amp;IF(AND($AA43&lt;&gt;"",$N43=""),"Carga de batán sin litros | ","")&amp;IF(AND($AA43&lt;&gt;"",$AC43&lt;0),"Supera saldo batán | ","")))-3)))</f>
        <v/>
      </c>
      <c r="Z43" s="8" t="str">
        <f t="shared" si="7"/>
        <v/>
      </c>
      <c r="AA43" s="4"/>
      <c r="AB43" s="26" t="str">
        <f>IF($AA43="","",IFERROR(INDEX('CONTROL DE BATAN'!$J$2:$J$301,MATCH($AA43,'CONTROL DE BATAN'!$A$2:$A$301,0)),""))</f>
        <v/>
      </c>
      <c r="AC43" s="28" t="str">
        <f>IF($AA43="","",IFERROR(INDEX('CONTROL DE BATAN'!$I$2:$I$301,MATCH($AA43,'CONTROL DE BATAN'!$A$2:$A$301,0)),0)-SUMIFS($N$2:$N43,$AA$2:$AA43,$AA43))</f>
        <v/>
      </c>
    </row>
    <row r="44" spans="1:29" x14ac:dyDescent="0.25">
      <c r="A44" s="8" t="str">
        <f t="shared" si="1"/>
        <v/>
      </c>
      <c r="B44" s="9"/>
      <c r="C44" s="8" t="str">
        <f t="shared" si="2"/>
        <v/>
      </c>
      <c r="D44" s="10" t="str">
        <f t="shared" si="3"/>
        <v/>
      </c>
      <c r="E44" s="8" t="str">
        <f t="shared" si="4"/>
        <v/>
      </c>
      <c r="F44" s="8" t="str">
        <f>IF($G44="","",IFERROR(INDEX('MAESTRO DE UNIDADES'!$C$2:$C$208,MATCH($G44,'MAESTRO DE UNIDADES'!$A$2:$A$208,0)),""))</f>
        <v/>
      </c>
      <c r="G44" s="4"/>
      <c r="H44" s="8" t="str">
        <f>IF($G44="","",IFERROR(INDEX('MAESTRO DE UNIDADES'!$F$2:$F$208,MATCH($G44,'MAESTRO DE UNIDADES'!$A$2:$A$208,0)),""))</f>
        <v/>
      </c>
      <c r="I44" s="8" t="str">
        <f>IF($G44="","",IFERROR(INDEX('MAESTRO DE UNIDADES'!$B$2:$B$208,MATCH($G44,'MAESTRO DE UNIDADES'!$A$2:$A$208,0)),""))</f>
        <v/>
      </c>
      <c r="J44" s="4"/>
      <c r="K44" s="4"/>
      <c r="L44" s="4"/>
      <c r="M44" s="8" t="str">
        <f>IF($G44="","",IFERROR(INDEX('MAESTRO DE UNIDADES'!$H$2:$H$208,MATCH($G44,'MAESTRO DE UNIDADES'!$A$2:$A$208,0)),""))</f>
        <v/>
      </c>
      <c r="N44" s="17"/>
      <c r="O44" s="25"/>
      <c r="P44" s="26" t="str">
        <f t="shared" si="5"/>
        <v/>
      </c>
      <c r="Q44" s="27"/>
      <c r="R44" s="27"/>
      <c r="S44" s="28" t="str">
        <f>IF(OR($G44="",$Q44="",COUNTIF($G$2:G43,$G44)=0),"",$Q44-LOOKUP(2,1/($G$2:G43=$G44),$Q$2:Q43))</f>
        <v/>
      </c>
      <c r="T44" s="28" t="str">
        <f>IF(OR($G44="",$R44="",COUNTIF($G$2:G43,$G44)=0),"",$R44-LOOKUP(2,1/($G$2:G43=$G44),$R$2:R43))</f>
        <v/>
      </c>
      <c r="U44" s="11" t="str">
        <f t="shared" si="6"/>
        <v/>
      </c>
      <c r="V44" s="4"/>
      <c r="W44" s="4"/>
      <c r="X44" s="55"/>
      <c r="Y44" s="56" t="str">
        <f>IF($B44="","",IF((IF($G44="","Sin unidad | ","")&amp;IF($J44="","Sin responsable | ","")&amp;IF($K44="","Sin obra | ","")&amp;IF(AND($N44&lt;&gt;"",$G44&lt;&gt;"",$N44&gt;IFERROR(INDEX('MAESTRO DE UNIDADES'!$I$2:$I$208,MATCH($G44,'MAESTRO DE UNIDADES'!$A$2:$A$208,0)),0)),"Litros &gt; tanque | ","")&amp;IF(AND($W44&lt;&gt;"",COUNTIF($W$2:$W44,$W44)&gt;1),"Ticket duplicado | ","")&amp;IF(AND($G44&lt;&gt;"",IFERROR(INDEX('MAESTRO DE UNIDADES'!$L$2:$L$208,MATCH($G44,'MAESTRO DE UNIDADES'!$A$2:$A$208,0)),"")="Inactivo"),"Unidad inactiva | ","")&amp;IF(AND($AA44&lt;&gt;"",$N44=""),"Carga de batán sin litros | ","")&amp;IF(AND($AA44&lt;&gt;"",$AC44&lt;0),"Supera saldo batán | ",""))="","OK",LEFT((IF($G44="","Sin unidad | ","")&amp;IF($J44="","Sin responsable | ","")&amp;IF($K44="","Sin obra | ","")&amp;IF(AND($N44&lt;&gt;"",$G44&lt;&gt;"",$N44&gt;IFERROR(INDEX('MAESTRO DE UNIDADES'!$I$2:$I$208,MATCH($G44,'MAESTRO DE UNIDADES'!$A$2:$A$208,0)),0)),"Litros &gt; tanque | ","")&amp;IF(AND($W44&lt;&gt;"",COUNTIF($W$2:$W44,$W44)&gt;1),"Ticket duplicado | ","")&amp;IF(AND($G44&lt;&gt;"",IFERROR(INDEX('MAESTRO DE UNIDADES'!$L$2:$L$208,MATCH($G44,'MAESTRO DE UNIDADES'!$A$2:$A$208,0)),"")="Inactivo"),"Unidad inactiva | ","")&amp;IF(AND($AA44&lt;&gt;"",$N44=""),"Carga de batán sin litros | ","")&amp;IF(AND($AA44&lt;&gt;"",$AC44&lt;0),"Supera saldo batán | ","")),LEN((IF($G44="","Sin unidad | ","")&amp;IF($J44="","Sin responsable | ","")&amp;IF($K44="","Sin obra | ","")&amp;IF(AND($N44&lt;&gt;"",$G44&lt;&gt;"",$N44&gt;IFERROR(INDEX('MAESTRO DE UNIDADES'!$I$2:$I$208,MATCH($G44,'MAESTRO DE UNIDADES'!$A$2:$A$208,0)),0)),"Litros &gt; tanque | ","")&amp;IF(AND($W44&lt;&gt;"",COUNTIF($W$2:$W44,$W44)&gt;1),"Ticket duplicado | ","")&amp;IF(AND($G44&lt;&gt;"",IFERROR(INDEX('MAESTRO DE UNIDADES'!$L$2:$L$208,MATCH($G44,'MAESTRO DE UNIDADES'!$A$2:$A$208,0)),"")="Inactivo"),"Unidad inactiva | ","")&amp;IF(AND($AA44&lt;&gt;"",$N44=""),"Carga de batán sin litros | ","")&amp;IF(AND($AA44&lt;&gt;"",$AC44&lt;0),"Supera saldo batán | ","")))-3)))</f>
        <v/>
      </c>
      <c r="Z44" s="8" t="str">
        <f t="shared" si="7"/>
        <v/>
      </c>
      <c r="AA44" s="4"/>
      <c r="AB44" s="26" t="str">
        <f>IF($AA44="","",IFERROR(INDEX('CONTROL DE BATAN'!$J$2:$J$301,MATCH($AA44,'CONTROL DE BATAN'!$A$2:$A$301,0)),""))</f>
        <v/>
      </c>
      <c r="AC44" s="28" t="str">
        <f>IF($AA44="","",IFERROR(INDEX('CONTROL DE BATAN'!$I$2:$I$301,MATCH($AA44,'CONTROL DE BATAN'!$A$2:$A$301,0)),0)-SUMIFS($N$2:$N44,$AA$2:$AA44,$AA44))</f>
        <v/>
      </c>
    </row>
    <row r="45" spans="1:29" x14ac:dyDescent="0.25">
      <c r="A45" s="8" t="str">
        <f t="shared" si="1"/>
        <v/>
      </c>
      <c r="B45" s="9"/>
      <c r="C45" s="8" t="str">
        <f t="shared" si="2"/>
        <v/>
      </c>
      <c r="D45" s="10" t="str">
        <f t="shared" si="3"/>
        <v/>
      </c>
      <c r="E45" s="8" t="str">
        <f t="shared" si="4"/>
        <v/>
      </c>
      <c r="F45" s="8" t="str">
        <f>IF($G45="","",IFERROR(INDEX('MAESTRO DE UNIDADES'!$C$2:$C$208,MATCH($G45,'MAESTRO DE UNIDADES'!$A$2:$A$208,0)),""))</f>
        <v/>
      </c>
      <c r="G45" s="4"/>
      <c r="H45" s="8" t="str">
        <f>IF($G45="","",IFERROR(INDEX('MAESTRO DE UNIDADES'!$F$2:$F$208,MATCH($G45,'MAESTRO DE UNIDADES'!$A$2:$A$208,0)),""))</f>
        <v/>
      </c>
      <c r="I45" s="8" t="str">
        <f>IF($G45="","",IFERROR(INDEX('MAESTRO DE UNIDADES'!$B$2:$B$208,MATCH($G45,'MAESTRO DE UNIDADES'!$A$2:$A$208,0)),""))</f>
        <v/>
      </c>
      <c r="J45" s="4"/>
      <c r="K45" s="4"/>
      <c r="L45" s="4"/>
      <c r="M45" s="8" t="str">
        <f>IF($G45="","",IFERROR(INDEX('MAESTRO DE UNIDADES'!$H$2:$H$208,MATCH($G45,'MAESTRO DE UNIDADES'!$A$2:$A$208,0)),""))</f>
        <v/>
      </c>
      <c r="N45" s="17"/>
      <c r="O45" s="25"/>
      <c r="P45" s="26" t="str">
        <f t="shared" si="5"/>
        <v/>
      </c>
      <c r="Q45" s="27"/>
      <c r="R45" s="27"/>
      <c r="S45" s="28" t="str">
        <f>IF(OR($G45="",$Q45="",COUNTIF($G$2:G44,$G45)=0),"",$Q45-LOOKUP(2,1/($G$2:G44=$G45),$Q$2:Q44))</f>
        <v/>
      </c>
      <c r="T45" s="28" t="str">
        <f>IF(OR($G45="",$R45="",COUNTIF($G$2:G44,$G45)=0),"",$R45-LOOKUP(2,1/($G$2:G44=$G45),$R$2:R44))</f>
        <v/>
      </c>
      <c r="U45" s="11" t="str">
        <f t="shared" si="6"/>
        <v/>
      </c>
      <c r="V45" s="4"/>
      <c r="W45" s="4"/>
      <c r="X45" s="55"/>
      <c r="Y45" s="56" t="str">
        <f>IF($B45="","",IF((IF($G45="","Sin unidad | ","")&amp;IF($J45="","Sin responsable | ","")&amp;IF($K45="","Sin obra | ","")&amp;IF(AND($N45&lt;&gt;"",$G45&lt;&gt;"",$N45&gt;IFERROR(INDEX('MAESTRO DE UNIDADES'!$I$2:$I$208,MATCH($G45,'MAESTRO DE UNIDADES'!$A$2:$A$208,0)),0)),"Litros &gt; tanque | ","")&amp;IF(AND($W45&lt;&gt;"",COUNTIF($W$2:$W45,$W45)&gt;1),"Ticket duplicado | ","")&amp;IF(AND($G45&lt;&gt;"",IFERROR(INDEX('MAESTRO DE UNIDADES'!$L$2:$L$208,MATCH($G45,'MAESTRO DE UNIDADES'!$A$2:$A$208,0)),"")="Inactivo"),"Unidad inactiva | ","")&amp;IF(AND($AA45&lt;&gt;"",$N45=""),"Carga de batán sin litros | ","")&amp;IF(AND($AA45&lt;&gt;"",$AC45&lt;0),"Supera saldo batán | ",""))="","OK",LEFT((IF($G45="","Sin unidad | ","")&amp;IF($J45="","Sin responsable | ","")&amp;IF($K45="","Sin obra | ","")&amp;IF(AND($N45&lt;&gt;"",$G45&lt;&gt;"",$N45&gt;IFERROR(INDEX('MAESTRO DE UNIDADES'!$I$2:$I$208,MATCH($G45,'MAESTRO DE UNIDADES'!$A$2:$A$208,0)),0)),"Litros &gt; tanque | ","")&amp;IF(AND($W45&lt;&gt;"",COUNTIF($W$2:$W45,$W45)&gt;1),"Ticket duplicado | ","")&amp;IF(AND($G45&lt;&gt;"",IFERROR(INDEX('MAESTRO DE UNIDADES'!$L$2:$L$208,MATCH($G45,'MAESTRO DE UNIDADES'!$A$2:$A$208,0)),"")="Inactivo"),"Unidad inactiva | ","")&amp;IF(AND($AA45&lt;&gt;"",$N45=""),"Carga de batán sin litros | ","")&amp;IF(AND($AA45&lt;&gt;"",$AC45&lt;0),"Supera saldo batán | ","")),LEN((IF($G45="","Sin unidad | ","")&amp;IF($J45="","Sin responsable | ","")&amp;IF($K45="","Sin obra | ","")&amp;IF(AND($N45&lt;&gt;"",$G45&lt;&gt;"",$N45&gt;IFERROR(INDEX('MAESTRO DE UNIDADES'!$I$2:$I$208,MATCH($G45,'MAESTRO DE UNIDADES'!$A$2:$A$208,0)),0)),"Litros &gt; tanque | ","")&amp;IF(AND($W45&lt;&gt;"",COUNTIF($W$2:$W45,$W45)&gt;1),"Ticket duplicado | ","")&amp;IF(AND($G45&lt;&gt;"",IFERROR(INDEX('MAESTRO DE UNIDADES'!$L$2:$L$208,MATCH($G45,'MAESTRO DE UNIDADES'!$A$2:$A$208,0)),"")="Inactivo"),"Unidad inactiva | ","")&amp;IF(AND($AA45&lt;&gt;"",$N45=""),"Carga de batán sin litros | ","")&amp;IF(AND($AA45&lt;&gt;"",$AC45&lt;0),"Supera saldo batán | ","")))-3)))</f>
        <v/>
      </c>
      <c r="Z45" s="8" t="str">
        <f t="shared" si="7"/>
        <v/>
      </c>
      <c r="AA45" s="4"/>
      <c r="AB45" s="26" t="str">
        <f>IF($AA45="","",IFERROR(INDEX('CONTROL DE BATAN'!$J$2:$J$301,MATCH($AA45,'CONTROL DE BATAN'!$A$2:$A$301,0)),""))</f>
        <v/>
      </c>
      <c r="AC45" s="28" t="str">
        <f>IF($AA45="","",IFERROR(INDEX('CONTROL DE BATAN'!$I$2:$I$301,MATCH($AA45,'CONTROL DE BATAN'!$A$2:$A$301,0)),0)-SUMIFS($N$2:$N45,$AA$2:$AA45,$AA45))</f>
        <v/>
      </c>
    </row>
    <row r="46" spans="1:29" x14ac:dyDescent="0.25">
      <c r="A46" s="8" t="str">
        <f t="shared" si="1"/>
        <v/>
      </c>
      <c r="B46" s="9"/>
      <c r="C46" s="8" t="str">
        <f t="shared" si="2"/>
        <v/>
      </c>
      <c r="D46" s="10" t="str">
        <f t="shared" si="3"/>
        <v/>
      </c>
      <c r="E46" s="8" t="str">
        <f t="shared" si="4"/>
        <v/>
      </c>
      <c r="F46" s="8" t="str">
        <f>IF($G46="","",IFERROR(INDEX('MAESTRO DE UNIDADES'!$C$2:$C$208,MATCH($G46,'MAESTRO DE UNIDADES'!$A$2:$A$208,0)),""))</f>
        <v/>
      </c>
      <c r="G46" s="4"/>
      <c r="H46" s="8" t="str">
        <f>IF($G46="","",IFERROR(INDEX('MAESTRO DE UNIDADES'!$F$2:$F$208,MATCH($G46,'MAESTRO DE UNIDADES'!$A$2:$A$208,0)),""))</f>
        <v/>
      </c>
      <c r="I46" s="8" t="str">
        <f>IF($G46="","",IFERROR(INDEX('MAESTRO DE UNIDADES'!$B$2:$B$208,MATCH($G46,'MAESTRO DE UNIDADES'!$A$2:$A$208,0)),""))</f>
        <v/>
      </c>
      <c r="J46" s="4"/>
      <c r="K46" s="4"/>
      <c r="L46" s="4"/>
      <c r="M46" s="8" t="str">
        <f>IF($G46="","",IFERROR(INDEX('MAESTRO DE UNIDADES'!$H$2:$H$208,MATCH($G46,'MAESTRO DE UNIDADES'!$A$2:$A$208,0)),""))</f>
        <v/>
      </c>
      <c r="N46" s="17"/>
      <c r="O46" s="25"/>
      <c r="P46" s="26" t="str">
        <f t="shared" si="5"/>
        <v/>
      </c>
      <c r="Q46" s="27"/>
      <c r="R46" s="27"/>
      <c r="S46" s="28" t="str">
        <f>IF(OR($G46="",$Q46="",COUNTIF($G$2:G45,$G46)=0),"",$Q46-LOOKUP(2,1/($G$2:G45=$G46),$Q$2:Q45))</f>
        <v/>
      </c>
      <c r="T46" s="28" t="str">
        <f>IF(OR($G46="",$R46="",COUNTIF($G$2:G45,$G46)=0),"",$R46-LOOKUP(2,1/($G$2:G45=$G46),$R$2:R45))</f>
        <v/>
      </c>
      <c r="U46" s="11" t="str">
        <f t="shared" si="6"/>
        <v/>
      </c>
      <c r="V46" s="4"/>
      <c r="W46" s="4"/>
      <c r="X46" s="55"/>
      <c r="Y46" s="56" t="str">
        <f>IF($B46="","",IF((IF($G46="","Sin unidad | ","")&amp;IF($J46="","Sin responsable | ","")&amp;IF($K46="","Sin obra | ","")&amp;IF(AND($N46&lt;&gt;"",$G46&lt;&gt;"",$N46&gt;IFERROR(INDEX('MAESTRO DE UNIDADES'!$I$2:$I$208,MATCH($G46,'MAESTRO DE UNIDADES'!$A$2:$A$208,0)),0)),"Litros &gt; tanque | ","")&amp;IF(AND($W46&lt;&gt;"",COUNTIF($W$2:$W46,$W46)&gt;1),"Ticket duplicado | ","")&amp;IF(AND($G46&lt;&gt;"",IFERROR(INDEX('MAESTRO DE UNIDADES'!$L$2:$L$208,MATCH($G46,'MAESTRO DE UNIDADES'!$A$2:$A$208,0)),"")="Inactivo"),"Unidad inactiva | ","")&amp;IF(AND($AA46&lt;&gt;"",$N46=""),"Carga de batán sin litros | ","")&amp;IF(AND($AA46&lt;&gt;"",$AC46&lt;0),"Supera saldo batán | ",""))="","OK",LEFT((IF($G46="","Sin unidad | ","")&amp;IF($J46="","Sin responsable | ","")&amp;IF($K46="","Sin obra | ","")&amp;IF(AND($N46&lt;&gt;"",$G46&lt;&gt;"",$N46&gt;IFERROR(INDEX('MAESTRO DE UNIDADES'!$I$2:$I$208,MATCH($G46,'MAESTRO DE UNIDADES'!$A$2:$A$208,0)),0)),"Litros &gt; tanque | ","")&amp;IF(AND($W46&lt;&gt;"",COUNTIF($W$2:$W46,$W46)&gt;1),"Ticket duplicado | ","")&amp;IF(AND($G46&lt;&gt;"",IFERROR(INDEX('MAESTRO DE UNIDADES'!$L$2:$L$208,MATCH($G46,'MAESTRO DE UNIDADES'!$A$2:$A$208,0)),"")="Inactivo"),"Unidad inactiva | ","")&amp;IF(AND($AA46&lt;&gt;"",$N46=""),"Carga de batán sin litros | ","")&amp;IF(AND($AA46&lt;&gt;"",$AC46&lt;0),"Supera saldo batán | ","")),LEN((IF($G46="","Sin unidad | ","")&amp;IF($J46="","Sin responsable | ","")&amp;IF($K46="","Sin obra | ","")&amp;IF(AND($N46&lt;&gt;"",$G46&lt;&gt;"",$N46&gt;IFERROR(INDEX('MAESTRO DE UNIDADES'!$I$2:$I$208,MATCH($G46,'MAESTRO DE UNIDADES'!$A$2:$A$208,0)),0)),"Litros &gt; tanque | ","")&amp;IF(AND($W46&lt;&gt;"",COUNTIF($W$2:$W46,$W46)&gt;1),"Ticket duplicado | ","")&amp;IF(AND($G46&lt;&gt;"",IFERROR(INDEX('MAESTRO DE UNIDADES'!$L$2:$L$208,MATCH($G46,'MAESTRO DE UNIDADES'!$A$2:$A$208,0)),"")="Inactivo"),"Unidad inactiva | ","")&amp;IF(AND($AA46&lt;&gt;"",$N46=""),"Carga de batán sin litros | ","")&amp;IF(AND($AA46&lt;&gt;"",$AC46&lt;0),"Supera saldo batán | ","")))-3)))</f>
        <v/>
      </c>
      <c r="Z46" s="8" t="str">
        <f t="shared" si="7"/>
        <v/>
      </c>
      <c r="AA46" s="4"/>
      <c r="AB46" s="26" t="str">
        <f>IF($AA46="","",IFERROR(INDEX('CONTROL DE BATAN'!$J$2:$J$301,MATCH($AA46,'CONTROL DE BATAN'!$A$2:$A$301,0)),""))</f>
        <v/>
      </c>
      <c r="AC46" s="28" t="str">
        <f>IF($AA46="","",IFERROR(INDEX('CONTROL DE BATAN'!$I$2:$I$301,MATCH($AA46,'CONTROL DE BATAN'!$A$2:$A$301,0)),0)-SUMIFS($N$2:$N46,$AA$2:$AA46,$AA46))</f>
        <v/>
      </c>
    </row>
    <row r="47" spans="1:29" x14ac:dyDescent="0.25">
      <c r="A47" s="8" t="str">
        <f t="shared" si="1"/>
        <v/>
      </c>
      <c r="B47" s="9"/>
      <c r="C47" s="8" t="str">
        <f t="shared" si="2"/>
        <v/>
      </c>
      <c r="D47" s="10" t="str">
        <f t="shared" si="3"/>
        <v/>
      </c>
      <c r="E47" s="8" t="str">
        <f t="shared" si="4"/>
        <v/>
      </c>
      <c r="F47" s="8" t="str">
        <f>IF($G47="","",IFERROR(INDEX('MAESTRO DE UNIDADES'!$C$2:$C$208,MATCH($G47,'MAESTRO DE UNIDADES'!$A$2:$A$208,0)),""))</f>
        <v/>
      </c>
      <c r="G47" s="4"/>
      <c r="H47" s="8" t="str">
        <f>IF($G47="","",IFERROR(INDEX('MAESTRO DE UNIDADES'!$F$2:$F$208,MATCH($G47,'MAESTRO DE UNIDADES'!$A$2:$A$208,0)),""))</f>
        <v/>
      </c>
      <c r="I47" s="8" t="str">
        <f>IF($G47="","",IFERROR(INDEX('MAESTRO DE UNIDADES'!$B$2:$B$208,MATCH($G47,'MAESTRO DE UNIDADES'!$A$2:$A$208,0)),""))</f>
        <v/>
      </c>
      <c r="J47" s="4"/>
      <c r="K47" s="4"/>
      <c r="L47" s="4"/>
      <c r="M47" s="8" t="str">
        <f>IF($G47="","",IFERROR(INDEX('MAESTRO DE UNIDADES'!$H$2:$H$208,MATCH($G47,'MAESTRO DE UNIDADES'!$A$2:$A$208,0)),""))</f>
        <v/>
      </c>
      <c r="N47" s="17"/>
      <c r="O47" s="25"/>
      <c r="P47" s="26" t="str">
        <f t="shared" si="5"/>
        <v/>
      </c>
      <c r="Q47" s="27"/>
      <c r="R47" s="27"/>
      <c r="S47" s="28" t="str">
        <f>IF(OR($G47="",$Q47="",COUNTIF($G$2:G46,$G47)=0),"",$Q47-LOOKUP(2,1/($G$2:G46=$G47),$Q$2:Q46))</f>
        <v/>
      </c>
      <c r="T47" s="28" t="str">
        <f>IF(OR($G47="",$R47="",COUNTIF($G$2:G46,$G47)=0),"",$R47-LOOKUP(2,1/($G$2:G46=$G47),$R$2:R46))</f>
        <v/>
      </c>
      <c r="U47" s="11" t="str">
        <f t="shared" si="6"/>
        <v/>
      </c>
      <c r="V47" s="4"/>
      <c r="W47" s="4"/>
      <c r="X47" s="55"/>
      <c r="Y47" s="56" t="str">
        <f>IF($B47="","",IF((IF($G47="","Sin unidad | ","")&amp;IF($J47="","Sin responsable | ","")&amp;IF($K47="","Sin obra | ","")&amp;IF(AND($N47&lt;&gt;"",$G47&lt;&gt;"",$N47&gt;IFERROR(INDEX('MAESTRO DE UNIDADES'!$I$2:$I$208,MATCH($G47,'MAESTRO DE UNIDADES'!$A$2:$A$208,0)),0)),"Litros &gt; tanque | ","")&amp;IF(AND($W47&lt;&gt;"",COUNTIF($W$2:$W47,$W47)&gt;1),"Ticket duplicado | ","")&amp;IF(AND($G47&lt;&gt;"",IFERROR(INDEX('MAESTRO DE UNIDADES'!$L$2:$L$208,MATCH($G47,'MAESTRO DE UNIDADES'!$A$2:$A$208,0)),"")="Inactivo"),"Unidad inactiva | ","")&amp;IF(AND($AA47&lt;&gt;"",$N47=""),"Carga de batán sin litros | ","")&amp;IF(AND($AA47&lt;&gt;"",$AC47&lt;0),"Supera saldo batán | ",""))="","OK",LEFT((IF($G47="","Sin unidad | ","")&amp;IF($J47="","Sin responsable | ","")&amp;IF($K47="","Sin obra | ","")&amp;IF(AND($N47&lt;&gt;"",$G47&lt;&gt;"",$N47&gt;IFERROR(INDEX('MAESTRO DE UNIDADES'!$I$2:$I$208,MATCH($G47,'MAESTRO DE UNIDADES'!$A$2:$A$208,0)),0)),"Litros &gt; tanque | ","")&amp;IF(AND($W47&lt;&gt;"",COUNTIF($W$2:$W47,$W47)&gt;1),"Ticket duplicado | ","")&amp;IF(AND($G47&lt;&gt;"",IFERROR(INDEX('MAESTRO DE UNIDADES'!$L$2:$L$208,MATCH($G47,'MAESTRO DE UNIDADES'!$A$2:$A$208,0)),"")="Inactivo"),"Unidad inactiva | ","")&amp;IF(AND($AA47&lt;&gt;"",$N47=""),"Carga de batán sin litros | ","")&amp;IF(AND($AA47&lt;&gt;"",$AC47&lt;0),"Supera saldo batán | ","")),LEN((IF($G47="","Sin unidad | ","")&amp;IF($J47="","Sin responsable | ","")&amp;IF($K47="","Sin obra | ","")&amp;IF(AND($N47&lt;&gt;"",$G47&lt;&gt;"",$N47&gt;IFERROR(INDEX('MAESTRO DE UNIDADES'!$I$2:$I$208,MATCH($G47,'MAESTRO DE UNIDADES'!$A$2:$A$208,0)),0)),"Litros &gt; tanque | ","")&amp;IF(AND($W47&lt;&gt;"",COUNTIF($W$2:$W47,$W47)&gt;1),"Ticket duplicado | ","")&amp;IF(AND($G47&lt;&gt;"",IFERROR(INDEX('MAESTRO DE UNIDADES'!$L$2:$L$208,MATCH($G47,'MAESTRO DE UNIDADES'!$A$2:$A$208,0)),"")="Inactivo"),"Unidad inactiva | ","")&amp;IF(AND($AA47&lt;&gt;"",$N47=""),"Carga de batán sin litros | ","")&amp;IF(AND($AA47&lt;&gt;"",$AC47&lt;0),"Supera saldo batán | ","")))-3)))</f>
        <v/>
      </c>
      <c r="Z47" s="8" t="str">
        <f t="shared" si="7"/>
        <v/>
      </c>
      <c r="AA47" s="4"/>
      <c r="AB47" s="26" t="str">
        <f>IF($AA47="","",IFERROR(INDEX('CONTROL DE BATAN'!$J$2:$J$301,MATCH($AA47,'CONTROL DE BATAN'!$A$2:$A$301,0)),""))</f>
        <v/>
      </c>
      <c r="AC47" s="28" t="str">
        <f>IF($AA47="","",IFERROR(INDEX('CONTROL DE BATAN'!$I$2:$I$301,MATCH($AA47,'CONTROL DE BATAN'!$A$2:$A$301,0)),0)-SUMIFS($N$2:$N47,$AA$2:$AA47,$AA47))</f>
        <v/>
      </c>
    </row>
    <row r="48" spans="1:29" x14ac:dyDescent="0.25">
      <c r="A48" s="8" t="str">
        <f t="shared" si="1"/>
        <v/>
      </c>
      <c r="B48" s="9"/>
      <c r="C48" s="8" t="str">
        <f t="shared" si="2"/>
        <v/>
      </c>
      <c r="D48" s="10" t="str">
        <f t="shared" si="3"/>
        <v/>
      </c>
      <c r="E48" s="8" t="str">
        <f t="shared" si="4"/>
        <v/>
      </c>
      <c r="F48" s="8" t="str">
        <f>IF($G48="","",IFERROR(INDEX('MAESTRO DE UNIDADES'!$C$2:$C$208,MATCH($G48,'MAESTRO DE UNIDADES'!$A$2:$A$208,0)),""))</f>
        <v/>
      </c>
      <c r="G48" s="4"/>
      <c r="H48" s="8" t="str">
        <f>IF($G48="","",IFERROR(INDEX('MAESTRO DE UNIDADES'!$F$2:$F$208,MATCH($G48,'MAESTRO DE UNIDADES'!$A$2:$A$208,0)),""))</f>
        <v/>
      </c>
      <c r="I48" s="8" t="str">
        <f>IF($G48="","",IFERROR(INDEX('MAESTRO DE UNIDADES'!$B$2:$B$208,MATCH($G48,'MAESTRO DE UNIDADES'!$A$2:$A$208,0)),""))</f>
        <v/>
      </c>
      <c r="J48" s="4"/>
      <c r="K48" s="4"/>
      <c r="L48" s="4"/>
      <c r="M48" s="8" t="str">
        <f>IF($G48="","",IFERROR(INDEX('MAESTRO DE UNIDADES'!$H$2:$H$208,MATCH($G48,'MAESTRO DE UNIDADES'!$A$2:$A$208,0)),""))</f>
        <v/>
      </c>
      <c r="N48" s="17"/>
      <c r="O48" s="25"/>
      <c r="P48" s="26" t="str">
        <f t="shared" si="5"/>
        <v/>
      </c>
      <c r="Q48" s="27"/>
      <c r="R48" s="27"/>
      <c r="S48" s="28" t="str">
        <f>IF(OR($G48="",$Q48="",COUNTIF($G$2:G47,$G48)=0),"",$Q48-LOOKUP(2,1/($G$2:G47=$G48),$Q$2:Q47))</f>
        <v/>
      </c>
      <c r="T48" s="28" t="str">
        <f>IF(OR($G48="",$R48="",COUNTIF($G$2:G47,$G48)=0),"",$R48-LOOKUP(2,1/($G$2:G47=$G48),$R$2:R47))</f>
        <v/>
      </c>
      <c r="U48" s="11" t="str">
        <f t="shared" si="6"/>
        <v/>
      </c>
      <c r="V48" s="4"/>
      <c r="W48" s="4"/>
      <c r="X48" s="55"/>
      <c r="Y48" s="56" t="str">
        <f>IF($B48="","",IF((IF($G48="","Sin unidad | ","")&amp;IF($J48="","Sin responsable | ","")&amp;IF($K48="","Sin obra | ","")&amp;IF(AND($N48&lt;&gt;"",$G48&lt;&gt;"",$N48&gt;IFERROR(INDEX('MAESTRO DE UNIDADES'!$I$2:$I$208,MATCH($G48,'MAESTRO DE UNIDADES'!$A$2:$A$208,0)),0)),"Litros &gt; tanque | ","")&amp;IF(AND($W48&lt;&gt;"",COUNTIF($W$2:$W48,$W48)&gt;1),"Ticket duplicado | ","")&amp;IF(AND($G48&lt;&gt;"",IFERROR(INDEX('MAESTRO DE UNIDADES'!$L$2:$L$208,MATCH($G48,'MAESTRO DE UNIDADES'!$A$2:$A$208,0)),"")="Inactivo"),"Unidad inactiva | ","")&amp;IF(AND($AA48&lt;&gt;"",$N48=""),"Carga de batán sin litros | ","")&amp;IF(AND($AA48&lt;&gt;"",$AC48&lt;0),"Supera saldo batán | ",""))="","OK",LEFT((IF($G48="","Sin unidad | ","")&amp;IF($J48="","Sin responsable | ","")&amp;IF($K48="","Sin obra | ","")&amp;IF(AND($N48&lt;&gt;"",$G48&lt;&gt;"",$N48&gt;IFERROR(INDEX('MAESTRO DE UNIDADES'!$I$2:$I$208,MATCH($G48,'MAESTRO DE UNIDADES'!$A$2:$A$208,0)),0)),"Litros &gt; tanque | ","")&amp;IF(AND($W48&lt;&gt;"",COUNTIF($W$2:$W48,$W48)&gt;1),"Ticket duplicado | ","")&amp;IF(AND($G48&lt;&gt;"",IFERROR(INDEX('MAESTRO DE UNIDADES'!$L$2:$L$208,MATCH($G48,'MAESTRO DE UNIDADES'!$A$2:$A$208,0)),"")="Inactivo"),"Unidad inactiva | ","")&amp;IF(AND($AA48&lt;&gt;"",$N48=""),"Carga de batán sin litros | ","")&amp;IF(AND($AA48&lt;&gt;"",$AC48&lt;0),"Supera saldo batán | ","")),LEN((IF($G48="","Sin unidad | ","")&amp;IF($J48="","Sin responsable | ","")&amp;IF($K48="","Sin obra | ","")&amp;IF(AND($N48&lt;&gt;"",$G48&lt;&gt;"",$N48&gt;IFERROR(INDEX('MAESTRO DE UNIDADES'!$I$2:$I$208,MATCH($G48,'MAESTRO DE UNIDADES'!$A$2:$A$208,0)),0)),"Litros &gt; tanque | ","")&amp;IF(AND($W48&lt;&gt;"",COUNTIF($W$2:$W48,$W48)&gt;1),"Ticket duplicado | ","")&amp;IF(AND($G48&lt;&gt;"",IFERROR(INDEX('MAESTRO DE UNIDADES'!$L$2:$L$208,MATCH($G48,'MAESTRO DE UNIDADES'!$A$2:$A$208,0)),"")="Inactivo"),"Unidad inactiva | ","")&amp;IF(AND($AA48&lt;&gt;"",$N48=""),"Carga de batán sin litros | ","")&amp;IF(AND($AA48&lt;&gt;"",$AC48&lt;0),"Supera saldo batán | ","")))-3)))</f>
        <v/>
      </c>
      <c r="Z48" s="8" t="str">
        <f t="shared" si="7"/>
        <v/>
      </c>
      <c r="AA48" s="4"/>
      <c r="AB48" s="26" t="str">
        <f>IF($AA48="","",IFERROR(INDEX('CONTROL DE BATAN'!$J$2:$J$301,MATCH($AA48,'CONTROL DE BATAN'!$A$2:$A$301,0)),""))</f>
        <v/>
      </c>
      <c r="AC48" s="28" t="str">
        <f>IF($AA48="","",IFERROR(INDEX('CONTROL DE BATAN'!$I$2:$I$301,MATCH($AA48,'CONTROL DE BATAN'!$A$2:$A$301,0)),0)-SUMIFS($N$2:$N48,$AA$2:$AA48,$AA48))</f>
        <v/>
      </c>
    </row>
    <row r="49" spans="1:29" x14ac:dyDescent="0.25">
      <c r="A49" s="8" t="str">
        <f t="shared" si="1"/>
        <v/>
      </c>
      <c r="B49" s="9"/>
      <c r="C49" s="8" t="str">
        <f t="shared" si="2"/>
        <v/>
      </c>
      <c r="D49" s="10" t="str">
        <f t="shared" si="3"/>
        <v/>
      </c>
      <c r="E49" s="8" t="str">
        <f t="shared" si="4"/>
        <v/>
      </c>
      <c r="F49" s="8" t="str">
        <f>IF($G49="","",IFERROR(INDEX('MAESTRO DE UNIDADES'!$C$2:$C$208,MATCH($G49,'MAESTRO DE UNIDADES'!$A$2:$A$208,0)),""))</f>
        <v/>
      </c>
      <c r="G49" s="4"/>
      <c r="H49" s="8" t="str">
        <f>IF($G49="","",IFERROR(INDEX('MAESTRO DE UNIDADES'!$F$2:$F$208,MATCH($G49,'MAESTRO DE UNIDADES'!$A$2:$A$208,0)),""))</f>
        <v/>
      </c>
      <c r="I49" s="8" t="str">
        <f>IF($G49="","",IFERROR(INDEX('MAESTRO DE UNIDADES'!$B$2:$B$208,MATCH($G49,'MAESTRO DE UNIDADES'!$A$2:$A$208,0)),""))</f>
        <v/>
      </c>
      <c r="J49" s="4"/>
      <c r="K49" s="4"/>
      <c r="L49" s="4"/>
      <c r="M49" s="8" t="str">
        <f>IF($G49="","",IFERROR(INDEX('MAESTRO DE UNIDADES'!$H$2:$H$208,MATCH($G49,'MAESTRO DE UNIDADES'!$A$2:$A$208,0)),""))</f>
        <v/>
      </c>
      <c r="N49" s="17"/>
      <c r="O49" s="25"/>
      <c r="P49" s="26" t="str">
        <f t="shared" si="5"/>
        <v/>
      </c>
      <c r="Q49" s="27"/>
      <c r="R49" s="27"/>
      <c r="S49" s="28" t="str">
        <f>IF(OR($G49="",$Q49="",COUNTIF($G$2:G48,$G49)=0),"",$Q49-LOOKUP(2,1/($G$2:G48=$G49),$Q$2:Q48))</f>
        <v/>
      </c>
      <c r="T49" s="28" t="str">
        <f>IF(OR($G49="",$R49="",COUNTIF($G$2:G48,$G49)=0),"",$R49-LOOKUP(2,1/($G$2:G48=$G49),$R$2:R48))</f>
        <v/>
      </c>
      <c r="U49" s="11" t="str">
        <f t="shared" si="6"/>
        <v/>
      </c>
      <c r="V49" s="4"/>
      <c r="W49" s="4"/>
      <c r="X49" s="55"/>
      <c r="Y49" s="56" t="str">
        <f>IF($B49="","",IF((IF($G49="","Sin unidad | ","")&amp;IF($J49="","Sin responsable | ","")&amp;IF($K49="","Sin obra | ","")&amp;IF(AND($N49&lt;&gt;"",$G49&lt;&gt;"",$N49&gt;IFERROR(INDEX('MAESTRO DE UNIDADES'!$I$2:$I$208,MATCH($G49,'MAESTRO DE UNIDADES'!$A$2:$A$208,0)),0)),"Litros &gt; tanque | ","")&amp;IF(AND($W49&lt;&gt;"",COUNTIF($W$2:$W49,$W49)&gt;1),"Ticket duplicado | ","")&amp;IF(AND($G49&lt;&gt;"",IFERROR(INDEX('MAESTRO DE UNIDADES'!$L$2:$L$208,MATCH($G49,'MAESTRO DE UNIDADES'!$A$2:$A$208,0)),"")="Inactivo"),"Unidad inactiva | ","")&amp;IF(AND($AA49&lt;&gt;"",$N49=""),"Carga de batán sin litros | ","")&amp;IF(AND($AA49&lt;&gt;"",$AC49&lt;0),"Supera saldo batán | ",""))="","OK",LEFT((IF($G49="","Sin unidad | ","")&amp;IF($J49="","Sin responsable | ","")&amp;IF($K49="","Sin obra | ","")&amp;IF(AND($N49&lt;&gt;"",$G49&lt;&gt;"",$N49&gt;IFERROR(INDEX('MAESTRO DE UNIDADES'!$I$2:$I$208,MATCH($G49,'MAESTRO DE UNIDADES'!$A$2:$A$208,0)),0)),"Litros &gt; tanque | ","")&amp;IF(AND($W49&lt;&gt;"",COUNTIF($W$2:$W49,$W49)&gt;1),"Ticket duplicado | ","")&amp;IF(AND($G49&lt;&gt;"",IFERROR(INDEX('MAESTRO DE UNIDADES'!$L$2:$L$208,MATCH($G49,'MAESTRO DE UNIDADES'!$A$2:$A$208,0)),"")="Inactivo"),"Unidad inactiva | ","")&amp;IF(AND($AA49&lt;&gt;"",$N49=""),"Carga de batán sin litros | ","")&amp;IF(AND($AA49&lt;&gt;"",$AC49&lt;0),"Supera saldo batán | ","")),LEN((IF($G49="","Sin unidad | ","")&amp;IF($J49="","Sin responsable | ","")&amp;IF($K49="","Sin obra | ","")&amp;IF(AND($N49&lt;&gt;"",$G49&lt;&gt;"",$N49&gt;IFERROR(INDEX('MAESTRO DE UNIDADES'!$I$2:$I$208,MATCH($G49,'MAESTRO DE UNIDADES'!$A$2:$A$208,0)),0)),"Litros &gt; tanque | ","")&amp;IF(AND($W49&lt;&gt;"",COUNTIF($W$2:$W49,$W49)&gt;1),"Ticket duplicado | ","")&amp;IF(AND($G49&lt;&gt;"",IFERROR(INDEX('MAESTRO DE UNIDADES'!$L$2:$L$208,MATCH($G49,'MAESTRO DE UNIDADES'!$A$2:$A$208,0)),"")="Inactivo"),"Unidad inactiva | ","")&amp;IF(AND($AA49&lt;&gt;"",$N49=""),"Carga de batán sin litros | ","")&amp;IF(AND($AA49&lt;&gt;"",$AC49&lt;0),"Supera saldo batán | ","")))-3)))</f>
        <v/>
      </c>
      <c r="Z49" s="8" t="str">
        <f t="shared" si="7"/>
        <v/>
      </c>
      <c r="AA49" s="4"/>
      <c r="AB49" s="26" t="str">
        <f>IF($AA49="","",IFERROR(INDEX('CONTROL DE BATAN'!$J$2:$J$301,MATCH($AA49,'CONTROL DE BATAN'!$A$2:$A$301,0)),""))</f>
        <v/>
      </c>
      <c r="AC49" s="28" t="str">
        <f>IF($AA49="","",IFERROR(INDEX('CONTROL DE BATAN'!$I$2:$I$301,MATCH($AA49,'CONTROL DE BATAN'!$A$2:$A$301,0)),0)-SUMIFS($N$2:$N49,$AA$2:$AA49,$AA49))</f>
        <v/>
      </c>
    </row>
    <row r="50" spans="1:29" x14ac:dyDescent="0.25">
      <c r="A50" s="8" t="str">
        <f t="shared" si="1"/>
        <v/>
      </c>
      <c r="B50" s="9"/>
      <c r="C50" s="8" t="str">
        <f t="shared" si="2"/>
        <v/>
      </c>
      <c r="D50" s="10" t="str">
        <f t="shared" si="3"/>
        <v/>
      </c>
      <c r="E50" s="8" t="str">
        <f t="shared" si="4"/>
        <v/>
      </c>
      <c r="F50" s="8" t="str">
        <f>IF($G50="","",IFERROR(INDEX('MAESTRO DE UNIDADES'!$C$2:$C$208,MATCH($G50,'MAESTRO DE UNIDADES'!$A$2:$A$208,0)),""))</f>
        <v/>
      </c>
      <c r="G50" s="4"/>
      <c r="H50" s="8" t="str">
        <f>IF($G50="","",IFERROR(INDEX('MAESTRO DE UNIDADES'!$F$2:$F$208,MATCH($G50,'MAESTRO DE UNIDADES'!$A$2:$A$208,0)),""))</f>
        <v/>
      </c>
      <c r="I50" s="8" t="str">
        <f>IF($G50="","",IFERROR(INDEX('MAESTRO DE UNIDADES'!$B$2:$B$208,MATCH($G50,'MAESTRO DE UNIDADES'!$A$2:$A$208,0)),""))</f>
        <v/>
      </c>
      <c r="J50" s="4"/>
      <c r="K50" s="4"/>
      <c r="L50" s="4"/>
      <c r="M50" s="8" t="str">
        <f>IF($G50="","",IFERROR(INDEX('MAESTRO DE UNIDADES'!$H$2:$H$208,MATCH($G50,'MAESTRO DE UNIDADES'!$A$2:$A$208,0)),""))</f>
        <v/>
      </c>
      <c r="N50" s="17"/>
      <c r="O50" s="25"/>
      <c r="P50" s="26" t="str">
        <f t="shared" si="5"/>
        <v/>
      </c>
      <c r="Q50" s="27"/>
      <c r="R50" s="27"/>
      <c r="S50" s="28" t="str">
        <f>IF(OR($G50="",$Q50="",COUNTIF($G$2:G49,$G50)=0),"",$Q50-LOOKUP(2,1/($G$2:G49=$G50),$Q$2:Q49))</f>
        <v/>
      </c>
      <c r="T50" s="28" t="str">
        <f>IF(OR($G50="",$R50="",COUNTIF($G$2:G49,$G50)=0),"",$R50-LOOKUP(2,1/($G$2:G49=$G50),$R$2:R49))</f>
        <v/>
      </c>
      <c r="U50" s="11" t="str">
        <f t="shared" si="6"/>
        <v/>
      </c>
      <c r="V50" s="4"/>
      <c r="W50" s="4"/>
      <c r="X50" s="55"/>
      <c r="Y50" s="56" t="str">
        <f>IF($B50="","",IF((IF($G50="","Sin unidad | ","")&amp;IF($J50="","Sin responsable | ","")&amp;IF($K50="","Sin obra | ","")&amp;IF(AND($N50&lt;&gt;"",$G50&lt;&gt;"",$N50&gt;IFERROR(INDEX('MAESTRO DE UNIDADES'!$I$2:$I$208,MATCH($G50,'MAESTRO DE UNIDADES'!$A$2:$A$208,0)),0)),"Litros &gt; tanque | ","")&amp;IF(AND($W50&lt;&gt;"",COUNTIF($W$2:$W50,$W50)&gt;1),"Ticket duplicado | ","")&amp;IF(AND($G50&lt;&gt;"",IFERROR(INDEX('MAESTRO DE UNIDADES'!$L$2:$L$208,MATCH($G50,'MAESTRO DE UNIDADES'!$A$2:$A$208,0)),"")="Inactivo"),"Unidad inactiva | ","")&amp;IF(AND($AA50&lt;&gt;"",$N50=""),"Carga de batán sin litros | ","")&amp;IF(AND($AA50&lt;&gt;"",$AC50&lt;0),"Supera saldo batán | ",""))="","OK",LEFT((IF($G50="","Sin unidad | ","")&amp;IF($J50="","Sin responsable | ","")&amp;IF($K50="","Sin obra | ","")&amp;IF(AND($N50&lt;&gt;"",$G50&lt;&gt;"",$N50&gt;IFERROR(INDEX('MAESTRO DE UNIDADES'!$I$2:$I$208,MATCH($G50,'MAESTRO DE UNIDADES'!$A$2:$A$208,0)),0)),"Litros &gt; tanque | ","")&amp;IF(AND($W50&lt;&gt;"",COUNTIF($W$2:$W50,$W50)&gt;1),"Ticket duplicado | ","")&amp;IF(AND($G50&lt;&gt;"",IFERROR(INDEX('MAESTRO DE UNIDADES'!$L$2:$L$208,MATCH($G50,'MAESTRO DE UNIDADES'!$A$2:$A$208,0)),"")="Inactivo"),"Unidad inactiva | ","")&amp;IF(AND($AA50&lt;&gt;"",$N50=""),"Carga de batán sin litros | ","")&amp;IF(AND($AA50&lt;&gt;"",$AC50&lt;0),"Supera saldo batán | ","")),LEN((IF($G50="","Sin unidad | ","")&amp;IF($J50="","Sin responsable | ","")&amp;IF($K50="","Sin obra | ","")&amp;IF(AND($N50&lt;&gt;"",$G50&lt;&gt;"",$N50&gt;IFERROR(INDEX('MAESTRO DE UNIDADES'!$I$2:$I$208,MATCH($G50,'MAESTRO DE UNIDADES'!$A$2:$A$208,0)),0)),"Litros &gt; tanque | ","")&amp;IF(AND($W50&lt;&gt;"",COUNTIF($W$2:$W50,$W50)&gt;1),"Ticket duplicado | ","")&amp;IF(AND($G50&lt;&gt;"",IFERROR(INDEX('MAESTRO DE UNIDADES'!$L$2:$L$208,MATCH($G50,'MAESTRO DE UNIDADES'!$A$2:$A$208,0)),"")="Inactivo"),"Unidad inactiva | ","")&amp;IF(AND($AA50&lt;&gt;"",$N50=""),"Carga de batán sin litros | ","")&amp;IF(AND($AA50&lt;&gt;"",$AC50&lt;0),"Supera saldo batán | ","")))-3)))</f>
        <v/>
      </c>
      <c r="Z50" s="8" t="str">
        <f t="shared" si="7"/>
        <v/>
      </c>
      <c r="AA50" s="4"/>
      <c r="AB50" s="26" t="str">
        <f>IF($AA50="","",IFERROR(INDEX('CONTROL DE BATAN'!$J$2:$J$301,MATCH($AA50,'CONTROL DE BATAN'!$A$2:$A$301,0)),""))</f>
        <v/>
      </c>
      <c r="AC50" s="28" t="str">
        <f>IF($AA50="","",IFERROR(INDEX('CONTROL DE BATAN'!$I$2:$I$301,MATCH($AA50,'CONTROL DE BATAN'!$A$2:$A$301,0)),0)-SUMIFS($N$2:$N50,$AA$2:$AA50,$AA50))</f>
        <v/>
      </c>
    </row>
    <row r="51" spans="1:29" x14ac:dyDescent="0.25">
      <c r="A51" s="8" t="str">
        <f t="shared" si="1"/>
        <v/>
      </c>
      <c r="B51" s="9"/>
      <c r="C51" s="8" t="str">
        <f t="shared" si="2"/>
        <v/>
      </c>
      <c r="D51" s="10" t="str">
        <f t="shared" si="3"/>
        <v/>
      </c>
      <c r="E51" s="8" t="str">
        <f t="shared" si="4"/>
        <v/>
      </c>
      <c r="F51" s="8" t="str">
        <f>IF($G51="","",IFERROR(INDEX('MAESTRO DE UNIDADES'!$C$2:$C$208,MATCH($G51,'MAESTRO DE UNIDADES'!$A$2:$A$208,0)),""))</f>
        <v/>
      </c>
      <c r="G51" s="4"/>
      <c r="H51" s="8" t="str">
        <f>IF($G51="","",IFERROR(INDEX('MAESTRO DE UNIDADES'!$F$2:$F$208,MATCH($G51,'MAESTRO DE UNIDADES'!$A$2:$A$208,0)),""))</f>
        <v/>
      </c>
      <c r="I51" s="8" t="str">
        <f>IF($G51="","",IFERROR(INDEX('MAESTRO DE UNIDADES'!$B$2:$B$208,MATCH($G51,'MAESTRO DE UNIDADES'!$A$2:$A$208,0)),""))</f>
        <v/>
      </c>
      <c r="J51" s="4"/>
      <c r="K51" s="4"/>
      <c r="L51" s="4"/>
      <c r="M51" s="8" t="str">
        <f>IF($G51="","",IFERROR(INDEX('MAESTRO DE UNIDADES'!$H$2:$H$208,MATCH($G51,'MAESTRO DE UNIDADES'!$A$2:$A$208,0)),""))</f>
        <v/>
      </c>
      <c r="N51" s="17"/>
      <c r="O51" s="25"/>
      <c r="P51" s="26" t="str">
        <f t="shared" si="5"/>
        <v/>
      </c>
      <c r="Q51" s="27"/>
      <c r="R51" s="27"/>
      <c r="S51" s="28" t="str">
        <f>IF(OR($G51="",$Q51="",COUNTIF($G$2:G50,$G51)=0),"",$Q51-LOOKUP(2,1/($G$2:G50=$G51),$Q$2:Q50))</f>
        <v/>
      </c>
      <c r="T51" s="28" t="str">
        <f>IF(OR($G51="",$R51="",COUNTIF($G$2:G50,$G51)=0),"",$R51-LOOKUP(2,1/($G$2:G50=$G51),$R$2:R50))</f>
        <v/>
      </c>
      <c r="U51" s="11" t="str">
        <f t="shared" si="6"/>
        <v/>
      </c>
      <c r="V51" s="4"/>
      <c r="W51" s="4"/>
      <c r="X51" s="55"/>
      <c r="Y51" s="56" t="str">
        <f>IF($B51="","",IF((IF($G51="","Sin unidad | ","")&amp;IF($J51="","Sin responsable | ","")&amp;IF($K51="","Sin obra | ","")&amp;IF(AND($N51&lt;&gt;"",$G51&lt;&gt;"",$N51&gt;IFERROR(INDEX('MAESTRO DE UNIDADES'!$I$2:$I$208,MATCH($G51,'MAESTRO DE UNIDADES'!$A$2:$A$208,0)),0)),"Litros &gt; tanque | ","")&amp;IF(AND($W51&lt;&gt;"",COUNTIF($W$2:$W51,$W51)&gt;1),"Ticket duplicado | ","")&amp;IF(AND($G51&lt;&gt;"",IFERROR(INDEX('MAESTRO DE UNIDADES'!$L$2:$L$208,MATCH($G51,'MAESTRO DE UNIDADES'!$A$2:$A$208,0)),"")="Inactivo"),"Unidad inactiva | ","")&amp;IF(AND($AA51&lt;&gt;"",$N51=""),"Carga de batán sin litros | ","")&amp;IF(AND($AA51&lt;&gt;"",$AC51&lt;0),"Supera saldo batán | ",""))="","OK",LEFT((IF($G51="","Sin unidad | ","")&amp;IF($J51="","Sin responsable | ","")&amp;IF($K51="","Sin obra | ","")&amp;IF(AND($N51&lt;&gt;"",$G51&lt;&gt;"",$N51&gt;IFERROR(INDEX('MAESTRO DE UNIDADES'!$I$2:$I$208,MATCH($G51,'MAESTRO DE UNIDADES'!$A$2:$A$208,0)),0)),"Litros &gt; tanque | ","")&amp;IF(AND($W51&lt;&gt;"",COUNTIF($W$2:$W51,$W51)&gt;1),"Ticket duplicado | ","")&amp;IF(AND($G51&lt;&gt;"",IFERROR(INDEX('MAESTRO DE UNIDADES'!$L$2:$L$208,MATCH($G51,'MAESTRO DE UNIDADES'!$A$2:$A$208,0)),"")="Inactivo"),"Unidad inactiva | ","")&amp;IF(AND($AA51&lt;&gt;"",$N51=""),"Carga de batán sin litros | ","")&amp;IF(AND($AA51&lt;&gt;"",$AC51&lt;0),"Supera saldo batán | ","")),LEN((IF($G51="","Sin unidad | ","")&amp;IF($J51="","Sin responsable | ","")&amp;IF($K51="","Sin obra | ","")&amp;IF(AND($N51&lt;&gt;"",$G51&lt;&gt;"",$N51&gt;IFERROR(INDEX('MAESTRO DE UNIDADES'!$I$2:$I$208,MATCH($G51,'MAESTRO DE UNIDADES'!$A$2:$A$208,0)),0)),"Litros &gt; tanque | ","")&amp;IF(AND($W51&lt;&gt;"",COUNTIF($W$2:$W51,$W51)&gt;1),"Ticket duplicado | ","")&amp;IF(AND($G51&lt;&gt;"",IFERROR(INDEX('MAESTRO DE UNIDADES'!$L$2:$L$208,MATCH($G51,'MAESTRO DE UNIDADES'!$A$2:$A$208,0)),"")="Inactivo"),"Unidad inactiva | ","")&amp;IF(AND($AA51&lt;&gt;"",$N51=""),"Carga de batán sin litros | ","")&amp;IF(AND($AA51&lt;&gt;"",$AC51&lt;0),"Supera saldo batán | ","")))-3)))</f>
        <v/>
      </c>
      <c r="Z51" s="8" t="str">
        <f t="shared" si="7"/>
        <v/>
      </c>
      <c r="AA51" s="4"/>
      <c r="AB51" s="26" t="str">
        <f>IF($AA51="","",IFERROR(INDEX('CONTROL DE BATAN'!$J$2:$J$301,MATCH($AA51,'CONTROL DE BATAN'!$A$2:$A$301,0)),""))</f>
        <v/>
      </c>
      <c r="AC51" s="28" t="str">
        <f>IF($AA51="","",IFERROR(INDEX('CONTROL DE BATAN'!$I$2:$I$301,MATCH($AA51,'CONTROL DE BATAN'!$A$2:$A$301,0)),0)-SUMIFS($N$2:$N51,$AA$2:$AA51,$AA51))</f>
        <v/>
      </c>
    </row>
    <row r="52" spans="1:29" x14ac:dyDescent="0.25">
      <c r="A52" s="8" t="str">
        <f t="shared" si="1"/>
        <v/>
      </c>
      <c r="B52" s="9"/>
      <c r="C52" s="8" t="str">
        <f t="shared" si="2"/>
        <v/>
      </c>
      <c r="D52" s="10" t="str">
        <f t="shared" si="3"/>
        <v/>
      </c>
      <c r="E52" s="8" t="str">
        <f t="shared" si="4"/>
        <v/>
      </c>
      <c r="F52" s="8" t="str">
        <f>IF($G52="","",IFERROR(INDEX('MAESTRO DE UNIDADES'!$C$2:$C$208,MATCH($G52,'MAESTRO DE UNIDADES'!$A$2:$A$208,0)),""))</f>
        <v/>
      </c>
      <c r="G52" s="4"/>
      <c r="H52" s="8" t="str">
        <f>IF($G52="","",IFERROR(INDEX('MAESTRO DE UNIDADES'!$F$2:$F$208,MATCH($G52,'MAESTRO DE UNIDADES'!$A$2:$A$208,0)),""))</f>
        <v/>
      </c>
      <c r="I52" s="8" t="str">
        <f>IF($G52="","",IFERROR(INDEX('MAESTRO DE UNIDADES'!$B$2:$B$208,MATCH($G52,'MAESTRO DE UNIDADES'!$A$2:$A$208,0)),""))</f>
        <v/>
      </c>
      <c r="J52" s="4"/>
      <c r="K52" s="4"/>
      <c r="L52" s="4"/>
      <c r="M52" s="8" t="str">
        <f>IF($G52="","",IFERROR(INDEX('MAESTRO DE UNIDADES'!$H$2:$H$208,MATCH($G52,'MAESTRO DE UNIDADES'!$A$2:$A$208,0)),""))</f>
        <v/>
      </c>
      <c r="N52" s="17"/>
      <c r="O52" s="25"/>
      <c r="P52" s="26" t="str">
        <f t="shared" si="5"/>
        <v/>
      </c>
      <c r="Q52" s="27"/>
      <c r="R52" s="27"/>
      <c r="S52" s="28" t="str">
        <f>IF(OR($G52="",$Q52="",COUNTIF($G$2:G51,$G52)=0),"",$Q52-LOOKUP(2,1/($G$2:G51=$G52),$Q$2:Q51))</f>
        <v/>
      </c>
      <c r="T52" s="28" t="str">
        <f>IF(OR($G52="",$R52="",COUNTIF($G$2:G51,$G52)=0),"",$R52-LOOKUP(2,1/($G$2:G51=$G52),$R$2:R51))</f>
        <v/>
      </c>
      <c r="U52" s="11" t="str">
        <f t="shared" si="6"/>
        <v/>
      </c>
      <c r="V52" s="4"/>
      <c r="W52" s="4"/>
      <c r="X52" s="55"/>
      <c r="Y52" s="56" t="str">
        <f>IF($B52="","",IF((IF($G52="","Sin unidad | ","")&amp;IF($J52="","Sin responsable | ","")&amp;IF($K52="","Sin obra | ","")&amp;IF(AND($N52&lt;&gt;"",$G52&lt;&gt;"",$N52&gt;IFERROR(INDEX('MAESTRO DE UNIDADES'!$I$2:$I$208,MATCH($G52,'MAESTRO DE UNIDADES'!$A$2:$A$208,0)),0)),"Litros &gt; tanque | ","")&amp;IF(AND($W52&lt;&gt;"",COUNTIF($W$2:$W52,$W52)&gt;1),"Ticket duplicado | ","")&amp;IF(AND($G52&lt;&gt;"",IFERROR(INDEX('MAESTRO DE UNIDADES'!$L$2:$L$208,MATCH($G52,'MAESTRO DE UNIDADES'!$A$2:$A$208,0)),"")="Inactivo"),"Unidad inactiva | ","")&amp;IF(AND($AA52&lt;&gt;"",$N52=""),"Carga de batán sin litros | ","")&amp;IF(AND($AA52&lt;&gt;"",$AC52&lt;0),"Supera saldo batán | ",""))="","OK",LEFT((IF($G52="","Sin unidad | ","")&amp;IF($J52="","Sin responsable | ","")&amp;IF($K52="","Sin obra | ","")&amp;IF(AND($N52&lt;&gt;"",$G52&lt;&gt;"",$N52&gt;IFERROR(INDEX('MAESTRO DE UNIDADES'!$I$2:$I$208,MATCH($G52,'MAESTRO DE UNIDADES'!$A$2:$A$208,0)),0)),"Litros &gt; tanque | ","")&amp;IF(AND($W52&lt;&gt;"",COUNTIF($W$2:$W52,$W52)&gt;1),"Ticket duplicado | ","")&amp;IF(AND($G52&lt;&gt;"",IFERROR(INDEX('MAESTRO DE UNIDADES'!$L$2:$L$208,MATCH($G52,'MAESTRO DE UNIDADES'!$A$2:$A$208,0)),"")="Inactivo"),"Unidad inactiva | ","")&amp;IF(AND($AA52&lt;&gt;"",$N52=""),"Carga de batán sin litros | ","")&amp;IF(AND($AA52&lt;&gt;"",$AC52&lt;0),"Supera saldo batán | ","")),LEN((IF($G52="","Sin unidad | ","")&amp;IF($J52="","Sin responsable | ","")&amp;IF($K52="","Sin obra | ","")&amp;IF(AND($N52&lt;&gt;"",$G52&lt;&gt;"",$N52&gt;IFERROR(INDEX('MAESTRO DE UNIDADES'!$I$2:$I$208,MATCH($G52,'MAESTRO DE UNIDADES'!$A$2:$A$208,0)),0)),"Litros &gt; tanque | ","")&amp;IF(AND($W52&lt;&gt;"",COUNTIF($W$2:$W52,$W52)&gt;1),"Ticket duplicado | ","")&amp;IF(AND($G52&lt;&gt;"",IFERROR(INDEX('MAESTRO DE UNIDADES'!$L$2:$L$208,MATCH($G52,'MAESTRO DE UNIDADES'!$A$2:$A$208,0)),"")="Inactivo"),"Unidad inactiva | ","")&amp;IF(AND($AA52&lt;&gt;"",$N52=""),"Carga de batán sin litros | ","")&amp;IF(AND($AA52&lt;&gt;"",$AC52&lt;0),"Supera saldo batán | ","")))-3)))</f>
        <v/>
      </c>
      <c r="Z52" s="8" t="str">
        <f t="shared" si="7"/>
        <v/>
      </c>
      <c r="AA52" s="4"/>
      <c r="AB52" s="26" t="str">
        <f>IF($AA52="","",IFERROR(INDEX('CONTROL DE BATAN'!$J$2:$J$301,MATCH($AA52,'CONTROL DE BATAN'!$A$2:$A$301,0)),""))</f>
        <v/>
      </c>
      <c r="AC52" s="28" t="str">
        <f>IF($AA52="","",IFERROR(INDEX('CONTROL DE BATAN'!$I$2:$I$301,MATCH($AA52,'CONTROL DE BATAN'!$A$2:$A$301,0)),0)-SUMIFS($N$2:$N52,$AA$2:$AA52,$AA52))</f>
        <v/>
      </c>
    </row>
    <row r="53" spans="1:29" x14ac:dyDescent="0.25">
      <c r="A53" s="8" t="str">
        <f t="shared" si="1"/>
        <v/>
      </c>
      <c r="B53" s="9"/>
      <c r="C53" s="8" t="str">
        <f t="shared" si="2"/>
        <v/>
      </c>
      <c r="D53" s="10" t="str">
        <f t="shared" si="3"/>
        <v/>
      </c>
      <c r="E53" s="8" t="str">
        <f t="shared" si="4"/>
        <v/>
      </c>
      <c r="F53" s="8" t="str">
        <f>IF($G53="","",IFERROR(INDEX('MAESTRO DE UNIDADES'!$C$2:$C$208,MATCH($G53,'MAESTRO DE UNIDADES'!$A$2:$A$208,0)),""))</f>
        <v/>
      </c>
      <c r="G53" s="4"/>
      <c r="H53" s="8" t="str">
        <f>IF($G53="","",IFERROR(INDEX('MAESTRO DE UNIDADES'!$F$2:$F$208,MATCH($G53,'MAESTRO DE UNIDADES'!$A$2:$A$208,0)),""))</f>
        <v/>
      </c>
      <c r="I53" s="8" t="str">
        <f>IF($G53="","",IFERROR(INDEX('MAESTRO DE UNIDADES'!$B$2:$B$208,MATCH($G53,'MAESTRO DE UNIDADES'!$A$2:$A$208,0)),""))</f>
        <v/>
      </c>
      <c r="J53" s="4"/>
      <c r="K53" s="4"/>
      <c r="L53" s="4"/>
      <c r="M53" s="8" t="str">
        <f>IF($G53="","",IFERROR(INDEX('MAESTRO DE UNIDADES'!$H$2:$H$208,MATCH($G53,'MAESTRO DE UNIDADES'!$A$2:$A$208,0)),""))</f>
        <v/>
      </c>
      <c r="N53" s="17"/>
      <c r="O53" s="25"/>
      <c r="P53" s="26" t="str">
        <f t="shared" si="5"/>
        <v/>
      </c>
      <c r="Q53" s="27"/>
      <c r="R53" s="27"/>
      <c r="S53" s="28" t="str">
        <f>IF(OR($G53="",$Q53="",COUNTIF($G$2:G52,$G53)=0),"",$Q53-LOOKUP(2,1/($G$2:G52=$G53),$Q$2:Q52))</f>
        <v/>
      </c>
      <c r="T53" s="28" t="str">
        <f>IF(OR($G53="",$R53="",COUNTIF($G$2:G52,$G53)=0),"",$R53-LOOKUP(2,1/($G$2:G52=$G53),$R$2:R52))</f>
        <v/>
      </c>
      <c r="U53" s="11" t="str">
        <f t="shared" si="6"/>
        <v/>
      </c>
      <c r="V53" s="4"/>
      <c r="W53" s="4"/>
      <c r="X53" s="55"/>
      <c r="Y53" s="56" t="str">
        <f>IF($B53="","",IF((IF($G53="","Sin unidad | ","")&amp;IF($J53="","Sin responsable | ","")&amp;IF($K53="","Sin obra | ","")&amp;IF(AND($N53&lt;&gt;"",$G53&lt;&gt;"",$N53&gt;IFERROR(INDEX('MAESTRO DE UNIDADES'!$I$2:$I$208,MATCH($G53,'MAESTRO DE UNIDADES'!$A$2:$A$208,0)),0)),"Litros &gt; tanque | ","")&amp;IF(AND($W53&lt;&gt;"",COUNTIF($W$2:$W53,$W53)&gt;1),"Ticket duplicado | ","")&amp;IF(AND($G53&lt;&gt;"",IFERROR(INDEX('MAESTRO DE UNIDADES'!$L$2:$L$208,MATCH($G53,'MAESTRO DE UNIDADES'!$A$2:$A$208,0)),"")="Inactivo"),"Unidad inactiva | ","")&amp;IF(AND($AA53&lt;&gt;"",$N53=""),"Carga de batán sin litros | ","")&amp;IF(AND($AA53&lt;&gt;"",$AC53&lt;0),"Supera saldo batán | ",""))="","OK",LEFT((IF($G53="","Sin unidad | ","")&amp;IF($J53="","Sin responsable | ","")&amp;IF($K53="","Sin obra | ","")&amp;IF(AND($N53&lt;&gt;"",$G53&lt;&gt;"",$N53&gt;IFERROR(INDEX('MAESTRO DE UNIDADES'!$I$2:$I$208,MATCH($G53,'MAESTRO DE UNIDADES'!$A$2:$A$208,0)),0)),"Litros &gt; tanque | ","")&amp;IF(AND($W53&lt;&gt;"",COUNTIF($W$2:$W53,$W53)&gt;1),"Ticket duplicado | ","")&amp;IF(AND($G53&lt;&gt;"",IFERROR(INDEX('MAESTRO DE UNIDADES'!$L$2:$L$208,MATCH($G53,'MAESTRO DE UNIDADES'!$A$2:$A$208,0)),"")="Inactivo"),"Unidad inactiva | ","")&amp;IF(AND($AA53&lt;&gt;"",$N53=""),"Carga de batán sin litros | ","")&amp;IF(AND($AA53&lt;&gt;"",$AC53&lt;0),"Supera saldo batán | ","")),LEN((IF($G53="","Sin unidad | ","")&amp;IF($J53="","Sin responsable | ","")&amp;IF($K53="","Sin obra | ","")&amp;IF(AND($N53&lt;&gt;"",$G53&lt;&gt;"",$N53&gt;IFERROR(INDEX('MAESTRO DE UNIDADES'!$I$2:$I$208,MATCH($G53,'MAESTRO DE UNIDADES'!$A$2:$A$208,0)),0)),"Litros &gt; tanque | ","")&amp;IF(AND($W53&lt;&gt;"",COUNTIF($W$2:$W53,$W53)&gt;1),"Ticket duplicado | ","")&amp;IF(AND($G53&lt;&gt;"",IFERROR(INDEX('MAESTRO DE UNIDADES'!$L$2:$L$208,MATCH($G53,'MAESTRO DE UNIDADES'!$A$2:$A$208,0)),"")="Inactivo"),"Unidad inactiva | ","")&amp;IF(AND($AA53&lt;&gt;"",$N53=""),"Carga de batán sin litros | ","")&amp;IF(AND($AA53&lt;&gt;"",$AC53&lt;0),"Supera saldo batán | ","")))-3)))</f>
        <v/>
      </c>
      <c r="Z53" s="8" t="str">
        <f t="shared" si="7"/>
        <v/>
      </c>
      <c r="AA53" s="4"/>
      <c r="AB53" s="26" t="str">
        <f>IF($AA53="","",IFERROR(INDEX('CONTROL DE BATAN'!$J$2:$J$301,MATCH($AA53,'CONTROL DE BATAN'!$A$2:$A$301,0)),""))</f>
        <v/>
      </c>
      <c r="AC53" s="28" t="str">
        <f>IF($AA53="","",IFERROR(INDEX('CONTROL DE BATAN'!$I$2:$I$301,MATCH($AA53,'CONTROL DE BATAN'!$A$2:$A$301,0)),0)-SUMIFS($N$2:$N53,$AA$2:$AA53,$AA53))</f>
        <v/>
      </c>
    </row>
    <row r="54" spans="1:29" x14ac:dyDescent="0.25">
      <c r="A54" s="8" t="str">
        <f t="shared" si="1"/>
        <v/>
      </c>
      <c r="B54" s="9"/>
      <c r="C54" s="8" t="str">
        <f t="shared" si="2"/>
        <v/>
      </c>
      <c r="D54" s="10" t="str">
        <f t="shared" si="3"/>
        <v/>
      </c>
      <c r="E54" s="8" t="str">
        <f t="shared" si="4"/>
        <v/>
      </c>
      <c r="F54" s="8" t="str">
        <f>IF($G54="","",IFERROR(INDEX('MAESTRO DE UNIDADES'!$C$2:$C$208,MATCH($G54,'MAESTRO DE UNIDADES'!$A$2:$A$208,0)),""))</f>
        <v/>
      </c>
      <c r="G54" s="4"/>
      <c r="H54" s="8" t="str">
        <f>IF($G54="","",IFERROR(INDEX('MAESTRO DE UNIDADES'!$F$2:$F$208,MATCH($G54,'MAESTRO DE UNIDADES'!$A$2:$A$208,0)),""))</f>
        <v/>
      </c>
      <c r="I54" s="8" t="str">
        <f>IF($G54="","",IFERROR(INDEX('MAESTRO DE UNIDADES'!$B$2:$B$208,MATCH($G54,'MAESTRO DE UNIDADES'!$A$2:$A$208,0)),""))</f>
        <v/>
      </c>
      <c r="J54" s="4"/>
      <c r="K54" s="4"/>
      <c r="L54" s="4"/>
      <c r="M54" s="8" t="str">
        <f>IF($G54="","",IFERROR(INDEX('MAESTRO DE UNIDADES'!$H$2:$H$208,MATCH($G54,'MAESTRO DE UNIDADES'!$A$2:$A$208,0)),""))</f>
        <v/>
      </c>
      <c r="N54" s="17"/>
      <c r="O54" s="25"/>
      <c r="P54" s="26" t="str">
        <f t="shared" si="5"/>
        <v/>
      </c>
      <c r="Q54" s="27"/>
      <c r="R54" s="27"/>
      <c r="S54" s="28" t="str">
        <f>IF(OR($G54="",$Q54="",COUNTIF($G$2:G53,$G54)=0),"",$Q54-LOOKUP(2,1/($G$2:G53=$G54),$Q$2:Q53))</f>
        <v/>
      </c>
      <c r="T54" s="28" t="str">
        <f>IF(OR($G54="",$R54="",COUNTIF($G$2:G53,$G54)=0),"",$R54-LOOKUP(2,1/($G$2:G53=$G54),$R$2:R53))</f>
        <v/>
      </c>
      <c r="U54" s="11" t="str">
        <f t="shared" si="6"/>
        <v/>
      </c>
      <c r="V54" s="4"/>
      <c r="W54" s="4"/>
      <c r="X54" s="55"/>
      <c r="Y54" s="56" t="str">
        <f>IF($B54="","",IF((IF($G54="","Sin unidad | ","")&amp;IF($J54="","Sin responsable | ","")&amp;IF($K54="","Sin obra | ","")&amp;IF(AND($N54&lt;&gt;"",$G54&lt;&gt;"",$N54&gt;IFERROR(INDEX('MAESTRO DE UNIDADES'!$I$2:$I$208,MATCH($G54,'MAESTRO DE UNIDADES'!$A$2:$A$208,0)),0)),"Litros &gt; tanque | ","")&amp;IF(AND($W54&lt;&gt;"",COUNTIF($W$2:$W54,$W54)&gt;1),"Ticket duplicado | ","")&amp;IF(AND($G54&lt;&gt;"",IFERROR(INDEX('MAESTRO DE UNIDADES'!$L$2:$L$208,MATCH($G54,'MAESTRO DE UNIDADES'!$A$2:$A$208,0)),"")="Inactivo"),"Unidad inactiva | ","")&amp;IF(AND($AA54&lt;&gt;"",$N54=""),"Carga de batán sin litros | ","")&amp;IF(AND($AA54&lt;&gt;"",$AC54&lt;0),"Supera saldo batán | ",""))="","OK",LEFT((IF($G54="","Sin unidad | ","")&amp;IF($J54="","Sin responsable | ","")&amp;IF($K54="","Sin obra | ","")&amp;IF(AND($N54&lt;&gt;"",$G54&lt;&gt;"",$N54&gt;IFERROR(INDEX('MAESTRO DE UNIDADES'!$I$2:$I$208,MATCH($G54,'MAESTRO DE UNIDADES'!$A$2:$A$208,0)),0)),"Litros &gt; tanque | ","")&amp;IF(AND($W54&lt;&gt;"",COUNTIF($W$2:$W54,$W54)&gt;1),"Ticket duplicado | ","")&amp;IF(AND($G54&lt;&gt;"",IFERROR(INDEX('MAESTRO DE UNIDADES'!$L$2:$L$208,MATCH($G54,'MAESTRO DE UNIDADES'!$A$2:$A$208,0)),"")="Inactivo"),"Unidad inactiva | ","")&amp;IF(AND($AA54&lt;&gt;"",$N54=""),"Carga de batán sin litros | ","")&amp;IF(AND($AA54&lt;&gt;"",$AC54&lt;0),"Supera saldo batán | ","")),LEN((IF($G54="","Sin unidad | ","")&amp;IF($J54="","Sin responsable | ","")&amp;IF($K54="","Sin obra | ","")&amp;IF(AND($N54&lt;&gt;"",$G54&lt;&gt;"",$N54&gt;IFERROR(INDEX('MAESTRO DE UNIDADES'!$I$2:$I$208,MATCH($G54,'MAESTRO DE UNIDADES'!$A$2:$A$208,0)),0)),"Litros &gt; tanque | ","")&amp;IF(AND($W54&lt;&gt;"",COUNTIF($W$2:$W54,$W54)&gt;1),"Ticket duplicado | ","")&amp;IF(AND($G54&lt;&gt;"",IFERROR(INDEX('MAESTRO DE UNIDADES'!$L$2:$L$208,MATCH($G54,'MAESTRO DE UNIDADES'!$A$2:$A$208,0)),"")="Inactivo"),"Unidad inactiva | ","")&amp;IF(AND($AA54&lt;&gt;"",$N54=""),"Carga de batán sin litros | ","")&amp;IF(AND($AA54&lt;&gt;"",$AC54&lt;0),"Supera saldo batán | ","")))-3)))</f>
        <v/>
      </c>
      <c r="Z54" s="8" t="str">
        <f t="shared" si="7"/>
        <v/>
      </c>
      <c r="AA54" s="4"/>
      <c r="AB54" s="26" t="str">
        <f>IF($AA54="","",IFERROR(INDEX('CONTROL DE BATAN'!$J$2:$J$301,MATCH($AA54,'CONTROL DE BATAN'!$A$2:$A$301,0)),""))</f>
        <v/>
      </c>
      <c r="AC54" s="28" t="str">
        <f>IF($AA54="","",IFERROR(INDEX('CONTROL DE BATAN'!$I$2:$I$301,MATCH($AA54,'CONTROL DE BATAN'!$A$2:$A$301,0)),0)-SUMIFS($N$2:$N54,$AA$2:$AA54,$AA54))</f>
        <v/>
      </c>
    </row>
    <row r="55" spans="1:29" x14ac:dyDescent="0.25">
      <c r="A55" s="8" t="str">
        <f t="shared" si="1"/>
        <v/>
      </c>
      <c r="B55" s="9"/>
      <c r="C55" s="8" t="str">
        <f t="shared" si="2"/>
        <v/>
      </c>
      <c r="D55" s="10" t="str">
        <f t="shared" si="3"/>
        <v/>
      </c>
      <c r="E55" s="8" t="str">
        <f t="shared" si="4"/>
        <v/>
      </c>
      <c r="F55" s="8" t="str">
        <f>IF($G55="","",IFERROR(INDEX('MAESTRO DE UNIDADES'!$C$2:$C$208,MATCH($G55,'MAESTRO DE UNIDADES'!$A$2:$A$208,0)),""))</f>
        <v/>
      </c>
      <c r="G55" s="4"/>
      <c r="H55" s="8" t="str">
        <f>IF($G55="","",IFERROR(INDEX('MAESTRO DE UNIDADES'!$F$2:$F$208,MATCH($G55,'MAESTRO DE UNIDADES'!$A$2:$A$208,0)),""))</f>
        <v/>
      </c>
      <c r="I55" s="8" t="str">
        <f>IF($G55="","",IFERROR(INDEX('MAESTRO DE UNIDADES'!$B$2:$B$208,MATCH($G55,'MAESTRO DE UNIDADES'!$A$2:$A$208,0)),""))</f>
        <v/>
      </c>
      <c r="J55" s="4"/>
      <c r="K55" s="4"/>
      <c r="L55" s="4"/>
      <c r="M55" s="8" t="str">
        <f>IF($G55="","",IFERROR(INDEX('MAESTRO DE UNIDADES'!$H$2:$H$208,MATCH($G55,'MAESTRO DE UNIDADES'!$A$2:$A$208,0)),""))</f>
        <v/>
      </c>
      <c r="N55" s="17"/>
      <c r="O55" s="25"/>
      <c r="P55" s="26" t="str">
        <f t="shared" si="5"/>
        <v/>
      </c>
      <c r="Q55" s="27"/>
      <c r="R55" s="27"/>
      <c r="S55" s="28" t="str">
        <f>IF(OR($G55="",$Q55="",COUNTIF($G$2:G54,$G55)=0),"",$Q55-LOOKUP(2,1/($G$2:G54=$G55),$Q$2:Q54))</f>
        <v/>
      </c>
      <c r="T55" s="28" t="str">
        <f>IF(OR($G55="",$R55="",COUNTIF($G$2:G54,$G55)=0),"",$R55-LOOKUP(2,1/($G$2:G54=$G55),$R$2:R54))</f>
        <v/>
      </c>
      <c r="U55" s="11" t="str">
        <f t="shared" si="6"/>
        <v/>
      </c>
      <c r="V55" s="4"/>
      <c r="W55" s="4"/>
      <c r="X55" s="55"/>
      <c r="Y55" s="56" t="str">
        <f>IF($B55="","",IF((IF($G55="","Sin unidad | ","")&amp;IF($J55="","Sin responsable | ","")&amp;IF($K55="","Sin obra | ","")&amp;IF(AND($N55&lt;&gt;"",$G55&lt;&gt;"",$N55&gt;IFERROR(INDEX('MAESTRO DE UNIDADES'!$I$2:$I$208,MATCH($G55,'MAESTRO DE UNIDADES'!$A$2:$A$208,0)),0)),"Litros &gt; tanque | ","")&amp;IF(AND($W55&lt;&gt;"",COUNTIF($W$2:$W55,$W55)&gt;1),"Ticket duplicado | ","")&amp;IF(AND($G55&lt;&gt;"",IFERROR(INDEX('MAESTRO DE UNIDADES'!$L$2:$L$208,MATCH($G55,'MAESTRO DE UNIDADES'!$A$2:$A$208,0)),"")="Inactivo"),"Unidad inactiva | ","")&amp;IF(AND($AA55&lt;&gt;"",$N55=""),"Carga de batán sin litros | ","")&amp;IF(AND($AA55&lt;&gt;"",$AC55&lt;0),"Supera saldo batán | ",""))="","OK",LEFT((IF($G55="","Sin unidad | ","")&amp;IF($J55="","Sin responsable | ","")&amp;IF($K55="","Sin obra | ","")&amp;IF(AND($N55&lt;&gt;"",$G55&lt;&gt;"",$N55&gt;IFERROR(INDEX('MAESTRO DE UNIDADES'!$I$2:$I$208,MATCH($G55,'MAESTRO DE UNIDADES'!$A$2:$A$208,0)),0)),"Litros &gt; tanque | ","")&amp;IF(AND($W55&lt;&gt;"",COUNTIF($W$2:$W55,$W55)&gt;1),"Ticket duplicado | ","")&amp;IF(AND($G55&lt;&gt;"",IFERROR(INDEX('MAESTRO DE UNIDADES'!$L$2:$L$208,MATCH($G55,'MAESTRO DE UNIDADES'!$A$2:$A$208,0)),"")="Inactivo"),"Unidad inactiva | ","")&amp;IF(AND($AA55&lt;&gt;"",$N55=""),"Carga de batán sin litros | ","")&amp;IF(AND($AA55&lt;&gt;"",$AC55&lt;0),"Supera saldo batán | ","")),LEN((IF($G55="","Sin unidad | ","")&amp;IF($J55="","Sin responsable | ","")&amp;IF($K55="","Sin obra | ","")&amp;IF(AND($N55&lt;&gt;"",$G55&lt;&gt;"",$N55&gt;IFERROR(INDEX('MAESTRO DE UNIDADES'!$I$2:$I$208,MATCH($G55,'MAESTRO DE UNIDADES'!$A$2:$A$208,0)),0)),"Litros &gt; tanque | ","")&amp;IF(AND($W55&lt;&gt;"",COUNTIF($W$2:$W55,$W55)&gt;1),"Ticket duplicado | ","")&amp;IF(AND($G55&lt;&gt;"",IFERROR(INDEX('MAESTRO DE UNIDADES'!$L$2:$L$208,MATCH($G55,'MAESTRO DE UNIDADES'!$A$2:$A$208,0)),"")="Inactivo"),"Unidad inactiva | ","")&amp;IF(AND($AA55&lt;&gt;"",$N55=""),"Carga de batán sin litros | ","")&amp;IF(AND($AA55&lt;&gt;"",$AC55&lt;0),"Supera saldo batán | ","")))-3)))</f>
        <v/>
      </c>
      <c r="Z55" s="8" t="str">
        <f t="shared" si="7"/>
        <v/>
      </c>
      <c r="AA55" s="4"/>
      <c r="AB55" s="26" t="str">
        <f>IF($AA55="","",IFERROR(INDEX('CONTROL DE BATAN'!$J$2:$J$301,MATCH($AA55,'CONTROL DE BATAN'!$A$2:$A$301,0)),""))</f>
        <v/>
      </c>
      <c r="AC55" s="28" t="str">
        <f>IF($AA55="","",IFERROR(INDEX('CONTROL DE BATAN'!$I$2:$I$301,MATCH($AA55,'CONTROL DE BATAN'!$A$2:$A$301,0)),0)-SUMIFS($N$2:$N55,$AA$2:$AA55,$AA55))</f>
        <v/>
      </c>
    </row>
    <row r="56" spans="1:29" x14ac:dyDescent="0.25">
      <c r="A56" s="8" t="str">
        <f t="shared" si="1"/>
        <v/>
      </c>
      <c r="B56" s="9"/>
      <c r="C56" s="8" t="str">
        <f t="shared" si="2"/>
        <v/>
      </c>
      <c r="D56" s="10" t="str">
        <f t="shared" si="3"/>
        <v/>
      </c>
      <c r="E56" s="8" t="str">
        <f t="shared" si="4"/>
        <v/>
      </c>
      <c r="F56" s="8" t="str">
        <f>IF($G56="","",IFERROR(INDEX('MAESTRO DE UNIDADES'!$C$2:$C$208,MATCH($G56,'MAESTRO DE UNIDADES'!$A$2:$A$208,0)),""))</f>
        <v/>
      </c>
      <c r="G56" s="4"/>
      <c r="H56" s="8" t="str">
        <f>IF($G56="","",IFERROR(INDEX('MAESTRO DE UNIDADES'!$F$2:$F$208,MATCH($G56,'MAESTRO DE UNIDADES'!$A$2:$A$208,0)),""))</f>
        <v/>
      </c>
      <c r="I56" s="8" t="str">
        <f>IF($G56="","",IFERROR(INDEX('MAESTRO DE UNIDADES'!$B$2:$B$208,MATCH($G56,'MAESTRO DE UNIDADES'!$A$2:$A$208,0)),""))</f>
        <v/>
      </c>
      <c r="J56" s="4"/>
      <c r="K56" s="4"/>
      <c r="L56" s="4"/>
      <c r="M56" s="8" t="str">
        <f>IF($G56="","",IFERROR(INDEX('MAESTRO DE UNIDADES'!$H$2:$H$208,MATCH($G56,'MAESTRO DE UNIDADES'!$A$2:$A$208,0)),""))</f>
        <v/>
      </c>
      <c r="N56" s="17"/>
      <c r="O56" s="25"/>
      <c r="P56" s="26" t="str">
        <f t="shared" si="5"/>
        <v/>
      </c>
      <c r="Q56" s="27"/>
      <c r="R56" s="27"/>
      <c r="S56" s="28" t="str">
        <f>IF(OR($G56="",$Q56="",COUNTIF($G$2:G55,$G56)=0),"",$Q56-LOOKUP(2,1/($G$2:G55=$G56),$Q$2:Q55))</f>
        <v/>
      </c>
      <c r="T56" s="28" t="str">
        <f>IF(OR($G56="",$R56="",COUNTIF($G$2:G55,$G56)=0),"",$R56-LOOKUP(2,1/($G$2:G55=$G56),$R$2:R55))</f>
        <v/>
      </c>
      <c r="U56" s="11" t="str">
        <f t="shared" si="6"/>
        <v/>
      </c>
      <c r="V56" s="4"/>
      <c r="W56" s="4"/>
      <c r="X56" s="55"/>
      <c r="Y56" s="56" t="str">
        <f>IF($B56="","",IF((IF($G56="","Sin unidad | ","")&amp;IF($J56="","Sin responsable | ","")&amp;IF($K56="","Sin obra | ","")&amp;IF(AND($N56&lt;&gt;"",$G56&lt;&gt;"",$N56&gt;IFERROR(INDEX('MAESTRO DE UNIDADES'!$I$2:$I$208,MATCH($G56,'MAESTRO DE UNIDADES'!$A$2:$A$208,0)),0)),"Litros &gt; tanque | ","")&amp;IF(AND($W56&lt;&gt;"",COUNTIF($W$2:$W56,$W56)&gt;1),"Ticket duplicado | ","")&amp;IF(AND($G56&lt;&gt;"",IFERROR(INDEX('MAESTRO DE UNIDADES'!$L$2:$L$208,MATCH($G56,'MAESTRO DE UNIDADES'!$A$2:$A$208,0)),"")="Inactivo"),"Unidad inactiva | ","")&amp;IF(AND($AA56&lt;&gt;"",$N56=""),"Carga de batán sin litros | ","")&amp;IF(AND($AA56&lt;&gt;"",$AC56&lt;0),"Supera saldo batán | ",""))="","OK",LEFT((IF($G56="","Sin unidad | ","")&amp;IF($J56="","Sin responsable | ","")&amp;IF($K56="","Sin obra | ","")&amp;IF(AND($N56&lt;&gt;"",$G56&lt;&gt;"",$N56&gt;IFERROR(INDEX('MAESTRO DE UNIDADES'!$I$2:$I$208,MATCH($G56,'MAESTRO DE UNIDADES'!$A$2:$A$208,0)),0)),"Litros &gt; tanque | ","")&amp;IF(AND($W56&lt;&gt;"",COUNTIF($W$2:$W56,$W56)&gt;1),"Ticket duplicado | ","")&amp;IF(AND($G56&lt;&gt;"",IFERROR(INDEX('MAESTRO DE UNIDADES'!$L$2:$L$208,MATCH($G56,'MAESTRO DE UNIDADES'!$A$2:$A$208,0)),"")="Inactivo"),"Unidad inactiva | ","")&amp;IF(AND($AA56&lt;&gt;"",$N56=""),"Carga de batán sin litros | ","")&amp;IF(AND($AA56&lt;&gt;"",$AC56&lt;0),"Supera saldo batán | ","")),LEN((IF($G56="","Sin unidad | ","")&amp;IF($J56="","Sin responsable | ","")&amp;IF($K56="","Sin obra | ","")&amp;IF(AND($N56&lt;&gt;"",$G56&lt;&gt;"",$N56&gt;IFERROR(INDEX('MAESTRO DE UNIDADES'!$I$2:$I$208,MATCH($G56,'MAESTRO DE UNIDADES'!$A$2:$A$208,0)),0)),"Litros &gt; tanque | ","")&amp;IF(AND($W56&lt;&gt;"",COUNTIF($W$2:$W56,$W56)&gt;1),"Ticket duplicado | ","")&amp;IF(AND($G56&lt;&gt;"",IFERROR(INDEX('MAESTRO DE UNIDADES'!$L$2:$L$208,MATCH($G56,'MAESTRO DE UNIDADES'!$A$2:$A$208,0)),"")="Inactivo"),"Unidad inactiva | ","")&amp;IF(AND($AA56&lt;&gt;"",$N56=""),"Carga de batán sin litros | ","")&amp;IF(AND($AA56&lt;&gt;"",$AC56&lt;0),"Supera saldo batán | ","")))-3)))</f>
        <v/>
      </c>
      <c r="Z56" s="8" t="str">
        <f t="shared" si="7"/>
        <v/>
      </c>
      <c r="AA56" s="4"/>
      <c r="AB56" s="26" t="str">
        <f>IF($AA56="","",IFERROR(INDEX('CONTROL DE BATAN'!$J$2:$J$301,MATCH($AA56,'CONTROL DE BATAN'!$A$2:$A$301,0)),""))</f>
        <v/>
      </c>
      <c r="AC56" s="28" t="str">
        <f>IF($AA56="","",IFERROR(INDEX('CONTROL DE BATAN'!$I$2:$I$301,MATCH($AA56,'CONTROL DE BATAN'!$A$2:$A$301,0)),0)-SUMIFS($N$2:$N56,$AA$2:$AA56,$AA56))</f>
        <v/>
      </c>
    </row>
    <row r="57" spans="1:29" x14ac:dyDescent="0.25">
      <c r="A57" s="8" t="str">
        <f t="shared" si="1"/>
        <v/>
      </c>
      <c r="B57" s="9"/>
      <c r="C57" s="8" t="str">
        <f t="shared" si="2"/>
        <v/>
      </c>
      <c r="D57" s="10" t="str">
        <f t="shared" si="3"/>
        <v/>
      </c>
      <c r="E57" s="8" t="str">
        <f t="shared" si="4"/>
        <v/>
      </c>
      <c r="F57" s="8" t="str">
        <f>IF($G57="","",IFERROR(INDEX('MAESTRO DE UNIDADES'!$C$2:$C$208,MATCH($G57,'MAESTRO DE UNIDADES'!$A$2:$A$208,0)),""))</f>
        <v/>
      </c>
      <c r="G57" s="4"/>
      <c r="H57" s="8" t="str">
        <f>IF($G57="","",IFERROR(INDEX('MAESTRO DE UNIDADES'!$F$2:$F$208,MATCH($G57,'MAESTRO DE UNIDADES'!$A$2:$A$208,0)),""))</f>
        <v/>
      </c>
      <c r="I57" s="8" t="str">
        <f>IF($G57="","",IFERROR(INDEX('MAESTRO DE UNIDADES'!$B$2:$B$208,MATCH($G57,'MAESTRO DE UNIDADES'!$A$2:$A$208,0)),""))</f>
        <v/>
      </c>
      <c r="J57" s="4"/>
      <c r="K57" s="4"/>
      <c r="L57" s="4"/>
      <c r="M57" s="8" t="str">
        <f>IF($G57="","",IFERROR(INDEX('MAESTRO DE UNIDADES'!$H$2:$H$208,MATCH($G57,'MAESTRO DE UNIDADES'!$A$2:$A$208,0)),""))</f>
        <v/>
      </c>
      <c r="N57" s="17"/>
      <c r="O57" s="25"/>
      <c r="P57" s="26" t="str">
        <f t="shared" si="5"/>
        <v/>
      </c>
      <c r="Q57" s="27"/>
      <c r="R57" s="27"/>
      <c r="S57" s="28" t="str">
        <f>IF(OR($G57="",$Q57="",COUNTIF($G$2:G56,$G57)=0),"",$Q57-LOOKUP(2,1/($G$2:G56=$G57),$Q$2:Q56))</f>
        <v/>
      </c>
      <c r="T57" s="28" t="str">
        <f>IF(OR($G57="",$R57="",COUNTIF($G$2:G56,$G57)=0),"",$R57-LOOKUP(2,1/($G$2:G56=$G57),$R$2:R56))</f>
        <v/>
      </c>
      <c r="U57" s="11" t="str">
        <f t="shared" si="6"/>
        <v/>
      </c>
      <c r="V57" s="4"/>
      <c r="W57" s="4"/>
      <c r="X57" s="55"/>
      <c r="Y57" s="56" t="str">
        <f>IF($B57="","",IF((IF($G57="","Sin unidad | ","")&amp;IF($J57="","Sin responsable | ","")&amp;IF($K57="","Sin obra | ","")&amp;IF(AND($N57&lt;&gt;"",$G57&lt;&gt;"",$N57&gt;IFERROR(INDEX('MAESTRO DE UNIDADES'!$I$2:$I$208,MATCH($G57,'MAESTRO DE UNIDADES'!$A$2:$A$208,0)),0)),"Litros &gt; tanque | ","")&amp;IF(AND($W57&lt;&gt;"",COUNTIF($W$2:$W57,$W57)&gt;1),"Ticket duplicado | ","")&amp;IF(AND($G57&lt;&gt;"",IFERROR(INDEX('MAESTRO DE UNIDADES'!$L$2:$L$208,MATCH($G57,'MAESTRO DE UNIDADES'!$A$2:$A$208,0)),"")="Inactivo"),"Unidad inactiva | ","")&amp;IF(AND($AA57&lt;&gt;"",$N57=""),"Carga de batán sin litros | ","")&amp;IF(AND($AA57&lt;&gt;"",$AC57&lt;0),"Supera saldo batán | ",""))="","OK",LEFT((IF($G57="","Sin unidad | ","")&amp;IF($J57="","Sin responsable | ","")&amp;IF($K57="","Sin obra | ","")&amp;IF(AND($N57&lt;&gt;"",$G57&lt;&gt;"",$N57&gt;IFERROR(INDEX('MAESTRO DE UNIDADES'!$I$2:$I$208,MATCH($G57,'MAESTRO DE UNIDADES'!$A$2:$A$208,0)),0)),"Litros &gt; tanque | ","")&amp;IF(AND($W57&lt;&gt;"",COUNTIF($W$2:$W57,$W57)&gt;1),"Ticket duplicado | ","")&amp;IF(AND($G57&lt;&gt;"",IFERROR(INDEX('MAESTRO DE UNIDADES'!$L$2:$L$208,MATCH($G57,'MAESTRO DE UNIDADES'!$A$2:$A$208,0)),"")="Inactivo"),"Unidad inactiva | ","")&amp;IF(AND($AA57&lt;&gt;"",$N57=""),"Carga de batán sin litros | ","")&amp;IF(AND($AA57&lt;&gt;"",$AC57&lt;0),"Supera saldo batán | ","")),LEN((IF($G57="","Sin unidad | ","")&amp;IF($J57="","Sin responsable | ","")&amp;IF($K57="","Sin obra | ","")&amp;IF(AND($N57&lt;&gt;"",$G57&lt;&gt;"",$N57&gt;IFERROR(INDEX('MAESTRO DE UNIDADES'!$I$2:$I$208,MATCH($G57,'MAESTRO DE UNIDADES'!$A$2:$A$208,0)),0)),"Litros &gt; tanque | ","")&amp;IF(AND($W57&lt;&gt;"",COUNTIF($W$2:$W57,$W57)&gt;1),"Ticket duplicado | ","")&amp;IF(AND($G57&lt;&gt;"",IFERROR(INDEX('MAESTRO DE UNIDADES'!$L$2:$L$208,MATCH($G57,'MAESTRO DE UNIDADES'!$A$2:$A$208,0)),"")="Inactivo"),"Unidad inactiva | ","")&amp;IF(AND($AA57&lt;&gt;"",$N57=""),"Carga de batán sin litros | ","")&amp;IF(AND($AA57&lt;&gt;"",$AC57&lt;0),"Supera saldo batán | ","")))-3)))</f>
        <v/>
      </c>
      <c r="Z57" s="8" t="str">
        <f t="shared" si="7"/>
        <v/>
      </c>
      <c r="AA57" s="4"/>
      <c r="AB57" s="26" t="str">
        <f>IF($AA57="","",IFERROR(INDEX('CONTROL DE BATAN'!$J$2:$J$301,MATCH($AA57,'CONTROL DE BATAN'!$A$2:$A$301,0)),""))</f>
        <v/>
      </c>
      <c r="AC57" s="28" t="str">
        <f>IF($AA57="","",IFERROR(INDEX('CONTROL DE BATAN'!$I$2:$I$301,MATCH($AA57,'CONTROL DE BATAN'!$A$2:$A$301,0)),0)-SUMIFS($N$2:$N57,$AA$2:$AA57,$AA57))</f>
        <v/>
      </c>
    </row>
    <row r="58" spans="1:29" x14ac:dyDescent="0.25">
      <c r="A58" s="8" t="str">
        <f t="shared" si="1"/>
        <v/>
      </c>
      <c r="B58" s="9"/>
      <c r="C58" s="8" t="str">
        <f t="shared" si="2"/>
        <v/>
      </c>
      <c r="D58" s="10" t="str">
        <f t="shared" si="3"/>
        <v/>
      </c>
      <c r="E58" s="8" t="str">
        <f t="shared" si="4"/>
        <v/>
      </c>
      <c r="F58" s="8" t="str">
        <f>IF($G58="","",IFERROR(INDEX('MAESTRO DE UNIDADES'!$C$2:$C$208,MATCH($G58,'MAESTRO DE UNIDADES'!$A$2:$A$208,0)),""))</f>
        <v/>
      </c>
      <c r="G58" s="4"/>
      <c r="H58" s="8" t="str">
        <f>IF($G58="","",IFERROR(INDEX('MAESTRO DE UNIDADES'!$F$2:$F$208,MATCH($G58,'MAESTRO DE UNIDADES'!$A$2:$A$208,0)),""))</f>
        <v/>
      </c>
      <c r="I58" s="8" t="str">
        <f>IF($G58="","",IFERROR(INDEX('MAESTRO DE UNIDADES'!$B$2:$B$208,MATCH($G58,'MAESTRO DE UNIDADES'!$A$2:$A$208,0)),""))</f>
        <v/>
      </c>
      <c r="J58" s="4"/>
      <c r="K58" s="4"/>
      <c r="L58" s="4"/>
      <c r="M58" s="8" t="str">
        <f>IF($G58="","",IFERROR(INDEX('MAESTRO DE UNIDADES'!$H$2:$H$208,MATCH($G58,'MAESTRO DE UNIDADES'!$A$2:$A$208,0)),""))</f>
        <v/>
      </c>
      <c r="N58" s="17"/>
      <c r="O58" s="25"/>
      <c r="P58" s="26" t="str">
        <f t="shared" si="5"/>
        <v/>
      </c>
      <c r="Q58" s="27"/>
      <c r="R58" s="27"/>
      <c r="S58" s="28" t="str">
        <f>IF(OR($G58="",$Q58="",COUNTIF($G$2:G57,$G58)=0),"",$Q58-LOOKUP(2,1/($G$2:G57=$G58),$Q$2:Q57))</f>
        <v/>
      </c>
      <c r="T58" s="28" t="str">
        <f>IF(OR($G58="",$R58="",COUNTIF($G$2:G57,$G58)=0),"",$R58-LOOKUP(2,1/($G$2:G57=$G58),$R$2:R57))</f>
        <v/>
      </c>
      <c r="U58" s="11" t="str">
        <f t="shared" si="6"/>
        <v/>
      </c>
      <c r="V58" s="4"/>
      <c r="W58" s="4"/>
      <c r="X58" s="55"/>
      <c r="Y58" s="56" t="str">
        <f>IF($B58="","",IF((IF($G58="","Sin unidad | ","")&amp;IF($J58="","Sin responsable | ","")&amp;IF($K58="","Sin obra | ","")&amp;IF(AND($N58&lt;&gt;"",$G58&lt;&gt;"",$N58&gt;IFERROR(INDEX('MAESTRO DE UNIDADES'!$I$2:$I$208,MATCH($G58,'MAESTRO DE UNIDADES'!$A$2:$A$208,0)),0)),"Litros &gt; tanque | ","")&amp;IF(AND($W58&lt;&gt;"",COUNTIF($W$2:$W58,$W58)&gt;1),"Ticket duplicado | ","")&amp;IF(AND($G58&lt;&gt;"",IFERROR(INDEX('MAESTRO DE UNIDADES'!$L$2:$L$208,MATCH($G58,'MAESTRO DE UNIDADES'!$A$2:$A$208,0)),"")="Inactivo"),"Unidad inactiva | ","")&amp;IF(AND($AA58&lt;&gt;"",$N58=""),"Carga de batán sin litros | ","")&amp;IF(AND($AA58&lt;&gt;"",$AC58&lt;0),"Supera saldo batán | ",""))="","OK",LEFT((IF($G58="","Sin unidad | ","")&amp;IF($J58="","Sin responsable | ","")&amp;IF($K58="","Sin obra | ","")&amp;IF(AND($N58&lt;&gt;"",$G58&lt;&gt;"",$N58&gt;IFERROR(INDEX('MAESTRO DE UNIDADES'!$I$2:$I$208,MATCH($G58,'MAESTRO DE UNIDADES'!$A$2:$A$208,0)),0)),"Litros &gt; tanque | ","")&amp;IF(AND($W58&lt;&gt;"",COUNTIF($W$2:$W58,$W58)&gt;1),"Ticket duplicado | ","")&amp;IF(AND($G58&lt;&gt;"",IFERROR(INDEX('MAESTRO DE UNIDADES'!$L$2:$L$208,MATCH($G58,'MAESTRO DE UNIDADES'!$A$2:$A$208,0)),"")="Inactivo"),"Unidad inactiva | ","")&amp;IF(AND($AA58&lt;&gt;"",$N58=""),"Carga de batán sin litros | ","")&amp;IF(AND($AA58&lt;&gt;"",$AC58&lt;0),"Supera saldo batán | ","")),LEN((IF($G58="","Sin unidad | ","")&amp;IF($J58="","Sin responsable | ","")&amp;IF($K58="","Sin obra | ","")&amp;IF(AND($N58&lt;&gt;"",$G58&lt;&gt;"",$N58&gt;IFERROR(INDEX('MAESTRO DE UNIDADES'!$I$2:$I$208,MATCH($G58,'MAESTRO DE UNIDADES'!$A$2:$A$208,0)),0)),"Litros &gt; tanque | ","")&amp;IF(AND($W58&lt;&gt;"",COUNTIF($W$2:$W58,$W58)&gt;1),"Ticket duplicado | ","")&amp;IF(AND($G58&lt;&gt;"",IFERROR(INDEX('MAESTRO DE UNIDADES'!$L$2:$L$208,MATCH($G58,'MAESTRO DE UNIDADES'!$A$2:$A$208,0)),"")="Inactivo"),"Unidad inactiva | ","")&amp;IF(AND($AA58&lt;&gt;"",$N58=""),"Carga de batán sin litros | ","")&amp;IF(AND($AA58&lt;&gt;"",$AC58&lt;0),"Supera saldo batán | ","")))-3)))</f>
        <v/>
      </c>
      <c r="Z58" s="8" t="str">
        <f t="shared" si="7"/>
        <v/>
      </c>
      <c r="AA58" s="4"/>
      <c r="AB58" s="26" t="str">
        <f>IF($AA58="","",IFERROR(INDEX('CONTROL DE BATAN'!$J$2:$J$301,MATCH($AA58,'CONTROL DE BATAN'!$A$2:$A$301,0)),""))</f>
        <v/>
      </c>
      <c r="AC58" s="28" t="str">
        <f>IF($AA58="","",IFERROR(INDEX('CONTROL DE BATAN'!$I$2:$I$301,MATCH($AA58,'CONTROL DE BATAN'!$A$2:$A$301,0)),0)-SUMIFS($N$2:$N58,$AA$2:$AA58,$AA58))</f>
        <v/>
      </c>
    </row>
    <row r="59" spans="1:29" x14ac:dyDescent="0.25">
      <c r="A59" s="8" t="str">
        <f t="shared" si="1"/>
        <v/>
      </c>
      <c r="B59" s="9"/>
      <c r="C59" s="8" t="str">
        <f t="shared" si="2"/>
        <v/>
      </c>
      <c r="D59" s="10" t="str">
        <f t="shared" si="3"/>
        <v/>
      </c>
      <c r="E59" s="8" t="str">
        <f t="shared" si="4"/>
        <v/>
      </c>
      <c r="F59" s="8" t="str">
        <f>IF($G59="","",IFERROR(INDEX('MAESTRO DE UNIDADES'!$C$2:$C$208,MATCH($G59,'MAESTRO DE UNIDADES'!$A$2:$A$208,0)),""))</f>
        <v/>
      </c>
      <c r="G59" s="4"/>
      <c r="H59" s="8" t="str">
        <f>IF($G59="","",IFERROR(INDEX('MAESTRO DE UNIDADES'!$F$2:$F$208,MATCH($G59,'MAESTRO DE UNIDADES'!$A$2:$A$208,0)),""))</f>
        <v/>
      </c>
      <c r="I59" s="8" t="str">
        <f>IF($G59="","",IFERROR(INDEX('MAESTRO DE UNIDADES'!$B$2:$B$208,MATCH($G59,'MAESTRO DE UNIDADES'!$A$2:$A$208,0)),""))</f>
        <v/>
      </c>
      <c r="J59" s="4"/>
      <c r="K59" s="4"/>
      <c r="L59" s="4"/>
      <c r="M59" s="8" t="str">
        <f>IF($G59="","",IFERROR(INDEX('MAESTRO DE UNIDADES'!$H$2:$H$208,MATCH($G59,'MAESTRO DE UNIDADES'!$A$2:$A$208,0)),""))</f>
        <v/>
      </c>
      <c r="N59" s="17"/>
      <c r="O59" s="25"/>
      <c r="P59" s="26" t="str">
        <f t="shared" si="5"/>
        <v/>
      </c>
      <c r="Q59" s="27"/>
      <c r="R59" s="27"/>
      <c r="S59" s="28" t="str">
        <f>IF(OR($G59="",$Q59="",COUNTIF($G$2:G58,$G59)=0),"",$Q59-LOOKUP(2,1/($G$2:G58=$G59),$Q$2:Q58))</f>
        <v/>
      </c>
      <c r="T59" s="28" t="str">
        <f>IF(OR($G59="",$R59="",COUNTIF($G$2:G58,$G59)=0),"",$R59-LOOKUP(2,1/($G$2:G58=$G59),$R$2:R58))</f>
        <v/>
      </c>
      <c r="U59" s="11" t="str">
        <f t="shared" si="6"/>
        <v/>
      </c>
      <c r="V59" s="4"/>
      <c r="W59" s="4"/>
      <c r="X59" s="55"/>
      <c r="Y59" s="56" t="str">
        <f>IF($B59="","",IF((IF($G59="","Sin unidad | ","")&amp;IF($J59="","Sin responsable | ","")&amp;IF($K59="","Sin obra | ","")&amp;IF(AND($N59&lt;&gt;"",$G59&lt;&gt;"",$N59&gt;IFERROR(INDEX('MAESTRO DE UNIDADES'!$I$2:$I$208,MATCH($G59,'MAESTRO DE UNIDADES'!$A$2:$A$208,0)),0)),"Litros &gt; tanque | ","")&amp;IF(AND($W59&lt;&gt;"",COUNTIF($W$2:$W59,$W59)&gt;1),"Ticket duplicado | ","")&amp;IF(AND($G59&lt;&gt;"",IFERROR(INDEX('MAESTRO DE UNIDADES'!$L$2:$L$208,MATCH($G59,'MAESTRO DE UNIDADES'!$A$2:$A$208,0)),"")="Inactivo"),"Unidad inactiva | ","")&amp;IF(AND($AA59&lt;&gt;"",$N59=""),"Carga de batán sin litros | ","")&amp;IF(AND($AA59&lt;&gt;"",$AC59&lt;0),"Supera saldo batán | ",""))="","OK",LEFT((IF($G59="","Sin unidad | ","")&amp;IF($J59="","Sin responsable | ","")&amp;IF($K59="","Sin obra | ","")&amp;IF(AND($N59&lt;&gt;"",$G59&lt;&gt;"",$N59&gt;IFERROR(INDEX('MAESTRO DE UNIDADES'!$I$2:$I$208,MATCH($G59,'MAESTRO DE UNIDADES'!$A$2:$A$208,0)),0)),"Litros &gt; tanque | ","")&amp;IF(AND($W59&lt;&gt;"",COUNTIF($W$2:$W59,$W59)&gt;1),"Ticket duplicado | ","")&amp;IF(AND($G59&lt;&gt;"",IFERROR(INDEX('MAESTRO DE UNIDADES'!$L$2:$L$208,MATCH($G59,'MAESTRO DE UNIDADES'!$A$2:$A$208,0)),"")="Inactivo"),"Unidad inactiva | ","")&amp;IF(AND($AA59&lt;&gt;"",$N59=""),"Carga de batán sin litros | ","")&amp;IF(AND($AA59&lt;&gt;"",$AC59&lt;0),"Supera saldo batán | ","")),LEN((IF($G59="","Sin unidad | ","")&amp;IF($J59="","Sin responsable | ","")&amp;IF($K59="","Sin obra | ","")&amp;IF(AND($N59&lt;&gt;"",$G59&lt;&gt;"",$N59&gt;IFERROR(INDEX('MAESTRO DE UNIDADES'!$I$2:$I$208,MATCH($G59,'MAESTRO DE UNIDADES'!$A$2:$A$208,0)),0)),"Litros &gt; tanque | ","")&amp;IF(AND($W59&lt;&gt;"",COUNTIF($W$2:$W59,$W59)&gt;1),"Ticket duplicado | ","")&amp;IF(AND($G59&lt;&gt;"",IFERROR(INDEX('MAESTRO DE UNIDADES'!$L$2:$L$208,MATCH($G59,'MAESTRO DE UNIDADES'!$A$2:$A$208,0)),"")="Inactivo"),"Unidad inactiva | ","")&amp;IF(AND($AA59&lt;&gt;"",$N59=""),"Carga de batán sin litros | ","")&amp;IF(AND($AA59&lt;&gt;"",$AC59&lt;0),"Supera saldo batán | ","")))-3)))</f>
        <v/>
      </c>
      <c r="Z59" s="8" t="str">
        <f t="shared" si="7"/>
        <v/>
      </c>
      <c r="AA59" s="4"/>
      <c r="AB59" s="26" t="str">
        <f>IF($AA59="","",IFERROR(INDEX('CONTROL DE BATAN'!$J$2:$J$301,MATCH($AA59,'CONTROL DE BATAN'!$A$2:$A$301,0)),""))</f>
        <v/>
      </c>
      <c r="AC59" s="28" t="str">
        <f>IF($AA59="","",IFERROR(INDEX('CONTROL DE BATAN'!$I$2:$I$301,MATCH($AA59,'CONTROL DE BATAN'!$A$2:$A$301,0)),0)-SUMIFS($N$2:$N59,$AA$2:$AA59,$AA59))</f>
        <v/>
      </c>
    </row>
    <row r="60" spans="1:29" x14ac:dyDescent="0.25">
      <c r="A60" s="8" t="str">
        <f t="shared" si="1"/>
        <v/>
      </c>
      <c r="B60" s="9"/>
      <c r="C60" s="8" t="str">
        <f t="shared" si="2"/>
        <v/>
      </c>
      <c r="D60" s="10" t="str">
        <f t="shared" si="3"/>
        <v/>
      </c>
      <c r="E60" s="8" t="str">
        <f t="shared" si="4"/>
        <v/>
      </c>
      <c r="F60" s="8" t="str">
        <f>IF($G60="","",IFERROR(INDEX('MAESTRO DE UNIDADES'!$C$2:$C$208,MATCH($G60,'MAESTRO DE UNIDADES'!$A$2:$A$208,0)),""))</f>
        <v/>
      </c>
      <c r="G60" s="4"/>
      <c r="H60" s="8" t="str">
        <f>IF($G60="","",IFERROR(INDEX('MAESTRO DE UNIDADES'!$F$2:$F$208,MATCH($G60,'MAESTRO DE UNIDADES'!$A$2:$A$208,0)),""))</f>
        <v/>
      </c>
      <c r="I60" s="8" t="str">
        <f>IF($G60="","",IFERROR(INDEX('MAESTRO DE UNIDADES'!$B$2:$B$208,MATCH($G60,'MAESTRO DE UNIDADES'!$A$2:$A$208,0)),""))</f>
        <v/>
      </c>
      <c r="J60" s="4"/>
      <c r="K60" s="4"/>
      <c r="L60" s="4"/>
      <c r="M60" s="8" t="str">
        <f>IF($G60="","",IFERROR(INDEX('MAESTRO DE UNIDADES'!$H$2:$H$208,MATCH($G60,'MAESTRO DE UNIDADES'!$A$2:$A$208,0)),""))</f>
        <v/>
      </c>
      <c r="N60" s="17"/>
      <c r="O60" s="25"/>
      <c r="P60" s="26" t="str">
        <f t="shared" si="5"/>
        <v/>
      </c>
      <c r="Q60" s="27"/>
      <c r="R60" s="27"/>
      <c r="S60" s="28" t="str">
        <f>IF(OR($G60="",$Q60="",COUNTIF($G$2:G59,$G60)=0),"",$Q60-LOOKUP(2,1/($G$2:G59=$G60),$Q$2:Q59))</f>
        <v/>
      </c>
      <c r="T60" s="28" t="str">
        <f>IF(OR($G60="",$R60="",COUNTIF($G$2:G59,$G60)=0),"",$R60-LOOKUP(2,1/($G$2:G59=$G60),$R$2:R59))</f>
        <v/>
      </c>
      <c r="U60" s="11" t="str">
        <f t="shared" si="6"/>
        <v/>
      </c>
      <c r="V60" s="4"/>
      <c r="W60" s="4"/>
      <c r="X60" s="55"/>
      <c r="Y60" s="56" t="str">
        <f>IF($B60="","",IF((IF($G60="","Sin unidad | ","")&amp;IF($J60="","Sin responsable | ","")&amp;IF($K60="","Sin obra | ","")&amp;IF(AND($N60&lt;&gt;"",$G60&lt;&gt;"",$N60&gt;IFERROR(INDEX('MAESTRO DE UNIDADES'!$I$2:$I$208,MATCH($G60,'MAESTRO DE UNIDADES'!$A$2:$A$208,0)),0)),"Litros &gt; tanque | ","")&amp;IF(AND($W60&lt;&gt;"",COUNTIF($W$2:$W60,$W60)&gt;1),"Ticket duplicado | ","")&amp;IF(AND($G60&lt;&gt;"",IFERROR(INDEX('MAESTRO DE UNIDADES'!$L$2:$L$208,MATCH($G60,'MAESTRO DE UNIDADES'!$A$2:$A$208,0)),"")="Inactivo"),"Unidad inactiva | ","")&amp;IF(AND($AA60&lt;&gt;"",$N60=""),"Carga de batán sin litros | ","")&amp;IF(AND($AA60&lt;&gt;"",$AC60&lt;0),"Supera saldo batán | ",""))="","OK",LEFT((IF($G60="","Sin unidad | ","")&amp;IF($J60="","Sin responsable | ","")&amp;IF($K60="","Sin obra | ","")&amp;IF(AND($N60&lt;&gt;"",$G60&lt;&gt;"",$N60&gt;IFERROR(INDEX('MAESTRO DE UNIDADES'!$I$2:$I$208,MATCH($G60,'MAESTRO DE UNIDADES'!$A$2:$A$208,0)),0)),"Litros &gt; tanque | ","")&amp;IF(AND($W60&lt;&gt;"",COUNTIF($W$2:$W60,$W60)&gt;1),"Ticket duplicado | ","")&amp;IF(AND($G60&lt;&gt;"",IFERROR(INDEX('MAESTRO DE UNIDADES'!$L$2:$L$208,MATCH($G60,'MAESTRO DE UNIDADES'!$A$2:$A$208,0)),"")="Inactivo"),"Unidad inactiva | ","")&amp;IF(AND($AA60&lt;&gt;"",$N60=""),"Carga de batán sin litros | ","")&amp;IF(AND($AA60&lt;&gt;"",$AC60&lt;0),"Supera saldo batán | ","")),LEN((IF($G60="","Sin unidad | ","")&amp;IF($J60="","Sin responsable | ","")&amp;IF($K60="","Sin obra | ","")&amp;IF(AND($N60&lt;&gt;"",$G60&lt;&gt;"",$N60&gt;IFERROR(INDEX('MAESTRO DE UNIDADES'!$I$2:$I$208,MATCH($G60,'MAESTRO DE UNIDADES'!$A$2:$A$208,0)),0)),"Litros &gt; tanque | ","")&amp;IF(AND($W60&lt;&gt;"",COUNTIF($W$2:$W60,$W60)&gt;1),"Ticket duplicado | ","")&amp;IF(AND($G60&lt;&gt;"",IFERROR(INDEX('MAESTRO DE UNIDADES'!$L$2:$L$208,MATCH($G60,'MAESTRO DE UNIDADES'!$A$2:$A$208,0)),"")="Inactivo"),"Unidad inactiva | ","")&amp;IF(AND($AA60&lt;&gt;"",$N60=""),"Carga de batán sin litros | ","")&amp;IF(AND($AA60&lt;&gt;"",$AC60&lt;0),"Supera saldo batán | ","")))-3)))</f>
        <v/>
      </c>
      <c r="Z60" s="8" t="str">
        <f t="shared" si="7"/>
        <v/>
      </c>
      <c r="AA60" s="4"/>
      <c r="AB60" s="26" t="str">
        <f>IF($AA60="","",IFERROR(INDEX('CONTROL DE BATAN'!$J$2:$J$301,MATCH($AA60,'CONTROL DE BATAN'!$A$2:$A$301,0)),""))</f>
        <v/>
      </c>
      <c r="AC60" s="28" t="str">
        <f>IF($AA60="","",IFERROR(INDEX('CONTROL DE BATAN'!$I$2:$I$301,MATCH($AA60,'CONTROL DE BATAN'!$A$2:$A$301,0)),0)-SUMIFS($N$2:$N60,$AA$2:$AA60,$AA60))</f>
        <v/>
      </c>
    </row>
    <row r="61" spans="1:29" x14ac:dyDescent="0.25">
      <c r="A61" s="8" t="str">
        <f t="shared" si="1"/>
        <v/>
      </c>
      <c r="B61" s="9"/>
      <c r="C61" s="8" t="str">
        <f t="shared" si="2"/>
        <v/>
      </c>
      <c r="D61" s="10" t="str">
        <f t="shared" si="3"/>
        <v/>
      </c>
      <c r="E61" s="8" t="str">
        <f t="shared" si="4"/>
        <v/>
      </c>
      <c r="F61" s="8" t="str">
        <f>IF($G61="","",IFERROR(INDEX('MAESTRO DE UNIDADES'!$C$2:$C$208,MATCH($G61,'MAESTRO DE UNIDADES'!$A$2:$A$208,0)),""))</f>
        <v/>
      </c>
      <c r="G61" s="4"/>
      <c r="H61" s="8" t="str">
        <f>IF($G61="","",IFERROR(INDEX('MAESTRO DE UNIDADES'!$F$2:$F$208,MATCH($G61,'MAESTRO DE UNIDADES'!$A$2:$A$208,0)),""))</f>
        <v/>
      </c>
      <c r="I61" s="8" t="str">
        <f>IF($G61="","",IFERROR(INDEX('MAESTRO DE UNIDADES'!$B$2:$B$208,MATCH($G61,'MAESTRO DE UNIDADES'!$A$2:$A$208,0)),""))</f>
        <v/>
      </c>
      <c r="J61" s="4"/>
      <c r="K61" s="4"/>
      <c r="L61" s="4"/>
      <c r="M61" s="8" t="str">
        <f>IF($G61="","",IFERROR(INDEX('MAESTRO DE UNIDADES'!$H$2:$H$208,MATCH($G61,'MAESTRO DE UNIDADES'!$A$2:$A$208,0)),""))</f>
        <v/>
      </c>
      <c r="N61" s="17"/>
      <c r="O61" s="25"/>
      <c r="P61" s="26" t="str">
        <f t="shared" si="5"/>
        <v/>
      </c>
      <c r="Q61" s="27"/>
      <c r="R61" s="27"/>
      <c r="S61" s="28" t="str">
        <f>IF(OR($G61="",$Q61="",COUNTIF($G$2:G60,$G61)=0),"",$Q61-LOOKUP(2,1/($G$2:G60=$G61),$Q$2:Q60))</f>
        <v/>
      </c>
      <c r="T61" s="28" t="str">
        <f>IF(OR($G61="",$R61="",COUNTIF($G$2:G60,$G61)=0),"",$R61-LOOKUP(2,1/($G$2:G60=$G61),$R$2:R60))</f>
        <v/>
      </c>
      <c r="U61" s="11" t="str">
        <f t="shared" si="6"/>
        <v/>
      </c>
      <c r="V61" s="4"/>
      <c r="W61" s="4"/>
      <c r="X61" s="55"/>
      <c r="Y61" s="56" t="str">
        <f>IF($B61="","",IF((IF($G61="","Sin unidad | ","")&amp;IF($J61="","Sin responsable | ","")&amp;IF($K61="","Sin obra | ","")&amp;IF(AND($N61&lt;&gt;"",$G61&lt;&gt;"",$N61&gt;IFERROR(INDEX('MAESTRO DE UNIDADES'!$I$2:$I$208,MATCH($G61,'MAESTRO DE UNIDADES'!$A$2:$A$208,0)),0)),"Litros &gt; tanque | ","")&amp;IF(AND($W61&lt;&gt;"",COUNTIF($W$2:$W61,$W61)&gt;1),"Ticket duplicado | ","")&amp;IF(AND($G61&lt;&gt;"",IFERROR(INDEX('MAESTRO DE UNIDADES'!$L$2:$L$208,MATCH($G61,'MAESTRO DE UNIDADES'!$A$2:$A$208,0)),"")="Inactivo"),"Unidad inactiva | ","")&amp;IF(AND($AA61&lt;&gt;"",$N61=""),"Carga de batán sin litros | ","")&amp;IF(AND($AA61&lt;&gt;"",$AC61&lt;0),"Supera saldo batán | ",""))="","OK",LEFT((IF($G61="","Sin unidad | ","")&amp;IF($J61="","Sin responsable | ","")&amp;IF($K61="","Sin obra | ","")&amp;IF(AND($N61&lt;&gt;"",$G61&lt;&gt;"",$N61&gt;IFERROR(INDEX('MAESTRO DE UNIDADES'!$I$2:$I$208,MATCH($G61,'MAESTRO DE UNIDADES'!$A$2:$A$208,0)),0)),"Litros &gt; tanque | ","")&amp;IF(AND($W61&lt;&gt;"",COUNTIF($W$2:$W61,$W61)&gt;1),"Ticket duplicado | ","")&amp;IF(AND($G61&lt;&gt;"",IFERROR(INDEX('MAESTRO DE UNIDADES'!$L$2:$L$208,MATCH($G61,'MAESTRO DE UNIDADES'!$A$2:$A$208,0)),"")="Inactivo"),"Unidad inactiva | ","")&amp;IF(AND($AA61&lt;&gt;"",$N61=""),"Carga de batán sin litros | ","")&amp;IF(AND($AA61&lt;&gt;"",$AC61&lt;0),"Supera saldo batán | ","")),LEN((IF($G61="","Sin unidad | ","")&amp;IF($J61="","Sin responsable | ","")&amp;IF($K61="","Sin obra | ","")&amp;IF(AND($N61&lt;&gt;"",$G61&lt;&gt;"",$N61&gt;IFERROR(INDEX('MAESTRO DE UNIDADES'!$I$2:$I$208,MATCH($G61,'MAESTRO DE UNIDADES'!$A$2:$A$208,0)),0)),"Litros &gt; tanque | ","")&amp;IF(AND($W61&lt;&gt;"",COUNTIF($W$2:$W61,$W61)&gt;1),"Ticket duplicado | ","")&amp;IF(AND($G61&lt;&gt;"",IFERROR(INDEX('MAESTRO DE UNIDADES'!$L$2:$L$208,MATCH($G61,'MAESTRO DE UNIDADES'!$A$2:$A$208,0)),"")="Inactivo"),"Unidad inactiva | ","")&amp;IF(AND($AA61&lt;&gt;"",$N61=""),"Carga de batán sin litros | ","")&amp;IF(AND($AA61&lt;&gt;"",$AC61&lt;0),"Supera saldo batán | ","")))-3)))</f>
        <v/>
      </c>
      <c r="Z61" s="8" t="str">
        <f t="shared" si="7"/>
        <v/>
      </c>
      <c r="AA61" s="4"/>
      <c r="AB61" s="26" t="str">
        <f>IF($AA61="","",IFERROR(INDEX('CONTROL DE BATAN'!$J$2:$J$301,MATCH($AA61,'CONTROL DE BATAN'!$A$2:$A$301,0)),""))</f>
        <v/>
      </c>
      <c r="AC61" s="28" t="str">
        <f>IF($AA61="","",IFERROR(INDEX('CONTROL DE BATAN'!$I$2:$I$301,MATCH($AA61,'CONTROL DE BATAN'!$A$2:$A$301,0)),0)-SUMIFS($N$2:$N61,$AA$2:$AA61,$AA61))</f>
        <v/>
      </c>
    </row>
    <row r="62" spans="1:29" x14ac:dyDescent="0.25">
      <c r="A62" s="8" t="str">
        <f t="shared" si="1"/>
        <v/>
      </c>
      <c r="B62" s="9"/>
      <c r="C62" s="8" t="str">
        <f t="shared" si="2"/>
        <v/>
      </c>
      <c r="D62" s="10" t="str">
        <f t="shared" si="3"/>
        <v/>
      </c>
      <c r="E62" s="8" t="str">
        <f t="shared" si="4"/>
        <v/>
      </c>
      <c r="F62" s="8" t="str">
        <f>IF($G62="","",IFERROR(INDEX('MAESTRO DE UNIDADES'!$C$2:$C$208,MATCH($G62,'MAESTRO DE UNIDADES'!$A$2:$A$208,0)),""))</f>
        <v/>
      </c>
      <c r="G62" s="4"/>
      <c r="H62" s="8" t="str">
        <f>IF($G62="","",IFERROR(INDEX('MAESTRO DE UNIDADES'!$F$2:$F$208,MATCH($G62,'MAESTRO DE UNIDADES'!$A$2:$A$208,0)),""))</f>
        <v/>
      </c>
      <c r="I62" s="8" t="str">
        <f>IF($G62="","",IFERROR(INDEX('MAESTRO DE UNIDADES'!$B$2:$B$208,MATCH($G62,'MAESTRO DE UNIDADES'!$A$2:$A$208,0)),""))</f>
        <v/>
      </c>
      <c r="J62" s="4"/>
      <c r="K62" s="4"/>
      <c r="L62" s="4"/>
      <c r="M62" s="8" t="str">
        <f>IF($G62="","",IFERROR(INDEX('MAESTRO DE UNIDADES'!$H$2:$H$208,MATCH($G62,'MAESTRO DE UNIDADES'!$A$2:$A$208,0)),""))</f>
        <v/>
      </c>
      <c r="N62" s="17"/>
      <c r="O62" s="25"/>
      <c r="P62" s="26" t="str">
        <f t="shared" si="5"/>
        <v/>
      </c>
      <c r="Q62" s="27"/>
      <c r="R62" s="27"/>
      <c r="S62" s="28" t="str">
        <f>IF(OR($G62="",$Q62="",COUNTIF($G$2:G61,$G62)=0),"",$Q62-LOOKUP(2,1/($G$2:G61=$G62),$Q$2:Q61))</f>
        <v/>
      </c>
      <c r="T62" s="28" t="str">
        <f>IF(OR($G62="",$R62="",COUNTIF($G$2:G61,$G62)=0),"",$R62-LOOKUP(2,1/($G$2:G61=$G62),$R$2:R61))</f>
        <v/>
      </c>
      <c r="U62" s="11" t="str">
        <f t="shared" si="6"/>
        <v/>
      </c>
      <c r="V62" s="4"/>
      <c r="W62" s="4"/>
      <c r="X62" s="55"/>
      <c r="Y62" s="56" t="str">
        <f>IF($B62="","",IF((IF($G62="","Sin unidad | ","")&amp;IF($J62="","Sin responsable | ","")&amp;IF($K62="","Sin obra | ","")&amp;IF(AND($N62&lt;&gt;"",$G62&lt;&gt;"",$N62&gt;IFERROR(INDEX('MAESTRO DE UNIDADES'!$I$2:$I$208,MATCH($G62,'MAESTRO DE UNIDADES'!$A$2:$A$208,0)),0)),"Litros &gt; tanque | ","")&amp;IF(AND($W62&lt;&gt;"",COUNTIF($W$2:$W62,$W62)&gt;1),"Ticket duplicado | ","")&amp;IF(AND($G62&lt;&gt;"",IFERROR(INDEX('MAESTRO DE UNIDADES'!$L$2:$L$208,MATCH($G62,'MAESTRO DE UNIDADES'!$A$2:$A$208,0)),"")="Inactivo"),"Unidad inactiva | ","")&amp;IF(AND($AA62&lt;&gt;"",$N62=""),"Carga de batán sin litros | ","")&amp;IF(AND($AA62&lt;&gt;"",$AC62&lt;0),"Supera saldo batán | ",""))="","OK",LEFT((IF($G62="","Sin unidad | ","")&amp;IF($J62="","Sin responsable | ","")&amp;IF($K62="","Sin obra | ","")&amp;IF(AND($N62&lt;&gt;"",$G62&lt;&gt;"",$N62&gt;IFERROR(INDEX('MAESTRO DE UNIDADES'!$I$2:$I$208,MATCH($G62,'MAESTRO DE UNIDADES'!$A$2:$A$208,0)),0)),"Litros &gt; tanque | ","")&amp;IF(AND($W62&lt;&gt;"",COUNTIF($W$2:$W62,$W62)&gt;1),"Ticket duplicado | ","")&amp;IF(AND($G62&lt;&gt;"",IFERROR(INDEX('MAESTRO DE UNIDADES'!$L$2:$L$208,MATCH($G62,'MAESTRO DE UNIDADES'!$A$2:$A$208,0)),"")="Inactivo"),"Unidad inactiva | ","")&amp;IF(AND($AA62&lt;&gt;"",$N62=""),"Carga de batán sin litros | ","")&amp;IF(AND($AA62&lt;&gt;"",$AC62&lt;0),"Supera saldo batán | ","")),LEN((IF($G62="","Sin unidad | ","")&amp;IF($J62="","Sin responsable | ","")&amp;IF($K62="","Sin obra | ","")&amp;IF(AND($N62&lt;&gt;"",$G62&lt;&gt;"",$N62&gt;IFERROR(INDEX('MAESTRO DE UNIDADES'!$I$2:$I$208,MATCH($G62,'MAESTRO DE UNIDADES'!$A$2:$A$208,0)),0)),"Litros &gt; tanque | ","")&amp;IF(AND($W62&lt;&gt;"",COUNTIF($W$2:$W62,$W62)&gt;1),"Ticket duplicado | ","")&amp;IF(AND($G62&lt;&gt;"",IFERROR(INDEX('MAESTRO DE UNIDADES'!$L$2:$L$208,MATCH($G62,'MAESTRO DE UNIDADES'!$A$2:$A$208,0)),"")="Inactivo"),"Unidad inactiva | ","")&amp;IF(AND($AA62&lt;&gt;"",$N62=""),"Carga de batán sin litros | ","")&amp;IF(AND($AA62&lt;&gt;"",$AC62&lt;0),"Supera saldo batán | ","")))-3)))</f>
        <v/>
      </c>
      <c r="Z62" s="8" t="str">
        <f t="shared" si="7"/>
        <v/>
      </c>
      <c r="AA62" s="4"/>
      <c r="AB62" s="26" t="str">
        <f>IF($AA62="","",IFERROR(INDEX('CONTROL DE BATAN'!$J$2:$J$301,MATCH($AA62,'CONTROL DE BATAN'!$A$2:$A$301,0)),""))</f>
        <v/>
      </c>
      <c r="AC62" s="28" t="str">
        <f>IF($AA62="","",IFERROR(INDEX('CONTROL DE BATAN'!$I$2:$I$301,MATCH($AA62,'CONTROL DE BATAN'!$A$2:$A$301,0)),0)-SUMIFS($N$2:$N62,$AA$2:$AA62,$AA62))</f>
        <v/>
      </c>
    </row>
    <row r="63" spans="1:29" x14ac:dyDescent="0.25">
      <c r="A63" s="8" t="str">
        <f t="shared" si="1"/>
        <v/>
      </c>
      <c r="B63" s="9"/>
      <c r="C63" s="8" t="str">
        <f t="shared" si="2"/>
        <v/>
      </c>
      <c r="D63" s="10" t="str">
        <f t="shared" si="3"/>
        <v/>
      </c>
      <c r="E63" s="8" t="str">
        <f t="shared" si="4"/>
        <v/>
      </c>
      <c r="F63" s="8" t="str">
        <f>IF($G63="","",IFERROR(INDEX('MAESTRO DE UNIDADES'!$C$2:$C$208,MATCH($G63,'MAESTRO DE UNIDADES'!$A$2:$A$208,0)),""))</f>
        <v/>
      </c>
      <c r="G63" s="4"/>
      <c r="H63" s="8" t="str">
        <f>IF($G63="","",IFERROR(INDEX('MAESTRO DE UNIDADES'!$F$2:$F$208,MATCH($G63,'MAESTRO DE UNIDADES'!$A$2:$A$208,0)),""))</f>
        <v/>
      </c>
      <c r="I63" s="8" t="str">
        <f>IF($G63="","",IFERROR(INDEX('MAESTRO DE UNIDADES'!$B$2:$B$208,MATCH($G63,'MAESTRO DE UNIDADES'!$A$2:$A$208,0)),""))</f>
        <v/>
      </c>
      <c r="J63" s="4"/>
      <c r="K63" s="4"/>
      <c r="L63" s="4"/>
      <c r="M63" s="8" t="str">
        <f>IF($G63="","",IFERROR(INDEX('MAESTRO DE UNIDADES'!$H$2:$H$208,MATCH($G63,'MAESTRO DE UNIDADES'!$A$2:$A$208,0)),""))</f>
        <v/>
      </c>
      <c r="N63" s="17"/>
      <c r="O63" s="25"/>
      <c r="P63" s="26" t="str">
        <f t="shared" si="5"/>
        <v/>
      </c>
      <c r="Q63" s="27"/>
      <c r="R63" s="27"/>
      <c r="S63" s="28" t="str">
        <f>IF(OR($G63="",$Q63="",COUNTIF($G$2:G62,$G63)=0),"",$Q63-LOOKUP(2,1/($G$2:G62=$G63),$Q$2:Q62))</f>
        <v/>
      </c>
      <c r="T63" s="28" t="str">
        <f>IF(OR($G63="",$R63="",COUNTIF($G$2:G62,$G63)=0),"",$R63-LOOKUP(2,1/($G$2:G62=$G63),$R$2:R62))</f>
        <v/>
      </c>
      <c r="U63" s="11" t="str">
        <f t="shared" si="6"/>
        <v/>
      </c>
      <c r="V63" s="4"/>
      <c r="W63" s="4"/>
      <c r="X63" s="55"/>
      <c r="Y63" s="56" t="str">
        <f>IF($B63="","",IF((IF($G63="","Sin unidad | ","")&amp;IF($J63="","Sin responsable | ","")&amp;IF($K63="","Sin obra | ","")&amp;IF(AND($N63&lt;&gt;"",$G63&lt;&gt;"",$N63&gt;IFERROR(INDEX('MAESTRO DE UNIDADES'!$I$2:$I$208,MATCH($G63,'MAESTRO DE UNIDADES'!$A$2:$A$208,0)),0)),"Litros &gt; tanque | ","")&amp;IF(AND($W63&lt;&gt;"",COUNTIF($W$2:$W63,$W63)&gt;1),"Ticket duplicado | ","")&amp;IF(AND($G63&lt;&gt;"",IFERROR(INDEX('MAESTRO DE UNIDADES'!$L$2:$L$208,MATCH($G63,'MAESTRO DE UNIDADES'!$A$2:$A$208,0)),"")="Inactivo"),"Unidad inactiva | ","")&amp;IF(AND($AA63&lt;&gt;"",$N63=""),"Carga de batán sin litros | ","")&amp;IF(AND($AA63&lt;&gt;"",$AC63&lt;0),"Supera saldo batán | ",""))="","OK",LEFT((IF($G63="","Sin unidad | ","")&amp;IF($J63="","Sin responsable | ","")&amp;IF($K63="","Sin obra | ","")&amp;IF(AND($N63&lt;&gt;"",$G63&lt;&gt;"",$N63&gt;IFERROR(INDEX('MAESTRO DE UNIDADES'!$I$2:$I$208,MATCH($G63,'MAESTRO DE UNIDADES'!$A$2:$A$208,0)),0)),"Litros &gt; tanque | ","")&amp;IF(AND($W63&lt;&gt;"",COUNTIF($W$2:$W63,$W63)&gt;1),"Ticket duplicado | ","")&amp;IF(AND($G63&lt;&gt;"",IFERROR(INDEX('MAESTRO DE UNIDADES'!$L$2:$L$208,MATCH($G63,'MAESTRO DE UNIDADES'!$A$2:$A$208,0)),"")="Inactivo"),"Unidad inactiva | ","")&amp;IF(AND($AA63&lt;&gt;"",$N63=""),"Carga de batán sin litros | ","")&amp;IF(AND($AA63&lt;&gt;"",$AC63&lt;0),"Supera saldo batán | ","")),LEN((IF($G63="","Sin unidad | ","")&amp;IF($J63="","Sin responsable | ","")&amp;IF($K63="","Sin obra | ","")&amp;IF(AND($N63&lt;&gt;"",$G63&lt;&gt;"",$N63&gt;IFERROR(INDEX('MAESTRO DE UNIDADES'!$I$2:$I$208,MATCH($G63,'MAESTRO DE UNIDADES'!$A$2:$A$208,0)),0)),"Litros &gt; tanque | ","")&amp;IF(AND($W63&lt;&gt;"",COUNTIF($W$2:$W63,$W63)&gt;1),"Ticket duplicado | ","")&amp;IF(AND($G63&lt;&gt;"",IFERROR(INDEX('MAESTRO DE UNIDADES'!$L$2:$L$208,MATCH($G63,'MAESTRO DE UNIDADES'!$A$2:$A$208,0)),"")="Inactivo"),"Unidad inactiva | ","")&amp;IF(AND($AA63&lt;&gt;"",$N63=""),"Carga de batán sin litros | ","")&amp;IF(AND($AA63&lt;&gt;"",$AC63&lt;0),"Supera saldo batán | ","")))-3)))</f>
        <v/>
      </c>
      <c r="Z63" s="8" t="str">
        <f t="shared" si="7"/>
        <v/>
      </c>
      <c r="AA63" s="4"/>
      <c r="AB63" s="26" t="str">
        <f>IF($AA63="","",IFERROR(INDEX('CONTROL DE BATAN'!$J$2:$J$301,MATCH($AA63,'CONTROL DE BATAN'!$A$2:$A$301,0)),""))</f>
        <v/>
      </c>
      <c r="AC63" s="28" t="str">
        <f>IF($AA63="","",IFERROR(INDEX('CONTROL DE BATAN'!$I$2:$I$301,MATCH($AA63,'CONTROL DE BATAN'!$A$2:$A$301,0)),0)-SUMIFS($N$2:$N63,$AA$2:$AA63,$AA63))</f>
        <v/>
      </c>
    </row>
    <row r="64" spans="1:29" x14ac:dyDescent="0.25">
      <c r="A64" s="8" t="str">
        <f t="shared" si="1"/>
        <v/>
      </c>
      <c r="B64" s="9"/>
      <c r="C64" s="8" t="str">
        <f t="shared" si="2"/>
        <v/>
      </c>
      <c r="D64" s="10" t="str">
        <f t="shared" si="3"/>
        <v/>
      </c>
      <c r="E64" s="8" t="str">
        <f t="shared" si="4"/>
        <v/>
      </c>
      <c r="F64" s="8" t="str">
        <f>IF($G64="","",IFERROR(INDEX('MAESTRO DE UNIDADES'!$C$2:$C$208,MATCH($G64,'MAESTRO DE UNIDADES'!$A$2:$A$208,0)),""))</f>
        <v/>
      </c>
      <c r="G64" s="4"/>
      <c r="H64" s="8" t="str">
        <f>IF($G64="","",IFERROR(INDEX('MAESTRO DE UNIDADES'!$F$2:$F$208,MATCH($G64,'MAESTRO DE UNIDADES'!$A$2:$A$208,0)),""))</f>
        <v/>
      </c>
      <c r="I64" s="8" t="str">
        <f>IF($G64="","",IFERROR(INDEX('MAESTRO DE UNIDADES'!$B$2:$B$208,MATCH($G64,'MAESTRO DE UNIDADES'!$A$2:$A$208,0)),""))</f>
        <v/>
      </c>
      <c r="J64" s="4"/>
      <c r="K64" s="4"/>
      <c r="L64" s="4"/>
      <c r="M64" s="8" t="str">
        <f>IF($G64="","",IFERROR(INDEX('MAESTRO DE UNIDADES'!$H$2:$H$208,MATCH($G64,'MAESTRO DE UNIDADES'!$A$2:$A$208,0)),""))</f>
        <v/>
      </c>
      <c r="N64" s="17"/>
      <c r="O64" s="25"/>
      <c r="P64" s="26" t="str">
        <f t="shared" si="5"/>
        <v/>
      </c>
      <c r="Q64" s="27"/>
      <c r="R64" s="27"/>
      <c r="S64" s="28" t="str">
        <f>IF(OR($G64="",$Q64="",COUNTIF($G$2:G63,$G64)=0),"",$Q64-LOOKUP(2,1/($G$2:G63=$G64),$Q$2:Q63))</f>
        <v/>
      </c>
      <c r="T64" s="28" t="str">
        <f>IF(OR($G64="",$R64="",COUNTIF($G$2:G63,$G64)=0),"",$R64-LOOKUP(2,1/($G$2:G63=$G64),$R$2:R63))</f>
        <v/>
      </c>
      <c r="U64" s="11" t="str">
        <f t="shared" si="6"/>
        <v/>
      </c>
      <c r="V64" s="4"/>
      <c r="W64" s="4"/>
      <c r="X64" s="55"/>
      <c r="Y64" s="56" t="str">
        <f>IF($B64="","",IF((IF($G64="","Sin unidad | ","")&amp;IF($J64="","Sin responsable | ","")&amp;IF($K64="","Sin obra | ","")&amp;IF(AND($N64&lt;&gt;"",$G64&lt;&gt;"",$N64&gt;IFERROR(INDEX('MAESTRO DE UNIDADES'!$I$2:$I$208,MATCH($G64,'MAESTRO DE UNIDADES'!$A$2:$A$208,0)),0)),"Litros &gt; tanque | ","")&amp;IF(AND($W64&lt;&gt;"",COUNTIF($W$2:$W64,$W64)&gt;1),"Ticket duplicado | ","")&amp;IF(AND($G64&lt;&gt;"",IFERROR(INDEX('MAESTRO DE UNIDADES'!$L$2:$L$208,MATCH($G64,'MAESTRO DE UNIDADES'!$A$2:$A$208,0)),"")="Inactivo"),"Unidad inactiva | ","")&amp;IF(AND($AA64&lt;&gt;"",$N64=""),"Carga de batán sin litros | ","")&amp;IF(AND($AA64&lt;&gt;"",$AC64&lt;0),"Supera saldo batán | ",""))="","OK",LEFT((IF($G64="","Sin unidad | ","")&amp;IF($J64="","Sin responsable | ","")&amp;IF($K64="","Sin obra | ","")&amp;IF(AND($N64&lt;&gt;"",$G64&lt;&gt;"",$N64&gt;IFERROR(INDEX('MAESTRO DE UNIDADES'!$I$2:$I$208,MATCH($G64,'MAESTRO DE UNIDADES'!$A$2:$A$208,0)),0)),"Litros &gt; tanque | ","")&amp;IF(AND($W64&lt;&gt;"",COUNTIF($W$2:$W64,$W64)&gt;1),"Ticket duplicado | ","")&amp;IF(AND($G64&lt;&gt;"",IFERROR(INDEX('MAESTRO DE UNIDADES'!$L$2:$L$208,MATCH($G64,'MAESTRO DE UNIDADES'!$A$2:$A$208,0)),"")="Inactivo"),"Unidad inactiva | ","")&amp;IF(AND($AA64&lt;&gt;"",$N64=""),"Carga de batán sin litros | ","")&amp;IF(AND($AA64&lt;&gt;"",$AC64&lt;0),"Supera saldo batán | ","")),LEN((IF($G64="","Sin unidad | ","")&amp;IF($J64="","Sin responsable | ","")&amp;IF($K64="","Sin obra | ","")&amp;IF(AND($N64&lt;&gt;"",$G64&lt;&gt;"",$N64&gt;IFERROR(INDEX('MAESTRO DE UNIDADES'!$I$2:$I$208,MATCH($G64,'MAESTRO DE UNIDADES'!$A$2:$A$208,0)),0)),"Litros &gt; tanque | ","")&amp;IF(AND($W64&lt;&gt;"",COUNTIF($W$2:$W64,$W64)&gt;1),"Ticket duplicado | ","")&amp;IF(AND($G64&lt;&gt;"",IFERROR(INDEX('MAESTRO DE UNIDADES'!$L$2:$L$208,MATCH($G64,'MAESTRO DE UNIDADES'!$A$2:$A$208,0)),"")="Inactivo"),"Unidad inactiva | ","")&amp;IF(AND($AA64&lt;&gt;"",$N64=""),"Carga de batán sin litros | ","")&amp;IF(AND($AA64&lt;&gt;"",$AC64&lt;0),"Supera saldo batán | ","")))-3)))</f>
        <v/>
      </c>
      <c r="Z64" s="8" t="str">
        <f t="shared" si="7"/>
        <v/>
      </c>
      <c r="AA64" s="4"/>
      <c r="AB64" s="26" t="str">
        <f>IF($AA64="","",IFERROR(INDEX('CONTROL DE BATAN'!$J$2:$J$301,MATCH($AA64,'CONTROL DE BATAN'!$A$2:$A$301,0)),""))</f>
        <v/>
      </c>
      <c r="AC64" s="28" t="str">
        <f>IF($AA64="","",IFERROR(INDEX('CONTROL DE BATAN'!$I$2:$I$301,MATCH($AA64,'CONTROL DE BATAN'!$A$2:$A$301,0)),0)-SUMIFS($N$2:$N64,$AA$2:$AA64,$AA64))</f>
        <v/>
      </c>
    </row>
    <row r="65" spans="1:29" x14ac:dyDescent="0.25">
      <c r="A65" s="8" t="str">
        <f t="shared" si="1"/>
        <v/>
      </c>
      <c r="B65" s="9"/>
      <c r="C65" s="8" t="str">
        <f t="shared" si="2"/>
        <v/>
      </c>
      <c r="D65" s="10" t="str">
        <f t="shared" si="3"/>
        <v/>
      </c>
      <c r="E65" s="8" t="str">
        <f t="shared" si="4"/>
        <v/>
      </c>
      <c r="F65" s="8" t="str">
        <f>IF($G65="","",IFERROR(INDEX('MAESTRO DE UNIDADES'!$C$2:$C$208,MATCH($G65,'MAESTRO DE UNIDADES'!$A$2:$A$208,0)),""))</f>
        <v/>
      </c>
      <c r="G65" s="4"/>
      <c r="H65" s="8" t="str">
        <f>IF($G65="","",IFERROR(INDEX('MAESTRO DE UNIDADES'!$F$2:$F$208,MATCH($G65,'MAESTRO DE UNIDADES'!$A$2:$A$208,0)),""))</f>
        <v/>
      </c>
      <c r="I65" s="8" t="str">
        <f>IF($G65="","",IFERROR(INDEX('MAESTRO DE UNIDADES'!$B$2:$B$208,MATCH($G65,'MAESTRO DE UNIDADES'!$A$2:$A$208,0)),""))</f>
        <v/>
      </c>
      <c r="J65" s="4"/>
      <c r="K65" s="4"/>
      <c r="L65" s="4"/>
      <c r="M65" s="8" t="str">
        <f>IF($G65="","",IFERROR(INDEX('MAESTRO DE UNIDADES'!$H$2:$H$208,MATCH($G65,'MAESTRO DE UNIDADES'!$A$2:$A$208,0)),""))</f>
        <v/>
      </c>
      <c r="N65" s="17"/>
      <c r="O65" s="25"/>
      <c r="P65" s="26" t="str">
        <f t="shared" si="5"/>
        <v/>
      </c>
      <c r="Q65" s="27"/>
      <c r="R65" s="27"/>
      <c r="S65" s="28" t="str">
        <f>IF(OR($G65="",$Q65="",COUNTIF($G$2:G64,$G65)=0),"",$Q65-LOOKUP(2,1/($G$2:G64=$G65),$Q$2:Q64))</f>
        <v/>
      </c>
      <c r="T65" s="28" t="str">
        <f>IF(OR($G65="",$R65="",COUNTIF($G$2:G64,$G65)=0),"",$R65-LOOKUP(2,1/($G$2:G64=$G65),$R$2:R64))</f>
        <v/>
      </c>
      <c r="U65" s="11" t="str">
        <f t="shared" si="6"/>
        <v/>
      </c>
      <c r="V65" s="4"/>
      <c r="W65" s="4"/>
      <c r="X65" s="55"/>
      <c r="Y65" s="56" t="str">
        <f>IF($B65="","",IF((IF($G65="","Sin unidad | ","")&amp;IF($J65="","Sin responsable | ","")&amp;IF($K65="","Sin obra | ","")&amp;IF(AND($N65&lt;&gt;"",$G65&lt;&gt;"",$N65&gt;IFERROR(INDEX('MAESTRO DE UNIDADES'!$I$2:$I$208,MATCH($G65,'MAESTRO DE UNIDADES'!$A$2:$A$208,0)),0)),"Litros &gt; tanque | ","")&amp;IF(AND($W65&lt;&gt;"",COUNTIF($W$2:$W65,$W65)&gt;1),"Ticket duplicado | ","")&amp;IF(AND($G65&lt;&gt;"",IFERROR(INDEX('MAESTRO DE UNIDADES'!$L$2:$L$208,MATCH($G65,'MAESTRO DE UNIDADES'!$A$2:$A$208,0)),"")="Inactivo"),"Unidad inactiva | ","")&amp;IF(AND($AA65&lt;&gt;"",$N65=""),"Carga de batán sin litros | ","")&amp;IF(AND($AA65&lt;&gt;"",$AC65&lt;0),"Supera saldo batán | ",""))="","OK",LEFT((IF($G65="","Sin unidad | ","")&amp;IF($J65="","Sin responsable | ","")&amp;IF($K65="","Sin obra | ","")&amp;IF(AND($N65&lt;&gt;"",$G65&lt;&gt;"",$N65&gt;IFERROR(INDEX('MAESTRO DE UNIDADES'!$I$2:$I$208,MATCH($G65,'MAESTRO DE UNIDADES'!$A$2:$A$208,0)),0)),"Litros &gt; tanque | ","")&amp;IF(AND($W65&lt;&gt;"",COUNTIF($W$2:$W65,$W65)&gt;1),"Ticket duplicado | ","")&amp;IF(AND($G65&lt;&gt;"",IFERROR(INDEX('MAESTRO DE UNIDADES'!$L$2:$L$208,MATCH($G65,'MAESTRO DE UNIDADES'!$A$2:$A$208,0)),"")="Inactivo"),"Unidad inactiva | ","")&amp;IF(AND($AA65&lt;&gt;"",$N65=""),"Carga de batán sin litros | ","")&amp;IF(AND($AA65&lt;&gt;"",$AC65&lt;0),"Supera saldo batán | ","")),LEN((IF($G65="","Sin unidad | ","")&amp;IF($J65="","Sin responsable | ","")&amp;IF($K65="","Sin obra | ","")&amp;IF(AND($N65&lt;&gt;"",$G65&lt;&gt;"",$N65&gt;IFERROR(INDEX('MAESTRO DE UNIDADES'!$I$2:$I$208,MATCH($G65,'MAESTRO DE UNIDADES'!$A$2:$A$208,0)),0)),"Litros &gt; tanque | ","")&amp;IF(AND($W65&lt;&gt;"",COUNTIF($W$2:$W65,$W65)&gt;1),"Ticket duplicado | ","")&amp;IF(AND($G65&lt;&gt;"",IFERROR(INDEX('MAESTRO DE UNIDADES'!$L$2:$L$208,MATCH($G65,'MAESTRO DE UNIDADES'!$A$2:$A$208,0)),"")="Inactivo"),"Unidad inactiva | ","")&amp;IF(AND($AA65&lt;&gt;"",$N65=""),"Carga de batán sin litros | ","")&amp;IF(AND($AA65&lt;&gt;"",$AC65&lt;0),"Supera saldo batán | ","")))-3)))</f>
        <v/>
      </c>
      <c r="Z65" s="8" t="str">
        <f t="shared" si="7"/>
        <v/>
      </c>
      <c r="AA65" s="4"/>
      <c r="AB65" s="26" t="str">
        <f>IF($AA65="","",IFERROR(INDEX('CONTROL DE BATAN'!$J$2:$J$301,MATCH($AA65,'CONTROL DE BATAN'!$A$2:$A$301,0)),""))</f>
        <v/>
      </c>
      <c r="AC65" s="28" t="str">
        <f>IF($AA65="","",IFERROR(INDEX('CONTROL DE BATAN'!$I$2:$I$301,MATCH($AA65,'CONTROL DE BATAN'!$A$2:$A$301,0)),0)-SUMIFS($N$2:$N65,$AA$2:$AA65,$AA65))</f>
        <v/>
      </c>
    </row>
    <row r="66" spans="1:29" x14ac:dyDescent="0.25">
      <c r="A66" s="8" t="str">
        <f t="shared" si="1"/>
        <v/>
      </c>
      <c r="B66" s="9"/>
      <c r="C66" s="8" t="str">
        <f t="shared" si="2"/>
        <v/>
      </c>
      <c r="D66" s="10" t="str">
        <f t="shared" si="3"/>
        <v/>
      </c>
      <c r="E66" s="8" t="str">
        <f t="shared" si="4"/>
        <v/>
      </c>
      <c r="F66" s="8" t="str">
        <f>IF($G66="","",IFERROR(INDEX('MAESTRO DE UNIDADES'!$C$2:$C$208,MATCH($G66,'MAESTRO DE UNIDADES'!$A$2:$A$208,0)),""))</f>
        <v/>
      </c>
      <c r="G66" s="4"/>
      <c r="H66" s="8" t="str">
        <f>IF($G66="","",IFERROR(INDEX('MAESTRO DE UNIDADES'!$F$2:$F$208,MATCH($G66,'MAESTRO DE UNIDADES'!$A$2:$A$208,0)),""))</f>
        <v/>
      </c>
      <c r="I66" s="8" t="str">
        <f>IF($G66="","",IFERROR(INDEX('MAESTRO DE UNIDADES'!$B$2:$B$208,MATCH($G66,'MAESTRO DE UNIDADES'!$A$2:$A$208,0)),""))</f>
        <v/>
      </c>
      <c r="J66" s="4"/>
      <c r="K66" s="4"/>
      <c r="L66" s="4"/>
      <c r="M66" s="8" t="str">
        <f>IF($G66="","",IFERROR(INDEX('MAESTRO DE UNIDADES'!$H$2:$H$208,MATCH($G66,'MAESTRO DE UNIDADES'!$A$2:$A$208,0)),""))</f>
        <v/>
      </c>
      <c r="N66" s="17"/>
      <c r="O66" s="25"/>
      <c r="P66" s="26" t="str">
        <f t="shared" si="5"/>
        <v/>
      </c>
      <c r="Q66" s="27"/>
      <c r="R66" s="27"/>
      <c r="S66" s="28" t="str">
        <f>IF(OR($G66="",$Q66="",COUNTIF($G$2:G65,$G66)=0),"",$Q66-LOOKUP(2,1/($G$2:G65=$G66),$Q$2:Q65))</f>
        <v/>
      </c>
      <c r="T66" s="28" t="str">
        <f>IF(OR($G66="",$R66="",COUNTIF($G$2:G65,$G66)=0),"",$R66-LOOKUP(2,1/($G$2:G65=$G66),$R$2:R65))</f>
        <v/>
      </c>
      <c r="U66" s="11" t="str">
        <f t="shared" si="6"/>
        <v/>
      </c>
      <c r="V66" s="4"/>
      <c r="W66" s="4"/>
      <c r="X66" s="55"/>
      <c r="Y66" s="56" t="str">
        <f>IF($B66="","",IF((IF($G66="","Sin unidad | ","")&amp;IF($J66="","Sin responsable | ","")&amp;IF($K66="","Sin obra | ","")&amp;IF(AND($N66&lt;&gt;"",$G66&lt;&gt;"",$N66&gt;IFERROR(INDEX('MAESTRO DE UNIDADES'!$I$2:$I$208,MATCH($G66,'MAESTRO DE UNIDADES'!$A$2:$A$208,0)),0)),"Litros &gt; tanque | ","")&amp;IF(AND($W66&lt;&gt;"",COUNTIF($W$2:$W66,$W66)&gt;1),"Ticket duplicado | ","")&amp;IF(AND($G66&lt;&gt;"",IFERROR(INDEX('MAESTRO DE UNIDADES'!$L$2:$L$208,MATCH($G66,'MAESTRO DE UNIDADES'!$A$2:$A$208,0)),"")="Inactivo"),"Unidad inactiva | ","")&amp;IF(AND($AA66&lt;&gt;"",$N66=""),"Carga de batán sin litros | ","")&amp;IF(AND($AA66&lt;&gt;"",$AC66&lt;0),"Supera saldo batán | ",""))="","OK",LEFT((IF($G66="","Sin unidad | ","")&amp;IF($J66="","Sin responsable | ","")&amp;IF($K66="","Sin obra | ","")&amp;IF(AND($N66&lt;&gt;"",$G66&lt;&gt;"",$N66&gt;IFERROR(INDEX('MAESTRO DE UNIDADES'!$I$2:$I$208,MATCH($G66,'MAESTRO DE UNIDADES'!$A$2:$A$208,0)),0)),"Litros &gt; tanque | ","")&amp;IF(AND($W66&lt;&gt;"",COUNTIF($W$2:$W66,$W66)&gt;1),"Ticket duplicado | ","")&amp;IF(AND($G66&lt;&gt;"",IFERROR(INDEX('MAESTRO DE UNIDADES'!$L$2:$L$208,MATCH($G66,'MAESTRO DE UNIDADES'!$A$2:$A$208,0)),"")="Inactivo"),"Unidad inactiva | ","")&amp;IF(AND($AA66&lt;&gt;"",$N66=""),"Carga de batán sin litros | ","")&amp;IF(AND($AA66&lt;&gt;"",$AC66&lt;0),"Supera saldo batán | ","")),LEN((IF($G66="","Sin unidad | ","")&amp;IF($J66="","Sin responsable | ","")&amp;IF($K66="","Sin obra | ","")&amp;IF(AND($N66&lt;&gt;"",$G66&lt;&gt;"",$N66&gt;IFERROR(INDEX('MAESTRO DE UNIDADES'!$I$2:$I$208,MATCH($G66,'MAESTRO DE UNIDADES'!$A$2:$A$208,0)),0)),"Litros &gt; tanque | ","")&amp;IF(AND($W66&lt;&gt;"",COUNTIF($W$2:$W66,$W66)&gt;1),"Ticket duplicado | ","")&amp;IF(AND($G66&lt;&gt;"",IFERROR(INDEX('MAESTRO DE UNIDADES'!$L$2:$L$208,MATCH($G66,'MAESTRO DE UNIDADES'!$A$2:$A$208,0)),"")="Inactivo"),"Unidad inactiva | ","")&amp;IF(AND($AA66&lt;&gt;"",$N66=""),"Carga de batán sin litros | ","")&amp;IF(AND($AA66&lt;&gt;"",$AC66&lt;0),"Supera saldo batán | ","")))-3)))</f>
        <v/>
      </c>
      <c r="Z66" s="8" t="str">
        <f t="shared" si="7"/>
        <v/>
      </c>
      <c r="AA66" s="4"/>
      <c r="AB66" s="26" t="str">
        <f>IF($AA66="","",IFERROR(INDEX('CONTROL DE BATAN'!$J$2:$J$301,MATCH($AA66,'CONTROL DE BATAN'!$A$2:$A$301,0)),""))</f>
        <v/>
      </c>
      <c r="AC66" s="28" t="str">
        <f>IF($AA66="","",IFERROR(INDEX('CONTROL DE BATAN'!$I$2:$I$301,MATCH($AA66,'CONTROL DE BATAN'!$A$2:$A$301,0)),0)-SUMIFS($N$2:$N66,$AA$2:$AA66,$AA66))</f>
        <v/>
      </c>
    </row>
    <row r="67" spans="1:29" x14ac:dyDescent="0.25">
      <c r="A67" s="8" t="str">
        <f t="shared" si="1"/>
        <v/>
      </c>
      <c r="B67" s="9"/>
      <c r="C67" s="8" t="str">
        <f t="shared" si="2"/>
        <v/>
      </c>
      <c r="D67" s="10" t="str">
        <f t="shared" si="3"/>
        <v/>
      </c>
      <c r="E67" s="8" t="str">
        <f t="shared" si="4"/>
        <v/>
      </c>
      <c r="F67" s="8" t="str">
        <f>IF($G67="","",IFERROR(INDEX('MAESTRO DE UNIDADES'!$C$2:$C$208,MATCH($G67,'MAESTRO DE UNIDADES'!$A$2:$A$208,0)),""))</f>
        <v/>
      </c>
      <c r="G67" s="4"/>
      <c r="H67" s="8" t="str">
        <f>IF($G67="","",IFERROR(INDEX('MAESTRO DE UNIDADES'!$F$2:$F$208,MATCH($G67,'MAESTRO DE UNIDADES'!$A$2:$A$208,0)),""))</f>
        <v/>
      </c>
      <c r="I67" s="8" t="str">
        <f>IF($G67="","",IFERROR(INDEX('MAESTRO DE UNIDADES'!$B$2:$B$208,MATCH($G67,'MAESTRO DE UNIDADES'!$A$2:$A$208,0)),""))</f>
        <v/>
      </c>
      <c r="J67" s="4"/>
      <c r="K67" s="4"/>
      <c r="L67" s="4"/>
      <c r="M67" s="8" t="str">
        <f>IF($G67="","",IFERROR(INDEX('MAESTRO DE UNIDADES'!$H$2:$H$208,MATCH($G67,'MAESTRO DE UNIDADES'!$A$2:$A$208,0)),""))</f>
        <v/>
      </c>
      <c r="N67" s="17"/>
      <c r="O67" s="25"/>
      <c r="P67" s="26" t="str">
        <f t="shared" si="5"/>
        <v/>
      </c>
      <c r="Q67" s="27"/>
      <c r="R67" s="27"/>
      <c r="S67" s="28" t="str">
        <f>IF(OR($G67="",$Q67="",COUNTIF($G$2:G66,$G67)=0),"",$Q67-LOOKUP(2,1/($G$2:G66=$G67),$Q$2:Q66))</f>
        <v/>
      </c>
      <c r="T67" s="28" t="str">
        <f>IF(OR($G67="",$R67="",COUNTIF($G$2:G66,$G67)=0),"",$R67-LOOKUP(2,1/($G$2:G66=$G67),$R$2:R66))</f>
        <v/>
      </c>
      <c r="U67" s="11" t="str">
        <f t="shared" si="6"/>
        <v/>
      </c>
      <c r="V67" s="4"/>
      <c r="W67" s="4"/>
      <c r="X67" s="55"/>
      <c r="Y67" s="56" t="str">
        <f>IF($B67="","",IF((IF($G67="","Sin unidad | ","")&amp;IF($J67="","Sin responsable | ","")&amp;IF($K67="","Sin obra | ","")&amp;IF(AND($N67&lt;&gt;"",$G67&lt;&gt;"",$N67&gt;IFERROR(INDEX('MAESTRO DE UNIDADES'!$I$2:$I$208,MATCH($G67,'MAESTRO DE UNIDADES'!$A$2:$A$208,0)),0)),"Litros &gt; tanque | ","")&amp;IF(AND($W67&lt;&gt;"",COUNTIF($W$2:$W67,$W67)&gt;1),"Ticket duplicado | ","")&amp;IF(AND($G67&lt;&gt;"",IFERROR(INDEX('MAESTRO DE UNIDADES'!$L$2:$L$208,MATCH($G67,'MAESTRO DE UNIDADES'!$A$2:$A$208,0)),"")="Inactivo"),"Unidad inactiva | ","")&amp;IF(AND($AA67&lt;&gt;"",$N67=""),"Carga de batán sin litros | ","")&amp;IF(AND($AA67&lt;&gt;"",$AC67&lt;0),"Supera saldo batán | ",""))="","OK",LEFT((IF($G67="","Sin unidad | ","")&amp;IF($J67="","Sin responsable | ","")&amp;IF($K67="","Sin obra | ","")&amp;IF(AND($N67&lt;&gt;"",$G67&lt;&gt;"",$N67&gt;IFERROR(INDEX('MAESTRO DE UNIDADES'!$I$2:$I$208,MATCH($G67,'MAESTRO DE UNIDADES'!$A$2:$A$208,0)),0)),"Litros &gt; tanque | ","")&amp;IF(AND($W67&lt;&gt;"",COUNTIF($W$2:$W67,$W67)&gt;1),"Ticket duplicado | ","")&amp;IF(AND($G67&lt;&gt;"",IFERROR(INDEX('MAESTRO DE UNIDADES'!$L$2:$L$208,MATCH($G67,'MAESTRO DE UNIDADES'!$A$2:$A$208,0)),"")="Inactivo"),"Unidad inactiva | ","")&amp;IF(AND($AA67&lt;&gt;"",$N67=""),"Carga de batán sin litros | ","")&amp;IF(AND($AA67&lt;&gt;"",$AC67&lt;0),"Supera saldo batán | ","")),LEN((IF($G67="","Sin unidad | ","")&amp;IF($J67="","Sin responsable | ","")&amp;IF($K67="","Sin obra | ","")&amp;IF(AND($N67&lt;&gt;"",$G67&lt;&gt;"",$N67&gt;IFERROR(INDEX('MAESTRO DE UNIDADES'!$I$2:$I$208,MATCH($G67,'MAESTRO DE UNIDADES'!$A$2:$A$208,0)),0)),"Litros &gt; tanque | ","")&amp;IF(AND($W67&lt;&gt;"",COUNTIF($W$2:$W67,$W67)&gt;1),"Ticket duplicado | ","")&amp;IF(AND($G67&lt;&gt;"",IFERROR(INDEX('MAESTRO DE UNIDADES'!$L$2:$L$208,MATCH($G67,'MAESTRO DE UNIDADES'!$A$2:$A$208,0)),"")="Inactivo"),"Unidad inactiva | ","")&amp;IF(AND($AA67&lt;&gt;"",$N67=""),"Carga de batán sin litros | ","")&amp;IF(AND($AA67&lt;&gt;"",$AC67&lt;0),"Supera saldo batán | ","")))-3)))</f>
        <v/>
      </c>
      <c r="Z67" s="8" t="str">
        <f t="shared" si="7"/>
        <v/>
      </c>
      <c r="AA67" s="4"/>
      <c r="AB67" s="26" t="str">
        <f>IF($AA67="","",IFERROR(INDEX('CONTROL DE BATAN'!$J$2:$J$301,MATCH($AA67,'CONTROL DE BATAN'!$A$2:$A$301,0)),""))</f>
        <v/>
      </c>
      <c r="AC67" s="28" t="str">
        <f>IF($AA67="","",IFERROR(INDEX('CONTROL DE BATAN'!$I$2:$I$301,MATCH($AA67,'CONTROL DE BATAN'!$A$2:$A$301,0)),0)-SUMIFS($N$2:$N67,$AA$2:$AA67,$AA67))</f>
        <v/>
      </c>
    </row>
    <row r="68" spans="1:29" x14ac:dyDescent="0.25">
      <c r="A68" s="8" t="str">
        <f t="shared" ref="A68:A131" si="8">IF(B68="","","CARGA-"&amp;TEXT(ROW()-1,"0000"))</f>
        <v/>
      </c>
      <c r="B68" s="9"/>
      <c r="C68" s="8" t="str">
        <f t="shared" ref="C68:C131" si="9">IF(B68="","",CHOOSE(MONTH(B68),"Enero","Febrero","Marzo","Abril","Mayo","Junio","Julio","Agosto","Septiembre","Octubre","Noviembre","Diciembre"))</f>
        <v/>
      </c>
      <c r="D68" s="10" t="str">
        <f t="shared" ref="D68:D131" si="10">IF(B68="","",YEAR(B68))</f>
        <v/>
      </c>
      <c r="E68" s="8" t="str">
        <f t="shared" ref="E68:E131" si="11">IF(B68="","",CHOOSE(WEEKDAY(B68,2),"Lunes","Martes","Miércoles","Jueves","Viernes","Sábado","Domingo"))</f>
        <v/>
      </c>
      <c r="F68" s="8" t="str">
        <f>IF($G68="","",IFERROR(INDEX('MAESTRO DE UNIDADES'!$C$2:$C$208,MATCH($G68,'MAESTRO DE UNIDADES'!$A$2:$A$208,0)),""))</f>
        <v/>
      </c>
      <c r="G68" s="4"/>
      <c r="H68" s="8" t="str">
        <f>IF($G68="","",IFERROR(INDEX('MAESTRO DE UNIDADES'!$F$2:$F$208,MATCH($G68,'MAESTRO DE UNIDADES'!$A$2:$A$208,0)),""))</f>
        <v/>
      </c>
      <c r="I68" s="8" t="str">
        <f>IF($G68="","",IFERROR(INDEX('MAESTRO DE UNIDADES'!$B$2:$B$208,MATCH($G68,'MAESTRO DE UNIDADES'!$A$2:$A$208,0)),""))</f>
        <v/>
      </c>
      <c r="J68" s="4"/>
      <c r="K68" s="4"/>
      <c r="L68" s="4"/>
      <c r="M68" s="8" t="str">
        <f>IF($G68="","",IFERROR(INDEX('MAESTRO DE UNIDADES'!$H$2:$H$208,MATCH($G68,'MAESTRO DE UNIDADES'!$A$2:$A$208,0)),""))</f>
        <v/>
      </c>
      <c r="N68" s="17"/>
      <c r="O68" s="25"/>
      <c r="P68" s="26" t="str">
        <f t="shared" ref="P68:P131" si="12">IF($N68="","",IF($AA68&lt;&gt;"",IF($AB68="","",$N68*$AB68),IF($O68="","",$N68*$O68)))</f>
        <v/>
      </c>
      <c r="Q68" s="27"/>
      <c r="R68" s="27"/>
      <c r="S68" s="28" t="str">
        <f>IF(OR($G68="",$Q68="",COUNTIF($G$2:G67,$G68)=0),"",$Q68-LOOKUP(2,1/($G$2:G67=$G68),$Q$2:Q67))</f>
        <v/>
      </c>
      <c r="T68" s="28" t="str">
        <f>IF(OR($G68="",$R68="",COUNTIF($G$2:G67,$G68)=0),"",$R68-LOOKUP(2,1/($G$2:G67=$G68),$R$2:R67))</f>
        <v/>
      </c>
      <c r="U68" s="11" t="str">
        <f t="shared" ref="U68:U131" si="13">IF(N68="","",IF(S68&lt;&gt;"",S68/N68,IF(T68&lt;&gt;"",T68/N68,"")))</f>
        <v/>
      </c>
      <c r="V68" s="4"/>
      <c r="W68" s="4"/>
      <c r="X68" s="55"/>
      <c r="Y68" s="56" t="str">
        <f>IF($B68="","",IF((IF($G68="","Sin unidad | ","")&amp;IF($J68="","Sin responsable | ","")&amp;IF($K68="","Sin obra | ","")&amp;IF(AND($N68&lt;&gt;"",$G68&lt;&gt;"",$N68&gt;IFERROR(INDEX('MAESTRO DE UNIDADES'!$I$2:$I$208,MATCH($G68,'MAESTRO DE UNIDADES'!$A$2:$A$208,0)),0)),"Litros &gt; tanque | ","")&amp;IF(AND($W68&lt;&gt;"",COUNTIF($W$2:$W68,$W68)&gt;1),"Ticket duplicado | ","")&amp;IF(AND($G68&lt;&gt;"",IFERROR(INDEX('MAESTRO DE UNIDADES'!$L$2:$L$208,MATCH($G68,'MAESTRO DE UNIDADES'!$A$2:$A$208,0)),"")="Inactivo"),"Unidad inactiva | ","")&amp;IF(AND($AA68&lt;&gt;"",$N68=""),"Carga de batán sin litros | ","")&amp;IF(AND($AA68&lt;&gt;"",$AC68&lt;0),"Supera saldo batán | ",""))="","OK",LEFT((IF($G68="","Sin unidad | ","")&amp;IF($J68="","Sin responsable | ","")&amp;IF($K68="","Sin obra | ","")&amp;IF(AND($N68&lt;&gt;"",$G68&lt;&gt;"",$N68&gt;IFERROR(INDEX('MAESTRO DE UNIDADES'!$I$2:$I$208,MATCH($G68,'MAESTRO DE UNIDADES'!$A$2:$A$208,0)),0)),"Litros &gt; tanque | ","")&amp;IF(AND($W68&lt;&gt;"",COUNTIF($W$2:$W68,$W68)&gt;1),"Ticket duplicado | ","")&amp;IF(AND($G68&lt;&gt;"",IFERROR(INDEX('MAESTRO DE UNIDADES'!$L$2:$L$208,MATCH($G68,'MAESTRO DE UNIDADES'!$A$2:$A$208,0)),"")="Inactivo"),"Unidad inactiva | ","")&amp;IF(AND($AA68&lt;&gt;"",$N68=""),"Carga de batán sin litros | ","")&amp;IF(AND($AA68&lt;&gt;"",$AC68&lt;0),"Supera saldo batán | ","")),LEN((IF($G68="","Sin unidad | ","")&amp;IF($J68="","Sin responsable | ","")&amp;IF($K68="","Sin obra | ","")&amp;IF(AND($N68&lt;&gt;"",$G68&lt;&gt;"",$N68&gt;IFERROR(INDEX('MAESTRO DE UNIDADES'!$I$2:$I$208,MATCH($G68,'MAESTRO DE UNIDADES'!$A$2:$A$208,0)),0)),"Litros &gt; tanque | ","")&amp;IF(AND($W68&lt;&gt;"",COUNTIF($W$2:$W68,$W68)&gt;1),"Ticket duplicado | ","")&amp;IF(AND($G68&lt;&gt;"",IFERROR(INDEX('MAESTRO DE UNIDADES'!$L$2:$L$208,MATCH($G68,'MAESTRO DE UNIDADES'!$A$2:$A$208,0)),"")="Inactivo"),"Unidad inactiva | ","")&amp;IF(AND($AA68&lt;&gt;"",$N68=""),"Carga de batán sin litros | ","")&amp;IF(AND($AA68&lt;&gt;"",$AC68&lt;0),"Supera saldo batán | ","")))-3)))</f>
        <v/>
      </c>
      <c r="Z68" s="8" t="str">
        <f t="shared" ref="Z68:Z131" si="14">IF($B68="","",IF($AA68&lt;&gt;"","Batán","Estación de servicio"))</f>
        <v/>
      </c>
      <c r="AA68" s="4"/>
      <c r="AB68" s="26" t="str">
        <f>IF($AA68="","",IFERROR(INDEX('CONTROL DE BATAN'!$J$2:$J$301,MATCH($AA68,'CONTROL DE BATAN'!$A$2:$A$301,0)),""))</f>
        <v/>
      </c>
      <c r="AC68" s="28" t="str">
        <f>IF($AA68="","",IFERROR(INDEX('CONTROL DE BATAN'!$I$2:$I$301,MATCH($AA68,'CONTROL DE BATAN'!$A$2:$A$301,0)),0)-SUMIFS($N$2:$N68,$AA$2:$AA68,$AA68))</f>
        <v/>
      </c>
    </row>
    <row r="69" spans="1:29" x14ac:dyDescent="0.25">
      <c r="A69" s="8" t="str">
        <f t="shared" si="8"/>
        <v/>
      </c>
      <c r="B69" s="9"/>
      <c r="C69" s="8" t="str">
        <f t="shared" si="9"/>
        <v/>
      </c>
      <c r="D69" s="10" t="str">
        <f t="shared" si="10"/>
        <v/>
      </c>
      <c r="E69" s="8" t="str">
        <f t="shared" si="11"/>
        <v/>
      </c>
      <c r="F69" s="8" t="str">
        <f>IF($G69="","",IFERROR(INDEX('MAESTRO DE UNIDADES'!$C$2:$C$208,MATCH($G69,'MAESTRO DE UNIDADES'!$A$2:$A$208,0)),""))</f>
        <v/>
      </c>
      <c r="G69" s="4"/>
      <c r="H69" s="8" t="str">
        <f>IF($G69="","",IFERROR(INDEX('MAESTRO DE UNIDADES'!$F$2:$F$208,MATCH($G69,'MAESTRO DE UNIDADES'!$A$2:$A$208,0)),""))</f>
        <v/>
      </c>
      <c r="I69" s="8" t="str">
        <f>IF($G69="","",IFERROR(INDEX('MAESTRO DE UNIDADES'!$B$2:$B$208,MATCH($G69,'MAESTRO DE UNIDADES'!$A$2:$A$208,0)),""))</f>
        <v/>
      </c>
      <c r="J69" s="4"/>
      <c r="K69" s="4"/>
      <c r="L69" s="4"/>
      <c r="M69" s="8" t="str">
        <f>IF($G69="","",IFERROR(INDEX('MAESTRO DE UNIDADES'!$H$2:$H$208,MATCH($G69,'MAESTRO DE UNIDADES'!$A$2:$A$208,0)),""))</f>
        <v/>
      </c>
      <c r="N69" s="17"/>
      <c r="O69" s="25"/>
      <c r="P69" s="26" t="str">
        <f t="shared" si="12"/>
        <v/>
      </c>
      <c r="Q69" s="27"/>
      <c r="R69" s="27"/>
      <c r="S69" s="28" t="str">
        <f>IF(OR($G69="",$Q69="",COUNTIF($G$2:G68,$G69)=0),"",$Q69-LOOKUP(2,1/($G$2:G68=$G69),$Q$2:Q68))</f>
        <v/>
      </c>
      <c r="T69" s="28" t="str">
        <f>IF(OR($G69="",$R69="",COUNTIF($G$2:G68,$G69)=0),"",$R69-LOOKUP(2,1/($G$2:G68=$G69),$R$2:R68))</f>
        <v/>
      </c>
      <c r="U69" s="11" t="str">
        <f t="shared" si="13"/>
        <v/>
      </c>
      <c r="V69" s="4"/>
      <c r="W69" s="4"/>
      <c r="X69" s="55"/>
      <c r="Y69" s="56" t="str">
        <f>IF($B69="","",IF((IF($G69="","Sin unidad | ","")&amp;IF($J69="","Sin responsable | ","")&amp;IF($K69="","Sin obra | ","")&amp;IF(AND($N69&lt;&gt;"",$G69&lt;&gt;"",$N69&gt;IFERROR(INDEX('MAESTRO DE UNIDADES'!$I$2:$I$208,MATCH($G69,'MAESTRO DE UNIDADES'!$A$2:$A$208,0)),0)),"Litros &gt; tanque | ","")&amp;IF(AND($W69&lt;&gt;"",COUNTIF($W$2:$W69,$W69)&gt;1),"Ticket duplicado | ","")&amp;IF(AND($G69&lt;&gt;"",IFERROR(INDEX('MAESTRO DE UNIDADES'!$L$2:$L$208,MATCH($G69,'MAESTRO DE UNIDADES'!$A$2:$A$208,0)),"")="Inactivo"),"Unidad inactiva | ","")&amp;IF(AND($AA69&lt;&gt;"",$N69=""),"Carga de batán sin litros | ","")&amp;IF(AND($AA69&lt;&gt;"",$AC69&lt;0),"Supera saldo batán | ",""))="","OK",LEFT((IF($G69="","Sin unidad | ","")&amp;IF($J69="","Sin responsable | ","")&amp;IF($K69="","Sin obra | ","")&amp;IF(AND($N69&lt;&gt;"",$G69&lt;&gt;"",$N69&gt;IFERROR(INDEX('MAESTRO DE UNIDADES'!$I$2:$I$208,MATCH($G69,'MAESTRO DE UNIDADES'!$A$2:$A$208,0)),0)),"Litros &gt; tanque | ","")&amp;IF(AND($W69&lt;&gt;"",COUNTIF($W$2:$W69,$W69)&gt;1),"Ticket duplicado | ","")&amp;IF(AND($G69&lt;&gt;"",IFERROR(INDEX('MAESTRO DE UNIDADES'!$L$2:$L$208,MATCH($G69,'MAESTRO DE UNIDADES'!$A$2:$A$208,0)),"")="Inactivo"),"Unidad inactiva | ","")&amp;IF(AND($AA69&lt;&gt;"",$N69=""),"Carga de batán sin litros | ","")&amp;IF(AND($AA69&lt;&gt;"",$AC69&lt;0),"Supera saldo batán | ","")),LEN((IF($G69="","Sin unidad | ","")&amp;IF($J69="","Sin responsable | ","")&amp;IF($K69="","Sin obra | ","")&amp;IF(AND($N69&lt;&gt;"",$G69&lt;&gt;"",$N69&gt;IFERROR(INDEX('MAESTRO DE UNIDADES'!$I$2:$I$208,MATCH($G69,'MAESTRO DE UNIDADES'!$A$2:$A$208,0)),0)),"Litros &gt; tanque | ","")&amp;IF(AND($W69&lt;&gt;"",COUNTIF($W$2:$W69,$W69)&gt;1),"Ticket duplicado | ","")&amp;IF(AND($G69&lt;&gt;"",IFERROR(INDEX('MAESTRO DE UNIDADES'!$L$2:$L$208,MATCH($G69,'MAESTRO DE UNIDADES'!$A$2:$A$208,0)),"")="Inactivo"),"Unidad inactiva | ","")&amp;IF(AND($AA69&lt;&gt;"",$N69=""),"Carga de batán sin litros | ","")&amp;IF(AND($AA69&lt;&gt;"",$AC69&lt;0),"Supera saldo batán | ","")))-3)))</f>
        <v/>
      </c>
      <c r="Z69" s="8" t="str">
        <f t="shared" si="14"/>
        <v/>
      </c>
      <c r="AA69" s="4"/>
      <c r="AB69" s="26" t="str">
        <f>IF($AA69="","",IFERROR(INDEX('CONTROL DE BATAN'!$J$2:$J$301,MATCH($AA69,'CONTROL DE BATAN'!$A$2:$A$301,0)),""))</f>
        <v/>
      </c>
      <c r="AC69" s="28" t="str">
        <f>IF($AA69="","",IFERROR(INDEX('CONTROL DE BATAN'!$I$2:$I$301,MATCH($AA69,'CONTROL DE BATAN'!$A$2:$A$301,0)),0)-SUMIFS($N$2:$N69,$AA$2:$AA69,$AA69))</f>
        <v/>
      </c>
    </row>
    <row r="70" spans="1:29" x14ac:dyDescent="0.25">
      <c r="A70" s="8" t="str">
        <f t="shared" si="8"/>
        <v/>
      </c>
      <c r="B70" s="9"/>
      <c r="C70" s="8" t="str">
        <f t="shared" si="9"/>
        <v/>
      </c>
      <c r="D70" s="10" t="str">
        <f t="shared" si="10"/>
        <v/>
      </c>
      <c r="E70" s="8" t="str">
        <f t="shared" si="11"/>
        <v/>
      </c>
      <c r="F70" s="8" t="str">
        <f>IF($G70="","",IFERROR(INDEX('MAESTRO DE UNIDADES'!$C$2:$C$208,MATCH($G70,'MAESTRO DE UNIDADES'!$A$2:$A$208,0)),""))</f>
        <v/>
      </c>
      <c r="G70" s="4"/>
      <c r="H70" s="8" t="str">
        <f>IF($G70="","",IFERROR(INDEX('MAESTRO DE UNIDADES'!$F$2:$F$208,MATCH($G70,'MAESTRO DE UNIDADES'!$A$2:$A$208,0)),""))</f>
        <v/>
      </c>
      <c r="I70" s="8" t="str">
        <f>IF($G70="","",IFERROR(INDEX('MAESTRO DE UNIDADES'!$B$2:$B$208,MATCH($G70,'MAESTRO DE UNIDADES'!$A$2:$A$208,0)),""))</f>
        <v/>
      </c>
      <c r="J70" s="4"/>
      <c r="K70" s="4"/>
      <c r="L70" s="4"/>
      <c r="M70" s="8" t="str">
        <f>IF($G70="","",IFERROR(INDEX('MAESTRO DE UNIDADES'!$H$2:$H$208,MATCH($G70,'MAESTRO DE UNIDADES'!$A$2:$A$208,0)),""))</f>
        <v/>
      </c>
      <c r="N70" s="17"/>
      <c r="O70" s="25"/>
      <c r="P70" s="26" t="str">
        <f t="shared" si="12"/>
        <v/>
      </c>
      <c r="Q70" s="27"/>
      <c r="R70" s="27"/>
      <c r="S70" s="28" t="str">
        <f>IF(OR($G70="",$Q70="",COUNTIF($G$2:G69,$G70)=0),"",$Q70-LOOKUP(2,1/($G$2:G69=$G70),$Q$2:Q69))</f>
        <v/>
      </c>
      <c r="T70" s="28" t="str">
        <f>IF(OR($G70="",$R70="",COUNTIF($G$2:G69,$G70)=0),"",$R70-LOOKUP(2,1/($G$2:G69=$G70),$R$2:R69))</f>
        <v/>
      </c>
      <c r="U70" s="11" t="str">
        <f t="shared" si="13"/>
        <v/>
      </c>
      <c r="V70" s="4"/>
      <c r="W70" s="4"/>
      <c r="X70" s="55"/>
      <c r="Y70" s="56" t="str">
        <f>IF($B70="","",IF((IF($G70="","Sin unidad | ","")&amp;IF($J70="","Sin responsable | ","")&amp;IF($K70="","Sin obra | ","")&amp;IF(AND($N70&lt;&gt;"",$G70&lt;&gt;"",$N70&gt;IFERROR(INDEX('MAESTRO DE UNIDADES'!$I$2:$I$208,MATCH($G70,'MAESTRO DE UNIDADES'!$A$2:$A$208,0)),0)),"Litros &gt; tanque | ","")&amp;IF(AND($W70&lt;&gt;"",COUNTIF($W$2:$W70,$W70)&gt;1),"Ticket duplicado | ","")&amp;IF(AND($G70&lt;&gt;"",IFERROR(INDEX('MAESTRO DE UNIDADES'!$L$2:$L$208,MATCH($G70,'MAESTRO DE UNIDADES'!$A$2:$A$208,0)),"")="Inactivo"),"Unidad inactiva | ","")&amp;IF(AND($AA70&lt;&gt;"",$N70=""),"Carga de batán sin litros | ","")&amp;IF(AND($AA70&lt;&gt;"",$AC70&lt;0),"Supera saldo batán | ",""))="","OK",LEFT((IF($G70="","Sin unidad | ","")&amp;IF($J70="","Sin responsable | ","")&amp;IF($K70="","Sin obra | ","")&amp;IF(AND($N70&lt;&gt;"",$G70&lt;&gt;"",$N70&gt;IFERROR(INDEX('MAESTRO DE UNIDADES'!$I$2:$I$208,MATCH($G70,'MAESTRO DE UNIDADES'!$A$2:$A$208,0)),0)),"Litros &gt; tanque | ","")&amp;IF(AND($W70&lt;&gt;"",COUNTIF($W$2:$W70,$W70)&gt;1),"Ticket duplicado | ","")&amp;IF(AND($G70&lt;&gt;"",IFERROR(INDEX('MAESTRO DE UNIDADES'!$L$2:$L$208,MATCH($G70,'MAESTRO DE UNIDADES'!$A$2:$A$208,0)),"")="Inactivo"),"Unidad inactiva | ","")&amp;IF(AND($AA70&lt;&gt;"",$N70=""),"Carga de batán sin litros | ","")&amp;IF(AND($AA70&lt;&gt;"",$AC70&lt;0),"Supera saldo batán | ","")),LEN((IF($G70="","Sin unidad | ","")&amp;IF($J70="","Sin responsable | ","")&amp;IF($K70="","Sin obra | ","")&amp;IF(AND($N70&lt;&gt;"",$G70&lt;&gt;"",$N70&gt;IFERROR(INDEX('MAESTRO DE UNIDADES'!$I$2:$I$208,MATCH($G70,'MAESTRO DE UNIDADES'!$A$2:$A$208,0)),0)),"Litros &gt; tanque | ","")&amp;IF(AND($W70&lt;&gt;"",COUNTIF($W$2:$W70,$W70)&gt;1),"Ticket duplicado | ","")&amp;IF(AND($G70&lt;&gt;"",IFERROR(INDEX('MAESTRO DE UNIDADES'!$L$2:$L$208,MATCH($G70,'MAESTRO DE UNIDADES'!$A$2:$A$208,0)),"")="Inactivo"),"Unidad inactiva | ","")&amp;IF(AND($AA70&lt;&gt;"",$N70=""),"Carga de batán sin litros | ","")&amp;IF(AND($AA70&lt;&gt;"",$AC70&lt;0),"Supera saldo batán | ","")))-3)))</f>
        <v/>
      </c>
      <c r="Z70" s="8" t="str">
        <f t="shared" si="14"/>
        <v/>
      </c>
      <c r="AA70" s="4"/>
      <c r="AB70" s="26" t="str">
        <f>IF($AA70="","",IFERROR(INDEX('CONTROL DE BATAN'!$J$2:$J$301,MATCH($AA70,'CONTROL DE BATAN'!$A$2:$A$301,0)),""))</f>
        <v/>
      </c>
      <c r="AC70" s="28" t="str">
        <f>IF($AA70="","",IFERROR(INDEX('CONTROL DE BATAN'!$I$2:$I$301,MATCH($AA70,'CONTROL DE BATAN'!$A$2:$A$301,0)),0)-SUMIFS($N$2:$N70,$AA$2:$AA70,$AA70))</f>
        <v/>
      </c>
    </row>
    <row r="71" spans="1:29" x14ac:dyDescent="0.25">
      <c r="A71" s="8" t="str">
        <f t="shared" si="8"/>
        <v/>
      </c>
      <c r="B71" s="9"/>
      <c r="C71" s="8" t="str">
        <f t="shared" si="9"/>
        <v/>
      </c>
      <c r="D71" s="10" t="str">
        <f t="shared" si="10"/>
        <v/>
      </c>
      <c r="E71" s="8" t="str">
        <f t="shared" si="11"/>
        <v/>
      </c>
      <c r="F71" s="8" t="str">
        <f>IF($G71="","",IFERROR(INDEX('MAESTRO DE UNIDADES'!$C$2:$C$208,MATCH($G71,'MAESTRO DE UNIDADES'!$A$2:$A$208,0)),""))</f>
        <v/>
      </c>
      <c r="G71" s="4"/>
      <c r="H71" s="8" t="str">
        <f>IF($G71="","",IFERROR(INDEX('MAESTRO DE UNIDADES'!$F$2:$F$208,MATCH($G71,'MAESTRO DE UNIDADES'!$A$2:$A$208,0)),""))</f>
        <v/>
      </c>
      <c r="I71" s="8" t="str">
        <f>IF($G71="","",IFERROR(INDEX('MAESTRO DE UNIDADES'!$B$2:$B$208,MATCH($G71,'MAESTRO DE UNIDADES'!$A$2:$A$208,0)),""))</f>
        <v/>
      </c>
      <c r="J71" s="4"/>
      <c r="K71" s="4"/>
      <c r="L71" s="4"/>
      <c r="M71" s="8" t="str">
        <f>IF($G71="","",IFERROR(INDEX('MAESTRO DE UNIDADES'!$H$2:$H$208,MATCH($G71,'MAESTRO DE UNIDADES'!$A$2:$A$208,0)),""))</f>
        <v/>
      </c>
      <c r="N71" s="17"/>
      <c r="O71" s="25"/>
      <c r="P71" s="26" t="str">
        <f t="shared" si="12"/>
        <v/>
      </c>
      <c r="Q71" s="27"/>
      <c r="R71" s="27"/>
      <c r="S71" s="28" t="str">
        <f>IF(OR($G71="",$Q71="",COUNTIF($G$2:G70,$G71)=0),"",$Q71-LOOKUP(2,1/($G$2:G70=$G71),$Q$2:Q70))</f>
        <v/>
      </c>
      <c r="T71" s="28" t="str">
        <f>IF(OR($G71="",$R71="",COUNTIF($G$2:G70,$G71)=0),"",$R71-LOOKUP(2,1/($G$2:G70=$G71),$R$2:R70))</f>
        <v/>
      </c>
      <c r="U71" s="11" t="str">
        <f t="shared" si="13"/>
        <v/>
      </c>
      <c r="V71" s="4"/>
      <c r="W71" s="4"/>
      <c r="X71" s="55"/>
      <c r="Y71" s="56" t="str">
        <f>IF($B71="","",IF((IF($G71="","Sin unidad | ","")&amp;IF($J71="","Sin responsable | ","")&amp;IF($K71="","Sin obra | ","")&amp;IF(AND($N71&lt;&gt;"",$G71&lt;&gt;"",$N71&gt;IFERROR(INDEX('MAESTRO DE UNIDADES'!$I$2:$I$208,MATCH($G71,'MAESTRO DE UNIDADES'!$A$2:$A$208,0)),0)),"Litros &gt; tanque | ","")&amp;IF(AND($W71&lt;&gt;"",COUNTIF($W$2:$W71,$W71)&gt;1),"Ticket duplicado | ","")&amp;IF(AND($G71&lt;&gt;"",IFERROR(INDEX('MAESTRO DE UNIDADES'!$L$2:$L$208,MATCH($G71,'MAESTRO DE UNIDADES'!$A$2:$A$208,0)),"")="Inactivo"),"Unidad inactiva | ","")&amp;IF(AND($AA71&lt;&gt;"",$N71=""),"Carga de batán sin litros | ","")&amp;IF(AND($AA71&lt;&gt;"",$AC71&lt;0),"Supera saldo batán | ",""))="","OK",LEFT((IF($G71="","Sin unidad | ","")&amp;IF($J71="","Sin responsable | ","")&amp;IF($K71="","Sin obra | ","")&amp;IF(AND($N71&lt;&gt;"",$G71&lt;&gt;"",$N71&gt;IFERROR(INDEX('MAESTRO DE UNIDADES'!$I$2:$I$208,MATCH($G71,'MAESTRO DE UNIDADES'!$A$2:$A$208,0)),0)),"Litros &gt; tanque | ","")&amp;IF(AND($W71&lt;&gt;"",COUNTIF($W$2:$W71,$W71)&gt;1),"Ticket duplicado | ","")&amp;IF(AND($G71&lt;&gt;"",IFERROR(INDEX('MAESTRO DE UNIDADES'!$L$2:$L$208,MATCH($G71,'MAESTRO DE UNIDADES'!$A$2:$A$208,0)),"")="Inactivo"),"Unidad inactiva | ","")&amp;IF(AND($AA71&lt;&gt;"",$N71=""),"Carga de batán sin litros | ","")&amp;IF(AND($AA71&lt;&gt;"",$AC71&lt;0),"Supera saldo batán | ","")),LEN((IF($G71="","Sin unidad | ","")&amp;IF($J71="","Sin responsable | ","")&amp;IF($K71="","Sin obra | ","")&amp;IF(AND($N71&lt;&gt;"",$G71&lt;&gt;"",$N71&gt;IFERROR(INDEX('MAESTRO DE UNIDADES'!$I$2:$I$208,MATCH($G71,'MAESTRO DE UNIDADES'!$A$2:$A$208,0)),0)),"Litros &gt; tanque | ","")&amp;IF(AND($W71&lt;&gt;"",COUNTIF($W$2:$W71,$W71)&gt;1),"Ticket duplicado | ","")&amp;IF(AND($G71&lt;&gt;"",IFERROR(INDEX('MAESTRO DE UNIDADES'!$L$2:$L$208,MATCH($G71,'MAESTRO DE UNIDADES'!$A$2:$A$208,0)),"")="Inactivo"),"Unidad inactiva | ","")&amp;IF(AND($AA71&lt;&gt;"",$N71=""),"Carga de batán sin litros | ","")&amp;IF(AND($AA71&lt;&gt;"",$AC71&lt;0),"Supera saldo batán | ","")))-3)))</f>
        <v/>
      </c>
      <c r="Z71" s="8" t="str">
        <f t="shared" si="14"/>
        <v/>
      </c>
      <c r="AA71" s="4"/>
      <c r="AB71" s="26" t="str">
        <f>IF($AA71="","",IFERROR(INDEX('CONTROL DE BATAN'!$J$2:$J$301,MATCH($AA71,'CONTROL DE BATAN'!$A$2:$A$301,0)),""))</f>
        <v/>
      </c>
      <c r="AC71" s="28" t="str">
        <f>IF($AA71="","",IFERROR(INDEX('CONTROL DE BATAN'!$I$2:$I$301,MATCH($AA71,'CONTROL DE BATAN'!$A$2:$A$301,0)),0)-SUMIFS($N$2:$N71,$AA$2:$AA71,$AA71))</f>
        <v/>
      </c>
    </row>
    <row r="72" spans="1:29" x14ac:dyDescent="0.25">
      <c r="A72" s="8" t="str">
        <f t="shared" si="8"/>
        <v/>
      </c>
      <c r="B72" s="9"/>
      <c r="C72" s="8" t="str">
        <f t="shared" si="9"/>
        <v/>
      </c>
      <c r="D72" s="10" t="str">
        <f t="shared" si="10"/>
        <v/>
      </c>
      <c r="E72" s="8" t="str">
        <f t="shared" si="11"/>
        <v/>
      </c>
      <c r="F72" s="8" t="str">
        <f>IF($G72="","",IFERROR(INDEX('MAESTRO DE UNIDADES'!$C$2:$C$208,MATCH($G72,'MAESTRO DE UNIDADES'!$A$2:$A$208,0)),""))</f>
        <v/>
      </c>
      <c r="G72" s="4"/>
      <c r="H72" s="8" t="str">
        <f>IF($G72="","",IFERROR(INDEX('MAESTRO DE UNIDADES'!$F$2:$F$208,MATCH($G72,'MAESTRO DE UNIDADES'!$A$2:$A$208,0)),""))</f>
        <v/>
      </c>
      <c r="I72" s="8" t="str">
        <f>IF($G72="","",IFERROR(INDEX('MAESTRO DE UNIDADES'!$B$2:$B$208,MATCH($G72,'MAESTRO DE UNIDADES'!$A$2:$A$208,0)),""))</f>
        <v/>
      </c>
      <c r="J72" s="4"/>
      <c r="K72" s="4"/>
      <c r="L72" s="4"/>
      <c r="M72" s="8" t="str">
        <f>IF($G72="","",IFERROR(INDEX('MAESTRO DE UNIDADES'!$H$2:$H$208,MATCH($G72,'MAESTRO DE UNIDADES'!$A$2:$A$208,0)),""))</f>
        <v/>
      </c>
      <c r="N72" s="17"/>
      <c r="O72" s="25"/>
      <c r="P72" s="26" t="str">
        <f t="shared" si="12"/>
        <v/>
      </c>
      <c r="Q72" s="27"/>
      <c r="R72" s="27"/>
      <c r="S72" s="28" t="str">
        <f>IF(OR($G72="",$Q72="",COUNTIF($G$2:G71,$G72)=0),"",$Q72-LOOKUP(2,1/($G$2:G71=$G72),$Q$2:Q71))</f>
        <v/>
      </c>
      <c r="T72" s="28" t="str">
        <f>IF(OR($G72="",$R72="",COUNTIF($G$2:G71,$G72)=0),"",$R72-LOOKUP(2,1/($G$2:G71=$G72),$R$2:R71))</f>
        <v/>
      </c>
      <c r="U72" s="11" t="str">
        <f t="shared" si="13"/>
        <v/>
      </c>
      <c r="V72" s="4"/>
      <c r="W72" s="4"/>
      <c r="X72" s="55"/>
      <c r="Y72" s="56" t="str">
        <f>IF($B72="","",IF((IF($G72="","Sin unidad | ","")&amp;IF($J72="","Sin responsable | ","")&amp;IF($K72="","Sin obra | ","")&amp;IF(AND($N72&lt;&gt;"",$G72&lt;&gt;"",$N72&gt;IFERROR(INDEX('MAESTRO DE UNIDADES'!$I$2:$I$208,MATCH($G72,'MAESTRO DE UNIDADES'!$A$2:$A$208,0)),0)),"Litros &gt; tanque | ","")&amp;IF(AND($W72&lt;&gt;"",COUNTIF($W$2:$W72,$W72)&gt;1),"Ticket duplicado | ","")&amp;IF(AND($G72&lt;&gt;"",IFERROR(INDEX('MAESTRO DE UNIDADES'!$L$2:$L$208,MATCH($G72,'MAESTRO DE UNIDADES'!$A$2:$A$208,0)),"")="Inactivo"),"Unidad inactiva | ","")&amp;IF(AND($AA72&lt;&gt;"",$N72=""),"Carga de batán sin litros | ","")&amp;IF(AND($AA72&lt;&gt;"",$AC72&lt;0),"Supera saldo batán | ",""))="","OK",LEFT((IF($G72="","Sin unidad | ","")&amp;IF($J72="","Sin responsable | ","")&amp;IF($K72="","Sin obra | ","")&amp;IF(AND($N72&lt;&gt;"",$G72&lt;&gt;"",$N72&gt;IFERROR(INDEX('MAESTRO DE UNIDADES'!$I$2:$I$208,MATCH($G72,'MAESTRO DE UNIDADES'!$A$2:$A$208,0)),0)),"Litros &gt; tanque | ","")&amp;IF(AND($W72&lt;&gt;"",COUNTIF($W$2:$W72,$W72)&gt;1),"Ticket duplicado | ","")&amp;IF(AND($G72&lt;&gt;"",IFERROR(INDEX('MAESTRO DE UNIDADES'!$L$2:$L$208,MATCH($G72,'MAESTRO DE UNIDADES'!$A$2:$A$208,0)),"")="Inactivo"),"Unidad inactiva | ","")&amp;IF(AND($AA72&lt;&gt;"",$N72=""),"Carga de batán sin litros | ","")&amp;IF(AND($AA72&lt;&gt;"",$AC72&lt;0),"Supera saldo batán | ","")),LEN((IF($G72="","Sin unidad | ","")&amp;IF($J72="","Sin responsable | ","")&amp;IF($K72="","Sin obra | ","")&amp;IF(AND($N72&lt;&gt;"",$G72&lt;&gt;"",$N72&gt;IFERROR(INDEX('MAESTRO DE UNIDADES'!$I$2:$I$208,MATCH($G72,'MAESTRO DE UNIDADES'!$A$2:$A$208,0)),0)),"Litros &gt; tanque | ","")&amp;IF(AND($W72&lt;&gt;"",COUNTIF($W$2:$W72,$W72)&gt;1),"Ticket duplicado | ","")&amp;IF(AND($G72&lt;&gt;"",IFERROR(INDEX('MAESTRO DE UNIDADES'!$L$2:$L$208,MATCH($G72,'MAESTRO DE UNIDADES'!$A$2:$A$208,0)),"")="Inactivo"),"Unidad inactiva | ","")&amp;IF(AND($AA72&lt;&gt;"",$N72=""),"Carga de batán sin litros | ","")&amp;IF(AND($AA72&lt;&gt;"",$AC72&lt;0),"Supera saldo batán | ","")))-3)))</f>
        <v/>
      </c>
      <c r="Z72" s="8" t="str">
        <f t="shared" si="14"/>
        <v/>
      </c>
      <c r="AA72" s="4"/>
      <c r="AB72" s="26" t="str">
        <f>IF($AA72="","",IFERROR(INDEX('CONTROL DE BATAN'!$J$2:$J$301,MATCH($AA72,'CONTROL DE BATAN'!$A$2:$A$301,0)),""))</f>
        <v/>
      </c>
      <c r="AC72" s="28" t="str">
        <f>IF($AA72="","",IFERROR(INDEX('CONTROL DE BATAN'!$I$2:$I$301,MATCH($AA72,'CONTROL DE BATAN'!$A$2:$A$301,0)),0)-SUMIFS($N$2:$N72,$AA$2:$AA72,$AA72))</f>
        <v/>
      </c>
    </row>
    <row r="73" spans="1:29" x14ac:dyDescent="0.25">
      <c r="A73" s="8" t="str">
        <f t="shared" si="8"/>
        <v/>
      </c>
      <c r="B73" s="9"/>
      <c r="C73" s="8" t="str">
        <f t="shared" si="9"/>
        <v/>
      </c>
      <c r="D73" s="10" t="str">
        <f t="shared" si="10"/>
        <v/>
      </c>
      <c r="E73" s="8" t="str">
        <f t="shared" si="11"/>
        <v/>
      </c>
      <c r="F73" s="8" t="str">
        <f>IF($G73="","",IFERROR(INDEX('MAESTRO DE UNIDADES'!$C$2:$C$208,MATCH($G73,'MAESTRO DE UNIDADES'!$A$2:$A$208,0)),""))</f>
        <v/>
      </c>
      <c r="G73" s="4"/>
      <c r="H73" s="8" t="str">
        <f>IF($G73="","",IFERROR(INDEX('MAESTRO DE UNIDADES'!$F$2:$F$208,MATCH($G73,'MAESTRO DE UNIDADES'!$A$2:$A$208,0)),""))</f>
        <v/>
      </c>
      <c r="I73" s="8" t="str">
        <f>IF($G73="","",IFERROR(INDEX('MAESTRO DE UNIDADES'!$B$2:$B$208,MATCH($G73,'MAESTRO DE UNIDADES'!$A$2:$A$208,0)),""))</f>
        <v/>
      </c>
      <c r="J73" s="4"/>
      <c r="K73" s="4"/>
      <c r="L73" s="4"/>
      <c r="M73" s="8" t="str">
        <f>IF($G73="","",IFERROR(INDEX('MAESTRO DE UNIDADES'!$H$2:$H$208,MATCH($G73,'MAESTRO DE UNIDADES'!$A$2:$A$208,0)),""))</f>
        <v/>
      </c>
      <c r="N73" s="17"/>
      <c r="O73" s="25"/>
      <c r="P73" s="26" t="str">
        <f t="shared" si="12"/>
        <v/>
      </c>
      <c r="Q73" s="27"/>
      <c r="R73" s="27"/>
      <c r="S73" s="28" t="str">
        <f>IF(OR($G73="",$Q73="",COUNTIF($G$2:G72,$G73)=0),"",$Q73-LOOKUP(2,1/($G$2:G72=$G73),$Q$2:Q72))</f>
        <v/>
      </c>
      <c r="T73" s="28" t="str">
        <f>IF(OR($G73="",$R73="",COUNTIF($G$2:G72,$G73)=0),"",$R73-LOOKUP(2,1/($G$2:G72=$G73),$R$2:R72))</f>
        <v/>
      </c>
      <c r="U73" s="11" t="str">
        <f t="shared" si="13"/>
        <v/>
      </c>
      <c r="V73" s="4"/>
      <c r="W73" s="4"/>
      <c r="X73" s="55"/>
      <c r="Y73" s="56" t="str">
        <f>IF($B73="","",IF((IF($G73="","Sin unidad | ","")&amp;IF($J73="","Sin responsable | ","")&amp;IF($K73="","Sin obra | ","")&amp;IF(AND($N73&lt;&gt;"",$G73&lt;&gt;"",$N73&gt;IFERROR(INDEX('MAESTRO DE UNIDADES'!$I$2:$I$208,MATCH($G73,'MAESTRO DE UNIDADES'!$A$2:$A$208,0)),0)),"Litros &gt; tanque | ","")&amp;IF(AND($W73&lt;&gt;"",COUNTIF($W$2:$W73,$W73)&gt;1),"Ticket duplicado | ","")&amp;IF(AND($G73&lt;&gt;"",IFERROR(INDEX('MAESTRO DE UNIDADES'!$L$2:$L$208,MATCH($G73,'MAESTRO DE UNIDADES'!$A$2:$A$208,0)),"")="Inactivo"),"Unidad inactiva | ","")&amp;IF(AND($AA73&lt;&gt;"",$N73=""),"Carga de batán sin litros | ","")&amp;IF(AND($AA73&lt;&gt;"",$AC73&lt;0),"Supera saldo batán | ",""))="","OK",LEFT((IF($G73="","Sin unidad | ","")&amp;IF($J73="","Sin responsable | ","")&amp;IF($K73="","Sin obra | ","")&amp;IF(AND($N73&lt;&gt;"",$G73&lt;&gt;"",$N73&gt;IFERROR(INDEX('MAESTRO DE UNIDADES'!$I$2:$I$208,MATCH($G73,'MAESTRO DE UNIDADES'!$A$2:$A$208,0)),0)),"Litros &gt; tanque | ","")&amp;IF(AND($W73&lt;&gt;"",COUNTIF($W$2:$W73,$W73)&gt;1),"Ticket duplicado | ","")&amp;IF(AND($G73&lt;&gt;"",IFERROR(INDEX('MAESTRO DE UNIDADES'!$L$2:$L$208,MATCH($G73,'MAESTRO DE UNIDADES'!$A$2:$A$208,0)),"")="Inactivo"),"Unidad inactiva | ","")&amp;IF(AND($AA73&lt;&gt;"",$N73=""),"Carga de batán sin litros | ","")&amp;IF(AND($AA73&lt;&gt;"",$AC73&lt;0),"Supera saldo batán | ","")),LEN((IF($G73="","Sin unidad | ","")&amp;IF($J73="","Sin responsable | ","")&amp;IF($K73="","Sin obra | ","")&amp;IF(AND($N73&lt;&gt;"",$G73&lt;&gt;"",$N73&gt;IFERROR(INDEX('MAESTRO DE UNIDADES'!$I$2:$I$208,MATCH($G73,'MAESTRO DE UNIDADES'!$A$2:$A$208,0)),0)),"Litros &gt; tanque | ","")&amp;IF(AND($W73&lt;&gt;"",COUNTIF($W$2:$W73,$W73)&gt;1),"Ticket duplicado | ","")&amp;IF(AND($G73&lt;&gt;"",IFERROR(INDEX('MAESTRO DE UNIDADES'!$L$2:$L$208,MATCH($G73,'MAESTRO DE UNIDADES'!$A$2:$A$208,0)),"")="Inactivo"),"Unidad inactiva | ","")&amp;IF(AND($AA73&lt;&gt;"",$N73=""),"Carga de batán sin litros | ","")&amp;IF(AND($AA73&lt;&gt;"",$AC73&lt;0),"Supera saldo batán | ","")))-3)))</f>
        <v/>
      </c>
      <c r="Z73" s="8" t="str">
        <f t="shared" si="14"/>
        <v/>
      </c>
      <c r="AA73" s="4"/>
      <c r="AB73" s="26" t="str">
        <f>IF($AA73="","",IFERROR(INDEX('CONTROL DE BATAN'!$J$2:$J$301,MATCH($AA73,'CONTROL DE BATAN'!$A$2:$A$301,0)),""))</f>
        <v/>
      </c>
      <c r="AC73" s="28" t="str">
        <f>IF($AA73="","",IFERROR(INDEX('CONTROL DE BATAN'!$I$2:$I$301,MATCH($AA73,'CONTROL DE BATAN'!$A$2:$A$301,0)),0)-SUMIFS($N$2:$N73,$AA$2:$AA73,$AA73))</f>
        <v/>
      </c>
    </row>
    <row r="74" spans="1:29" x14ac:dyDescent="0.25">
      <c r="A74" s="8" t="str">
        <f t="shared" si="8"/>
        <v/>
      </c>
      <c r="B74" s="9"/>
      <c r="C74" s="8" t="str">
        <f t="shared" si="9"/>
        <v/>
      </c>
      <c r="D74" s="10" t="str">
        <f t="shared" si="10"/>
        <v/>
      </c>
      <c r="E74" s="8" t="str">
        <f t="shared" si="11"/>
        <v/>
      </c>
      <c r="F74" s="8" t="str">
        <f>IF($G74="","",IFERROR(INDEX('MAESTRO DE UNIDADES'!$C$2:$C$208,MATCH($G74,'MAESTRO DE UNIDADES'!$A$2:$A$208,0)),""))</f>
        <v/>
      </c>
      <c r="G74" s="4"/>
      <c r="H74" s="8" t="str">
        <f>IF($G74="","",IFERROR(INDEX('MAESTRO DE UNIDADES'!$F$2:$F$208,MATCH($G74,'MAESTRO DE UNIDADES'!$A$2:$A$208,0)),""))</f>
        <v/>
      </c>
      <c r="I74" s="8" t="str">
        <f>IF($G74="","",IFERROR(INDEX('MAESTRO DE UNIDADES'!$B$2:$B$208,MATCH($G74,'MAESTRO DE UNIDADES'!$A$2:$A$208,0)),""))</f>
        <v/>
      </c>
      <c r="J74" s="4"/>
      <c r="K74" s="4"/>
      <c r="L74" s="4"/>
      <c r="M74" s="8" t="str">
        <f>IF($G74="","",IFERROR(INDEX('MAESTRO DE UNIDADES'!$H$2:$H$208,MATCH($G74,'MAESTRO DE UNIDADES'!$A$2:$A$208,0)),""))</f>
        <v/>
      </c>
      <c r="N74" s="17"/>
      <c r="O74" s="25"/>
      <c r="P74" s="26" t="str">
        <f t="shared" si="12"/>
        <v/>
      </c>
      <c r="Q74" s="27"/>
      <c r="R74" s="27"/>
      <c r="S74" s="28" t="str">
        <f>IF(OR($G74="",$Q74="",COUNTIF($G$2:G73,$G74)=0),"",$Q74-LOOKUP(2,1/($G$2:G73=$G74),$Q$2:Q73))</f>
        <v/>
      </c>
      <c r="T74" s="28" t="str">
        <f>IF(OR($G74="",$R74="",COUNTIF($G$2:G73,$G74)=0),"",$R74-LOOKUP(2,1/($G$2:G73=$G74),$R$2:R73))</f>
        <v/>
      </c>
      <c r="U74" s="11" t="str">
        <f t="shared" si="13"/>
        <v/>
      </c>
      <c r="V74" s="4"/>
      <c r="W74" s="4"/>
      <c r="X74" s="55"/>
      <c r="Y74" s="56" t="str">
        <f>IF($B74="","",IF((IF($G74="","Sin unidad | ","")&amp;IF($J74="","Sin responsable | ","")&amp;IF($K74="","Sin obra | ","")&amp;IF(AND($N74&lt;&gt;"",$G74&lt;&gt;"",$N74&gt;IFERROR(INDEX('MAESTRO DE UNIDADES'!$I$2:$I$208,MATCH($G74,'MAESTRO DE UNIDADES'!$A$2:$A$208,0)),0)),"Litros &gt; tanque | ","")&amp;IF(AND($W74&lt;&gt;"",COUNTIF($W$2:$W74,$W74)&gt;1),"Ticket duplicado | ","")&amp;IF(AND($G74&lt;&gt;"",IFERROR(INDEX('MAESTRO DE UNIDADES'!$L$2:$L$208,MATCH($G74,'MAESTRO DE UNIDADES'!$A$2:$A$208,0)),"")="Inactivo"),"Unidad inactiva | ","")&amp;IF(AND($AA74&lt;&gt;"",$N74=""),"Carga de batán sin litros | ","")&amp;IF(AND($AA74&lt;&gt;"",$AC74&lt;0),"Supera saldo batán | ",""))="","OK",LEFT((IF($G74="","Sin unidad | ","")&amp;IF($J74="","Sin responsable | ","")&amp;IF($K74="","Sin obra | ","")&amp;IF(AND($N74&lt;&gt;"",$G74&lt;&gt;"",$N74&gt;IFERROR(INDEX('MAESTRO DE UNIDADES'!$I$2:$I$208,MATCH($G74,'MAESTRO DE UNIDADES'!$A$2:$A$208,0)),0)),"Litros &gt; tanque | ","")&amp;IF(AND($W74&lt;&gt;"",COUNTIF($W$2:$W74,$W74)&gt;1),"Ticket duplicado | ","")&amp;IF(AND($G74&lt;&gt;"",IFERROR(INDEX('MAESTRO DE UNIDADES'!$L$2:$L$208,MATCH($G74,'MAESTRO DE UNIDADES'!$A$2:$A$208,0)),"")="Inactivo"),"Unidad inactiva | ","")&amp;IF(AND($AA74&lt;&gt;"",$N74=""),"Carga de batán sin litros | ","")&amp;IF(AND($AA74&lt;&gt;"",$AC74&lt;0),"Supera saldo batán | ","")),LEN((IF($G74="","Sin unidad | ","")&amp;IF($J74="","Sin responsable | ","")&amp;IF($K74="","Sin obra | ","")&amp;IF(AND($N74&lt;&gt;"",$G74&lt;&gt;"",$N74&gt;IFERROR(INDEX('MAESTRO DE UNIDADES'!$I$2:$I$208,MATCH($G74,'MAESTRO DE UNIDADES'!$A$2:$A$208,0)),0)),"Litros &gt; tanque | ","")&amp;IF(AND($W74&lt;&gt;"",COUNTIF($W$2:$W74,$W74)&gt;1),"Ticket duplicado | ","")&amp;IF(AND($G74&lt;&gt;"",IFERROR(INDEX('MAESTRO DE UNIDADES'!$L$2:$L$208,MATCH($G74,'MAESTRO DE UNIDADES'!$A$2:$A$208,0)),"")="Inactivo"),"Unidad inactiva | ","")&amp;IF(AND($AA74&lt;&gt;"",$N74=""),"Carga de batán sin litros | ","")&amp;IF(AND($AA74&lt;&gt;"",$AC74&lt;0),"Supera saldo batán | ","")))-3)))</f>
        <v/>
      </c>
      <c r="Z74" s="8" t="str">
        <f t="shared" si="14"/>
        <v/>
      </c>
      <c r="AA74" s="4"/>
      <c r="AB74" s="26" t="str">
        <f>IF($AA74="","",IFERROR(INDEX('CONTROL DE BATAN'!$J$2:$J$301,MATCH($AA74,'CONTROL DE BATAN'!$A$2:$A$301,0)),""))</f>
        <v/>
      </c>
      <c r="AC74" s="28" t="str">
        <f>IF($AA74="","",IFERROR(INDEX('CONTROL DE BATAN'!$I$2:$I$301,MATCH($AA74,'CONTROL DE BATAN'!$A$2:$A$301,0)),0)-SUMIFS($N$2:$N74,$AA$2:$AA74,$AA74))</f>
        <v/>
      </c>
    </row>
    <row r="75" spans="1:29" x14ac:dyDescent="0.25">
      <c r="A75" s="8" t="str">
        <f t="shared" si="8"/>
        <v/>
      </c>
      <c r="B75" s="9"/>
      <c r="C75" s="8" t="str">
        <f t="shared" si="9"/>
        <v/>
      </c>
      <c r="D75" s="10" t="str">
        <f t="shared" si="10"/>
        <v/>
      </c>
      <c r="E75" s="8" t="str">
        <f t="shared" si="11"/>
        <v/>
      </c>
      <c r="F75" s="8" t="str">
        <f>IF($G75="","",IFERROR(INDEX('MAESTRO DE UNIDADES'!$C$2:$C$208,MATCH($G75,'MAESTRO DE UNIDADES'!$A$2:$A$208,0)),""))</f>
        <v/>
      </c>
      <c r="G75" s="4"/>
      <c r="H75" s="8" t="str">
        <f>IF($G75="","",IFERROR(INDEX('MAESTRO DE UNIDADES'!$F$2:$F$208,MATCH($G75,'MAESTRO DE UNIDADES'!$A$2:$A$208,0)),""))</f>
        <v/>
      </c>
      <c r="I75" s="8" t="str">
        <f>IF($G75="","",IFERROR(INDEX('MAESTRO DE UNIDADES'!$B$2:$B$208,MATCH($G75,'MAESTRO DE UNIDADES'!$A$2:$A$208,0)),""))</f>
        <v/>
      </c>
      <c r="J75" s="4"/>
      <c r="K75" s="4"/>
      <c r="L75" s="4"/>
      <c r="M75" s="8" t="str">
        <f>IF($G75="","",IFERROR(INDEX('MAESTRO DE UNIDADES'!$H$2:$H$208,MATCH($G75,'MAESTRO DE UNIDADES'!$A$2:$A$208,0)),""))</f>
        <v/>
      </c>
      <c r="N75" s="17"/>
      <c r="O75" s="25"/>
      <c r="P75" s="26" t="str">
        <f t="shared" si="12"/>
        <v/>
      </c>
      <c r="Q75" s="27"/>
      <c r="R75" s="27"/>
      <c r="S75" s="28" t="str">
        <f>IF(OR($G75="",$Q75="",COUNTIF($G$2:G74,$G75)=0),"",$Q75-LOOKUP(2,1/($G$2:G74=$G75),$Q$2:Q74))</f>
        <v/>
      </c>
      <c r="T75" s="28" t="str">
        <f>IF(OR($G75="",$R75="",COUNTIF($G$2:G74,$G75)=0),"",$R75-LOOKUP(2,1/($G$2:G74=$G75),$R$2:R74))</f>
        <v/>
      </c>
      <c r="U75" s="11" t="str">
        <f t="shared" si="13"/>
        <v/>
      </c>
      <c r="V75" s="4"/>
      <c r="W75" s="4"/>
      <c r="X75" s="55"/>
      <c r="Y75" s="56" t="str">
        <f>IF($B75="","",IF((IF($G75="","Sin unidad | ","")&amp;IF($J75="","Sin responsable | ","")&amp;IF($K75="","Sin obra | ","")&amp;IF(AND($N75&lt;&gt;"",$G75&lt;&gt;"",$N75&gt;IFERROR(INDEX('MAESTRO DE UNIDADES'!$I$2:$I$208,MATCH($G75,'MAESTRO DE UNIDADES'!$A$2:$A$208,0)),0)),"Litros &gt; tanque | ","")&amp;IF(AND($W75&lt;&gt;"",COUNTIF($W$2:$W75,$W75)&gt;1),"Ticket duplicado | ","")&amp;IF(AND($G75&lt;&gt;"",IFERROR(INDEX('MAESTRO DE UNIDADES'!$L$2:$L$208,MATCH($G75,'MAESTRO DE UNIDADES'!$A$2:$A$208,0)),"")="Inactivo"),"Unidad inactiva | ","")&amp;IF(AND($AA75&lt;&gt;"",$N75=""),"Carga de batán sin litros | ","")&amp;IF(AND($AA75&lt;&gt;"",$AC75&lt;0),"Supera saldo batán | ",""))="","OK",LEFT((IF($G75="","Sin unidad | ","")&amp;IF($J75="","Sin responsable | ","")&amp;IF($K75="","Sin obra | ","")&amp;IF(AND($N75&lt;&gt;"",$G75&lt;&gt;"",$N75&gt;IFERROR(INDEX('MAESTRO DE UNIDADES'!$I$2:$I$208,MATCH($G75,'MAESTRO DE UNIDADES'!$A$2:$A$208,0)),0)),"Litros &gt; tanque | ","")&amp;IF(AND($W75&lt;&gt;"",COUNTIF($W$2:$W75,$W75)&gt;1),"Ticket duplicado | ","")&amp;IF(AND($G75&lt;&gt;"",IFERROR(INDEX('MAESTRO DE UNIDADES'!$L$2:$L$208,MATCH($G75,'MAESTRO DE UNIDADES'!$A$2:$A$208,0)),"")="Inactivo"),"Unidad inactiva | ","")&amp;IF(AND($AA75&lt;&gt;"",$N75=""),"Carga de batán sin litros | ","")&amp;IF(AND($AA75&lt;&gt;"",$AC75&lt;0),"Supera saldo batán | ","")),LEN((IF($G75="","Sin unidad | ","")&amp;IF($J75="","Sin responsable | ","")&amp;IF($K75="","Sin obra | ","")&amp;IF(AND($N75&lt;&gt;"",$G75&lt;&gt;"",$N75&gt;IFERROR(INDEX('MAESTRO DE UNIDADES'!$I$2:$I$208,MATCH($G75,'MAESTRO DE UNIDADES'!$A$2:$A$208,0)),0)),"Litros &gt; tanque | ","")&amp;IF(AND($W75&lt;&gt;"",COUNTIF($W$2:$W75,$W75)&gt;1),"Ticket duplicado | ","")&amp;IF(AND($G75&lt;&gt;"",IFERROR(INDEX('MAESTRO DE UNIDADES'!$L$2:$L$208,MATCH($G75,'MAESTRO DE UNIDADES'!$A$2:$A$208,0)),"")="Inactivo"),"Unidad inactiva | ","")&amp;IF(AND($AA75&lt;&gt;"",$N75=""),"Carga de batán sin litros | ","")&amp;IF(AND($AA75&lt;&gt;"",$AC75&lt;0),"Supera saldo batán | ","")))-3)))</f>
        <v/>
      </c>
      <c r="Z75" s="8" t="str">
        <f t="shared" si="14"/>
        <v/>
      </c>
      <c r="AA75" s="4"/>
      <c r="AB75" s="26" t="str">
        <f>IF($AA75="","",IFERROR(INDEX('CONTROL DE BATAN'!$J$2:$J$301,MATCH($AA75,'CONTROL DE BATAN'!$A$2:$A$301,0)),""))</f>
        <v/>
      </c>
      <c r="AC75" s="28" t="str">
        <f>IF($AA75="","",IFERROR(INDEX('CONTROL DE BATAN'!$I$2:$I$301,MATCH($AA75,'CONTROL DE BATAN'!$A$2:$A$301,0)),0)-SUMIFS($N$2:$N75,$AA$2:$AA75,$AA75))</f>
        <v/>
      </c>
    </row>
    <row r="76" spans="1:29" x14ac:dyDescent="0.25">
      <c r="A76" s="8" t="str">
        <f t="shared" si="8"/>
        <v/>
      </c>
      <c r="B76" s="9"/>
      <c r="C76" s="8" t="str">
        <f t="shared" si="9"/>
        <v/>
      </c>
      <c r="D76" s="10" t="str">
        <f t="shared" si="10"/>
        <v/>
      </c>
      <c r="E76" s="8" t="str">
        <f t="shared" si="11"/>
        <v/>
      </c>
      <c r="F76" s="8" t="str">
        <f>IF($G76="","",IFERROR(INDEX('MAESTRO DE UNIDADES'!$C$2:$C$208,MATCH($G76,'MAESTRO DE UNIDADES'!$A$2:$A$208,0)),""))</f>
        <v/>
      </c>
      <c r="G76" s="4"/>
      <c r="H76" s="8" t="str">
        <f>IF($G76="","",IFERROR(INDEX('MAESTRO DE UNIDADES'!$F$2:$F$208,MATCH($G76,'MAESTRO DE UNIDADES'!$A$2:$A$208,0)),""))</f>
        <v/>
      </c>
      <c r="I76" s="8" t="str">
        <f>IF($G76="","",IFERROR(INDEX('MAESTRO DE UNIDADES'!$B$2:$B$208,MATCH($G76,'MAESTRO DE UNIDADES'!$A$2:$A$208,0)),""))</f>
        <v/>
      </c>
      <c r="J76" s="4"/>
      <c r="K76" s="4"/>
      <c r="L76" s="4"/>
      <c r="M76" s="8" t="str">
        <f>IF($G76="","",IFERROR(INDEX('MAESTRO DE UNIDADES'!$H$2:$H$208,MATCH($G76,'MAESTRO DE UNIDADES'!$A$2:$A$208,0)),""))</f>
        <v/>
      </c>
      <c r="N76" s="17"/>
      <c r="O76" s="25"/>
      <c r="P76" s="26" t="str">
        <f t="shared" si="12"/>
        <v/>
      </c>
      <c r="Q76" s="27"/>
      <c r="R76" s="27"/>
      <c r="S76" s="28" t="str">
        <f>IF(OR($G76="",$Q76="",COUNTIF($G$2:G75,$G76)=0),"",$Q76-LOOKUP(2,1/($G$2:G75=$G76),$Q$2:Q75))</f>
        <v/>
      </c>
      <c r="T76" s="28" t="str">
        <f>IF(OR($G76="",$R76="",COUNTIF($G$2:G75,$G76)=0),"",$R76-LOOKUP(2,1/($G$2:G75=$G76),$R$2:R75))</f>
        <v/>
      </c>
      <c r="U76" s="11" t="str">
        <f t="shared" si="13"/>
        <v/>
      </c>
      <c r="V76" s="4"/>
      <c r="W76" s="4"/>
      <c r="X76" s="55"/>
      <c r="Y76" s="56" t="str">
        <f>IF($B76="","",IF((IF($G76="","Sin unidad | ","")&amp;IF($J76="","Sin responsable | ","")&amp;IF($K76="","Sin obra | ","")&amp;IF(AND($N76&lt;&gt;"",$G76&lt;&gt;"",$N76&gt;IFERROR(INDEX('MAESTRO DE UNIDADES'!$I$2:$I$208,MATCH($G76,'MAESTRO DE UNIDADES'!$A$2:$A$208,0)),0)),"Litros &gt; tanque | ","")&amp;IF(AND($W76&lt;&gt;"",COUNTIF($W$2:$W76,$W76)&gt;1),"Ticket duplicado | ","")&amp;IF(AND($G76&lt;&gt;"",IFERROR(INDEX('MAESTRO DE UNIDADES'!$L$2:$L$208,MATCH($G76,'MAESTRO DE UNIDADES'!$A$2:$A$208,0)),"")="Inactivo"),"Unidad inactiva | ","")&amp;IF(AND($AA76&lt;&gt;"",$N76=""),"Carga de batán sin litros | ","")&amp;IF(AND($AA76&lt;&gt;"",$AC76&lt;0),"Supera saldo batán | ",""))="","OK",LEFT((IF($G76="","Sin unidad | ","")&amp;IF($J76="","Sin responsable | ","")&amp;IF($K76="","Sin obra | ","")&amp;IF(AND($N76&lt;&gt;"",$G76&lt;&gt;"",$N76&gt;IFERROR(INDEX('MAESTRO DE UNIDADES'!$I$2:$I$208,MATCH($G76,'MAESTRO DE UNIDADES'!$A$2:$A$208,0)),0)),"Litros &gt; tanque | ","")&amp;IF(AND($W76&lt;&gt;"",COUNTIF($W$2:$W76,$W76)&gt;1),"Ticket duplicado | ","")&amp;IF(AND($G76&lt;&gt;"",IFERROR(INDEX('MAESTRO DE UNIDADES'!$L$2:$L$208,MATCH($G76,'MAESTRO DE UNIDADES'!$A$2:$A$208,0)),"")="Inactivo"),"Unidad inactiva | ","")&amp;IF(AND($AA76&lt;&gt;"",$N76=""),"Carga de batán sin litros | ","")&amp;IF(AND($AA76&lt;&gt;"",$AC76&lt;0),"Supera saldo batán | ","")),LEN((IF($G76="","Sin unidad | ","")&amp;IF($J76="","Sin responsable | ","")&amp;IF($K76="","Sin obra | ","")&amp;IF(AND($N76&lt;&gt;"",$G76&lt;&gt;"",$N76&gt;IFERROR(INDEX('MAESTRO DE UNIDADES'!$I$2:$I$208,MATCH($G76,'MAESTRO DE UNIDADES'!$A$2:$A$208,0)),0)),"Litros &gt; tanque | ","")&amp;IF(AND($W76&lt;&gt;"",COUNTIF($W$2:$W76,$W76)&gt;1),"Ticket duplicado | ","")&amp;IF(AND($G76&lt;&gt;"",IFERROR(INDEX('MAESTRO DE UNIDADES'!$L$2:$L$208,MATCH($G76,'MAESTRO DE UNIDADES'!$A$2:$A$208,0)),"")="Inactivo"),"Unidad inactiva | ","")&amp;IF(AND($AA76&lt;&gt;"",$N76=""),"Carga de batán sin litros | ","")&amp;IF(AND($AA76&lt;&gt;"",$AC76&lt;0),"Supera saldo batán | ","")))-3)))</f>
        <v/>
      </c>
      <c r="Z76" s="8" t="str">
        <f t="shared" si="14"/>
        <v/>
      </c>
      <c r="AA76" s="4"/>
      <c r="AB76" s="26" t="str">
        <f>IF($AA76="","",IFERROR(INDEX('CONTROL DE BATAN'!$J$2:$J$301,MATCH($AA76,'CONTROL DE BATAN'!$A$2:$A$301,0)),""))</f>
        <v/>
      </c>
      <c r="AC76" s="28" t="str">
        <f>IF($AA76="","",IFERROR(INDEX('CONTROL DE BATAN'!$I$2:$I$301,MATCH($AA76,'CONTROL DE BATAN'!$A$2:$A$301,0)),0)-SUMIFS($N$2:$N76,$AA$2:$AA76,$AA76))</f>
        <v/>
      </c>
    </row>
    <row r="77" spans="1:29" x14ac:dyDescent="0.25">
      <c r="A77" s="8" t="str">
        <f t="shared" si="8"/>
        <v/>
      </c>
      <c r="B77" s="9"/>
      <c r="C77" s="8" t="str">
        <f t="shared" si="9"/>
        <v/>
      </c>
      <c r="D77" s="10" t="str">
        <f t="shared" si="10"/>
        <v/>
      </c>
      <c r="E77" s="8" t="str">
        <f t="shared" si="11"/>
        <v/>
      </c>
      <c r="F77" s="8" t="str">
        <f>IF($G77="","",IFERROR(INDEX('MAESTRO DE UNIDADES'!$C$2:$C$208,MATCH($G77,'MAESTRO DE UNIDADES'!$A$2:$A$208,0)),""))</f>
        <v/>
      </c>
      <c r="G77" s="4"/>
      <c r="H77" s="8" t="str">
        <f>IF($G77="","",IFERROR(INDEX('MAESTRO DE UNIDADES'!$F$2:$F$208,MATCH($G77,'MAESTRO DE UNIDADES'!$A$2:$A$208,0)),""))</f>
        <v/>
      </c>
      <c r="I77" s="8" t="str">
        <f>IF($G77="","",IFERROR(INDEX('MAESTRO DE UNIDADES'!$B$2:$B$208,MATCH($G77,'MAESTRO DE UNIDADES'!$A$2:$A$208,0)),""))</f>
        <v/>
      </c>
      <c r="J77" s="4"/>
      <c r="K77" s="4"/>
      <c r="L77" s="4"/>
      <c r="M77" s="8" t="str">
        <f>IF($G77="","",IFERROR(INDEX('MAESTRO DE UNIDADES'!$H$2:$H$208,MATCH($G77,'MAESTRO DE UNIDADES'!$A$2:$A$208,0)),""))</f>
        <v/>
      </c>
      <c r="N77" s="17"/>
      <c r="O77" s="25"/>
      <c r="P77" s="26" t="str">
        <f t="shared" si="12"/>
        <v/>
      </c>
      <c r="Q77" s="27"/>
      <c r="R77" s="27"/>
      <c r="S77" s="28" t="str">
        <f>IF(OR($G77="",$Q77="",COUNTIF($G$2:G76,$G77)=0),"",$Q77-LOOKUP(2,1/($G$2:G76=$G77),$Q$2:Q76))</f>
        <v/>
      </c>
      <c r="T77" s="28" t="str">
        <f>IF(OR($G77="",$R77="",COUNTIF($G$2:G76,$G77)=0),"",$R77-LOOKUP(2,1/($G$2:G76=$G77),$R$2:R76))</f>
        <v/>
      </c>
      <c r="U77" s="11" t="str">
        <f t="shared" si="13"/>
        <v/>
      </c>
      <c r="V77" s="4"/>
      <c r="W77" s="4"/>
      <c r="X77" s="55"/>
      <c r="Y77" s="56" t="str">
        <f>IF($B77="","",IF((IF($G77="","Sin unidad | ","")&amp;IF($J77="","Sin responsable | ","")&amp;IF($K77="","Sin obra | ","")&amp;IF(AND($N77&lt;&gt;"",$G77&lt;&gt;"",$N77&gt;IFERROR(INDEX('MAESTRO DE UNIDADES'!$I$2:$I$208,MATCH($G77,'MAESTRO DE UNIDADES'!$A$2:$A$208,0)),0)),"Litros &gt; tanque | ","")&amp;IF(AND($W77&lt;&gt;"",COUNTIF($W$2:$W77,$W77)&gt;1),"Ticket duplicado | ","")&amp;IF(AND($G77&lt;&gt;"",IFERROR(INDEX('MAESTRO DE UNIDADES'!$L$2:$L$208,MATCH($G77,'MAESTRO DE UNIDADES'!$A$2:$A$208,0)),"")="Inactivo"),"Unidad inactiva | ","")&amp;IF(AND($AA77&lt;&gt;"",$N77=""),"Carga de batán sin litros | ","")&amp;IF(AND($AA77&lt;&gt;"",$AC77&lt;0),"Supera saldo batán | ",""))="","OK",LEFT((IF($G77="","Sin unidad | ","")&amp;IF($J77="","Sin responsable | ","")&amp;IF($K77="","Sin obra | ","")&amp;IF(AND($N77&lt;&gt;"",$G77&lt;&gt;"",$N77&gt;IFERROR(INDEX('MAESTRO DE UNIDADES'!$I$2:$I$208,MATCH($G77,'MAESTRO DE UNIDADES'!$A$2:$A$208,0)),0)),"Litros &gt; tanque | ","")&amp;IF(AND($W77&lt;&gt;"",COUNTIF($W$2:$W77,$W77)&gt;1),"Ticket duplicado | ","")&amp;IF(AND($G77&lt;&gt;"",IFERROR(INDEX('MAESTRO DE UNIDADES'!$L$2:$L$208,MATCH($G77,'MAESTRO DE UNIDADES'!$A$2:$A$208,0)),"")="Inactivo"),"Unidad inactiva | ","")&amp;IF(AND($AA77&lt;&gt;"",$N77=""),"Carga de batán sin litros | ","")&amp;IF(AND($AA77&lt;&gt;"",$AC77&lt;0),"Supera saldo batán | ","")),LEN((IF($G77="","Sin unidad | ","")&amp;IF($J77="","Sin responsable | ","")&amp;IF($K77="","Sin obra | ","")&amp;IF(AND($N77&lt;&gt;"",$G77&lt;&gt;"",$N77&gt;IFERROR(INDEX('MAESTRO DE UNIDADES'!$I$2:$I$208,MATCH($G77,'MAESTRO DE UNIDADES'!$A$2:$A$208,0)),0)),"Litros &gt; tanque | ","")&amp;IF(AND($W77&lt;&gt;"",COUNTIF($W$2:$W77,$W77)&gt;1),"Ticket duplicado | ","")&amp;IF(AND($G77&lt;&gt;"",IFERROR(INDEX('MAESTRO DE UNIDADES'!$L$2:$L$208,MATCH($G77,'MAESTRO DE UNIDADES'!$A$2:$A$208,0)),"")="Inactivo"),"Unidad inactiva | ","")&amp;IF(AND($AA77&lt;&gt;"",$N77=""),"Carga de batán sin litros | ","")&amp;IF(AND($AA77&lt;&gt;"",$AC77&lt;0),"Supera saldo batán | ","")))-3)))</f>
        <v/>
      </c>
      <c r="Z77" s="8" t="str">
        <f t="shared" si="14"/>
        <v/>
      </c>
      <c r="AA77" s="4"/>
      <c r="AB77" s="26" t="str">
        <f>IF($AA77="","",IFERROR(INDEX('CONTROL DE BATAN'!$J$2:$J$301,MATCH($AA77,'CONTROL DE BATAN'!$A$2:$A$301,0)),""))</f>
        <v/>
      </c>
      <c r="AC77" s="28" t="str">
        <f>IF($AA77="","",IFERROR(INDEX('CONTROL DE BATAN'!$I$2:$I$301,MATCH($AA77,'CONTROL DE BATAN'!$A$2:$A$301,0)),0)-SUMIFS($N$2:$N77,$AA$2:$AA77,$AA77))</f>
        <v/>
      </c>
    </row>
    <row r="78" spans="1:29" x14ac:dyDescent="0.25">
      <c r="A78" s="8" t="str">
        <f t="shared" si="8"/>
        <v/>
      </c>
      <c r="B78" s="9"/>
      <c r="C78" s="8" t="str">
        <f t="shared" si="9"/>
        <v/>
      </c>
      <c r="D78" s="10" t="str">
        <f t="shared" si="10"/>
        <v/>
      </c>
      <c r="E78" s="8" t="str">
        <f t="shared" si="11"/>
        <v/>
      </c>
      <c r="F78" s="8" t="str">
        <f>IF($G78="","",IFERROR(INDEX('MAESTRO DE UNIDADES'!$C$2:$C$208,MATCH($G78,'MAESTRO DE UNIDADES'!$A$2:$A$208,0)),""))</f>
        <v/>
      </c>
      <c r="G78" s="4"/>
      <c r="H78" s="8" t="str">
        <f>IF($G78="","",IFERROR(INDEX('MAESTRO DE UNIDADES'!$F$2:$F$208,MATCH($G78,'MAESTRO DE UNIDADES'!$A$2:$A$208,0)),""))</f>
        <v/>
      </c>
      <c r="I78" s="8" t="str">
        <f>IF($G78="","",IFERROR(INDEX('MAESTRO DE UNIDADES'!$B$2:$B$208,MATCH($G78,'MAESTRO DE UNIDADES'!$A$2:$A$208,0)),""))</f>
        <v/>
      </c>
      <c r="J78" s="4"/>
      <c r="K78" s="4"/>
      <c r="L78" s="4"/>
      <c r="M78" s="8" t="str">
        <f>IF($G78="","",IFERROR(INDEX('MAESTRO DE UNIDADES'!$H$2:$H$208,MATCH($G78,'MAESTRO DE UNIDADES'!$A$2:$A$208,0)),""))</f>
        <v/>
      </c>
      <c r="N78" s="17"/>
      <c r="O78" s="25"/>
      <c r="P78" s="26" t="str">
        <f t="shared" si="12"/>
        <v/>
      </c>
      <c r="Q78" s="27"/>
      <c r="R78" s="27"/>
      <c r="S78" s="28" t="str">
        <f>IF(OR($G78="",$Q78="",COUNTIF($G$2:G77,$G78)=0),"",$Q78-LOOKUP(2,1/($G$2:G77=$G78),$Q$2:Q77))</f>
        <v/>
      </c>
      <c r="T78" s="28" t="str">
        <f>IF(OR($G78="",$R78="",COUNTIF($G$2:G77,$G78)=0),"",$R78-LOOKUP(2,1/($G$2:G77=$G78),$R$2:R77))</f>
        <v/>
      </c>
      <c r="U78" s="11" t="str">
        <f t="shared" si="13"/>
        <v/>
      </c>
      <c r="V78" s="4"/>
      <c r="W78" s="4"/>
      <c r="X78" s="55"/>
      <c r="Y78" s="56" t="str">
        <f>IF($B78="","",IF((IF($G78="","Sin unidad | ","")&amp;IF($J78="","Sin responsable | ","")&amp;IF($K78="","Sin obra | ","")&amp;IF(AND($N78&lt;&gt;"",$G78&lt;&gt;"",$N78&gt;IFERROR(INDEX('MAESTRO DE UNIDADES'!$I$2:$I$208,MATCH($G78,'MAESTRO DE UNIDADES'!$A$2:$A$208,0)),0)),"Litros &gt; tanque | ","")&amp;IF(AND($W78&lt;&gt;"",COUNTIF($W$2:$W78,$W78)&gt;1),"Ticket duplicado | ","")&amp;IF(AND($G78&lt;&gt;"",IFERROR(INDEX('MAESTRO DE UNIDADES'!$L$2:$L$208,MATCH($G78,'MAESTRO DE UNIDADES'!$A$2:$A$208,0)),"")="Inactivo"),"Unidad inactiva | ","")&amp;IF(AND($AA78&lt;&gt;"",$N78=""),"Carga de batán sin litros | ","")&amp;IF(AND($AA78&lt;&gt;"",$AC78&lt;0),"Supera saldo batán | ",""))="","OK",LEFT((IF($G78="","Sin unidad | ","")&amp;IF($J78="","Sin responsable | ","")&amp;IF($K78="","Sin obra | ","")&amp;IF(AND($N78&lt;&gt;"",$G78&lt;&gt;"",$N78&gt;IFERROR(INDEX('MAESTRO DE UNIDADES'!$I$2:$I$208,MATCH($G78,'MAESTRO DE UNIDADES'!$A$2:$A$208,0)),0)),"Litros &gt; tanque | ","")&amp;IF(AND($W78&lt;&gt;"",COUNTIF($W$2:$W78,$W78)&gt;1),"Ticket duplicado | ","")&amp;IF(AND($G78&lt;&gt;"",IFERROR(INDEX('MAESTRO DE UNIDADES'!$L$2:$L$208,MATCH($G78,'MAESTRO DE UNIDADES'!$A$2:$A$208,0)),"")="Inactivo"),"Unidad inactiva | ","")&amp;IF(AND($AA78&lt;&gt;"",$N78=""),"Carga de batán sin litros | ","")&amp;IF(AND($AA78&lt;&gt;"",$AC78&lt;0),"Supera saldo batán | ","")),LEN((IF($G78="","Sin unidad | ","")&amp;IF($J78="","Sin responsable | ","")&amp;IF($K78="","Sin obra | ","")&amp;IF(AND($N78&lt;&gt;"",$G78&lt;&gt;"",$N78&gt;IFERROR(INDEX('MAESTRO DE UNIDADES'!$I$2:$I$208,MATCH($G78,'MAESTRO DE UNIDADES'!$A$2:$A$208,0)),0)),"Litros &gt; tanque | ","")&amp;IF(AND($W78&lt;&gt;"",COUNTIF($W$2:$W78,$W78)&gt;1),"Ticket duplicado | ","")&amp;IF(AND($G78&lt;&gt;"",IFERROR(INDEX('MAESTRO DE UNIDADES'!$L$2:$L$208,MATCH($G78,'MAESTRO DE UNIDADES'!$A$2:$A$208,0)),"")="Inactivo"),"Unidad inactiva | ","")&amp;IF(AND($AA78&lt;&gt;"",$N78=""),"Carga de batán sin litros | ","")&amp;IF(AND($AA78&lt;&gt;"",$AC78&lt;0),"Supera saldo batán | ","")))-3)))</f>
        <v/>
      </c>
      <c r="Z78" s="8" t="str">
        <f t="shared" si="14"/>
        <v/>
      </c>
      <c r="AA78" s="4"/>
      <c r="AB78" s="26" t="str">
        <f>IF($AA78="","",IFERROR(INDEX('CONTROL DE BATAN'!$J$2:$J$301,MATCH($AA78,'CONTROL DE BATAN'!$A$2:$A$301,0)),""))</f>
        <v/>
      </c>
      <c r="AC78" s="28" t="str">
        <f>IF($AA78="","",IFERROR(INDEX('CONTROL DE BATAN'!$I$2:$I$301,MATCH($AA78,'CONTROL DE BATAN'!$A$2:$A$301,0)),0)-SUMIFS($N$2:$N78,$AA$2:$AA78,$AA78))</f>
        <v/>
      </c>
    </row>
    <row r="79" spans="1:29" x14ac:dyDescent="0.25">
      <c r="A79" s="8" t="str">
        <f t="shared" si="8"/>
        <v/>
      </c>
      <c r="B79" s="9"/>
      <c r="C79" s="8" t="str">
        <f t="shared" si="9"/>
        <v/>
      </c>
      <c r="D79" s="10" t="str">
        <f t="shared" si="10"/>
        <v/>
      </c>
      <c r="E79" s="8" t="str">
        <f t="shared" si="11"/>
        <v/>
      </c>
      <c r="F79" s="8" t="str">
        <f>IF($G79="","",IFERROR(INDEX('MAESTRO DE UNIDADES'!$C$2:$C$208,MATCH($G79,'MAESTRO DE UNIDADES'!$A$2:$A$208,0)),""))</f>
        <v/>
      </c>
      <c r="G79" s="4"/>
      <c r="H79" s="8" t="str">
        <f>IF($G79="","",IFERROR(INDEX('MAESTRO DE UNIDADES'!$F$2:$F$208,MATCH($G79,'MAESTRO DE UNIDADES'!$A$2:$A$208,0)),""))</f>
        <v/>
      </c>
      <c r="I79" s="8" t="str">
        <f>IF($G79="","",IFERROR(INDEX('MAESTRO DE UNIDADES'!$B$2:$B$208,MATCH($G79,'MAESTRO DE UNIDADES'!$A$2:$A$208,0)),""))</f>
        <v/>
      </c>
      <c r="J79" s="4"/>
      <c r="K79" s="4"/>
      <c r="L79" s="4"/>
      <c r="M79" s="8" t="str">
        <f>IF($G79="","",IFERROR(INDEX('MAESTRO DE UNIDADES'!$H$2:$H$208,MATCH($G79,'MAESTRO DE UNIDADES'!$A$2:$A$208,0)),""))</f>
        <v/>
      </c>
      <c r="N79" s="17"/>
      <c r="O79" s="25"/>
      <c r="P79" s="26" t="str">
        <f t="shared" si="12"/>
        <v/>
      </c>
      <c r="Q79" s="27"/>
      <c r="R79" s="27"/>
      <c r="S79" s="28" t="str">
        <f>IF(OR($G79="",$Q79="",COUNTIF($G$2:G78,$G79)=0),"",$Q79-LOOKUP(2,1/($G$2:G78=$G79),$Q$2:Q78))</f>
        <v/>
      </c>
      <c r="T79" s="28" t="str">
        <f>IF(OR($G79="",$R79="",COUNTIF($G$2:G78,$G79)=0),"",$R79-LOOKUP(2,1/($G$2:G78=$G79),$R$2:R78))</f>
        <v/>
      </c>
      <c r="U79" s="11" t="str">
        <f t="shared" si="13"/>
        <v/>
      </c>
      <c r="V79" s="4"/>
      <c r="W79" s="4"/>
      <c r="X79" s="55"/>
      <c r="Y79" s="56" t="str">
        <f>IF($B79="","",IF((IF($G79="","Sin unidad | ","")&amp;IF($J79="","Sin responsable | ","")&amp;IF($K79="","Sin obra | ","")&amp;IF(AND($N79&lt;&gt;"",$G79&lt;&gt;"",$N79&gt;IFERROR(INDEX('MAESTRO DE UNIDADES'!$I$2:$I$208,MATCH($G79,'MAESTRO DE UNIDADES'!$A$2:$A$208,0)),0)),"Litros &gt; tanque | ","")&amp;IF(AND($W79&lt;&gt;"",COUNTIF($W$2:$W79,$W79)&gt;1),"Ticket duplicado | ","")&amp;IF(AND($G79&lt;&gt;"",IFERROR(INDEX('MAESTRO DE UNIDADES'!$L$2:$L$208,MATCH($G79,'MAESTRO DE UNIDADES'!$A$2:$A$208,0)),"")="Inactivo"),"Unidad inactiva | ","")&amp;IF(AND($AA79&lt;&gt;"",$N79=""),"Carga de batán sin litros | ","")&amp;IF(AND($AA79&lt;&gt;"",$AC79&lt;0),"Supera saldo batán | ",""))="","OK",LEFT((IF($G79="","Sin unidad | ","")&amp;IF($J79="","Sin responsable | ","")&amp;IF($K79="","Sin obra | ","")&amp;IF(AND($N79&lt;&gt;"",$G79&lt;&gt;"",$N79&gt;IFERROR(INDEX('MAESTRO DE UNIDADES'!$I$2:$I$208,MATCH($G79,'MAESTRO DE UNIDADES'!$A$2:$A$208,0)),0)),"Litros &gt; tanque | ","")&amp;IF(AND($W79&lt;&gt;"",COUNTIF($W$2:$W79,$W79)&gt;1),"Ticket duplicado | ","")&amp;IF(AND($G79&lt;&gt;"",IFERROR(INDEX('MAESTRO DE UNIDADES'!$L$2:$L$208,MATCH($G79,'MAESTRO DE UNIDADES'!$A$2:$A$208,0)),"")="Inactivo"),"Unidad inactiva | ","")&amp;IF(AND($AA79&lt;&gt;"",$N79=""),"Carga de batán sin litros | ","")&amp;IF(AND($AA79&lt;&gt;"",$AC79&lt;0),"Supera saldo batán | ","")),LEN((IF($G79="","Sin unidad | ","")&amp;IF($J79="","Sin responsable | ","")&amp;IF($K79="","Sin obra | ","")&amp;IF(AND($N79&lt;&gt;"",$G79&lt;&gt;"",$N79&gt;IFERROR(INDEX('MAESTRO DE UNIDADES'!$I$2:$I$208,MATCH($G79,'MAESTRO DE UNIDADES'!$A$2:$A$208,0)),0)),"Litros &gt; tanque | ","")&amp;IF(AND($W79&lt;&gt;"",COUNTIF($W$2:$W79,$W79)&gt;1),"Ticket duplicado | ","")&amp;IF(AND($G79&lt;&gt;"",IFERROR(INDEX('MAESTRO DE UNIDADES'!$L$2:$L$208,MATCH($G79,'MAESTRO DE UNIDADES'!$A$2:$A$208,0)),"")="Inactivo"),"Unidad inactiva | ","")&amp;IF(AND($AA79&lt;&gt;"",$N79=""),"Carga de batán sin litros | ","")&amp;IF(AND($AA79&lt;&gt;"",$AC79&lt;0),"Supera saldo batán | ","")))-3)))</f>
        <v/>
      </c>
      <c r="Z79" s="8" t="str">
        <f t="shared" si="14"/>
        <v/>
      </c>
      <c r="AA79" s="4"/>
      <c r="AB79" s="26" t="str">
        <f>IF($AA79="","",IFERROR(INDEX('CONTROL DE BATAN'!$J$2:$J$301,MATCH($AA79,'CONTROL DE BATAN'!$A$2:$A$301,0)),""))</f>
        <v/>
      </c>
      <c r="AC79" s="28" t="str">
        <f>IF($AA79="","",IFERROR(INDEX('CONTROL DE BATAN'!$I$2:$I$301,MATCH($AA79,'CONTROL DE BATAN'!$A$2:$A$301,0)),0)-SUMIFS($N$2:$N79,$AA$2:$AA79,$AA79))</f>
        <v/>
      </c>
    </row>
    <row r="80" spans="1:29" x14ac:dyDescent="0.25">
      <c r="A80" s="8" t="str">
        <f t="shared" si="8"/>
        <v/>
      </c>
      <c r="B80" s="9"/>
      <c r="C80" s="8" t="str">
        <f t="shared" si="9"/>
        <v/>
      </c>
      <c r="D80" s="10" t="str">
        <f t="shared" si="10"/>
        <v/>
      </c>
      <c r="E80" s="8" t="str">
        <f t="shared" si="11"/>
        <v/>
      </c>
      <c r="F80" s="8" t="str">
        <f>IF($G80="","",IFERROR(INDEX('MAESTRO DE UNIDADES'!$C$2:$C$208,MATCH($G80,'MAESTRO DE UNIDADES'!$A$2:$A$208,0)),""))</f>
        <v/>
      </c>
      <c r="G80" s="4"/>
      <c r="H80" s="8" t="str">
        <f>IF($G80="","",IFERROR(INDEX('MAESTRO DE UNIDADES'!$F$2:$F$208,MATCH($G80,'MAESTRO DE UNIDADES'!$A$2:$A$208,0)),""))</f>
        <v/>
      </c>
      <c r="I80" s="8" t="str">
        <f>IF($G80="","",IFERROR(INDEX('MAESTRO DE UNIDADES'!$B$2:$B$208,MATCH($G80,'MAESTRO DE UNIDADES'!$A$2:$A$208,0)),""))</f>
        <v/>
      </c>
      <c r="J80" s="4"/>
      <c r="K80" s="4"/>
      <c r="L80" s="4"/>
      <c r="M80" s="8" t="str">
        <f>IF($G80="","",IFERROR(INDEX('MAESTRO DE UNIDADES'!$H$2:$H$208,MATCH($G80,'MAESTRO DE UNIDADES'!$A$2:$A$208,0)),""))</f>
        <v/>
      </c>
      <c r="N80" s="17"/>
      <c r="O80" s="25"/>
      <c r="P80" s="26" t="str">
        <f t="shared" si="12"/>
        <v/>
      </c>
      <c r="Q80" s="27"/>
      <c r="R80" s="27"/>
      <c r="S80" s="28" t="str">
        <f>IF(OR($G80="",$Q80="",COUNTIF($G$2:G79,$G80)=0),"",$Q80-LOOKUP(2,1/($G$2:G79=$G80),$Q$2:Q79))</f>
        <v/>
      </c>
      <c r="T80" s="28" t="str">
        <f>IF(OR($G80="",$R80="",COUNTIF($G$2:G79,$G80)=0),"",$R80-LOOKUP(2,1/($G$2:G79=$G80),$R$2:R79))</f>
        <v/>
      </c>
      <c r="U80" s="11" t="str">
        <f t="shared" si="13"/>
        <v/>
      </c>
      <c r="V80" s="4"/>
      <c r="W80" s="4"/>
      <c r="X80" s="55"/>
      <c r="Y80" s="56" t="str">
        <f>IF($B80="","",IF((IF($G80="","Sin unidad | ","")&amp;IF($J80="","Sin responsable | ","")&amp;IF($K80="","Sin obra | ","")&amp;IF(AND($N80&lt;&gt;"",$G80&lt;&gt;"",$N80&gt;IFERROR(INDEX('MAESTRO DE UNIDADES'!$I$2:$I$208,MATCH($G80,'MAESTRO DE UNIDADES'!$A$2:$A$208,0)),0)),"Litros &gt; tanque | ","")&amp;IF(AND($W80&lt;&gt;"",COUNTIF($W$2:$W80,$W80)&gt;1),"Ticket duplicado | ","")&amp;IF(AND($G80&lt;&gt;"",IFERROR(INDEX('MAESTRO DE UNIDADES'!$L$2:$L$208,MATCH($G80,'MAESTRO DE UNIDADES'!$A$2:$A$208,0)),"")="Inactivo"),"Unidad inactiva | ","")&amp;IF(AND($AA80&lt;&gt;"",$N80=""),"Carga de batán sin litros | ","")&amp;IF(AND($AA80&lt;&gt;"",$AC80&lt;0),"Supera saldo batán | ",""))="","OK",LEFT((IF($G80="","Sin unidad | ","")&amp;IF($J80="","Sin responsable | ","")&amp;IF($K80="","Sin obra | ","")&amp;IF(AND($N80&lt;&gt;"",$G80&lt;&gt;"",$N80&gt;IFERROR(INDEX('MAESTRO DE UNIDADES'!$I$2:$I$208,MATCH($G80,'MAESTRO DE UNIDADES'!$A$2:$A$208,0)),0)),"Litros &gt; tanque | ","")&amp;IF(AND($W80&lt;&gt;"",COUNTIF($W$2:$W80,$W80)&gt;1),"Ticket duplicado | ","")&amp;IF(AND($G80&lt;&gt;"",IFERROR(INDEX('MAESTRO DE UNIDADES'!$L$2:$L$208,MATCH($G80,'MAESTRO DE UNIDADES'!$A$2:$A$208,0)),"")="Inactivo"),"Unidad inactiva | ","")&amp;IF(AND($AA80&lt;&gt;"",$N80=""),"Carga de batán sin litros | ","")&amp;IF(AND($AA80&lt;&gt;"",$AC80&lt;0),"Supera saldo batán | ","")),LEN((IF($G80="","Sin unidad | ","")&amp;IF($J80="","Sin responsable | ","")&amp;IF($K80="","Sin obra | ","")&amp;IF(AND($N80&lt;&gt;"",$G80&lt;&gt;"",$N80&gt;IFERROR(INDEX('MAESTRO DE UNIDADES'!$I$2:$I$208,MATCH($G80,'MAESTRO DE UNIDADES'!$A$2:$A$208,0)),0)),"Litros &gt; tanque | ","")&amp;IF(AND($W80&lt;&gt;"",COUNTIF($W$2:$W80,$W80)&gt;1),"Ticket duplicado | ","")&amp;IF(AND($G80&lt;&gt;"",IFERROR(INDEX('MAESTRO DE UNIDADES'!$L$2:$L$208,MATCH($G80,'MAESTRO DE UNIDADES'!$A$2:$A$208,0)),"")="Inactivo"),"Unidad inactiva | ","")&amp;IF(AND($AA80&lt;&gt;"",$N80=""),"Carga de batán sin litros | ","")&amp;IF(AND($AA80&lt;&gt;"",$AC80&lt;0),"Supera saldo batán | ","")))-3)))</f>
        <v/>
      </c>
      <c r="Z80" s="8" t="str">
        <f t="shared" si="14"/>
        <v/>
      </c>
      <c r="AA80" s="4"/>
      <c r="AB80" s="26" t="str">
        <f>IF($AA80="","",IFERROR(INDEX('CONTROL DE BATAN'!$J$2:$J$301,MATCH($AA80,'CONTROL DE BATAN'!$A$2:$A$301,0)),""))</f>
        <v/>
      </c>
      <c r="AC80" s="28" t="str">
        <f>IF($AA80="","",IFERROR(INDEX('CONTROL DE BATAN'!$I$2:$I$301,MATCH($AA80,'CONTROL DE BATAN'!$A$2:$A$301,0)),0)-SUMIFS($N$2:$N80,$AA$2:$AA80,$AA80))</f>
        <v/>
      </c>
    </row>
    <row r="81" spans="1:29" x14ac:dyDescent="0.25">
      <c r="A81" s="8" t="str">
        <f t="shared" si="8"/>
        <v/>
      </c>
      <c r="B81" s="9"/>
      <c r="C81" s="8" t="str">
        <f t="shared" si="9"/>
        <v/>
      </c>
      <c r="D81" s="10" t="str">
        <f t="shared" si="10"/>
        <v/>
      </c>
      <c r="E81" s="8" t="str">
        <f t="shared" si="11"/>
        <v/>
      </c>
      <c r="F81" s="8" t="str">
        <f>IF($G81="","",IFERROR(INDEX('MAESTRO DE UNIDADES'!$C$2:$C$208,MATCH($G81,'MAESTRO DE UNIDADES'!$A$2:$A$208,0)),""))</f>
        <v/>
      </c>
      <c r="G81" s="4"/>
      <c r="H81" s="8" t="str">
        <f>IF($G81="","",IFERROR(INDEX('MAESTRO DE UNIDADES'!$F$2:$F$208,MATCH($G81,'MAESTRO DE UNIDADES'!$A$2:$A$208,0)),""))</f>
        <v/>
      </c>
      <c r="I81" s="8" t="str">
        <f>IF($G81="","",IFERROR(INDEX('MAESTRO DE UNIDADES'!$B$2:$B$208,MATCH($G81,'MAESTRO DE UNIDADES'!$A$2:$A$208,0)),""))</f>
        <v/>
      </c>
      <c r="J81" s="4"/>
      <c r="K81" s="4"/>
      <c r="L81" s="4"/>
      <c r="M81" s="8" t="str">
        <f>IF($G81="","",IFERROR(INDEX('MAESTRO DE UNIDADES'!$H$2:$H$208,MATCH($G81,'MAESTRO DE UNIDADES'!$A$2:$A$208,0)),""))</f>
        <v/>
      </c>
      <c r="N81" s="17"/>
      <c r="O81" s="25"/>
      <c r="P81" s="26" t="str">
        <f t="shared" si="12"/>
        <v/>
      </c>
      <c r="Q81" s="27"/>
      <c r="R81" s="27"/>
      <c r="S81" s="28" t="str">
        <f>IF(OR($G81="",$Q81="",COUNTIF($G$2:G80,$G81)=0),"",$Q81-LOOKUP(2,1/($G$2:G80=$G81),$Q$2:Q80))</f>
        <v/>
      </c>
      <c r="T81" s="28" t="str">
        <f>IF(OR($G81="",$R81="",COUNTIF($G$2:G80,$G81)=0),"",$R81-LOOKUP(2,1/($G$2:G80=$G81),$R$2:R80))</f>
        <v/>
      </c>
      <c r="U81" s="11" t="str">
        <f t="shared" si="13"/>
        <v/>
      </c>
      <c r="V81" s="4"/>
      <c r="W81" s="4"/>
      <c r="X81" s="55"/>
      <c r="Y81" s="56" t="str">
        <f>IF($B81="","",IF((IF($G81="","Sin unidad | ","")&amp;IF($J81="","Sin responsable | ","")&amp;IF($K81="","Sin obra | ","")&amp;IF(AND($N81&lt;&gt;"",$G81&lt;&gt;"",$N81&gt;IFERROR(INDEX('MAESTRO DE UNIDADES'!$I$2:$I$208,MATCH($G81,'MAESTRO DE UNIDADES'!$A$2:$A$208,0)),0)),"Litros &gt; tanque | ","")&amp;IF(AND($W81&lt;&gt;"",COUNTIF($W$2:$W81,$W81)&gt;1),"Ticket duplicado | ","")&amp;IF(AND($G81&lt;&gt;"",IFERROR(INDEX('MAESTRO DE UNIDADES'!$L$2:$L$208,MATCH($G81,'MAESTRO DE UNIDADES'!$A$2:$A$208,0)),"")="Inactivo"),"Unidad inactiva | ","")&amp;IF(AND($AA81&lt;&gt;"",$N81=""),"Carga de batán sin litros | ","")&amp;IF(AND($AA81&lt;&gt;"",$AC81&lt;0),"Supera saldo batán | ",""))="","OK",LEFT((IF($G81="","Sin unidad | ","")&amp;IF($J81="","Sin responsable | ","")&amp;IF($K81="","Sin obra | ","")&amp;IF(AND($N81&lt;&gt;"",$G81&lt;&gt;"",$N81&gt;IFERROR(INDEX('MAESTRO DE UNIDADES'!$I$2:$I$208,MATCH($G81,'MAESTRO DE UNIDADES'!$A$2:$A$208,0)),0)),"Litros &gt; tanque | ","")&amp;IF(AND($W81&lt;&gt;"",COUNTIF($W$2:$W81,$W81)&gt;1),"Ticket duplicado | ","")&amp;IF(AND($G81&lt;&gt;"",IFERROR(INDEX('MAESTRO DE UNIDADES'!$L$2:$L$208,MATCH($G81,'MAESTRO DE UNIDADES'!$A$2:$A$208,0)),"")="Inactivo"),"Unidad inactiva | ","")&amp;IF(AND($AA81&lt;&gt;"",$N81=""),"Carga de batán sin litros | ","")&amp;IF(AND($AA81&lt;&gt;"",$AC81&lt;0),"Supera saldo batán | ","")),LEN((IF($G81="","Sin unidad | ","")&amp;IF($J81="","Sin responsable | ","")&amp;IF($K81="","Sin obra | ","")&amp;IF(AND($N81&lt;&gt;"",$G81&lt;&gt;"",$N81&gt;IFERROR(INDEX('MAESTRO DE UNIDADES'!$I$2:$I$208,MATCH($G81,'MAESTRO DE UNIDADES'!$A$2:$A$208,0)),0)),"Litros &gt; tanque | ","")&amp;IF(AND($W81&lt;&gt;"",COUNTIF($W$2:$W81,$W81)&gt;1),"Ticket duplicado | ","")&amp;IF(AND($G81&lt;&gt;"",IFERROR(INDEX('MAESTRO DE UNIDADES'!$L$2:$L$208,MATCH($G81,'MAESTRO DE UNIDADES'!$A$2:$A$208,0)),"")="Inactivo"),"Unidad inactiva | ","")&amp;IF(AND($AA81&lt;&gt;"",$N81=""),"Carga de batán sin litros | ","")&amp;IF(AND($AA81&lt;&gt;"",$AC81&lt;0),"Supera saldo batán | ","")))-3)))</f>
        <v/>
      </c>
      <c r="Z81" s="8" t="str">
        <f t="shared" si="14"/>
        <v/>
      </c>
      <c r="AA81" s="4"/>
      <c r="AB81" s="26" t="str">
        <f>IF($AA81="","",IFERROR(INDEX('CONTROL DE BATAN'!$J$2:$J$301,MATCH($AA81,'CONTROL DE BATAN'!$A$2:$A$301,0)),""))</f>
        <v/>
      </c>
      <c r="AC81" s="28" t="str">
        <f>IF($AA81="","",IFERROR(INDEX('CONTROL DE BATAN'!$I$2:$I$301,MATCH($AA81,'CONTROL DE BATAN'!$A$2:$A$301,0)),0)-SUMIFS($N$2:$N81,$AA$2:$AA81,$AA81))</f>
        <v/>
      </c>
    </row>
    <row r="82" spans="1:29" x14ac:dyDescent="0.25">
      <c r="A82" s="8" t="str">
        <f t="shared" si="8"/>
        <v/>
      </c>
      <c r="B82" s="9"/>
      <c r="C82" s="8" t="str">
        <f t="shared" si="9"/>
        <v/>
      </c>
      <c r="D82" s="10" t="str">
        <f t="shared" si="10"/>
        <v/>
      </c>
      <c r="E82" s="8" t="str">
        <f t="shared" si="11"/>
        <v/>
      </c>
      <c r="F82" s="8" t="str">
        <f>IF($G82="","",IFERROR(INDEX('MAESTRO DE UNIDADES'!$C$2:$C$208,MATCH($G82,'MAESTRO DE UNIDADES'!$A$2:$A$208,0)),""))</f>
        <v/>
      </c>
      <c r="G82" s="4"/>
      <c r="H82" s="8" t="str">
        <f>IF($G82="","",IFERROR(INDEX('MAESTRO DE UNIDADES'!$F$2:$F$208,MATCH($G82,'MAESTRO DE UNIDADES'!$A$2:$A$208,0)),""))</f>
        <v/>
      </c>
      <c r="I82" s="8" t="str">
        <f>IF($G82="","",IFERROR(INDEX('MAESTRO DE UNIDADES'!$B$2:$B$208,MATCH($G82,'MAESTRO DE UNIDADES'!$A$2:$A$208,0)),""))</f>
        <v/>
      </c>
      <c r="J82" s="4"/>
      <c r="K82" s="4"/>
      <c r="L82" s="4"/>
      <c r="M82" s="8" t="str">
        <f>IF($G82="","",IFERROR(INDEX('MAESTRO DE UNIDADES'!$H$2:$H$208,MATCH($G82,'MAESTRO DE UNIDADES'!$A$2:$A$208,0)),""))</f>
        <v/>
      </c>
      <c r="N82" s="17"/>
      <c r="O82" s="25"/>
      <c r="P82" s="26" t="str">
        <f t="shared" si="12"/>
        <v/>
      </c>
      <c r="Q82" s="27"/>
      <c r="R82" s="27"/>
      <c r="S82" s="28" t="str">
        <f>IF(OR($G82="",$Q82="",COUNTIF($G$2:G81,$G82)=0),"",$Q82-LOOKUP(2,1/($G$2:G81=$G82),$Q$2:Q81))</f>
        <v/>
      </c>
      <c r="T82" s="28" t="str">
        <f>IF(OR($G82="",$R82="",COUNTIF($G$2:G81,$G82)=0),"",$R82-LOOKUP(2,1/($G$2:G81=$G82),$R$2:R81))</f>
        <v/>
      </c>
      <c r="U82" s="11" t="str">
        <f t="shared" si="13"/>
        <v/>
      </c>
      <c r="V82" s="4"/>
      <c r="W82" s="4"/>
      <c r="X82" s="55"/>
      <c r="Y82" s="56" t="str">
        <f>IF($B82="","",IF((IF($G82="","Sin unidad | ","")&amp;IF($J82="","Sin responsable | ","")&amp;IF($K82="","Sin obra | ","")&amp;IF(AND($N82&lt;&gt;"",$G82&lt;&gt;"",$N82&gt;IFERROR(INDEX('MAESTRO DE UNIDADES'!$I$2:$I$208,MATCH($G82,'MAESTRO DE UNIDADES'!$A$2:$A$208,0)),0)),"Litros &gt; tanque | ","")&amp;IF(AND($W82&lt;&gt;"",COUNTIF($W$2:$W82,$W82)&gt;1),"Ticket duplicado | ","")&amp;IF(AND($G82&lt;&gt;"",IFERROR(INDEX('MAESTRO DE UNIDADES'!$L$2:$L$208,MATCH($G82,'MAESTRO DE UNIDADES'!$A$2:$A$208,0)),"")="Inactivo"),"Unidad inactiva | ","")&amp;IF(AND($AA82&lt;&gt;"",$N82=""),"Carga de batán sin litros | ","")&amp;IF(AND($AA82&lt;&gt;"",$AC82&lt;0),"Supera saldo batán | ",""))="","OK",LEFT((IF($G82="","Sin unidad | ","")&amp;IF($J82="","Sin responsable | ","")&amp;IF($K82="","Sin obra | ","")&amp;IF(AND($N82&lt;&gt;"",$G82&lt;&gt;"",$N82&gt;IFERROR(INDEX('MAESTRO DE UNIDADES'!$I$2:$I$208,MATCH($G82,'MAESTRO DE UNIDADES'!$A$2:$A$208,0)),0)),"Litros &gt; tanque | ","")&amp;IF(AND($W82&lt;&gt;"",COUNTIF($W$2:$W82,$W82)&gt;1),"Ticket duplicado | ","")&amp;IF(AND($G82&lt;&gt;"",IFERROR(INDEX('MAESTRO DE UNIDADES'!$L$2:$L$208,MATCH($G82,'MAESTRO DE UNIDADES'!$A$2:$A$208,0)),"")="Inactivo"),"Unidad inactiva | ","")&amp;IF(AND($AA82&lt;&gt;"",$N82=""),"Carga de batán sin litros | ","")&amp;IF(AND($AA82&lt;&gt;"",$AC82&lt;0),"Supera saldo batán | ","")),LEN((IF($G82="","Sin unidad | ","")&amp;IF($J82="","Sin responsable | ","")&amp;IF($K82="","Sin obra | ","")&amp;IF(AND($N82&lt;&gt;"",$G82&lt;&gt;"",$N82&gt;IFERROR(INDEX('MAESTRO DE UNIDADES'!$I$2:$I$208,MATCH($G82,'MAESTRO DE UNIDADES'!$A$2:$A$208,0)),0)),"Litros &gt; tanque | ","")&amp;IF(AND($W82&lt;&gt;"",COUNTIF($W$2:$W82,$W82)&gt;1),"Ticket duplicado | ","")&amp;IF(AND($G82&lt;&gt;"",IFERROR(INDEX('MAESTRO DE UNIDADES'!$L$2:$L$208,MATCH($G82,'MAESTRO DE UNIDADES'!$A$2:$A$208,0)),"")="Inactivo"),"Unidad inactiva | ","")&amp;IF(AND($AA82&lt;&gt;"",$N82=""),"Carga de batán sin litros | ","")&amp;IF(AND($AA82&lt;&gt;"",$AC82&lt;0),"Supera saldo batán | ","")))-3)))</f>
        <v/>
      </c>
      <c r="Z82" s="8" t="str">
        <f t="shared" si="14"/>
        <v/>
      </c>
      <c r="AA82" s="4"/>
      <c r="AB82" s="26" t="str">
        <f>IF($AA82="","",IFERROR(INDEX('CONTROL DE BATAN'!$J$2:$J$301,MATCH($AA82,'CONTROL DE BATAN'!$A$2:$A$301,0)),""))</f>
        <v/>
      </c>
      <c r="AC82" s="28" t="str">
        <f>IF($AA82="","",IFERROR(INDEX('CONTROL DE BATAN'!$I$2:$I$301,MATCH($AA82,'CONTROL DE BATAN'!$A$2:$A$301,0)),0)-SUMIFS($N$2:$N82,$AA$2:$AA82,$AA82))</f>
        <v/>
      </c>
    </row>
    <row r="83" spans="1:29" x14ac:dyDescent="0.25">
      <c r="A83" s="8" t="str">
        <f t="shared" si="8"/>
        <v/>
      </c>
      <c r="B83" s="9"/>
      <c r="C83" s="8" t="str">
        <f t="shared" si="9"/>
        <v/>
      </c>
      <c r="D83" s="10" t="str">
        <f t="shared" si="10"/>
        <v/>
      </c>
      <c r="E83" s="8" t="str">
        <f t="shared" si="11"/>
        <v/>
      </c>
      <c r="F83" s="8" t="str">
        <f>IF($G83="","",IFERROR(INDEX('MAESTRO DE UNIDADES'!$C$2:$C$208,MATCH($G83,'MAESTRO DE UNIDADES'!$A$2:$A$208,0)),""))</f>
        <v/>
      </c>
      <c r="G83" s="4"/>
      <c r="H83" s="8" t="str">
        <f>IF($G83="","",IFERROR(INDEX('MAESTRO DE UNIDADES'!$F$2:$F$208,MATCH($G83,'MAESTRO DE UNIDADES'!$A$2:$A$208,0)),""))</f>
        <v/>
      </c>
      <c r="I83" s="8" t="str">
        <f>IF($G83="","",IFERROR(INDEX('MAESTRO DE UNIDADES'!$B$2:$B$208,MATCH($G83,'MAESTRO DE UNIDADES'!$A$2:$A$208,0)),""))</f>
        <v/>
      </c>
      <c r="J83" s="4"/>
      <c r="K83" s="4"/>
      <c r="L83" s="4"/>
      <c r="M83" s="8" t="str">
        <f>IF($G83="","",IFERROR(INDEX('MAESTRO DE UNIDADES'!$H$2:$H$208,MATCH($G83,'MAESTRO DE UNIDADES'!$A$2:$A$208,0)),""))</f>
        <v/>
      </c>
      <c r="N83" s="17"/>
      <c r="O83" s="25"/>
      <c r="P83" s="26" t="str">
        <f t="shared" si="12"/>
        <v/>
      </c>
      <c r="Q83" s="27"/>
      <c r="R83" s="27"/>
      <c r="S83" s="28" t="str">
        <f>IF(OR($G83="",$Q83="",COUNTIF($G$2:G82,$G83)=0),"",$Q83-LOOKUP(2,1/($G$2:G82=$G83),$Q$2:Q82))</f>
        <v/>
      </c>
      <c r="T83" s="28" t="str">
        <f>IF(OR($G83="",$R83="",COUNTIF($G$2:G82,$G83)=0),"",$R83-LOOKUP(2,1/($G$2:G82=$G83),$R$2:R82))</f>
        <v/>
      </c>
      <c r="U83" s="11" t="str">
        <f t="shared" si="13"/>
        <v/>
      </c>
      <c r="V83" s="4"/>
      <c r="W83" s="4"/>
      <c r="X83" s="55"/>
      <c r="Y83" s="56" t="str">
        <f>IF($B83="","",IF((IF($G83="","Sin unidad | ","")&amp;IF($J83="","Sin responsable | ","")&amp;IF($K83="","Sin obra | ","")&amp;IF(AND($N83&lt;&gt;"",$G83&lt;&gt;"",$N83&gt;IFERROR(INDEX('MAESTRO DE UNIDADES'!$I$2:$I$208,MATCH($G83,'MAESTRO DE UNIDADES'!$A$2:$A$208,0)),0)),"Litros &gt; tanque | ","")&amp;IF(AND($W83&lt;&gt;"",COUNTIF($W$2:$W83,$W83)&gt;1),"Ticket duplicado | ","")&amp;IF(AND($G83&lt;&gt;"",IFERROR(INDEX('MAESTRO DE UNIDADES'!$L$2:$L$208,MATCH($G83,'MAESTRO DE UNIDADES'!$A$2:$A$208,0)),"")="Inactivo"),"Unidad inactiva | ","")&amp;IF(AND($AA83&lt;&gt;"",$N83=""),"Carga de batán sin litros | ","")&amp;IF(AND($AA83&lt;&gt;"",$AC83&lt;0),"Supera saldo batán | ",""))="","OK",LEFT((IF($G83="","Sin unidad | ","")&amp;IF($J83="","Sin responsable | ","")&amp;IF($K83="","Sin obra | ","")&amp;IF(AND($N83&lt;&gt;"",$G83&lt;&gt;"",$N83&gt;IFERROR(INDEX('MAESTRO DE UNIDADES'!$I$2:$I$208,MATCH($G83,'MAESTRO DE UNIDADES'!$A$2:$A$208,0)),0)),"Litros &gt; tanque | ","")&amp;IF(AND($W83&lt;&gt;"",COUNTIF($W$2:$W83,$W83)&gt;1),"Ticket duplicado | ","")&amp;IF(AND($G83&lt;&gt;"",IFERROR(INDEX('MAESTRO DE UNIDADES'!$L$2:$L$208,MATCH($G83,'MAESTRO DE UNIDADES'!$A$2:$A$208,0)),"")="Inactivo"),"Unidad inactiva | ","")&amp;IF(AND($AA83&lt;&gt;"",$N83=""),"Carga de batán sin litros | ","")&amp;IF(AND($AA83&lt;&gt;"",$AC83&lt;0),"Supera saldo batán | ","")),LEN((IF($G83="","Sin unidad | ","")&amp;IF($J83="","Sin responsable | ","")&amp;IF($K83="","Sin obra | ","")&amp;IF(AND($N83&lt;&gt;"",$G83&lt;&gt;"",$N83&gt;IFERROR(INDEX('MAESTRO DE UNIDADES'!$I$2:$I$208,MATCH($G83,'MAESTRO DE UNIDADES'!$A$2:$A$208,0)),0)),"Litros &gt; tanque | ","")&amp;IF(AND($W83&lt;&gt;"",COUNTIF($W$2:$W83,$W83)&gt;1),"Ticket duplicado | ","")&amp;IF(AND($G83&lt;&gt;"",IFERROR(INDEX('MAESTRO DE UNIDADES'!$L$2:$L$208,MATCH($G83,'MAESTRO DE UNIDADES'!$A$2:$A$208,0)),"")="Inactivo"),"Unidad inactiva | ","")&amp;IF(AND($AA83&lt;&gt;"",$N83=""),"Carga de batán sin litros | ","")&amp;IF(AND($AA83&lt;&gt;"",$AC83&lt;0),"Supera saldo batán | ","")))-3)))</f>
        <v/>
      </c>
      <c r="Z83" s="8" t="str">
        <f t="shared" si="14"/>
        <v/>
      </c>
      <c r="AA83" s="4"/>
      <c r="AB83" s="26" t="str">
        <f>IF($AA83="","",IFERROR(INDEX('CONTROL DE BATAN'!$J$2:$J$301,MATCH($AA83,'CONTROL DE BATAN'!$A$2:$A$301,0)),""))</f>
        <v/>
      </c>
      <c r="AC83" s="28" t="str">
        <f>IF($AA83="","",IFERROR(INDEX('CONTROL DE BATAN'!$I$2:$I$301,MATCH($AA83,'CONTROL DE BATAN'!$A$2:$A$301,0)),0)-SUMIFS($N$2:$N83,$AA$2:$AA83,$AA83))</f>
        <v/>
      </c>
    </row>
    <row r="84" spans="1:29" x14ac:dyDescent="0.25">
      <c r="A84" s="8" t="str">
        <f t="shared" si="8"/>
        <v/>
      </c>
      <c r="B84" s="9"/>
      <c r="C84" s="8" t="str">
        <f t="shared" si="9"/>
        <v/>
      </c>
      <c r="D84" s="10" t="str">
        <f t="shared" si="10"/>
        <v/>
      </c>
      <c r="E84" s="8" t="str">
        <f t="shared" si="11"/>
        <v/>
      </c>
      <c r="F84" s="8" t="str">
        <f>IF($G84="","",IFERROR(INDEX('MAESTRO DE UNIDADES'!$C$2:$C$208,MATCH($G84,'MAESTRO DE UNIDADES'!$A$2:$A$208,0)),""))</f>
        <v/>
      </c>
      <c r="G84" s="4"/>
      <c r="H84" s="8" t="str">
        <f>IF($G84="","",IFERROR(INDEX('MAESTRO DE UNIDADES'!$F$2:$F$208,MATCH($G84,'MAESTRO DE UNIDADES'!$A$2:$A$208,0)),""))</f>
        <v/>
      </c>
      <c r="I84" s="8" t="str">
        <f>IF($G84="","",IFERROR(INDEX('MAESTRO DE UNIDADES'!$B$2:$B$208,MATCH($G84,'MAESTRO DE UNIDADES'!$A$2:$A$208,0)),""))</f>
        <v/>
      </c>
      <c r="J84" s="4"/>
      <c r="K84" s="4"/>
      <c r="L84" s="4"/>
      <c r="M84" s="8" t="str">
        <f>IF($G84="","",IFERROR(INDEX('MAESTRO DE UNIDADES'!$H$2:$H$208,MATCH($G84,'MAESTRO DE UNIDADES'!$A$2:$A$208,0)),""))</f>
        <v/>
      </c>
      <c r="N84" s="17"/>
      <c r="O84" s="25"/>
      <c r="P84" s="26" t="str">
        <f t="shared" si="12"/>
        <v/>
      </c>
      <c r="Q84" s="27"/>
      <c r="R84" s="27"/>
      <c r="S84" s="28" t="str">
        <f>IF(OR($G84="",$Q84="",COUNTIF($G$2:G83,$G84)=0),"",$Q84-LOOKUP(2,1/($G$2:G83=$G84),$Q$2:Q83))</f>
        <v/>
      </c>
      <c r="T84" s="28" t="str">
        <f>IF(OR($G84="",$R84="",COUNTIF($G$2:G83,$G84)=0),"",$R84-LOOKUP(2,1/($G$2:G83=$G84),$R$2:R83))</f>
        <v/>
      </c>
      <c r="U84" s="11" t="str">
        <f t="shared" si="13"/>
        <v/>
      </c>
      <c r="V84" s="4"/>
      <c r="W84" s="4"/>
      <c r="X84" s="55"/>
      <c r="Y84" s="56" t="str">
        <f>IF($B84="","",IF((IF($G84="","Sin unidad | ","")&amp;IF($J84="","Sin responsable | ","")&amp;IF($K84="","Sin obra | ","")&amp;IF(AND($N84&lt;&gt;"",$G84&lt;&gt;"",$N84&gt;IFERROR(INDEX('MAESTRO DE UNIDADES'!$I$2:$I$208,MATCH($G84,'MAESTRO DE UNIDADES'!$A$2:$A$208,0)),0)),"Litros &gt; tanque | ","")&amp;IF(AND($W84&lt;&gt;"",COUNTIF($W$2:$W84,$W84)&gt;1),"Ticket duplicado | ","")&amp;IF(AND($G84&lt;&gt;"",IFERROR(INDEX('MAESTRO DE UNIDADES'!$L$2:$L$208,MATCH($G84,'MAESTRO DE UNIDADES'!$A$2:$A$208,0)),"")="Inactivo"),"Unidad inactiva | ","")&amp;IF(AND($AA84&lt;&gt;"",$N84=""),"Carga de batán sin litros | ","")&amp;IF(AND($AA84&lt;&gt;"",$AC84&lt;0),"Supera saldo batán | ",""))="","OK",LEFT((IF($G84="","Sin unidad | ","")&amp;IF($J84="","Sin responsable | ","")&amp;IF($K84="","Sin obra | ","")&amp;IF(AND($N84&lt;&gt;"",$G84&lt;&gt;"",$N84&gt;IFERROR(INDEX('MAESTRO DE UNIDADES'!$I$2:$I$208,MATCH($G84,'MAESTRO DE UNIDADES'!$A$2:$A$208,0)),0)),"Litros &gt; tanque | ","")&amp;IF(AND($W84&lt;&gt;"",COUNTIF($W$2:$W84,$W84)&gt;1),"Ticket duplicado | ","")&amp;IF(AND($G84&lt;&gt;"",IFERROR(INDEX('MAESTRO DE UNIDADES'!$L$2:$L$208,MATCH($G84,'MAESTRO DE UNIDADES'!$A$2:$A$208,0)),"")="Inactivo"),"Unidad inactiva | ","")&amp;IF(AND($AA84&lt;&gt;"",$N84=""),"Carga de batán sin litros | ","")&amp;IF(AND($AA84&lt;&gt;"",$AC84&lt;0),"Supera saldo batán | ","")),LEN((IF($G84="","Sin unidad | ","")&amp;IF($J84="","Sin responsable | ","")&amp;IF($K84="","Sin obra | ","")&amp;IF(AND($N84&lt;&gt;"",$G84&lt;&gt;"",$N84&gt;IFERROR(INDEX('MAESTRO DE UNIDADES'!$I$2:$I$208,MATCH($G84,'MAESTRO DE UNIDADES'!$A$2:$A$208,0)),0)),"Litros &gt; tanque | ","")&amp;IF(AND($W84&lt;&gt;"",COUNTIF($W$2:$W84,$W84)&gt;1),"Ticket duplicado | ","")&amp;IF(AND($G84&lt;&gt;"",IFERROR(INDEX('MAESTRO DE UNIDADES'!$L$2:$L$208,MATCH($G84,'MAESTRO DE UNIDADES'!$A$2:$A$208,0)),"")="Inactivo"),"Unidad inactiva | ","")&amp;IF(AND($AA84&lt;&gt;"",$N84=""),"Carga de batán sin litros | ","")&amp;IF(AND($AA84&lt;&gt;"",$AC84&lt;0),"Supera saldo batán | ","")))-3)))</f>
        <v/>
      </c>
      <c r="Z84" s="8" t="str">
        <f t="shared" si="14"/>
        <v/>
      </c>
      <c r="AA84" s="4"/>
      <c r="AB84" s="26" t="str">
        <f>IF($AA84="","",IFERROR(INDEX('CONTROL DE BATAN'!$J$2:$J$301,MATCH($AA84,'CONTROL DE BATAN'!$A$2:$A$301,0)),""))</f>
        <v/>
      </c>
      <c r="AC84" s="28" t="str">
        <f>IF($AA84="","",IFERROR(INDEX('CONTROL DE BATAN'!$I$2:$I$301,MATCH($AA84,'CONTROL DE BATAN'!$A$2:$A$301,0)),0)-SUMIFS($N$2:$N84,$AA$2:$AA84,$AA84))</f>
        <v/>
      </c>
    </row>
    <row r="85" spans="1:29" x14ac:dyDescent="0.25">
      <c r="A85" s="8" t="str">
        <f t="shared" si="8"/>
        <v/>
      </c>
      <c r="B85" s="9"/>
      <c r="C85" s="8" t="str">
        <f t="shared" si="9"/>
        <v/>
      </c>
      <c r="D85" s="10" t="str">
        <f t="shared" si="10"/>
        <v/>
      </c>
      <c r="E85" s="8" t="str">
        <f t="shared" si="11"/>
        <v/>
      </c>
      <c r="F85" s="8" t="str">
        <f>IF($G85="","",IFERROR(INDEX('MAESTRO DE UNIDADES'!$C$2:$C$208,MATCH($G85,'MAESTRO DE UNIDADES'!$A$2:$A$208,0)),""))</f>
        <v/>
      </c>
      <c r="G85" s="4"/>
      <c r="H85" s="8" t="str">
        <f>IF($G85="","",IFERROR(INDEX('MAESTRO DE UNIDADES'!$F$2:$F$208,MATCH($G85,'MAESTRO DE UNIDADES'!$A$2:$A$208,0)),""))</f>
        <v/>
      </c>
      <c r="I85" s="8" t="str">
        <f>IF($G85="","",IFERROR(INDEX('MAESTRO DE UNIDADES'!$B$2:$B$208,MATCH($G85,'MAESTRO DE UNIDADES'!$A$2:$A$208,0)),""))</f>
        <v/>
      </c>
      <c r="J85" s="4"/>
      <c r="K85" s="4"/>
      <c r="L85" s="4"/>
      <c r="M85" s="8" t="str">
        <f>IF($G85="","",IFERROR(INDEX('MAESTRO DE UNIDADES'!$H$2:$H$208,MATCH($G85,'MAESTRO DE UNIDADES'!$A$2:$A$208,0)),""))</f>
        <v/>
      </c>
      <c r="N85" s="17"/>
      <c r="O85" s="25"/>
      <c r="P85" s="26" t="str">
        <f t="shared" si="12"/>
        <v/>
      </c>
      <c r="Q85" s="27"/>
      <c r="R85" s="27"/>
      <c r="S85" s="28" t="str">
        <f>IF(OR($G85="",$Q85="",COUNTIF($G$2:G84,$G85)=0),"",$Q85-LOOKUP(2,1/($G$2:G84=$G85),$Q$2:Q84))</f>
        <v/>
      </c>
      <c r="T85" s="28" t="str">
        <f>IF(OR($G85="",$R85="",COUNTIF($G$2:G84,$G85)=0),"",$R85-LOOKUP(2,1/($G$2:G84=$G85),$R$2:R84))</f>
        <v/>
      </c>
      <c r="U85" s="11" t="str">
        <f t="shared" si="13"/>
        <v/>
      </c>
      <c r="V85" s="4"/>
      <c r="W85" s="4"/>
      <c r="X85" s="55"/>
      <c r="Y85" s="56" t="str">
        <f>IF($B85="","",IF((IF($G85="","Sin unidad | ","")&amp;IF($J85="","Sin responsable | ","")&amp;IF($K85="","Sin obra | ","")&amp;IF(AND($N85&lt;&gt;"",$G85&lt;&gt;"",$N85&gt;IFERROR(INDEX('MAESTRO DE UNIDADES'!$I$2:$I$208,MATCH($G85,'MAESTRO DE UNIDADES'!$A$2:$A$208,0)),0)),"Litros &gt; tanque | ","")&amp;IF(AND($W85&lt;&gt;"",COUNTIF($W$2:$W85,$W85)&gt;1),"Ticket duplicado | ","")&amp;IF(AND($G85&lt;&gt;"",IFERROR(INDEX('MAESTRO DE UNIDADES'!$L$2:$L$208,MATCH($G85,'MAESTRO DE UNIDADES'!$A$2:$A$208,0)),"")="Inactivo"),"Unidad inactiva | ","")&amp;IF(AND($AA85&lt;&gt;"",$N85=""),"Carga de batán sin litros | ","")&amp;IF(AND($AA85&lt;&gt;"",$AC85&lt;0),"Supera saldo batán | ",""))="","OK",LEFT((IF($G85="","Sin unidad | ","")&amp;IF($J85="","Sin responsable | ","")&amp;IF($K85="","Sin obra | ","")&amp;IF(AND($N85&lt;&gt;"",$G85&lt;&gt;"",$N85&gt;IFERROR(INDEX('MAESTRO DE UNIDADES'!$I$2:$I$208,MATCH($G85,'MAESTRO DE UNIDADES'!$A$2:$A$208,0)),0)),"Litros &gt; tanque | ","")&amp;IF(AND($W85&lt;&gt;"",COUNTIF($W$2:$W85,$W85)&gt;1),"Ticket duplicado | ","")&amp;IF(AND($G85&lt;&gt;"",IFERROR(INDEX('MAESTRO DE UNIDADES'!$L$2:$L$208,MATCH($G85,'MAESTRO DE UNIDADES'!$A$2:$A$208,0)),"")="Inactivo"),"Unidad inactiva | ","")&amp;IF(AND($AA85&lt;&gt;"",$N85=""),"Carga de batán sin litros | ","")&amp;IF(AND($AA85&lt;&gt;"",$AC85&lt;0),"Supera saldo batán | ","")),LEN((IF($G85="","Sin unidad | ","")&amp;IF($J85="","Sin responsable | ","")&amp;IF($K85="","Sin obra | ","")&amp;IF(AND($N85&lt;&gt;"",$G85&lt;&gt;"",$N85&gt;IFERROR(INDEX('MAESTRO DE UNIDADES'!$I$2:$I$208,MATCH($G85,'MAESTRO DE UNIDADES'!$A$2:$A$208,0)),0)),"Litros &gt; tanque | ","")&amp;IF(AND($W85&lt;&gt;"",COUNTIF($W$2:$W85,$W85)&gt;1),"Ticket duplicado | ","")&amp;IF(AND($G85&lt;&gt;"",IFERROR(INDEX('MAESTRO DE UNIDADES'!$L$2:$L$208,MATCH($G85,'MAESTRO DE UNIDADES'!$A$2:$A$208,0)),"")="Inactivo"),"Unidad inactiva | ","")&amp;IF(AND($AA85&lt;&gt;"",$N85=""),"Carga de batán sin litros | ","")&amp;IF(AND($AA85&lt;&gt;"",$AC85&lt;0),"Supera saldo batán | ","")))-3)))</f>
        <v/>
      </c>
      <c r="Z85" s="8" t="str">
        <f t="shared" si="14"/>
        <v/>
      </c>
      <c r="AA85" s="4"/>
      <c r="AB85" s="26" t="str">
        <f>IF($AA85="","",IFERROR(INDEX('CONTROL DE BATAN'!$J$2:$J$301,MATCH($AA85,'CONTROL DE BATAN'!$A$2:$A$301,0)),""))</f>
        <v/>
      </c>
      <c r="AC85" s="28" t="str">
        <f>IF($AA85="","",IFERROR(INDEX('CONTROL DE BATAN'!$I$2:$I$301,MATCH($AA85,'CONTROL DE BATAN'!$A$2:$A$301,0)),0)-SUMIFS($N$2:$N85,$AA$2:$AA85,$AA85))</f>
        <v/>
      </c>
    </row>
    <row r="86" spans="1:29" x14ac:dyDescent="0.25">
      <c r="A86" s="8" t="str">
        <f t="shared" si="8"/>
        <v/>
      </c>
      <c r="B86" s="9"/>
      <c r="C86" s="8" t="str">
        <f t="shared" si="9"/>
        <v/>
      </c>
      <c r="D86" s="10" t="str">
        <f t="shared" si="10"/>
        <v/>
      </c>
      <c r="E86" s="8" t="str">
        <f t="shared" si="11"/>
        <v/>
      </c>
      <c r="F86" s="8" t="str">
        <f>IF($G86="","",IFERROR(INDEX('MAESTRO DE UNIDADES'!$C$2:$C$208,MATCH($G86,'MAESTRO DE UNIDADES'!$A$2:$A$208,0)),""))</f>
        <v/>
      </c>
      <c r="G86" s="4"/>
      <c r="H86" s="8" t="str">
        <f>IF($G86="","",IFERROR(INDEX('MAESTRO DE UNIDADES'!$F$2:$F$208,MATCH($G86,'MAESTRO DE UNIDADES'!$A$2:$A$208,0)),""))</f>
        <v/>
      </c>
      <c r="I86" s="8" t="str">
        <f>IF($G86="","",IFERROR(INDEX('MAESTRO DE UNIDADES'!$B$2:$B$208,MATCH($G86,'MAESTRO DE UNIDADES'!$A$2:$A$208,0)),""))</f>
        <v/>
      </c>
      <c r="J86" s="4"/>
      <c r="K86" s="4"/>
      <c r="L86" s="4"/>
      <c r="M86" s="8" t="str">
        <f>IF($G86="","",IFERROR(INDEX('MAESTRO DE UNIDADES'!$H$2:$H$208,MATCH($G86,'MAESTRO DE UNIDADES'!$A$2:$A$208,0)),""))</f>
        <v/>
      </c>
      <c r="N86" s="17"/>
      <c r="O86" s="25"/>
      <c r="P86" s="26" t="str">
        <f t="shared" si="12"/>
        <v/>
      </c>
      <c r="Q86" s="27"/>
      <c r="R86" s="27"/>
      <c r="S86" s="28" t="str">
        <f>IF(OR($G86="",$Q86="",COUNTIF($G$2:G85,$G86)=0),"",$Q86-LOOKUP(2,1/($G$2:G85=$G86),$Q$2:Q85))</f>
        <v/>
      </c>
      <c r="T86" s="28" t="str">
        <f>IF(OR($G86="",$R86="",COUNTIF($G$2:G85,$G86)=0),"",$R86-LOOKUP(2,1/($G$2:G85=$G86),$R$2:R85))</f>
        <v/>
      </c>
      <c r="U86" s="11" t="str">
        <f t="shared" si="13"/>
        <v/>
      </c>
      <c r="V86" s="4"/>
      <c r="W86" s="4"/>
      <c r="X86" s="55"/>
      <c r="Y86" s="56" t="str">
        <f>IF($B86="","",IF((IF($G86="","Sin unidad | ","")&amp;IF($J86="","Sin responsable | ","")&amp;IF($K86="","Sin obra | ","")&amp;IF(AND($N86&lt;&gt;"",$G86&lt;&gt;"",$N86&gt;IFERROR(INDEX('MAESTRO DE UNIDADES'!$I$2:$I$208,MATCH($G86,'MAESTRO DE UNIDADES'!$A$2:$A$208,0)),0)),"Litros &gt; tanque | ","")&amp;IF(AND($W86&lt;&gt;"",COUNTIF($W$2:$W86,$W86)&gt;1),"Ticket duplicado | ","")&amp;IF(AND($G86&lt;&gt;"",IFERROR(INDEX('MAESTRO DE UNIDADES'!$L$2:$L$208,MATCH($G86,'MAESTRO DE UNIDADES'!$A$2:$A$208,0)),"")="Inactivo"),"Unidad inactiva | ","")&amp;IF(AND($AA86&lt;&gt;"",$N86=""),"Carga de batán sin litros | ","")&amp;IF(AND($AA86&lt;&gt;"",$AC86&lt;0),"Supera saldo batán | ",""))="","OK",LEFT((IF($G86="","Sin unidad | ","")&amp;IF($J86="","Sin responsable | ","")&amp;IF($K86="","Sin obra | ","")&amp;IF(AND($N86&lt;&gt;"",$G86&lt;&gt;"",$N86&gt;IFERROR(INDEX('MAESTRO DE UNIDADES'!$I$2:$I$208,MATCH($G86,'MAESTRO DE UNIDADES'!$A$2:$A$208,0)),0)),"Litros &gt; tanque | ","")&amp;IF(AND($W86&lt;&gt;"",COUNTIF($W$2:$W86,$W86)&gt;1),"Ticket duplicado | ","")&amp;IF(AND($G86&lt;&gt;"",IFERROR(INDEX('MAESTRO DE UNIDADES'!$L$2:$L$208,MATCH($G86,'MAESTRO DE UNIDADES'!$A$2:$A$208,0)),"")="Inactivo"),"Unidad inactiva | ","")&amp;IF(AND($AA86&lt;&gt;"",$N86=""),"Carga de batán sin litros | ","")&amp;IF(AND($AA86&lt;&gt;"",$AC86&lt;0),"Supera saldo batán | ","")),LEN((IF($G86="","Sin unidad | ","")&amp;IF($J86="","Sin responsable | ","")&amp;IF($K86="","Sin obra | ","")&amp;IF(AND($N86&lt;&gt;"",$G86&lt;&gt;"",$N86&gt;IFERROR(INDEX('MAESTRO DE UNIDADES'!$I$2:$I$208,MATCH($G86,'MAESTRO DE UNIDADES'!$A$2:$A$208,0)),0)),"Litros &gt; tanque | ","")&amp;IF(AND($W86&lt;&gt;"",COUNTIF($W$2:$W86,$W86)&gt;1),"Ticket duplicado | ","")&amp;IF(AND($G86&lt;&gt;"",IFERROR(INDEX('MAESTRO DE UNIDADES'!$L$2:$L$208,MATCH($G86,'MAESTRO DE UNIDADES'!$A$2:$A$208,0)),"")="Inactivo"),"Unidad inactiva | ","")&amp;IF(AND($AA86&lt;&gt;"",$N86=""),"Carga de batán sin litros | ","")&amp;IF(AND($AA86&lt;&gt;"",$AC86&lt;0),"Supera saldo batán | ","")))-3)))</f>
        <v/>
      </c>
      <c r="Z86" s="8" t="str">
        <f t="shared" si="14"/>
        <v/>
      </c>
      <c r="AA86" s="4"/>
      <c r="AB86" s="26" t="str">
        <f>IF($AA86="","",IFERROR(INDEX('CONTROL DE BATAN'!$J$2:$J$301,MATCH($AA86,'CONTROL DE BATAN'!$A$2:$A$301,0)),""))</f>
        <v/>
      </c>
      <c r="AC86" s="28" t="str">
        <f>IF($AA86="","",IFERROR(INDEX('CONTROL DE BATAN'!$I$2:$I$301,MATCH($AA86,'CONTROL DE BATAN'!$A$2:$A$301,0)),0)-SUMIFS($N$2:$N86,$AA$2:$AA86,$AA86))</f>
        <v/>
      </c>
    </row>
    <row r="87" spans="1:29" x14ac:dyDescent="0.25">
      <c r="A87" s="8" t="str">
        <f t="shared" si="8"/>
        <v/>
      </c>
      <c r="B87" s="9"/>
      <c r="C87" s="8" t="str">
        <f t="shared" si="9"/>
        <v/>
      </c>
      <c r="D87" s="10" t="str">
        <f t="shared" si="10"/>
        <v/>
      </c>
      <c r="E87" s="8" t="str">
        <f t="shared" si="11"/>
        <v/>
      </c>
      <c r="F87" s="8" t="str">
        <f>IF($G87="","",IFERROR(INDEX('MAESTRO DE UNIDADES'!$C$2:$C$208,MATCH($G87,'MAESTRO DE UNIDADES'!$A$2:$A$208,0)),""))</f>
        <v/>
      </c>
      <c r="G87" s="4"/>
      <c r="H87" s="8" t="str">
        <f>IF($G87="","",IFERROR(INDEX('MAESTRO DE UNIDADES'!$F$2:$F$208,MATCH($G87,'MAESTRO DE UNIDADES'!$A$2:$A$208,0)),""))</f>
        <v/>
      </c>
      <c r="I87" s="8" t="str">
        <f>IF($G87="","",IFERROR(INDEX('MAESTRO DE UNIDADES'!$B$2:$B$208,MATCH($G87,'MAESTRO DE UNIDADES'!$A$2:$A$208,0)),""))</f>
        <v/>
      </c>
      <c r="J87" s="4"/>
      <c r="K87" s="4"/>
      <c r="L87" s="4"/>
      <c r="M87" s="8" t="str">
        <f>IF($G87="","",IFERROR(INDEX('MAESTRO DE UNIDADES'!$H$2:$H$208,MATCH($G87,'MAESTRO DE UNIDADES'!$A$2:$A$208,0)),""))</f>
        <v/>
      </c>
      <c r="N87" s="17"/>
      <c r="O87" s="25"/>
      <c r="P87" s="26" t="str">
        <f t="shared" si="12"/>
        <v/>
      </c>
      <c r="Q87" s="27"/>
      <c r="R87" s="27"/>
      <c r="S87" s="28" t="str">
        <f>IF(OR($G87="",$Q87="",COUNTIF($G$2:G86,$G87)=0),"",$Q87-LOOKUP(2,1/($G$2:G86=$G87),$Q$2:Q86))</f>
        <v/>
      </c>
      <c r="T87" s="28" t="str">
        <f>IF(OR($G87="",$R87="",COUNTIF($G$2:G86,$G87)=0),"",$R87-LOOKUP(2,1/($G$2:G86=$G87),$R$2:R86))</f>
        <v/>
      </c>
      <c r="U87" s="11" t="str">
        <f t="shared" si="13"/>
        <v/>
      </c>
      <c r="V87" s="4"/>
      <c r="W87" s="4"/>
      <c r="X87" s="55"/>
      <c r="Y87" s="56" t="str">
        <f>IF($B87="","",IF((IF($G87="","Sin unidad | ","")&amp;IF($J87="","Sin responsable | ","")&amp;IF($K87="","Sin obra | ","")&amp;IF(AND($N87&lt;&gt;"",$G87&lt;&gt;"",$N87&gt;IFERROR(INDEX('MAESTRO DE UNIDADES'!$I$2:$I$208,MATCH($G87,'MAESTRO DE UNIDADES'!$A$2:$A$208,0)),0)),"Litros &gt; tanque | ","")&amp;IF(AND($W87&lt;&gt;"",COUNTIF($W$2:$W87,$W87)&gt;1),"Ticket duplicado | ","")&amp;IF(AND($G87&lt;&gt;"",IFERROR(INDEX('MAESTRO DE UNIDADES'!$L$2:$L$208,MATCH($G87,'MAESTRO DE UNIDADES'!$A$2:$A$208,0)),"")="Inactivo"),"Unidad inactiva | ","")&amp;IF(AND($AA87&lt;&gt;"",$N87=""),"Carga de batán sin litros | ","")&amp;IF(AND($AA87&lt;&gt;"",$AC87&lt;0),"Supera saldo batán | ",""))="","OK",LEFT((IF($G87="","Sin unidad | ","")&amp;IF($J87="","Sin responsable | ","")&amp;IF($K87="","Sin obra | ","")&amp;IF(AND($N87&lt;&gt;"",$G87&lt;&gt;"",$N87&gt;IFERROR(INDEX('MAESTRO DE UNIDADES'!$I$2:$I$208,MATCH($G87,'MAESTRO DE UNIDADES'!$A$2:$A$208,0)),0)),"Litros &gt; tanque | ","")&amp;IF(AND($W87&lt;&gt;"",COUNTIF($W$2:$W87,$W87)&gt;1),"Ticket duplicado | ","")&amp;IF(AND($G87&lt;&gt;"",IFERROR(INDEX('MAESTRO DE UNIDADES'!$L$2:$L$208,MATCH($G87,'MAESTRO DE UNIDADES'!$A$2:$A$208,0)),"")="Inactivo"),"Unidad inactiva | ","")&amp;IF(AND($AA87&lt;&gt;"",$N87=""),"Carga de batán sin litros | ","")&amp;IF(AND($AA87&lt;&gt;"",$AC87&lt;0),"Supera saldo batán | ","")),LEN((IF($G87="","Sin unidad | ","")&amp;IF($J87="","Sin responsable | ","")&amp;IF($K87="","Sin obra | ","")&amp;IF(AND($N87&lt;&gt;"",$G87&lt;&gt;"",$N87&gt;IFERROR(INDEX('MAESTRO DE UNIDADES'!$I$2:$I$208,MATCH($G87,'MAESTRO DE UNIDADES'!$A$2:$A$208,0)),0)),"Litros &gt; tanque | ","")&amp;IF(AND($W87&lt;&gt;"",COUNTIF($W$2:$W87,$W87)&gt;1),"Ticket duplicado | ","")&amp;IF(AND($G87&lt;&gt;"",IFERROR(INDEX('MAESTRO DE UNIDADES'!$L$2:$L$208,MATCH($G87,'MAESTRO DE UNIDADES'!$A$2:$A$208,0)),"")="Inactivo"),"Unidad inactiva | ","")&amp;IF(AND($AA87&lt;&gt;"",$N87=""),"Carga de batán sin litros | ","")&amp;IF(AND($AA87&lt;&gt;"",$AC87&lt;0),"Supera saldo batán | ","")))-3)))</f>
        <v/>
      </c>
      <c r="Z87" s="8" t="str">
        <f t="shared" si="14"/>
        <v/>
      </c>
      <c r="AA87" s="4"/>
      <c r="AB87" s="26" t="str">
        <f>IF($AA87="","",IFERROR(INDEX('CONTROL DE BATAN'!$J$2:$J$301,MATCH($AA87,'CONTROL DE BATAN'!$A$2:$A$301,0)),""))</f>
        <v/>
      </c>
      <c r="AC87" s="28" t="str">
        <f>IF($AA87="","",IFERROR(INDEX('CONTROL DE BATAN'!$I$2:$I$301,MATCH($AA87,'CONTROL DE BATAN'!$A$2:$A$301,0)),0)-SUMIFS($N$2:$N87,$AA$2:$AA87,$AA87))</f>
        <v/>
      </c>
    </row>
    <row r="88" spans="1:29" x14ac:dyDescent="0.25">
      <c r="A88" s="8" t="str">
        <f t="shared" si="8"/>
        <v/>
      </c>
      <c r="B88" s="9"/>
      <c r="C88" s="8" t="str">
        <f t="shared" si="9"/>
        <v/>
      </c>
      <c r="D88" s="10" t="str">
        <f t="shared" si="10"/>
        <v/>
      </c>
      <c r="E88" s="8" t="str">
        <f t="shared" si="11"/>
        <v/>
      </c>
      <c r="F88" s="8" t="str">
        <f>IF($G88="","",IFERROR(INDEX('MAESTRO DE UNIDADES'!$C$2:$C$208,MATCH($G88,'MAESTRO DE UNIDADES'!$A$2:$A$208,0)),""))</f>
        <v/>
      </c>
      <c r="G88" s="4"/>
      <c r="H88" s="8" t="str">
        <f>IF($G88="","",IFERROR(INDEX('MAESTRO DE UNIDADES'!$F$2:$F$208,MATCH($G88,'MAESTRO DE UNIDADES'!$A$2:$A$208,0)),""))</f>
        <v/>
      </c>
      <c r="I88" s="8" t="str">
        <f>IF($G88="","",IFERROR(INDEX('MAESTRO DE UNIDADES'!$B$2:$B$208,MATCH($G88,'MAESTRO DE UNIDADES'!$A$2:$A$208,0)),""))</f>
        <v/>
      </c>
      <c r="J88" s="4"/>
      <c r="K88" s="4"/>
      <c r="L88" s="4"/>
      <c r="M88" s="8" t="str">
        <f>IF($G88="","",IFERROR(INDEX('MAESTRO DE UNIDADES'!$H$2:$H$208,MATCH($G88,'MAESTRO DE UNIDADES'!$A$2:$A$208,0)),""))</f>
        <v/>
      </c>
      <c r="N88" s="17"/>
      <c r="O88" s="25"/>
      <c r="P88" s="26" t="str">
        <f t="shared" si="12"/>
        <v/>
      </c>
      <c r="Q88" s="27"/>
      <c r="R88" s="27"/>
      <c r="S88" s="28" t="str">
        <f>IF(OR($G88="",$Q88="",COUNTIF($G$2:G87,$G88)=0),"",$Q88-LOOKUP(2,1/($G$2:G87=$G88),$Q$2:Q87))</f>
        <v/>
      </c>
      <c r="T88" s="28" t="str">
        <f>IF(OR($G88="",$R88="",COUNTIF($G$2:G87,$G88)=0),"",$R88-LOOKUP(2,1/($G$2:G87=$G88),$R$2:R87))</f>
        <v/>
      </c>
      <c r="U88" s="11" t="str">
        <f t="shared" si="13"/>
        <v/>
      </c>
      <c r="V88" s="4"/>
      <c r="W88" s="4"/>
      <c r="X88" s="55"/>
      <c r="Y88" s="56" t="str">
        <f>IF($B88="","",IF((IF($G88="","Sin unidad | ","")&amp;IF($J88="","Sin responsable | ","")&amp;IF($K88="","Sin obra | ","")&amp;IF(AND($N88&lt;&gt;"",$G88&lt;&gt;"",$N88&gt;IFERROR(INDEX('MAESTRO DE UNIDADES'!$I$2:$I$208,MATCH($G88,'MAESTRO DE UNIDADES'!$A$2:$A$208,0)),0)),"Litros &gt; tanque | ","")&amp;IF(AND($W88&lt;&gt;"",COUNTIF($W$2:$W88,$W88)&gt;1),"Ticket duplicado | ","")&amp;IF(AND($G88&lt;&gt;"",IFERROR(INDEX('MAESTRO DE UNIDADES'!$L$2:$L$208,MATCH($G88,'MAESTRO DE UNIDADES'!$A$2:$A$208,0)),"")="Inactivo"),"Unidad inactiva | ","")&amp;IF(AND($AA88&lt;&gt;"",$N88=""),"Carga de batán sin litros | ","")&amp;IF(AND($AA88&lt;&gt;"",$AC88&lt;0),"Supera saldo batán | ",""))="","OK",LEFT((IF($G88="","Sin unidad | ","")&amp;IF($J88="","Sin responsable | ","")&amp;IF($K88="","Sin obra | ","")&amp;IF(AND($N88&lt;&gt;"",$G88&lt;&gt;"",$N88&gt;IFERROR(INDEX('MAESTRO DE UNIDADES'!$I$2:$I$208,MATCH($G88,'MAESTRO DE UNIDADES'!$A$2:$A$208,0)),0)),"Litros &gt; tanque | ","")&amp;IF(AND($W88&lt;&gt;"",COUNTIF($W$2:$W88,$W88)&gt;1),"Ticket duplicado | ","")&amp;IF(AND($G88&lt;&gt;"",IFERROR(INDEX('MAESTRO DE UNIDADES'!$L$2:$L$208,MATCH($G88,'MAESTRO DE UNIDADES'!$A$2:$A$208,0)),"")="Inactivo"),"Unidad inactiva | ","")&amp;IF(AND($AA88&lt;&gt;"",$N88=""),"Carga de batán sin litros | ","")&amp;IF(AND($AA88&lt;&gt;"",$AC88&lt;0),"Supera saldo batán | ","")),LEN((IF($G88="","Sin unidad | ","")&amp;IF($J88="","Sin responsable | ","")&amp;IF($K88="","Sin obra | ","")&amp;IF(AND($N88&lt;&gt;"",$G88&lt;&gt;"",$N88&gt;IFERROR(INDEX('MAESTRO DE UNIDADES'!$I$2:$I$208,MATCH($G88,'MAESTRO DE UNIDADES'!$A$2:$A$208,0)),0)),"Litros &gt; tanque | ","")&amp;IF(AND($W88&lt;&gt;"",COUNTIF($W$2:$W88,$W88)&gt;1),"Ticket duplicado | ","")&amp;IF(AND($G88&lt;&gt;"",IFERROR(INDEX('MAESTRO DE UNIDADES'!$L$2:$L$208,MATCH($G88,'MAESTRO DE UNIDADES'!$A$2:$A$208,0)),"")="Inactivo"),"Unidad inactiva | ","")&amp;IF(AND($AA88&lt;&gt;"",$N88=""),"Carga de batán sin litros | ","")&amp;IF(AND($AA88&lt;&gt;"",$AC88&lt;0),"Supera saldo batán | ","")))-3)))</f>
        <v/>
      </c>
      <c r="Z88" s="8" t="str">
        <f t="shared" si="14"/>
        <v/>
      </c>
      <c r="AA88" s="4"/>
      <c r="AB88" s="26" t="str">
        <f>IF($AA88="","",IFERROR(INDEX('CONTROL DE BATAN'!$J$2:$J$301,MATCH($AA88,'CONTROL DE BATAN'!$A$2:$A$301,0)),""))</f>
        <v/>
      </c>
      <c r="AC88" s="28" t="str">
        <f>IF($AA88="","",IFERROR(INDEX('CONTROL DE BATAN'!$I$2:$I$301,MATCH($AA88,'CONTROL DE BATAN'!$A$2:$A$301,0)),0)-SUMIFS($N$2:$N88,$AA$2:$AA88,$AA88))</f>
        <v/>
      </c>
    </row>
    <row r="89" spans="1:29" x14ac:dyDescent="0.25">
      <c r="A89" s="8" t="str">
        <f t="shared" si="8"/>
        <v/>
      </c>
      <c r="B89" s="9"/>
      <c r="C89" s="8" t="str">
        <f t="shared" si="9"/>
        <v/>
      </c>
      <c r="D89" s="10" t="str">
        <f t="shared" si="10"/>
        <v/>
      </c>
      <c r="E89" s="8" t="str">
        <f t="shared" si="11"/>
        <v/>
      </c>
      <c r="F89" s="8" t="str">
        <f>IF($G89="","",IFERROR(INDEX('MAESTRO DE UNIDADES'!$C$2:$C$208,MATCH($G89,'MAESTRO DE UNIDADES'!$A$2:$A$208,0)),""))</f>
        <v/>
      </c>
      <c r="G89" s="4"/>
      <c r="H89" s="8" t="str">
        <f>IF($G89="","",IFERROR(INDEX('MAESTRO DE UNIDADES'!$F$2:$F$208,MATCH($G89,'MAESTRO DE UNIDADES'!$A$2:$A$208,0)),""))</f>
        <v/>
      </c>
      <c r="I89" s="8" t="str">
        <f>IF($G89="","",IFERROR(INDEX('MAESTRO DE UNIDADES'!$B$2:$B$208,MATCH($G89,'MAESTRO DE UNIDADES'!$A$2:$A$208,0)),""))</f>
        <v/>
      </c>
      <c r="J89" s="4"/>
      <c r="K89" s="4"/>
      <c r="L89" s="4"/>
      <c r="M89" s="8" t="str">
        <f>IF($G89="","",IFERROR(INDEX('MAESTRO DE UNIDADES'!$H$2:$H$208,MATCH($G89,'MAESTRO DE UNIDADES'!$A$2:$A$208,0)),""))</f>
        <v/>
      </c>
      <c r="N89" s="17"/>
      <c r="O89" s="25"/>
      <c r="P89" s="26" t="str">
        <f t="shared" si="12"/>
        <v/>
      </c>
      <c r="Q89" s="27"/>
      <c r="R89" s="27"/>
      <c r="S89" s="28" t="str">
        <f>IF(OR($G89="",$Q89="",COUNTIF($G$2:G88,$G89)=0),"",$Q89-LOOKUP(2,1/($G$2:G88=$G89),$Q$2:Q88))</f>
        <v/>
      </c>
      <c r="T89" s="28" t="str">
        <f>IF(OR($G89="",$R89="",COUNTIF($G$2:G88,$G89)=0),"",$R89-LOOKUP(2,1/($G$2:G88=$G89),$R$2:R88))</f>
        <v/>
      </c>
      <c r="U89" s="11" t="str">
        <f t="shared" si="13"/>
        <v/>
      </c>
      <c r="V89" s="4"/>
      <c r="W89" s="4"/>
      <c r="X89" s="55"/>
      <c r="Y89" s="56" t="str">
        <f>IF($B89="","",IF((IF($G89="","Sin unidad | ","")&amp;IF($J89="","Sin responsable | ","")&amp;IF($K89="","Sin obra | ","")&amp;IF(AND($N89&lt;&gt;"",$G89&lt;&gt;"",$N89&gt;IFERROR(INDEX('MAESTRO DE UNIDADES'!$I$2:$I$208,MATCH($G89,'MAESTRO DE UNIDADES'!$A$2:$A$208,0)),0)),"Litros &gt; tanque | ","")&amp;IF(AND($W89&lt;&gt;"",COUNTIF($W$2:$W89,$W89)&gt;1),"Ticket duplicado | ","")&amp;IF(AND($G89&lt;&gt;"",IFERROR(INDEX('MAESTRO DE UNIDADES'!$L$2:$L$208,MATCH($G89,'MAESTRO DE UNIDADES'!$A$2:$A$208,0)),"")="Inactivo"),"Unidad inactiva | ","")&amp;IF(AND($AA89&lt;&gt;"",$N89=""),"Carga de batán sin litros | ","")&amp;IF(AND($AA89&lt;&gt;"",$AC89&lt;0),"Supera saldo batán | ",""))="","OK",LEFT((IF($G89="","Sin unidad | ","")&amp;IF($J89="","Sin responsable | ","")&amp;IF($K89="","Sin obra | ","")&amp;IF(AND($N89&lt;&gt;"",$G89&lt;&gt;"",$N89&gt;IFERROR(INDEX('MAESTRO DE UNIDADES'!$I$2:$I$208,MATCH($G89,'MAESTRO DE UNIDADES'!$A$2:$A$208,0)),0)),"Litros &gt; tanque | ","")&amp;IF(AND($W89&lt;&gt;"",COUNTIF($W$2:$W89,$W89)&gt;1),"Ticket duplicado | ","")&amp;IF(AND($G89&lt;&gt;"",IFERROR(INDEX('MAESTRO DE UNIDADES'!$L$2:$L$208,MATCH($G89,'MAESTRO DE UNIDADES'!$A$2:$A$208,0)),"")="Inactivo"),"Unidad inactiva | ","")&amp;IF(AND($AA89&lt;&gt;"",$N89=""),"Carga de batán sin litros | ","")&amp;IF(AND($AA89&lt;&gt;"",$AC89&lt;0),"Supera saldo batán | ","")),LEN((IF($G89="","Sin unidad | ","")&amp;IF($J89="","Sin responsable | ","")&amp;IF($K89="","Sin obra | ","")&amp;IF(AND($N89&lt;&gt;"",$G89&lt;&gt;"",$N89&gt;IFERROR(INDEX('MAESTRO DE UNIDADES'!$I$2:$I$208,MATCH($G89,'MAESTRO DE UNIDADES'!$A$2:$A$208,0)),0)),"Litros &gt; tanque | ","")&amp;IF(AND($W89&lt;&gt;"",COUNTIF($W$2:$W89,$W89)&gt;1),"Ticket duplicado | ","")&amp;IF(AND($G89&lt;&gt;"",IFERROR(INDEX('MAESTRO DE UNIDADES'!$L$2:$L$208,MATCH($G89,'MAESTRO DE UNIDADES'!$A$2:$A$208,0)),"")="Inactivo"),"Unidad inactiva | ","")&amp;IF(AND($AA89&lt;&gt;"",$N89=""),"Carga de batán sin litros | ","")&amp;IF(AND($AA89&lt;&gt;"",$AC89&lt;0),"Supera saldo batán | ","")))-3)))</f>
        <v/>
      </c>
      <c r="Z89" s="8" t="str">
        <f t="shared" si="14"/>
        <v/>
      </c>
      <c r="AA89" s="4"/>
      <c r="AB89" s="26" t="str">
        <f>IF($AA89="","",IFERROR(INDEX('CONTROL DE BATAN'!$J$2:$J$301,MATCH($AA89,'CONTROL DE BATAN'!$A$2:$A$301,0)),""))</f>
        <v/>
      </c>
      <c r="AC89" s="28" t="str">
        <f>IF($AA89="","",IFERROR(INDEX('CONTROL DE BATAN'!$I$2:$I$301,MATCH($AA89,'CONTROL DE BATAN'!$A$2:$A$301,0)),0)-SUMIFS($N$2:$N89,$AA$2:$AA89,$AA89))</f>
        <v/>
      </c>
    </row>
    <row r="90" spans="1:29" x14ac:dyDescent="0.25">
      <c r="A90" s="8" t="str">
        <f t="shared" si="8"/>
        <v/>
      </c>
      <c r="B90" s="9"/>
      <c r="C90" s="8" t="str">
        <f t="shared" si="9"/>
        <v/>
      </c>
      <c r="D90" s="10" t="str">
        <f t="shared" si="10"/>
        <v/>
      </c>
      <c r="E90" s="8" t="str">
        <f t="shared" si="11"/>
        <v/>
      </c>
      <c r="F90" s="8" t="str">
        <f>IF($G90="","",IFERROR(INDEX('MAESTRO DE UNIDADES'!$C$2:$C$208,MATCH($G90,'MAESTRO DE UNIDADES'!$A$2:$A$208,0)),""))</f>
        <v/>
      </c>
      <c r="G90" s="4"/>
      <c r="H90" s="8" t="str">
        <f>IF($G90="","",IFERROR(INDEX('MAESTRO DE UNIDADES'!$F$2:$F$208,MATCH($G90,'MAESTRO DE UNIDADES'!$A$2:$A$208,0)),""))</f>
        <v/>
      </c>
      <c r="I90" s="8" t="str">
        <f>IF($G90="","",IFERROR(INDEX('MAESTRO DE UNIDADES'!$B$2:$B$208,MATCH($G90,'MAESTRO DE UNIDADES'!$A$2:$A$208,0)),""))</f>
        <v/>
      </c>
      <c r="J90" s="4"/>
      <c r="K90" s="4"/>
      <c r="L90" s="4"/>
      <c r="M90" s="8" t="str">
        <f>IF($G90="","",IFERROR(INDEX('MAESTRO DE UNIDADES'!$H$2:$H$208,MATCH($G90,'MAESTRO DE UNIDADES'!$A$2:$A$208,0)),""))</f>
        <v/>
      </c>
      <c r="N90" s="17"/>
      <c r="O90" s="25"/>
      <c r="P90" s="26" t="str">
        <f t="shared" si="12"/>
        <v/>
      </c>
      <c r="Q90" s="27"/>
      <c r="R90" s="27"/>
      <c r="S90" s="28" t="str">
        <f>IF(OR($G90="",$Q90="",COUNTIF($G$2:G89,$G90)=0),"",$Q90-LOOKUP(2,1/($G$2:G89=$G90),$Q$2:Q89))</f>
        <v/>
      </c>
      <c r="T90" s="28" t="str">
        <f>IF(OR($G90="",$R90="",COUNTIF($G$2:G89,$G90)=0),"",$R90-LOOKUP(2,1/($G$2:G89=$G90),$R$2:R89))</f>
        <v/>
      </c>
      <c r="U90" s="11" t="str">
        <f t="shared" si="13"/>
        <v/>
      </c>
      <c r="V90" s="4"/>
      <c r="W90" s="4"/>
      <c r="X90" s="55"/>
      <c r="Y90" s="56" t="str">
        <f>IF($B90="","",IF((IF($G90="","Sin unidad | ","")&amp;IF($J90="","Sin responsable | ","")&amp;IF($K90="","Sin obra | ","")&amp;IF(AND($N90&lt;&gt;"",$G90&lt;&gt;"",$N90&gt;IFERROR(INDEX('MAESTRO DE UNIDADES'!$I$2:$I$208,MATCH($G90,'MAESTRO DE UNIDADES'!$A$2:$A$208,0)),0)),"Litros &gt; tanque | ","")&amp;IF(AND($W90&lt;&gt;"",COUNTIF($W$2:$W90,$W90)&gt;1),"Ticket duplicado | ","")&amp;IF(AND($G90&lt;&gt;"",IFERROR(INDEX('MAESTRO DE UNIDADES'!$L$2:$L$208,MATCH($G90,'MAESTRO DE UNIDADES'!$A$2:$A$208,0)),"")="Inactivo"),"Unidad inactiva | ","")&amp;IF(AND($AA90&lt;&gt;"",$N90=""),"Carga de batán sin litros | ","")&amp;IF(AND($AA90&lt;&gt;"",$AC90&lt;0),"Supera saldo batán | ",""))="","OK",LEFT((IF($G90="","Sin unidad | ","")&amp;IF($J90="","Sin responsable | ","")&amp;IF($K90="","Sin obra | ","")&amp;IF(AND($N90&lt;&gt;"",$G90&lt;&gt;"",$N90&gt;IFERROR(INDEX('MAESTRO DE UNIDADES'!$I$2:$I$208,MATCH($G90,'MAESTRO DE UNIDADES'!$A$2:$A$208,0)),0)),"Litros &gt; tanque | ","")&amp;IF(AND($W90&lt;&gt;"",COUNTIF($W$2:$W90,$W90)&gt;1),"Ticket duplicado | ","")&amp;IF(AND($G90&lt;&gt;"",IFERROR(INDEX('MAESTRO DE UNIDADES'!$L$2:$L$208,MATCH($G90,'MAESTRO DE UNIDADES'!$A$2:$A$208,0)),"")="Inactivo"),"Unidad inactiva | ","")&amp;IF(AND($AA90&lt;&gt;"",$N90=""),"Carga de batán sin litros | ","")&amp;IF(AND($AA90&lt;&gt;"",$AC90&lt;0),"Supera saldo batán | ","")),LEN((IF($G90="","Sin unidad | ","")&amp;IF($J90="","Sin responsable | ","")&amp;IF($K90="","Sin obra | ","")&amp;IF(AND($N90&lt;&gt;"",$G90&lt;&gt;"",$N90&gt;IFERROR(INDEX('MAESTRO DE UNIDADES'!$I$2:$I$208,MATCH($G90,'MAESTRO DE UNIDADES'!$A$2:$A$208,0)),0)),"Litros &gt; tanque | ","")&amp;IF(AND($W90&lt;&gt;"",COUNTIF($W$2:$W90,$W90)&gt;1),"Ticket duplicado | ","")&amp;IF(AND($G90&lt;&gt;"",IFERROR(INDEX('MAESTRO DE UNIDADES'!$L$2:$L$208,MATCH($G90,'MAESTRO DE UNIDADES'!$A$2:$A$208,0)),"")="Inactivo"),"Unidad inactiva | ","")&amp;IF(AND($AA90&lt;&gt;"",$N90=""),"Carga de batán sin litros | ","")&amp;IF(AND($AA90&lt;&gt;"",$AC90&lt;0),"Supera saldo batán | ","")))-3)))</f>
        <v/>
      </c>
      <c r="Z90" s="8" t="str">
        <f t="shared" si="14"/>
        <v/>
      </c>
      <c r="AA90" s="4"/>
      <c r="AB90" s="26" t="str">
        <f>IF($AA90="","",IFERROR(INDEX('CONTROL DE BATAN'!$J$2:$J$301,MATCH($AA90,'CONTROL DE BATAN'!$A$2:$A$301,0)),""))</f>
        <v/>
      </c>
      <c r="AC90" s="28" t="str">
        <f>IF($AA90="","",IFERROR(INDEX('CONTROL DE BATAN'!$I$2:$I$301,MATCH($AA90,'CONTROL DE BATAN'!$A$2:$A$301,0)),0)-SUMIFS($N$2:$N90,$AA$2:$AA90,$AA90))</f>
        <v/>
      </c>
    </row>
    <row r="91" spans="1:29" x14ac:dyDescent="0.25">
      <c r="A91" s="8" t="str">
        <f t="shared" si="8"/>
        <v/>
      </c>
      <c r="B91" s="9"/>
      <c r="C91" s="8" t="str">
        <f t="shared" si="9"/>
        <v/>
      </c>
      <c r="D91" s="10" t="str">
        <f t="shared" si="10"/>
        <v/>
      </c>
      <c r="E91" s="8" t="str">
        <f t="shared" si="11"/>
        <v/>
      </c>
      <c r="F91" s="8" t="str">
        <f>IF($G91="","",IFERROR(INDEX('MAESTRO DE UNIDADES'!$C$2:$C$208,MATCH($G91,'MAESTRO DE UNIDADES'!$A$2:$A$208,0)),""))</f>
        <v/>
      </c>
      <c r="G91" s="4"/>
      <c r="H91" s="8" t="str">
        <f>IF($G91="","",IFERROR(INDEX('MAESTRO DE UNIDADES'!$F$2:$F$208,MATCH($G91,'MAESTRO DE UNIDADES'!$A$2:$A$208,0)),""))</f>
        <v/>
      </c>
      <c r="I91" s="8" t="str">
        <f>IF($G91="","",IFERROR(INDEX('MAESTRO DE UNIDADES'!$B$2:$B$208,MATCH($G91,'MAESTRO DE UNIDADES'!$A$2:$A$208,0)),""))</f>
        <v/>
      </c>
      <c r="J91" s="4"/>
      <c r="K91" s="4"/>
      <c r="L91" s="4"/>
      <c r="M91" s="8" t="str">
        <f>IF($G91="","",IFERROR(INDEX('MAESTRO DE UNIDADES'!$H$2:$H$208,MATCH($G91,'MAESTRO DE UNIDADES'!$A$2:$A$208,0)),""))</f>
        <v/>
      </c>
      <c r="N91" s="17"/>
      <c r="O91" s="25"/>
      <c r="P91" s="26" t="str">
        <f t="shared" si="12"/>
        <v/>
      </c>
      <c r="Q91" s="27"/>
      <c r="R91" s="27"/>
      <c r="S91" s="28" t="str">
        <f>IF(OR($G91="",$Q91="",COUNTIF($G$2:G90,$G91)=0),"",$Q91-LOOKUP(2,1/($G$2:G90=$G91),$Q$2:Q90))</f>
        <v/>
      </c>
      <c r="T91" s="28" t="str">
        <f>IF(OR($G91="",$R91="",COUNTIF($G$2:G90,$G91)=0),"",$R91-LOOKUP(2,1/($G$2:G90=$G91),$R$2:R90))</f>
        <v/>
      </c>
      <c r="U91" s="11" t="str">
        <f t="shared" si="13"/>
        <v/>
      </c>
      <c r="V91" s="4"/>
      <c r="W91" s="4"/>
      <c r="X91" s="55"/>
      <c r="Y91" s="56" t="str">
        <f>IF($B91="","",IF((IF($G91="","Sin unidad | ","")&amp;IF($J91="","Sin responsable | ","")&amp;IF($K91="","Sin obra | ","")&amp;IF(AND($N91&lt;&gt;"",$G91&lt;&gt;"",$N91&gt;IFERROR(INDEX('MAESTRO DE UNIDADES'!$I$2:$I$208,MATCH($G91,'MAESTRO DE UNIDADES'!$A$2:$A$208,0)),0)),"Litros &gt; tanque | ","")&amp;IF(AND($W91&lt;&gt;"",COUNTIF($W$2:$W91,$W91)&gt;1),"Ticket duplicado | ","")&amp;IF(AND($G91&lt;&gt;"",IFERROR(INDEX('MAESTRO DE UNIDADES'!$L$2:$L$208,MATCH($G91,'MAESTRO DE UNIDADES'!$A$2:$A$208,0)),"")="Inactivo"),"Unidad inactiva | ","")&amp;IF(AND($AA91&lt;&gt;"",$N91=""),"Carga de batán sin litros | ","")&amp;IF(AND($AA91&lt;&gt;"",$AC91&lt;0),"Supera saldo batán | ",""))="","OK",LEFT((IF($G91="","Sin unidad | ","")&amp;IF($J91="","Sin responsable | ","")&amp;IF($K91="","Sin obra | ","")&amp;IF(AND($N91&lt;&gt;"",$G91&lt;&gt;"",$N91&gt;IFERROR(INDEX('MAESTRO DE UNIDADES'!$I$2:$I$208,MATCH($G91,'MAESTRO DE UNIDADES'!$A$2:$A$208,0)),0)),"Litros &gt; tanque | ","")&amp;IF(AND($W91&lt;&gt;"",COUNTIF($W$2:$W91,$W91)&gt;1),"Ticket duplicado | ","")&amp;IF(AND($G91&lt;&gt;"",IFERROR(INDEX('MAESTRO DE UNIDADES'!$L$2:$L$208,MATCH($G91,'MAESTRO DE UNIDADES'!$A$2:$A$208,0)),"")="Inactivo"),"Unidad inactiva | ","")&amp;IF(AND($AA91&lt;&gt;"",$N91=""),"Carga de batán sin litros | ","")&amp;IF(AND($AA91&lt;&gt;"",$AC91&lt;0),"Supera saldo batán | ","")),LEN((IF($G91="","Sin unidad | ","")&amp;IF($J91="","Sin responsable | ","")&amp;IF($K91="","Sin obra | ","")&amp;IF(AND($N91&lt;&gt;"",$G91&lt;&gt;"",$N91&gt;IFERROR(INDEX('MAESTRO DE UNIDADES'!$I$2:$I$208,MATCH($G91,'MAESTRO DE UNIDADES'!$A$2:$A$208,0)),0)),"Litros &gt; tanque | ","")&amp;IF(AND($W91&lt;&gt;"",COUNTIF($W$2:$W91,$W91)&gt;1),"Ticket duplicado | ","")&amp;IF(AND($G91&lt;&gt;"",IFERROR(INDEX('MAESTRO DE UNIDADES'!$L$2:$L$208,MATCH($G91,'MAESTRO DE UNIDADES'!$A$2:$A$208,0)),"")="Inactivo"),"Unidad inactiva | ","")&amp;IF(AND($AA91&lt;&gt;"",$N91=""),"Carga de batán sin litros | ","")&amp;IF(AND($AA91&lt;&gt;"",$AC91&lt;0),"Supera saldo batán | ","")))-3)))</f>
        <v/>
      </c>
      <c r="Z91" s="8" t="str">
        <f t="shared" si="14"/>
        <v/>
      </c>
      <c r="AA91" s="4"/>
      <c r="AB91" s="26" t="str">
        <f>IF($AA91="","",IFERROR(INDEX('CONTROL DE BATAN'!$J$2:$J$301,MATCH($AA91,'CONTROL DE BATAN'!$A$2:$A$301,0)),""))</f>
        <v/>
      </c>
      <c r="AC91" s="28" t="str">
        <f>IF($AA91="","",IFERROR(INDEX('CONTROL DE BATAN'!$I$2:$I$301,MATCH($AA91,'CONTROL DE BATAN'!$A$2:$A$301,0)),0)-SUMIFS($N$2:$N91,$AA$2:$AA91,$AA91))</f>
        <v/>
      </c>
    </row>
    <row r="92" spans="1:29" x14ac:dyDescent="0.25">
      <c r="A92" s="8" t="str">
        <f t="shared" si="8"/>
        <v/>
      </c>
      <c r="B92" s="9"/>
      <c r="C92" s="8" t="str">
        <f t="shared" si="9"/>
        <v/>
      </c>
      <c r="D92" s="10" t="str">
        <f t="shared" si="10"/>
        <v/>
      </c>
      <c r="E92" s="8" t="str">
        <f t="shared" si="11"/>
        <v/>
      </c>
      <c r="F92" s="8" t="str">
        <f>IF($G92="","",IFERROR(INDEX('MAESTRO DE UNIDADES'!$C$2:$C$208,MATCH($G92,'MAESTRO DE UNIDADES'!$A$2:$A$208,0)),""))</f>
        <v/>
      </c>
      <c r="G92" s="4"/>
      <c r="H92" s="8" t="str">
        <f>IF($G92="","",IFERROR(INDEX('MAESTRO DE UNIDADES'!$F$2:$F$208,MATCH($G92,'MAESTRO DE UNIDADES'!$A$2:$A$208,0)),""))</f>
        <v/>
      </c>
      <c r="I92" s="8" t="str">
        <f>IF($G92="","",IFERROR(INDEX('MAESTRO DE UNIDADES'!$B$2:$B$208,MATCH($G92,'MAESTRO DE UNIDADES'!$A$2:$A$208,0)),""))</f>
        <v/>
      </c>
      <c r="J92" s="4"/>
      <c r="K92" s="4"/>
      <c r="L92" s="4"/>
      <c r="M92" s="8" t="str">
        <f>IF($G92="","",IFERROR(INDEX('MAESTRO DE UNIDADES'!$H$2:$H$208,MATCH($G92,'MAESTRO DE UNIDADES'!$A$2:$A$208,0)),""))</f>
        <v/>
      </c>
      <c r="N92" s="17"/>
      <c r="O92" s="25"/>
      <c r="P92" s="26" t="str">
        <f t="shared" si="12"/>
        <v/>
      </c>
      <c r="Q92" s="27"/>
      <c r="R92" s="27"/>
      <c r="S92" s="28" t="str">
        <f>IF(OR($G92="",$Q92="",COUNTIF($G$2:G91,$G92)=0),"",$Q92-LOOKUP(2,1/($G$2:G91=$G92),$Q$2:Q91))</f>
        <v/>
      </c>
      <c r="T92" s="28" t="str">
        <f>IF(OR($G92="",$R92="",COUNTIF($G$2:G91,$G92)=0),"",$R92-LOOKUP(2,1/($G$2:G91=$G92),$R$2:R91))</f>
        <v/>
      </c>
      <c r="U92" s="11" t="str">
        <f t="shared" si="13"/>
        <v/>
      </c>
      <c r="V92" s="4"/>
      <c r="W92" s="4"/>
      <c r="X92" s="55"/>
      <c r="Y92" s="56" t="str">
        <f>IF($B92="","",IF((IF($G92="","Sin unidad | ","")&amp;IF($J92="","Sin responsable | ","")&amp;IF($K92="","Sin obra | ","")&amp;IF(AND($N92&lt;&gt;"",$G92&lt;&gt;"",$N92&gt;IFERROR(INDEX('MAESTRO DE UNIDADES'!$I$2:$I$208,MATCH($G92,'MAESTRO DE UNIDADES'!$A$2:$A$208,0)),0)),"Litros &gt; tanque | ","")&amp;IF(AND($W92&lt;&gt;"",COUNTIF($W$2:$W92,$W92)&gt;1),"Ticket duplicado | ","")&amp;IF(AND($G92&lt;&gt;"",IFERROR(INDEX('MAESTRO DE UNIDADES'!$L$2:$L$208,MATCH($G92,'MAESTRO DE UNIDADES'!$A$2:$A$208,0)),"")="Inactivo"),"Unidad inactiva | ","")&amp;IF(AND($AA92&lt;&gt;"",$N92=""),"Carga de batán sin litros | ","")&amp;IF(AND($AA92&lt;&gt;"",$AC92&lt;0),"Supera saldo batán | ",""))="","OK",LEFT((IF($G92="","Sin unidad | ","")&amp;IF($J92="","Sin responsable | ","")&amp;IF($K92="","Sin obra | ","")&amp;IF(AND($N92&lt;&gt;"",$G92&lt;&gt;"",$N92&gt;IFERROR(INDEX('MAESTRO DE UNIDADES'!$I$2:$I$208,MATCH($G92,'MAESTRO DE UNIDADES'!$A$2:$A$208,0)),0)),"Litros &gt; tanque | ","")&amp;IF(AND($W92&lt;&gt;"",COUNTIF($W$2:$W92,$W92)&gt;1),"Ticket duplicado | ","")&amp;IF(AND($G92&lt;&gt;"",IFERROR(INDEX('MAESTRO DE UNIDADES'!$L$2:$L$208,MATCH($G92,'MAESTRO DE UNIDADES'!$A$2:$A$208,0)),"")="Inactivo"),"Unidad inactiva | ","")&amp;IF(AND($AA92&lt;&gt;"",$N92=""),"Carga de batán sin litros | ","")&amp;IF(AND($AA92&lt;&gt;"",$AC92&lt;0),"Supera saldo batán | ","")),LEN((IF($G92="","Sin unidad | ","")&amp;IF($J92="","Sin responsable | ","")&amp;IF($K92="","Sin obra | ","")&amp;IF(AND($N92&lt;&gt;"",$G92&lt;&gt;"",$N92&gt;IFERROR(INDEX('MAESTRO DE UNIDADES'!$I$2:$I$208,MATCH($G92,'MAESTRO DE UNIDADES'!$A$2:$A$208,0)),0)),"Litros &gt; tanque | ","")&amp;IF(AND($W92&lt;&gt;"",COUNTIF($W$2:$W92,$W92)&gt;1),"Ticket duplicado | ","")&amp;IF(AND($G92&lt;&gt;"",IFERROR(INDEX('MAESTRO DE UNIDADES'!$L$2:$L$208,MATCH($G92,'MAESTRO DE UNIDADES'!$A$2:$A$208,0)),"")="Inactivo"),"Unidad inactiva | ","")&amp;IF(AND($AA92&lt;&gt;"",$N92=""),"Carga de batán sin litros | ","")&amp;IF(AND($AA92&lt;&gt;"",$AC92&lt;0),"Supera saldo batán | ","")))-3)))</f>
        <v/>
      </c>
      <c r="Z92" s="8" t="str">
        <f t="shared" si="14"/>
        <v/>
      </c>
      <c r="AA92" s="4"/>
      <c r="AB92" s="26" t="str">
        <f>IF($AA92="","",IFERROR(INDEX('CONTROL DE BATAN'!$J$2:$J$301,MATCH($AA92,'CONTROL DE BATAN'!$A$2:$A$301,0)),""))</f>
        <v/>
      </c>
      <c r="AC92" s="28" t="str">
        <f>IF($AA92="","",IFERROR(INDEX('CONTROL DE BATAN'!$I$2:$I$301,MATCH($AA92,'CONTROL DE BATAN'!$A$2:$A$301,0)),0)-SUMIFS($N$2:$N92,$AA$2:$AA92,$AA92))</f>
        <v/>
      </c>
    </row>
    <row r="93" spans="1:29" x14ac:dyDescent="0.25">
      <c r="A93" s="8" t="str">
        <f t="shared" si="8"/>
        <v/>
      </c>
      <c r="B93" s="9"/>
      <c r="C93" s="8" t="str">
        <f t="shared" si="9"/>
        <v/>
      </c>
      <c r="D93" s="10" t="str">
        <f t="shared" si="10"/>
        <v/>
      </c>
      <c r="E93" s="8" t="str">
        <f t="shared" si="11"/>
        <v/>
      </c>
      <c r="F93" s="8" t="str">
        <f>IF($G93="","",IFERROR(INDEX('MAESTRO DE UNIDADES'!$C$2:$C$208,MATCH($G93,'MAESTRO DE UNIDADES'!$A$2:$A$208,0)),""))</f>
        <v/>
      </c>
      <c r="G93" s="4"/>
      <c r="H93" s="8" t="str">
        <f>IF($G93="","",IFERROR(INDEX('MAESTRO DE UNIDADES'!$F$2:$F$208,MATCH($G93,'MAESTRO DE UNIDADES'!$A$2:$A$208,0)),""))</f>
        <v/>
      </c>
      <c r="I93" s="8" t="str">
        <f>IF($G93="","",IFERROR(INDEX('MAESTRO DE UNIDADES'!$B$2:$B$208,MATCH($G93,'MAESTRO DE UNIDADES'!$A$2:$A$208,0)),""))</f>
        <v/>
      </c>
      <c r="J93" s="4"/>
      <c r="K93" s="4"/>
      <c r="L93" s="4"/>
      <c r="M93" s="8" t="str">
        <f>IF($G93="","",IFERROR(INDEX('MAESTRO DE UNIDADES'!$H$2:$H$208,MATCH($G93,'MAESTRO DE UNIDADES'!$A$2:$A$208,0)),""))</f>
        <v/>
      </c>
      <c r="N93" s="17"/>
      <c r="O93" s="25"/>
      <c r="P93" s="26" t="str">
        <f t="shared" si="12"/>
        <v/>
      </c>
      <c r="Q93" s="27"/>
      <c r="R93" s="27"/>
      <c r="S93" s="28" t="str">
        <f>IF(OR($G93="",$Q93="",COUNTIF($G$2:G92,$G93)=0),"",$Q93-LOOKUP(2,1/($G$2:G92=$G93),$Q$2:Q92))</f>
        <v/>
      </c>
      <c r="T93" s="28" t="str">
        <f>IF(OR($G93="",$R93="",COUNTIF($G$2:G92,$G93)=0),"",$R93-LOOKUP(2,1/($G$2:G92=$G93),$R$2:R92))</f>
        <v/>
      </c>
      <c r="U93" s="11" t="str">
        <f t="shared" si="13"/>
        <v/>
      </c>
      <c r="V93" s="4"/>
      <c r="W93" s="4"/>
      <c r="X93" s="55"/>
      <c r="Y93" s="56" t="str">
        <f>IF($B93="","",IF((IF($G93="","Sin unidad | ","")&amp;IF($J93="","Sin responsable | ","")&amp;IF($K93="","Sin obra | ","")&amp;IF(AND($N93&lt;&gt;"",$G93&lt;&gt;"",$N93&gt;IFERROR(INDEX('MAESTRO DE UNIDADES'!$I$2:$I$208,MATCH($G93,'MAESTRO DE UNIDADES'!$A$2:$A$208,0)),0)),"Litros &gt; tanque | ","")&amp;IF(AND($W93&lt;&gt;"",COUNTIF($W$2:$W93,$W93)&gt;1),"Ticket duplicado | ","")&amp;IF(AND($G93&lt;&gt;"",IFERROR(INDEX('MAESTRO DE UNIDADES'!$L$2:$L$208,MATCH($G93,'MAESTRO DE UNIDADES'!$A$2:$A$208,0)),"")="Inactivo"),"Unidad inactiva | ","")&amp;IF(AND($AA93&lt;&gt;"",$N93=""),"Carga de batán sin litros | ","")&amp;IF(AND($AA93&lt;&gt;"",$AC93&lt;0),"Supera saldo batán | ",""))="","OK",LEFT((IF($G93="","Sin unidad | ","")&amp;IF($J93="","Sin responsable | ","")&amp;IF($K93="","Sin obra | ","")&amp;IF(AND($N93&lt;&gt;"",$G93&lt;&gt;"",$N93&gt;IFERROR(INDEX('MAESTRO DE UNIDADES'!$I$2:$I$208,MATCH($G93,'MAESTRO DE UNIDADES'!$A$2:$A$208,0)),0)),"Litros &gt; tanque | ","")&amp;IF(AND($W93&lt;&gt;"",COUNTIF($W$2:$W93,$W93)&gt;1),"Ticket duplicado | ","")&amp;IF(AND($G93&lt;&gt;"",IFERROR(INDEX('MAESTRO DE UNIDADES'!$L$2:$L$208,MATCH($G93,'MAESTRO DE UNIDADES'!$A$2:$A$208,0)),"")="Inactivo"),"Unidad inactiva | ","")&amp;IF(AND($AA93&lt;&gt;"",$N93=""),"Carga de batán sin litros | ","")&amp;IF(AND($AA93&lt;&gt;"",$AC93&lt;0),"Supera saldo batán | ","")),LEN((IF($G93="","Sin unidad | ","")&amp;IF($J93="","Sin responsable | ","")&amp;IF($K93="","Sin obra | ","")&amp;IF(AND($N93&lt;&gt;"",$G93&lt;&gt;"",$N93&gt;IFERROR(INDEX('MAESTRO DE UNIDADES'!$I$2:$I$208,MATCH($G93,'MAESTRO DE UNIDADES'!$A$2:$A$208,0)),0)),"Litros &gt; tanque | ","")&amp;IF(AND($W93&lt;&gt;"",COUNTIF($W$2:$W93,$W93)&gt;1),"Ticket duplicado | ","")&amp;IF(AND($G93&lt;&gt;"",IFERROR(INDEX('MAESTRO DE UNIDADES'!$L$2:$L$208,MATCH($G93,'MAESTRO DE UNIDADES'!$A$2:$A$208,0)),"")="Inactivo"),"Unidad inactiva | ","")&amp;IF(AND($AA93&lt;&gt;"",$N93=""),"Carga de batán sin litros | ","")&amp;IF(AND($AA93&lt;&gt;"",$AC93&lt;0),"Supera saldo batán | ","")))-3)))</f>
        <v/>
      </c>
      <c r="Z93" s="8" t="str">
        <f t="shared" si="14"/>
        <v/>
      </c>
      <c r="AA93" s="4"/>
      <c r="AB93" s="26" t="str">
        <f>IF($AA93="","",IFERROR(INDEX('CONTROL DE BATAN'!$J$2:$J$301,MATCH($AA93,'CONTROL DE BATAN'!$A$2:$A$301,0)),""))</f>
        <v/>
      </c>
      <c r="AC93" s="28" t="str">
        <f>IF($AA93="","",IFERROR(INDEX('CONTROL DE BATAN'!$I$2:$I$301,MATCH($AA93,'CONTROL DE BATAN'!$A$2:$A$301,0)),0)-SUMIFS($N$2:$N93,$AA$2:$AA93,$AA93))</f>
        <v/>
      </c>
    </row>
    <row r="94" spans="1:29" x14ac:dyDescent="0.25">
      <c r="A94" s="8" t="str">
        <f t="shared" si="8"/>
        <v/>
      </c>
      <c r="B94" s="9"/>
      <c r="C94" s="8" t="str">
        <f t="shared" si="9"/>
        <v/>
      </c>
      <c r="D94" s="10" t="str">
        <f t="shared" si="10"/>
        <v/>
      </c>
      <c r="E94" s="8" t="str">
        <f t="shared" si="11"/>
        <v/>
      </c>
      <c r="F94" s="8" t="str">
        <f>IF($G94="","",IFERROR(INDEX('MAESTRO DE UNIDADES'!$C$2:$C$208,MATCH($G94,'MAESTRO DE UNIDADES'!$A$2:$A$208,0)),""))</f>
        <v/>
      </c>
      <c r="G94" s="4"/>
      <c r="H94" s="8" t="str">
        <f>IF($G94="","",IFERROR(INDEX('MAESTRO DE UNIDADES'!$F$2:$F$208,MATCH($G94,'MAESTRO DE UNIDADES'!$A$2:$A$208,0)),""))</f>
        <v/>
      </c>
      <c r="I94" s="8" t="str">
        <f>IF($G94="","",IFERROR(INDEX('MAESTRO DE UNIDADES'!$B$2:$B$208,MATCH($G94,'MAESTRO DE UNIDADES'!$A$2:$A$208,0)),""))</f>
        <v/>
      </c>
      <c r="J94" s="4"/>
      <c r="K94" s="4"/>
      <c r="L94" s="4"/>
      <c r="M94" s="8" t="str">
        <f>IF($G94="","",IFERROR(INDEX('MAESTRO DE UNIDADES'!$H$2:$H$208,MATCH($G94,'MAESTRO DE UNIDADES'!$A$2:$A$208,0)),""))</f>
        <v/>
      </c>
      <c r="N94" s="17"/>
      <c r="O94" s="25"/>
      <c r="P94" s="26" t="str">
        <f t="shared" si="12"/>
        <v/>
      </c>
      <c r="Q94" s="27"/>
      <c r="R94" s="27"/>
      <c r="S94" s="28" t="str">
        <f>IF(OR($G94="",$Q94="",COUNTIF($G$2:G93,$G94)=0),"",$Q94-LOOKUP(2,1/($G$2:G93=$G94),$Q$2:Q93))</f>
        <v/>
      </c>
      <c r="T94" s="28" t="str">
        <f>IF(OR($G94="",$R94="",COUNTIF($G$2:G93,$G94)=0),"",$R94-LOOKUP(2,1/($G$2:G93=$G94),$R$2:R93))</f>
        <v/>
      </c>
      <c r="U94" s="11" t="str">
        <f t="shared" si="13"/>
        <v/>
      </c>
      <c r="V94" s="4"/>
      <c r="W94" s="4"/>
      <c r="X94" s="55"/>
      <c r="Y94" s="56" t="str">
        <f>IF($B94="","",IF((IF($G94="","Sin unidad | ","")&amp;IF($J94="","Sin responsable | ","")&amp;IF($K94="","Sin obra | ","")&amp;IF(AND($N94&lt;&gt;"",$G94&lt;&gt;"",$N94&gt;IFERROR(INDEX('MAESTRO DE UNIDADES'!$I$2:$I$208,MATCH($G94,'MAESTRO DE UNIDADES'!$A$2:$A$208,0)),0)),"Litros &gt; tanque | ","")&amp;IF(AND($W94&lt;&gt;"",COUNTIF($W$2:$W94,$W94)&gt;1),"Ticket duplicado | ","")&amp;IF(AND($G94&lt;&gt;"",IFERROR(INDEX('MAESTRO DE UNIDADES'!$L$2:$L$208,MATCH($G94,'MAESTRO DE UNIDADES'!$A$2:$A$208,0)),"")="Inactivo"),"Unidad inactiva | ","")&amp;IF(AND($AA94&lt;&gt;"",$N94=""),"Carga de batán sin litros | ","")&amp;IF(AND($AA94&lt;&gt;"",$AC94&lt;0),"Supera saldo batán | ",""))="","OK",LEFT((IF($G94="","Sin unidad | ","")&amp;IF($J94="","Sin responsable | ","")&amp;IF($K94="","Sin obra | ","")&amp;IF(AND($N94&lt;&gt;"",$G94&lt;&gt;"",$N94&gt;IFERROR(INDEX('MAESTRO DE UNIDADES'!$I$2:$I$208,MATCH($G94,'MAESTRO DE UNIDADES'!$A$2:$A$208,0)),0)),"Litros &gt; tanque | ","")&amp;IF(AND($W94&lt;&gt;"",COUNTIF($W$2:$W94,$W94)&gt;1),"Ticket duplicado | ","")&amp;IF(AND($G94&lt;&gt;"",IFERROR(INDEX('MAESTRO DE UNIDADES'!$L$2:$L$208,MATCH($G94,'MAESTRO DE UNIDADES'!$A$2:$A$208,0)),"")="Inactivo"),"Unidad inactiva | ","")&amp;IF(AND($AA94&lt;&gt;"",$N94=""),"Carga de batán sin litros | ","")&amp;IF(AND($AA94&lt;&gt;"",$AC94&lt;0),"Supera saldo batán | ","")),LEN((IF($G94="","Sin unidad | ","")&amp;IF($J94="","Sin responsable | ","")&amp;IF($K94="","Sin obra | ","")&amp;IF(AND($N94&lt;&gt;"",$G94&lt;&gt;"",$N94&gt;IFERROR(INDEX('MAESTRO DE UNIDADES'!$I$2:$I$208,MATCH($G94,'MAESTRO DE UNIDADES'!$A$2:$A$208,0)),0)),"Litros &gt; tanque | ","")&amp;IF(AND($W94&lt;&gt;"",COUNTIF($W$2:$W94,$W94)&gt;1),"Ticket duplicado | ","")&amp;IF(AND($G94&lt;&gt;"",IFERROR(INDEX('MAESTRO DE UNIDADES'!$L$2:$L$208,MATCH($G94,'MAESTRO DE UNIDADES'!$A$2:$A$208,0)),"")="Inactivo"),"Unidad inactiva | ","")&amp;IF(AND($AA94&lt;&gt;"",$N94=""),"Carga de batán sin litros | ","")&amp;IF(AND($AA94&lt;&gt;"",$AC94&lt;0),"Supera saldo batán | ","")))-3)))</f>
        <v/>
      </c>
      <c r="Z94" s="8" t="str">
        <f t="shared" si="14"/>
        <v/>
      </c>
      <c r="AA94" s="4"/>
      <c r="AB94" s="26" t="str">
        <f>IF($AA94="","",IFERROR(INDEX('CONTROL DE BATAN'!$J$2:$J$301,MATCH($AA94,'CONTROL DE BATAN'!$A$2:$A$301,0)),""))</f>
        <v/>
      </c>
      <c r="AC94" s="28" t="str">
        <f>IF($AA94="","",IFERROR(INDEX('CONTROL DE BATAN'!$I$2:$I$301,MATCH($AA94,'CONTROL DE BATAN'!$A$2:$A$301,0)),0)-SUMIFS($N$2:$N94,$AA$2:$AA94,$AA94))</f>
        <v/>
      </c>
    </row>
    <row r="95" spans="1:29" x14ac:dyDescent="0.25">
      <c r="A95" s="8" t="str">
        <f t="shared" si="8"/>
        <v/>
      </c>
      <c r="B95" s="9"/>
      <c r="C95" s="8" t="str">
        <f t="shared" si="9"/>
        <v/>
      </c>
      <c r="D95" s="10" t="str">
        <f t="shared" si="10"/>
        <v/>
      </c>
      <c r="E95" s="8" t="str">
        <f t="shared" si="11"/>
        <v/>
      </c>
      <c r="F95" s="8" t="str">
        <f>IF($G95="","",IFERROR(INDEX('MAESTRO DE UNIDADES'!$C$2:$C$208,MATCH($G95,'MAESTRO DE UNIDADES'!$A$2:$A$208,0)),""))</f>
        <v/>
      </c>
      <c r="G95" s="4"/>
      <c r="H95" s="8" t="str">
        <f>IF($G95="","",IFERROR(INDEX('MAESTRO DE UNIDADES'!$F$2:$F$208,MATCH($G95,'MAESTRO DE UNIDADES'!$A$2:$A$208,0)),""))</f>
        <v/>
      </c>
      <c r="I95" s="8" t="str">
        <f>IF($G95="","",IFERROR(INDEX('MAESTRO DE UNIDADES'!$B$2:$B$208,MATCH($G95,'MAESTRO DE UNIDADES'!$A$2:$A$208,0)),""))</f>
        <v/>
      </c>
      <c r="J95" s="4"/>
      <c r="K95" s="4"/>
      <c r="L95" s="4"/>
      <c r="M95" s="8" t="str">
        <f>IF($G95="","",IFERROR(INDEX('MAESTRO DE UNIDADES'!$H$2:$H$208,MATCH($G95,'MAESTRO DE UNIDADES'!$A$2:$A$208,0)),""))</f>
        <v/>
      </c>
      <c r="N95" s="17"/>
      <c r="O95" s="25"/>
      <c r="P95" s="26" t="str">
        <f t="shared" si="12"/>
        <v/>
      </c>
      <c r="Q95" s="27"/>
      <c r="R95" s="27"/>
      <c r="S95" s="28" t="str">
        <f>IF(OR($G95="",$Q95="",COUNTIF($G$2:G94,$G95)=0),"",$Q95-LOOKUP(2,1/($G$2:G94=$G95),$Q$2:Q94))</f>
        <v/>
      </c>
      <c r="T95" s="28" t="str">
        <f>IF(OR($G95="",$R95="",COUNTIF($G$2:G94,$G95)=0),"",$R95-LOOKUP(2,1/($G$2:G94=$G95),$R$2:R94))</f>
        <v/>
      </c>
      <c r="U95" s="11" t="str">
        <f t="shared" si="13"/>
        <v/>
      </c>
      <c r="V95" s="4"/>
      <c r="W95" s="4"/>
      <c r="X95" s="55"/>
      <c r="Y95" s="56" t="str">
        <f>IF($B95="","",IF((IF($G95="","Sin unidad | ","")&amp;IF($J95="","Sin responsable | ","")&amp;IF($K95="","Sin obra | ","")&amp;IF(AND($N95&lt;&gt;"",$G95&lt;&gt;"",$N95&gt;IFERROR(INDEX('MAESTRO DE UNIDADES'!$I$2:$I$208,MATCH($G95,'MAESTRO DE UNIDADES'!$A$2:$A$208,0)),0)),"Litros &gt; tanque | ","")&amp;IF(AND($W95&lt;&gt;"",COUNTIF($W$2:$W95,$W95)&gt;1),"Ticket duplicado | ","")&amp;IF(AND($G95&lt;&gt;"",IFERROR(INDEX('MAESTRO DE UNIDADES'!$L$2:$L$208,MATCH($G95,'MAESTRO DE UNIDADES'!$A$2:$A$208,0)),"")="Inactivo"),"Unidad inactiva | ","")&amp;IF(AND($AA95&lt;&gt;"",$N95=""),"Carga de batán sin litros | ","")&amp;IF(AND($AA95&lt;&gt;"",$AC95&lt;0),"Supera saldo batán | ",""))="","OK",LEFT((IF($G95="","Sin unidad | ","")&amp;IF($J95="","Sin responsable | ","")&amp;IF($K95="","Sin obra | ","")&amp;IF(AND($N95&lt;&gt;"",$G95&lt;&gt;"",$N95&gt;IFERROR(INDEX('MAESTRO DE UNIDADES'!$I$2:$I$208,MATCH($G95,'MAESTRO DE UNIDADES'!$A$2:$A$208,0)),0)),"Litros &gt; tanque | ","")&amp;IF(AND($W95&lt;&gt;"",COUNTIF($W$2:$W95,$W95)&gt;1),"Ticket duplicado | ","")&amp;IF(AND($G95&lt;&gt;"",IFERROR(INDEX('MAESTRO DE UNIDADES'!$L$2:$L$208,MATCH($G95,'MAESTRO DE UNIDADES'!$A$2:$A$208,0)),"")="Inactivo"),"Unidad inactiva | ","")&amp;IF(AND($AA95&lt;&gt;"",$N95=""),"Carga de batán sin litros | ","")&amp;IF(AND($AA95&lt;&gt;"",$AC95&lt;0),"Supera saldo batán | ","")),LEN((IF($G95="","Sin unidad | ","")&amp;IF($J95="","Sin responsable | ","")&amp;IF($K95="","Sin obra | ","")&amp;IF(AND($N95&lt;&gt;"",$G95&lt;&gt;"",$N95&gt;IFERROR(INDEX('MAESTRO DE UNIDADES'!$I$2:$I$208,MATCH($G95,'MAESTRO DE UNIDADES'!$A$2:$A$208,0)),0)),"Litros &gt; tanque | ","")&amp;IF(AND($W95&lt;&gt;"",COUNTIF($W$2:$W95,$W95)&gt;1),"Ticket duplicado | ","")&amp;IF(AND($G95&lt;&gt;"",IFERROR(INDEX('MAESTRO DE UNIDADES'!$L$2:$L$208,MATCH($G95,'MAESTRO DE UNIDADES'!$A$2:$A$208,0)),"")="Inactivo"),"Unidad inactiva | ","")&amp;IF(AND($AA95&lt;&gt;"",$N95=""),"Carga de batán sin litros | ","")&amp;IF(AND($AA95&lt;&gt;"",$AC95&lt;0),"Supera saldo batán | ","")))-3)))</f>
        <v/>
      </c>
      <c r="Z95" s="8" t="str">
        <f t="shared" si="14"/>
        <v/>
      </c>
      <c r="AA95" s="4"/>
      <c r="AB95" s="26" t="str">
        <f>IF($AA95="","",IFERROR(INDEX('CONTROL DE BATAN'!$J$2:$J$301,MATCH($AA95,'CONTROL DE BATAN'!$A$2:$A$301,0)),""))</f>
        <v/>
      </c>
      <c r="AC95" s="28" t="str">
        <f>IF($AA95="","",IFERROR(INDEX('CONTROL DE BATAN'!$I$2:$I$301,MATCH($AA95,'CONTROL DE BATAN'!$A$2:$A$301,0)),0)-SUMIFS($N$2:$N95,$AA$2:$AA95,$AA95))</f>
        <v/>
      </c>
    </row>
    <row r="96" spans="1:29" x14ac:dyDescent="0.25">
      <c r="A96" s="8" t="str">
        <f t="shared" si="8"/>
        <v/>
      </c>
      <c r="B96" s="9"/>
      <c r="C96" s="8" t="str">
        <f t="shared" si="9"/>
        <v/>
      </c>
      <c r="D96" s="10" t="str">
        <f t="shared" si="10"/>
        <v/>
      </c>
      <c r="E96" s="8" t="str">
        <f t="shared" si="11"/>
        <v/>
      </c>
      <c r="F96" s="8" t="str">
        <f>IF($G96="","",IFERROR(INDEX('MAESTRO DE UNIDADES'!$C$2:$C$208,MATCH($G96,'MAESTRO DE UNIDADES'!$A$2:$A$208,0)),""))</f>
        <v/>
      </c>
      <c r="G96" s="4"/>
      <c r="H96" s="8" t="str">
        <f>IF($G96="","",IFERROR(INDEX('MAESTRO DE UNIDADES'!$F$2:$F$208,MATCH($G96,'MAESTRO DE UNIDADES'!$A$2:$A$208,0)),""))</f>
        <v/>
      </c>
      <c r="I96" s="8" t="str">
        <f>IF($G96="","",IFERROR(INDEX('MAESTRO DE UNIDADES'!$B$2:$B$208,MATCH($G96,'MAESTRO DE UNIDADES'!$A$2:$A$208,0)),""))</f>
        <v/>
      </c>
      <c r="J96" s="4"/>
      <c r="K96" s="4"/>
      <c r="L96" s="4"/>
      <c r="M96" s="8" t="str">
        <f>IF($G96="","",IFERROR(INDEX('MAESTRO DE UNIDADES'!$H$2:$H$208,MATCH($G96,'MAESTRO DE UNIDADES'!$A$2:$A$208,0)),""))</f>
        <v/>
      </c>
      <c r="N96" s="17"/>
      <c r="O96" s="25"/>
      <c r="P96" s="26" t="str">
        <f t="shared" si="12"/>
        <v/>
      </c>
      <c r="Q96" s="27"/>
      <c r="R96" s="27"/>
      <c r="S96" s="28" t="str">
        <f>IF(OR($G96="",$Q96="",COUNTIF($G$2:G95,$G96)=0),"",$Q96-LOOKUP(2,1/($G$2:G95=$G96),$Q$2:Q95))</f>
        <v/>
      </c>
      <c r="T96" s="28" t="str">
        <f>IF(OR($G96="",$R96="",COUNTIF($G$2:G95,$G96)=0),"",$R96-LOOKUP(2,1/($G$2:G95=$G96),$R$2:R95))</f>
        <v/>
      </c>
      <c r="U96" s="11" t="str">
        <f t="shared" si="13"/>
        <v/>
      </c>
      <c r="V96" s="4"/>
      <c r="W96" s="4"/>
      <c r="X96" s="55"/>
      <c r="Y96" s="56" t="str">
        <f>IF($B96="","",IF((IF($G96="","Sin unidad | ","")&amp;IF($J96="","Sin responsable | ","")&amp;IF($K96="","Sin obra | ","")&amp;IF(AND($N96&lt;&gt;"",$G96&lt;&gt;"",$N96&gt;IFERROR(INDEX('MAESTRO DE UNIDADES'!$I$2:$I$208,MATCH($G96,'MAESTRO DE UNIDADES'!$A$2:$A$208,0)),0)),"Litros &gt; tanque | ","")&amp;IF(AND($W96&lt;&gt;"",COUNTIF($W$2:$W96,$W96)&gt;1),"Ticket duplicado | ","")&amp;IF(AND($G96&lt;&gt;"",IFERROR(INDEX('MAESTRO DE UNIDADES'!$L$2:$L$208,MATCH($G96,'MAESTRO DE UNIDADES'!$A$2:$A$208,0)),"")="Inactivo"),"Unidad inactiva | ","")&amp;IF(AND($AA96&lt;&gt;"",$N96=""),"Carga de batán sin litros | ","")&amp;IF(AND($AA96&lt;&gt;"",$AC96&lt;0),"Supera saldo batán | ",""))="","OK",LEFT((IF($G96="","Sin unidad | ","")&amp;IF($J96="","Sin responsable | ","")&amp;IF($K96="","Sin obra | ","")&amp;IF(AND($N96&lt;&gt;"",$G96&lt;&gt;"",$N96&gt;IFERROR(INDEX('MAESTRO DE UNIDADES'!$I$2:$I$208,MATCH($G96,'MAESTRO DE UNIDADES'!$A$2:$A$208,0)),0)),"Litros &gt; tanque | ","")&amp;IF(AND($W96&lt;&gt;"",COUNTIF($W$2:$W96,$W96)&gt;1),"Ticket duplicado | ","")&amp;IF(AND($G96&lt;&gt;"",IFERROR(INDEX('MAESTRO DE UNIDADES'!$L$2:$L$208,MATCH($G96,'MAESTRO DE UNIDADES'!$A$2:$A$208,0)),"")="Inactivo"),"Unidad inactiva | ","")&amp;IF(AND($AA96&lt;&gt;"",$N96=""),"Carga de batán sin litros | ","")&amp;IF(AND($AA96&lt;&gt;"",$AC96&lt;0),"Supera saldo batán | ","")),LEN((IF($G96="","Sin unidad | ","")&amp;IF($J96="","Sin responsable | ","")&amp;IF($K96="","Sin obra | ","")&amp;IF(AND($N96&lt;&gt;"",$G96&lt;&gt;"",$N96&gt;IFERROR(INDEX('MAESTRO DE UNIDADES'!$I$2:$I$208,MATCH($G96,'MAESTRO DE UNIDADES'!$A$2:$A$208,0)),0)),"Litros &gt; tanque | ","")&amp;IF(AND($W96&lt;&gt;"",COUNTIF($W$2:$W96,$W96)&gt;1),"Ticket duplicado | ","")&amp;IF(AND($G96&lt;&gt;"",IFERROR(INDEX('MAESTRO DE UNIDADES'!$L$2:$L$208,MATCH($G96,'MAESTRO DE UNIDADES'!$A$2:$A$208,0)),"")="Inactivo"),"Unidad inactiva | ","")&amp;IF(AND($AA96&lt;&gt;"",$N96=""),"Carga de batán sin litros | ","")&amp;IF(AND($AA96&lt;&gt;"",$AC96&lt;0),"Supera saldo batán | ","")))-3)))</f>
        <v/>
      </c>
      <c r="Z96" s="8" t="str">
        <f t="shared" si="14"/>
        <v/>
      </c>
      <c r="AA96" s="4"/>
      <c r="AB96" s="26" t="str">
        <f>IF($AA96="","",IFERROR(INDEX('CONTROL DE BATAN'!$J$2:$J$301,MATCH($AA96,'CONTROL DE BATAN'!$A$2:$A$301,0)),""))</f>
        <v/>
      </c>
      <c r="AC96" s="28" t="str">
        <f>IF($AA96="","",IFERROR(INDEX('CONTROL DE BATAN'!$I$2:$I$301,MATCH($AA96,'CONTROL DE BATAN'!$A$2:$A$301,0)),0)-SUMIFS($N$2:$N96,$AA$2:$AA96,$AA96))</f>
        <v/>
      </c>
    </row>
    <row r="97" spans="1:29" x14ac:dyDescent="0.25">
      <c r="A97" s="8" t="str">
        <f t="shared" si="8"/>
        <v/>
      </c>
      <c r="B97" s="9"/>
      <c r="C97" s="8" t="str">
        <f t="shared" si="9"/>
        <v/>
      </c>
      <c r="D97" s="10" t="str">
        <f t="shared" si="10"/>
        <v/>
      </c>
      <c r="E97" s="8" t="str">
        <f t="shared" si="11"/>
        <v/>
      </c>
      <c r="F97" s="8" t="str">
        <f>IF($G97="","",IFERROR(INDEX('MAESTRO DE UNIDADES'!$C$2:$C$208,MATCH($G97,'MAESTRO DE UNIDADES'!$A$2:$A$208,0)),""))</f>
        <v/>
      </c>
      <c r="G97" s="4"/>
      <c r="H97" s="8" t="str">
        <f>IF($G97="","",IFERROR(INDEX('MAESTRO DE UNIDADES'!$F$2:$F$208,MATCH($G97,'MAESTRO DE UNIDADES'!$A$2:$A$208,0)),""))</f>
        <v/>
      </c>
      <c r="I97" s="8" t="str">
        <f>IF($G97="","",IFERROR(INDEX('MAESTRO DE UNIDADES'!$B$2:$B$208,MATCH($G97,'MAESTRO DE UNIDADES'!$A$2:$A$208,0)),""))</f>
        <v/>
      </c>
      <c r="J97" s="4"/>
      <c r="K97" s="4"/>
      <c r="L97" s="4"/>
      <c r="M97" s="8" t="str">
        <f>IF($G97="","",IFERROR(INDEX('MAESTRO DE UNIDADES'!$H$2:$H$208,MATCH($G97,'MAESTRO DE UNIDADES'!$A$2:$A$208,0)),""))</f>
        <v/>
      </c>
      <c r="N97" s="17"/>
      <c r="O97" s="25"/>
      <c r="P97" s="26" t="str">
        <f t="shared" si="12"/>
        <v/>
      </c>
      <c r="Q97" s="27"/>
      <c r="R97" s="27"/>
      <c r="S97" s="28" t="str">
        <f>IF(OR($G97="",$Q97="",COUNTIF($G$2:G96,$G97)=0),"",$Q97-LOOKUP(2,1/($G$2:G96=$G97),$Q$2:Q96))</f>
        <v/>
      </c>
      <c r="T97" s="28" t="str">
        <f>IF(OR($G97="",$R97="",COUNTIF($G$2:G96,$G97)=0),"",$R97-LOOKUP(2,1/($G$2:G96=$G97),$R$2:R96))</f>
        <v/>
      </c>
      <c r="U97" s="11" t="str">
        <f t="shared" si="13"/>
        <v/>
      </c>
      <c r="V97" s="4"/>
      <c r="W97" s="4"/>
      <c r="X97" s="55"/>
      <c r="Y97" s="56" t="str">
        <f>IF($B97="","",IF((IF($G97="","Sin unidad | ","")&amp;IF($J97="","Sin responsable | ","")&amp;IF($K97="","Sin obra | ","")&amp;IF(AND($N97&lt;&gt;"",$G97&lt;&gt;"",$N97&gt;IFERROR(INDEX('MAESTRO DE UNIDADES'!$I$2:$I$208,MATCH($G97,'MAESTRO DE UNIDADES'!$A$2:$A$208,0)),0)),"Litros &gt; tanque | ","")&amp;IF(AND($W97&lt;&gt;"",COUNTIF($W$2:$W97,$W97)&gt;1),"Ticket duplicado | ","")&amp;IF(AND($G97&lt;&gt;"",IFERROR(INDEX('MAESTRO DE UNIDADES'!$L$2:$L$208,MATCH($G97,'MAESTRO DE UNIDADES'!$A$2:$A$208,0)),"")="Inactivo"),"Unidad inactiva | ","")&amp;IF(AND($AA97&lt;&gt;"",$N97=""),"Carga de batán sin litros | ","")&amp;IF(AND($AA97&lt;&gt;"",$AC97&lt;0),"Supera saldo batán | ",""))="","OK",LEFT((IF($G97="","Sin unidad | ","")&amp;IF($J97="","Sin responsable | ","")&amp;IF($K97="","Sin obra | ","")&amp;IF(AND($N97&lt;&gt;"",$G97&lt;&gt;"",$N97&gt;IFERROR(INDEX('MAESTRO DE UNIDADES'!$I$2:$I$208,MATCH($G97,'MAESTRO DE UNIDADES'!$A$2:$A$208,0)),0)),"Litros &gt; tanque | ","")&amp;IF(AND($W97&lt;&gt;"",COUNTIF($W$2:$W97,$W97)&gt;1),"Ticket duplicado | ","")&amp;IF(AND($G97&lt;&gt;"",IFERROR(INDEX('MAESTRO DE UNIDADES'!$L$2:$L$208,MATCH($G97,'MAESTRO DE UNIDADES'!$A$2:$A$208,0)),"")="Inactivo"),"Unidad inactiva | ","")&amp;IF(AND($AA97&lt;&gt;"",$N97=""),"Carga de batán sin litros | ","")&amp;IF(AND($AA97&lt;&gt;"",$AC97&lt;0),"Supera saldo batán | ","")),LEN((IF($G97="","Sin unidad | ","")&amp;IF($J97="","Sin responsable | ","")&amp;IF($K97="","Sin obra | ","")&amp;IF(AND($N97&lt;&gt;"",$G97&lt;&gt;"",$N97&gt;IFERROR(INDEX('MAESTRO DE UNIDADES'!$I$2:$I$208,MATCH($G97,'MAESTRO DE UNIDADES'!$A$2:$A$208,0)),0)),"Litros &gt; tanque | ","")&amp;IF(AND($W97&lt;&gt;"",COUNTIF($W$2:$W97,$W97)&gt;1),"Ticket duplicado | ","")&amp;IF(AND($G97&lt;&gt;"",IFERROR(INDEX('MAESTRO DE UNIDADES'!$L$2:$L$208,MATCH($G97,'MAESTRO DE UNIDADES'!$A$2:$A$208,0)),"")="Inactivo"),"Unidad inactiva | ","")&amp;IF(AND($AA97&lt;&gt;"",$N97=""),"Carga de batán sin litros | ","")&amp;IF(AND($AA97&lt;&gt;"",$AC97&lt;0),"Supera saldo batán | ","")))-3)))</f>
        <v/>
      </c>
      <c r="Z97" s="8" t="str">
        <f t="shared" si="14"/>
        <v/>
      </c>
      <c r="AA97" s="4"/>
      <c r="AB97" s="26" t="str">
        <f>IF($AA97="","",IFERROR(INDEX('CONTROL DE BATAN'!$J$2:$J$301,MATCH($AA97,'CONTROL DE BATAN'!$A$2:$A$301,0)),""))</f>
        <v/>
      </c>
      <c r="AC97" s="28" t="str">
        <f>IF($AA97="","",IFERROR(INDEX('CONTROL DE BATAN'!$I$2:$I$301,MATCH($AA97,'CONTROL DE BATAN'!$A$2:$A$301,0)),0)-SUMIFS($N$2:$N97,$AA$2:$AA97,$AA97))</f>
        <v/>
      </c>
    </row>
    <row r="98" spans="1:29" x14ac:dyDescent="0.25">
      <c r="A98" s="8" t="str">
        <f t="shared" si="8"/>
        <v/>
      </c>
      <c r="B98" s="9"/>
      <c r="C98" s="8" t="str">
        <f t="shared" si="9"/>
        <v/>
      </c>
      <c r="D98" s="10" t="str">
        <f t="shared" si="10"/>
        <v/>
      </c>
      <c r="E98" s="8" t="str">
        <f t="shared" si="11"/>
        <v/>
      </c>
      <c r="F98" s="8" t="str">
        <f>IF($G98="","",IFERROR(INDEX('MAESTRO DE UNIDADES'!$C$2:$C$208,MATCH($G98,'MAESTRO DE UNIDADES'!$A$2:$A$208,0)),""))</f>
        <v/>
      </c>
      <c r="G98" s="4"/>
      <c r="H98" s="8" t="str">
        <f>IF($G98="","",IFERROR(INDEX('MAESTRO DE UNIDADES'!$F$2:$F$208,MATCH($G98,'MAESTRO DE UNIDADES'!$A$2:$A$208,0)),""))</f>
        <v/>
      </c>
      <c r="I98" s="8" t="str">
        <f>IF($G98="","",IFERROR(INDEX('MAESTRO DE UNIDADES'!$B$2:$B$208,MATCH($G98,'MAESTRO DE UNIDADES'!$A$2:$A$208,0)),""))</f>
        <v/>
      </c>
      <c r="J98" s="4"/>
      <c r="K98" s="4"/>
      <c r="L98" s="4"/>
      <c r="M98" s="8" t="str">
        <f>IF($G98="","",IFERROR(INDEX('MAESTRO DE UNIDADES'!$H$2:$H$208,MATCH($G98,'MAESTRO DE UNIDADES'!$A$2:$A$208,0)),""))</f>
        <v/>
      </c>
      <c r="N98" s="17"/>
      <c r="O98" s="25"/>
      <c r="P98" s="26" t="str">
        <f t="shared" si="12"/>
        <v/>
      </c>
      <c r="Q98" s="27"/>
      <c r="R98" s="27"/>
      <c r="S98" s="28" t="str">
        <f>IF(OR($G98="",$Q98="",COUNTIF($G$2:G97,$G98)=0),"",$Q98-LOOKUP(2,1/($G$2:G97=$G98),$Q$2:Q97))</f>
        <v/>
      </c>
      <c r="T98" s="28" t="str">
        <f>IF(OR($G98="",$R98="",COUNTIF($G$2:G97,$G98)=0),"",$R98-LOOKUP(2,1/($G$2:G97=$G98),$R$2:R97))</f>
        <v/>
      </c>
      <c r="U98" s="11" t="str">
        <f t="shared" si="13"/>
        <v/>
      </c>
      <c r="V98" s="4"/>
      <c r="W98" s="4"/>
      <c r="X98" s="55"/>
      <c r="Y98" s="56" t="str">
        <f>IF($B98="","",IF((IF($G98="","Sin unidad | ","")&amp;IF($J98="","Sin responsable | ","")&amp;IF($K98="","Sin obra | ","")&amp;IF(AND($N98&lt;&gt;"",$G98&lt;&gt;"",$N98&gt;IFERROR(INDEX('MAESTRO DE UNIDADES'!$I$2:$I$208,MATCH($G98,'MAESTRO DE UNIDADES'!$A$2:$A$208,0)),0)),"Litros &gt; tanque | ","")&amp;IF(AND($W98&lt;&gt;"",COUNTIF($W$2:$W98,$W98)&gt;1),"Ticket duplicado | ","")&amp;IF(AND($G98&lt;&gt;"",IFERROR(INDEX('MAESTRO DE UNIDADES'!$L$2:$L$208,MATCH($G98,'MAESTRO DE UNIDADES'!$A$2:$A$208,0)),"")="Inactivo"),"Unidad inactiva | ","")&amp;IF(AND($AA98&lt;&gt;"",$N98=""),"Carga de batán sin litros | ","")&amp;IF(AND($AA98&lt;&gt;"",$AC98&lt;0),"Supera saldo batán | ",""))="","OK",LEFT((IF($G98="","Sin unidad | ","")&amp;IF($J98="","Sin responsable | ","")&amp;IF($K98="","Sin obra | ","")&amp;IF(AND($N98&lt;&gt;"",$G98&lt;&gt;"",$N98&gt;IFERROR(INDEX('MAESTRO DE UNIDADES'!$I$2:$I$208,MATCH($G98,'MAESTRO DE UNIDADES'!$A$2:$A$208,0)),0)),"Litros &gt; tanque | ","")&amp;IF(AND($W98&lt;&gt;"",COUNTIF($W$2:$W98,$W98)&gt;1),"Ticket duplicado | ","")&amp;IF(AND($G98&lt;&gt;"",IFERROR(INDEX('MAESTRO DE UNIDADES'!$L$2:$L$208,MATCH($G98,'MAESTRO DE UNIDADES'!$A$2:$A$208,0)),"")="Inactivo"),"Unidad inactiva | ","")&amp;IF(AND($AA98&lt;&gt;"",$N98=""),"Carga de batán sin litros | ","")&amp;IF(AND($AA98&lt;&gt;"",$AC98&lt;0),"Supera saldo batán | ","")),LEN((IF($G98="","Sin unidad | ","")&amp;IF($J98="","Sin responsable | ","")&amp;IF($K98="","Sin obra | ","")&amp;IF(AND($N98&lt;&gt;"",$G98&lt;&gt;"",$N98&gt;IFERROR(INDEX('MAESTRO DE UNIDADES'!$I$2:$I$208,MATCH($G98,'MAESTRO DE UNIDADES'!$A$2:$A$208,0)),0)),"Litros &gt; tanque | ","")&amp;IF(AND($W98&lt;&gt;"",COUNTIF($W$2:$W98,$W98)&gt;1),"Ticket duplicado | ","")&amp;IF(AND($G98&lt;&gt;"",IFERROR(INDEX('MAESTRO DE UNIDADES'!$L$2:$L$208,MATCH($G98,'MAESTRO DE UNIDADES'!$A$2:$A$208,0)),"")="Inactivo"),"Unidad inactiva | ","")&amp;IF(AND($AA98&lt;&gt;"",$N98=""),"Carga de batán sin litros | ","")&amp;IF(AND($AA98&lt;&gt;"",$AC98&lt;0),"Supera saldo batán | ","")))-3)))</f>
        <v/>
      </c>
      <c r="Z98" s="8" t="str">
        <f t="shared" si="14"/>
        <v/>
      </c>
      <c r="AA98" s="4"/>
      <c r="AB98" s="26" t="str">
        <f>IF($AA98="","",IFERROR(INDEX('CONTROL DE BATAN'!$J$2:$J$301,MATCH($AA98,'CONTROL DE BATAN'!$A$2:$A$301,0)),""))</f>
        <v/>
      </c>
      <c r="AC98" s="28" t="str">
        <f>IF($AA98="","",IFERROR(INDEX('CONTROL DE BATAN'!$I$2:$I$301,MATCH($AA98,'CONTROL DE BATAN'!$A$2:$A$301,0)),0)-SUMIFS($N$2:$N98,$AA$2:$AA98,$AA98))</f>
        <v/>
      </c>
    </row>
    <row r="99" spans="1:29" x14ac:dyDescent="0.25">
      <c r="A99" s="8" t="str">
        <f t="shared" si="8"/>
        <v/>
      </c>
      <c r="B99" s="9"/>
      <c r="C99" s="8" t="str">
        <f t="shared" si="9"/>
        <v/>
      </c>
      <c r="D99" s="10" t="str">
        <f t="shared" si="10"/>
        <v/>
      </c>
      <c r="E99" s="8" t="str">
        <f t="shared" si="11"/>
        <v/>
      </c>
      <c r="F99" s="8" t="str">
        <f>IF($G99="","",IFERROR(INDEX('MAESTRO DE UNIDADES'!$C$2:$C$208,MATCH($G99,'MAESTRO DE UNIDADES'!$A$2:$A$208,0)),""))</f>
        <v/>
      </c>
      <c r="G99" s="4"/>
      <c r="H99" s="8" t="str">
        <f>IF($G99="","",IFERROR(INDEX('MAESTRO DE UNIDADES'!$F$2:$F$208,MATCH($G99,'MAESTRO DE UNIDADES'!$A$2:$A$208,0)),""))</f>
        <v/>
      </c>
      <c r="I99" s="8" t="str">
        <f>IF($G99="","",IFERROR(INDEX('MAESTRO DE UNIDADES'!$B$2:$B$208,MATCH($G99,'MAESTRO DE UNIDADES'!$A$2:$A$208,0)),""))</f>
        <v/>
      </c>
      <c r="J99" s="4"/>
      <c r="K99" s="4"/>
      <c r="L99" s="4"/>
      <c r="M99" s="8" t="str">
        <f>IF($G99="","",IFERROR(INDEX('MAESTRO DE UNIDADES'!$H$2:$H$208,MATCH($G99,'MAESTRO DE UNIDADES'!$A$2:$A$208,0)),""))</f>
        <v/>
      </c>
      <c r="N99" s="17"/>
      <c r="O99" s="25"/>
      <c r="P99" s="26" t="str">
        <f t="shared" si="12"/>
        <v/>
      </c>
      <c r="Q99" s="27"/>
      <c r="R99" s="27"/>
      <c r="S99" s="28" t="str">
        <f>IF(OR($G99="",$Q99="",COUNTIF($G$2:G98,$G99)=0),"",$Q99-LOOKUP(2,1/($G$2:G98=$G99),$Q$2:Q98))</f>
        <v/>
      </c>
      <c r="T99" s="28" t="str">
        <f>IF(OR($G99="",$R99="",COUNTIF($G$2:G98,$G99)=0),"",$R99-LOOKUP(2,1/($G$2:G98=$G99),$R$2:R98))</f>
        <v/>
      </c>
      <c r="U99" s="11" t="str">
        <f t="shared" si="13"/>
        <v/>
      </c>
      <c r="V99" s="4"/>
      <c r="W99" s="4"/>
      <c r="X99" s="55"/>
      <c r="Y99" s="56" t="str">
        <f>IF($B99="","",IF((IF($G99="","Sin unidad | ","")&amp;IF($J99="","Sin responsable | ","")&amp;IF($K99="","Sin obra | ","")&amp;IF(AND($N99&lt;&gt;"",$G99&lt;&gt;"",$N99&gt;IFERROR(INDEX('MAESTRO DE UNIDADES'!$I$2:$I$208,MATCH($G99,'MAESTRO DE UNIDADES'!$A$2:$A$208,0)),0)),"Litros &gt; tanque | ","")&amp;IF(AND($W99&lt;&gt;"",COUNTIF($W$2:$W99,$W99)&gt;1),"Ticket duplicado | ","")&amp;IF(AND($G99&lt;&gt;"",IFERROR(INDEX('MAESTRO DE UNIDADES'!$L$2:$L$208,MATCH($G99,'MAESTRO DE UNIDADES'!$A$2:$A$208,0)),"")="Inactivo"),"Unidad inactiva | ","")&amp;IF(AND($AA99&lt;&gt;"",$N99=""),"Carga de batán sin litros | ","")&amp;IF(AND($AA99&lt;&gt;"",$AC99&lt;0),"Supera saldo batán | ",""))="","OK",LEFT((IF($G99="","Sin unidad | ","")&amp;IF($J99="","Sin responsable | ","")&amp;IF($K99="","Sin obra | ","")&amp;IF(AND($N99&lt;&gt;"",$G99&lt;&gt;"",$N99&gt;IFERROR(INDEX('MAESTRO DE UNIDADES'!$I$2:$I$208,MATCH($G99,'MAESTRO DE UNIDADES'!$A$2:$A$208,0)),0)),"Litros &gt; tanque | ","")&amp;IF(AND($W99&lt;&gt;"",COUNTIF($W$2:$W99,$W99)&gt;1),"Ticket duplicado | ","")&amp;IF(AND($G99&lt;&gt;"",IFERROR(INDEX('MAESTRO DE UNIDADES'!$L$2:$L$208,MATCH($G99,'MAESTRO DE UNIDADES'!$A$2:$A$208,0)),"")="Inactivo"),"Unidad inactiva | ","")&amp;IF(AND($AA99&lt;&gt;"",$N99=""),"Carga de batán sin litros | ","")&amp;IF(AND($AA99&lt;&gt;"",$AC99&lt;0),"Supera saldo batán | ","")),LEN((IF($G99="","Sin unidad | ","")&amp;IF($J99="","Sin responsable | ","")&amp;IF($K99="","Sin obra | ","")&amp;IF(AND($N99&lt;&gt;"",$G99&lt;&gt;"",$N99&gt;IFERROR(INDEX('MAESTRO DE UNIDADES'!$I$2:$I$208,MATCH($G99,'MAESTRO DE UNIDADES'!$A$2:$A$208,0)),0)),"Litros &gt; tanque | ","")&amp;IF(AND($W99&lt;&gt;"",COUNTIF($W$2:$W99,$W99)&gt;1),"Ticket duplicado | ","")&amp;IF(AND($G99&lt;&gt;"",IFERROR(INDEX('MAESTRO DE UNIDADES'!$L$2:$L$208,MATCH($G99,'MAESTRO DE UNIDADES'!$A$2:$A$208,0)),"")="Inactivo"),"Unidad inactiva | ","")&amp;IF(AND($AA99&lt;&gt;"",$N99=""),"Carga de batán sin litros | ","")&amp;IF(AND($AA99&lt;&gt;"",$AC99&lt;0),"Supera saldo batán | ","")))-3)))</f>
        <v/>
      </c>
      <c r="Z99" s="8" t="str">
        <f t="shared" si="14"/>
        <v/>
      </c>
      <c r="AA99" s="4"/>
      <c r="AB99" s="26" t="str">
        <f>IF($AA99="","",IFERROR(INDEX('CONTROL DE BATAN'!$J$2:$J$301,MATCH($AA99,'CONTROL DE BATAN'!$A$2:$A$301,0)),""))</f>
        <v/>
      </c>
      <c r="AC99" s="28" t="str">
        <f>IF($AA99="","",IFERROR(INDEX('CONTROL DE BATAN'!$I$2:$I$301,MATCH($AA99,'CONTROL DE BATAN'!$A$2:$A$301,0)),0)-SUMIFS($N$2:$N99,$AA$2:$AA99,$AA99))</f>
        <v/>
      </c>
    </row>
    <row r="100" spans="1:29" x14ac:dyDescent="0.25">
      <c r="A100" s="8" t="str">
        <f t="shared" si="8"/>
        <v/>
      </c>
      <c r="B100" s="9"/>
      <c r="C100" s="8" t="str">
        <f t="shared" si="9"/>
        <v/>
      </c>
      <c r="D100" s="10" t="str">
        <f t="shared" si="10"/>
        <v/>
      </c>
      <c r="E100" s="8" t="str">
        <f t="shared" si="11"/>
        <v/>
      </c>
      <c r="F100" s="8" t="str">
        <f>IF($G100="","",IFERROR(INDEX('MAESTRO DE UNIDADES'!$C$2:$C$208,MATCH($G100,'MAESTRO DE UNIDADES'!$A$2:$A$208,0)),""))</f>
        <v/>
      </c>
      <c r="G100" s="4"/>
      <c r="H100" s="8" t="str">
        <f>IF($G100="","",IFERROR(INDEX('MAESTRO DE UNIDADES'!$F$2:$F$208,MATCH($G100,'MAESTRO DE UNIDADES'!$A$2:$A$208,0)),""))</f>
        <v/>
      </c>
      <c r="I100" s="8" t="str">
        <f>IF($G100="","",IFERROR(INDEX('MAESTRO DE UNIDADES'!$B$2:$B$208,MATCH($G100,'MAESTRO DE UNIDADES'!$A$2:$A$208,0)),""))</f>
        <v/>
      </c>
      <c r="J100" s="4"/>
      <c r="K100" s="4"/>
      <c r="L100" s="4"/>
      <c r="M100" s="8" t="str">
        <f>IF($G100="","",IFERROR(INDEX('MAESTRO DE UNIDADES'!$H$2:$H$208,MATCH($G100,'MAESTRO DE UNIDADES'!$A$2:$A$208,0)),""))</f>
        <v/>
      </c>
      <c r="N100" s="17"/>
      <c r="O100" s="25"/>
      <c r="P100" s="26" t="str">
        <f t="shared" si="12"/>
        <v/>
      </c>
      <c r="Q100" s="27"/>
      <c r="R100" s="27"/>
      <c r="S100" s="28" t="str">
        <f>IF(OR($G100="",$Q100="",COUNTIF($G$2:G99,$G100)=0),"",$Q100-LOOKUP(2,1/($G$2:G99=$G100),$Q$2:Q99))</f>
        <v/>
      </c>
      <c r="T100" s="28" t="str">
        <f>IF(OR($G100="",$R100="",COUNTIF($G$2:G99,$G100)=0),"",$R100-LOOKUP(2,1/($G$2:G99=$G100),$R$2:R99))</f>
        <v/>
      </c>
      <c r="U100" s="11" t="str">
        <f t="shared" si="13"/>
        <v/>
      </c>
      <c r="V100" s="4"/>
      <c r="W100" s="4"/>
      <c r="X100" s="55"/>
      <c r="Y100" s="56" t="str">
        <f>IF($B100="","",IF((IF($G100="","Sin unidad | ","")&amp;IF($J100="","Sin responsable | ","")&amp;IF($K100="","Sin obra | ","")&amp;IF(AND($N100&lt;&gt;"",$G100&lt;&gt;"",$N100&gt;IFERROR(INDEX('MAESTRO DE UNIDADES'!$I$2:$I$208,MATCH($G100,'MAESTRO DE UNIDADES'!$A$2:$A$208,0)),0)),"Litros &gt; tanque | ","")&amp;IF(AND($W100&lt;&gt;"",COUNTIF($W$2:$W100,$W100)&gt;1),"Ticket duplicado | ","")&amp;IF(AND($G100&lt;&gt;"",IFERROR(INDEX('MAESTRO DE UNIDADES'!$L$2:$L$208,MATCH($G100,'MAESTRO DE UNIDADES'!$A$2:$A$208,0)),"")="Inactivo"),"Unidad inactiva | ","")&amp;IF(AND($AA100&lt;&gt;"",$N100=""),"Carga de batán sin litros | ","")&amp;IF(AND($AA100&lt;&gt;"",$AC100&lt;0),"Supera saldo batán | ",""))="","OK",LEFT((IF($G100="","Sin unidad | ","")&amp;IF($J100="","Sin responsable | ","")&amp;IF($K100="","Sin obra | ","")&amp;IF(AND($N100&lt;&gt;"",$G100&lt;&gt;"",$N100&gt;IFERROR(INDEX('MAESTRO DE UNIDADES'!$I$2:$I$208,MATCH($G100,'MAESTRO DE UNIDADES'!$A$2:$A$208,0)),0)),"Litros &gt; tanque | ","")&amp;IF(AND($W100&lt;&gt;"",COUNTIF($W$2:$W100,$W100)&gt;1),"Ticket duplicado | ","")&amp;IF(AND($G100&lt;&gt;"",IFERROR(INDEX('MAESTRO DE UNIDADES'!$L$2:$L$208,MATCH($G100,'MAESTRO DE UNIDADES'!$A$2:$A$208,0)),"")="Inactivo"),"Unidad inactiva | ","")&amp;IF(AND($AA100&lt;&gt;"",$N100=""),"Carga de batán sin litros | ","")&amp;IF(AND($AA100&lt;&gt;"",$AC100&lt;0),"Supera saldo batán | ","")),LEN((IF($G100="","Sin unidad | ","")&amp;IF($J100="","Sin responsable | ","")&amp;IF($K100="","Sin obra | ","")&amp;IF(AND($N100&lt;&gt;"",$G100&lt;&gt;"",$N100&gt;IFERROR(INDEX('MAESTRO DE UNIDADES'!$I$2:$I$208,MATCH($G100,'MAESTRO DE UNIDADES'!$A$2:$A$208,0)),0)),"Litros &gt; tanque | ","")&amp;IF(AND($W100&lt;&gt;"",COUNTIF($W$2:$W100,$W100)&gt;1),"Ticket duplicado | ","")&amp;IF(AND($G100&lt;&gt;"",IFERROR(INDEX('MAESTRO DE UNIDADES'!$L$2:$L$208,MATCH($G100,'MAESTRO DE UNIDADES'!$A$2:$A$208,0)),"")="Inactivo"),"Unidad inactiva | ","")&amp;IF(AND($AA100&lt;&gt;"",$N100=""),"Carga de batán sin litros | ","")&amp;IF(AND($AA100&lt;&gt;"",$AC100&lt;0),"Supera saldo batán | ","")))-3)))</f>
        <v/>
      </c>
      <c r="Z100" s="8" t="str">
        <f t="shared" si="14"/>
        <v/>
      </c>
      <c r="AA100" s="4"/>
      <c r="AB100" s="26" t="str">
        <f>IF($AA100="","",IFERROR(INDEX('CONTROL DE BATAN'!$J$2:$J$301,MATCH($AA100,'CONTROL DE BATAN'!$A$2:$A$301,0)),""))</f>
        <v/>
      </c>
      <c r="AC100" s="28" t="str">
        <f>IF($AA100="","",IFERROR(INDEX('CONTROL DE BATAN'!$I$2:$I$301,MATCH($AA100,'CONTROL DE BATAN'!$A$2:$A$301,0)),0)-SUMIFS($N$2:$N100,$AA$2:$AA100,$AA100))</f>
        <v/>
      </c>
    </row>
    <row r="101" spans="1:29" x14ac:dyDescent="0.25">
      <c r="A101" s="8" t="str">
        <f t="shared" si="8"/>
        <v/>
      </c>
      <c r="B101" s="9"/>
      <c r="C101" s="8" t="str">
        <f t="shared" si="9"/>
        <v/>
      </c>
      <c r="D101" s="10" t="str">
        <f t="shared" si="10"/>
        <v/>
      </c>
      <c r="E101" s="8" t="str">
        <f t="shared" si="11"/>
        <v/>
      </c>
      <c r="F101" s="8" t="str">
        <f>IF($G101="","",IFERROR(INDEX('MAESTRO DE UNIDADES'!$C$2:$C$208,MATCH($G101,'MAESTRO DE UNIDADES'!$A$2:$A$208,0)),""))</f>
        <v/>
      </c>
      <c r="G101" s="4"/>
      <c r="H101" s="8" t="str">
        <f>IF($G101="","",IFERROR(INDEX('MAESTRO DE UNIDADES'!$F$2:$F$208,MATCH($G101,'MAESTRO DE UNIDADES'!$A$2:$A$208,0)),""))</f>
        <v/>
      </c>
      <c r="I101" s="8" t="str">
        <f>IF($G101="","",IFERROR(INDEX('MAESTRO DE UNIDADES'!$B$2:$B$208,MATCH($G101,'MAESTRO DE UNIDADES'!$A$2:$A$208,0)),""))</f>
        <v/>
      </c>
      <c r="J101" s="4"/>
      <c r="K101" s="4"/>
      <c r="L101" s="4"/>
      <c r="M101" s="8" t="str">
        <f>IF($G101="","",IFERROR(INDEX('MAESTRO DE UNIDADES'!$H$2:$H$208,MATCH($G101,'MAESTRO DE UNIDADES'!$A$2:$A$208,0)),""))</f>
        <v/>
      </c>
      <c r="N101" s="17"/>
      <c r="O101" s="25"/>
      <c r="P101" s="26" t="str">
        <f t="shared" si="12"/>
        <v/>
      </c>
      <c r="Q101" s="27"/>
      <c r="R101" s="27"/>
      <c r="S101" s="28" t="str">
        <f>IF(OR($G101="",$Q101="",COUNTIF($G$2:G100,$G101)=0),"",$Q101-LOOKUP(2,1/($G$2:G100=$G101),$Q$2:Q100))</f>
        <v/>
      </c>
      <c r="T101" s="28" t="str">
        <f>IF(OR($G101="",$R101="",COUNTIF($G$2:G100,$G101)=0),"",$R101-LOOKUP(2,1/($G$2:G100=$G101),$R$2:R100))</f>
        <v/>
      </c>
      <c r="U101" s="11" t="str">
        <f t="shared" si="13"/>
        <v/>
      </c>
      <c r="V101" s="4"/>
      <c r="W101" s="4"/>
      <c r="X101" s="55"/>
      <c r="Y101" s="56" t="str">
        <f>IF($B101="","",IF((IF($G101="","Sin unidad | ","")&amp;IF($J101="","Sin responsable | ","")&amp;IF($K101="","Sin obra | ","")&amp;IF(AND($N101&lt;&gt;"",$G101&lt;&gt;"",$N101&gt;IFERROR(INDEX('MAESTRO DE UNIDADES'!$I$2:$I$208,MATCH($G101,'MAESTRO DE UNIDADES'!$A$2:$A$208,0)),0)),"Litros &gt; tanque | ","")&amp;IF(AND($W101&lt;&gt;"",COUNTIF($W$2:$W101,$W101)&gt;1),"Ticket duplicado | ","")&amp;IF(AND($G101&lt;&gt;"",IFERROR(INDEX('MAESTRO DE UNIDADES'!$L$2:$L$208,MATCH($G101,'MAESTRO DE UNIDADES'!$A$2:$A$208,0)),"")="Inactivo"),"Unidad inactiva | ","")&amp;IF(AND($AA101&lt;&gt;"",$N101=""),"Carga de batán sin litros | ","")&amp;IF(AND($AA101&lt;&gt;"",$AC101&lt;0),"Supera saldo batán | ",""))="","OK",LEFT((IF($G101="","Sin unidad | ","")&amp;IF($J101="","Sin responsable | ","")&amp;IF($K101="","Sin obra | ","")&amp;IF(AND($N101&lt;&gt;"",$G101&lt;&gt;"",$N101&gt;IFERROR(INDEX('MAESTRO DE UNIDADES'!$I$2:$I$208,MATCH($G101,'MAESTRO DE UNIDADES'!$A$2:$A$208,0)),0)),"Litros &gt; tanque | ","")&amp;IF(AND($W101&lt;&gt;"",COUNTIF($W$2:$W101,$W101)&gt;1),"Ticket duplicado | ","")&amp;IF(AND($G101&lt;&gt;"",IFERROR(INDEX('MAESTRO DE UNIDADES'!$L$2:$L$208,MATCH($G101,'MAESTRO DE UNIDADES'!$A$2:$A$208,0)),"")="Inactivo"),"Unidad inactiva | ","")&amp;IF(AND($AA101&lt;&gt;"",$N101=""),"Carga de batán sin litros | ","")&amp;IF(AND($AA101&lt;&gt;"",$AC101&lt;0),"Supera saldo batán | ","")),LEN((IF($G101="","Sin unidad | ","")&amp;IF($J101="","Sin responsable | ","")&amp;IF($K101="","Sin obra | ","")&amp;IF(AND($N101&lt;&gt;"",$G101&lt;&gt;"",$N101&gt;IFERROR(INDEX('MAESTRO DE UNIDADES'!$I$2:$I$208,MATCH($G101,'MAESTRO DE UNIDADES'!$A$2:$A$208,0)),0)),"Litros &gt; tanque | ","")&amp;IF(AND($W101&lt;&gt;"",COUNTIF($W$2:$W101,$W101)&gt;1),"Ticket duplicado | ","")&amp;IF(AND($G101&lt;&gt;"",IFERROR(INDEX('MAESTRO DE UNIDADES'!$L$2:$L$208,MATCH($G101,'MAESTRO DE UNIDADES'!$A$2:$A$208,0)),"")="Inactivo"),"Unidad inactiva | ","")&amp;IF(AND($AA101&lt;&gt;"",$N101=""),"Carga de batán sin litros | ","")&amp;IF(AND($AA101&lt;&gt;"",$AC101&lt;0),"Supera saldo batán | ","")))-3)))</f>
        <v/>
      </c>
      <c r="Z101" s="8" t="str">
        <f t="shared" si="14"/>
        <v/>
      </c>
      <c r="AA101" s="4"/>
      <c r="AB101" s="26" t="str">
        <f>IF($AA101="","",IFERROR(INDEX('CONTROL DE BATAN'!$J$2:$J$301,MATCH($AA101,'CONTROL DE BATAN'!$A$2:$A$301,0)),""))</f>
        <v/>
      </c>
      <c r="AC101" s="28" t="str">
        <f>IF($AA101="","",IFERROR(INDEX('CONTROL DE BATAN'!$I$2:$I$301,MATCH($AA101,'CONTROL DE BATAN'!$A$2:$A$301,0)),0)-SUMIFS($N$2:$N101,$AA$2:$AA101,$AA101))</f>
        <v/>
      </c>
    </row>
    <row r="102" spans="1:29" x14ac:dyDescent="0.25">
      <c r="A102" s="8" t="str">
        <f t="shared" si="8"/>
        <v/>
      </c>
      <c r="B102" s="9"/>
      <c r="C102" s="8" t="str">
        <f t="shared" si="9"/>
        <v/>
      </c>
      <c r="D102" s="10" t="str">
        <f t="shared" si="10"/>
        <v/>
      </c>
      <c r="E102" s="8" t="str">
        <f t="shared" si="11"/>
        <v/>
      </c>
      <c r="F102" s="8" t="str">
        <f>IF($G102="","",IFERROR(INDEX('MAESTRO DE UNIDADES'!$C$2:$C$208,MATCH($G102,'MAESTRO DE UNIDADES'!$A$2:$A$208,0)),""))</f>
        <v/>
      </c>
      <c r="G102" s="4"/>
      <c r="H102" s="8" t="str">
        <f>IF($G102="","",IFERROR(INDEX('MAESTRO DE UNIDADES'!$F$2:$F$208,MATCH($G102,'MAESTRO DE UNIDADES'!$A$2:$A$208,0)),""))</f>
        <v/>
      </c>
      <c r="I102" s="8" t="str">
        <f>IF($G102="","",IFERROR(INDEX('MAESTRO DE UNIDADES'!$B$2:$B$208,MATCH($G102,'MAESTRO DE UNIDADES'!$A$2:$A$208,0)),""))</f>
        <v/>
      </c>
      <c r="J102" s="4"/>
      <c r="K102" s="4"/>
      <c r="L102" s="4"/>
      <c r="M102" s="8" t="str">
        <f>IF($G102="","",IFERROR(INDEX('MAESTRO DE UNIDADES'!$H$2:$H$208,MATCH($G102,'MAESTRO DE UNIDADES'!$A$2:$A$208,0)),""))</f>
        <v/>
      </c>
      <c r="N102" s="17"/>
      <c r="O102" s="25"/>
      <c r="P102" s="26" t="str">
        <f t="shared" si="12"/>
        <v/>
      </c>
      <c r="Q102" s="27"/>
      <c r="R102" s="27"/>
      <c r="S102" s="28" t="str">
        <f>IF(OR($G102="",$Q102="",COUNTIF($G$2:G101,$G102)=0),"",$Q102-LOOKUP(2,1/($G$2:G101=$G102),$Q$2:Q101))</f>
        <v/>
      </c>
      <c r="T102" s="28" t="str">
        <f>IF(OR($G102="",$R102="",COUNTIF($G$2:G101,$G102)=0),"",$R102-LOOKUP(2,1/($G$2:G101=$G102),$R$2:R101))</f>
        <v/>
      </c>
      <c r="U102" s="11" t="str">
        <f t="shared" si="13"/>
        <v/>
      </c>
      <c r="V102" s="4"/>
      <c r="W102" s="4"/>
      <c r="X102" s="55"/>
      <c r="Y102" s="56" t="str">
        <f>IF($B102="","",IF((IF($G102="","Sin unidad | ","")&amp;IF($J102="","Sin responsable | ","")&amp;IF($K102="","Sin obra | ","")&amp;IF(AND($N102&lt;&gt;"",$G102&lt;&gt;"",$N102&gt;IFERROR(INDEX('MAESTRO DE UNIDADES'!$I$2:$I$208,MATCH($G102,'MAESTRO DE UNIDADES'!$A$2:$A$208,0)),0)),"Litros &gt; tanque | ","")&amp;IF(AND($W102&lt;&gt;"",COUNTIF($W$2:$W102,$W102)&gt;1),"Ticket duplicado | ","")&amp;IF(AND($G102&lt;&gt;"",IFERROR(INDEX('MAESTRO DE UNIDADES'!$L$2:$L$208,MATCH($G102,'MAESTRO DE UNIDADES'!$A$2:$A$208,0)),"")="Inactivo"),"Unidad inactiva | ","")&amp;IF(AND($AA102&lt;&gt;"",$N102=""),"Carga de batán sin litros | ","")&amp;IF(AND($AA102&lt;&gt;"",$AC102&lt;0),"Supera saldo batán | ",""))="","OK",LEFT((IF($G102="","Sin unidad | ","")&amp;IF($J102="","Sin responsable | ","")&amp;IF($K102="","Sin obra | ","")&amp;IF(AND($N102&lt;&gt;"",$G102&lt;&gt;"",$N102&gt;IFERROR(INDEX('MAESTRO DE UNIDADES'!$I$2:$I$208,MATCH($G102,'MAESTRO DE UNIDADES'!$A$2:$A$208,0)),0)),"Litros &gt; tanque | ","")&amp;IF(AND($W102&lt;&gt;"",COUNTIF($W$2:$W102,$W102)&gt;1),"Ticket duplicado | ","")&amp;IF(AND($G102&lt;&gt;"",IFERROR(INDEX('MAESTRO DE UNIDADES'!$L$2:$L$208,MATCH($G102,'MAESTRO DE UNIDADES'!$A$2:$A$208,0)),"")="Inactivo"),"Unidad inactiva | ","")&amp;IF(AND($AA102&lt;&gt;"",$N102=""),"Carga de batán sin litros | ","")&amp;IF(AND($AA102&lt;&gt;"",$AC102&lt;0),"Supera saldo batán | ","")),LEN((IF($G102="","Sin unidad | ","")&amp;IF($J102="","Sin responsable | ","")&amp;IF($K102="","Sin obra | ","")&amp;IF(AND($N102&lt;&gt;"",$G102&lt;&gt;"",$N102&gt;IFERROR(INDEX('MAESTRO DE UNIDADES'!$I$2:$I$208,MATCH($G102,'MAESTRO DE UNIDADES'!$A$2:$A$208,0)),0)),"Litros &gt; tanque | ","")&amp;IF(AND($W102&lt;&gt;"",COUNTIF($W$2:$W102,$W102)&gt;1),"Ticket duplicado | ","")&amp;IF(AND($G102&lt;&gt;"",IFERROR(INDEX('MAESTRO DE UNIDADES'!$L$2:$L$208,MATCH($G102,'MAESTRO DE UNIDADES'!$A$2:$A$208,0)),"")="Inactivo"),"Unidad inactiva | ","")&amp;IF(AND($AA102&lt;&gt;"",$N102=""),"Carga de batán sin litros | ","")&amp;IF(AND($AA102&lt;&gt;"",$AC102&lt;0),"Supera saldo batán | ","")))-3)))</f>
        <v/>
      </c>
      <c r="Z102" s="8" t="str">
        <f t="shared" si="14"/>
        <v/>
      </c>
      <c r="AA102" s="4"/>
      <c r="AB102" s="26" t="str">
        <f>IF($AA102="","",IFERROR(INDEX('CONTROL DE BATAN'!$J$2:$J$301,MATCH($AA102,'CONTROL DE BATAN'!$A$2:$A$301,0)),""))</f>
        <v/>
      </c>
      <c r="AC102" s="28" t="str">
        <f>IF($AA102="","",IFERROR(INDEX('CONTROL DE BATAN'!$I$2:$I$301,MATCH($AA102,'CONTROL DE BATAN'!$A$2:$A$301,0)),0)-SUMIFS($N$2:$N102,$AA$2:$AA102,$AA102))</f>
        <v/>
      </c>
    </row>
    <row r="103" spans="1:29" x14ac:dyDescent="0.25">
      <c r="A103" s="8" t="str">
        <f t="shared" si="8"/>
        <v/>
      </c>
      <c r="B103" s="9"/>
      <c r="C103" s="8" t="str">
        <f t="shared" si="9"/>
        <v/>
      </c>
      <c r="D103" s="10" t="str">
        <f t="shared" si="10"/>
        <v/>
      </c>
      <c r="E103" s="8" t="str">
        <f t="shared" si="11"/>
        <v/>
      </c>
      <c r="F103" s="8" t="str">
        <f>IF($G103="","",IFERROR(INDEX('MAESTRO DE UNIDADES'!$C$2:$C$208,MATCH($G103,'MAESTRO DE UNIDADES'!$A$2:$A$208,0)),""))</f>
        <v/>
      </c>
      <c r="G103" s="4"/>
      <c r="H103" s="8" t="str">
        <f>IF($G103="","",IFERROR(INDEX('MAESTRO DE UNIDADES'!$F$2:$F$208,MATCH($G103,'MAESTRO DE UNIDADES'!$A$2:$A$208,0)),""))</f>
        <v/>
      </c>
      <c r="I103" s="8" t="str">
        <f>IF($G103="","",IFERROR(INDEX('MAESTRO DE UNIDADES'!$B$2:$B$208,MATCH($G103,'MAESTRO DE UNIDADES'!$A$2:$A$208,0)),""))</f>
        <v/>
      </c>
      <c r="J103" s="4"/>
      <c r="K103" s="4"/>
      <c r="L103" s="4"/>
      <c r="M103" s="8" t="str">
        <f>IF($G103="","",IFERROR(INDEX('MAESTRO DE UNIDADES'!$H$2:$H$208,MATCH($G103,'MAESTRO DE UNIDADES'!$A$2:$A$208,0)),""))</f>
        <v/>
      </c>
      <c r="N103" s="17"/>
      <c r="O103" s="25"/>
      <c r="P103" s="26" t="str">
        <f t="shared" si="12"/>
        <v/>
      </c>
      <c r="Q103" s="27"/>
      <c r="R103" s="27"/>
      <c r="S103" s="28" t="str">
        <f>IF(OR($G103="",$Q103="",COUNTIF($G$2:G102,$G103)=0),"",$Q103-LOOKUP(2,1/($G$2:G102=$G103),$Q$2:Q102))</f>
        <v/>
      </c>
      <c r="T103" s="28" t="str">
        <f>IF(OR($G103="",$R103="",COUNTIF($G$2:G102,$G103)=0),"",$R103-LOOKUP(2,1/($G$2:G102=$G103),$R$2:R102))</f>
        <v/>
      </c>
      <c r="U103" s="11" t="str">
        <f t="shared" si="13"/>
        <v/>
      </c>
      <c r="V103" s="4"/>
      <c r="W103" s="4"/>
      <c r="X103" s="55"/>
      <c r="Y103" s="56" t="str">
        <f>IF($B103="","",IF((IF($G103="","Sin unidad | ","")&amp;IF($J103="","Sin responsable | ","")&amp;IF($K103="","Sin obra | ","")&amp;IF(AND($N103&lt;&gt;"",$G103&lt;&gt;"",$N103&gt;IFERROR(INDEX('MAESTRO DE UNIDADES'!$I$2:$I$208,MATCH($G103,'MAESTRO DE UNIDADES'!$A$2:$A$208,0)),0)),"Litros &gt; tanque | ","")&amp;IF(AND($W103&lt;&gt;"",COUNTIF($W$2:$W103,$W103)&gt;1),"Ticket duplicado | ","")&amp;IF(AND($G103&lt;&gt;"",IFERROR(INDEX('MAESTRO DE UNIDADES'!$L$2:$L$208,MATCH($G103,'MAESTRO DE UNIDADES'!$A$2:$A$208,0)),"")="Inactivo"),"Unidad inactiva | ","")&amp;IF(AND($AA103&lt;&gt;"",$N103=""),"Carga de batán sin litros | ","")&amp;IF(AND($AA103&lt;&gt;"",$AC103&lt;0),"Supera saldo batán | ",""))="","OK",LEFT((IF($G103="","Sin unidad | ","")&amp;IF($J103="","Sin responsable | ","")&amp;IF($K103="","Sin obra | ","")&amp;IF(AND($N103&lt;&gt;"",$G103&lt;&gt;"",$N103&gt;IFERROR(INDEX('MAESTRO DE UNIDADES'!$I$2:$I$208,MATCH($G103,'MAESTRO DE UNIDADES'!$A$2:$A$208,0)),0)),"Litros &gt; tanque | ","")&amp;IF(AND($W103&lt;&gt;"",COUNTIF($W$2:$W103,$W103)&gt;1),"Ticket duplicado | ","")&amp;IF(AND($G103&lt;&gt;"",IFERROR(INDEX('MAESTRO DE UNIDADES'!$L$2:$L$208,MATCH($G103,'MAESTRO DE UNIDADES'!$A$2:$A$208,0)),"")="Inactivo"),"Unidad inactiva | ","")&amp;IF(AND($AA103&lt;&gt;"",$N103=""),"Carga de batán sin litros | ","")&amp;IF(AND($AA103&lt;&gt;"",$AC103&lt;0),"Supera saldo batán | ","")),LEN((IF($G103="","Sin unidad | ","")&amp;IF($J103="","Sin responsable | ","")&amp;IF($K103="","Sin obra | ","")&amp;IF(AND($N103&lt;&gt;"",$G103&lt;&gt;"",$N103&gt;IFERROR(INDEX('MAESTRO DE UNIDADES'!$I$2:$I$208,MATCH($G103,'MAESTRO DE UNIDADES'!$A$2:$A$208,0)),0)),"Litros &gt; tanque | ","")&amp;IF(AND($W103&lt;&gt;"",COUNTIF($W$2:$W103,$W103)&gt;1),"Ticket duplicado | ","")&amp;IF(AND($G103&lt;&gt;"",IFERROR(INDEX('MAESTRO DE UNIDADES'!$L$2:$L$208,MATCH($G103,'MAESTRO DE UNIDADES'!$A$2:$A$208,0)),"")="Inactivo"),"Unidad inactiva | ","")&amp;IF(AND($AA103&lt;&gt;"",$N103=""),"Carga de batán sin litros | ","")&amp;IF(AND($AA103&lt;&gt;"",$AC103&lt;0),"Supera saldo batán | ","")))-3)))</f>
        <v/>
      </c>
      <c r="Z103" s="8" t="str">
        <f t="shared" si="14"/>
        <v/>
      </c>
      <c r="AA103" s="4"/>
      <c r="AB103" s="26" t="str">
        <f>IF($AA103="","",IFERROR(INDEX('CONTROL DE BATAN'!$J$2:$J$301,MATCH($AA103,'CONTROL DE BATAN'!$A$2:$A$301,0)),""))</f>
        <v/>
      </c>
      <c r="AC103" s="28" t="str">
        <f>IF($AA103="","",IFERROR(INDEX('CONTROL DE BATAN'!$I$2:$I$301,MATCH($AA103,'CONTROL DE BATAN'!$A$2:$A$301,0)),0)-SUMIFS($N$2:$N103,$AA$2:$AA103,$AA103))</f>
        <v/>
      </c>
    </row>
    <row r="104" spans="1:29" x14ac:dyDescent="0.25">
      <c r="A104" s="8" t="str">
        <f t="shared" si="8"/>
        <v/>
      </c>
      <c r="B104" s="9"/>
      <c r="C104" s="8" t="str">
        <f t="shared" si="9"/>
        <v/>
      </c>
      <c r="D104" s="10" t="str">
        <f t="shared" si="10"/>
        <v/>
      </c>
      <c r="E104" s="8" t="str">
        <f t="shared" si="11"/>
        <v/>
      </c>
      <c r="F104" s="8" t="str">
        <f>IF($G104="","",IFERROR(INDEX('MAESTRO DE UNIDADES'!$C$2:$C$208,MATCH($G104,'MAESTRO DE UNIDADES'!$A$2:$A$208,0)),""))</f>
        <v/>
      </c>
      <c r="G104" s="4"/>
      <c r="H104" s="8" t="str">
        <f>IF($G104="","",IFERROR(INDEX('MAESTRO DE UNIDADES'!$F$2:$F$208,MATCH($G104,'MAESTRO DE UNIDADES'!$A$2:$A$208,0)),""))</f>
        <v/>
      </c>
      <c r="I104" s="8" t="str">
        <f>IF($G104="","",IFERROR(INDEX('MAESTRO DE UNIDADES'!$B$2:$B$208,MATCH($G104,'MAESTRO DE UNIDADES'!$A$2:$A$208,0)),""))</f>
        <v/>
      </c>
      <c r="J104" s="4"/>
      <c r="K104" s="4"/>
      <c r="L104" s="4"/>
      <c r="M104" s="8" t="str">
        <f>IF($G104="","",IFERROR(INDEX('MAESTRO DE UNIDADES'!$H$2:$H$208,MATCH($G104,'MAESTRO DE UNIDADES'!$A$2:$A$208,0)),""))</f>
        <v/>
      </c>
      <c r="N104" s="17"/>
      <c r="O104" s="25"/>
      <c r="P104" s="26" t="str">
        <f t="shared" si="12"/>
        <v/>
      </c>
      <c r="Q104" s="27"/>
      <c r="R104" s="27"/>
      <c r="S104" s="28" t="str">
        <f>IF(OR($G104="",$Q104="",COUNTIF($G$2:G103,$G104)=0),"",$Q104-LOOKUP(2,1/($G$2:G103=$G104),$Q$2:Q103))</f>
        <v/>
      </c>
      <c r="T104" s="28" t="str">
        <f>IF(OR($G104="",$R104="",COUNTIF($G$2:G103,$G104)=0),"",$R104-LOOKUP(2,1/($G$2:G103=$G104),$R$2:R103))</f>
        <v/>
      </c>
      <c r="U104" s="11" t="str">
        <f t="shared" si="13"/>
        <v/>
      </c>
      <c r="V104" s="4"/>
      <c r="W104" s="4"/>
      <c r="X104" s="55"/>
      <c r="Y104" s="56" t="str">
        <f>IF($B104="","",IF((IF($G104="","Sin unidad | ","")&amp;IF($J104="","Sin responsable | ","")&amp;IF($K104="","Sin obra | ","")&amp;IF(AND($N104&lt;&gt;"",$G104&lt;&gt;"",$N104&gt;IFERROR(INDEX('MAESTRO DE UNIDADES'!$I$2:$I$208,MATCH($G104,'MAESTRO DE UNIDADES'!$A$2:$A$208,0)),0)),"Litros &gt; tanque | ","")&amp;IF(AND($W104&lt;&gt;"",COUNTIF($W$2:$W104,$W104)&gt;1),"Ticket duplicado | ","")&amp;IF(AND($G104&lt;&gt;"",IFERROR(INDEX('MAESTRO DE UNIDADES'!$L$2:$L$208,MATCH($G104,'MAESTRO DE UNIDADES'!$A$2:$A$208,0)),"")="Inactivo"),"Unidad inactiva | ","")&amp;IF(AND($AA104&lt;&gt;"",$N104=""),"Carga de batán sin litros | ","")&amp;IF(AND($AA104&lt;&gt;"",$AC104&lt;0),"Supera saldo batán | ",""))="","OK",LEFT((IF($G104="","Sin unidad | ","")&amp;IF($J104="","Sin responsable | ","")&amp;IF($K104="","Sin obra | ","")&amp;IF(AND($N104&lt;&gt;"",$G104&lt;&gt;"",$N104&gt;IFERROR(INDEX('MAESTRO DE UNIDADES'!$I$2:$I$208,MATCH($G104,'MAESTRO DE UNIDADES'!$A$2:$A$208,0)),0)),"Litros &gt; tanque | ","")&amp;IF(AND($W104&lt;&gt;"",COUNTIF($W$2:$W104,$W104)&gt;1),"Ticket duplicado | ","")&amp;IF(AND($G104&lt;&gt;"",IFERROR(INDEX('MAESTRO DE UNIDADES'!$L$2:$L$208,MATCH($G104,'MAESTRO DE UNIDADES'!$A$2:$A$208,0)),"")="Inactivo"),"Unidad inactiva | ","")&amp;IF(AND($AA104&lt;&gt;"",$N104=""),"Carga de batán sin litros | ","")&amp;IF(AND($AA104&lt;&gt;"",$AC104&lt;0),"Supera saldo batán | ","")),LEN((IF($G104="","Sin unidad | ","")&amp;IF($J104="","Sin responsable | ","")&amp;IF($K104="","Sin obra | ","")&amp;IF(AND($N104&lt;&gt;"",$G104&lt;&gt;"",$N104&gt;IFERROR(INDEX('MAESTRO DE UNIDADES'!$I$2:$I$208,MATCH($G104,'MAESTRO DE UNIDADES'!$A$2:$A$208,0)),0)),"Litros &gt; tanque | ","")&amp;IF(AND($W104&lt;&gt;"",COUNTIF($W$2:$W104,$W104)&gt;1),"Ticket duplicado | ","")&amp;IF(AND($G104&lt;&gt;"",IFERROR(INDEX('MAESTRO DE UNIDADES'!$L$2:$L$208,MATCH($G104,'MAESTRO DE UNIDADES'!$A$2:$A$208,0)),"")="Inactivo"),"Unidad inactiva | ","")&amp;IF(AND($AA104&lt;&gt;"",$N104=""),"Carga de batán sin litros | ","")&amp;IF(AND($AA104&lt;&gt;"",$AC104&lt;0),"Supera saldo batán | ","")))-3)))</f>
        <v/>
      </c>
      <c r="Z104" s="8" t="str">
        <f t="shared" si="14"/>
        <v/>
      </c>
      <c r="AA104" s="4"/>
      <c r="AB104" s="26" t="str">
        <f>IF($AA104="","",IFERROR(INDEX('CONTROL DE BATAN'!$J$2:$J$301,MATCH($AA104,'CONTROL DE BATAN'!$A$2:$A$301,0)),""))</f>
        <v/>
      </c>
      <c r="AC104" s="28" t="str">
        <f>IF($AA104="","",IFERROR(INDEX('CONTROL DE BATAN'!$I$2:$I$301,MATCH($AA104,'CONTROL DE BATAN'!$A$2:$A$301,0)),0)-SUMIFS($N$2:$N104,$AA$2:$AA104,$AA104))</f>
        <v/>
      </c>
    </row>
    <row r="105" spans="1:29" x14ac:dyDescent="0.25">
      <c r="A105" s="8" t="str">
        <f t="shared" si="8"/>
        <v/>
      </c>
      <c r="B105" s="9"/>
      <c r="C105" s="8" t="str">
        <f t="shared" si="9"/>
        <v/>
      </c>
      <c r="D105" s="10" t="str">
        <f t="shared" si="10"/>
        <v/>
      </c>
      <c r="E105" s="8" t="str">
        <f t="shared" si="11"/>
        <v/>
      </c>
      <c r="F105" s="8" t="str">
        <f>IF($G105="","",IFERROR(INDEX('MAESTRO DE UNIDADES'!$C$2:$C$208,MATCH($G105,'MAESTRO DE UNIDADES'!$A$2:$A$208,0)),""))</f>
        <v/>
      </c>
      <c r="G105" s="4"/>
      <c r="H105" s="8" t="str">
        <f>IF($G105="","",IFERROR(INDEX('MAESTRO DE UNIDADES'!$F$2:$F$208,MATCH($G105,'MAESTRO DE UNIDADES'!$A$2:$A$208,0)),""))</f>
        <v/>
      </c>
      <c r="I105" s="8" t="str">
        <f>IF($G105="","",IFERROR(INDEX('MAESTRO DE UNIDADES'!$B$2:$B$208,MATCH($G105,'MAESTRO DE UNIDADES'!$A$2:$A$208,0)),""))</f>
        <v/>
      </c>
      <c r="J105" s="4"/>
      <c r="K105" s="4"/>
      <c r="L105" s="4"/>
      <c r="M105" s="8" t="str">
        <f>IF($G105="","",IFERROR(INDEX('MAESTRO DE UNIDADES'!$H$2:$H$208,MATCH($G105,'MAESTRO DE UNIDADES'!$A$2:$A$208,0)),""))</f>
        <v/>
      </c>
      <c r="N105" s="17"/>
      <c r="O105" s="25"/>
      <c r="P105" s="26" t="str">
        <f t="shared" si="12"/>
        <v/>
      </c>
      <c r="Q105" s="27"/>
      <c r="R105" s="27"/>
      <c r="S105" s="28" t="str">
        <f>IF(OR($G105="",$Q105="",COUNTIF($G$2:G104,$G105)=0),"",$Q105-LOOKUP(2,1/($G$2:G104=$G105),$Q$2:Q104))</f>
        <v/>
      </c>
      <c r="T105" s="28" t="str">
        <f>IF(OR($G105="",$R105="",COUNTIF($G$2:G104,$G105)=0),"",$R105-LOOKUP(2,1/($G$2:G104=$G105),$R$2:R104))</f>
        <v/>
      </c>
      <c r="U105" s="11" t="str">
        <f t="shared" si="13"/>
        <v/>
      </c>
      <c r="V105" s="4"/>
      <c r="W105" s="4"/>
      <c r="X105" s="55"/>
      <c r="Y105" s="56" t="str">
        <f>IF($B105="","",IF((IF($G105="","Sin unidad | ","")&amp;IF($J105="","Sin responsable | ","")&amp;IF($K105="","Sin obra | ","")&amp;IF(AND($N105&lt;&gt;"",$G105&lt;&gt;"",$N105&gt;IFERROR(INDEX('MAESTRO DE UNIDADES'!$I$2:$I$208,MATCH($G105,'MAESTRO DE UNIDADES'!$A$2:$A$208,0)),0)),"Litros &gt; tanque | ","")&amp;IF(AND($W105&lt;&gt;"",COUNTIF($W$2:$W105,$W105)&gt;1),"Ticket duplicado | ","")&amp;IF(AND($G105&lt;&gt;"",IFERROR(INDEX('MAESTRO DE UNIDADES'!$L$2:$L$208,MATCH($G105,'MAESTRO DE UNIDADES'!$A$2:$A$208,0)),"")="Inactivo"),"Unidad inactiva | ","")&amp;IF(AND($AA105&lt;&gt;"",$N105=""),"Carga de batán sin litros | ","")&amp;IF(AND($AA105&lt;&gt;"",$AC105&lt;0),"Supera saldo batán | ",""))="","OK",LEFT((IF($G105="","Sin unidad | ","")&amp;IF($J105="","Sin responsable | ","")&amp;IF($K105="","Sin obra | ","")&amp;IF(AND($N105&lt;&gt;"",$G105&lt;&gt;"",$N105&gt;IFERROR(INDEX('MAESTRO DE UNIDADES'!$I$2:$I$208,MATCH($G105,'MAESTRO DE UNIDADES'!$A$2:$A$208,0)),0)),"Litros &gt; tanque | ","")&amp;IF(AND($W105&lt;&gt;"",COUNTIF($W$2:$W105,$W105)&gt;1),"Ticket duplicado | ","")&amp;IF(AND($G105&lt;&gt;"",IFERROR(INDEX('MAESTRO DE UNIDADES'!$L$2:$L$208,MATCH($G105,'MAESTRO DE UNIDADES'!$A$2:$A$208,0)),"")="Inactivo"),"Unidad inactiva | ","")&amp;IF(AND($AA105&lt;&gt;"",$N105=""),"Carga de batán sin litros | ","")&amp;IF(AND($AA105&lt;&gt;"",$AC105&lt;0),"Supera saldo batán | ","")),LEN((IF($G105="","Sin unidad | ","")&amp;IF($J105="","Sin responsable | ","")&amp;IF($K105="","Sin obra | ","")&amp;IF(AND($N105&lt;&gt;"",$G105&lt;&gt;"",$N105&gt;IFERROR(INDEX('MAESTRO DE UNIDADES'!$I$2:$I$208,MATCH($G105,'MAESTRO DE UNIDADES'!$A$2:$A$208,0)),0)),"Litros &gt; tanque | ","")&amp;IF(AND($W105&lt;&gt;"",COUNTIF($W$2:$W105,$W105)&gt;1),"Ticket duplicado | ","")&amp;IF(AND($G105&lt;&gt;"",IFERROR(INDEX('MAESTRO DE UNIDADES'!$L$2:$L$208,MATCH($G105,'MAESTRO DE UNIDADES'!$A$2:$A$208,0)),"")="Inactivo"),"Unidad inactiva | ","")&amp;IF(AND($AA105&lt;&gt;"",$N105=""),"Carga de batán sin litros | ","")&amp;IF(AND($AA105&lt;&gt;"",$AC105&lt;0),"Supera saldo batán | ","")))-3)))</f>
        <v/>
      </c>
      <c r="Z105" s="8" t="str">
        <f t="shared" si="14"/>
        <v/>
      </c>
      <c r="AA105" s="4"/>
      <c r="AB105" s="26" t="str">
        <f>IF($AA105="","",IFERROR(INDEX('CONTROL DE BATAN'!$J$2:$J$301,MATCH($AA105,'CONTROL DE BATAN'!$A$2:$A$301,0)),""))</f>
        <v/>
      </c>
      <c r="AC105" s="28" t="str">
        <f>IF($AA105="","",IFERROR(INDEX('CONTROL DE BATAN'!$I$2:$I$301,MATCH($AA105,'CONTROL DE BATAN'!$A$2:$A$301,0)),0)-SUMIFS($N$2:$N105,$AA$2:$AA105,$AA105))</f>
        <v/>
      </c>
    </row>
    <row r="106" spans="1:29" x14ac:dyDescent="0.25">
      <c r="A106" s="8" t="str">
        <f t="shared" si="8"/>
        <v/>
      </c>
      <c r="B106" s="9"/>
      <c r="C106" s="8" t="str">
        <f t="shared" si="9"/>
        <v/>
      </c>
      <c r="D106" s="10" t="str">
        <f t="shared" si="10"/>
        <v/>
      </c>
      <c r="E106" s="8" t="str">
        <f t="shared" si="11"/>
        <v/>
      </c>
      <c r="F106" s="8" t="str">
        <f>IF($G106="","",IFERROR(INDEX('MAESTRO DE UNIDADES'!$C$2:$C$208,MATCH($G106,'MAESTRO DE UNIDADES'!$A$2:$A$208,0)),""))</f>
        <v/>
      </c>
      <c r="G106" s="4"/>
      <c r="H106" s="8" t="str">
        <f>IF($G106="","",IFERROR(INDEX('MAESTRO DE UNIDADES'!$F$2:$F$208,MATCH($G106,'MAESTRO DE UNIDADES'!$A$2:$A$208,0)),""))</f>
        <v/>
      </c>
      <c r="I106" s="8" t="str">
        <f>IF($G106="","",IFERROR(INDEX('MAESTRO DE UNIDADES'!$B$2:$B$208,MATCH($G106,'MAESTRO DE UNIDADES'!$A$2:$A$208,0)),""))</f>
        <v/>
      </c>
      <c r="J106" s="4"/>
      <c r="K106" s="4"/>
      <c r="L106" s="4"/>
      <c r="M106" s="8" t="str">
        <f>IF($G106="","",IFERROR(INDEX('MAESTRO DE UNIDADES'!$H$2:$H$208,MATCH($G106,'MAESTRO DE UNIDADES'!$A$2:$A$208,0)),""))</f>
        <v/>
      </c>
      <c r="N106" s="17"/>
      <c r="O106" s="25"/>
      <c r="P106" s="26" t="str">
        <f t="shared" si="12"/>
        <v/>
      </c>
      <c r="Q106" s="27"/>
      <c r="R106" s="27"/>
      <c r="S106" s="28" t="str">
        <f>IF(OR($G106="",$Q106="",COUNTIF($G$2:G105,$G106)=0),"",$Q106-LOOKUP(2,1/($G$2:G105=$G106),$Q$2:Q105))</f>
        <v/>
      </c>
      <c r="T106" s="28" t="str">
        <f>IF(OR($G106="",$R106="",COUNTIF($G$2:G105,$G106)=0),"",$R106-LOOKUP(2,1/($G$2:G105=$G106),$R$2:R105))</f>
        <v/>
      </c>
      <c r="U106" s="11" t="str">
        <f t="shared" si="13"/>
        <v/>
      </c>
      <c r="V106" s="4"/>
      <c r="W106" s="4"/>
      <c r="X106" s="55"/>
      <c r="Y106" s="56" t="str">
        <f>IF($B106="","",IF((IF($G106="","Sin unidad | ","")&amp;IF($J106="","Sin responsable | ","")&amp;IF($K106="","Sin obra | ","")&amp;IF(AND($N106&lt;&gt;"",$G106&lt;&gt;"",$N106&gt;IFERROR(INDEX('MAESTRO DE UNIDADES'!$I$2:$I$208,MATCH($G106,'MAESTRO DE UNIDADES'!$A$2:$A$208,0)),0)),"Litros &gt; tanque | ","")&amp;IF(AND($W106&lt;&gt;"",COUNTIF($W$2:$W106,$W106)&gt;1),"Ticket duplicado | ","")&amp;IF(AND($G106&lt;&gt;"",IFERROR(INDEX('MAESTRO DE UNIDADES'!$L$2:$L$208,MATCH($G106,'MAESTRO DE UNIDADES'!$A$2:$A$208,0)),"")="Inactivo"),"Unidad inactiva | ","")&amp;IF(AND($AA106&lt;&gt;"",$N106=""),"Carga de batán sin litros | ","")&amp;IF(AND($AA106&lt;&gt;"",$AC106&lt;0),"Supera saldo batán | ",""))="","OK",LEFT((IF($G106="","Sin unidad | ","")&amp;IF($J106="","Sin responsable | ","")&amp;IF($K106="","Sin obra | ","")&amp;IF(AND($N106&lt;&gt;"",$G106&lt;&gt;"",$N106&gt;IFERROR(INDEX('MAESTRO DE UNIDADES'!$I$2:$I$208,MATCH($G106,'MAESTRO DE UNIDADES'!$A$2:$A$208,0)),0)),"Litros &gt; tanque | ","")&amp;IF(AND($W106&lt;&gt;"",COUNTIF($W$2:$W106,$W106)&gt;1),"Ticket duplicado | ","")&amp;IF(AND($G106&lt;&gt;"",IFERROR(INDEX('MAESTRO DE UNIDADES'!$L$2:$L$208,MATCH($G106,'MAESTRO DE UNIDADES'!$A$2:$A$208,0)),"")="Inactivo"),"Unidad inactiva | ","")&amp;IF(AND($AA106&lt;&gt;"",$N106=""),"Carga de batán sin litros | ","")&amp;IF(AND($AA106&lt;&gt;"",$AC106&lt;0),"Supera saldo batán | ","")),LEN((IF($G106="","Sin unidad | ","")&amp;IF($J106="","Sin responsable | ","")&amp;IF($K106="","Sin obra | ","")&amp;IF(AND($N106&lt;&gt;"",$G106&lt;&gt;"",$N106&gt;IFERROR(INDEX('MAESTRO DE UNIDADES'!$I$2:$I$208,MATCH($G106,'MAESTRO DE UNIDADES'!$A$2:$A$208,0)),0)),"Litros &gt; tanque | ","")&amp;IF(AND($W106&lt;&gt;"",COUNTIF($W$2:$W106,$W106)&gt;1),"Ticket duplicado | ","")&amp;IF(AND($G106&lt;&gt;"",IFERROR(INDEX('MAESTRO DE UNIDADES'!$L$2:$L$208,MATCH($G106,'MAESTRO DE UNIDADES'!$A$2:$A$208,0)),"")="Inactivo"),"Unidad inactiva | ","")&amp;IF(AND($AA106&lt;&gt;"",$N106=""),"Carga de batán sin litros | ","")&amp;IF(AND($AA106&lt;&gt;"",$AC106&lt;0),"Supera saldo batán | ","")))-3)))</f>
        <v/>
      </c>
      <c r="Z106" s="8" t="str">
        <f t="shared" si="14"/>
        <v/>
      </c>
      <c r="AA106" s="4"/>
      <c r="AB106" s="26" t="str">
        <f>IF($AA106="","",IFERROR(INDEX('CONTROL DE BATAN'!$J$2:$J$301,MATCH($AA106,'CONTROL DE BATAN'!$A$2:$A$301,0)),""))</f>
        <v/>
      </c>
      <c r="AC106" s="28" t="str">
        <f>IF($AA106="","",IFERROR(INDEX('CONTROL DE BATAN'!$I$2:$I$301,MATCH($AA106,'CONTROL DE BATAN'!$A$2:$A$301,0)),0)-SUMIFS($N$2:$N106,$AA$2:$AA106,$AA106))</f>
        <v/>
      </c>
    </row>
    <row r="107" spans="1:29" x14ac:dyDescent="0.25">
      <c r="A107" s="8" t="str">
        <f t="shared" si="8"/>
        <v/>
      </c>
      <c r="B107" s="9"/>
      <c r="C107" s="8" t="str">
        <f t="shared" si="9"/>
        <v/>
      </c>
      <c r="D107" s="10" t="str">
        <f t="shared" si="10"/>
        <v/>
      </c>
      <c r="E107" s="8" t="str">
        <f t="shared" si="11"/>
        <v/>
      </c>
      <c r="F107" s="8" t="str">
        <f>IF($G107="","",IFERROR(INDEX('MAESTRO DE UNIDADES'!$C$2:$C$208,MATCH($G107,'MAESTRO DE UNIDADES'!$A$2:$A$208,0)),""))</f>
        <v/>
      </c>
      <c r="G107" s="4"/>
      <c r="H107" s="8" t="str">
        <f>IF($G107="","",IFERROR(INDEX('MAESTRO DE UNIDADES'!$F$2:$F$208,MATCH($G107,'MAESTRO DE UNIDADES'!$A$2:$A$208,0)),""))</f>
        <v/>
      </c>
      <c r="I107" s="8" t="str">
        <f>IF($G107="","",IFERROR(INDEX('MAESTRO DE UNIDADES'!$B$2:$B$208,MATCH($G107,'MAESTRO DE UNIDADES'!$A$2:$A$208,0)),""))</f>
        <v/>
      </c>
      <c r="J107" s="4"/>
      <c r="K107" s="4"/>
      <c r="L107" s="4"/>
      <c r="M107" s="8" t="str">
        <f>IF($G107="","",IFERROR(INDEX('MAESTRO DE UNIDADES'!$H$2:$H$208,MATCH($G107,'MAESTRO DE UNIDADES'!$A$2:$A$208,0)),""))</f>
        <v/>
      </c>
      <c r="N107" s="17"/>
      <c r="O107" s="25"/>
      <c r="P107" s="26" t="str">
        <f t="shared" si="12"/>
        <v/>
      </c>
      <c r="Q107" s="27"/>
      <c r="R107" s="27"/>
      <c r="S107" s="28" t="str">
        <f>IF(OR($G107="",$Q107="",COUNTIF($G$2:G106,$G107)=0),"",$Q107-LOOKUP(2,1/($G$2:G106=$G107),$Q$2:Q106))</f>
        <v/>
      </c>
      <c r="T107" s="28" t="str">
        <f>IF(OR($G107="",$R107="",COUNTIF($G$2:G106,$G107)=0),"",$R107-LOOKUP(2,1/($G$2:G106=$G107),$R$2:R106))</f>
        <v/>
      </c>
      <c r="U107" s="11" t="str">
        <f t="shared" si="13"/>
        <v/>
      </c>
      <c r="V107" s="4"/>
      <c r="W107" s="4"/>
      <c r="X107" s="55"/>
      <c r="Y107" s="56" t="str">
        <f>IF($B107="","",IF((IF($G107="","Sin unidad | ","")&amp;IF($J107="","Sin responsable | ","")&amp;IF($K107="","Sin obra | ","")&amp;IF(AND($N107&lt;&gt;"",$G107&lt;&gt;"",$N107&gt;IFERROR(INDEX('MAESTRO DE UNIDADES'!$I$2:$I$208,MATCH($G107,'MAESTRO DE UNIDADES'!$A$2:$A$208,0)),0)),"Litros &gt; tanque | ","")&amp;IF(AND($W107&lt;&gt;"",COUNTIF($W$2:$W107,$W107)&gt;1),"Ticket duplicado | ","")&amp;IF(AND($G107&lt;&gt;"",IFERROR(INDEX('MAESTRO DE UNIDADES'!$L$2:$L$208,MATCH($G107,'MAESTRO DE UNIDADES'!$A$2:$A$208,0)),"")="Inactivo"),"Unidad inactiva | ","")&amp;IF(AND($AA107&lt;&gt;"",$N107=""),"Carga de batán sin litros | ","")&amp;IF(AND($AA107&lt;&gt;"",$AC107&lt;0),"Supera saldo batán | ",""))="","OK",LEFT((IF($G107="","Sin unidad | ","")&amp;IF($J107="","Sin responsable | ","")&amp;IF($K107="","Sin obra | ","")&amp;IF(AND($N107&lt;&gt;"",$G107&lt;&gt;"",$N107&gt;IFERROR(INDEX('MAESTRO DE UNIDADES'!$I$2:$I$208,MATCH($G107,'MAESTRO DE UNIDADES'!$A$2:$A$208,0)),0)),"Litros &gt; tanque | ","")&amp;IF(AND($W107&lt;&gt;"",COUNTIF($W$2:$W107,$W107)&gt;1),"Ticket duplicado | ","")&amp;IF(AND($G107&lt;&gt;"",IFERROR(INDEX('MAESTRO DE UNIDADES'!$L$2:$L$208,MATCH($G107,'MAESTRO DE UNIDADES'!$A$2:$A$208,0)),"")="Inactivo"),"Unidad inactiva | ","")&amp;IF(AND($AA107&lt;&gt;"",$N107=""),"Carga de batán sin litros | ","")&amp;IF(AND($AA107&lt;&gt;"",$AC107&lt;0),"Supera saldo batán | ","")),LEN((IF($G107="","Sin unidad | ","")&amp;IF($J107="","Sin responsable | ","")&amp;IF($K107="","Sin obra | ","")&amp;IF(AND($N107&lt;&gt;"",$G107&lt;&gt;"",$N107&gt;IFERROR(INDEX('MAESTRO DE UNIDADES'!$I$2:$I$208,MATCH($G107,'MAESTRO DE UNIDADES'!$A$2:$A$208,0)),0)),"Litros &gt; tanque | ","")&amp;IF(AND($W107&lt;&gt;"",COUNTIF($W$2:$W107,$W107)&gt;1),"Ticket duplicado | ","")&amp;IF(AND($G107&lt;&gt;"",IFERROR(INDEX('MAESTRO DE UNIDADES'!$L$2:$L$208,MATCH($G107,'MAESTRO DE UNIDADES'!$A$2:$A$208,0)),"")="Inactivo"),"Unidad inactiva | ","")&amp;IF(AND($AA107&lt;&gt;"",$N107=""),"Carga de batán sin litros | ","")&amp;IF(AND($AA107&lt;&gt;"",$AC107&lt;0),"Supera saldo batán | ","")))-3)))</f>
        <v/>
      </c>
      <c r="Z107" s="8" t="str">
        <f t="shared" si="14"/>
        <v/>
      </c>
      <c r="AA107" s="4"/>
      <c r="AB107" s="26" t="str">
        <f>IF($AA107="","",IFERROR(INDEX('CONTROL DE BATAN'!$J$2:$J$301,MATCH($AA107,'CONTROL DE BATAN'!$A$2:$A$301,0)),""))</f>
        <v/>
      </c>
      <c r="AC107" s="28" t="str">
        <f>IF($AA107="","",IFERROR(INDEX('CONTROL DE BATAN'!$I$2:$I$301,MATCH($AA107,'CONTROL DE BATAN'!$A$2:$A$301,0)),0)-SUMIFS($N$2:$N107,$AA$2:$AA107,$AA107))</f>
        <v/>
      </c>
    </row>
    <row r="108" spans="1:29" x14ac:dyDescent="0.25">
      <c r="A108" s="8" t="str">
        <f t="shared" si="8"/>
        <v/>
      </c>
      <c r="B108" s="9"/>
      <c r="C108" s="8" t="str">
        <f t="shared" si="9"/>
        <v/>
      </c>
      <c r="D108" s="10" t="str">
        <f t="shared" si="10"/>
        <v/>
      </c>
      <c r="E108" s="8" t="str">
        <f t="shared" si="11"/>
        <v/>
      </c>
      <c r="F108" s="8" t="str">
        <f>IF($G108="","",IFERROR(INDEX('MAESTRO DE UNIDADES'!$C$2:$C$208,MATCH($G108,'MAESTRO DE UNIDADES'!$A$2:$A$208,0)),""))</f>
        <v/>
      </c>
      <c r="G108" s="4"/>
      <c r="H108" s="8" t="str">
        <f>IF($G108="","",IFERROR(INDEX('MAESTRO DE UNIDADES'!$F$2:$F$208,MATCH($G108,'MAESTRO DE UNIDADES'!$A$2:$A$208,0)),""))</f>
        <v/>
      </c>
      <c r="I108" s="8" t="str">
        <f>IF($G108="","",IFERROR(INDEX('MAESTRO DE UNIDADES'!$B$2:$B$208,MATCH($G108,'MAESTRO DE UNIDADES'!$A$2:$A$208,0)),""))</f>
        <v/>
      </c>
      <c r="J108" s="4"/>
      <c r="K108" s="4"/>
      <c r="L108" s="4"/>
      <c r="M108" s="8" t="str">
        <f>IF($G108="","",IFERROR(INDEX('MAESTRO DE UNIDADES'!$H$2:$H$208,MATCH($G108,'MAESTRO DE UNIDADES'!$A$2:$A$208,0)),""))</f>
        <v/>
      </c>
      <c r="N108" s="17"/>
      <c r="O108" s="25"/>
      <c r="P108" s="26" t="str">
        <f t="shared" si="12"/>
        <v/>
      </c>
      <c r="Q108" s="27"/>
      <c r="R108" s="27"/>
      <c r="S108" s="28" t="str">
        <f>IF(OR($G108="",$Q108="",COUNTIF($G$2:G107,$G108)=0),"",$Q108-LOOKUP(2,1/($G$2:G107=$G108),$Q$2:Q107))</f>
        <v/>
      </c>
      <c r="T108" s="28" t="str">
        <f>IF(OR($G108="",$R108="",COUNTIF($G$2:G107,$G108)=0),"",$R108-LOOKUP(2,1/($G$2:G107=$G108),$R$2:R107))</f>
        <v/>
      </c>
      <c r="U108" s="11" t="str">
        <f t="shared" si="13"/>
        <v/>
      </c>
      <c r="V108" s="4"/>
      <c r="W108" s="4"/>
      <c r="X108" s="55"/>
      <c r="Y108" s="56" t="str">
        <f>IF($B108="","",IF((IF($G108="","Sin unidad | ","")&amp;IF($J108="","Sin responsable | ","")&amp;IF($K108="","Sin obra | ","")&amp;IF(AND($N108&lt;&gt;"",$G108&lt;&gt;"",$N108&gt;IFERROR(INDEX('MAESTRO DE UNIDADES'!$I$2:$I$208,MATCH($G108,'MAESTRO DE UNIDADES'!$A$2:$A$208,0)),0)),"Litros &gt; tanque | ","")&amp;IF(AND($W108&lt;&gt;"",COUNTIF($W$2:$W108,$W108)&gt;1),"Ticket duplicado | ","")&amp;IF(AND($G108&lt;&gt;"",IFERROR(INDEX('MAESTRO DE UNIDADES'!$L$2:$L$208,MATCH($G108,'MAESTRO DE UNIDADES'!$A$2:$A$208,0)),"")="Inactivo"),"Unidad inactiva | ","")&amp;IF(AND($AA108&lt;&gt;"",$N108=""),"Carga de batán sin litros | ","")&amp;IF(AND($AA108&lt;&gt;"",$AC108&lt;0),"Supera saldo batán | ",""))="","OK",LEFT((IF($G108="","Sin unidad | ","")&amp;IF($J108="","Sin responsable | ","")&amp;IF($K108="","Sin obra | ","")&amp;IF(AND($N108&lt;&gt;"",$G108&lt;&gt;"",$N108&gt;IFERROR(INDEX('MAESTRO DE UNIDADES'!$I$2:$I$208,MATCH($G108,'MAESTRO DE UNIDADES'!$A$2:$A$208,0)),0)),"Litros &gt; tanque | ","")&amp;IF(AND($W108&lt;&gt;"",COUNTIF($W$2:$W108,$W108)&gt;1),"Ticket duplicado | ","")&amp;IF(AND($G108&lt;&gt;"",IFERROR(INDEX('MAESTRO DE UNIDADES'!$L$2:$L$208,MATCH($G108,'MAESTRO DE UNIDADES'!$A$2:$A$208,0)),"")="Inactivo"),"Unidad inactiva | ","")&amp;IF(AND($AA108&lt;&gt;"",$N108=""),"Carga de batán sin litros | ","")&amp;IF(AND($AA108&lt;&gt;"",$AC108&lt;0),"Supera saldo batán | ","")),LEN((IF($G108="","Sin unidad | ","")&amp;IF($J108="","Sin responsable | ","")&amp;IF($K108="","Sin obra | ","")&amp;IF(AND($N108&lt;&gt;"",$G108&lt;&gt;"",$N108&gt;IFERROR(INDEX('MAESTRO DE UNIDADES'!$I$2:$I$208,MATCH($G108,'MAESTRO DE UNIDADES'!$A$2:$A$208,0)),0)),"Litros &gt; tanque | ","")&amp;IF(AND($W108&lt;&gt;"",COUNTIF($W$2:$W108,$W108)&gt;1),"Ticket duplicado | ","")&amp;IF(AND($G108&lt;&gt;"",IFERROR(INDEX('MAESTRO DE UNIDADES'!$L$2:$L$208,MATCH($G108,'MAESTRO DE UNIDADES'!$A$2:$A$208,0)),"")="Inactivo"),"Unidad inactiva | ","")&amp;IF(AND($AA108&lt;&gt;"",$N108=""),"Carga de batán sin litros | ","")&amp;IF(AND($AA108&lt;&gt;"",$AC108&lt;0),"Supera saldo batán | ","")))-3)))</f>
        <v/>
      </c>
      <c r="Z108" s="8" t="str">
        <f t="shared" si="14"/>
        <v/>
      </c>
      <c r="AA108" s="4"/>
      <c r="AB108" s="26" t="str">
        <f>IF($AA108="","",IFERROR(INDEX('CONTROL DE BATAN'!$J$2:$J$301,MATCH($AA108,'CONTROL DE BATAN'!$A$2:$A$301,0)),""))</f>
        <v/>
      </c>
      <c r="AC108" s="28" t="str">
        <f>IF($AA108="","",IFERROR(INDEX('CONTROL DE BATAN'!$I$2:$I$301,MATCH($AA108,'CONTROL DE BATAN'!$A$2:$A$301,0)),0)-SUMIFS($N$2:$N108,$AA$2:$AA108,$AA108))</f>
        <v/>
      </c>
    </row>
    <row r="109" spans="1:29" x14ac:dyDescent="0.25">
      <c r="A109" s="8" t="str">
        <f t="shared" si="8"/>
        <v/>
      </c>
      <c r="B109" s="9"/>
      <c r="C109" s="8" t="str">
        <f t="shared" si="9"/>
        <v/>
      </c>
      <c r="D109" s="10" t="str">
        <f t="shared" si="10"/>
        <v/>
      </c>
      <c r="E109" s="8" t="str">
        <f t="shared" si="11"/>
        <v/>
      </c>
      <c r="F109" s="8" t="str">
        <f>IF($G109="","",IFERROR(INDEX('MAESTRO DE UNIDADES'!$C$2:$C$208,MATCH($G109,'MAESTRO DE UNIDADES'!$A$2:$A$208,0)),""))</f>
        <v/>
      </c>
      <c r="G109" s="4"/>
      <c r="H109" s="8" t="str">
        <f>IF($G109="","",IFERROR(INDEX('MAESTRO DE UNIDADES'!$F$2:$F$208,MATCH($G109,'MAESTRO DE UNIDADES'!$A$2:$A$208,0)),""))</f>
        <v/>
      </c>
      <c r="I109" s="8" t="str">
        <f>IF($G109="","",IFERROR(INDEX('MAESTRO DE UNIDADES'!$B$2:$B$208,MATCH($G109,'MAESTRO DE UNIDADES'!$A$2:$A$208,0)),""))</f>
        <v/>
      </c>
      <c r="J109" s="4"/>
      <c r="K109" s="4"/>
      <c r="L109" s="4"/>
      <c r="M109" s="8" t="str">
        <f>IF($G109="","",IFERROR(INDEX('MAESTRO DE UNIDADES'!$H$2:$H$208,MATCH($G109,'MAESTRO DE UNIDADES'!$A$2:$A$208,0)),""))</f>
        <v/>
      </c>
      <c r="N109" s="17"/>
      <c r="O109" s="25"/>
      <c r="P109" s="26" t="str">
        <f t="shared" si="12"/>
        <v/>
      </c>
      <c r="Q109" s="27"/>
      <c r="R109" s="27"/>
      <c r="S109" s="28" t="str">
        <f>IF(OR($G109="",$Q109="",COUNTIF($G$2:G108,$G109)=0),"",$Q109-LOOKUP(2,1/($G$2:G108=$G109),$Q$2:Q108))</f>
        <v/>
      </c>
      <c r="T109" s="28" t="str">
        <f>IF(OR($G109="",$R109="",COUNTIF($G$2:G108,$G109)=0),"",$R109-LOOKUP(2,1/($G$2:G108=$G109),$R$2:R108))</f>
        <v/>
      </c>
      <c r="U109" s="11" t="str">
        <f t="shared" si="13"/>
        <v/>
      </c>
      <c r="V109" s="4"/>
      <c r="W109" s="4"/>
      <c r="X109" s="55"/>
      <c r="Y109" s="56" t="str">
        <f>IF($B109="","",IF((IF($G109="","Sin unidad | ","")&amp;IF($J109="","Sin responsable | ","")&amp;IF($K109="","Sin obra | ","")&amp;IF(AND($N109&lt;&gt;"",$G109&lt;&gt;"",$N109&gt;IFERROR(INDEX('MAESTRO DE UNIDADES'!$I$2:$I$208,MATCH($G109,'MAESTRO DE UNIDADES'!$A$2:$A$208,0)),0)),"Litros &gt; tanque | ","")&amp;IF(AND($W109&lt;&gt;"",COUNTIF($W$2:$W109,$W109)&gt;1),"Ticket duplicado | ","")&amp;IF(AND($G109&lt;&gt;"",IFERROR(INDEX('MAESTRO DE UNIDADES'!$L$2:$L$208,MATCH($G109,'MAESTRO DE UNIDADES'!$A$2:$A$208,0)),"")="Inactivo"),"Unidad inactiva | ","")&amp;IF(AND($AA109&lt;&gt;"",$N109=""),"Carga de batán sin litros | ","")&amp;IF(AND($AA109&lt;&gt;"",$AC109&lt;0),"Supera saldo batán | ",""))="","OK",LEFT((IF($G109="","Sin unidad | ","")&amp;IF($J109="","Sin responsable | ","")&amp;IF($K109="","Sin obra | ","")&amp;IF(AND($N109&lt;&gt;"",$G109&lt;&gt;"",$N109&gt;IFERROR(INDEX('MAESTRO DE UNIDADES'!$I$2:$I$208,MATCH($G109,'MAESTRO DE UNIDADES'!$A$2:$A$208,0)),0)),"Litros &gt; tanque | ","")&amp;IF(AND($W109&lt;&gt;"",COUNTIF($W$2:$W109,$W109)&gt;1),"Ticket duplicado | ","")&amp;IF(AND($G109&lt;&gt;"",IFERROR(INDEX('MAESTRO DE UNIDADES'!$L$2:$L$208,MATCH($G109,'MAESTRO DE UNIDADES'!$A$2:$A$208,0)),"")="Inactivo"),"Unidad inactiva | ","")&amp;IF(AND($AA109&lt;&gt;"",$N109=""),"Carga de batán sin litros | ","")&amp;IF(AND($AA109&lt;&gt;"",$AC109&lt;0),"Supera saldo batán | ","")),LEN((IF($G109="","Sin unidad | ","")&amp;IF($J109="","Sin responsable | ","")&amp;IF($K109="","Sin obra | ","")&amp;IF(AND($N109&lt;&gt;"",$G109&lt;&gt;"",$N109&gt;IFERROR(INDEX('MAESTRO DE UNIDADES'!$I$2:$I$208,MATCH($G109,'MAESTRO DE UNIDADES'!$A$2:$A$208,0)),0)),"Litros &gt; tanque | ","")&amp;IF(AND($W109&lt;&gt;"",COUNTIF($W$2:$W109,$W109)&gt;1),"Ticket duplicado | ","")&amp;IF(AND($G109&lt;&gt;"",IFERROR(INDEX('MAESTRO DE UNIDADES'!$L$2:$L$208,MATCH($G109,'MAESTRO DE UNIDADES'!$A$2:$A$208,0)),"")="Inactivo"),"Unidad inactiva | ","")&amp;IF(AND($AA109&lt;&gt;"",$N109=""),"Carga de batán sin litros | ","")&amp;IF(AND($AA109&lt;&gt;"",$AC109&lt;0),"Supera saldo batán | ","")))-3)))</f>
        <v/>
      </c>
      <c r="Z109" s="8" t="str">
        <f t="shared" si="14"/>
        <v/>
      </c>
      <c r="AA109" s="4"/>
      <c r="AB109" s="26" t="str">
        <f>IF($AA109="","",IFERROR(INDEX('CONTROL DE BATAN'!$J$2:$J$301,MATCH($AA109,'CONTROL DE BATAN'!$A$2:$A$301,0)),""))</f>
        <v/>
      </c>
      <c r="AC109" s="28" t="str">
        <f>IF($AA109="","",IFERROR(INDEX('CONTROL DE BATAN'!$I$2:$I$301,MATCH($AA109,'CONTROL DE BATAN'!$A$2:$A$301,0)),0)-SUMIFS($N$2:$N109,$AA$2:$AA109,$AA109))</f>
        <v/>
      </c>
    </row>
    <row r="110" spans="1:29" x14ac:dyDescent="0.25">
      <c r="A110" s="8" t="str">
        <f t="shared" si="8"/>
        <v/>
      </c>
      <c r="B110" s="9"/>
      <c r="C110" s="8" t="str">
        <f t="shared" si="9"/>
        <v/>
      </c>
      <c r="D110" s="10" t="str">
        <f t="shared" si="10"/>
        <v/>
      </c>
      <c r="E110" s="8" t="str">
        <f t="shared" si="11"/>
        <v/>
      </c>
      <c r="F110" s="8" t="str">
        <f>IF($G110="","",IFERROR(INDEX('MAESTRO DE UNIDADES'!$C$2:$C$208,MATCH($G110,'MAESTRO DE UNIDADES'!$A$2:$A$208,0)),""))</f>
        <v/>
      </c>
      <c r="G110" s="4"/>
      <c r="H110" s="8" t="str">
        <f>IF($G110="","",IFERROR(INDEX('MAESTRO DE UNIDADES'!$F$2:$F$208,MATCH($G110,'MAESTRO DE UNIDADES'!$A$2:$A$208,0)),""))</f>
        <v/>
      </c>
      <c r="I110" s="8" t="str">
        <f>IF($G110="","",IFERROR(INDEX('MAESTRO DE UNIDADES'!$B$2:$B$208,MATCH($G110,'MAESTRO DE UNIDADES'!$A$2:$A$208,0)),""))</f>
        <v/>
      </c>
      <c r="J110" s="4"/>
      <c r="K110" s="4"/>
      <c r="L110" s="4"/>
      <c r="M110" s="8" t="str">
        <f>IF($G110="","",IFERROR(INDEX('MAESTRO DE UNIDADES'!$H$2:$H$208,MATCH($G110,'MAESTRO DE UNIDADES'!$A$2:$A$208,0)),""))</f>
        <v/>
      </c>
      <c r="N110" s="25"/>
      <c r="O110" s="25"/>
      <c r="P110" s="26" t="str">
        <f t="shared" si="12"/>
        <v/>
      </c>
      <c r="Q110" s="27"/>
      <c r="R110" s="27"/>
      <c r="S110" s="28" t="str">
        <f>IF(OR($G110="",$Q110="",COUNTIF($G$2:G109,$G110)=0),"",$Q110-LOOKUP(2,1/($G$2:G109=$G110),$Q$2:Q109))</f>
        <v/>
      </c>
      <c r="T110" s="28" t="str">
        <f>IF(OR($G110="",$R110="",COUNTIF($G$2:G109,$G110)=0),"",$R110-LOOKUP(2,1/($G$2:G109=$G110),$R$2:R109))</f>
        <v/>
      </c>
      <c r="U110" s="11" t="str">
        <f t="shared" si="13"/>
        <v/>
      </c>
      <c r="V110" s="4"/>
      <c r="W110" s="4"/>
      <c r="X110" s="55"/>
      <c r="Y110" s="56" t="str">
        <f>IF($B110="","",IF((IF($G110="","Sin unidad | ","")&amp;IF($J110="","Sin responsable | ","")&amp;IF($K110="","Sin obra | ","")&amp;IF(AND($N110&lt;&gt;"",$G110&lt;&gt;"",$N110&gt;IFERROR(INDEX('MAESTRO DE UNIDADES'!$I$2:$I$208,MATCH($G110,'MAESTRO DE UNIDADES'!$A$2:$A$208,0)),0)),"Litros &gt; tanque | ","")&amp;IF(AND($W110&lt;&gt;"",COUNTIF($W$2:$W110,$W110)&gt;1),"Ticket duplicado | ","")&amp;IF(AND($G110&lt;&gt;"",IFERROR(INDEX('MAESTRO DE UNIDADES'!$L$2:$L$208,MATCH($G110,'MAESTRO DE UNIDADES'!$A$2:$A$208,0)),"")="Inactivo"),"Unidad inactiva | ","")&amp;IF(AND($AA110&lt;&gt;"",$N110=""),"Carga de batán sin litros | ","")&amp;IF(AND($AA110&lt;&gt;"",$AC110&lt;0),"Supera saldo batán | ",""))="","OK",LEFT((IF($G110="","Sin unidad | ","")&amp;IF($J110="","Sin responsable | ","")&amp;IF($K110="","Sin obra | ","")&amp;IF(AND($N110&lt;&gt;"",$G110&lt;&gt;"",$N110&gt;IFERROR(INDEX('MAESTRO DE UNIDADES'!$I$2:$I$208,MATCH($G110,'MAESTRO DE UNIDADES'!$A$2:$A$208,0)),0)),"Litros &gt; tanque | ","")&amp;IF(AND($W110&lt;&gt;"",COUNTIF($W$2:$W110,$W110)&gt;1),"Ticket duplicado | ","")&amp;IF(AND($G110&lt;&gt;"",IFERROR(INDEX('MAESTRO DE UNIDADES'!$L$2:$L$208,MATCH($G110,'MAESTRO DE UNIDADES'!$A$2:$A$208,0)),"")="Inactivo"),"Unidad inactiva | ","")&amp;IF(AND($AA110&lt;&gt;"",$N110=""),"Carga de batán sin litros | ","")&amp;IF(AND($AA110&lt;&gt;"",$AC110&lt;0),"Supera saldo batán | ","")),LEN((IF($G110="","Sin unidad | ","")&amp;IF($J110="","Sin responsable | ","")&amp;IF($K110="","Sin obra | ","")&amp;IF(AND($N110&lt;&gt;"",$G110&lt;&gt;"",$N110&gt;IFERROR(INDEX('MAESTRO DE UNIDADES'!$I$2:$I$208,MATCH($G110,'MAESTRO DE UNIDADES'!$A$2:$A$208,0)),0)),"Litros &gt; tanque | ","")&amp;IF(AND($W110&lt;&gt;"",COUNTIF($W$2:$W110,$W110)&gt;1),"Ticket duplicado | ","")&amp;IF(AND($G110&lt;&gt;"",IFERROR(INDEX('MAESTRO DE UNIDADES'!$L$2:$L$208,MATCH($G110,'MAESTRO DE UNIDADES'!$A$2:$A$208,0)),"")="Inactivo"),"Unidad inactiva | ","")&amp;IF(AND($AA110&lt;&gt;"",$N110=""),"Carga de batán sin litros | ","")&amp;IF(AND($AA110&lt;&gt;"",$AC110&lt;0),"Supera saldo batán | ","")))-3)))</f>
        <v/>
      </c>
      <c r="Z110" s="8" t="str">
        <f t="shared" si="14"/>
        <v/>
      </c>
      <c r="AA110" s="4"/>
      <c r="AB110" s="26" t="str">
        <f>IF($AA110="","",IFERROR(INDEX('CONTROL DE BATAN'!$J$2:$J$301,MATCH($AA110,'CONTROL DE BATAN'!$A$2:$A$301,0)),""))</f>
        <v/>
      </c>
      <c r="AC110" s="28" t="str">
        <f>IF($AA110="","",IFERROR(INDEX('CONTROL DE BATAN'!$I$2:$I$301,MATCH($AA110,'CONTROL DE BATAN'!$A$2:$A$301,0)),0)-SUMIFS($N$2:$N110,$AA$2:$AA110,$AA110))</f>
        <v/>
      </c>
    </row>
    <row r="111" spans="1:29" x14ac:dyDescent="0.25">
      <c r="A111" s="8" t="str">
        <f t="shared" si="8"/>
        <v/>
      </c>
      <c r="B111" s="9"/>
      <c r="C111" s="8" t="str">
        <f t="shared" si="9"/>
        <v/>
      </c>
      <c r="D111" s="10" t="str">
        <f t="shared" si="10"/>
        <v/>
      </c>
      <c r="E111" s="8" t="str">
        <f t="shared" si="11"/>
        <v/>
      </c>
      <c r="F111" s="8" t="str">
        <f>IF($G111="","",IFERROR(INDEX('MAESTRO DE UNIDADES'!$C$2:$C$208,MATCH($G111,'MAESTRO DE UNIDADES'!$A$2:$A$208,0)),""))</f>
        <v/>
      </c>
      <c r="G111" s="4"/>
      <c r="H111" s="8" t="str">
        <f>IF($G111="","",IFERROR(INDEX('MAESTRO DE UNIDADES'!$F$2:$F$208,MATCH($G111,'MAESTRO DE UNIDADES'!$A$2:$A$208,0)),""))</f>
        <v/>
      </c>
      <c r="I111" s="8" t="str">
        <f>IF($G111="","",IFERROR(INDEX('MAESTRO DE UNIDADES'!$B$2:$B$208,MATCH($G111,'MAESTRO DE UNIDADES'!$A$2:$A$208,0)),""))</f>
        <v/>
      </c>
      <c r="J111" s="4"/>
      <c r="K111" s="4"/>
      <c r="L111" s="4"/>
      <c r="M111" s="8" t="str">
        <f>IF($G111="","",IFERROR(INDEX('MAESTRO DE UNIDADES'!$H$2:$H$208,MATCH($G111,'MAESTRO DE UNIDADES'!$A$2:$A$208,0)),""))</f>
        <v/>
      </c>
      <c r="N111" s="25"/>
      <c r="O111" s="25"/>
      <c r="P111" s="26" t="str">
        <f t="shared" si="12"/>
        <v/>
      </c>
      <c r="Q111" s="27"/>
      <c r="R111" s="27"/>
      <c r="S111" s="28" t="str">
        <f>IF(OR($G111="",$Q111="",COUNTIF($G$2:G110,$G111)=0),"",$Q111-LOOKUP(2,1/($G$2:G110=$G111),$Q$2:Q110))</f>
        <v/>
      </c>
      <c r="T111" s="28" t="str">
        <f>IF(OR($G111="",$R111="",COUNTIF($G$2:G110,$G111)=0),"",$R111-LOOKUP(2,1/($G$2:G110=$G111),$R$2:R110))</f>
        <v/>
      </c>
      <c r="U111" s="11" t="str">
        <f t="shared" si="13"/>
        <v/>
      </c>
      <c r="V111" s="4"/>
      <c r="W111" s="4"/>
      <c r="X111" s="55"/>
      <c r="Y111" s="56" t="str">
        <f>IF($B111="","",IF((IF($G111="","Sin unidad | ","")&amp;IF($J111="","Sin responsable | ","")&amp;IF($K111="","Sin obra | ","")&amp;IF(AND($N111&lt;&gt;"",$G111&lt;&gt;"",$N111&gt;IFERROR(INDEX('MAESTRO DE UNIDADES'!$I$2:$I$208,MATCH($G111,'MAESTRO DE UNIDADES'!$A$2:$A$208,0)),0)),"Litros &gt; tanque | ","")&amp;IF(AND($W111&lt;&gt;"",COUNTIF($W$2:$W111,$W111)&gt;1),"Ticket duplicado | ","")&amp;IF(AND($G111&lt;&gt;"",IFERROR(INDEX('MAESTRO DE UNIDADES'!$L$2:$L$208,MATCH($G111,'MAESTRO DE UNIDADES'!$A$2:$A$208,0)),"")="Inactivo"),"Unidad inactiva | ","")&amp;IF(AND($AA111&lt;&gt;"",$N111=""),"Carga de batán sin litros | ","")&amp;IF(AND($AA111&lt;&gt;"",$AC111&lt;0),"Supera saldo batán | ",""))="","OK",LEFT((IF($G111="","Sin unidad | ","")&amp;IF($J111="","Sin responsable | ","")&amp;IF($K111="","Sin obra | ","")&amp;IF(AND($N111&lt;&gt;"",$G111&lt;&gt;"",$N111&gt;IFERROR(INDEX('MAESTRO DE UNIDADES'!$I$2:$I$208,MATCH($G111,'MAESTRO DE UNIDADES'!$A$2:$A$208,0)),0)),"Litros &gt; tanque | ","")&amp;IF(AND($W111&lt;&gt;"",COUNTIF($W$2:$W111,$W111)&gt;1),"Ticket duplicado | ","")&amp;IF(AND($G111&lt;&gt;"",IFERROR(INDEX('MAESTRO DE UNIDADES'!$L$2:$L$208,MATCH($G111,'MAESTRO DE UNIDADES'!$A$2:$A$208,0)),"")="Inactivo"),"Unidad inactiva | ","")&amp;IF(AND($AA111&lt;&gt;"",$N111=""),"Carga de batán sin litros | ","")&amp;IF(AND($AA111&lt;&gt;"",$AC111&lt;0),"Supera saldo batán | ","")),LEN((IF($G111="","Sin unidad | ","")&amp;IF($J111="","Sin responsable | ","")&amp;IF($K111="","Sin obra | ","")&amp;IF(AND($N111&lt;&gt;"",$G111&lt;&gt;"",$N111&gt;IFERROR(INDEX('MAESTRO DE UNIDADES'!$I$2:$I$208,MATCH($G111,'MAESTRO DE UNIDADES'!$A$2:$A$208,0)),0)),"Litros &gt; tanque | ","")&amp;IF(AND($W111&lt;&gt;"",COUNTIF($W$2:$W111,$W111)&gt;1),"Ticket duplicado | ","")&amp;IF(AND($G111&lt;&gt;"",IFERROR(INDEX('MAESTRO DE UNIDADES'!$L$2:$L$208,MATCH($G111,'MAESTRO DE UNIDADES'!$A$2:$A$208,0)),"")="Inactivo"),"Unidad inactiva | ","")&amp;IF(AND($AA111&lt;&gt;"",$N111=""),"Carga de batán sin litros | ","")&amp;IF(AND($AA111&lt;&gt;"",$AC111&lt;0),"Supera saldo batán | ","")))-3)))</f>
        <v/>
      </c>
      <c r="Z111" s="8" t="str">
        <f t="shared" si="14"/>
        <v/>
      </c>
      <c r="AA111" s="4"/>
      <c r="AB111" s="26" t="str">
        <f>IF($AA111="","",IFERROR(INDEX('CONTROL DE BATAN'!$J$2:$J$301,MATCH($AA111,'CONTROL DE BATAN'!$A$2:$A$301,0)),""))</f>
        <v/>
      </c>
      <c r="AC111" s="28" t="str">
        <f>IF($AA111="","",IFERROR(INDEX('CONTROL DE BATAN'!$I$2:$I$301,MATCH($AA111,'CONTROL DE BATAN'!$A$2:$A$301,0)),0)-SUMIFS($N$2:$N111,$AA$2:$AA111,$AA111))</f>
        <v/>
      </c>
    </row>
    <row r="112" spans="1:29" x14ac:dyDescent="0.25">
      <c r="A112" s="8" t="str">
        <f t="shared" si="8"/>
        <v/>
      </c>
      <c r="B112" s="9"/>
      <c r="C112" s="8" t="str">
        <f t="shared" si="9"/>
        <v/>
      </c>
      <c r="D112" s="10" t="str">
        <f t="shared" si="10"/>
        <v/>
      </c>
      <c r="E112" s="8" t="str">
        <f t="shared" si="11"/>
        <v/>
      </c>
      <c r="F112" s="8" t="str">
        <f>IF($G112="","",IFERROR(INDEX('MAESTRO DE UNIDADES'!$C$2:$C$208,MATCH($G112,'MAESTRO DE UNIDADES'!$A$2:$A$208,0)),""))</f>
        <v/>
      </c>
      <c r="G112" s="4"/>
      <c r="H112" s="8" t="str">
        <f>IF($G112="","",IFERROR(INDEX('MAESTRO DE UNIDADES'!$F$2:$F$208,MATCH($G112,'MAESTRO DE UNIDADES'!$A$2:$A$208,0)),""))</f>
        <v/>
      </c>
      <c r="I112" s="8" t="str">
        <f>IF($G112="","",IFERROR(INDEX('MAESTRO DE UNIDADES'!$B$2:$B$208,MATCH($G112,'MAESTRO DE UNIDADES'!$A$2:$A$208,0)),""))</f>
        <v/>
      </c>
      <c r="J112" s="4"/>
      <c r="K112" s="4"/>
      <c r="L112" s="4"/>
      <c r="M112" s="8" t="str">
        <f>IF($G112="","",IFERROR(INDEX('MAESTRO DE UNIDADES'!$H$2:$H$208,MATCH($G112,'MAESTRO DE UNIDADES'!$A$2:$A$208,0)),""))</f>
        <v/>
      </c>
      <c r="N112" s="25"/>
      <c r="O112" s="25"/>
      <c r="P112" s="26" t="str">
        <f t="shared" si="12"/>
        <v/>
      </c>
      <c r="Q112" s="27"/>
      <c r="R112" s="27"/>
      <c r="S112" s="28" t="str">
        <f>IF(OR($G112="",$Q112="",COUNTIF($G$2:G111,$G112)=0),"",$Q112-LOOKUP(2,1/($G$2:G111=$G112),$Q$2:Q111))</f>
        <v/>
      </c>
      <c r="T112" s="28" t="str">
        <f>IF(OR($G112="",$R112="",COUNTIF($G$2:G111,$G112)=0),"",$R112-LOOKUP(2,1/($G$2:G111=$G112),$R$2:R111))</f>
        <v/>
      </c>
      <c r="U112" s="11" t="str">
        <f t="shared" si="13"/>
        <v/>
      </c>
      <c r="V112" s="4"/>
      <c r="W112" s="4"/>
      <c r="X112" s="55"/>
      <c r="Y112" s="56" t="str">
        <f>IF($B112="","",IF((IF($G112="","Sin unidad | ","")&amp;IF($J112="","Sin responsable | ","")&amp;IF($K112="","Sin obra | ","")&amp;IF(AND($N112&lt;&gt;"",$G112&lt;&gt;"",$N112&gt;IFERROR(INDEX('MAESTRO DE UNIDADES'!$I$2:$I$208,MATCH($G112,'MAESTRO DE UNIDADES'!$A$2:$A$208,0)),0)),"Litros &gt; tanque | ","")&amp;IF(AND($W112&lt;&gt;"",COUNTIF($W$2:$W112,$W112)&gt;1),"Ticket duplicado | ","")&amp;IF(AND($G112&lt;&gt;"",IFERROR(INDEX('MAESTRO DE UNIDADES'!$L$2:$L$208,MATCH($G112,'MAESTRO DE UNIDADES'!$A$2:$A$208,0)),"")="Inactivo"),"Unidad inactiva | ","")&amp;IF(AND($AA112&lt;&gt;"",$N112=""),"Carga de batán sin litros | ","")&amp;IF(AND($AA112&lt;&gt;"",$AC112&lt;0),"Supera saldo batán | ",""))="","OK",LEFT((IF($G112="","Sin unidad | ","")&amp;IF($J112="","Sin responsable | ","")&amp;IF($K112="","Sin obra | ","")&amp;IF(AND($N112&lt;&gt;"",$G112&lt;&gt;"",$N112&gt;IFERROR(INDEX('MAESTRO DE UNIDADES'!$I$2:$I$208,MATCH($G112,'MAESTRO DE UNIDADES'!$A$2:$A$208,0)),0)),"Litros &gt; tanque | ","")&amp;IF(AND($W112&lt;&gt;"",COUNTIF($W$2:$W112,$W112)&gt;1),"Ticket duplicado | ","")&amp;IF(AND($G112&lt;&gt;"",IFERROR(INDEX('MAESTRO DE UNIDADES'!$L$2:$L$208,MATCH($G112,'MAESTRO DE UNIDADES'!$A$2:$A$208,0)),"")="Inactivo"),"Unidad inactiva | ","")&amp;IF(AND($AA112&lt;&gt;"",$N112=""),"Carga de batán sin litros | ","")&amp;IF(AND($AA112&lt;&gt;"",$AC112&lt;0),"Supera saldo batán | ","")),LEN((IF($G112="","Sin unidad | ","")&amp;IF($J112="","Sin responsable | ","")&amp;IF($K112="","Sin obra | ","")&amp;IF(AND($N112&lt;&gt;"",$G112&lt;&gt;"",$N112&gt;IFERROR(INDEX('MAESTRO DE UNIDADES'!$I$2:$I$208,MATCH($G112,'MAESTRO DE UNIDADES'!$A$2:$A$208,0)),0)),"Litros &gt; tanque | ","")&amp;IF(AND($W112&lt;&gt;"",COUNTIF($W$2:$W112,$W112)&gt;1),"Ticket duplicado | ","")&amp;IF(AND($G112&lt;&gt;"",IFERROR(INDEX('MAESTRO DE UNIDADES'!$L$2:$L$208,MATCH($G112,'MAESTRO DE UNIDADES'!$A$2:$A$208,0)),"")="Inactivo"),"Unidad inactiva | ","")&amp;IF(AND($AA112&lt;&gt;"",$N112=""),"Carga de batán sin litros | ","")&amp;IF(AND($AA112&lt;&gt;"",$AC112&lt;0),"Supera saldo batán | ","")))-3)))</f>
        <v/>
      </c>
      <c r="Z112" s="8" t="str">
        <f t="shared" si="14"/>
        <v/>
      </c>
      <c r="AA112" s="4"/>
      <c r="AB112" s="26" t="str">
        <f>IF($AA112="","",IFERROR(INDEX('CONTROL DE BATAN'!$J$2:$J$301,MATCH($AA112,'CONTROL DE BATAN'!$A$2:$A$301,0)),""))</f>
        <v/>
      </c>
      <c r="AC112" s="28" t="str">
        <f>IF($AA112="","",IFERROR(INDEX('CONTROL DE BATAN'!$I$2:$I$301,MATCH($AA112,'CONTROL DE BATAN'!$A$2:$A$301,0)),0)-SUMIFS($N$2:$N112,$AA$2:$AA112,$AA112))</f>
        <v/>
      </c>
    </row>
    <row r="113" spans="1:29" x14ac:dyDescent="0.25">
      <c r="A113" s="8" t="str">
        <f t="shared" si="8"/>
        <v/>
      </c>
      <c r="B113" s="9"/>
      <c r="C113" s="8" t="str">
        <f t="shared" si="9"/>
        <v/>
      </c>
      <c r="D113" s="10" t="str">
        <f t="shared" si="10"/>
        <v/>
      </c>
      <c r="E113" s="8" t="str">
        <f t="shared" si="11"/>
        <v/>
      </c>
      <c r="F113" s="8" t="str">
        <f>IF($G113="","",IFERROR(INDEX('MAESTRO DE UNIDADES'!$C$2:$C$208,MATCH($G113,'MAESTRO DE UNIDADES'!$A$2:$A$208,0)),""))</f>
        <v/>
      </c>
      <c r="G113" s="4"/>
      <c r="H113" s="8" t="str">
        <f>IF($G113="","",IFERROR(INDEX('MAESTRO DE UNIDADES'!$F$2:$F$208,MATCH($G113,'MAESTRO DE UNIDADES'!$A$2:$A$208,0)),""))</f>
        <v/>
      </c>
      <c r="I113" s="8" t="str">
        <f>IF($G113="","",IFERROR(INDEX('MAESTRO DE UNIDADES'!$B$2:$B$208,MATCH($G113,'MAESTRO DE UNIDADES'!$A$2:$A$208,0)),""))</f>
        <v/>
      </c>
      <c r="J113" s="4"/>
      <c r="K113" s="4"/>
      <c r="L113" s="4"/>
      <c r="M113" s="8" t="str">
        <f>IF($G113="","",IFERROR(INDEX('MAESTRO DE UNIDADES'!$H$2:$H$208,MATCH($G113,'MAESTRO DE UNIDADES'!$A$2:$A$208,0)),""))</f>
        <v/>
      </c>
      <c r="N113" s="25"/>
      <c r="O113" s="25"/>
      <c r="P113" s="26" t="str">
        <f t="shared" si="12"/>
        <v/>
      </c>
      <c r="Q113" s="27"/>
      <c r="R113" s="27"/>
      <c r="S113" s="28" t="str">
        <f>IF(OR($G113="",$Q113="",COUNTIF($G$2:G112,$G113)=0),"",$Q113-LOOKUP(2,1/($G$2:G112=$G113),$Q$2:Q112))</f>
        <v/>
      </c>
      <c r="T113" s="28" t="str">
        <f>IF(OR($G113="",$R113="",COUNTIF($G$2:G112,$G113)=0),"",$R113-LOOKUP(2,1/($G$2:G112=$G113),$R$2:R112))</f>
        <v/>
      </c>
      <c r="U113" s="11" t="str">
        <f t="shared" si="13"/>
        <v/>
      </c>
      <c r="V113" s="4"/>
      <c r="W113" s="4"/>
      <c r="X113" s="55"/>
      <c r="Y113" s="56" t="str">
        <f>IF($B113="","",IF((IF($G113="","Sin unidad | ","")&amp;IF($J113="","Sin responsable | ","")&amp;IF($K113="","Sin obra | ","")&amp;IF(AND($N113&lt;&gt;"",$G113&lt;&gt;"",$N113&gt;IFERROR(INDEX('MAESTRO DE UNIDADES'!$I$2:$I$208,MATCH($G113,'MAESTRO DE UNIDADES'!$A$2:$A$208,0)),0)),"Litros &gt; tanque | ","")&amp;IF(AND($W113&lt;&gt;"",COUNTIF($W$2:$W113,$W113)&gt;1),"Ticket duplicado | ","")&amp;IF(AND($G113&lt;&gt;"",IFERROR(INDEX('MAESTRO DE UNIDADES'!$L$2:$L$208,MATCH($G113,'MAESTRO DE UNIDADES'!$A$2:$A$208,0)),"")="Inactivo"),"Unidad inactiva | ","")&amp;IF(AND($AA113&lt;&gt;"",$N113=""),"Carga de batán sin litros | ","")&amp;IF(AND($AA113&lt;&gt;"",$AC113&lt;0),"Supera saldo batán | ",""))="","OK",LEFT((IF($G113="","Sin unidad | ","")&amp;IF($J113="","Sin responsable | ","")&amp;IF($K113="","Sin obra | ","")&amp;IF(AND($N113&lt;&gt;"",$G113&lt;&gt;"",$N113&gt;IFERROR(INDEX('MAESTRO DE UNIDADES'!$I$2:$I$208,MATCH($G113,'MAESTRO DE UNIDADES'!$A$2:$A$208,0)),0)),"Litros &gt; tanque | ","")&amp;IF(AND($W113&lt;&gt;"",COUNTIF($W$2:$W113,$W113)&gt;1),"Ticket duplicado | ","")&amp;IF(AND($G113&lt;&gt;"",IFERROR(INDEX('MAESTRO DE UNIDADES'!$L$2:$L$208,MATCH($G113,'MAESTRO DE UNIDADES'!$A$2:$A$208,0)),"")="Inactivo"),"Unidad inactiva | ","")&amp;IF(AND($AA113&lt;&gt;"",$N113=""),"Carga de batán sin litros | ","")&amp;IF(AND($AA113&lt;&gt;"",$AC113&lt;0),"Supera saldo batán | ","")),LEN((IF($G113="","Sin unidad | ","")&amp;IF($J113="","Sin responsable | ","")&amp;IF($K113="","Sin obra | ","")&amp;IF(AND($N113&lt;&gt;"",$G113&lt;&gt;"",$N113&gt;IFERROR(INDEX('MAESTRO DE UNIDADES'!$I$2:$I$208,MATCH($G113,'MAESTRO DE UNIDADES'!$A$2:$A$208,0)),0)),"Litros &gt; tanque | ","")&amp;IF(AND($W113&lt;&gt;"",COUNTIF($W$2:$W113,$W113)&gt;1),"Ticket duplicado | ","")&amp;IF(AND($G113&lt;&gt;"",IFERROR(INDEX('MAESTRO DE UNIDADES'!$L$2:$L$208,MATCH($G113,'MAESTRO DE UNIDADES'!$A$2:$A$208,0)),"")="Inactivo"),"Unidad inactiva | ","")&amp;IF(AND($AA113&lt;&gt;"",$N113=""),"Carga de batán sin litros | ","")&amp;IF(AND($AA113&lt;&gt;"",$AC113&lt;0),"Supera saldo batán | ","")))-3)))</f>
        <v/>
      </c>
      <c r="Z113" s="8" t="str">
        <f t="shared" si="14"/>
        <v/>
      </c>
      <c r="AA113" s="4"/>
      <c r="AB113" s="26" t="str">
        <f>IF($AA113="","",IFERROR(INDEX('CONTROL DE BATAN'!$J$2:$J$301,MATCH($AA113,'CONTROL DE BATAN'!$A$2:$A$301,0)),""))</f>
        <v/>
      </c>
      <c r="AC113" s="28" t="str">
        <f>IF($AA113="","",IFERROR(INDEX('CONTROL DE BATAN'!$I$2:$I$301,MATCH($AA113,'CONTROL DE BATAN'!$A$2:$A$301,0)),0)-SUMIFS($N$2:$N113,$AA$2:$AA113,$AA113))</f>
        <v/>
      </c>
    </row>
    <row r="114" spans="1:29" x14ac:dyDescent="0.25">
      <c r="A114" s="8" t="str">
        <f t="shared" si="8"/>
        <v/>
      </c>
      <c r="B114" s="9"/>
      <c r="C114" s="8" t="str">
        <f t="shared" si="9"/>
        <v/>
      </c>
      <c r="D114" s="10" t="str">
        <f t="shared" si="10"/>
        <v/>
      </c>
      <c r="E114" s="8" t="str">
        <f t="shared" si="11"/>
        <v/>
      </c>
      <c r="F114" s="8" t="str">
        <f>IF($G114="","",IFERROR(INDEX('MAESTRO DE UNIDADES'!$C$2:$C$208,MATCH($G114,'MAESTRO DE UNIDADES'!$A$2:$A$208,0)),""))</f>
        <v/>
      </c>
      <c r="G114" s="4"/>
      <c r="H114" s="8" t="str">
        <f>IF($G114="","",IFERROR(INDEX('MAESTRO DE UNIDADES'!$F$2:$F$208,MATCH($G114,'MAESTRO DE UNIDADES'!$A$2:$A$208,0)),""))</f>
        <v/>
      </c>
      <c r="I114" s="8" t="str">
        <f>IF($G114="","",IFERROR(INDEX('MAESTRO DE UNIDADES'!$B$2:$B$208,MATCH($G114,'MAESTRO DE UNIDADES'!$A$2:$A$208,0)),""))</f>
        <v/>
      </c>
      <c r="J114" s="4"/>
      <c r="K114" s="4"/>
      <c r="L114" s="4"/>
      <c r="M114" s="8" t="str">
        <f>IF($G114="","",IFERROR(INDEX('MAESTRO DE UNIDADES'!$H$2:$H$208,MATCH($G114,'MAESTRO DE UNIDADES'!$A$2:$A$208,0)),""))</f>
        <v/>
      </c>
      <c r="N114" s="25"/>
      <c r="O114" s="25"/>
      <c r="P114" s="26" t="str">
        <f t="shared" si="12"/>
        <v/>
      </c>
      <c r="Q114" s="27"/>
      <c r="R114" s="27"/>
      <c r="S114" s="28" t="str">
        <f>IF(OR($G114="",$Q114="",COUNTIF($G$2:G113,$G114)=0),"",$Q114-LOOKUP(2,1/($G$2:G113=$G114),$Q$2:Q113))</f>
        <v/>
      </c>
      <c r="T114" s="28" t="str">
        <f>IF(OR($G114="",$R114="",COUNTIF($G$2:G113,$G114)=0),"",$R114-LOOKUP(2,1/($G$2:G113=$G114),$R$2:R113))</f>
        <v/>
      </c>
      <c r="U114" s="11" t="str">
        <f t="shared" si="13"/>
        <v/>
      </c>
      <c r="V114" s="4"/>
      <c r="W114" s="4"/>
      <c r="X114" s="55"/>
      <c r="Y114" s="56" t="str">
        <f>IF($B114="","",IF((IF($G114="","Sin unidad | ","")&amp;IF($J114="","Sin responsable | ","")&amp;IF($K114="","Sin obra | ","")&amp;IF(AND($N114&lt;&gt;"",$G114&lt;&gt;"",$N114&gt;IFERROR(INDEX('MAESTRO DE UNIDADES'!$I$2:$I$208,MATCH($G114,'MAESTRO DE UNIDADES'!$A$2:$A$208,0)),0)),"Litros &gt; tanque | ","")&amp;IF(AND($W114&lt;&gt;"",COUNTIF($W$2:$W114,$W114)&gt;1),"Ticket duplicado | ","")&amp;IF(AND($G114&lt;&gt;"",IFERROR(INDEX('MAESTRO DE UNIDADES'!$L$2:$L$208,MATCH($G114,'MAESTRO DE UNIDADES'!$A$2:$A$208,0)),"")="Inactivo"),"Unidad inactiva | ","")&amp;IF(AND($AA114&lt;&gt;"",$N114=""),"Carga de batán sin litros | ","")&amp;IF(AND($AA114&lt;&gt;"",$AC114&lt;0),"Supera saldo batán | ",""))="","OK",LEFT((IF($G114="","Sin unidad | ","")&amp;IF($J114="","Sin responsable | ","")&amp;IF($K114="","Sin obra | ","")&amp;IF(AND($N114&lt;&gt;"",$G114&lt;&gt;"",$N114&gt;IFERROR(INDEX('MAESTRO DE UNIDADES'!$I$2:$I$208,MATCH($G114,'MAESTRO DE UNIDADES'!$A$2:$A$208,0)),0)),"Litros &gt; tanque | ","")&amp;IF(AND($W114&lt;&gt;"",COUNTIF($W$2:$W114,$W114)&gt;1),"Ticket duplicado | ","")&amp;IF(AND($G114&lt;&gt;"",IFERROR(INDEX('MAESTRO DE UNIDADES'!$L$2:$L$208,MATCH($G114,'MAESTRO DE UNIDADES'!$A$2:$A$208,0)),"")="Inactivo"),"Unidad inactiva | ","")&amp;IF(AND($AA114&lt;&gt;"",$N114=""),"Carga de batán sin litros | ","")&amp;IF(AND($AA114&lt;&gt;"",$AC114&lt;0),"Supera saldo batán | ","")),LEN((IF($G114="","Sin unidad | ","")&amp;IF($J114="","Sin responsable | ","")&amp;IF($K114="","Sin obra | ","")&amp;IF(AND($N114&lt;&gt;"",$G114&lt;&gt;"",$N114&gt;IFERROR(INDEX('MAESTRO DE UNIDADES'!$I$2:$I$208,MATCH($G114,'MAESTRO DE UNIDADES'!$A$2:$A$208,0)),0)),"Litros &gt; tanque | ","")&amp;IF(AND($W114&lt;&gt;"",COUNTIF($W$2:$W114,$W114)&gt;1),"Ticket duplicado | ","")&amp;IF(AND($G114&lt;&gt;"",IFERROR(INDEX('MAESTRO DE UNIDADES'!$L$2:$L$208,MATCH($G114,'MAESTRO DE UNIDADES'!$A$2:$A$208,0)),"")="Inactivo"),"Unidad inactiva | ","")&amp;IF(AND($AA114&lt;&gt;"",$N114=""),"Carga de batán sin litros | ","")&amp;IF(AND($AA114&lt;&gt;"",$AC114&lt;0),"Supera saldo batán | ","")))-3)))</f>
        <v/>
      </c>
      <c r="Z114" s="8" t="str">
        <f t="shared" si="14"/>
        <v/>
      </c>
      <c r="AA114" s="4"/>
      <c r="AB114" s="26" t="str">
        <f>IF($AA114="","",IFERROR(INDEX('CONTROL DE BATAN'!$J$2:$J$301,MATCH($AA114,'CONTROL DE BATAN'!$A$2:$A$301,0)),""))</f>
        <v/>
      </c>
      <c r="AC114" s="28" t="str">
        <f>IF($AA114="","",IFERROR(INDEX('CONTROL DE BATAN'!$I$2:$I$301,MATCH($AA114,'CONTROL DE BATAN'!$A$2:$A$301,0)),0)-SUMIFS($N$2:$N114,$AA$2:$AA114,$AA114))</f>
        <v/>
      </c>
    </row>
    <row r="115" spans="1:29" x14ac:dyDescent="0.25">
      <c r="A115" s="8" t="str">
        <f t="shared" si="8"/>
        <v/>
      </c>
      <c r="B115" s="9"/>
      <c r="C115" s="8" t="str">
        <f t="shared" si="9"/>
        <v/>
      </c>
      <c r="D115" s="10" t="str">
        <f t="shared" si="10"/>
        <v/>
      </c>
      <c r="E115" s="8" t="str">
        <f t="shared" si="11"/>
        <v/>
      </c>
      <c r="F115" s="8" t="str">
        <f>IF($G115="","",IFERROR(INDEX('MAESTRO DE UNIDADES'!$C$2:$C$208,MATCH($G115,'MAESTRO DE UNIDADES'!$A$2:$A$208,0)),""))</f>
        <v/>
      </c>
      <c r="G115" s="4"/>
      <c r="H115" s="8" t="str">
        <f>IF($G115="","",IFERROR(INDEX('MAESTRO DE UNIDADES'!$F$2:$F$208,MATCH($G115,'MAESTRO DE UNIDADES'!$A$2:$A$208,0)),""))</f>
        <v/>
      </c>
      <c r="I115" s="8" t="str">
        <f>IF($G115="","",IFERROR(INDEX('MAESTRO DE UNIDADES'!$B$2:$B$208,MATCH($G115,'MAESTRO DE UNIDADES'!$A$2:$A$208,0)),""))</f>
        <v/>
      </c>
      <c r="J115" s="4"/>
      <c r="K115" s="4"/>
      <c r="L115" s="4"/>
      <c r="M115" s="8" t="str">
        <f>IF($G115="","",IFERROR(INDEX('MAESTRO DE UNIDADES'!$H$2:$H$208,MATCH($G115,'MAESTRO DE UNIDADES'!$A$2:$A$208,0)),""))</f>
        <v/>
      </c>
      <c r="N115" s="25"/>
      <c r="O115" s="25"/>
      <c r="P115" s="26" t="str">
        <f t="shared" si="12"/>
        <v/>
      </c>
      <c r="Q115" s="27"/>
      <c r="R115" s="27"/>
      <c r="S115" s="28" t="str">
        <f>IF(OR($G115="",$Q115="",COUNTIF($G$2:G114,$G115)=0),"",$Q115-LOOKUP(2,1/($G$2:G114=$G115),$Q$2:Q114))</f>
        <v/>
      </c>
      <c r="T115" s="28" t="str">
        <f>IF(OR($G115="",$R115="",COUNTIF($G$2:G114,$G115)=0),"",$R115-LOOKUP(2,1/($G$2:G114=$G115),$R$2:R114))</f>
        <v/>
      </c>
      <c r="U115" s="11" t="str">
        <f t="shared" si="13"/>
        <v/>
      </c>
      <c r="V115" s="4"/>
      <c r="W115" s="4"/>
      <c r="X115" s="55"/>
      <c r="Y115" s="56" t="str">
        <f>IF($B115="","",IF((IF($G115="","Sin unidad | ","")&amp;IF($J115="","Sin responsable | ","")&amp;IF($K115="","Sin obra | ","")&amp;IF(AND($N115&lt;&gt;"",$G115&lt;&gt;"",$N115&gt;IFERROR(INDEX('MAESTRO DE UNIDADES'!$I$2:$I$208,MATCH($G115,'MAESTRO DE UNIDADES'!$A$2:$A$208,0)),0)),"Litros &gt; tanque | ","")&amp;IF(AND($W115&lt;&gt;"",COUNTIF($W$2:$W115,$W115)&gt;1),"Ticket duplicado | ","")&amp;IF(AND($G115&lt;&gt;"",IFERROR(INDEX('MAESTRO DE UNIDADES'!$L$2:$L$208,MATCH($G115,'MAESTRO DE UNIDADES'!$A$2:$A$208,0)),"")="Inactivo"),"Unidad inactiva | ","")&amp;IF(AND($AA115&lt;&gt;"",$N115=""),"Carga de batán sin litros | ","")&amp;IF(AND($AA115&lt;&gt;"",$AC115&lt;0),"Supera saldo batán | ",""))="","OK",LEFT((IF($G115="","Sin unidad | ","")&amp;IF($J115="","Sin responsable | ","")&amp;IF($K115="","Sin obra | ","")&amp;IF(AND($N115&lt;&gt;"",$G115&lt;&gt;"",$N115&gt;IFERROR(INDEX('MAESTRO DE UNIDADES'!$I$2:$I$208,MATCH($G115,'MAESTRO DE UNIDADES'!$A$2:$A$208,0)),0)),"Litros &gt; tanque | ","")&amp;IF(AND($W115&lt;&gt;"",COUNTIF($W$2:$W115,$W115)&gt;1),"Ticket duplicado | ","")&amp;IF(AND($G115&lt;&gt;"",IFERROR(INDEX('MAESTRO DE UNIDADES'!$L$2:$L$208,MATCH($G115,'MAESTRO DE UNIDADES'!$A$2:$A$208,0)),"")="Inactivo"),"Unidad inactiva | ","")&amp;IF(AND($AA115&lt;&gt;"",$N115=""),"Carga de batán sin litros | ","")&amp;IF(AND($AA115&lt;&gt;"",$AC115&lt;0),"Supera saldo batán | ","")),LEN((IF($G115="","Sin unidad | ","")&amp;IF($J115="","Sin responsable | ","")&amp;IF($K115="","Sin obra | ","")&amp;IF(AND($N115&lt;&gt;"",$G115&lt;&gt;"",$N115&gt;IFERROR(INDEX('MAESTRO DE UNIDADES'!$I$2:$I$208,MATCH($G115,'MAESTRO DE UNIDADES'!$A$2:$A$208,0)),0)),"Litros &gt; tanque | ","")&amp;IF(AND($W115&lt;&gt;"",COUNTIF($W$2:$W115,$W115)&gt;1),"Ticket duplicado | ","")&amp;IF(AND($G115&lt;&gt;"",IFERROR(INDEX('MAESTRO DE UNIDADES'!$L$2:$L$208,MATCH($G115,'MAESTRO DE UNIDADES'!$A$2:$A$208,0)),"")="Inactivo"),"Unidad inactiva | ","")&amp;IF(AND($AA115&lt;&gt;"",$N115=""),"Carga de batán sin litros | ","")&amp;IF(AND($AA115&lt;&gt;"",$AC115&lt;0),"Supera saldo batán | ","")))-3)))</f>
        <v/>
      </c>
      <c r="Z115" s="8" t="str">
        <f t="shared" si="14"/>
        <v/>
      </c>
      <c r="AA115" s="4"/>
      <c r="AB115" s="26" t="str">
        <f>IF($AA115="","",IFERROR(INDEX('CONTROL DE BATAN'!$J$2:$J$301,MATCH($AA115,'CONTROL DE BATAN'!$A$2:$A$301,0)),""))</f>
        <v/>
      </c>
      <c r="AC115" s="28" t="str">
        <f>IF($AA115="","",IFERROR(INDEX('CONTROL DE BATAN'!$I$2:$I$301,MATCH($AA115,'CONTROL DE BATAN'!$A$2:$A$301,0)),0)-SUMIFS($N$2:$N115,$AA$2:$AA115,$AA115))</f>
        <v/>
      </c>
    </row>
    <row r="116" spans="1:29" x14ac:dyDescent="0.25">
      <c r="A116" s="8" t="str">
        <f t="shared" si="8"/>
        <v/>
      </c>
      <c r="B116" s="9"/>
      <c r="C116" s="8" t="str">
        <f t="shared" si="9"/>
        <v/>
      </c>
      <c r="D116" s="10" t="str">
        <f t="shared" si="10"/>
        <v/>
      </c>
      <c r="E116" s="8" t="str">
        <f t="shared" si="11"/>
        <v/>
      </c>
      <c r="F116" s="8" t="str">
        <f>IF($G116="","",IFERROR(INDEX('MAESTRO DE UNIDADES'!$C$2:$C$208,MATCH($G116,'MAESTRO DE UNIDADES'!$A$2:$A$208,0)),""))</f>
        <v/>
      </c>
      <c r="G116" s="4"/>
      <c r="H116" s="8" t="str">
        <f>IF($G116="","",IFERROR(INDEX('MAESTRO DE UNIDADES'!$F$2:$F$208,MATCH($G116,'MAESTRO DE UNIDADES'!$A$2:$A$208,0)),""))</f>
        <v/>
      </c>
      <c r="I116" s="8" t="str">
        <f>IF($G116="","",IFERROR(INDEX('MAESTRO DE UNIDADES'!$B$2:$B$208,MATCH($G116,'MAESTRO DE UNIDADES'!$A$2:$A$208,0)),""))</f>
        <v/>
      </c>
      <c r="J116" s="4"/>
      <c r="K116" s="4"/>
      <c r="L116" s="4"/>
      <c r="M116" s="8" t="str">
        <f>IF($G116="","",IFERROR(INDEX('MAESTRO DE UNIDADES'!$H$2:$H$208,MATCH($G116,'MAESTRO DE UNIDADES'!$A$2:$A$208,0)),""))</f>
        <v/>
      </c>
      <c r="N116" s="25"/>
      <c r="O116" s="25"/>
      <c r="P116" s="26" t="str">
        <f t="shared" si="12"/>
        <v/>
      </c>
      <c r="Q116" s="27"/>
      <c r="R116" s="27"/>
      <c r="S116" s="28" t="str">
        <f>IF(OR($G116="",$Q116="",COUNTIF($G$2:G115,$G116)=0),"",$Q116-LOOKUP(2,1/($G$2:G115=$G116),$Q$2:Q115))</f>
        <v/>
      </c>
      <c r="T116" s="28" t="str">
        <f>IF(OR($G116="",$R116="",COUNTIF($G$2:G115,$G116)=0),"",$R116-LOOKUP(2,1/($G$2:G115=$G116),$R$2:R115))</f>
        <v/>
      </c>
      <c r="U116" s="11" t="str">
        <f t="shared" si="13"/>
        <v/>
      </c>
      <c r="V116" s="4"/>
      <c r="W116" s="4"/>
      <c r="X116" s="55"/>
      <c r="Y116" s="56" t="str">
        <f>IF($B116="","",IF((IF($G116="","Sin unidad | ","")&amp;IF($J116="","Sin responsable | ","")&amp;IF($K116="","Sin obra | ","")&amp;IF(AND($N116&lt;&gt;"",$G116&lt;&gt;"",$N116&gt;IFERROR(INDEX('MAESTRO DE UNIDADES'!$I$2:$I$208,MATCH($G116,'MAESTRO DE UNIDADES'!$A$2:$A$208,0)),0)),"Litros &gt; tanque | ","")&amp;IF(AND($W116&lt;&gt;"",COUNTIF($W$2:$W116,$W116)&gt;1),"Ticket duplicado | ","")&amp;IF(AND($G116&lt;&gt;"",IFERROR(INDEX('MAESTRO DE UNIDADES'!$L$2:$L$208,MATCH($G116,'MAESTRO DE UNIDADES'!$A$2:$A$208,0)),"")="Inactivo"),"Unidad inactiva | ","")&amp;IF(AND($AA116&lt;&gt;"",$N116=""),"Carga de batán sin litros | ","")&amp;IF(AND($AA116&lt;&gt;"",$AC116&lt;0),"Supera saldo batán | ",""))="","OK",LEFT((IF($G116="","Sin unidad | ","")&amp;IF($J116="","Sin responsable | ","")&amp;IF($K116="","Sin obra | ","")&amp;IF(AND($N116&lt;&gt;"",$G116&lt;&gt;"",$N116&gt;IFERROR(INDEX('MAESTRO DE UNIDADES'!$I$2:$I$208,MATCH($G116,'MAESTRO DE UNIDADES'!$A$2:$A$208,0)),0)),"Litros &gt; tanque | ","")&amp;IF(AND($W116&lt;&gt;"",COUNTIF($W$2:$W116,$W116)&gt;1),"Ticket duplicado | ","")&amp;IF(AND($G116&lt;&gt;"",IFERROR(INDEX('MAESTRO DE UNIDADES'!$L$2:$L$208,MATCH($G116,'MAESTRO DE UNIDADES'!$A$2:$A$208,0)),"")="Inactivo"),"Unidad inactiva | ","")&amp;IF(AND($AA116&lt;&gt;"",$N116=""),"Carga de batán sin litros | ","")&amp;IF(AND($AA116&lt;&gt;"",$AC116&lt;0),"Supera saldo batán | ","")),LEN((IF($G116="","Sin unidad | ","")&amp;IF($J116="","Sin responsable | ","")&amp;IF($K116="","Sin obra | ","")&amp;IF(AND($N116&lt;&gt;"",$G116&lt;&gt;"",$N116&gt;IFERROR(INDEX('MAESTRO DE UNIDADES'!$I$2:$I$208,MATCH($G116,'MAESTRO DE UNIDADES'!$A$2:$A$208,0)),0)),"Litros &gt; tanque | ","")&amp;IF(AND($W116&lt;&gt;"",COUNTIF($W$2:$W116,$W116)&gt;1),"Ticket duplicado | ","")&amp;IF(AND($G116&lt;&gt;"",IFERROR(INDEX('MAESTRO DE UNIDADES'!$L$2:$L$208,MATCH($G116,'MAESTRO DE UNIDADES'!$A$2:$A$208,0)),"")="Inactivo"),"Unidad inactiva | ","")&amp;IF(AND($AA116&lt;&gt;"",$N116=""),"Carga de batán sin litros | ","")&amp;IF(AND($AA116&lt;&gt;"",$AC116&lt;0),"Supera saldo batán | ","")))-3)))</f>
        <v/>
      </c>
      <c r="Z116" s="8" t="str">
        <f t="shared" si="14"/>
        <v/>
      </c>
      <c r="AA116" s="4"/>
      <c r="AB116" s="26" t="str">
        <f>IF($AA116="","",IFERROR(INDEX('CONTROL DE BATAN'!$J$2:$J$301,MATCH($AA116,'CONTROL DE BATAN'!$A$2:$A$301,0)),""))</f>
        <v/>
      </c>
      <c r="AC116" s="28" t="str">
        <f>IF($AA116="","",IFERROR(INDEX('CONTROL DE BATAN'!$I$2:$I$301,MATCH($AA116,'CONTROL DE BATAN'!$A$2:$A$301,0)),0)-SUMIFS($N$2:$N116,$AA$2:$AA116,$AA116))</f>
        <v/>
      </c>
    </row>
    <row r="117" spans="1:29" x14ac:dyDescent="0.25">
      <c r="A117" s="8" t="str">
        <f t="shared" si="8"/>
        <v/>
      </c>
      <c r="B117" s="9"/>
      <c r="C117" s="8" t="str">
        <f t="shared" si="9"/>
        <v/>
      </c>
      <c r="D117" s="10" t="str">
        <f t="shared" si="10"/>
        <v/>
      </c>
      <c r="E117" s="8" t="str">
        <f t="shared" si="11"/>
        <v/>
      </c>
      <c r="F117" s="8" t="str">
        <f>IF($G117="","",IFERROR(INDEX('MAESTRO DE UNIDADES'!$C$2:$C$208,MATCH($G117,'MAESTRO DE UNIDADES'!$A$2:$A$208,0)),""))</f>
        <v/>
      </c>
      <c r="G117" s="4"/>
      <c r="H117" s="8" t="str">
        <f>IF($G117="","",IFERROR(INDEX('MAESTRO DE UNIDADES'!$F$2:$F$208,MATCH($G117,'MAESTRO DE UNIDADES'!$A$2:$A$208,0)),""))</f>
        <v/>
      </c>
      <c r="I117" s="8" t="str">
        <f>IF($G117="","",IFERROR(INDEX('MAESTRO DE UNIDADES'!$B$2:$B$208,MATCH($G117,'MAESTRO DE UNIDADES'!$A$2:$A$208,0)),""))</f>
        <v/>
      </c>
      <c r="J117" s="4"/>
      <c r="K117" s="4"/>
      <c r="L117" s="4"/>
      <c r="M117" s="8" t="str">
        <f>IF($G117="","",IFERROR(INDEX('MAESTRO DE UNIDADES'!$H$2:$H$208,MATCH($G117,'MAESTRO DE UNIDADES'!$A$2:$A$208,0)),""))</f>
        <v/>
      </c>
      <c r="N117" s="25"/>
      <c r="O117" s="25"/>
      <c r="P117" s="26" t="str">
        <f t="shared" si="12"/>
        <v/>
      </c>
      <c r="Q117" s="27"/>
      <c r="R117" s="27"/>
      <c r="S117" s="28" t="str">
        <f>IF(OR($G117="",$Q117="",COUNTIF($G$2:G116,$G117)=0),"",$Q117-LOOKUP(2,1/($G$2:G116=$G117),$Q$2:Q116))</f>
        <v/>
      </c>
      <c r="T117" s="28" t="str">
        <f>IF(OR($G117="",$R117="",COUNTIF($G$2:G116,$G117)=0),"",$R117-LOOKUP(2,1/($G$2:G116=$G117),$R$2:R116))</f>
        <v/>
      </c>
      <c r="U117" s="11" t="str">
        <f t="shared" si="13"/>
        <v/>
      </c>
      <c r="V117" s="4"/>
      <c r="W117" s="4"/>
      <c r="X117" s="55"/>
      <c r="Y117" s="56" t="str">
        <f>IF($B117="","",IF((IF($G117="","Sin unidad | ","")&amp;IF($J117="","Sin responsable | ","")&amp;IF($K117="","Sin obra | ","")&amp;IF(AND($N117&lt;&gt;"",$G117&lt;&gt;"",$N117&gt;IFERROR(INDEX('MAESTRO DE UNIDADES'!$I$2:$I$208,MATCH($G117,'MAESTRO DE UNIDADES'!$A$2:$A$208,0)),0)),"Litros &gt; tanque | ","")&amp;IF(AND($W117&lt;&gt;"",COUNTIF($W$2:$W117,$W117)&gt;1),"Ticket duplicado | ","")&amp;IF(AND($G117&lt;&gt;"",IFERROR(INDEX('MAESTRO DE UNIDADES'!$L$2:$L$208,MATCH($G117,'MAESTRO DE UNIDADES'!$A$2:$A$208,0)),"")="Inactivo"),"Unidad inactiva | ","")&amp;IF(AND($AA117&lt;&gt;"",$N117=""),"Carga de batán sin litros | ","")&amp;IF(AND($AA117&lt;&gt;"",$AC117&lt;0),"Supera saldo batán | ",""))="","OK",LEFT((IF($G117="","Sin unidad | ","")&amp;IF($J117="","Sin responsable | ","")&amp;IF($K117="","Sin obra | ","")&amp;IF(AND($N117&lt;&gt;"",$G117&lt;&gt;"",$N117&gt;IFERROR(INDEX('MAESTRO DE UNIDADES'!$I$2:$I$208,MATCH($G117,'MAESTRO DE UNIDADES'!$A$2:$A$208,0)),0)),"Litros &gt; tanque | ","")&amp;IF(AND($W117&lt;&gt;"",COUNTIF($W$2:$W117,$W117)&gt;1),"Ticket duplicado | ","")&amp;IF(AND($G117&lt;&gt;"",IFERROR(INDEX('MAESTRO DE UNIDADES'!$L$2:$L$208,MATCH($G117,'MAESTRO DE UNIDADES'!$A$2:$A$208,0)),"")="Inactivo"),"Unidad inactiva | ","")&amp;IF(AND($AA117&lt;&gt;"",$N117=""),"Carga de batán sin litros | ","")&amp;IF(AND($AA117&lt;&gt;"",$AC117&lt;0),"Supera saldo batán | ","")),LEN((IF($G117="","Sin unidad | ","")&amp;IF($J117="","Sin responsable | ","")&amp;IF($K117="","Sin obra | ","")&amp;IF(AND($N117&lt;&gt;"",$G117&lt;&gt;"",$N117&gt;IFERROR(INDEX('MAESTRO DE UNIDADES'!$I$2:$I$208,MATCH($G117,'MAESTRO DE UNIDADES'!$A$2:$A$208,0)),0)),"Litros &gt; tanque | ","")&amp;IF(AND($W117&lt;&gt;"",COUNTIF($W$2:$W117,$W117)&gt;1),"Ticket duplicado | ","")&amp;IF(AND($G117&lt;&gt;"",IFERROR(INDEX('MAESTRO DE UNIDADES'!$L$2:$L$208,MATCH($G117,'MAESTRO DE UNIDADES'!$A$2:$A$208,0)),"")="Inactivo"),"Unidad inactiva | ","")&amp;IF(AND($AA117&lt;&gt;"",$N117=""),"Carga de batán sin litros | ","")&amp;IF(AND($AA117&lt;&gt;"",$AC117&lt;0),"Supera saldo batán | ","")))-3)))</f>
        <v/>
      </c>
      <c r="Z117" s="8" t="str">
        <f t="shared" si="14"/>
        <v/>
      </c>
      <c r="AA117" s="4"/>
      <c r="AB117" s="26" t="str">
        <f>IF($AA117="","",IFERROR(INDEX('CONTROL DE BATAN'!$J$2:$J$301,MATCH($AA117,'CONTROL DE BATAN'!$A$2:$A$301,0)),""))</f>
        <v/>
      </c>
      <c r="AC117" s="28" t="str">
        <f>IF($AA117="","",IFERROR(INDEX('CONTROL DE BATAN'!$I$2:$I$301,MATCH($AA117,'CONTROL DE BATAN'!$A$2:$A$301,0)),0)-SUMIFS($N$2:$N117,$AA$2:$AA117,$AA117))</f>
        <v/>
      </c>
    </row>
    <row r="118" spans="1:29" x14ac:dyDescent="0.25">
      <c r="A118" s="8" t="str">
        <f t="shared" si="8"/>
        <v/>
      </c>
      <c r="B118" s="9"/>
      <c r="C118" s="8" t="str">
        <f t="shared" si="9"/>
        <v/>
      </c>
      <c r="D118" s="10" t="str">
        <f t="shared" si="10"/>
        <v/>
      </c>
      <c r="E118" s="8" t="str">
        <f t="shared" si="11"/>
        <v/>
      </c>
      <c r="F118" s="8" t="str">
        <f>IF($G118="","",IFERROR(INDEX('MAESTRO DE UNIDADES'!$C$2:$C$208,MATCH($G118,'MAESTRO DE UNIDADES'!$A$2:$A$208,0)),""))</f>
        <v/>
      </c>
      <c r="G118" s="4"/>
      <c r="H118" s="8" t="str">
        <f>IF($G118="","",IFERROR(INDEX('MAESTRO DE UNIDADES'!$F$2:$F$208,MATCH($G118,'MAESTRO DE UNIDADES'!$A$2:$A$208,0)),""))</f>
        <v/>
      </c>
      <c r="I118" s="8" t="str">
        <f>IF($G118="","",IFERROR(INDEX('MAESTRO DE UNIDADES'!$B$2:$B$208,MATCH($G118,'MAESTRO DE UNIDADES'!$A$2:$A$208,0)),""))</f>
        <v/>
      </c>
      <c r="J118" s="4"/>
      <c r="K118" s="4"/>
      <c r="L118" s="4"/>
      <c r="M118" s="8" t="str">
        <f>IF($G118="","",IFERROR(INDEX('MAESTRO DE UNIDADES'!$H$2:$H$208,MATCH($G118,'MAESTRO DE UNIDADES'!$A$2:$A$208,0)),""))</f>
        <v/>
      </c>
      <c r="N118" s="25"/>
      <c r="O118" s="25"/>
      <c r="P118" s="26" t="str">
        <f t="shared" si="12"/>
        <v/>
      </c>
      <c r="Q118" s="27"/>
      <c r="R118" s="27"/>
      <c r="S118" s="28" t="str">
        <f>IF(OR($G118="",$Q118="",COUNTIF($G$2:G117,$G118)=0),"",$Q118-LOOKUP(2,1/($G$2:G117=$G118),$Q$2:Q117))</f>
        <v/>
      </c>
      <c r="T118" s="28" t="str">
        <f>IF(OR($G118="",$R118="",COUNTIF($G$2:G117,$G118)=0),"",$R118-LOOKUP(2,1/($G$2:G117=$G118),$R$2:R117))</f>
        <v/>
      </c>
      <c r="U118" s="11" t="str">
        <f t="shared" si="13"/>
        <v/>
      </c>
      <c r="V118" s="4"/>
      <c r="W118" s="4"/>
      <c r="X118" s="55"/>
      <c r="Y118" s="56" t="str">
        <f>IF($B118="","",IF((IF($G118="","Sin unidad | ","")&amp;IF($J118="","Sin responsable | ","")&amp;IF($K118="","Sin obra | ","")&amp;IF(AND($N118&lt;&gt;"",$G118&lt;&gt;"",$N118&gt;IFERROR(INDEX('MAESTRO DE UNIDADES'!$I$2:$I$208,MATCH($G118,'MAESTRO DE UNIDADES'!$A$2:$A$208,0)),0)),"Litros &gt; tanque | ","")&amp;IF(AND($W118&lt;&gt;"",COUNTIF($W$2:$W118,$W118)&gt;1),"Ticket duplicado | ","")&amp;IF(AND($G118&lt;&gt;"",IFERROR(INDEX('MAESTRO DE UNIDADES'!$L$2:$L$208,MATCH($G118,'MAESTRO DE UNIDADES'!$A$2:$A$208,0)),"")="Inactivo"),"Unidad inactiva | ","")&amp;IF(AND($AA118&lt;&gt;"",$N118=""),"Carga de batán sin litros | ","")&amp;IF(AND($AA118&lt;&gt;"",$AC118&lt;0),"Supera saldo batán | ",""))="","OK",LEFT((IF($G118="","Sin unidad | ","")&amp;IF($J118="","Sin responsable | ","")&amp;IF($K118="","Sin obra | ","")&amp;IF(AND($N118&lt;&gt;"",$G118&lt;&gt;"",$N118&gt;IFERROR(INDEX('MAESTRO DE UNIDADES'!$I$2:$I$208,MATCH($G118,'MAESTRO DE UNIDADES'!$A$2:$A$208,0)),0)),"Litros &gt; tanque | ","")&amp;IF(AND($W118&lt;&gt;"",COUNTIF($W$2:$W118,$W118)&gt;1),"Ticket duplicado | ","")&amp;IF(AND($G118&lt;&gt;"",IFERROR(INDEX('MAESTRO DE UNIDADES'!$L$2:$L$208,MATCH($G118,'MAESTRO DE UNIDADES'!$A$2:$A$208,0)),"")="Inactivo"),"Unidad inactiva | ","")&amp;IF(AND($AA118&lt;&gt;"",$N118=""),"Carga de batán sin litros | ","")&amp;IF(AND($AA118&lt;&gt;"",$AC118&lt;0),"Supera saldo batán | ","")),LEN((IF($G118="","Sin unidad | ","")&amp;IF($J118="","Sin responsable | ","")&amp;IF($K118="","Sin obra | ","")&amp;IF(AND($N118&lt;&gt;"",$G118&lt;&gt;"",$N118&gt;IFERROR(INDEX('MAESTRO DE UNIDADES'!$I$2:$I$208,MATCH($G118,'MAESTRO DE UNIDADES'!$A$2:$A$208,0)),0)),"Litros &gt; tanque | ","")&amp;IF(AND($W118&lt;&gt;"",COUNTIF($W$2:$W118,$W118)&gt;1),"Ticket duplicado | ","")&amp;IF(AND($G118&lt;&gt;"",IFERROR(INDEX('MAESTRO DE UNIDADES'!$L$2:$L$208,MATCH($G118,'MAESTRO DE UNIDADES'!$A$2:$A$208,0)),"")="Inactivo"),"Unidad inactiva | ","")&amp;IF(AND($AA118&lt;&gt;"",$N118=""),"Carga de batán sin litros | ","")&amp;IF(AND($AA118&lt;&gt;"",$AC118&lt;0),"Supera saldo batán | ","")))-3)))</f>
        <v/>
      </c>
      <c r="Z118" s="8" t="str">
        <f t="shared" si="14"/>
        <v/>
      </c>
      <c r="AA118" s="4"/>
      <c r="AB118" s="26" t="str">
        <f>IF($AA118="","",IFERROR(INDEX('CONTROL DE BATAN'!$J$2:$J$301,MATCH($AA118,'CONTROL DE BATAN'!$A$2:$A$301,0)),""))</f>
        <v/>
      </c>
      <c r="AC118" s="28" t="str">
        <f>IF($AA118="","",IFERROR(INDEX('CONTROL DE BATAN'!$I$2:$I$301,MATCH($AA118,'CONTROL DE BATAN'!$A$2:$A$301,0)),0)-SUMIFS($N$2:$N118,$AA$2:$AA118,$AA118))</f>
        <v/>
      </c>
    </row>
    <row r="119" spans="1:29" x14ac:dyDescent="0.25">
      <c r="A119" s="8" t="str">
        <f t="shared" si="8"/>
        <v/>
      </c>
      <c r="B119" s="9"/>
      <c r="C119" s="8" t="str">
        <f t="shared" si="9"/>
        <v/>
      </c>
      <c r="D119" s="10" t="str">
        <f t="shared" si="10"/>
        <v/>
      </c>
      <c r="E119" s="8" t="str">
        <f t="shared" si="11"/>
        <v/>
      </c>
      <c r="F119" s="8" t="str">
        <f>IF($G119="","",IFERROR(INDEX('MAESTRO DE UNIDADES'!$C$2:$C$208,MATCH($G119,'MAESTRO DE UNIDADES'!$A$2:$A$208,0)),""))</f>
        <v/>
      </c>
      <c r="G119" s="4"/>
      <c r="H119" s="8" t="str">
        <f>IF($G119="","",IFERROR(INDEX('MAESTRO DE UNIDADES'!$F$2:$F$208,MATCH($G119,'MAESTRO DE UNIDADES'!$A$2:$A$208,0)),""))</f>
        <v/>
      </c>
      <c r="I119" s="8" t="str">
        <f>IF($G119="","",IFERROR(INDEX('MAESTRO DE UNIDADES'!$B$2:$B$208,MATCH($G119,'MAESTRO DE UNIDADES'!$A$2:$A$208,0)),""))</f>
        <v/>
      </c>
      <c r="J119" s="4"/>
      <c r="K119" s="4"/>
      <c r="L119" s="4"/>
      <c r="M119" s="8" t="str">
        <f>IF($G119="","",IFERROR(INDEX('MAESTRO DE UNIDADES'!$H$2:$H$208,MATCH($G119,'MAESTRO DE UNIDADES'!$A$2:$A$208,0)),""))</f>
        <v/>
      </c>
      <c r="N119" s="25"/>
      <c r="O119" s="25"/>
      <c r="P119" s="26" t="str">
        <f t="shared" si="12"/>
        <v/>
      </c>
      <c r="Q119" s="27"/>
      <c r="R119" s="27"/>
      <c r="S119" s="28" t="str">
        <f>IF(OR($G119="",$Q119="",COUNTIF($G$2:G118,$G119)=0),"",$Q119-LOOKUP(2,1/($G$2:G118=$G119),$Q$2:Q118))</f>
        <v/>
      </c>
      <c r="T119" s="28" t="str">
        <f>IF(OR($G119="",$R119="",COUNTIF($G$2:G118,$G119)=0),"",$R119-LOOKUP(2,1/($G$2:G118=$G119),$R$2:R118))</f>
        <v/>
      </c>
      <c r="U119" s="11" t="str">
        <f t="shared" si="13"/>
        <v/>
      </c>
      <c r="V119" s="4"/>
      <c r="W119" s="4"/>
      <c r="X119" s="55"/>
      <c r="Y119" s="56" t="str">
        <f>IF($B119="","",IF((IF($G119="","Sin unidad | ","")&amp;IF($J119="","Sin responsable | ","")&amp;IF($K119="","Sin obra | ","")&amp;IF(AND($N119&lt;&gt;"",$G119&lt;&gt;"",$N119&gt;IFERROR(INDEX('MAESTRO DE UNIDADES'!$I$2:$I$208,MATCH($G119,'MAESTRO DE UNIDADES'!$A$2:$A$208,0)),0)),"Litros &gt; tanque | ","")&amp;IF(AND($W119&lt;&gt;"",COUNTIF($W$2:$W119,$W119)&gt;1),"Ticket duplicado | ","")&amp;IF(AND($G119&lt;&gt;"",IFERROR(INDEX('MAESTRO DE UNIDADES'!$L$2:$L$208,MATCH($G119,'MAESTRO DE UNIDADES'!$A$2:$A$208,0)),"")="Inactivo"),"Unidad inactiva | ","")&amp;IF(AND($AA119&lt;&gt;"",$N119=""),"Carga de batán sin litros | ","")&amp;IF(AND($AA119&lt;&gt;"",$AC119&lt;0),"Supera saldo batán | ",""))="","OK",LEFT((IF($G119="","Sin unidad | ","")&amp;IF($J119="","Sin responsable | ","")&amp;IF($K119="","Sin obra | ","")&amp;IF(AND($N119&lt;&gt;"",$G119&lt;&gt;"",$N119&gt;IFERROR(INDEX('MAESTRO DE UNIDADES'!$I$2:$I$208,MATCH($G119,'MAESTRO DE UNIDADES'!$A$2:$A$208,0)),0)),"Litros &gt; tanque | ","")&amp;IF(AND($W119&lt;&gt;"",COUNTIF($W$2:$W119,$W119)&gt;1),"Ticket duplicado | ","")&amp;IF(AND($G119&lt;&gt;"",IFERROR(INDEX('MAESTRO DE UNIDADES'!$L$2:$L$208,MATCH($G119,'MAESTRO DE UNIDADES'!$A$2:$A$208,0)),"")="Inactivo"),"Unidad inactiva | ","")&amp;IF(AND($AA119&lt;&gt;"",$N119=""),"Carga de batán sin litros | ","")&amp;IF(AND($AA119&lt;&gt;"",$AC119&lt;0),"Supera saldo batán | ","")),LEN((IF($G119="","Sin unidad | ","")&amp;IF($J119="","Sin responsable | ","")&amp;IF($K119="","Sin obra | ","")&amp;IF(AND($N119&lt;&gt;"",$G119&lt;&gt;"",$N119&gt;IFERROR(INDEX('MAESTRO DE UNIDADES'!$I$2:$I$208,MATCH($G119,'MAESTRO DE UNIDADES'!$A$2:$A$208,0)),0)),"Litros &gt; tanque | ","")&amp;IF(AND($W119&lt;&gt;"",COUNTIF($W$2:$W119,$W119)&gt;1),"Ticket duplicado | ","")&amp;IF(AND($G119&lt;&gt;"",IFERROR(INDEX('MAESTRO DE UNIDADES'!$L$2:$L$208,MATCH($G119,'MAESTRO DE UNIDADES'!$A$2:$A$208,0)),"")="Inactivo"),"Unidad inactiva | ","")&amp;IF(AND($AA119&lt;&gt;"",$N119=""),"Carga de batán sin litros | ","")&amp;IF(AND($AA119&lt;&gt;"",$AC119&lt;0),"Supera saldo batán | ","")))-3)))</f>
        <v/>
      </c>
      <c r="Z119" s="8" t="str">
        <f t="shared" si="14"/>
        <v/>
      </c>
      <c r="AA119" s="4"/>
      <c r="AB119" s="26" t="str">
        <f>IF($AA119="","",IFERROR(INDEX('CONTROL DE BATAN'!$J$2:$J$301,MATCH($AA119,'CONTROL DE BATAN'!$A$2:$A$301,0)),""))</f>
        <v/>
      </c>
      <c r="AC119" s="28" t="str">
        <f>IF($AA119="","",IFERROR(INDEX('CONTROL DE BATAN'!$I$2:$I$301,MATCH($AA119,'CONTROL DE BATAN'!$A$2:$A$301,0)),0)-SUMIFS($N$2:$N119,$AA$2:$AA119,$AA119))</f>
        <v/>
      </c>
    </row>
    <row r="120" spans="1:29" x14ac:dyDescent="0.25">
      <c r="A120" s="8" t="str">
        <f t="shared" si="8"/>
        <v/>
      </c>
      <c r="B120" s="9"/>
      <c r="C120" s="8" t="str">
        <f t="shared" si="9"/>
        <v/>
      </c>
      <c r="D120" s="10" t="str">
        <f t="shared" si="10"/>
        <v/>
      </c>
      <c r="E120" s="8" t="str">
        <f t="shared" si="11"/>
        <v/>
      </c>
      <c r="F120" s="8" t="str">
        <f>IF($G120="","",IFERROR(INDEX('MAESTRO DE UNIDADES'!$C$2:$C$208,MATCH($G120,'MAESTRO DE UNIDADES'!$A$2:$A$208,0)),""))</f>
        <v/>
      </c>
      <c r="G120" s="4"/>
      <c r="H120" s="8" t="str">
        <f>IF($G120="","",IFERROR(INDEX('MAESTRO DE UNIDADES'!$F$2:$F$208,MATCH($G120,'MAESTRO DE UNIDADES'!$A$2:$A$208,0)),""))</f>
        <v/>
      </c>
      <c r="I120" s="8" t="str">
        <f>IF($G120="","",IFERROR(INDEX('MAESTRO DE UNIDADES'!$B$2:$B$208,MATCH($G120,'MAESTRO DE UNIDADES'!$A$2:$A$208,0)),""))</f>
        <v/>
      </c>
      <c r="J120" s="4"/>
      <c r="K120" s="4"/>
      <c r="L120" s="4"/>
      <c r="M120" s="8" t="str">
        <f>IF($G120="","",IFERROR(INDEX('MAESTRO DE UNIDADES'!$H$2:$H$208,MATCH($G120,'MAESTRO DE UNIDADES'!$A$2:$A$208,0)),""))</f>
        <v/>
      </c>
      <c r="N120" s="25"/>
      <c r="O120" s="25"/>
      <c r="P120" s="26" t="str">
        <f t="shared" si="12"/>
        <v/>
      </c>
      <c r="Q120" s="27"/>
      <c r="R120" s="27"/>
      <c r="S120" s="28" t="str">
        <f>IF(OR($G120="",$Q120="",COUNTIF($G$2:G119,$G120)=0),"",$Q120-LOOKUP(2,1/($G$2:G119=$G120),$Q$2:Q119))</f>
        <v/>
      </c>
      <c r="T120" s="28" t="str">
        <f>IF(OR($G120="",$R120="",COUNTIF($G$2:G119,$G120)=0),"",$R120-LOOKUP(2,1/($G$2:G119=$G120),$R$2:R119))</f>
        <v/>
      </c>
      <c r="U120" s="11" t="str">
        <f t="shared" si="13"/>
        <v/>
      </c>
      <c r="V120" s="4"/>
      <c r="W120" s="4"/>
      <c r="X120" s="55"/>
      <c r="Y120" s="56" t="str">
        <f>IF($B120="","",IF((IF($G120="","Sin unidad | ","")&amp;IF($J120="","Sin responsable | ","")&amp;IF($K120="","Sin obra | ","")&amp;IF(AND($N120&lt;&gt;"",$G120&lt;&gt;"",$N120&gt;IFERROR(INDEX('MAESTRO DE UNIDADES'!$I$2:$I$208,MATCH($G120,'MAESTRO DE UNIDADES'!$A$2:$A$208,0)),0)),"Litros &gt; tanque | ","")&amp;IF(AND($W120&lt;&gt;"",COUNTIF($W$2:$W120,$W120)&gt;1),"Ticket duplicado | ","")&amp;IF(AND($G120&lt;&gt;"",IFERROR(INDEX('MAESTRO DE UNIDADES'!$L$2:$L$208,MATCH($G120,'MAESTRO DE UNIDADES'!$A$2:$A$208,0)),"")="Inactivo"),"Unidad inactiva | ","")&amp;IF(AND($AA120&lt;&gt;"",$N120=""),"Carga de batán sin litros | ","")&amp;IF(AND($AA120&lt;&gt;"",$AC120&lt;0),"Supera saldo batán | ",""))="","OK",LEFT((IF($G120="","Sin unidad | ","")&amp;IF($J120="","Sin responsable | ","")&amp;IF($K120="","Sin obra | ","")&amp;IF(AND($N120&lt;&gt;"",$G120&lt;&gt;"",$N120&gt;IFERROR(INDEX('MAESTRO DE UNIDADES'!$I$2:$I$208,MATCH($G120,'MAESTRO DE UNIDADES'!$A$2:$A$208,0)),0)),"Litros &gt; tanque | ","")&amp;IF(AND($W120&lt;&gt;"",COUNTIF($W$2:$W120,$W120)&gt;1),"Ticket duplicado | ","")&amp;IF(AND($G120&lt;&gt;"",IFERROR(INDEX('MAESTRO DE UNIDADES'!$L$2:$L$208,MATCH($G120,'MAESTRO DE UNIDADES'!$A$2:$A$208,0)),"")="Inactivo"),"Unidad inactiva | ","")&amp;IF(AND($AA120&lt;&gt;"",$N120=""),"Carga de batán sin litros | ","")&amp;IF(AND($AA120&lt;&gt;"",$AC120&lt;0),"Supera saldo batán | ","")),LEN((IF($G120="","Sin unidad | ","")&amp;IF($J120="","Sin responsable | ","")&amp;IF($K120="","Sin obra | ","")&amp;IF(AND($N120&lt;&gt;"",$G120&lt;&gt;"",$N120&gt;IFERROR(INDEX('MAESTRO DE UNIDADES'!$I$2:$I$208,MATCH($G120,'MAESTRO DE UNIDADES'!$A$2:$A$208,0)),0)),"Litros &gt; tanque | ","")&amp;IF(AND($W120&lt;&gt;"",COUNTIF($W$2:$W120,$W120)&gt;1),"Ticket duplicado | ","")&amp;IF(AND($G120&lt;&gt;"",IFERROR(INDEX('MAESTRO DE UNIDADES'!$L$2:$L$208,MATCH($G120,'MAESTRO DE UNIDADES'!$A$2:$A$208,0)),"")="Inactivo"),"Unidad inactiva | ","")&amp;IF(AND($AA120&lt;&gt;"",$N120=""),"Carga de batán sin litros | ","")&amp;IF(AND($AA120&lt;&gt;"",$AC120&lt;0),"Supera saldo batán | ","")))-3)))</f>
        <v/>
      </c>
      <c r="Z120" s="8" t="str">
        <f t="shared" si="14"/>
        <v/>
      </c>
      <c r="AA120" s="4"/>
      <c r="AB120" s="26" t="str">
        <f>IF($AA120="","",IFERROR(INDEX('CONTROL DE BATAN'!$J$2:$J$301,MATCH($AA120,'CONTROL DE BATAN'!$A$2:$A$301,0)),""))</f>
        <v/>
      </c>
      <c r="AC120" s="28" t="str">
        <f>IF($AA120="","",IFERROR(INDEX('CONTROL DE BATAN'!$I$2:$I$301,MATCH($AA120,'CONTROL DE BATAN'!$A$2:$A$301,0)),0)-SUMIFS($N$2:$N120,$AA$2:$AA120,$AA120))</f>
        <v/>
      </c>
    </row>
    <row r="121" spans="1:29" x14ac:dyDescent="0.25">
      <c r="A121" s="8" t="str">
        <f t="shared" si="8"/>
        <v/>
      </c>
      <c r="B121" s="9"/>
      <c r="C121" s="8" t="str">
        <f t="shared" si="9"/>
        <v/>
      </c>
      <c r="D121" s="10" t="str">
        <f t="shared" si="10"/>
        <v/>
      </c>
      <c r="E121" s="8" t="str">
        <f t="shared" si="11"/>
        <v/>
      </c>
      <c r="F121" s="8" t="str">
        <f>IF($G121="","",IFERROR(INDEX('MAESTRO DE UNIDADES'!$C$2:$C$208,MATCH($G121,'MAESTRO DE UNIDADES'!$A$2:$A$208,0)),""))</f>
        <v/>
      </c>
      <c r="G121" s="4"/>
      <c r="H121" s="8" t="str">
        <f>IF($G121="","",IFERROR(INDEX('MAESTRO DE UNIDADES'!$F$2:$F$208,MATCH($G121,'MAESTRO DE UNIDADES'!$A$2:$A$208,0)),""))</f>
        <v/>
      </c>
      <c r="I121" s="8" t="str">
        <f>IF($G121="","",IFERROR(INDEX('MAESTRO DE UNIDADES'!$B$2:$B$208,MATCH($G121,'MAESTRO DE UNIDADES'!$A$2:$A$208,0)),""))</f>
        <v/>
      </c>
      <c r="J121" s="4"/>
      <c r="K121" s="4"/>
      <c r="L121" s="4"/>
      <c r="M121" s="8" t="str">
        <f>IF($G121="","",IFERROR(INDEX('MAESTRO DE UNIDADES'!$H$2:$H$208,MATCH($G121,'MAESTRO DE UNIDADES'!$A$2:$A$208,0)),""))</f>
        <v/>
      </c>
      <c r="N121" s="25"/>
      <c r="O121" s="25"/>
      <c r="P121" s="26" t="str">
        <f t="shared" si="12"/>
        <v/>
      </c>
      <c r="Q121" s="27"/>
      <c r="R121" s="27"/>
      <c r="S121" s="28" t="str">
        <f>IF(OR($G121="",$Q121="",COUNTIF($G$2:G120,$G121)=0),"",$Q121-LOOKUP(2,1/($G$2:G120=$G121),$Q$2:Q120))</f>
        <v/>
      </c>
      <c r="T121" s="28" t="str">
        <f>IF(OR($G121="",$R121="",COUNTIF($G$2:G120,$G121)=0),"",$R121-LOOKUP(2,1/($G$2:G120=$G121),$R$2:R120))</f>
        <v/>
      </c>
      <c r="U121" s="11" t="str">
        <f t="shared" si="13"/>
        <v/>
      </c>
      <c r="V121" s="4"/>
      <c r="W121" s="4"/>
      <c r="X121" s="55"/>
      <c r="Y121" s="56" t="str">
        <f>IF($B121="","",IF((IF($G121="","Sin unidad | ","")&amp;IF($J121="","Sin responsable | ","")&amp;IF($K121="","Sin obra | ","")&amp;IF(AND($N121&lt;&gt;"",$G121&lt;&gt;"",$N121&gt;IFERROR(INDEX('MAESTRO DE UNIDADES'!$I$2:$I$208,MATCH($G121,'MAESTRO DE UNIDADES'!$A$2:$A$208,0)),0)),"Litros &gt; tanque | ","")&amp;IF(AND($W121&lt;&gt;"",COUNTIF($W$2:$W121,$W121)&gt;1),"Ticket duplicado | ","")&amp;IF(AND($G121&lt;&gt;"",IFERROR(INDEX('MAESTRO DE UNIDADES'!$L$2:$L$208,MATCH($G121,'MAESTRO DE UNIDADES'!$A$2:$A$208,0)),"")="Inactivo"),"Unidad inactiva | ","")&amp;IF(AND($AA121&lt;&gt;"",$N121=""),"Carga de batán sin litros | ","")&amp;IF(AND($AA121&lt;&gt;"",$AC121&lt;0),"Supera saldo batán | ",""))="","OK",LEFT((IF($G121="","Sin unidad | ","")&amp;IF($J121="","Sin responsable | ","")&amp;IF($K121="","Sin obra | ","")&amp;IF(AND($N121&lt;&gt;"",$G121&lt;&gt;"",$N121&gt;IFERROR(INDEX('MAESTRO DE UNIDADES'!$I$2:$I$208,MATCH($G121,'MAESTRO DE UNIDADES'!$A$2:$A$208,0)),0)),"Litros &gt; tanque | ","")&amp;IF(AND($W121&lt;&gt;"",COUNTIF($W$2:$W121,$W121)&gt;1),"Ticket duplicado | ","")&amp;IF(AND($G121&lt;&gt;"",IFERROR(INDEX('MAESTRO DE UNIDADES'!$L$2:$L$208,MATCH($G121,'MAESTRO DE UNIDADES'!$A$2:$A$208,0)),"")="Inactivo"),"Unidad inactiva | ","")&amp;IF(AND($AA121&lt;&gt;"",$N121=""),"Carga de batán sin litros | ","")&amp;IF(AND($AA121&lt;&gt;"",$AC121&lt;0),"Supera saldo batán | ","")),LEN((IF($G121="","Sin unidad | ","")&amp;IF($J121="","Sin responsable | ","")&amp;IF($K121="","Sin obra | ","")&amp;IF(AND($N121&lt;&gt;"",$G121&lt;&gt;"",$N121&gt;IFERROR(INDEX('MAESTRO DE UNIDADES'!$I$2:$I$208,MATCH($G121,'MAESTRO DE UNIDADES'!$A$2:$A$208,0)),0)),"Litros &gt; tanque | ","")&amp;IF(AND($W121&lt;&gt;"",COUNTIF($W$2:$W121,$W121)&gt;1),"Ticket duplicado | ","")&amp;IF(AND($G121&lt;&gt;"",IFERROR(INDEX('MAESTRO DE UNIDADES'!$L$2:$L$208,MATCH($G121,'MAESTRO DE UNIDADES'!$A$2:$A$208,0)),"")="Inactivo"),"Unidad inactiva | ","")&amp;IF(AND($AA121&lt;&gt;"",$N121=""),"Carga de batán sin litros | ","")&amp;IF(AND($AA121&lt;&gt;"",$AC121&lt;0),"Supera saldo batán | ","")))-3)))</f>
        <v/>
      </c>
      <c r="Z121" s="8" t="str">
        <f t="shared" si="14"/>
        <v/>
      </c>
      <c r="AA121" s="4"/>
      <c r="AB121" s="26" t="str">
        <f>IF($AA121="","",IFERROR(INDEX('CONTROL DE BATAN'!$J$2:$J$301,MATCH($AA121,'CONTROL DE BATAN'!$A$2:$A$301,0)),""))</f>
        <v/>
      </c>
      <c r="AC121" s="28" t="str">
        <f>IF($AA121="","",IFERROR(INDEX('CONTROL DE BATAN'!$I$2:$I$301,MATCH($AA121,'CONTROL DE BATAN'!$A$2:$A$301,0)),0)-SUMIFS($N$2:$N121,$AA$2:$AA121,$AA121))</f>
        <v/>
      </c>
    </row>
    <row r="122" spans="1:29" x14ac:dyDescent="0.25">
      <c r="A122" s="8" t="str">
        <f t="shared" si="8"/>
        <v/>
      </c>
      <c r="B122" s="9"/>
      <c r="C122" s="8" t="str">
        <f t="shared" si="9"/>
        <v/>
      </c>
      <c r="D122" s="10" t="str">
        <f t="shared" si="10"/>
        <v/>
      </c>
      <c r="E122" s="8" t="str">
        <f t="shared" si="11"/>
        <v/>
      </c>
      <c r="F122" s="8" t="str">
        <f>IF($G122="","",IFERROR(INDEX('MAESTRO DE UNIDADES'!$C$2:$C$208,MATCH($G122,'MAESTRO DE UNIDADES'!$A$2:$A$208,0)),""))</f>
        <v/>
      </c>
      <c r="G122" s="4"/>
      <c r="H122" s="8" t="str">
        <f>IF($G122="","",IFERROR(INDEX('MAESTRO DE UNIDADES'!$F$2:$F$208,MATCH($G122,'MAESTRO DE UNIDADES'!$A$2:$A$208,0)),""))</f>
        <v/>
      </c>
      <c r="I122" s="8" t="str">
        <f>IF($G122="","",IFERROR(INDEX('MAESTRO DE UNIDADES'!$B$2:$B$208,MATCH($G122,'MAESTRO DE UNIDADES'!$A$2:$A$208,0)),""))</f>
        <v/>
      </c>
      <c r="J122" s="4"/>
      <c r="K122" s="4"/>
      <c r="L122" s="4"/>
      <c r="M122" s="8" t="str">
        <f>IF($G122="","",IFERROR(INDEX('MAESTRO DE UNIDADES'!$H$2:$H$208,MATCH($G122,'MAESTRO DE UNIDADES'!$A$2:$A$208,0)),""))</f>
        <v/>
      </c>
      <c r="N122" s="25"/>
      <c r="O122" s="25"/>
      <c r="P122" s="26" t="str">
        <f t="shared" si="12"/>
        <v/>
      </c>
      <c r="Q122" s="27"/>
      <c r="R122" s="27"/>
      <c r="S122" s="28" t="str">
        <f>IF(OR($G122="",$Q122="",COUNTIF($G$2:G121,$G122)=0),"",$Q122-LOOKUP(2,1/($G$2:G121=$G122),$Q$2:Q121))</f>
        <v/>
      </c>
      <c r="T122" s="28" t="str">
        <f>IF(OR($G122="",$R122="",COUNTIF($G$2:G121,$G122)=0),"",$R122-LOOKUP(2,1/($G$2:G121=$G122),$R$2:R121))</f>
        <v/>
      </c>
      <c r="U122" s="11" t="str">
        <f t="shared" si="13"/>
        <v/>
      </c>
      <c r="V122" s="4"/>
      <c r="W122" s="4"/>
      <c r="X122" s="55"/>
      <c r="Y122" s="56" t="str">
        <f>IF($B122="","",IF((IF($G122="","Sin unidad | ","")&amp;IF($J122="","Sin responsable | ","")&amp;IF($K122="","Sin obra | ","")&amp;IF(AND($N122&lt;&gt;"",$G122&lt;&gt;"",$N122&gt;IFERROR(INDEX('MAESTRO DE UNIDADES'!$I$2:$I$208,MATCH($G122,'MAESTRO DE UNIDADES'!$A$2:$A$208,0)),0)),"Litros &gt; tanque | ","")&amp;IF(AND($W122&lt;&gt;"",COUNTIF($W$2:$W122,$W122)&gt;1),"Ticket duplicado | ","")&amp;IF(AND($G122&lt;&gt;"",IFERROR(INDEX('MAESTRO DE UNIDADES'!$L$2:$L$208,MATCH($G122,'MAESTRO DE UNIDADES'!$A$2:$A$208,0)),"")="Inactivo"),"Unidad inactiva | ","")&amp;IF(AND($AA122&lt;&gt;"",$N122=""),"Carga de batán sin litros | ","")&amp;IF(AND($AA122&lt;&gt;"",$AC122&lt;0),"Supera saldo batán | ",""))="","OK",LEFT((IF($G122="","Sin unidad | ","")&amp;IF($J122="","Sin responsable | ","")&amp;IF($K122="","Sin obra | ","")&amp;IF(AND($N122&lt;&gt;"",$G122&lt;&gt;"",$N122&gt;IFERROR(INDEX('MAESTRO DE UNIDADES'!$I$2:$I$208,MATCH($G122,'MAESTRO DE UNIDADES'!$A$2:$A$208,0)),0)),"Litros &gt; tanque | ","")&amp;IF(AND($W122&lt;&gt;"",COUNTIF($W$2:$W122,$W122)&gt;1),"Ticket duplicado | ","")&amp;IF(AND($G122&lt;&gt;"",IFERROR(INDEX('MAESTRO DE UNIDADES'!$L$2:$L$208,MATCH($G122,'MAESTRO DE UNIDADES'!$A$2:$A$208,0)),"")="Inactivo"),"Unidad inactiva | ","")&amp;IF(AND($AA122&lt;&gt;"",$N122=""),"Carga de batán sin litros | ","")&amp;IF(AND($AA122&lt;&gt;"",$AC122&lt;0),"Supera saldo batán | ","")),LEN((IF($G122="","Sin unidad | ","")&amp;IF($J122="","Sin responsable | ","")&amp;IF($K122="","Sin obra | ","")&amp;IF(AND($N122&lt;&gt;"",$G122&lt;&gt;"",$N122&gt;IFERROR(INDEX('MAESTRO DE UNIDADES'!$I$2:$I$208,MATCH($G122,'MAESTRO DE UNIDADES'!$A$2:$A$208,0)),0)),"Litros &gt; tanque | ","")&amp;IF(AND($W122&lt;&gt;"",COUNTIF($W$2:$W122,$W122)&gt;1),"Ticket duplicado | ","")&amp;IF(AND($G122&lt;&gt;"",IFERROR(INDEX('MAESTRO DE UNIDADES'!$L$2:$L$208,MATCH($G122,'MAESTRO DE UNIDADES'!$A$2:$A$208,0)),"")="Inactivo"),"Unidad inactiva | ","")&amp;IF(AND($AA122&lt;&gt;"",$N122=""),"Carga de batán sin litros | ","")&amp;IF(AND($AA122&lt;&gt;"",$AC122&lt;0),"Supera saldo batán | ","")))-3)))</f>
        <v/>
      </c>
      <c r="Z122" s="8" t="str">
        <f t="shared" si="14"/>
        <v/>
      </c>
      <c r="AA122" s="4"/>
      <c r="AB122" s="26" t="str">
        <f>IF($AA122="","",IFERROR(INDEX('CONTROL DE BATAN'!$J$2:$J$301,MATCH($AA122,'CONTROL DE BATAN'!$A$2:$A$301,0)),""))</f>
        <v/>
      </c>
      <c r="AC122" s="28" t="str">
        <f>IF($AA122="","",IFERROR(INDEX('CONTROL DE BATAN'!$I$2:$I$301,MATCH($AA122,'CONTROL DE BATAN'!$A$2:$A$301,0)),0)-SUMIFS($N$2:$N122,$AA$2:$AA122,$AA122))</f>
        <v/>
      </c>
    </row>
    <row r="123" spans="1:29" x14ac:dyDescent="0.25">
      <c r="A123" s="8" t="str">
        <f t="shared" si="8"/>
        <v/>
      </c>
      <c r="B123" s="9"/>
      <c r="C123" s="8" t="str">
        <f t="shared" si="9"/>
        <v/>
      </c>
      <c r="D123" s="10" t="str">
        <f t="shared" si="10"/>
        <v/>
      </c>
      <c r="E123" s="8" t="str">
        <f t="shared" si="11"/>
        <v/>
      </c>
      <c r="F123" s="8" t="str">
        <f>IF($G123="","",IFERROR(INDEX('MAESTRO DE UNIDADES'!$C$2:$C$208,MATCH($G123,'MAESTRO DE UNIDADES'!$A$2:$A$208,0)),""))</f>
        <v/>
      </c>
      <c r="G123" s="4"/>
      <c r="H123" s="8" t="str">
        <f>IF($G123="","",IFERROR(INDEX('MAESTRO DE UNIDADES'!$F$2:$F$208,MATCH($G123,'MAESTRO DE UNIDADES'!$A$2:$A$208,0)),""))</f>
        <v/>
      </c>
      <c r="I123" s="8" t="str">
        <f>IF($G123="","",IFERROR(INDEX('MAESTRO DE UNIDADES'!$B$2:$B$208,MATCH($G123,'MAESTRO DE UNIDADES'!$A$2:$A$208,0)),""))</f>
        <v/>
      </c>
      <c r="J123" s="4"/>
      <c r="K123" s="4"/>
      <c r="L123" s="4"/>
      <c r="M123" s="8" t="str">
        <f>IF($G123="","",IFERROR(INDEX('MAESTRO DE UNIDADES'!$H$2:$H$208,MATCH($G123,'MAESTRO DE UNIDADES'!$A$2:$A$208,0)),""))</f>
        <v/>
      </c>
      <c r="N123" s="25"/>
      <c r="O123" s="25"/>
      <c r="P123" s="26" t="str">
        <f t="shared" si="12"/>
        <v/>
      </c>
      <c r="Q123" s="27"/>
      <c r="R123" s="27"/>
      <c r="S123" s="28" t="str">
        <f>IF(OR($G123="",$Q123="",COUNTIF($G$2:G122,$G123)=0),"",$Q123-LOOKUP(2,1/($G$2:G122=$G123),$Q$2:Q122))</f>
        <v/>
      </c>
      <c r="T123" s="28" t="str">
        <f>IF(OR($G123="",$R123="",COUNTIF($G$2:G122,$G123)=0),"",$R123-LOOKUP(2,1/($G$2:G122=$G123),$R$2:R122))</f>
        <v/>
      </c>
      <c r="U123" s="11" t="str">
        <f t="shared" si="13"/>
        <v/>
      </c>
      <c r="V123" s="4"/>
      <c r="W123" s="4"/>
      <c r="X123" s="55"/>
      <c r="Y123" s="56" t="str">
        <f>IF($B123="","",IF((IF($G123="","Sin unidad | ","")&amp;IF($J123="","Sin responsable | ","")&amp;IF($K123="","Sin obra | ","")&amp;IF(AND($N123&lt;&gt;"",$G123&lt;&gt;"",$N123&gt;IFERROR(INDEX('MAESTRO DE UNIDADES'!$I$2:$I$208,MATCH($G123,'MAESTRO DE UNIDADES'!$A$2:$A$208,0)),0)),"Litros &gt; tanque | ","")&amp;IF(AND($W123&lt;&gt;"",COUNTIF($W$2:$W123,$W123)&gt;1),"Ticket duplicado | ","")&amp;IF(AND($G123&lt;&gt;"",IFERROR(INDEX('MAESTRO DE UNIDADES'!$L$2:$L$208,MATCH($G123,'MAESTRO DE UNIDADES'!$A$2:$A$208,0)),"")="Inactivo"),"Unidad inactiva | ","")&amp;IF(AND($AA123&lt;&gt;"",$N123=""),"Carga de batán sin litros | ","")&amp;IF(AND($AA123&lt;&gt;"",$AC123&lt;0),"Supera saldo batán | ",""))="","OK",LEFT((IF($G123="","Sin unidad | ","")&amp;IF($J123="","Sin responsable | ","")&amp;IF($K123="","Sin obra | ","")&amp;IF(AND($N123&lt;&gt;"",$G123&lt;&gt;"",$N123&gt;IFERROR(INDEX('MAESTRO DE UNIDADES'!$I$2:$I$208,MATCH($G123,'MAESTRO DE UNIDADES'!$A$2:$A$208,0)),0)),"Litros &gt; tanque | ","")&amp;IF(AND($W123&lt;&gt;"",COUNTIF($W$2:$W123,$W123)&gt;1),"Ticket duplicado | ","")&amp;IF(AND($G123&lt;&gt;"",IFERROR(INDEX('MAESTRO DE UNIDADES'!$L$2:$L$208,MATCH($G123,'MAESTRO DE UNIDADES'!$A$2:$A$208,0)),"")="Inactivo"),"Unidad inactiva | ","")&amp;IF(AND($AA123&lt;&gt;"",$N123=""),"Carga de batán sin litros | ","")&amp;IF(AND($AA123&lt;&gt;"",$AC123&lt;0),"Supera saldo batán | ","")),LEN((IF($G123="","Sin unidad | ","")&amp;IF($J123="","Sin responsable | ","")&amp;IF($K123="","Sin obra | ","")&amp;IF(AND($N123&lt;&gt;"",$G123&lt;&gt;"",$N123&gt;IFERROR(INDEX('MAESTRO DE UNIDADES'!$I$2:$I$208,MATCH($G123,'MAESTRO DE UNIDADES'!$A$2:$A$208,0)),0)),"Litros &gt; tanque | ","")&amp;IF(AND($W123&lt;&gt;"",COUNTIF($W$2:$W123,$W123)&gt;1),"Ticket duplicado | ","")&amp;IF(AND($G123&lt;&gt;"",IFERROR(INDEX('MAESTRO DE UNIDADES'!$L$2:$L$208,MATCH($G123,'MAESTRO DE UNIDADES'!$A$2:$A$208,0)),"")="Inactivo"),"Unidad inactiva | ","")&amp;IF(AND($AA123&lt;&gt;"",$N123=""),"Carga de batán sin litros | ","")&amp;IF(AND($AA123&lt;&gt;"",$AC123&lt;0),"Supera saldo batán | ","")))-3)))</f>
        <v/>
      </c>
      <c r="Z123" s="8" t="str">
        <f t="shared" si="14"/>
        <v/>
      </c>
      <c r="AA123" s="4"/>
      <c r="AB123" s="26" t="str">
        <f>IF($AA123="","",IFERROR(INDEX('CONTROL DE BATAN'!$J$2:$J$301,MATCH($AA123,'CONTROL DE BATAN'!$A$2:$A$301,0)),""))</f>
        <v/>
      </c>
      <c r="AC123" s="28" t="str">
        <f>IF($AA123="","",IFERROR(INDEX('CONTROL DE BATAN'!$I$2:$I$301,MATCH($AA123,'CONTROL DE BATAN'!$A$2:$A$301,0)),0)-SUMIFS($N$2:$N123,$AA$2:$AA123,$AA123))</f>
        <v/>
      </c>
    </row>
    <row r="124" spans="1:29" x14ac:dyDescent="0.25">
      <c r="A124" s="8" t="str">
        <f t="shared" si="8"/>
        <v/>
      </c>
      <c r="B124" s="9"/>
      <c r="C124" s="8" t="str">
        <f t="shared" si="9"/>
        <v/>
      </c>
      <c r="D124" s="10" t="str">
        <f t="shared" si="10"/>
        <v/>
      </c>
      <c r="E124" s="8" t="str">
        <f t="shared" si="11"/>
        <v/>
      </c>
      <c r="F124" s="8" t="str">
        <f>IF($G124="","",IFERROR(INDEX('MAESTRO DE UNIDADES'!$C$2:$C$208,MATCH($G124,'MAESTRO DE UNIDADES'!$A$2:$A$208,0)),""))</f>
        <v/>
      </c>
      <c r="G124" s="4"/>
      <c r="H124" s="8" t="str">
        <f>IF($G124="","",IFERROR(INDEX('MAESTRO DE UNIDADES'!$F$2:$F$208,MATCH($G124,'MAESTRO DE UNIDADES'!$A$2:$A$208,0)),""))</f>
        <v/>
      </c>
      <c r="I124" s="8" t="str">
        <f>IF($G124="","",IFERROR(INDEX('MAESTRO DE UNIDADES'!$B$2:$B$208,MATCH($G124,'MAESTRO DE UNIDADES'!$A$2:$A$208,0)),""))</f>
        <v/>
      </c>
      <c r="J124" s="4"/>
      <c r="K124" s="4"/>
      <c r="L124" s="4"/>
      <c r="M124" s="8" t="str">
        <f>IF($G124="","",IFERROR(INDEX('MAESTRO DE UNIDADES'!$H$2:$H$208,MATCH($G124,'MAESTRO DE UNIDADES'!$A$2:$A$208,0)),""))</f>
        <v/>
      </c>
      <c r="N124" s="25"/>
      <c r="O124" s="25"/>
      <c r="P124" s="26" t="str">
        <f t="shared" si="12"/>
        <v/>
      </c>
      <c r="Q124" s="27"/>
      <c r="R124" s="27"/>
      <c r="S124" s="28" t="str">
        <f>IF(OR($G124="",$Q124="",COUNTIF($G$2:G123,$G124)=0),"",$Q124-LOOKUP(2,1/($G$2:G123=$G124),$Q$2:Q123))</f>
        <v/>
      </c>
      <c r="T124" s="28" t="str">
        <f>IF(OR($G124="",$R124="",COUNTIF($G$2:G123,$G124)=0),"",$R124-LOOKUP(2,1/($G$2:G123=$G124),$R$2:R123))</f>
        <v/>
      </c>
      <c r="U124" s="11" t="str">
        <f t="shared" si="13"/>
        <v/>
      </c>
      <c r="V124" s="4"/>
      <c r="W124" s="4"/>
      <c r="X124" s="55"/>
      <c r="Y124" s="56" t="str">
        <f>IF($B124="","",IF((IF($G124="","Sin unidad | ","")&amp;IF($J124="","Sin responsable | ","")&amp;IF($K124="","Sin obra | ","")&amp;IF(AND($N124&lt;&gt;"",$G124&lt;&gt;"",$N124&gt;IFERROR(INDEX('MAESTRO DE UNIDADES'!$I$2:$I$208,MATCH($G124,'MAESTRO DE UNIDADES'!$A$2:$A$208,0)),0)),"Litros &gt; tanque | ","")&amp;IF(AND($W124&lt;&gt;"",COUNTIF($W$2:$W124,$W124)&gt;1),"Ticket duplicado | ","")&amp;IF(AND($G124&lt;&gt;"",IFERROR(INDEX('MAESTRO DE UNIDADES'!$L$2:$L$208,MATCH($G124,'MAESTRO DE UNIDADES'!$A$2:$A$208,0)),"")="Inactivo"),"Unidad inactiva | ","")&amp;IF(AND($AA124&lt;&gt;"",$N124=""),"Carga de batán sin litros | ","")&amp;IF(AND($AA124&lt;&gt;"",$AC124&lt;0),"Supera saldo batán | ",""))="","OK",LEFT((IF($G124="","Sin unidad | ","")&amp;IF($J124="","Sin responsable | ","")&amp;IF($K124="","Sin obra | ","")&amp;IF(AND($N124&lt;&gt;"",$G124&lt;&gt;"",$N124&gt;IFERROR(INDEX('MAESTRO DE UNIDADES'!$I$2:$I$208,MATCH($G124,'MAESTRO DE UNIDADES'!$A$2:$A$208,0)),0)),"Litros &gt; tanque | ","")&amp;IF(AND($W124&lt;&gt;"",COUNTIF($W$2:$W124,$W124)&gt;1),"Ticket duplicado | ","")&amp;IF(AND($G124&lt;&gt;"",IFERROR(INDEX('MAESTRO DE UNIDADES'!$L$2:$L$208,MATCH($G124,'MAESTRO DE UNIDADES'!$A$2:$A$208,0)),"")="Inactivo"),"Unidad inactiva | ","")&amp;IF(AND($AA124&lt;&gt;"",$N124=""),"Carga de batán sin litros | ","")&amp;IF(AND($AA124&lt;&gt;"",$AC124&lt;0),"Supera saldo batán | ","")),LEN((IF($G124="","Sin unidad | ","")&amp;IF($J124="","Sin responsable | ","")&amp;IF($K124="","Sin obra | ","")&amp;IF(AND($N124&lt;&gt;"",$G124&lt;&gt;"",$N124&gt;IFERROR(INDEX('MAESTRO DE UNIDADES'!$I$2:$I$208,MATCH($G124,'MAESTRO DE UNIDADES'!$A$2:$A$208,0)),0)),"Litros &gt; tanque | ","")&amp;IF(AND($W124&lt;&gt;"",COUNTIF($W$2:$W124,$W124)&gt;1),"Ticket duplicado | ","")&amp;IF(AND($G124&lt;&gt;"",IFERROR(INDEX('MAESTRO DE UNIDADES'!$L$2:$L$208,MATCH($G124,'MAESTRO DE UNIDADES'!$A$2:$A$208,0)),"")="Inactivo"),"Unidad inactiva | ","")&amp;IF(AND($AA124&lt;&gt;"",$N124=""),"Carga de batán sin litros | ","")&amp;IF(AND($AA124&lt;&gt;"",$AC124&lt;0),"Supera saldo batán | ","")))-3)))</f>
        <v/>
      </c>
      <c r="Z124" s="8" t="str">
        <f t="shared" si="14"/>
        <v/>
      </c>
      <c r="AA124" s="4"/>
      <c r="AB124" s="26" t="str">
        <f>IF($AA124="","",IFERROR(INDEX('CONTROL DE BATAN'!$J$2:$J$301,MATCH($AA124,'CONTROL DE BATAN'!$A$2:$A$301,0)),""))</f>
        <v/>
      </c>
      <c r="AC124" s="28" t="str">
        <f>IF($AA124="","",IFERROR(INDEX('CONTROL DE BATAN'!$I$2:$I$301,MATCH($AA124,'CONTROL DE BATAN'!$A$2:$A$301,0)),0)-SUMIFS($N$2:$N124,$AA$2:$AA124,$AA124))</f>
        <v/>
      </c>
    </row>
    <row r="125" spans="1:29" x14ac:dyDescent="0.25">
      <c r="A125" s="8" t="str">
        <f t="shared" si="8"/>
        <v/>
      </c>
      <c r="B125" s="9"/>
      <c r="C125" s="8" t="str">
        <f t="shared" si="9"/>
        <v/>
      </c>
      <c r="D125" s="10" t="str">
        <f t="shared" si="10"/>
        <v/>
      </c>
      <c r="E125" s="8" t="str">
        <f t="shared" si="11"/>
        <v/>
      </c>
      <c r="F125" s="8" t="str">
        <f>IF($G125="","",IFERROR(INDEX('MAESTRO DE UNIDADES'!$C$2:$C$208,MATCH($G125,'MAESTRO DE UNIDADES'!$A$2:$A$208,0)),""))</f>
        <v/>
      </c>
      <c r="G125" s="4"/>
      <c r="H125" s="8" t="str">
        <f>IF($G125="","",IFERROR(INDEX('MAESTRO DE UNIDADES'!$F$2:$F$208,MATCH($G125,'MAESTRO DE UNIDADES'!$A$2:$A$208,0)),""))</f>
        <v/>
      </c>
      <c r="I125" s="8" t="str">
        <f>IF($G125="","",IFERROR(INDEX('MAESTRO DE UNIDADES'!$B$2:$B$208,MATCH($G125,'MAESTRO DE UNIDADES'!$A$2:$A$208,0)),""))</f>
        <v/>
      </c>
      <c r="J125" s="4"/>
      <c r="K125" s="4"/>
      <c r="L125" s="4"/>
      <c r="M125" s="8" t="str">
        <f>IF($G125="","",IFERROR(INDEX('MAESTRO DE UNIDADES'!$H$2:$H$208,MATCH($G125,'MAESTRO DE UNIDADES'!$A$2:$A$208,0)),""))</f>
        <v/>
      </c>
      <c r="N125" s="25"/>
      <c r="O125" s="25"/>
      <c r="P125" s="26" t="str">
        <f t="shared" si="12"/>
        <v/>
      </c>
      <c r="Q125" s="27"/>
      <c r="R125" s="27"/>
      <c r="S125" s="28" t="str">
        <f>IF(OR($G125="",$Q125="",COUNTIF($G$2:G124,$G125)=0),"",$Q125-LOOKUP(2,1/($G$2:G124=$G125),$Q$2:Q124))</f>
        <v/>
      </c>
      <c r="T125" s="28" t="str">
        <f>IF(OR($G125="",$R125="",COUNTIF($G$2:G124,$G125)=0),"",$R125-LOOKUP(2,1/($G$2:G124=$G125),$R$2:R124))</f>
        <v/>
      </c>
      <c r="U125" s="11" t="str">
        <f t="shared" si="13"/>
        <v/>
      </c>
      <c r="V125" s="4"/>
      <c r="W125" s="4"/>
      <c r="X125" s="55"/>
      <c r="Y125" s="56" t="str">
        <f>IF($B125="","",IF((IF($G125="","Sin unidad | ","")&amp;IF($J125="","Sin responsable | ","")&amp;IF($K125="","Sin obra | ","")&amp;IF(AND($N125&lt;&gt;"",$G125&lt;&gt;"",$N125&gt;IFERROR(INDEX('MAESTRO DE UNIDADES'!$I$2:$I$208,MATCH($G125,'MAESTRO DE UNIDADES'!$A$2:$A$208,0)),0)),"Litros &gt; tanque | ","")&amp;IF(AND($W125&lt;&gt;"",COUNTIF($W$2:$W125,$W125)&gt;1),"Ticket duplicado | ","")&amp;IF(AND($G125&lt;&gt;"",IFERROR(INDEX('MAESTRO DE UNIDADES'!$L$2:$L$208,MATCH($G125,'MAESTRO DE UNIDADES'!$A$2:$A$208,0)),"")="Inactivo"),"Unidad inactiva | ","")&amp;IF(AND($AA125&lt;&gt;"",$N125=""),"Carga de batán sin litros | ","")&amp;IF(AND($AA125&lt;&gt;"",$AC125&lt;0),"Supera saldo batán | ",""))="","OK",LEFT((IF($G125="","Sin unidad | ","")&amp;IF($J125="","Sin responsable | ","")&amp;IF($K125="","Sin obra | ","")&amp;IF(AND($N125&lt;&gt;"",$G125&lt;&gt;"",$N125&gt;IFERROR(INDEX('MAESTRO DE UNIDADES'!$I$2:$I$208,MATCH($G125,'MAESTRO DE UNIDADES'!$A$2:$A$208,0)),0)),"Litros &gt; tanque | ","")&amp;IF(AND($W125&lt;&gt;"",COUNTIF($W$2:$W125,$W125)&gt;1),"Ticket duplicado | ","")&amp;IF(AND($G125&lt;&gt;"",IFERROR(INDEX('MAESTRO DE UNIDADES'!$L$2:$L$208,MATCH($G125,'MAESTRO DE UNIDADES'!$A$2:$A$208,0)),"")="Inactivo"),"Unidad inactiva | ","")&amp;IF(AND($AA125&lt;&gt;"",$N125=""),"Carga de batán sin litros | ","")&amp;IF(AND($AA125&lt;&gt;"",$AC125&lt;0),"Supera saldo batán | ","")),LEN((IF($G125="","Sin unidad | ","")&amp;IF($J125="","Sin responsable | ","")&amp;IF($K125="","Sin obra | ","")&amp;IF(AND($N125&lt;&gt;"",$G125&lt;&gt;"",$N125&gt;IFERROR(INDEX('MAESTRO DE UNIDADES'!$I$2:$I$208,MATCH($G125,'MAESTRO DE UNIDADES'!$A$2:$A$208,0)),0)),"Litros &gt; tanque | ","")&amp;IF(AND($W125&lt;&gt;"",COUNTIF($W$2:$W125,$W125)&gt;1),"Ticket duplicado | ","")&amp;IF(AND($G125&lt;&gt;"",IFERROR(INDEX('MAESTRO DE UNIDADES'!$L$2:$L$208,MATCH($G125,'MAESTRO DE UNIDADES'!$A$2:$A$208,0)),"")="Inactivo"),"Unidad inactiva | ","")&amp;IF(AND($AA125&lt;&gt;"",$N125=""),"Carga de batán sin litros | ","")&amp;IF(AND($AA125&lt;&gt;"",$AC125&lt;0),"Supera saldo batán | ","")))-3)))</f>
        <v/>
      </c>
      <c r="Z125" s="8" t="str">
        <f t="shared" si="14"/>
        <v/>
      </c>
      <c r="AA125" s="4"/>
      <c r="AB125" s="26" t="str">
        <f>IF($AA125="","",IFERROR(INDEX('CONTROL DE BATAN'!$J$2:$J$301,MATCH($AA125,'CONTROL DE BATAN'!$A$2:$A$301,0)),""))</f>
        <v/>
      </c>
      <c r="AC125" s="28" t="str">
        <f>IF($AA125="","",IFERROR(INDEX('CONTROL DE BATAN'!$I$2:$I$301,MATCH($AA125,'CONTROL DE BATAN'!$A$2:$A$301,0)),0)-SUMIFS($N$2:$N125,$AA$2:$AA125,$AA125))</f>
        <v/>
      </c>
    </row>
    <row r="126" spans="1:29" x14ac:dyDescent="0.25">
      <c r="A126" s="8" t="str">
        <f t="shared" si="8"/>
        <v/>
      </c>
      <c r="B126" s="9"/>
      <c r="C126" s="8" t="str">
        <f t="shared" si="9"/>
        <v/>
      </c>
      <c r="D126" s="10" t="str">
        <f t="shared" si="10"/>
        <v/>
      </c>
      <c r="E126" s="8" t="str">
        <f t="shared" si="11"/>
        <v/>
      </c>
      <c r="F126" s="8" t="str">
        <f>IF($G126="","",IFERROR(INDEX('MAESTRO DE UNIDADES'!$C$2:$C$208,MATCH($G126,'MAESTRO DE UNIDADES'!$A$2:$A$208,0)),""))</f>
        <v/>
      </c>
      <c r="G126" s="4"/>
      <c r="H126" s="8" t="str">
        <f>IF($G126="","",IFERROR(INDEX('MAESTRO DE UNIDADES'!$F$2:$F$208,MATCH($G126,'MAESTRO DE UNIDADES'!$A$2:$A$208,0)),""))</f>
        <v/>
      </c>
      <c r="I126" s="8" t="str">
        <f>IF($G126="","",IFERROR(INDEX('MAESTRO DE UNIDADES'!$B$2:$B$208,MATCH($G126,'MAESTRO DE UNIDADES'!$A$2:$A$208,0)),""))</f>
        <v/>
      </c>
      <c r="J126" s="4"/>
      <c r="K126" s="4"/>
      <c r="L126" s="4"/>
      <c r="M126" s="8" t="str">
        <f>IF($G126="","",IFERROR(INDEX('MAESTRO DE UNIDADES'!$H$2:$H$208,MATCH($G126,'MAESTRO DE UNIDADES'!$A$2:$A$208,0)),""))</f>
        <v/>
      </c>
      <c r="N126" s="25"/>
      <c r="O126" s="25"/>
      <c r="P126" s="26" t="str">
        <f t="shared" si="12"/>
        <v/>
      </c>
      <c r="Q126" s="27"/>
      <c r="R126" s="27"/>
      <c r="S126" s="28" t="str">
        <f>IF(OR($G126="",$Q126="",COUNTIF($G$2:G125,$G126)=0),"",$Q126-LOOKUP(2,1/($G$2:G125=$G126),$Q$2:Q125))</f>
        <v/>
      </c>
      <c r="T126" s="28" t="str">
        <f>IF(OR($G126="",$R126="",COUNTIF($G$2:G125,$G126)=0),"",$R126-LOOKUP(2,1/($G$2:G125=$G126),$R$2:R125))</f>
        <v/>
      </c>
      <c r="U126" s="11" t="str">
        <f t="shared" si="13"/>
        <v/>
      </c>
      <c r="V126" s="4"/>
      <c r="W126" s="4"/>
      <c r="X126" s="55"/>
      <c r="Y126" s="56" t="str">
        <f>IF($B126="","",IF((IF($G126="","Sin unidad | ","")&amp;IF($J126="","Sin responsable | ","")&amp;IF($K126="","Sin obra | ","")&amp;IF(AND($N126&lt;&gt;"",$G126&lt;&gt;"",$N126&gt;IFERROR(INDEX('MAESTRO DE UNIDADES'!$I$2:$I$208,MATCH($G126,'MAESTRO DE UNIDADES'!$A$2:$A$208,0)),0)),"Litros &gt; tanque | ","")&amp;IF(AND($W126&lt;&gt;"",COUNTIF($W$2:$W126,$W126)&gt;1),"Ticket duplicado | ","")&amp;IF(AND($G126&lt;&gt;"",IFERROR(INDEX('MAESTRO DE UNIDADES'!$L$2:$L$208,MATCH($G126,'MAESTRO DE UNIDADES'!$A$2:$A$208,0)),"")="Inactivo"),"Unidad inactiva | ","")&amp;IF(AND($AA126&lt;&gt;"",$N126=""),"Carga de batán sin litros | ","")&amp;IF(AND($AA126&lt;&gt;"",$AC126&lt;0),"Supera saldo batán | ",""))="","OK",LEFT((IF($G126="","Sin unidad | ","")&amp;IF($J126="","Sin responsable | ","")&amp;IF($K126="","Sin obra | ","")&amp;IF(AND($N126&lt;&gt;"",$G126&lt;&gt;"",$N126&gt;IFERROR(INDEX('MAESTRO DE UNIDADES'!$I$2:$I$208,MATCH($G126,'MAESTRO DE UNIDADES'!$A$2:$A$208,0)),0)),"Litros &gt; tanque | ","")&amp;IF(AND($W126&lt;&gt;"",COUNTIF($W$2:$W126,$W126)&gt;1),"Ticket duplicado | ","")&amp;IF(AND($G126&lt;&gt;"",IFERROR(INDEX('MAESTRO DE UNIDADES'!$L$2:$L$208,MATCH($G126,'MAESTRO DE UNIDADES'!$A$2:$A$208,0)),"")="Inactivo"),"Unidad inactiva | ","")&amp;IF(AND($AA126&lt;&gt;"",$N126=""),"Carga de batán sin litros | ","")&amp;IF(AND($AA126&lt;&gt;"",$AC126&lt;0),"Supera saldo batán | ","")),LEN((IF($G126="","Sin unidad | ","")&amp;IF($J126="","Sin responsable | ","")&amp;IF($K126="","Sin obra | ","")&amp;IF(AND($N126&lt;&gt;"",$G126&lt;&gt;"",$N126&gt;IFERROR(INDEX('MAESTRO DE UNIDADES'!$I$2:$I$208,MATCH($G126,'MAESTRO DE UNIDADES'!$A$2:$A$208,0)),0)),"Litros &gt; tanque | ","")&amp;IF(AND($W126&lt;&gt;"",COUNTIF($W$2:$W126,$W126)&gt;1),"Ticket duplicado | ","")&amp;IF(AND($G126&lt;&gt;"",IFERROR(INDEX('MAESTRO DE UNIDADES'!$L$2:$L$208,MATCH($G126,'MAESTRO DE UNIDADES'!$A$2:$A$208,0)),"")="Inactivo"),"Unidad inactiva | ","")&amp;IF(AND($AA126&lt;&gt;"",$N126=""),"Carga de batán sin litros | ","")&amp;IF(AND($AA126&lt;&gt;"",$AC126&lt;0),"Supera saldo batán | ","")))-3)))</f>
        <v/>
      </c>
      <c r="Z126" s="8" t="str">
        <f t="shared" si="14"/>
        <v/>
      </c>
      <c r="AA126" s="4"/>
      <c r="AB126" s="26" t="str">
        <f>IF($AA126="","",IFERROR(INDEX('CONTROL DE BATAN'!$J$2:$J$301,MATCH($AA126,'CONTROL DE BATAN'!$A$2:$A$301,0)),""))</f>
        <v/>
      </c>
      <c r="AC126" s="28" t="str">
        <f>IF($AA126="","",IFERROR(INDEX('CONTROL DE BATAN'!$I$2:$I$301,MATCH($AA126,'CONTROL DE BATAN'!$A$2:$A$301,0)),0)-SUMIFS($N$2:$N126,$AA$2:$AA126,$AA126))</f>
        <v/>
      </c>
    </row>
    <row r="127" spans="1:29" x14ac:dyDescent="0.25">
      <c r="A127" s="8" t="str">
        <f t="shared" si="8"/>
        <v/>
      </c>
      <c r="B127" s="9"/>
      <c r="C127" s="8" t="str">
        <f t="shared" si="9"/>
        <v/>
      </c>
      <c r="D127" s="10" t="str">
        <f t="shared" si="10"/>
        <v/>
      </c>
      <c r="E127" s="8" t="str">
        <f t="shared" si="11"/>
        <v/>
      </c>
      <c r="F127" s="8" t="str">
        <f>IF($G127="","",IFERROR(INDEX('MAESTRO DE UNIDADES'!$C$2:$C$208,MATCH($G127,'MAESTRO DE UNIDADES'!$A$2:$A$208,0)),""))</f>
        <v/>
      </c>
      <c r="G127" s="4"/>
      <c r="H127" s="8" t="str">
        <f>IF($G127="","",IFERROR(INDEX('MAESTRO DE UNIDADES'!$F$2:$F$208,MATCH($G127,'MAESTRO DE UNIDADES'!$A$2:$A$208,0)),""))</f>
        <v/>
      </c>
      <c r="I127" s="8" t="str">
        <f>IF($G127="","",IFERROR(INDEX('MAESTRO DE UNIDADES'!$B$2:$B$208,MATCH($G127,'MAESTRO DE UNIDADES'!$A$2:$A$208,0)),""))</f>
        <v/>
      </c>
      <c r="J127" s="4"/>
      <c r="K127" s="4"/>
      <c r="L127" s="4"/>
      <c r="M127" s="8" t="str">
        <f>IF($G127="","",IFERROR(INDEX('MAESTRO DE UNIDADES'!$H$2:$H$208,MATCH($G127,'MAESTRO DE UNIDADES'!$A$2:$A$208,0)),""))</f>
        <v/>
      </c>
      <c r="N127" s="25"/>
      <c r="O127" s="25"/>
      <c r="P127" s="26" t="str">
        <f t="shared" si="12"/>
        <v/>
      </c>
      <c r="Q127" s="27"/>
      <c r="R127" s="27"/>
      <c r="S127" s="28" t="str">
        <f>IF(OR($G127="",$Q127="",COUNTIF($G$2:G126,$G127)=0),"",$Q127-LOOKUP(2,1/($G$2:G126=$G127),$Q$2:Q126))</f>
        <v/>
      </c>
      <c r="T127" s="28" t="str">
        <f>IF(OR($G127="",$R127="",COUNTIF($G$2:G126,$G127)=0),"",$R127-LOOKUP(2,1/($G$2:G126=$G127),$R$2:R126))</f>
        <v/>
      </c>
      <c r="U127" s="11" t="str">
        <f t="shared" si="13"/>
        <v/>
      </c>
      <c r="V127" s="4"/>
      <c r="W127" s="4"/>
      <c r="X127" s="55"/>
      <c r="Y127" s="56" t="str">
        <f>IF($B127="","",IF((IF($G127="","Sin unidad | ","")&amp;IF($J127="","Sin responsable | ","")&amp;IF($K127="","Sin obra | ","")&amp;IF(AND($N127&lt;&gt;"",$G127&lt;&gt;"",$N127&gt;IFERROR(INDEX('MAESTRO DE UNIDADES'!$I$2:$I$208,MATCH($G127,'MAESTRO DE UNIDADES'!$A$2:$A$208,0)),0)),"Litros &gt; tanque | ","")&amp;IF(AND($W127&lt;&gt;"",COUNTIF($W$2:$W127,$W127)&gt;1),"Ticket duplicado | ","")&amp;IF(AND($G127&lt;&gt;"",IFERROR(INDEX('MAESTRO DE UNIDADES'!$L$2:$L$208,MATCH($G127,'MAESTRO DE UNIDADES'!$A$2:$A$208,0)),"")="Inactivo"),"Unidad inactiva | ","")&amp;IF(AND($AA127&lt;&gt;"",$N127=""),"Carga de batán sin litros | ","")&amp;IF(AND($AA127&lt;&gt;"",$AC127&lt;0),"Supera saldo batán | ",""))="","OK",LEFT((IF($G127="","Sin unidad | ","")&amp;IF($J127="","Sin responsable | ","")&amp;IF($K127="","Sin obra | ","")&amp;IF(AND($N127&lt;&gt;"",$G127&lt;&gt;"",$N127&gt;IFERROR(INDEX('MAESTRO DE UNIDADES'!$I$2:$I$208,MATCH($G127,'MAESTRO DE UNIDADES'!$A$2:$A$208,0)),0)),"Litros &gt; tanque | ","")&amp;IF(AND($W127&lt;&gt;"",COUNTIF($W$2:$W127,$W127)&gt;1),"Ticket duplicado | ","")&amp;IF(AND($G127&lt;&gt;"",IFERROR(INDEX('MAESTRO DE UNIDADES'!$L$2:$L$208,MATCH($G127,'MAESTRO DE UNIDADES'!$A$2:$A$208,0)),"")="Inactivo"),"Unidad inactiva | ","")&amp;IF(AND($AA127&lt;&gt;"",$N127=""),"Carga de batán sin litros | ","")&amp;IF(AND($AA127&lt;&gt;"",$AC127&lt;0),"Supera saldo batán | ","")),LEN((IF($G127="","Sin unidad | ","")&amp;IF($J127="","Sin responsable | ","")&amp;IF($K127="","Sin obra | ","")&amp;IF(AND($N127&lt;&gt;"",$G127&lt;&gt;"",$N127&gt;IFERROR(INDEX('MAESTRO DE UNIDADES'!$I$2:$I$208,MATCH($G127,'MAESTRO DE UNIDADES'!$A$2:$A$208,0)),0)),"Litros &gt; tanque | ","")&amp;IF(AND($W127&lt;&gt;"",COUNTIF($W$2:$W127,$W127)&gt;1),"Ticket duplicado | ","")&amp;IF(AND($G127&lt;&gt;"",IFERROR(INDEX('MAESTRO DE UNIDADES'!$L$2:$L$208,MATCH($G127,'MAESTRO DE UNIDADES'!$A$2:$A$208,0)),"")="Inactivo"),"Unidad inactiva | ","")&amp;IF(AND($AA127&lt;&gt;"",$N127=""),"Carga de batán sin litros | ","")&amp;IF(AND($AA127&lt;&gt;"",$AC127&lt;0),"Supera saldo batán | ","")))-3)))</f>
        <v/>
      </c>
      <c r="Z127" s="8" t="str">
        <f t="shared" si="14"/>
        <v/>
      </c>
      <c r="AA127" s="4"/>
      <c r="AB127" s="26" t="str">
        <f>IF($AA127="","",IFERROR(INDEX('CONTROL DE BATAN'!$J$2:$J$301,MATCH($AA127,'CONTROL DE BATAN'!$A$2:$A$301,0)),""))</f>
        <v/>
      </c>
      <c r="AC127" s="28" t="str">
        <f>IF($AA127="","",IFERROR(INDEX('CONTROL DE BATAN'!$I$2:$I$301,MATCH($AA127,'CONTROL DE BATAN'!$A$2:$A$301,0)),0)-SUMIFS($N$2:$N127,$AA$2:$AA127,$AA127))</f>
        <v/>
      </c>
    </row>
    <row r="128" spans="1:29" x14ac:dyDescent="0.25">
      <c r="A128" s="8" t="str">
        <f t="shared" si="8"/>
        <v/>
      </c>
      <c r="B128" s="9"/>
      <c r="C128" s="8" t="str">
        <f t="shared" si="9"/>
        <v/>
      </c>
      <c r="D128" s="10" t="str">
        <f t="shared" si="10"/>
        <v/>
      </c>
      <c r="E128" s="8" t="str">
        <f t="shared" si="11"/>
        <v/>
      </c>
      <c r="F128" s="8" t="str">
        <f>IF($G128="","",IFERROR(INDEX('MAESTRO DE UNIDADES'!$C$2:$C$208,MATCH($G128,'MAESTRO DE UNIDADES'!$A$2:$A$208,0)),""))</f>
        <v/>
      </c>
      <c r="G128" s="4"/>
      <c r="H128" s="8" t="str">
        <f>IF($G128="","",IFERROR(INDEX('MAESTRO DE UNIDADES'!$F$2:$F$208,MATCH($G128,'MAESTRO DE UNIDADES'!$A$2:$A$208,0)),""))</f>
        <v/>
      </c>
      <c r="I128" s="8" t="str">
        <f>IF($G128="","",IFERROR(INDEX('MAESTRO DE UNIDADES'!$B$2:$B$208,MATCH($G128,'MAESTRO DE UNIDADES'!$A$2:$A$208,0)),""))</f>
        <v/>
      </c>
      <c r="J128" s="4"/>
      <c r="K128" s="4"/>
      <c r="L128" s="4"/>
      <c r="M128" s="8" t="str">
        <f>IF($G128="","",IFERROR(INDEX('MAESTRO DE UNIDADES'!$H$2:$H$208,MATCH($G128,'MAESTRO DE UNIDADES'!$A$2:$A$208,0)),""))</f>
        <v/>
      </c>
      <c r="N128" s="25"/>
      <c r="O128" s="25"/>
      <c r="P128" s="26" t="str">
        <f t="shared" si="12"/>
        <v/>
      </c>
      <c r="Q128" s="27"/>
      <c r="R128" s="27"/>
      <c r="S128" s="28" t="str">
        <f>IF(OR($G128="",$Q128="",COUNTIF($G$2:G127,$G128)=0),"",$Q128-LOOKUP(2,1/($G$2:G127=$G128),$Q$2:Q127))</f>
        <v/>
      </c>
      <c r="T128" s="28" t="str">
        <f>IF(OR($G128="",$R128="",COUNTIF($G$2:G127,$G128)=0),"",$R128-LOOKUP(2,1/($G$2:G127=$G128),$R$2:R127))</f>
        <v/>
      </c>
      <c r="U128" s="11" t="str">
        <f t="shared" si="13"/>
        <v/>
      </c>
      <c r="V128" s="4"/>
      <c r="W128" s="4"/>
      <c r="X128" s="55"/>
      <c r="Y128" s="56" t="str">
        <f>IF($B128="","",IF((IF($G128="","Sin unidad | ","")&amp;IF($J128="","Sin responsable | ","")&amp;IF($K128="","Sin obra | ","")&amp;IF(AND($N128&lt;&gt;"",$G128&lt;&gt;"",$N128&gt;IFERROR(INDEX('MAESTRO DE UNIDADES'!$I$2:$I$208,MATCH($G128,'MAESTRO DE UNIDADES'!$A$2:$A$208,0)),0)),"Litros &gt; tanque | ","")&amp;IF(AND($W128&lt;&gt;"",COUNTIF($W$2:$W128,$W128)&gt;1),"Ticket duplicado | ","")&amp;IF(AND($G128&lt;&gt;"",IFERROR(INDEX('MAESTRO DE UNIDADES'!$L$2:$L$208,MATCH($G128,'MAESTRO DE UNIDADES'!$A$2:$A$208,0)),"")="Inactivo"),"Unidad inactiva | ","")&amp;IF(AND($AA128&lt;&gt;"",$N128=""),"Carga de batán sin litros | ","")&amp;IF(AND($AA128&lt;&gt;"",$AC128&lt;0),"Supera saldo batán | ",""))="","OK",LEFT((IF($G128="","Sin unidad | ","")&amp;IF($J128="","Sin responsable | ","")&amp;IF($K128="","Sin obra | ","")&amp;IF(AND($N128&lt;&gt;"",$G128&lt;&gt;"",$N128&gt;IFERROR(INDEX('MAESTRO DE UNIDADES'!$I$2:$I$208,MATCH($G128,'MAESTRO DE UNIDADES'!$A$2:$A$208,0)),0)),"Litros &gt; tanque | ","")&amp;IF(AND($W128&lt;&gt;"",COUNTIF($W$2:$W128,$W128)&gt;1),"Ticket duplicado | ","")&amp;IF(AND($G128&lt;&gt;"",IFERROR(INDEX('MAESTRO DE UNIDADES'!$L$2:$L$208,MATCH($G128,'MAESTRO DE UNIDADES'!$A$2:$A$208,0)),"")="Inactivo"),"Unidad inactiva | ","")&amp;IF(AND($AA128&lt;&gt;"",$N128=""),"Carga de batán sin litros | ","")&amp;IF(AND($AA128&lt;&gt;"",$AC128&lt;0),"Supera saldo batán | ","")),LEN((IF($G128="","Sin unidad | ","")&amp;IF($J128="","Sin responsable | ","")&amp;IF($K128="","Sin obra | ","")&amp;IF(AND($N128&lt;&gt;"",$G128&lt;&gt;"",$N128&gt;IFERROR(INDEX('MAESTRO DE UNIDADES'!$I$2:$I$208,MATCH($G128,'MAESTRO DE UNIDADES'!$A$2:$A$208,0)),0)),"Litros &gt; tanque | ","")&amp;IF(AND($W128&lt;&gt;"",COUNTIF($W$2:$W128,$W128)&gt;1),"Ticket duplicado | ","")&amp;IF(AND($G128&lt;&gt;"",IFERROR(INDEX('MAESTRO DE UNIDADES'!$L$2:$L$208,MATCH($G128,'MAESTRO DE UNIDADES'!$A$2:$A$208,0)),"")="Inactivo"),"Unidad inactiva | ","")&amp;IF(AND($AA128&lt;&gt;"",$N128=""),"Carga de batán sin litros | ","")&amp;IF(AND($AA128&lt;&gt;"",$AC128&lt;0),"Supera saldo batán | ","")))-3)))</f>
        <v/>
      </c>
      <c r="Z128" s="8" t="str">
        <f t="shared" si="14"/>
        <v/>
      </c>
      <c r="AA128" s="4"/>
      <c r="AB128" s="26" t="str">
        <f>IF($AA128="","",IFERROR(INDEX('CONTROL DE BATAN'!$J$2:$J$301,MATCH($AA128,'CONTROL DE BATAN'!$A$2:$A$301,0)),""))</f>
        <v/>
      </c>
      <c r="AC128" s="28" t="str">
        <f>IF($AA128="","",IFERROR(INDEX('CONTROL DE BATAN'!$I$2:$I$301,MATCH($AA128,'CONTROL DE BATAN'!$A$2:$A$301,0)),0)-SUMIFS($N$2:$N128,$AA$2:$AA128,$AA128))</f>
        <v/>
      </c>
    </row>
    <row r="129" spans="1:29" x14ac:dyDescent="0.25">
      <c r="A129" s="8" t="str">
        <f t="shared" si="8"/>
        <v/>
      </c>
      <c r="B129" s="9"/>
      <c r="C129" s="8" t="str">
        <f t="shared" si="9"/>
        <v/>
      </c>
      <c r="D129" s="10" t="str">
        <f t="shared" si="10"/>
        <v/>
      </c>
      <c r="E129" s="8" t="str">
        <f t="shared" si="11"/>
        <v/>
      </c>
      <c r="F129" s="8" t="str">
        <f>IF($G129="","",IFERROR(INDEX('MAESTRO DE UNIDADES'!$C$2:$C$208,MATCH($G129,'MAESTRO DE UNIDADES'!$A$2:$A$208,0)),""))</f>
        <v/>
      </c>
      <c r="G129" s="4"/>
      <c r="H129" s="8" t="str">
        <f>IF($G129="","",IFERROR(INDEX('MAESTRO DE UNIDADES'!$F$2:$F$208,MATCH($G129,'MAESTRO DE UNIDADES'!$A$2:$A$208,0)),""))</f>
        <v/>
      </c>
      <c r="I129" s="8" t="str">
        <f>IF($G129="","",IFERROR(INDEX('MAESTRO DE UNIDADES'!$B$2:$B$208,MATCH($G129,'MAESTRO DE UNIDADES'!$A$2:$A$208,0)),""))</f>
        <v/>
      </c>
      <c r="J129" s="4"/>
      <c r="K129" s="4"/>
      <c r="L129" s="4"/>
      <c r="M129" s="8" t="str">
        <f>IF($G129="","",IFERROR(INDEX('MAESTRO DE UNIDADES'!$H$2:$H$208,MATCH($G129,'MAESTRO DE UNIDADES'!$A$2:$A$208,0)),""))</f>
        <v/>
      </c>
      <c r="N129" s="25"/>
      <c r="O129" s="25"/>
      <c r="P129" s="26" t="str">
        <f t="shared" si="12"/>
        <v/>
      </c>
      <c r="Q129" s="27"/>
      <c r="R129" s="27"/>
      <c r="S129" s="28" t="str">
        <f>IF(OR($G129="",$Q129="",COUNTIF($G$2:G128,$G129)=0),"",$Q129-LOOKUP(2,1/($G$2:G128=$G129),$Q$2:Q128))</f>
        <v/>
      </c>
      <c r="T129" s="28" t="str">
        <f>IF(OR($G129="",$R129="",COUNTIF($G$2:G128,$G129)=0),"",$R129-LOOKUP(2,1/($G$2:G128=$G129),$R$2:R128))</f>
        <v/>
      </c>
      <c r="U129" s="11" t="str">
        <f t="shared" si="13"/>
        <v/>
      </c>
      <c r="V129" s="4"/>
      <c r="W129" s="4"/>
      <c r="X129" s="55"/>
      <c r="Y129" s="56" t="str">
        <f>IF($B129="","",IF((IF($G129="","Sin unidad | ","")&amp;IF($J129="","Sin responsable | ","")&amp;IF($K129="","Sin obra | ","")&amp;IF(AND($N129&lt;&gt;"",$G129&lt;&gt;"",$N129&gt;IFERROR(INDEX('MAESTRO DE UNIDADES'!$I$2:$I$208,MATCH($G129,'MAESTRO DE UNIDADES'!$A$2:$A$208,0)),0)),"Litros &gt; tanque | ","")&amp;IF(AND($W129&lt;&gt;"",COUNTIF($W$2:$W129,$W129)&gt;1),"Ticket duplicado | ","")&amp;IF(AND($G129&lt;&gt;"",IFERROR(INDEX('MAESTRO DE UNIDADES'!$L$2:$L$208,MATCH($G129,'MAESTRO DE UNIDADES'!$A$2:$A$208,0)),"")="Inactivo"),"Unidad inactiva | ","")&amp;IF(AND($AA129&lt;&gt;"",$N129=""),"Carga de batán sin litros | ","")&amp;IF(AND($AA129&lt;&gt;"",$AC129&lt;0),"Supera saldo batán | ",""))="","OK",LEFT((IF($G129="","Sin unidad | ","")&amp;IF($J129="","Sin responsable | ","")&amp;IF($K129="","Sin obra | ","")&amp;IF(AND($N129&lt;&gt;"",$G129&lt;&gt;"",$N129&gt;IFERROR(INDEX('MAESTRO DE UNIDADES'!$I$2:$I$208,MATCH($G129,'MAESTRO DE UNIDADES'!$A$2:$A$208,0)),0)),"Litros &gt; tanque | ","")&amp;IF(AND($W129&lt;&gt;"",COUNTIF($W$2:$W129,$W129)&gt;1),"Ticket duplicado | ","")&amp;IF(AND($G129&lt;&gt;"",IFERROR(INDEX('MAESTRO DE UNIDADES'!$L$2:$L$208,MATCH($G129,'MAESTRO DE UNIDADES'!$A$2:$A$208,0)),"")="Inactivo"),"Unidad inactiva | ","")&amp;IF(AND($AA129&lt;&gt;"",$N129=""),"Carga de batán sin litros | ","")&amp;IF(AND($AA129&lt;&gt;"",$AC129&lt;0),"Supera saldo batán | ","")),LEN((IF($G129="","Sin unidad | ","")&amp;IF($J129="","Sin responsable | ","")&amp;IF($K129="","Sin obra | ","")&amp;IF(AND($N129&lt;&gt;"",$G129&lt;&gt;"",$N129&gt;IFERROR(INDEX('MAESTRO DE UNIDADES'!$I$2:$I$208,MATCH($G129,'MAESTRO DE UNIDADES'!$A$2:$A$208,0)),0)),"Litros &gt; tanque | ","")&amp;IF(AND($W129&lt;&gt;"",COUNTIF($W$2:$W129,$W129)&gt;1),"Ticket duplicado | ","")&amp;IF(AND($G129&lt;&gt;"",IFERROR(INDEX('MAESTRO DE UNIDADES'!$L$2:$L$208,MATCH($G129,'MAESTRO DE UNIDADES'!$A$2:$A$208,0)),"")="Inactivo"),"Unidad inactiva | ","")&amp;IF(AND($AA129&lt;&gt;"",$N129=""),"Carga de batán sin litros | ","")&amp;IF(AND($AA129&lt;&gt;"",$AC129&lt;0),"Supera saldo batán | ","")))-3)))</f>
        <v/>
      </c>
      <c r="Z129" s="8" t="str">
        <f t="shared" si="14"/>
        <v/>
      </c>
      <c r="AA129" s="4"/>
      <c r="AB129" s="26" t="str">
        <f>IF($AA129="","",IFERROR(INDEX('CONTROL DE BATAN'!$J$2:$J$301,MATCH($AA129,'CONTROL DE BATAN'!$A$2:$A$301,0)),""))</f>
        <v/>
      </c>
      <c r="AC129" s="28" t="str">
        <f>IF($AA129="","",IFERROR(INDEX('CONTROL DE BATAN'!$I$2:$I$301,MATCH($AA129,'CONTROL DE BATAN'!$A$2:$A$301,0)),0)-SUMIFS($N$2:$N129,$AA$2:$AA129,$AA129))</f>
        <v/>
      </c>
    </row>
    <row r="130" spans="1:29" x14ac:dyDescent="0.25">
      <c r="A130" s="8" t="str">
        <f t="shared" si="8"/>
        <v/>
      </c>
      <c r="B130" s="9"/>
      <c r="C130" s="8" t="str">
        <f t="shared" si="9"/>
        <v/>
      </c>
      <c r="D130" s="10" t="str">
        <f t="shared" si="10"/>
        <v/>
      </c>
      <c r="E130" s="8" t="str">
        <f t="shared" si="11"/>
        <v/>
      </c>
      <c r="F130" s="8" t="str">
        <f>IF($G130="","",IFERROR(INDEX('MAESTRO DE UNIDADES'!$C$2:$C$208,MATCH($G130,'MAESTRO DE UNIDADES'!$A$2:$A$208,0)),""))</f>
        <v/>
      </c>
      <c r="G130" s="4"/>
      <c r="H130" s="8" t="str">
        <f>IF($G130="","",IFERROR(INDEX('MAESTRO DE UNIDADES'!$F$2:$F$208,MATCH($G130,'MAESTRO DE UNIDADES'!$A$2:$A$208,0)),""))</f>
        <v/>
      </c>
      <c r="I130" s="8" t="str">
        <f>IF($G130="","",IFERROR(INDEX('MAESTRO DE UNIDADES'!$B$2:$B$208,MATCH($G130,'MAESTRO DE UNIDADES'!$A$2:$A$208,0)),""))</f>
        <v/>
      </c>
      <c r="J130" s="4"/>
      <c r="K130" s="4"/>
      <c r="L130" s="4"/>
      <c r="M130" s="8" t="str">
        <f>IF($G130="","",IFERROR(INDEX('MAESTRO DE UNIDADES'!$H$2:$H$208,MATCH($G130,'MAESTRO DE UNIDADES'!$A$2:$A$208,0)),""))</f>
        <v/>
      </c>
      <c r="N130" s="25"/>
      <c r="O130" s="25"/>
      <c r="P130" s="26" t="str">
        <f t="shared" si="12"/>
        <v/>
      </c>
      <c r="Q130" s="27"/>
      <c r="R130" s="27"/>
      <c r="S130" s="28" t="str">
        <f>IF(OR($G130="",$Q130="",COUNTIF($G$2:G129,$G130)=0),"",$Q130-LOOKUP(2,1/($G$2:G129=$G130),$Q$2:Q129))</f>
        <v/>
      </c>
      <c r="T130" s="28" t="str">
        <f>IF(OR($G130="",$R130="",COUNTIF($G$2:G129,$G130)=0),"",$R130-LOOKUP(2,1/($G$2:G129=$G130),$R$2:R129))</f>
        <v/>
      </c>
      <c r="U130" s="11" t="str">
        <f t="shared" si="13"/>
        <v/>
      </c>
      <c r="V130" s="4"/>
      <c r="W130" s="4"/>
      <c r="X130" s="55"/>
      <c r="Y130" s="56" t="str">
        <f>IF($B130="","",IF((IF($G130="","Sin unidad | ","")&amp;IF($J130="","Sin responsable | ","")&amp;IF($K130="","Sin obra | ","")&amp;IF(AND($N130&lt;&gt;"",$G130&lt;&gt;"",$N130&gt;IFERROR(INDEX('MAESTRO DE UNIDADES'!$I$2:$I$208,MATCH($G130,'MAESTRO DE UNIDADES'!$A$2:$A$208,0)),0)),"Litros &gt; tanque | ","")&amp;IF(AND($W130&lt;&gt;"",COUNTIF($W$2:$W130,$W130)&gt;1),"Ticket duplicado | ","")&amp;IF(AND($G130&lt;&gt;"",IFERROR(INDEX('MAESTRO DE UNIDADES'!$L$2:$L$208,MATCH($G130,'MAESTRO DE UNIDADES'!$A$2:$A$208,0)),"")="Inactivo"),"Unidad inactiva | ","")&amp;IF(AND($AA130&lt;&gt;"",$N130=""),"Carga de batán sin litros | ","")&amp;IF(AND($AA130&lt;&gt;"",$AC130&lt;0),"Supera saldo batán | ",""))="","OK",LEFT((IF($G130="","Sin unidad | ","")&amp;IF($J130="","Sin responsable | ","")&amp;IF($K130="","Sin obra | ","")&amp;IF(AND($N130&lt;&gt;"",$G130&lt;&gt;"",$N130&gt;IFERROR(INDEX('MAESTRO DE UNIDADES'!$I$2:$I$208,MATCH($G130,'MAESTRO DE UNIDADES'!$A$2:$A$208,0)),0)),"Litros &gt; tanque | ","")&amp;IF(AND($W130&lt;&gt;"",COUNTIF($W$2:$W130,$W130)&gt;1),"Ticket duplicado | ","")&amp;IF(AND($G130&lt;&gt;"",IFERROR(INDEX('MAESTRO DE UNIDADES'!$L$2:$L$208,MATCH($G130,'MAESTRO DE UNIDADES'!$A$2:$A$208,0)),"")="Inactivo"),"Unidad inactiva | ","")&amp;IF(AND($AA130&lt;&gt;"",$N130=""),"Carga de batán sin litros | ","")&amp;IF(AND($AA130&lt;&gt;"",$AC130&lt;0),"Supera saldo batán | ","")),LEN((IF($G130="","Sin unidad | ","")&amp;IF($J130="","Sin responsable | ","")&amp;IF($K130="","Sin obra | ","")&amp;IF(AND($N130&lt;&gt;"",$G130&lt;&gt;"",$N130&gt;IFERROR(INDEX('MAESTRO DE UNIDADES'!$I$2:$I$208,MATCH($G130,'MAESTRO DE UNIDADES'!$A$2:$A$208,0)),0)),"Litros &gt; tanque | ","")&amp;IF(AND($W130&lt;&gt;"",COUNTIF($W$2:$W130,$W130)&gt;1),"Ticket duplicado | ","")&amp;IF(AND($G130&lt;&gt;"",IFERROR(INDEX('MAESTRO DE UNIDADES'!$L$2:$L$208,MATCH($G130,'MAESTRO DE UNIDADES'!$A$2:$A$208,0)),"")="Inactivo"),"Unidad inactiva | ","")&amp;IF(AND($AA130&lt;&gt;"",$N130=""),"Carga de batán sin litros | ","")&amp;IF(AND($AA130&lt;&gt;"",$AC130&lt;0),"Supera saldo batán | ","")))-3)))</f>
        <v/>
      </c>
      <c r="Z130" s="8" t="str">
        <f t="shared" si="14"/>
        <v/>
      </c>
      <c r="AA130" s="4"/>
      <c r="AB130" s="26" t="str">
        <f>IF($AA130="","",IFERROR(INDEX('CONTROL DE BATAN'!$J$2:$J$301,MATCH($AA130,'CONTROL DE BATAN'!$A$2:$A$301,0)),""))</f>
        <v/>
      </c>
      <c r="AC130" s="28" t="str">
        <f>IF($AA130="","",IFERROR(INDEX('CONTROL DE BATAN'!$I$2:$I$301,MATCH($AA130,'CONTROL DE BATAN'!$A$2:$A$301,0)),0)-SUMIFS($N$2:$N130,$AA$2:$AA130,$AA130))</f>
        <v/>
      </c>
    </row>
    <row r="131" spans="1:29" x14ac:dyDescent="0.25">
      <c r="A131" s="8" t="str">
        <f t="shared" si="8"/>
        <v/>
      </c>
      <c r="B131" s="9"/>
      <c r="C131" s="8" t="str">
        <f t="shared" si="9"/>
        <v/>
      </c>
      <c r="D131" s="10" t="str">
        <f t="shared" si="10"/>
        <v/>
      </c>
      <c r="E131" s="8" t="str">
        <f t="shared" si="11"/>
        <v/>
      </c>
      <c r="F131" s="8" t="str">
        <f>IF($G131="","",IFERROR(INDEX('MAESTRO DE UNIDADES'!$C$2:$C$208,MATCH($G131,'MAESTRO DE UNIDADES'!$A$2:$A$208,0)),""))</f>
        <v/>
      </c>
      <c r="G131" s="4"/>
      <c r="H131" s="8" t="str">
        <f>IF($G131="","",IFERROR(INDEX('MAESTRO DE UNIDADES'!$F$2:$F$208,MATCH($G131,'MAESTRO DE UNIDADES'!$A$2:$A$208,0)),""))</f>
        <v/>
      </c>
      <c r="I131" s="8" t="str">
        <f>IF($G131="","",IFERROR(INDEX('MAESTRO DE UNIDADES'!$B$2:$B$208,MATCH($G131,'MAESTRO DE UNIDADES'!$A$2:$A$208,0)),""))</f>
        <v/>
      </c>
      <c r="J131" s="4"/>
      <c r="K131" s="4"/>
      <c r="L131" s="4"/>
      <c r="M131" s="8" t="str">
        <f>IF($G131="","",IFERROR(INDEX('MAESTRO DE UNIDADES'!$H$2:$H$208,MATCH($G131,'MAESTRO DE UNIDADES'!$A$2:$A$208,0)),""))</f>
        <v/>
      </c>
      <c r="N131" s="25"/>
      <c r="O131" s="25"/>
      <c r="P131" s="26" t="str">
        <f t="shared" si="12"/>
        <v/>
      </c>
      <c r="Q131" s="27"/>
      <c r="R131" s="27"/>
      <c r="S131" s="28" t="str">
        <f>IF(OR($G131="",$Q131="",COUNTIF($G$2:G130,$G131)=0),"",$Q131-LOOKUP(2,1/($G$2:G130=$G131),$Q$2:Q130))</f>
        <v/>
      </c>
      <c r="T131" s="28" t="str">
        <f>IF(OR($G131="",$R131="",COUNTIF($G$2:G130,$G131)=0),"",$R131-LOOKUP(2,1/($G$2:G130=$G131),$R$2:R130))</f>
        <v/>
      </c>
      <c r="U131" s="11" t="str">
        <f t="shared" si="13"/>
        <v/>
      </c>
      <c r="V131" s="4"/>
      <c r="W131" s="4"/>
      <c r="X131" s="55"/>
      <c r="Y131" s="56" t="str">
        <f>IF($B131="","",IF((IF($G131="","Sin unidad | ","")&amp;IF($J131="","Sin responsable | ","")&amp;IF($K131="","Sin obra | ","")&amp;IF(AND($N131&lt;&gt;"",$G131&lt;&gt;"",$N131&gt;IFERROR(INDEX('MAESTRO DE UNIDADES'!$I$2:$I$208,MATCH($G131,'MAESTRO DE UNIDADES'!$A$2:$A$208,0)),0)),"Litros &gt; tanque | ","")&amp;IF(AND($W131&lt;&gt;"",COUNTIF($W$2:$W131,$W131)&gt;1),"Ticket duplicado | ","")&amp;IF(AND($G131&lt;&gt;"",IFERROR(INDEX('MAESTRO DE UNIDADES'!$L$2:$L$208,MATCH($G131,'MAESTRO DE UNIDADES'!$A$2:$A$208,0)),"")="Inactivo"),"Unidad inactiva | ","")&amp;IF(AND($AA131&lt;&gt;"",$N131=""),"Carga de batán sin litros | ","")&amp;IF(AND($AA131&lt;&gt;"",$AC131&lt;0),"Supera saldo batán | ",""))="","OK",LEFT((IF($G131="","Sin unidad | ","")&amp;IF($J131="","Sin responsable | ","")&amp;IF($K131="","Sin obra | ","")&amp;IF(AND($N131&lt;&gt;"",$G131&lt;&gt;"",$N131&gt;IFERROR(INDEX('MAESTRO DE UNIDADES'!$I$2:$I$208,MATCH($G131,'MAESTRO DE UNIDADES'!$A$2:$A$208,0)),0)),"Litros &gt; tanque | ","")&amp;IF(AND($W131&lt;&gt;"",COUNTIF($W$2:$W131,$W131)&gt;1),"Ticket duplicado | ","")&amp;IF(AND($G131&lt;&gt;"",IFERROR(INDEX('MAESTRO DE UNIDADES'!$L$2:$L$208,MATCH($G131,'MAESTRO DE UNIDADES'!$A$2:$A$208,0)),"")="Inactivo"),"Unidad inactiva | ","")&amp;IF(AND($AA131&lt;&gt;"",$N131=""),"Carga de batán sin litros | ","")&amp;IF(AND($AA131&lt;&gt;"",$AC131&lt;0),"Supera saldo batán | ","")),LEN((IF($G131="","Sin unidad | ","")&amp;IF($J131="","Sin responsable | ","")&amp;IF($K131="","Sin obra | ","")&amp;IF(AND($N131&lt;&gt;"",$G131&lt;&gt;"",$N131&gt;IFERROR(INDEX('MAESTRO DE UNIDADES'!$I$2:$I$208,MATCH($G131,'MAESTRO DE UNIDADES'!$A$2:$A$208,0)),0)),"Litros &gt; tanque | ","")&amp;IF(AND($W131&lt;&gt;"",COUNTIF($W$2:$W131,$W131)&gt;1),"Ticket duplicado | ","")&amp;IF(AND($G131&lt;&gt;"",IFERROR(INDEX('MAESTRO DE UNIDADES'!$L$2:$L$208,MATCH($G131,'MAESTRO DE UNIDADES'!$A$2:$A$208,0)),"")="Inactivo"),"Unidad inactiva | ","")&amp;IF(AND($AA131&lt;&gt;"",$N131=""),"Carga de batán sin litros | ","")&amp;IF(AND($AA131&lt;&gt;"",$AC131&lt;0),"Supera saldo batán | ","")))-3)))</f>
        <v/>
      </c>
      <c r="Z131" s="8" t="str">
        <f t="shared" si="14"/>
        <v/>
      </c>
      <c r="AA131" s="4"/>
      <c r="AB131" s="26" t="str">
        <f>IF($AA131="","",IFERROR(INDEX('CONTROL DE BATAN'!$J$2:$J$301,MATCH($AA131,'CONTROL DE BATAN'!$A$2:$A$301,0)),""))</f>
        <v/>
      </c>
      <c r="AC131" s="28" t="str">
        <f>IF($AA131="","",IFERROR(INDEX('CONTROL DE BATAN'!$I$2:$I$301,MATCH($AA131,'CONTROL DE BATAN'!$A$2:$A$301,0)),0)-SUMIFS($N$2:$N131,$AA$2:$AA131,$AA131))</f>
        <v/>
      </c>
    </row>
    <row r="132" spans="1:29" x14ac:dyDescent="0.25">
      <c r="A132" s="8" t="str">
        <f t="shared" ref="A132:A195" si="15">IF(B132="","","CARGA-"&amp;TEXT(ROW()-1,"0000"))</f>
        <v/>
      </c>
      <c r="B132" s="9"/>
      <c r="C132" s="8" t="str">
        <f t="shared" ref="C132:C195" si="16">IF(B132="","",CHOOSE(MONTH(B132),"Enero","Febrero","Marzo","Abril","Mayo","Junio","Julio","Agosto","Septiembre","Octubre","Noviembre","Diciembre"))</f>
        <v/>
      </c>
      <c r="D132" s="10" t="str">
        <f t="shared" ref="D132:D195" si="17">IF(B132="","",YEAR(B132))</f>
        <v/>
      </c>
      <c r="E132" s="8" t="str">
        <f t="shared" ref="E132:E195" si="18">IF(B132="","",CHOOSE(WEEKDAY(B132,2),"Lunes","Martes","Miércoles","Jueves","Viernes","Sábado","Domingo"))</f>
        <v/>
      </c>
      <c r="F132" s="8" t="str">
        <f>IF($G132="","",IFERROR(INDEX('MAESTRO DE UNIDADES'!$C$2:$C$208,MATCH($G132,'MAESTRO DE UNIDADES'!$A$2:$A$208,0)),""))</f>
        <v/>
      </c>
      <c r="G132" s="4"/>
      <c r="H132" s="8" t="str">
        <f>IF($G132="","",IFERROR(INDEX('MAESTRO DE UNIDADES'!$F$2:$F$208,MATCH($G132,'MAESTRO DE UNIDADES'!$A$2:$A$208,0)),""))</f>
        <v/>
      </c>
      <c r="I132" s="8" t="str">
        <f>IF($G132="","",IFERROR(INDEX('MAESTRO DE UNIDADES'!$B$2:$B$208,MATCH($G132,'MAESTRO DE UNIDADES'!$A$2:$A$208,0)),""))</f>
        <v/>
      </c>
      <c r="J132" s="4"/>
      <c r="K132" s="4"/>
      <c r="L132" s="4"/>
      <c r="M132" s="8" t="str">
        <f>IF($G132="","",IFERROR(INDEX('MAESTRO DE UNIDADES'!$H$2:$H$208,MATCH($G132,'MAESTRO DE UNIDADES'!$A$2:$A$208,0)),""))</f>
        <v/>
      </c>
      <c r="N132" s="25"/>
      <c r="O132" s="25"/>
      <c r="P132" s="26" t="str">
        <f t="shared" ref="P132:P195" si="19">IF($N132="","",IF($AA132&lt;&gt;"",IF($AB132="","",$N132*$AB132),IF($O132="","",$N132*$O132)))</f>
        <v/>
      </c>
      <c r="Q132" s="27"/>
      <c r="R132" s="27"/>
      <c r="S132" s="28" t="str">
        <f>IF(OR($G132="",$Q132="",COUNTIF($G$2:G131,$G132)=0),"",$Q132-LOOKUP(2,1/($G$2:G131=$G132),$Q$2:Q131))</f>
        <v/>
      </c>
      <c r="T132" s="28" t="str">
        <f>IF(OR($G132="",$R132="",COUNTIF($G$2:G131,$G132)=0),"",$R132-LOOKUP(2,1/($G$2:G131=$G132),$R$2:R131))</f>
        <v/>
      </c>
      <c r="U132" s="11" t="str">
        <f t="shared" ref="U132:U195" si="20">IF(N132="","",IF(S132&lt;&gt;"",S132/N132,IF(T132&lt;&gt;"",T132/N132,"")))</f>
        <v/>
      </c>
      <c r="V132" s="4"/>
      <c r="W132" s="4"/>
      <c r="X132" s="55"/>
      <c r="Y132" s="56" t="str">
        <f>IF($B132="","",IF((IF($G132="","Sin unidad | ","")&amp;IF($J132="","Sin responsable | ","")&amp;IF($K132="","Sin obra | ","")&amp;IF(AND($N132&lt;&gt;"",$G132&lt;&gt;"",$N132&gt;IFERROR(INDEX('MAESTRO DE UNIDADES'!$I$2:$I$208,MATCH($G132,'MAESTRO DE UNIDADES'!$A$2:$A$208,0)),0)),"Litros &gt; tanque | ","")&amp;IF(AND($W132&lt;&gt;"",COUNTIF($W$2:$W132,$W132)&gt;1),"Ticket duplicado | ","")&amp;IF(AND($G132&lt;&gt;"",IFERROR(INDEX('MAESTRO DE UNIDADES'!$L$2:$L$208,MATCH($G132,'MAESTRO DE UNIDADES'!$A$2:$A$208,0)),"")="Inactivo"),"Unidad inactiva | ","")&amp;IF(AND($AA132&lt;&gt;"",$N132=""),"Carga de batán sin litros | ","")&amp;IF(AND($AA132&lt;&gt;"",$AC132&lt;0),"Supera saldo batán | ",""))="","OK",LEFT((IF($G132="","Sin unidad | ","")&amp;IF($J132="","Sin responsable | ","")&amp;IF($K132="","Sin obra | ","")&amp;IF(AND($N132&lt;&gt;"",$G132&lt;&gt;"",$N132&gt;IFERROR(INDEX('MAESTRO DE UNIDADES'!$I$2:$I$208,MATCH($G132,'MAESTRO DE UNIDADES'!$A$2:$A$208,0)),0)),"Litros &gt; tanque | ","")&amp;IF(AND($W132&lt;&gt;"",COUNTIF($W$2:$W132,$W132)&gt;1),"Ticket duplicado | ","")&amp;IF(AND($G132&lt;&gt;"",IFERROR(INDEX('MAESTRO DE UNIDADES'!$L$2:$L$208,MATCH($G132,'MAESTRO DE UNIDADES'!$A$2:$A$208,0)),"")="Inactivo"),"Unidad inactiva | ","")&amp;IF(AND($AA132&lt;&gt;"",$N132=""),"Carga de batán sin litros | ","")&amp;IF(AND($AA132&lt;&gt;"",$AC132&lt;0),"Supera saldo batán | ","")),LEN((IF($G132="","Sin unidad | ","")&amp;IF($J132="","Sin responsable | ","")&amp;IF($K132="","Sin obra | ","")&amp;IF(AND($N132&lt;&gt;"",$G132&lt;&gt;"",$N132&gt;IFERROR(INDEX('MAESTRO DE UNIDADES'!$I$2:$I$208,MATCH($G132,'MAESTRO DE UNIDADES'!$A$2:$A$208,0)),0)),"Litros &gt; tanque | ","")&amp;IF(AND($W132&lt;&gt;"",COUNTIF($W$2:$W132,$W132)&gt;1),"Ticket duplicado | ","")&amp;IF(AND($G132&lt;&gt;"",IFERROR(INDEX('MAESTRO DE UNIDADES'!$L$2:$L$208,MATCH($G132,'MAESTRO DE UNIDADES'!$A$2:$A$208,0)),"")="Inactivo"),"Unidad inactiva | ","")&amp;IF(AND($AA132&lt;&gt;"",$N132=""),"Carga de batán sin litros | ","")&amp;IF(AND($AA132&lt;&gt;"",$AC132&lt;0),"Supera saldo batán | ","")))-3)))</f>
        <v/>
      </c>
      <c r="Z132" s="8" t="str">
        <f t="shared" ref="Z132:Z195" si="21">IF($B132="","",IF($AA132&lt;&gt;"","Batán","Estación de servicio"))</f>
        <v/>
      </c>
      <c r="AA132" s="4"/>
      <c r="AB132" s="26" t="str">
        <f>IF($AA132="","",IFERROR(INDEX('CONTROL DE BATAN'!$J$2:$J$301,MATCH($AA132,'CONTROL DE BATAN'!$A$2:$A$301,0)),""))</f>
        <v/>
      </c>
      <c r="AC132" s="28" t="str">
        <f>IF($AA132="","",IFERROR(INDEX('CONTROL DE BATAN'!$I$2:$I$301,MATCH($AA132,'CONTROL DE BATAN'!$A$2:$A$301,0)),0)-SUMIFS($N$2:$N132,$AA$2:$AA132,$AA132))</f>
        <v/>
      </c>
    </row>
    <row r="133" spans="1:29" x14ac:dyDescent="0.25">
      <c r="A133" s="8" t="str">
        <f t="shared" si="15"/>
        <v/>
      </c>
      <c r="B133" s="9"/>
      <c r="C133" s="8" t="str">
        <f t="shared" si="16"/>
        <v/>
      </c>
      <c r="D133" s="10" t="str">
        <f t="shared" si="17"/>
        <v/>
      </c>
      <c r="E133" s="8" t="str">
        <f t="shared" si="18"/>
        <v/>
      </c>
      <c r="F133" s="8" t="str">
        <f>IF($G133="","",IFERROR(INDEX('MAESTRO DE UNIDADES'!$C$2:$C$208,MATCH($G133,'MAESTRO DE UNIDADES'!$A$2:$A$208,0)),""))</f>
        <v/>
      </c>
      <c r="G133" s="4"/>
      <c r="H133" s="8" t="str">
        <f>IF($G133="","",IFERROR(INDEX('MAESTRO DE UNIDADES'!$F$2:$F$208,MATCH($G133,'MAESTRO DE UNIDADES'!$A$2:$A$208,0)),""))</f>
        <v/>
      </c>
      <c r="I133" s="8" t="str">
        <f>IF($G133="","",IFERROR(INDEX('MAESTRO DE UNIDADES'!$B$2:$B$208,MATCH($G133,'MAESTRO DE UNIDADES'!$A$2:$A$208,0)),""))</f>
        <v/>
      </c>
      <c r="J133" s="4"/>
      <c r="K133" s="4"/>
      <c r="L133" s="4"/>
      <c r="M133" s="8" t="str">
        <f>IF($G133="","",IFERROR(INDEX('MAESTRO DE UNIDADES'!$H$2:$H$208,MATCH($G133,'MAESTRO DE UNIDADES'!$A$2:$A$208,0)),""))</f>
        <v/>
      </c>
      <c r="N133" s="25"/>
      <c r="O133" s="25"/>
      <c r="P133" s="26" t="str">
        <f t="shared" si="19"/>
        <v/>
      </c>
      <c r="Q133" s="27"/>
      <c r="R133" s="27"/>
      <c r="S133" s="28" t="str">
        <f>IF(OR($G133="",$Q133="",COUNTIF($G$2:G132,$G133)=0),"",$Q133-LOOKUP(2,1/($G$2:G132=$G133),$Q$2:Q132))</f>
        <v/>
      </c>
      <c r="T133" s="28" t="str">
        <f>IF(OR($G133="",$R133="",COUNTIF($G$2:G132,$G133)=0),"",$R133-LOOKUP(2,1/($G$2:G132=$G133),$R$2:R132))</f>
        <v/>
      </c>
      <c r="U133" s="11" t="str">
        <f t="shared" si="20"/>
        <v/>
      </c>
      <c r="V133" s="4"/>
      <c r="W133" s="4"/>
      <c r="X133" s="55"/>
      <c r="Y133" s="56" t="str">
        <f>IF($B133="","",IF((IF($G133="","Sin unidad | ","")&amp;IF($J133="","Sin responsable | ","")&amp;IF($K133="","Sin obra | ","")&amp;IF(AND($N133&lt;&gt;"",$G133&lt;&gt;"",$N133&gt;IFERROR(INDEX('MAESTRO DE UNIDADES'!$I$2:$I$208,MATCH($G133,'MAESTRO DE UNIDADES'!$A$2:$A$208,0)),0)),"Litros &gt; tanque | ","")&amp;IF(AND($W133&lt;&gt;"",COUNTIF($W$2:$W133,$W133)&gt;1),"Ticket duplicado | ","")&amp;IF(AND($G133&lt;&gt;"",IFERROR(INDEX('MAESTRO DE UNIDADES'!$L$2:$L$208,MATCH($G133,'MAESTRO DE UNIDADES'!$A$2:$A$208,0)),"")="Inactivo"),"Unidad inactiva | ","")&amp;IF(AND($AA133&lt;&gt;"",$N133=""),"Carga de batán sin litros | ","")&amp;IF(AND($AA133&lt;&gt;"",$AC133&lt;0),"Supera saldo batán | ",""))="","OK",LEFT((IF($G133="","Sin unidad | ","")&amp;IF($J133="","Sin responsable | ","")&amp;IF($K133="","Sin obra | ","")&amp;IF(AND($N133&lt;&gt;"",$G133&lt;&gt;"",$N133&gt;IFERROR(INDEX('MAESTRO DE UNIDADES'!$I$2:$I$208,MATCH($G133,'MAESTRO DE UNIDADES'!$A$2:$A$208,0)),0)),"Litros &gt; tanque | ","")&amp;IF(AND($W133&lt;&gt;"",COUNTIF($W$2:$W133,$W133)&gt;1),"Ticket duplicado | ","")&amp;IF(AND($G133&lt;&gt;"",IFERROR(INDEX('MAESTRO DE UNIDADES'!$L$2:$L$208,MATCH($G133,'MAESTRO DE UNIDADES'!$A$2:$A$208,0)),"")="Inactivo"),"Unidad inactiva | ","")&amp;IF(AND($AA133&lt;&gt;"",$N133=""),"Carga de batán sin litros | ","")&amp;IF(AND($AA133&lt;&gt;"",$AC133&lt;0),"Supera saldo batán | ","")),LEN((IF($G133="","Sin unidad | ","")&amp;IF($J133="","Sin responsable | ","")&amp;IF($K133="","Sin obra | ","")&amp;IF(AND($N133&lt;&gt;"",$G133&lt;&gt;"",$N133&gt;IFERROR(INDEX('MAESTRO DE UNIDADES'!$I$2:$I$208,MATCH($G133,'MAESTRO DE UNIDADES'!$A$2:$A$208,0)),0)),"Litros &gt; tanque | ","")&amp;IF(AND($W133&lt;&gt;"",COUNTIF($W$2:$W133,$W133)&gt;1),"Ticket duplicado | ","")&amp;IF(AND($G133&lt;&gt;"",IFERROR(INDEX('MAESTRO DE UNIDADES'!$L$2:$L$208,MATCH($G133,'MAESTRO DE UNIDADES'!$A$2:$A$208,0)),"")="Inactivo"),"Unidad inactiva | ","")&amp;IF(AND($AA133&lt;&gt;"",$N133=""),"Carga de batán sin litros | ","")&amp;IF(AND($AA133&lt;&gt;"",$AC133&lt;0),"Supera saldo batán | ","")))-3)))</f>
        <v/>
      </c>
      <c r="Z133" s="8" t="str">
        <f t="shared" si="21"/>
        <v/>
      </c>
      <c r="AA133" s="4"/>
      <c r="AB133" s="26" t="str">
        <f>IF($AA133="","",IFERROR(INDEX('CONTROL DE BATAN'!$J$2:$J$301,MATCH($AA133,'CONTROL DE BATAN'!$A$2:$A$301,0)),""))</f>
        <v/>
      </c>
      <c r="AC133" s="28" t="str">
        <f>IF($AA133="","",IFERROR(INDEX('CONTROL DE BATAN'!$I$2:$I$301,MATCH($AA133,'CONTROL DE BATAN'!$A$2:$A$301,0)),0)-SUMIFS($N$2:$N133,$AA$2:$AA133,$AA133))</f>
        <v/>
      </c>
    </row>
    <row r="134" spans="1:29" x14ac:dyDescent="0.25">
      <c r="A134" s="8" t="str">
        <f t="shared" si="15"/>
        <v/>
      </c>
      <c r="B134" s="9"/>
      <c r="C134" s="8" t="str">
        <f t="shared" si="16"/>
        <v/>
      </c>
      <c r="D134" s="10" t="str">
        <f t="shared" si="17"/>
        <v/>
      </c>
      <c r="E134" s="8" t="str">
        <f t="shared" si="18"/>
        <v/>
      </c>
      <c r="F134" s="8" t="str">
        <f>IF($G134="","",IFERROR(INDEX('MAESTRO DE UNIDADES'!$C$2:$C$208,MATCH($G134,'MAESTRO DE UNIDADES'!$A$2:$A$208,0)),""))</f>
        <v/>
      </c>
      <c r="G134" s="4"/>
      <c r="H134" s="8" t="str">
        <f>IF($G134="","",IFERROR(INDEX('MAESTRO DE UNIDADES'!$F$2:$F$208,MATCH($G134,'MAESTRO DE UNIDADES'!$A$2:$A$208,0)),""))</f>
        <v/>
      </c>
      <c r="I134" s="8" t="str">
        <f>IF($G134="","",IFERROR(INDEX('MAESTRO DE UNIDADES'!$B$2:$B$208,MATCH($G134,'MAESTRO DE UNIDADES'!$A$2:$A$208,0)),""))</f>
        <v/>
      </c>
      <c r="J134" s="4"/>
      <c r="K134" s="4"/>
      <c r="L134" s="4"/>
      <c r="M134" s="8" t="str">
        <f>IF($G134="","",IFERROR(INDEX('MAESTRO DE UNIDADES'!$H$2:$H$208,MATCH($G134,'MAESTRO DE UNIDADES'!$A$2:$A$208,0)),""))</f>
        <v/>
      </c>
      <c r="N134" s="25"/>
      <c r="O134" s="25"/>
      <c r="P134" s="26" t="str">
        <f t="shared" si="19"/>
        <v/>
      </c>
      <c r="Q134" s="27"/>
      <c r="R134" s="27"/>
      <c r="S134" s="28" t="str">
        <f>IF(OR($G134="",$Q134="",COUNTIF($G$2:G133,$G134)=0),"",$Q134-LOOKUP(2,1/($G$2:G133=$G134),$Q$2:Q133))</f>
        <v/>
      </c>
      <c r="T134" s="28" t="str">
        <f>IF(OR($G134="",$R134="",COUNTIF($G$2:G133,$G134)=0),"",$R134-LOOKUP(2,1/($G$2:G133=$G134),$R$2:R133))</f>
        <v/>
      </c>
      <c r="U134" s="11" t="str">
        <f t="shared" si="20"/>
        <v/>
      </c>
      <c r="V134" s="4"/>
      <c r="W134" s="4"/>
      <c r="X134" s="55"/>
      <c r="Y134" s="56" t="str">
        <f>IF($B134="","",IF((IF($G134="","Sin unidad | ","")&amp;IF($J134="","Sin responsable | ","")&amp;IF($K134="","Sin obra | ","")&amp;IF(AND($N134&lt;&gt;"",$G134&lt;&gt;"",$N134&gt;IFERROR(INDEX('MAESTRO DE UNIDADES'!$I$2:$I$208,MATCH($G134,'MAESTRO DE UNIDADES'!$A$2:$A$208,0)),0)),"Litros &gt; tanque | ","")&amp;IF(AND($W134&lt;&gt;"",COUNTIF($W$2:$W134,$W134)&gt;1),"Ticket duplicado | ","")&amp;IF(AND($G134&lt;&gt;"",IFERROR(INDEX('MAESTRO DE UNIDADES'!$L$2:$L$208,MATCH($G134,'MAESTRO DE UNIDADES'!$A$2:$A$208,0)),"")="Inactivo"),"Unidad inactiva | ","")&amp;IF(AND($AA134&lt;&gt;"",$N134=""),"Carga de batán sin litros | ","")&amp;IF(AND($AA134&lt;&gt;"",$AC134&lt;0),"Supera saldo batán | ",""))="","OK",LEFT((IF($G134="","Sin unidad | ","")&amp;IF($J134="","Sin responsable | ","")&amp;IF($K134="","Sin obra | ","")&amp;IF(AND($N134&lt;&gt;"",$G134&lt;&gt;"",$N134&gt;IFERROR(INDEX('MAESTRO DE UNIDADES'!$I$2:$I$208,MATCH($G134,'MAESTRO DE UNIDADES'!$A$2:$A$208,0)),0)),"Litros &gt; tanque | ","")&amp;IF(AND($W134&lt;&gt;"",COUNTIF($W$2:$W134,$W134)&gt;1),"Ticket duplicado | ","")&amp;IF(AND($G134&lt;&gt;"",IFERROR(INDEX('MAESTRO DE UNIDADES'!$L$2:$L$208,MATCH($G134,'MAESTRO DE UNIDADES'!$A$2:$A$208,0)),"")="Inactivo"),"Unidad inactiva | ","")&amp;IF(AND($AA134&lt;&gt;"",$N134=""),"Carga de batán sin litros | ","")&amp;IF(AND($AA134&lt;&gt;"",$AC134&lt;0),"Supera saldo batán | ","")),LEN((IF($G134="","Sin unidad | ","")&amp;IF($J134="","Sin responsable | ","")&amp;IF($K134="","Sin obra | ","")&amp;IF(AND($N134&lt;&gt;"",$G134&lt;&gt;"",$N134&gt;IFERROR(INDEX('MAESTRO DE UNIDADES'!$I$2:$I$208,MATCH($G134,'MAESTRO DE UNIDADES'!$A$2:$A$208,0)),0)),"Litros &gt; tanque | ","")&amp;IF(AND($W134&lt;&gt;"",COUNTIF($W$2:$W134,$W134)&gt;1),"Ticket duplicado | ","")&amp;IF(AND($G134&lt;&gt;"",IFERROR(INDEX('MAESTRO DE UNIDADES'!$L$2:$L$208,MATCH($G134,'MAESTRO DE UNIDADES'!$A$2:$A$208,0)),"")="Inactivo"),"Unidad inactiva | ","")&amp;IF(AND($AA134&lt;&gt;"",$N134=""),"Carga de batán sin litros | ","")&amp;IF(AND($AA134&lt;&gt;"",$AC134&lt;0),"Supera saldo batán | ","")))-3)))</f>
        <v/>
      </c>
      <c r="Z134" s="8" t="str">
        <f t="shared" si="21"/>
        <v/>
      </c>
      <c r="AA134" s="4"/>
      <c r="AB134" s="26" t="str">
        <f>IF($AA134="","",IFERROR(INDEX('CONTROL DE BATAN'!$J$2:$J$301,MATCH($AA134,'CONTROL DE BATAN'!$A$2:$A$301,0)),""))</f>
        <v/>
      </c>
      <c r="AC134" s="28" t="str">
        <f>IF($AA134="","",IFERROR(INDEX('CONTROL DE BATAN'!$I$2:$I$301,MATCH($AA134,'CONTROL DE BATAN'!$A$2:$A$301,0)),0)-SUMIFS($N$2:$N134,$AA$2:$AA134,$AA134))</f>
        <v/>
      </c>
    </row>
    <row r="135" spans="1:29" x14ac:dyDescent="0.25">
      <c r="A135" s="8" t="str">
        <f t="shared" si="15"/>
        <v/>
      </c>
      <c r="B135" s="9"/>
      <c r="C135" s="8" t="str">
        <f t="shared" si="16"/>
        <v/>
      </c>
      <c r="D135" s="10" t="str">
        <f t="shared" si="17"/>
        <v/>
      </c>
      <c r="E135" s="8" t="str">
        <f t="shared" si="18"/>
        <v/>
      </c>
      <c r="F135" s="8" t="str">
        <f>IF($G135="","",IFERROR(INDEX('MAESTRO DE UNIDADES'!$C$2:$C$208,MATCH($G135,'MAESTRO DE UNIDADES'!$A$2:$A$208,0)),""))</f>
        <v/>
      </c>
      <c r="G135" s="4"/>
      <c r="H135" s="8" t="str">
        <f>IF($G135="","",IFERROR(INDEX('MAESTRO DE UNIDADES'!$F$2:$F$208,MATCH($G135,'MAESTRO DE UNIDADES'!$A$2:$A$208,0)),""))</f>
        <v/>
      </c>
      <c r="I135" s="8" t="str">
        <f>IF($G135="","",IFERROR(INDEX('MAESTRO DE UNIDADES'!$B$2:$B$208,MATCH($G135,'MAESTRO DE UNIDADES'!$A$2:$A$208,0)),""))</f>
        <v/>
      </c>
      <c r="J135" s="4"/>
      <c r="K135" s="4"/>
      <c r="L135" s="4"/>
      <c r="M135" s="8" t="str">
        <f>IF($G135="","",IFERROR(INDEX('MAESTRO DE UNIDADES'!$H$2:$H$208,MATCH($G135,'MAESTRO DE UNIDADES'!$A$2:$A$208,0)),""))</f>
        <v/>
      </c>
      <c r="N135" s="25"/>
      <c r="O135" s="25"/>
      <c r="P135" s="26" t="str">
        <f t="shared" si="19"/>
        <v/>
      </c>
      <c r="Q135" s="27"/>
      <c r="R135" s="27"/>
      <c r="S135" s="28" t="str">
        <f>IF(OR($G135="",$Q135="",COUNTIF($G$2:G134,$G135)=0),"",$Q135-LOOKUP(2,1/($G$2:G134=$G135),$Q$2:Q134))</f>
        <v/>
      </c>
      <c r="T135" s="28" t="str">
        <f>IF(OR($G135="",$R135="",COUNTIF($G$2:G134,$G135)=0),"",$R135-LOOKUP(2,1/($G$2:G134=$G135),$R$2:R134))</f>
        <v/>
      </c>
      <c r="U135" s="11" t="str">
        <f t="shared" si="20"/>
        <v/>
      </c>
      <c r="V135" s="4"/>
      <c r="W135" s="4"/>
      <c r="X135" s="55"/>
      <c r="Y135" s="56" t="str">
        <f>IF($B135="","",IF((IF($G135="","Sin unidad | ","")&amp;IF($J135="","Sin responsable | ","")&amp;IF($K135="","Sin obra | ","")&amp;IF(AND($N135&lt;&gt;"",$G135&lt;&gt;"",$N135&gt;IFERROR(INDEX('MAESTRO DE UNIDADES'!$I$2:$I$208,MATCH($G135,'MAESTRO DE UNIDADES'!$A$2:$A$208,0)),0)),"Litros &gt; tanque | ","")&amp;IF(AND($W135&lt;&gt;"",COUNTIF($W$2:$W135,$W135)&gt;1),"Ticket duplicado | ","")&amp;IF(AND($G135&lt;&gt;"",IFERROR(INDEX('MAESTRO DE UNIDADES'!$L$2:$L$208,MATCH($G135,'MAESTRO DE UNIDADES'!$A$2:$A$208,0)),"")="Inactivo"),"Unidad inactiva | ","")&amp;IF(AND($AA135&lt;&gt;"",$N135=""),"Carga de batán sin litros | ","")&amp;IF(AND($AA135&lt;&gt;"",$AC135&lt;0),"Supera saldo batán | ",""))="","OK",LEFT((IF($G135="","Sin unidad | ","")&amp;IF($J135="","Sin responsable | ","")&amp;IF($K135="","Sin obra | ","")&amp;IF(AND($N135&lt;&gt;"",$G135&lt;&gt;"",$N135&gt;IFERROR(INDEX('MAESTRO DE UNIDADES'!$I$2:$I$208,MATCH($G135,'MAESTRO DE UNIDADES'!$A$2:$A$208,0)),0)),"Litros &gt; tanque | ","")&amp;IF(AND($W135&lt;&gt;"",COUNTIF($W$2:$W135,$W135)&gt;1),"Ticket duplicado | ","")&amp;IF(AND($G135&lt;&gt;"",IFERROR(INDEX('MAESTRO DE UNIDADES'!$L$2:$L$208,MATCH($G135,'MAESTRO DE UNIDADES'!$A$2:$A$208,0)),"")="Inactivo"),"Unidad inactiva | ","")&amp;IF(AND($AA135&lt;&gt;"",$N135=""),"Carga de batán sin litros | ","")&amp;IF(AND($AA135&lt;&gt;"",$AC135&lt;0),"Supera saldo batán | ","")),LEN((IF($G135="","Sin unidad | ","")&amp;IF($J135="","Sin responsable | ","")&amp;IF($K135="","Sin obra | ","")&amp;IF(AND($N135&lt;&gt;"",$G135&lt;&gt;"",$N135&gt;IFERROR(INDEX('MAESTRO DE UNIDADES'!$I$2:$I$208,MATCH($G135,'MAESTRO DE UNIDADES'!$A$2:$A$208,0)),0)),"Litros &gt; tanque | ","")&amp;IF(AND($W135&lt;&gt;"",COUNTIF($W$2:$W135,$W135)&gt;1),"Ticket duplicado | ","")&amp;IF(AND($G135&lt;&gt;"",IFERROR(INDEX('MAESTRO DE UNIDADES'!$L$2:$L$208,MATCH($G135,'MAESTRO DE UNIDADES'!$A$2:$A$208,0)),"")="Inactivo"),"Unidad inactiva | ","")&amp;IF(AND($AA135&lt;&gt;"",$N135=""),"Carga de batán sin litros | ","")&amp;IF(AND($AA135&lt;&gt;"",$AC135&lt;0),"Supera saldo batán | ","")))-3)))</f>
        <v/>
      </c>
      <c r="Z135" s="8" t="str">
        <f t="shared" si="21"/>
        <v/>
      </c>
      <c r="AA135" s="4"/>
      <c r="AB135" s="26" t="str">
        <f>IF($AA135="","",IFERROR(INDEX('CONTROL DE BATAN'!$J$2:$J$301,MATCH($AA135,'CONTROL DE BATAN'!$A$2:$A$301,0)),""))</f>
        <v/>
      </c>
      <c r="AC135" s="28" t="str">
        <f>IF($AA135="","",IFERROR(INDEX('CONTROL DE BATAN'!$I$2:$I$301,MATCH($AA135,'CONTROL DE BATAN'!$A$2:$A$301,0)),0)-SUMIFS($N$2:$N135,$AA$2:$AA135,$AA135))</f>
        <v/>
      </c>
    </row>
    <row r="136" spans="1:29" x14ac:dyDescent="0.25">
      <c r="A136" s="8" t="str">
        <f t="shared" si="15"/>
        <v/>
      </c>
      <c r="B136" s="9"/>
      <c r="C136" s="8" t="str">
        <f t="shared" si="16"/>
        <v/>
      </c>
      <c r="D136" s="10" t="str">
        <f t="shared" si="17"/>
        <v/>
      </c>
      <c r="E136" s="8" t="str">
        <f t="shared" si="18"/>
        <v/>
      </c>
      <c r="F136" s="8" t="str">
        <f>IF($G136="","",IFERROR(INDEX('MAESTRO DE UNIDADES'!$C$2:$C$208,MATCH($G136,'MAESTRO DE UNIDADES'!$A$2:$A$208,0)),""))</f>
        <v/>
      </c>
      <c r="G136" s="4"/>
      <c r="H136" s="8" t="str">
        <f>IF($G136="","",IFERROR(INDEX('MAESTRO DE UNIDADES'!$F$2:$F$208,MATCH($G136,'MAESTRO DE UNIDADES'!$A$2:$A$208,0)),""))</f>
        <v/>
      </c>
      <c r="I136" s="8" t="str">
        <f>IF($G136="","",IFERROR(INDEX('MAESTRO DE UNIDADES'!$B$2:$B$208,MATCH($G136,'MAESTRO DE UNIDADES'!$A$2:$A$208,0)),""))</f>
        <v/>
      </c>
      <c r="J136" s="4"/>
      <c r="K136" s="4"/>
      <c r="L136" s="4"/>
      <c r="M136" s="8" t="str">
        <f>IF($G136="","",IFERROR(INDEX('MAESTRO DE UNIDADES'!$H$2:$H$208,MATCH($G136,'MAESTRO DE UNIDADES'!$A$2:$A$208,0)),""))</f>
        <v/>
      </c>
      <c r="N136" s="25"/>
      <c r="O136" s="25"/>
      <c r="P136" s="26" t="str">
        <f t="shared" si="19"/>
        <v/>
      </c>
      <c r="Q136" s="27"/>
      <c r="R136" s="27"/>
      <c r="S136" s="28" t="str">
        <f>IF(OR($G136="",$Q136="",COUNTIF($G$2:G135,$G136)=0),"",$Q136-LOOKUP(2,1/($G$2:G135=$G136),$Q$2:Q135))</f>
        <v/>
      </c>
      <c r="T136" s="28" t="str">
        <f>IF(OR($G136="",$R136="",COUNTIF($G$2:G135,$G136)=0),"",$R136-LOOKUP(2,1/($G$2:G135=$G136),$R$2:R135))</f>
        <v/>
      </c>
      <c r="U136" s="11" t="str">
        <f t="shared" si="20"/>
        <v/>
      </c>
      <c r="V136" s="4"/>
      <c r="W136" s="4"/>
      <c r="X136" s="55"/>
      <c r="Y136" s="56" t="str">
        <f>IF($B136="","",IF((IF($G136="","Sin unidad | ","")&amp;IF($J136="","Sin responsable | ","")&amp;IF($K136="","Sin obra | ","")&amp;IF(AND($N136&lt;&gt;"",$G136&lt;&gt;"",$N136&gt;IFERROR(INDEX('MAESTRO DE UNIDADES'!$I$2:$I$208,MATCH($G136,'MAESTRO DE UNIDADES'!$A$2:$A$208,0)),0)),"Litros &gt; tanque | ","")&amp;IF(AND($W136&lt;&gt;"",COUNTIF($W$2:$W136,$W136)&gt;1),"Ticket duplicado | ","")&amp;IF(AND($G136&lt;&gt;"",IFERROR(INDEX('MAESTRO DE UNIDADES'!$L$2:$L$208,MATCH($G136,'MAESTRO DE UNIDADES'!$A$2:$A$208,0)),"")="Inactivo"),"Unidad inactiva | ","")&amp;IF(AND($AA136&lt;&gt;"",$N136=""),"Carga de batán sin litros | ","")&amp;IF(AND($AA136&lt;&gt;"",$AC136&lt;0),"Supera saldo batán | ",""))="","OK",LEFT((IF($G136="","Sin unidad | ","")&amp;IF($J136="","Sin responsable | ","")&amp;IF($K136="","Sin obra | ","")&amp;IF(AND($N136&lt;&gt;"",$G136&lt;&gt;"",$N136&gt;IFERROR(INDEX('MAESTRO DE UNIDADES'!$I$2:$I$208,MATCH($G136,'MAESTRO DE UNIDADES'!$A$2:$A$208,0)),0)),"Litros &gt; tanque | ","")&amp;IF(AND($W136&lt;&gt;"",COUNTIF($W$2:$W136,$W136)&gt;1),"Ticket duplicado | ","")&amp;IF(AND($G136&lt;&gt;"",IFERROR(INDEX('MAESTRO DE UNIDADES'!$L$2:$L$208,MATCH($G136,'MAESTRO DE UNIDADES'!$A$2:$A$208,0)),"")="Inactivo"),"Unidad inactiva | ","")&amp;IF(AND($AA136&lt;&gt;"",$N136=""),"Carga de batán sin litros | ","")&amp;IF(AND($AA136&lt;&gt;"",$AC136&lt;0),"Supera saldo batán | ","")),LEN((IF($G136="","Sin unidad | ","")&amp;IF($J136="","Sin responsable | ","")&amp;IF($K136="","Sin obra | ","")&amp;IF(AND($N136&lt;&gt;"",$G136&lt;&gt;"",$N136&gt;IFERROR(INDEX('MAESTRO DE UNIDADES'!$I$2:$I$208,MATCH($G136,'MAESTRO DE UNIDADES'!$A$2:$A$208,0)),0)),"Litros &gt; tanque | ","")&amp;IF(AND($W136&lt;&gt;"",COUNTIF($W$2:$W136,$W136)&gt;1),"Ticket duplicado | ","")&amp;IF(AND($G136&lt;&gt;"",IFERROR(INDEX('MAESTRO DE UNIDADES'!$L$2:$L$208,MATCH($G136,'MAESTRO DE UNIDADES'!$A$2:$A$208,0)),"")="Inactivo"),"Unidad inactiva | ","")&amp;IF(AND($AA136&lt;&gt;"",$N136=""),"Carga de batán sin litros | ","")&amp;IF(AND($AA136&lt;&gt;"",$AC136&lt;0),"Supera saldo batán | ","")))-3)))</f>
        <v/>
      </c>
      <c r="Z136" s="8" t="str">
        <f t="shared" si="21"/>
        <v/>
      </c>
      <c r="AA136" s="4"/>
      <c r="AB136" s="26" t="str">
        <f>IF($AA136="","",IFERROR(INDEX('CONTROL DE BATAN'!$J$2:$J$301,MATCH($AA136,'CONTROL DE BATAN'!$A$2:$A$301,0)),""))</f>
        <v/>
      </c>
      <c r="AC136" s="28" t="str">
        <f>IF($AA136="","",IFERROR(INDEX('CONTROL DE BATAN'!$I$2:$I$301,MATCH($AA136,'CONTROL DE BATAN'!$A$2:$A$301,0)),0)-SUMIFS($N$2:$N136,$AA$2:$AA136,$AA136))</f>
        <v/>
      </c>
    </row>
    <row r="137" spans="1:29" x14ac:dyDescent="0.25">
      <c r="A137" s="8" t="str">
        <f t="shared" si="15"/>
        <v/>
      </c>
      <c r="B137" s="9"/>
      <c r="C137" s="8" t="str">
        <f t="shared" si="16"/>
        <v/>
      </c>
      <c r="D137" s="10" t="str">
        <f t="shared" si="17"/>
        <v/>
      </c>
      <c r="E137" s="8" t="str">
        <f t="shared" si="18"/>
        <v/>
      </c>
      <c r="F137" s="8" t="str">
        <f>IF($G137="","",IFERROR(INDEX('MAESTRO DE UNIDADES'!$C$2:$C$208,MATCH($G137,'MAESTRO DE UNIDADES'!$A$2:$A$208,0)),""))</f>
        <v/>
      </c>
      <c r="G137" s="4"/>
      <c r="H137" s="8" t="str">
        <f>IF($G137="","",IFERROR(INDEX('MAESTRO DE UNIDADES'!$F$2:$F$208,MATCH($G137,'MAESTRO DE UNIDADES'!$A$2:$A$208,0)),""))</f>
        <v/>
      </c>
      <c r="I137" s="8" t="str">
        <f>IF($G137="","",IFERROR(INDEX('MAESTRO DE UNIDADES'!$B$2:$B$208,MATCH($G137,'MAESTRO DE UNIDADES'!$A$2:$A$208,0)),""))</f>
        <v/>
      </c>
      <c r="J137" s="4"/>
      <c r="K137" s="4"/>
      <c r="L137" s="4"/>
      <c r="M137" s="8" t="str">
        <f>IF($G137="","",IFERROR(INDEX('MAESTRO DE UNIDADES'!$H$2:$H$208,MATCH($G137,'MAESTRO DE UNIDADES'!$A$2:$A$208,0)),""))</f>
        <v/>
      </c>
      <c r="N137" s="25"/>
      <c r="O137" s="25"/>
      <c r="P137" s="26" t="str">
        <f t="shared" si="19"/>
        <v/>
      </c>
      <c r="Q137" s="27"/>
      <c r="R137" s="27"/>
      <c r="S137" s="28" t="str">
        <f>IF(OR($G137="",$Q137="",COUNTIF($G$2:G136,$G137)=0),"",$Q137-LOOKUP(2,1/($G$2:G136=$G137),$Q$2:Q136))</f>
        <v/>
      </c>
      <c r="T137" s="28" t="str">
        <f>IF(OR($G137="",$R137="",COUNTIF($G$2:G136,$G137)=0),"",$R137-LOOKUP(2,1/($G$2:G136=$G137),$R$2:R136))</f>
        <v/>
      </c>
      <c r="U137" s="11" t="str">
        <f t="shared" si="20"/>
        <v/>
      </c>
      <c r="V137" s="4"/>
      <c r="W137" s="4"/>
      <c r="X137" s="55"/>
      <c r="Y137" s="56" t="str">
        <f>IF($B137="","",IF((IF($G137="","Sin unidad | ","")&amp;IF($J137="","Sin responsable | ","")&amp;IF($K137="","Sin obra | ","")&amp;IF(AND($N137&lt;&gt;"",$G137&lt;&gt;"",$N137&gt;IFERROR(INDEX('MAESTRO DE UNIDADES'!$I$2:$I$208,MATCH($G137,'MAESTRO DE UNIDADES'!$A$2:$A$208,0)),0)),"Litros &gt; tanque | ","")&amp;IF(AND($W137&lt;&gt;"",COUNTIF($W$2:$W137,$W137)&gt;1),"Ticket duplicado | ","")&amp;IF(AND($G137&lt;&gt;"",IFERROR(INDEX('MAESTRO DE UNIDADES'!$L$2:$L$208,MATCH($G137,'MAESTRO DE UNIDADES'!$A$2:$A$208,0)),"")="Inactivo"),"Unidad inactiva | ","")&amp;IF(AND($AA137&lt;&gt;"",$N137=""),"Carga de batán sin litros | ","")&amp;IF(AND($AA137&lt;&gt;"",$AC137&lt;0),"Supera saldo batán | ",""))="","OK",LEFT((IF($G137="","Sin unidad | ","")&amp;IF($J137="","Sin responsable | ","")&amp;IF($K137="","Sin obra | ","")&amp;IF(AND($N137&lt;&gt;"",$G137&lt;&gt;"",$N137&gt;IFERROR(INDEX('MAESTRO DE UNIDADES'!$I$2:$I$208,MATCH($G137,'MAESTRO DE UNIDADES'!$A$2:$A$208,0)),0)),"Litros &gt; tanque | ","")&amp;IF(AND($W137&lt;&gt;"",COUNTIF($W$2:$W137,$W137)&gt;1),"Ticket duplicado | ","")&amp;IF(AND($G137&lt;&gt;"",IFERROR(INDEX('MAESTRO DE UNIDADES'!$L$2:$L$208,MATCH($G137,'MAESTRO DE UNIDADES'!$A$2:$A$208,0)),"")="Inactivo"),"Unidad inactiva | ","")&amp;IF(AND($AA137&lt;&gt;"",$N137=""),"Carga de batán sin litros | ","")&amp;IF(AND($AA137&lt;&gt;"",$AC137&lt;0),"Supera saldo batán | ","")),LEN((IF($G137="","Sin unidad | ","")&amp;IF($J137="","Sin responsable | ","")&amp;IF($K137="","Sin obra | ","")&amp;IF(AND($N137&lt;&gt;"",$G137&lt;&gt;"",$N137&gt;IFERROR(INDEX('MAESTRO DE UNIDADES'!$I$2:$I$208,MATCH($G137,'MAESTRO DE UNIDADES'!$A$2:$A$208,0)),0)),"Litros &gt; tanque | ","")&amp;IF(AND($W137&lt;&gt;"",COUNTIF($W$2:$W137,$W137)&gt;1),"Ticket duplicado | ","")&amp;IF(AND($G137&lt;&gt;"",IFERROR(INDEX('MAESTRO DE UNIDADES'!$L$2:$L$208,MATCH($G137,'MAESTRO DE UNIDADES'!$A$2:$A$208,0)),"")="Inactivo"),"Unidad inactiva | ","")&amp;IF(AND($AA137&lt;&gt;"",$N137=""),"Carga de batán sin litros | ","")&amp;IF(AND($AA137&lt;&gt;"",$AC137&lt;0),"Supera saldo batán | ","")))-3)))</f>
        <v/>
      </c>
      <c r="Z137" s="8" t="str">
        <f t="shared" si="21"/>
        <v/>
      </c>
      <c r="AA137" s="4"/>
      <c r="AB137" s="26" t="str">
        <f>IF($AA137="","",IFERROR(INDEX('CONTROL DE BATAN'!$J$2:$J$301,MATCH($AA137,'CONTROL DE BATAN'!$A$2:$A$301,0)),""))</f>
        <v/>
      </c>
      <c r="AC137" s="28" t="str">
        <f>IF($AA137="","",IFERROR(INDEX('CONTROL DE BATAN'!$I$2:$I$301,MATCH($AA137,'CONTROL DE BATAN'!$A$2:$A$301,0)),0)-SUMIFS($N$2:$N137,$AA$2:$AA137,$AA137))</f>
        <v/>
      </c>
    </row>
    <row r="138" spans="1:29" x14ac:dyDescent="0.25">
      <c r="A138" s="8" t="str">
        <f t="shared" si="15"/>
        <v/>
      </c>
      <c r="B138" s="9"/>
      <c r="C138" s="8" t="str">
        <f t="shared" si="16"/>
        <v/>
      </c>
      <c r="D138" s="10" t="str">
        <f t="shared" si="17"/>
        <v/>
      </c>
      <c r="E138" s="8" t="str">
        <f t="shared" si="18"/>
        <v/>
      </c>
      <c r="F138" s="8" t="str">
        <f>IF($G138="","",IFERROR(INDEX('MAESTRO DE UNIDADES'!$C$2:$C$208,MATCH($G138,'MAESTRO DE UNIDADES'!$A$2:$A$208,0)),""))</f>
        <v/>
      </c>
      <c r="G138" s="4"/>
      <c r="H138" s="8" t="str">
        <f>IF($G138="","",IFERROR(INDEX('MAESTRO DE UNIDADES'!$F$2:$F$208,MATCH($G138,'MAESTRO DE UNIDADES'!$A$2:$A$208,0)),""))</f>
        <v/>
      </c>
      <c r="I138" s="8" t="str">
        <f>IF($G138="","",IFERROR(INDEX('MAESTRO DE UNIDADES'!$B$2:$B$208,MATCH($G138,'MAESTRO DE UNIDADES'!$A$2:$A$208,0)),""))</f>
        <v/>
      </c>
      <c r="J138" s="4"/>
      <c r="K138" s="4"/>
      <c r="L138" s="4"/>
      <c r="M138" s="8" t="str">
        <f>IF($G138="","",IFERROR(INDEX('MAESTRO DE UNIDADES'!$H$2:$H$208,MATCH($G138,'MAESTRO DE UNIDADES'!$A$2:$A$208,0)),""))</f>
        <v/>
      </c>
      <c r="N138" s="25"/>
      <c r="O138" s="25"/>
      <c r="P138" s="26" t="str">
        <f t="shared" si="19"/>
        <v/>
      </c>
      <c r="Q138" s="27"/>
      <c r="R138" s="27"/>
      <c r="S138" s="28" t="str">
        <f>IF(OR($G138="",$Q138="",COUNTIF($G$2:G137,$G138)=0),"",$Q138-LOOKUP(2,1/($G$2:G137=$G138),$Q$2:Q137))</f>
        <v/>
      </c>
      <c r="T138" s="28" t="str">
        <f>IF(OR($G138="",$R138="",COUNTIF($G$2:G137,$G138)=0),"",$R138-LOOKUP(2,1/($G$2:G137=$G138),$R$2:R137))</f>
        <v/>
      </c>
      <c r="U138" s="11" t="str">
        <f t="shared" si="20"/>
        <v/>
      </c>
      <c r="V138" s="4"/>
      <c r="W138" s="4"/>
      <c r="X138" s="55"/>
      <c r="Y138" s="56" t="str">
        <f>IF($B138="","",IF((IF($G138="","Sin unidad | ","")&amp;IF($J138="","Sin responsable | ","")&amp;IF($K138="","Sin obra | ","")&amp;IF(AND($N138&lt;&gt;"",$G138&lt;&gt;"",$N138&gt;IFERROR(INDEX('MAESTRO DE UNIDADES'!$I$2:$I$208,MATCH($G138,'MAESTRO DE UNIDADES'!$A$2:$A$208,0)),0)),"Litros &gt; tanque | ","")&amp;IF(AND($W138&lt;&gt;"",COUNTIF($W$2:$W138,$W138)&gt;1),"Ticket duplicado | ","")&amp;IF(AND($G138&lt;&gt;"",IFERROR(INDEX('MAESTRO DE UNIDADES'!$L$2:$L$208,MATCH($G138,'MAESTRO DE UNIDADES'!$A$2:$A$208,0)),"")="Inactivo"),"Unidad inactiva | ","")&amp;IF(AND($AA138&lt;&gt;"",$N138=""),"Carga de batán sin litros | ","")&amp;IF(AND($AA138&lt;&gt;"",$AC138&lt;0),"Supera saldo batán | ",""))="","OK",LEFT((IF($G138="","Sin unidad | ","")&amp;IF($J138="","Sin responsable | ","")&amp;IF($K138="","Sin obra | ","")&amp;IF(AND($N138&lt;&gt;"",$G138&lt;&gt;"",$N138&gt;IFERROR(INDEX('MAESTRO DE UNIDADES'!$I$2:$I$208,MATCH($G138,'MAESTRO DE UNIDADES'!$A$2:$A$208,0)),0)),"Litros &gt; tanque | ","")&amp;IF(AND($W138&lt;&gt;"",COUNTIF($W$2:$W138,$W138)&gt;1),"Ticket duplicado | ","")&amp;IF(AND($G138&lt;&gt;"",IFERROR(INDEX('MAESTRO DE UNIDADES'!$L$2:$L$208,MATCH($G138,'MAESTRO DE UNIDADES'!$A$2:$A$208,0)),"")="Inactivo"),"Unidad inactiva | ","")&amp;IF(AND($AA138&lt;&gt;"",$N138=""),"Carga de batán sin litros | ","")&amp;IF(AND($AA138&lt;&gt;"",$AC138&lt;0),"Supera saldo batán | ","")),LEN((IF($G138="","Sin unidad | ","")&amp;IF($J138="","Sin responsable | ","")&amp;IF($K138="","Sin obra | ","")&amp;IF(AND($N138&lt;&gt;"",$G138&lt;&gt;"",$N138&gt;IFERROR(INDEX('MAESTRO DE UNIDADES'!$I$2:$I$208,MATCH($G138,'MAESTRO DE UNIDADES'!$A$2:$A$208,0)),0)),"Litros &gt; tanque | ","")&amp;IF(AND($W138&lt;&gt;"",COUNTIF($W$2:$W138,$W138)&gt;1),"Ticket duplicado | ","")&amp;IF(AND($G138&lt;&gt;"",IFERROR(INDEX('MAESTRO DE UNIDADES'!$L$2:$L$208,MATCH($G138,'MAESTRO DE UNIDADES'!$A$2:$A$208,0)),"")="Inactivo"),"Unidad inactiva | ","")&amp;IF(AND($AA138&lt;&gt;"",$N138=""),"Carga de batán sin litros | ","")&amp;IF(AND($AA138&lt;&gt;"",$AC138&lt;0),"Supera saldo batán | ","")))-3)))</f>
        <v/>
      </c>
      <c r="Z138" s="8" t="str">
        <f t="shared" si="21"/>
        <v/>
      </c>
      <c r="AA138" s="4"/>
      <c r="AB138" s="26" t="str">
        <f>IF($AA138="","",IFERROR(INDEX('CONTROL DE BATAN'!$J$2:$J$301,MATCH($AA138,'CONTROL DE BATAN'!$A$2:$A$301,0)),""))</f>
        <v/>
      </c>
      <c r="AC138" s="28" t="str">
        <f>IF($AA138="","",IFERROR(INDEX('CONTROL DE BATAN'!$I$2:$I$301,MATCH($AA138,'CONTROL DE BATAN'!$A$2:$A$301,0)),0)-SUMIFS($N$2:$N138,$AA$2:$AA138,$AA138))</f>
        <v/>
      </c>
    </row>
    <row r="139" spans="1:29" x14ac:dyDescent="0.25">
      <c r="A139" s="8" t="str">
        <f t="shared" si="15"/>
        <v/>
      </c>
      <c r="B139" s="9"/>
      <c r="C139" s="8" t="str">
        <f t="shared" si="16"/>
        <v/>
      </c>
      <c r="D139" s="10" t="str">
        <f t="shared" si="17"/>
        <v/>
      </c>
      <c r="E139" s="8" t="str">
        <f t="shared" si="18"/>
        <v/>
      </c>
      <c r="F139" s="8" t="str">
        <f>IF($G139="","",IFERROR(INDEX('MAESTRO DE UNIDADES'!$C$2:$C$208,MATCH($G139,'MAESTRO DE UNIDADES'!$A$2:$A$208,0)),""))</f>
        <v/>
      </c>
      <c r="G139" s="4"/>
      <c r="H139" s="8" t="str">
        <f>IF($G139="","",IFERROR(INDEX('MAESTRO DE UNIDADES'!$F$2:$F$208,MATCH($G139,'MAESTRO DE UNIDADES'!$A$2:$A$208,0)),""))</f>
        <v/>
      </c>
      <c r="I139" s="8" t="str">
        <f>IF($G139="","",IFERROR(INDEX('MAESTRO DE UNIDADES'!$B$2:$B$208,MATCH($G139,'MAESTRO DE UNIDADES'!$A$2:$A$208,0)),""))</f>
        <v/>
      </c>
      <c r="J139" s="4"/>
      <c r="K139" s="4"/>
      <c r="L139" s="4"/>
      <c r="M139" s="8" t="str">
        <f>IF($G139="","",IFERROR(INDEX('MAESTRO DE UNIDADES'!$H$2:$H$208,MATCH($G139,'MAESTRO DE UNIDADES'!$A$2:$A$208,0)),""))</f>
        <v/>
      </c>
      <c r="N139" s="25"/>
      <c r="O139" s="25"/>
      <c r="P139" s="26" t="str">
        <f t="shared" si="19"/>
        <v/>
      </c>
      <c r="Q139" s="27"/>
      <c r="R139" s="27"/>
      <c r="S139" s="28" t="str">
        <f>IF(OR($G139="",$Q139="",COUNTIF($G$2:G138,$G139)=0),"",$Q139-LOOKUP(2,1/($G$2:G138=$G139),$Q$2:Q138))</f>
        <v/>
      </c>
      <c r="T139" s="28" t="str">
        <f>IF(OR($G139="",$R139="",COUNTIF($G$2:G138,$G139)=0),"",$R139-LOOKUP(2,1/($G$2:G138=$G139),$R$2:R138))</f>
        <v/>
      </c>
      <c r="U139" s="11" t="str">
        <f t="shared" si="20"/>
        <v/>
      </c>
      <c r="V139" s="4"/>
      <c r="W139" s="4"/>
      <c r="X139" s="55"/>
      <c r="Y139" s="56" t="str">
        <f>IF($B139="","",IF((IF($G139="","Sin unidad | ","")&amp;IF($J139="","Sin responsable | ","")&amp;IF($K139="","Sin obra | ","")&amp;IF(AND($N139&lt;&gt;"",$G139&lt;&gt;"",$N139&gt;IFERROR(INDEX('MAESTRO DE UNIDADES'!$I$2:$I$208,MATCH($G139,'MAESTRO DE UNIDADES'!$A$2:$A$208,0)),0)),"Litros &gt; tanque | ","")&amp;IF(AND($W139&lt;&gt;"",COUNTIF($W$2:$W139,$W139)&gt;1),"Ticket duplicado | ","")&amp;IF(AND($G139&lt;&gt;"",IFERROR(INDEX('MAESTRO DE UNIDADES'!$L$2:$L$208,MATCH($G139,'MAESTRO DE UNIDADES'!$A$2:$A$208,0)),"")="Inactivo"),"Unidad inactiva | ","")&amp;IF(AND($AA139&lt;&gt;"",$N139=""),"Carga de batán sin litros | ","")&amp;IF(AND($AA139&lt;&gt;"",$AC139&lt;0),"Supera saldo batán | ",""))="","OK",LEFT((IF($G139="","Sin unidad | ","")&amp;IF($J139="","Sin responsable | ","")&amp;IF($K139="","Sin obra | ","")&amp;IF(AND($N139&lt;&gt;"",$G139&lt;&gt;"",$N139&gt;IFERROR(INDEX('MAESTRO DE UNIDADES'!$I$2:$I$208,MATCH($G139,'MAESTRO DE UNIDADES'!$A$2:$A$208,0)),0)),"Litros &gt; tanque | ","")&amp;IF(AND($W139&lt;&gt;"",COUNTIF($W$2:$W139,$W139)&gt;1),"Ticket duplicado | ","")&amp;IF(AND($G139&lt;&gt;"",IFERROR(INDEX('MAESTRO DE UNIDADES'!$L$2:$L$208,MATCH($G139,'MAESTRO DE UNIDADES'!$A$2:$A$208,0)),"")="Inactivo"),"Unidad inactiva | ","")&amp;IF(AND($AA139&lt;&gt;"",$N139=""),"Carga de batán sin litros | ","")&amp;IF(AND($AA139&lt;&gt;"",$AC139&lt;0),"Supera saldo batán | ","")),LEN((IF($G139="","Sin unidad | ","")&amp;IF($J139="","Sin responsable | ","")&amp;IF($K139="","Sin obra | ","")&amp;IF(AND($N139&lt;&gt;"",$G139&lt;&gt;"",$N139&gt;IFERROR(INDEX('MAESTRO DE UNIDADES'!$I$2:$I$208,MATCH($G139,'MAESTRO DE UNIDADES'!$A$2:$A$208,0)),0)),"Litros &gt; tanque | ","")&amp;IF(AND($W139&lt;&gt;"",COUNTIF($W$2:$W139,$W139)&gt;1),"Ticket duplicado | ","")&amp;IF(AND($G139&lt;&gt;"",IFERROR(INDEX('MAESTRO DE UNIDADES'!$L$2:$L$208,MATCH($G139,'MAESTRO DE UNIDADES'!$A$2:$A$208,0)),"")="Inactivo"),"Unidad inactiva | ","")&amp;IF(AND($AA139&lt;&gt;"",$N139=""),"Carga de batán sin litros | ","")&amp;IF(AND($AA139&lt;&gt;"",$AC139&lt;0),"Supera saldo batán | ","")))-3)))</f>
        <v/>
      </c>
      <c r="Z139" s="8" t="str">
        <f t="shared" si="21"/>
        <v/>
      </c>
      <c r="AA139" s="4"/>
      <c r="AB139" s="26" t="str">
        <f>IF($AA139="","",IFERROR(INDEX('CONTROL DE BATAN'!$J$2:$J$301,MATCH($AA139,'CONTROL DE BATAN'!$A$2:$A$301,0)),""))</f>
        <v/>
      </c>
      <c r="AC139" s="28" t="str">
        <f>IF($AA139="","",IFERROR(INDEX('CONTROL DE BATAN'!$I$2:$I$301,MATCH($AA139,'CONTROL DE BATAN'!$A$2:$A$301,0)),0)-SUMIFS($N$2:$N139,$AA$2:$AA139,$AA139))</f>
        <v/>
      </c>
    </row>
    <row r="140" spans="1:29" x14ac:dyDescent="0.25">
      <c r="A140" s="8" t="str">
        <f t="shared" si="15"/>
        <v/>
      </c>
      <c r="B140" s="9"/>
      <c r="C140" s="8" t="str">
        <f t="shared" si="16"/>
        <v/>
      </c>
      <c r="D140" s="10" t="str">
        <f t="shared" si="17"/>
        <v/>
      </c>
      <c r="E140" s="8" t="str">
        <f t="shared" si="18"/>
        <v/>
      </c>
      <c r="F140" s="8" t="str">
        <f>IF($G140="","",IFERROR(INDEX('MAESTRO DE UNIDADES'!$C$2:$C$208,MATCH($G140,'MAESTRO DE UNIDADES'!$A$2:$A$208,0)),""))</f>
        <v/>
      </c>
      <c r="G140" s="4"/>
      <c r="H140" s="8" t="str">
        <f>IF($G140="","",IFERROR(INDEX('MAESTRO DE UNIDADES'!$F$2:$F$208,MATCH($G140,'MAESTRO DE UNIDADES'!$A$2:$A$208,0)),""))</f>
        <v/>
      </c>
      <c r="I140" s="8" t="str">
        <f>IF($G140="","",IFERROR(INDEX('MAESTRO DE UNIDADES'!$B$2:$B$208,MATCH($G140,'MAESTRO DE UNIDADES'!$A$2:$A$208,0)),""))</f>
        <v/>
      </c>
      <c r="J140" s="4"/>
      <c r="K140" s="4"/>
      <c r="L140" s="4"/>
      <c r="M140" s="8" t="str">
        <f>IF($G140="","",IFERROR(INDEX('MAESTRO DE UNIDADES'!$H$2:$H$208,MATCH($G140,'MAESTRO DE UNIDADES'!$A$2:$A$208,0)),""))</f>
        <v/>
      </c>
      <c r="N140" s="25"/>
      <c r="O140" s="25"/>
      <c r="P140" s="26" t="str">
        <f t="shared" si="19"/>
        <v/>
      </c>
      <c r="Q140" s="27"/>
      <c r="R140" s="27"/>
      <c r="S140" s="28" t="str">
        <f>IF(OR($G140="",$Q140="",COUNTIF($G$2:G139,$G140)=0),"",$Q140-LOOKUP(2,1/($G$2:G139=$G140),$Q$2:Q139))</f>
        <v/>
      </c>
      <c r="T140" s="28" t="str">
        <f>IF(OR($G140="",$R140="",COUNTIF($G$2:G139,$G140)=0),"",$R140-LOOKUP(2,1/($G$2:G139=$G140),$R$2:R139))</f>
        <v/>
      </c>
      <c r="U140" s="11" t="str">
        <f t="shared" si="20"/>
        <v/>
      </c>
      <c r="V140" s="4"/>
      <c r="W140" s="4"/>
      <c r="X140" s="55"/>
      <c r="Y140" s="56" t="str">
        <f>IF($B140="","",IF((IF($G140="","Sin unidad | ","")&amp;IF($J140="","Sin responsable | ","")&amp;IF($K140="","Sin obra | ","")&amp;IF(AND($N140&lt;&gt;"",$G140&lt;&gt;"",$N140&gt;IFERROR(INDEX('MAESTRO DE UNIDADES'!$I$2:$I$208,MATCH($G140,'MAESTRO DE UNIDADES'!$A$2:$A$208,0)),0)),"Litros &gt; tanque | ","")&amp;IF(AND($W140&lt;&gt;"",COUNTIF($W$2:$W140,$W140)&gt;1),"Ticket duplicado | ","")&amp;IF(AND($G140&lt;&gt;"",IFERROR(INDEX('MAESTRO DE UNIDADES'!$L$2:$L$208,MATCH($G140,'MAESTRO DE UNIDADES'!$A$2:$A$208,0)),"")="Inactivo"),"Unidad inactiva | ","")&amp;IF(AND($AA140&lt;&gt;"",$N140=""),"Carga de batán sin litros | ","")&amp;IF(AND($AA140&lt;&gt;"",$AC140&lt;0),"Supera saldo batán | ",""))="","OK",LEFT((IF($G140="","Sin unidad | ","")&amp;IF($J140="","Sin responsable | ","")&amp;IF($K140="","Sin obra | ","")&amp;IF(AND($N140&lt;&gt;"",$G140&lt;&gt;"",$N140&gt;IFERROR(INDEX('MAESTRO DE UNIDADES'!$I$2:$I$208,MATCH($G140,'MAESTRO DE UNIDADES'!$A$2:$A$208,0)),0)),"Litros &gt; tanque | ","")&amp;IF(AND($W140&lt;&gt;"",COUNTIF($W$2:$W140,$W140)&gt;1),"Ticket duplicado | ","")&amp;IF(AND($G140&lt;&gt;"",IFERROR(INDEX('MAESTRO DE UNIDADES'!$L$2:$L$208,MATCH($G140,'MAESTRO DE UNIDADES'!$A$2:$A$208,0)),"")="Inactivo"),"Unidad inactiva | ","")&amp;IF(AND($AA140&lt;&gt;"",$N140=""),"Carga de batán sin litros | ","")&amp;IF(AND($AA140&lt;&gt;"",$AC140&lt;0),"Supera saldo batán | ","")),LEN((IF($G140="","Sin unidad | ","")&amp;IF($J140="","Sin responsable | ","")&amp;IF($K140="","Sin obra | ","")&amp;IF(AND($N140&lt;&gt;"",$G140&lt;&gt;"",$N140&gt;IFERROR(INDEX('MAESTRO DE UNIDADES'!$I$2:$I$208,MATCH($G140,'MAESTRO DE UNIDADES'!$A$2:$A$208,0)),0)),"Litros &gt; tanque | ","")&amp;IF(AND($W140&lt;&gt;"",COUNTIF($W$2:$W140,$W140)&gt;1),"Ticket duplicado | ","")&amp;IF(AND($G140&lt;&gt;"",IFERROR(INDEX('MAESTRO DE UNIDADES'!$L$2:$L$208,MATCH($G140,'MAESTRO DE UNIDADES'!$A$2:$A$208,0)),"")="Inactivo"),"Unidad inactiva | ","")&amp;IF(AND($AA140&lt;&gt;"",$N140=""),"Carga de batán sin litros | ","")&amp;IF(AND($AA140&lt;&gt;"",$AC140&lt;0),"Supera saldo batán | ","")))-3)))</f>
        <v/>
      </c>
      <c r="Z140" s="8" t="str">
        <f t="shared" si="21"/>
        <v/>
      </c>
      <c r="AA140" s="4"/>
      <c r="AB140" s="26" t="str">
        <f>IF($AA140="","",IFERROR(INDEX('CONTROL DE BATAN'!$J$2:$J$301,MATCH($AA140,'CONTROL DE BATAN'!$A$2:$A$301,0)),""))</f>
        <v/>
      </c>
      <c r="AC140" s="28" t="str">
        <f>IF($AA140="","",IFERROR(INDEX('CONTROL DE BATAN'!$I$2:$I$301,MATCH($AA140,'CONTROL DE BATAN'!$A$2:$A$301,0)),0)-SUMIFS($N$2:$N140,$AA$2:$AA140,$AA140))</f>
        <v/>
      </c>
    </row>
    <row r="141" spans="1:29" x14ac:dyDescent="0.25">
      <c r="A141" s="8" t="str">
        <f t="shared" si="15"/>
        <v/>
      </c>
      <c r="B141" s="9"/>
      <c r="C141" s="8" t="str">
        <f t="shared" si="16"/>
        <v/>
      </c>
      <c r="D141" s="10" t="str">
        <f t="shared" si="17"/>
        <v/>
      </c>
      <c r="E141" s="8" t="str">
        <f t="shared" si="18"/>
        <v/>
      </c>
      <c r="F141" s="8" t="str">
        <f>IF($G141="","",IFERROR(INDEX('MAESTRO DE UNIDADES'!$C$2:$C$208,MATCH($G141,'MAESTRO DE UNIDADES'!$A$2:$A$208,0)),""))</f>
        <v/>
      </c>
      <c r="G141" s="4"/>
      <c r="H141" s="8" t="str">
        <f>IF($G141="","",IFERROR(INDEX('MAESTRO DE UNIDADES'!$F$2:$F$208,MATCH($G141,'MAESTRO DE UNIDADES'!$A$2:$A$208,0)),""))</f>
        <v/>
      </c>
      <c r="I141" s="8" t="str">
        <f>IF($G141="","",IFERROR(INDEX('MAESTRO DE UNIDADES'!$B$2:$B$208,MATCH($G141,'MAESTRO DE UNIDADES'!$A$2:$A$208,0)),""))</f>
        <v/>
      </c>
      <c r="J141" s="4"/>
      <c r="K141" s="4"/>
      <c r="L141" s="4"/>
      <c r="M141" s="8" t="str">
        <f>IF($G141="","",IFERROR(INDEX('MAESTRO DE UNIDADES'!$H$2:$H$208,MATCH($G141,'MAESTRO DE UNIDADES'!$A$2:$A$208,0)),""))</f>
        <v/>
      </c>
      <c r="N141" s="25"/>
      <c r="O141" s="25"/>
      <c r="P141" s="26" t="str">
        <f t="shared" si="19"/>
        <v/>
      </c>
      <c r="Q141" s="27"/>
      <c r="R141" s="27"/>
      <c r="S141" s="28" t="str">
        <f>IF(OR($G141="",$Q141="",COUNTIF($G$2:G140,$G141)=0),"",$Q141-LOOKUP(2,1/($G$2:G140=$G141),$Q$2:Q140))</f>
        <v/>
      </c>
      <c r="T141" s="28" t="str">
        <f>IF(OR($G141="",$R141="",COUNTIF($G$2:G140,$G141)=0),"",$R141-LOOKUP(2,1/($G$2:G140=$G141),$R$2:R140))</f>
        <v/>
      </c>
      <c r="U141" s="11" t="str">
        <f t="shared" si="20"/>
        <v/>
      </c>
      <c r="V141" s="4"/>
      <c r="W141" s="4"/>
      <c r="X141" s="55"/>
      <c r="Y141" s="56" t="str">
        <f>IF($B141="","",IF((IF($G141="","Sin unidad | ","")&amp;IF($J141="","Sin responsable | ","")&amp;IF($K141="","Sin obra | ","")&amp;IF(AND($N141&lt;&gt;"",$G141&lt;&gt;"",$N141&gt;IFERROR(INDEX('MAESTRO DE UNIDADES'!$I$2:$I$208,MATCH($G141,'MAESTRO DE UNIDADES'!$A$2:$A$208,0)),0)),"Litros &gt; tanque | ","")&amp;IF(AND($W141&lt;&gt;"",COUNTIF($W$2:$W141,$W141)&gt;1),"Ticket duplicado | ","")&amp;IF(AND($G141&lt;&gt;"",IFERROR(INDEX('MAESTRO DE UNIDADES'!$L$2:$L$208,MATCH($G141,'MAESTRO DE UNIDADES'!$A$2:$A$208,0)),"")="Inactivo"),"Unidad inactiva | ","")&amp;IF(AND($AA141&lt;&gt;"",$N141=""),"Carga de batán sin litros | ","")&amp;IF(AND($AA141&lt;&gt;"",$AC141&lt;0),"Supera saldo batán | ",""))="","OK",LEFT((IF($G141="","Sin unidad | ","")&amp;IF($J141="","Sin responsable | ","")&amp;IF($K141="","Sin obra | ","")&amp;IF(AND($N141&lt;&gt;"",$G141&lt;&gt;"",$N141&gt;IFERROR(INDEX('MAESTRO DE UNIDADES'!$I$2:$I$208,MATCH($G141,'MAESTRO DE UNIDADES'!$A$2:$A$208,0)),0)),"Litros &gt; tanque | ","")&amp;IF(AND($W141&lt;&gt;"",COUNTIF($W$2:$W141,$W141)&gt;1),"Ticket duplicado | ","")&amp;IF(AND($G141&lt;&gt;"",IFERROR(INDEX('MAESTRO DE UNIDADES'!$L$2:$L$208,MATCH($G141,'MAESTRO DE UNIDADES'!$A$2:$A$208,0)),"")="Inactivo"),"Unidad inactiva | ","")&amp;IF(AND($AA141&lt;&gt;"",$N141=""),"Carga de batán sin litros | ","")&amp;IF(AND($AA141&lt;&gt;"",$AC141&lt;0),"Supera saldo batán | ","")),LEN((IF($G141="","Sin unidad | ","")&amp;IF($J141="","Sin responsable | ","")&amp;IF($K141="","Sin obra | ","")&amp;IF(AND($N141&lt;&gt;"",$G141&lt;&gt;"",$N141&gt;IFERROR(INDEX('MAESTRO DE UNIDADES'!$I$2:$I$208,MATCH($G141,'MAESTRO DE UNIDADES'!$A$2:$A$208,0)),0)),"Litros &gt; tanque | ","")&amp;IF(AND($W141&lt;&gt;"",COUNTIF($W$2:$W141,$W141)&gt;1),"Ticket duplicado | ","")&amp;IF(AND($G141&lt;&gt;"",IFERROR(INDEX('MAESTRO DE UNIDADES'!$L$2:$L$208,MATCH($G141,'MAESTRO DE UNIDADES'!$A$2:$A$208,0)),"")="Inactivo"),"Unidad inactiva | ","")&amp;IF(AND($AA141&lt;&gt;"",$N141=""),"Carga de batán sin litros | ","")&amp;IF(AND($AA141&lt;&gt;"",$AC141&lt;0),"Supera saldo batán | ","")))-3)))</f>
        <v/>
      </c>
      <c r="Z141" s="8" t="str">
        <f t="shared" si="21"/>
        <v/>
      </c>
      <c r="AA141" s="4"/>
      <c r="AB141" s="26" t="str">
        <f>IF($AA141="","",IFERROR(INDEX('CONTROL DE BATAN'!$J$2:$J$301,MATCH($AA141,'CONTROL DE BATAN'!$A$2:$A$301,0)),""))</f>
        <v/>
      </c>
      <c r="AC141" s="28" t="str">
        <f>IF($AA141="","",IFERROR(INDEX('CONTROL DE BATAN'!$I$2:$I$301,MATCH($AA141,'CONTROL DE BATAN'!$A$2:$A$301,0)),0)-SUMIFS($N$2:$N141,$AA$2:$AA141,$AA141))</f>
        <v/>
      </c>
    </row>
    <row r="142" spans="1:29" x14ac:dyDescent="0.25">
      <c r="A142" s="8" t="str">
        <f t="shared" si="15"/>
        <v/>
      </c>
      <c r="B142" s="9"/>
      <c r="C142" s="8" t="str">
        <f t="shared" si="16"/>
        <v/>
      </c>
      <c r="D142" s="10" t="str">
        <f t="shared" si="17"/>
        <v/>
      </c>
      <c r="E142" s="8" t="str">
        <f t="shared" si="18"/>
        <v/>
      </c>
      <c r="F142" s="8" t="str">
        <f>IF($G142="","",IFERROR(INDEX('MAESTRO DE UNIDADES'!$C$2:$C$208,MATCH($G142,'MAESTRO DE UNIDADES'!$A$2:$A$208,0)),""))</f>
        <v/>
      </c>
      <c r="G142" s="4"/>
      <c r="H142" s="8" t="str">
        <f>IF($G142="","",IFERROR(INDEX('MAESTRO DE UNIDADES'!$F$2:$F$208,MATCH($G142,'MAESTRO DE UNIDADES'!$A$2:$A$208,0)),""))</f>
        <v/>
      </c>
      <c r="I142" s="8" t="str">
        <f>IF($G142="","",IFERROR(INDEX('MAESTRO DE UNIDADES'!$B$2:$B$208,MATCH($G142,'MAESTRO DE UNIDADES'!$A$2:$A$208,0)),""))</f>
        <v/>
      </c>
      <c r="J142" s="4"/>
      <c r="K142" s="4"/>
      <c r="L142" s="4"/>
      <c r="M142" s="8" t="str">
        <f>IF($G142="","",IFERROR(INDEX('MAESTRO DE UNIDADES'!$H$2:$H$208,MATCH($G142,'MAESTRO DE UNIDADES'!$A$2:$A$208,0)),""))</f>
        <v/>
      </c>
      <c r="N142" s="25"/>
      <c r="O142" s="25"/>
      <c r="P142" s="26" t="str">
        <f t="shared" si="19"/>
        <v/>
      </c>
      <c r="Q142" s="27"/>
      <c r="R142" s="27"/>
      <c r="S142" s="28" t="str">
        <f>IF(OR($G142="",$Q142="",COUNTIF($G$2:G141,$G142)=0),"",$Q142-LOOKUP(2,1/($G$2:G141=$G142),$Q$2:Q141))</f>
        <v/>
      </c>
      <c r="T142" s="28" t="str">
        <f>IF(OR($G142="",$R142="",COUNTIF($G$2:G141,$G142)=0),"",$R142-LOOKUP(2,1/($G$2:G141=$G142),$R$2:R141))</f>
        <v/>
      </c>
      <c r="U142" s="11" t="str">
        <f t="shared" si="20"/>
        <v/>
      </c>
      <c r="V142" s="4"/>
      <c r="W142" s="4"/>
      <c r="X142" s="55"/>
      <c r="Y142" s="56" t="str">
        <f>IF($B142="","",IF((IF($G142="","Sin unidad | ","")&amp;IF($J142="","Sin responsable | ","")&amp;IF($K142="","Sin obra | ","")&amp;IF(AND($N142&lt;&gt;"",$G142&lt;&gt;"",$N142&gt;IFERROR(INDEX('MAESTRO DE UNIDADES'!$I$2:$I$208,MATCH($G142,'MAESTRO DE UNIDADES'!$A$2:$A$208,0)),0)),"Litros &gt; tanque | ","")&amp;IF(AND($W142&lt;&gt;"",COUNTIF($W$2:$W142,$W142)&gt;1),"Ticket duplicado | ","")&amp;IF(AND($G142&lt;&gt;"",IFERROR(INDEX('MAESTRO DE UNIDADES'!$L$2:$L$208,MATCH($G142,'MAESTRO DE UNIDADES'!$A$2:$A$208,0)),"")="Inactivo"),"Unidad inactiva | ","")&amp;IF(AND($AA142&lt;&gt;"",$N142=""),"Carga de batán sin litros | ","")&amp;IF(AND($AA142&lt;&gt;"",$AC142&lt;0),"Supera saldo batán | ",""))="","OK",LEFT((IF($G142="","Sin unidad | ","")&amp;IF($J142="","Sin responsable | ","")&amp;IF($K142="","Sin obra | ","")&amp;IF(AND($N142&lt;&gt;"",$G142&lt;&gt;"",$N142&gt;IFERROR(INDEX('MAESTRO DE UNIDADES'!$I$2:$I$208,MATCH($G142,'MAESTRO DE UNIDADES'!$A$2:$A$208,0)),0)),"Litros &gt; tanque | ","")&amp;IF(AND($W142&lt;&gt;"",COUNTIF($W$2:$W142,$W142)&gt;1),"Ticket duplicado | ","")&amp;IF(AND($G142&lt;&gt;"",IFERROR(INDEX('MAESTRO DE UNIDADES'!$L$2:$L$208,MATCH($G142,'MAESTRO DE UNIDADES'!$A$2:$A$208,0)),"")="Inactivo"),"Unidad inactiva | ","")&amp;IF(AND($AA142&lt;&gt;"",$N142=""),"Carga de batán sin litros | ","")&amp;IF(AND($AA142&lt;&gt;"",$AC142&lt;0),"Supera saldo batán | ","")),LEN((IF($G142="","Sin unidad | ","")&amp;IF($J142="","Sin responsable | ","")&amp;IF($K142="","Sin obra | ","")&amp;IF(AND($N142&lt;&gt;"",$G142&lt;&gt;"",$N142&gt;IFERROR(INDEX('MAESTRO DE UNIDADES'!$I$2:$I$208,MATCH($G142,'MAESTRO DE UNIDADES'!$A$2:$A$208,0)),0)),"Litros &gt; tanque | ","")&amp;IF(AND($W142&lt;&gt;"",COUNTIF($W$2:$W142,$W142)&gt;1),"Ticket duplicado | ","")&amp;IF(AND($G142&lt;&gt;"",IFERROR(INDEX('MAESTRO DE UNIDADES'!$L$2:$L$208,MATCH($G142,'MAESTRO DE UNIDADES'!$A$2:$A$208,0)),"")="Inactivo"),"Unidad inactiva | ","")&amp;IF(AND($AA142&lt;&gt;"",$N142=""),"Carga de batán sin litros | ","")&amp;IF(AND($AA142&lt;&gt;"",$AC142&lt;0),"Supera saldo batán | ","")))-3)))</f>
        <v/>
      </c>
      <c r="Z142" s="8" t="str">
        <f t="shared" si="21"/>
        <v/>
      </c>
      <c r="AA142" s="4"/>
      <c r="AB142" s="26" t="str">
        <f>IF($AA142="","",IFERROR(INDEX('CONTROL DE BATAN'!$J$2:$J$301,MATCH($AA142,'CONTROL DE BATAN'!$A$2:$A$301,0)),""))</f>
        <v/>
      </c>
      <c r="AC142" s="28" t="str">
        <f>IF($AA142="","",IFERROR(INDEX('CONTROL DE BATAN'!$I$2:$I$301,MATCH($AA142,'CONTROL DE BATAN'!$A$2:$A$301,0)),0)-SUMIFS($N$2:$N142,$AA$2:$AA142,$AA142))</f>
        <v/>
      </c>
    </row>
    <row r="143" spans="1:29" x14ac:dyDescent="0.25">
      <c r="A143" s="8" t="str">
        <f t="shared" si="15"/>
        <v/>
      </c>
      <c r="B143" s="9"/>
      <c r="C143" s="8" t="str">
        <f t="shared" si="16"/>
        <v/>
      </c>
      <c r="D143" s="10" t="str">
        <f t="shared" si="17"/>
        <v/>
      </c>
      <c r="E143" s="8" t="str">
        <f t="shared" si="18"/>
        <v/>
      </c>
      <c r="F143" s="8" t="str">
        <f>IF($G143="","",IFERROR(INDEX('MAESTRO DE UNIDADES'!$C$2:$C$208,MATCH($G143,'MAESTRO DE UNIDADES'!$A$2:$A$208,0)),""))</f>
        <v/>
      </c>
      <c r="G143" s="4"/>
      <c r="H143" s="8" t="str">
        <f>IF($G143="","",IFERROR(INDEX('MAESTRO DE UNIDADES'!$F$2:$F$208,MATCH($G143,'MAESTRO DE UNIDADES'!$A$2:$A$208,0)),""))</f>
        <v/>
      </c>
      <c r="I143" s="8" t="str">
        <f>IF($G143="","",IFERROR(INDEX('MAESTRO DE UNIDADES'!$B$2:$B$208,MATCH($G143,'MAESTRO DE UNIDADES'!$A$2:$A$208,0)),""))</f>
        <v/>
      </c>
      <c r="J143" s="4"/>
      <c r="K143" s="4"/>
      <c r="L143" s="4"/>
      <c r="M143" s="8" t="str">
        <f>IF($G143="","",IFERROR(INDEX('MAESTRO DE UNIDADES'!$H$2:$H$208,MATCH($G143,'MAESTRO DE UNIDADES'!$A$2:$A$208,0)),""))</f>
        <v/>
      </c>
      <c r="N143" s="25"/>
      <c r="O143" s="25"/>
      <c r="P143" s="26" t="str">
        <f t="shared" si="19"/>
        <v/>
      </c>
      <c r="Q143" s="27"/>
      <c r="R143" s="27"/>
      <c r="S143" s="28" t="str">
        <f>IF(OR($G143="",$Q143="",COUNTIF($G$2:G142,$G143)=0),"",$Q143-LOOKUP(2,1/($G$2:G142=$G143),$Q$2:Q142))</f>
        <v/>
      </c>
      <c r="T143" s="28" t="str">
        <f>IF(OR($G143="",$R143="",COUNTIF($G$2:G142,$G143)=0),"",$R143-LOOKUP(2,1/($G$2:G142=$G143),$R$2:R142))</f>
        <v/>
      </c>
      <c r="U143" s="11" t="str">
        <f t="shared" si="20"/>
        <v/>
      </c>
      <c r="V143" s="4"/>
      <c r="W143" s="4"/>
      <c r="X143" s="55"/>
      <c r="Y143" s="56" t="str">
        <f>IF($B143="","",IF((IF($G143="","Sin unidad | ","")&amp;IF($J143="","Sin responsable | ","")&amp;IF($K143="","Sin obra | ","")&amp;IF(AND($N143&lt;&gt;"",$G143&lt;&gt;"",$N143&gt;IFERROR(INDEX('MAESTRO DE UNIDADES'!$I$2:$I$208,MATCH($G143,'MAESTRO DE UNIDADES'!$A$2:$A$208,0)),0)),"Litros &gt; tanque | ","")&amp;IF(AND($W143&lt;&gt;"",COUNTIF($W$2:$W143,$W143)&gt;1),"Ticket duplicado | ","")&amp;IF(AND($G143&lt;&gt;"",IFERROR(INDEX('MAESTRO DE UNIDADES'!$L$2:$L$208,MATCH($G143,'MAESTRO DE UNIDADES'!$A$2:$A$208,0)),"")="Inactivo"),"Unidad inactiva | ","")&amp;IF(AND($AA143&lt;&gt;"",$N143=""),"Carga de batán sin litros | ","")&amp;IF(AND($AA143&lt;&gt;"",$AC143&lt;0),"Supera saldo batán | ",""))="","OK",LEFT((IF($G143="","Sin unidad | ","")&amp;IF($J143="","Sin responsable | ","")&amp;IF($K143="","Sin obra | ","")&amp;IF(AND($N143&lt;&gt;"",$G143&lt;&gt;"",$N143&gt;IFERROR(INDEX('MAESTRO DE UNIDADES'!$I$2:$I$208,MATCH($G143,'MAESTRO DE UNIDADES'!$A$2:$A$208,0)),0)),"Litros &gt; tanque | ","")&amp;IF(AND($W143&lt;&gt;"",COUNTIF($W$2:$W143,$W143)&gt;1),"Ticket duplicado | ","")&amp;IF(AND($G143&lt;&gt;"",IFERROR(INDEX('MAESTRO DE UNIDADES'!$L$2:$L$208,MATCH($G143,'MAESTRO DE UNIDADES'!$A$2:$A$208,0)),"")="Inactivo"),"Unidad inactiva | ","")&amp;IF(AND($AA143&lt;&gt;"",$N143=""),"Carga de batán sin litros | ","")&amp;IF(AND($AA143&lt;&gt;"",$AC143&lt;0),"Supera saldo batán | ","")),LEN((IF($G143="","Sin unidad | ","")&amp;IF($J143="","Sin responsable | ","")&amp;IF($K143="","Sin obra | ","")&amp;IF(AND($N143&lt;&gt;"",$G143&lt;&gt;"",$N143&gt;IFERROR(INDEX('MAESTRO DE UNIDADES'!$I$2:$I$208,MATCH($G143,'MAESTRO DE UNIDADES'!$A$2:$A$208,0)),0)),"Litros &gt; tanque | ","")&amp;IF(AND($W143&lt;&gt;"",COUNTIF($W$2:$W143,$W143)&gt;1),"Ticket duplicado | ","")&amp;IF(AND($G143&lt;&gt;"",IFERROR(INDEX('MAESTRO DE UNIDADES'!$L$2:$L$208,MATCH($G143,'MAESTRO DE UNIDADES'!$A$2:$A$208,0)),"")="Inactivo"),"Unidad inactiva | ","")&amp;IF(AND($AA143&lt;&gt;"",$N143=""),"Carga de batán sin litros | ","")&amp;IF(AND($AA143&lt;&gt;"",$AC143&lt;0),"Supera saldo batán | ","")))-3)))</f>
        <v/>
      </c>
      <c r="Z143" s="8" t="str">
        <f t="shared" si="21"/>
        <v/>
      </c>
      <c r="AA143" s="4"/>
      <c r="AB143" s="26" t="str">
        <f>IF($AA143="","",IFERROR(INDEX('CONTROL DE BATAN'!$J$2:$J$301,MATCH($AA143,'CONTROL DE BATAN'!$A$2:$A$301,0)),""))</f>
        <v/>
      </c>
      <c r="AC143" s="28" t="str">
        <f>IF($AA143="","",IFERROR(INDEX('CONTROL DE BATAN'!$I$2:$I$301,MATCH($AA143,'CONTROL DE BATAN'!$A$2:$A$301,0)),0)-SUMIFS($N$2:$N143,$AA$2:$AA143,$AA143))</f>
        <v/>
      </c>
    </row>
    <row r="144" spans="1:29" x14ac:dyDescent="0.25">
      <c r="A144" s="8" t="str">
        <f t="shared" si="15"/>
        <v/>
      </c>
      <c r="B144" s="9"/>
      <c r="C144" s="8" t="str">
        <f t="shared" si="16"/>
        <v/>
      </c>
      <c r="D144" s="10" t="str">
        <f t="shared" si="17"/>
        <v/>
      </c>
      <c r="E144" s="8" t="str">
        <f t="shared" si="18"/>
        <v/>
      </c>
      <c r="F144" s="8" t="str">
        <f>IF($G144="","",IFERROR(INDEX('MAESTRO DE UNIDADES'!$C$2:$C$208,MATCH($G144,'MAESTRO DE UNIDADES'!$A$2:$A$208,0)),""))</f>
        <v/>
      </c>
      <c r="G144" s="4"/>
      <c r="H144" s="8" t="str">
        <f>IF($G144="","",IFERROR(INDEX('MAESTRO DE UNIDADES'!$F$2:$F$208,MATCH($G144,'MAESTRO DE UNIDADES'!$A$2:$A$208,0)),""))</f>
        <v/>
      </c>
      <c r="I144" s="8" t="str">
        <f>IF($G144="","",IFERROR(INDEX('MAESTRO DE UNIDADES'!$B$2:$B$208,MATCH($G144,'MAESTRO DE UNIDADES'!$A$2:$A$208,0)),""))</f>
        <v/>
      </c>
      <c r="J144" s="4"/>
      <c r="K144" s="4"/>
      <c r="L144" s="4"/>
      <c r="M144" s="8" t="str">
        <f>IF($G144="","",IFERROR(INDEX('MAESTRO DE UNIDADES'!$H$2:$H$208,MATCH($G144,'MAESTRO DE UNIDADES'!$A$2:$A$208,0)),""))</f>
        <v/>
      </c>
      <c r="N144" s="25"/>
      <c r="O144" s="25"/>
      <c r="P144" s="26" t="str">
        <f t="shared" si="19"/>
        <v/>
      </c>
      <c r="Q144" s="27"/>
      <c r="R144" s="27"/>
      <c r="S144" s="28" t="str">
        <f>IF(OR($G144="",$Q144="",COUNTIF($G$2:G143,$G144)=0),"",$Q144-LOOKUP(2,1/($G$2:G143=$G144),$Q$2:Q143))</f>
        <v/>
      </c>
      <c r="T144" s="28" t="str">
        <f>IF(OR($G144="",$R144="",COUNTIF($G$2:G143,$G144)=0),"",$R144-LOOKUP(2,1/($G$2:G143=$G144),$R$2:R143))</f>
        <v/>
      </c>
      <c r="U144" s="11" t="str">
        <f t="shared" si="20"/>
        <v/>
      </c>
      <c r="V144" s="4"/>
      <c r="W144" s="4"/>
      <c r="X144" s="55"/>
      <c r="Y144" s="56" t="str">
        <f>IF($B144="","",IF((IF($G144="","Sin unidad | ","")&amp;IF($J144="","Sin responsable | ","")&amp;IF($K144="","Sin obra | ","")&amp;IF(AND($N144&lt;&gt;"",$G144&lt;&gt;"",$N144&gt;IFERROR(INDEX('MAESTRO DE UNIDADES'!$I$2:$I$208,MATCH($G144,'MAESTRO DE UNIDADES'!$A$2:$A$208,0)),0)),"Litros &gt; tanque | ","")&amp;IF(AND($W144&lt;&gt;"",COUNTIF($W$2:$W144,$W144)&gt;1),"Ticket duplicado | ","")&amp;IF(AND($G144&lt;&gt;"",IFERROR(INDEX('MAESTRO DE UNIDADES'!$L$2:$L$208,MATCH($G144,'MAESTRO DE UNIDADES'!$A$2:$A$208,0)),"")="Inactivo"),"Unidad inactiva | ","")&amp;IF(AND($AA144&lt;&gt;"",$N144=""),"Carga de batán sin litros | ","")&amp;IF(AND($AA144&lt;&gt;"",$AC144&lt;0),"Supera saldo batán | ",""))="","OK",LEFT((IF($G144="","Sin unidad | ","")&amp;IF($J144="","Sin responsable | ","")&amp;IF($K144="","Sin obra | ","")&amp;IF(AND($N144&lt;&gt;"",$G144&lt;&gt;"",$N144&gt;IFERROR(INDEX('MAESTRO DE UNIDADES'!$I$2:$I$208,MATCH($G144,'MAESTRO DE UNIDADES'!$A$2:$A$208,0)),0)),"Litros &gt; tanque | ","")&amp;IF(AND($W144&lt;&gt;"",COUNTIF($W$2:$W144,$W144)&gt;1),"Ticket duplicado | ","")&amp;IF(AND($G144&lt;&gt;"",IFERROR(INDEX('MAESTRO DE UNIDADES'!$L$2:$L$208,MATCH($G144,'MAESTRO DE UNIDADES'!$A$2:$A$208,0)),"")="Inactivo"),"Unidad inactiva | ","")&amp;IF(AND($AA144&lt;&gt;"",$N144=""),"Carga de batán sin litros | ","")&amp;IF(AND($AA144&lt;&gt;"",$AC144&lt;0),"Supera saldo batán | ","")),LEN((IF($G144="","Sin unidad | ","")&amp;IF($J144="","Sin responsable | ","")&amp;IF($K144="","Sin obra | ","")&amp;IF(AND($N144&lt;&gt;"",$G144&lt;&gt;"",$N144&gt;IFERROR(INDEX('MAESTRO DE UNIDADES'!$I$2:$I$208,MATCH($G144,'MAESTRO DE UNIDADES'!$A$2:$A$208,0)),0)),"Litros &gt; tanque | ","")&amp;IF(AND($W144&lt;&gt;"",COUNTIF($W$2:$W144,$W144)&gt;1),"Ticket duplicado | ","")&amp;IF(AND($G144&lt;&gt;"",IFERROR(INDEX('MAESTRO DE UNIDADES'!$L$2:$L$208,MATCH($G144,'MAESTRO DE UNIDADES'!$A$2:$A$208,0)),"")="Inactivo"),"Unidad inactiva | ","")&amp;IF(AND($AA144&lt;&gt;"",$N144=""),"Carga de batán sin litros | ","")&amp;IF(AND($AA144&lt;&gt;"",$AC144&lt;0),"Supera saldo batán | ","")))-3)))</f>
        <v/>
      </c>
      <c r="Z144" s="8" t="str">
        <f t="shared" si="21"/>
        <v/>
      </c>
      <c r="AA144" s="4"/>
      <c r="AB144" s="26" t="str">
        <f>IF($AA144="","",IFERROR(INDEX('CONTROL DE BATAN'!$J$2:$J$301,MATCH($AA144,'CONTROL DE BATAN'!$A$2:$A$301,0)),""))</f>
        <v/>
      </c>
      <c r="AC144" s="28" t="str">
        <f>IF($AA144="","",IFERROR(INDEX('CONTROL DE BATAN'!$I$2:$I$301,MATCH($AA144,'CONTROL DE BATAN'!$A$2:$A$301,0)),0)-SUMIFS($N$2:$N144,$AA$2:$AA144,$AA144))</f>
        <v/>
      </c>
    </row>
    <row r="145" spans="1:29" x14ac:dyDescent="0.25">
      <c r="A145" s="8" t="str">
        <f t="shared" si="15"/>
        <v/>
      </c>
      <c r="B145" s="9"/>
      <c r="C145" s="8" t="str">
        <f t="shared" si="16"/>
        <v/>
      </c>
      <c r="D145" s="10" t="str">
        <f t="shared" si="17"/>
        <v/>
      </c>
      <c r="E145" s="8" t="str">
        <f t="shared" si="18"/>
        <v/>
      </c>
      <c r="F145" s="8" t="str">
        <f>IF($G145="","",IFERROR(INDEX('MAESTRO DE UNIDADES'!$C$2:$C$208,MATCH($G145,'MAESTRO DE UNIDADES'!$A$2:$A$208,0)),""))</f>
        <v/>
      </c>
      <c r="G145" s="4"/>
      <c r="H145" s="8" t="str">
        <f>IF($G145="","",IFERROR(INDEX('MAESTRO DE UNIDADES'!$F$2:$F$208,MATCH($G145,'MAESTRO DE UNIDADES'!$A$2:$A$208,0)),""))</f>
        <v/>
      </c>
      <c r="I145" s="8" t="str">
        <f>IF($G145="","",IFERROR(INDEX('MAESTRO DE UNIDADES'!$B$2:$B$208,MATCH($G145,'MAESTRO DE UNIDADES'!$A$2:$A$208,0)),""))</f>
        <v/>
      </c>
      <c r="J145" s="4"/>
      <c r="K145" s="4"/>
      <c r="L145" s="4"/>
      <c r="M145" s="8" t="str">
        <f>IF($G145="","",IFERROR(INDEX('MAESTRO DE UNIDADES'!$H$2:$H$208,MATCH($G145,'MAESTRO DE UNIDADES'!$A$2:$A$208,0)),""))</f>
        <v/>
      </c>
      <c r="N145" s="25"/>
      <c r="O145" s="25"/>
      <c r="P145" s="26" t="str">
        <f t="shared" si="19"/>
        <v/>
      </c>
      <c r="Q145" s="27"/>
      <c r="R145" s="27"/>
      <c r="S145" s="28" t="str">
        <f>IF(OR($G145="",$Q145="",COUNTIF($G$2:G144,$G145)=0),"",$Q145-LOOKUP(2,1/($G$2:G144=$G145),$Q$2:Q144))</f>
        <v/>
      </c>
      <c r="T145" s="28" t="str">
        <f>IF(OR($G145="",$R145="",COUNTIF($G$2:G144,$G145)=0),"",$R145-LOOKUP(2,1/($G$2:G144=$G145),$R$2:R144))</f>
        <v/>
      </c>
      <c r="U145" s="11" t="str">
        <f t="shared" si="20"/>
        <v/>
      </c>
      <c r="V145" s="4"/>
      <c r="W145" s="4"/>
      <c r="X145" s="55"/>
      <c r="Y145" s="56" t="str">
        <f>IF($B145="","",IF((IF($G145="","Sin unidad | ","")&amp;IF($J145="","Sin responsable | ","")&amp;IF($K145="","Sin obra | ","")&amp;IF(AND($N145&lt;&gt;"",$G145&lt;&gt;"",$N145&gt;IFERROR(INDEX('MAESTRO DE UNIDADES'!$I$2:$I$208,MATCH($G145,'MAESTRO DE UNIDADES'!$A$2:$A$208,0)),0)),"Litros &gt; tanque | ","")&amp;IF(AND($W145&lt;&gt;"",COUNTIF($W$2:$W145,$W145)&gt;1),"Ticket duplicado | ","")&amp;IF(AND($G145&lt;&gt;"",IFERROR(INDEX('MAESTRO DE UNIDADES'!$L$2:$L$208,MATCH($G145,'MAESTRO DE UNIDADES'!$A$2:$A$208,0)),"")="Inactivo"),"Unidad inactiva | ","")&amp;IF(AND($AA145&lt;&gt;"",$N145=""),"Carga de batán sin litros | ","")&amp;IF(AND($AA145&lt;&gt;"",$AC145&lt;0),"Supera saldo batán | ",""))="","OK",LEFT((IF($G145="","Sin unidad | ","")&amp;IF($J145="","Sin responsable | ","")&amp;IF($K145="","Sin obra | ","")&amp;IF(AND($N145&lt;&gt;"",$G145&lt;&gt;"",$N145&gt;IFERROR(INDEX('MAESTRO DE UNIDADES'!$I$2:$I$208,MATCH($G145,'MAESTRO DE UNIDADES'!$A$2:$A$208,0)),0)),"Litros &gt; tanque | ","")&amp;IF(AND($W145&lt;&gt;"",COUNTIF($W$2:$W145,$W145)&gt;1),"Ticket duplicado | ","")&amp;IF(AND($G145&lt;&gt;"",IFERROR(INDEX('MAESTRO DE UNIDADES'!$L$2:$L$208,MATCH($G145,'MAESTRO DE UNIDADES'!$A$2:$A$208,0)),"")="Inactivo"),"Unidad inactiva | ","")&amp;IF(AND($AA145&lt;&gt;"",$N145=""),"Carga de batán sin litros | ","")&amp;IF(AND($AA145&lt;&gt;"",$AC145&lt;0),"Supera saldo batán | ","")),LEN((IF($G145="","Sin unidad | ","")&amp;IF($J145="","Sin responsable | ","")&amp;IF($K145="","Sin obra | ","")&amp;IF(AND($N145&lt;&gt;"",$G145&lt;&gt;"",$N145&gt;IFERROR(INDEX('MAESTRO DE UNIDADES'!$I$2:$I$208,MATCH($G145,'MAESTRO DE UNIDADES'!$A$2:$A$208,0)),0)),"Litros &gt; tanque | ","")&amp;IF(AND($W145&lt;&gt;"",COUNTIF($W$2:$W145,$W145)&gt;1),"Ticket duplicado | ","")&amp;IF(AND($G145&lt;&gt;"",IFERROR(INDEX('MAESTRO DE UNIDADES'!$L$2:$L$208,MATCH($G145,'MAESTRO DE UNIDADES'!$A$2:$A$208,0)),"")="Inactivo"),"Unidad inactiva | ","")&amp;IF(AND($AA145&lt;&gt;"",$N145=""),"Carga de batán sin litros | ","")&amp;IF(AND($AA145&lt;&gt;"",$AC145&lt;0),"Supera saldo batán | ","")))-3)))</f>
        <v/>
      </c>
      <c r="Z145" s="8" t="str">
        <f t="shared" si="21"/>
        <v/>
      </c>
      <c r="AA145" s="4"/>
      <c r="AB145" s="26" t="str">
        <f>IF($AA145="","",IFERROR(INDEX('CONTROL DE BATAN'!$J$2:$J$301,MATCH($AA145,'CONTROL DE BATAN'!$A$2:$A$301,0)),""))</f>
        <v/>
      </c>
      <c r="AC145" s="28" t="str">
        <f>IF($AA145="","",IFERROR(INDEX('CONTROL DE BATAN'!$I$2:$I$301,MATCH($AA145,'CONTROL DE BATAN'!$A$2:$A$301,0)),0)-SUMIFS($N$2:$N145,$AA$2:$AA145,$AA145))</f>
        <v/>
      </c>
    </row>
    <row r="146" spans="1:29" x14ac:dyDescent="0.25">
      <c r="A146" s="8" t="str">
        <f t="shared" si="15"/>
        <v/>
      </c>
      <c r="B146" s="9"/>
      <c r="C146" s="8" t="str">
        <f t="shared" si="16"/>
        <v/>
      </c>
      <c r="D146" s="10" t="str">
        <f t="shared" si="17"/>
        <v/>
      </c>
      <c r="E146" s="8" t="str">
        <f t="shared" si="18"/>
        <v/>
      </c>
      <c r="F146" s="8" t="str">
        <f>IF($G146="","",IFERROR(INDEX('MAESTRO DE UNIDADES'!$C$2:$C$208,MATCH($G146,'MAESTRO DE UNIDADES'!$A$2:$A$208,0)),""))</f>
        <v/>
      </c>
      <c r="G146" s="4"/>
      <c r="H146" s="8" t="str">
        <f>IF($G146="","",IFERROR(INDEX('MAESTRO DE UNIDADES'!$F$2:$F$208,MATCH($G146,'MAESTRO DE UNIDADES'!$A$2:$A$208,0)),""))</f>
        <v/>
      </c>
      <c r="I146" s="8" t="str">
        <f>IF($G146="","",IFERROR(INDEX('MAESTRO DE UNIDADES'!$B$2:$B$208,MATCH($G146,'MAESTRO DE UNIDADES'!$A$2:$A$208,0)),""))</f>
        <v/>
      </c>
      <c r="J146" s="4"/>
      <c r="K146" s="4"/>
      <c r="L146" s="4"/>
      <c r="M146" s="8" t="str">
        <f>IF($G146="","",IFERROR(INDEX('MAESTRO DE UNIDADES'!$H$2:$H$208,MATCH($G146,'MAESTRO DE UNIDADES'!$A$2:$A$208,0)),""))</f>
        <v/>
      </c>
      <c r="N146" s="25"/>
      <c r="O146" s="25"/>
      <c r="P146" s="26" t="str">
        <f t="shared" si="19"/>
        <v/>
      </c>
      <c r="Q146" s="27"/>
      <c r="R146" s="27"/>
      <c r="S146" s="28" t="str">
        <f>IF(OR($G146="",$Q146="",COUNTIF($G$2:G145,$G146)=0),"",$Q146-LOOKUP(2,1/($G$2:G145=$G146),$Q$2:Q145))</f>
        <v/>
      </c>
      <c r="T146" s="28" t="str">
        <f>IF(OR($G146="",$R146="",COUNTIF($G$2:G145,$G146)=0),"",$R146-LOOKUP(2,1/($G$2:G145=$G146),$R$2:R145))</f>
        <v/>
      </c>
      <c r="U146" s="11" t="str">
        <f t="shared" si="20"/>
        <v/>
      </c>
      <c r="V146" s="4"/>
      <c r="W146" s="4"/>
      <c r="X146" s="55"/>
      <c r="Y146" s="56" t="str">
        <f>IF($B146="","",IF((IF($G146="","Sin unidad | ","")&amp;IF($J146="","Sin responsable | ","")&amp;IF($K146="","Sin obra | ","")&amp;IF(AND($N146&lt;&gt;"",$G146&lt;&gt;"",$N146&gt;IFERROR(INDEX('MAESTRO DE UNIDADES'!$I$2:$I$208,MATCH($G146,'MAESTRO DE UNIDADES'!$A$2:$A$208,0)),0)),"Litros &gt; tanque | ","")&amp;IF(AND($W146&lt;&gt;"",COUNTIF($W$2:$W146,$W146)&gt;1),"Ticket duplicado | ","")&amp;IF(AND($G146&lt;&gt;"",IFERROR(INDEX('MAESTRO DE UNIDADES'!$L$2:$L$208,MATCH($G146,'MAESTRO DE UNIDADES'!$A$2:$A$208,0)),"")="Inactivo"),"Unidad inactiva | ","")&amp;IF(AND($AA146&lt;&gt;"",$N146=""),"Carga de batán sin litros | ","")&amp;IF(AND($AA146&lt;&gt;"",$AC146&lt;0),"Supera saldo batán | ",""))="","OK",LEFT((IF($G146="","Sin unidad | ","")&amp;IF($J146="","Sin responsable | ","")&amp;IF($K146="","Sin obra | ","")&amp;IF(AND($N146&lt;&gt;"",$G146&lt;&gt;"",$N146&gt;IFERROR(INDEX('MAESTRO DE UNIDADES'!$I$2:$I$208,MATCH($G146,'MAESTRO DE UNIDADES'!$A$2:$A$208,0)),0)),"Litros &gt; tanque | ","")&amp;IF(AND($W146&lt;&gt;"",COUNTIF($W$2:$W146,$W146)&gt;1),"Ticket duplicado | ","")&amp;IF(AND($G146&lt;&gt;"",IFERROR(INDEX('MAESTRO DE UNIDADES'!$L$2:$L$208,MATCH($G146,'MAESTRO DE UNIDADES'!$A$2:$A$208,0)),"")="Inactivo"),"Unidad inactiva | ","")&amp;IF(AND($AA146&lt;&gt;"",$N146=""),"Carga de batán sin litros | ","")&amp;IF(AND($AA146&lt;&gt;"",$AC146&lt;0),"Supera saldo batán | ","")),LEN((IF($G146="","Sin unidad | ","")&amp;IF($J146="","Sin responsable | ","")&amp;IF($K146="","Sin obra | ","")&amp;IF(AND($N146&lt;&gt;"",$G146&lt;&gt;"",$N146&gt;IFERROR(INDEX('MAESTRO DE UNIDADES'!$I$2:$I$208,MATCH($G146,'MAESTRO DE UNIDADES'!$A$2:$A$208,0)),0)),"Litros &gt; tanque | ","")&amp;IF(AND($W146&lt;&gt;"",COUNTIF($W$2:$W146,$W146)&gt;1),"Ticket duplicado | ","")&amp;IF(AND($G146&lt;&gt;"",IFERROR(INDEX('MAESTRO DE UNIDADES'!$L$2:$L$208,MATCH($G146,'MAESTRO DE UNIDADES'!$A$2:$A$208,0)),"")="Inactivo"),"Unidad inactiva | ","")&amp;IF(AND($AA146&lt;&gt;"",$N146=""),"Carga de batán sin litros | ","")&amp;IF(AND($AA146&lt;&gt;"",$AC146&lt;0),"Supera saldo batán | ","")))-3)))</f>
        <v/>
      </c>
      <c r="Z146" s="8" t="str">
        <f t="shared" si="21"/>
        <v/>
      </c>
      <c r="AA146" s="4"/>
      <c r="AB146" s="26" t="str">
        <f>IF($AA146="","",IFERROR(INDEX('CONTROL DE BATAN'!$J$2:$J$301,MATCH($AA146,'CONTROL DE BATAN'!$A$2:$A$301,0)),""))</f>
        <v/>
      </c>
      <c r="AC146" s="28" t="str">
        <f>IF($AA146="","",IFERROR(INDEX('CONTROL DE BATAN'!$I$2:$I$301,MATCH($AA146,'CONTROL DE BATAN'!$A$2:$A$301,0)),0)-SUMIFS($N$2:$N146,$AA$2:$AA146,$AA146))</f>
        <v/>
      </c>
    </row>
    <row r="147" spans="1:29" x14ac:dyDescent="0.25">
      <c r="A147" s="8" t="str">
        <f t="shared" si="15"/>
        <v/>
      </c>
      <c r="B147" s="9"/>
      <c r="C147" s="8" t="str">
        <f t="shared" si="16"/>
        <v/>
      </c>
      <c r="D147" s="10" t="str">
        <f t="shared" si="17"/>
        <v/>
      </c>
      <c r="E147" s="8" t="str">
        <f t="shared" si="18"/>
        <v/>
      </c>
      <c r="F147" s="8" t="str">
        <f>IF($G147="","",IFERROR(INDEX('MAESTRO DE UNIDADES'!$C$2:$C$208,MATCH($G147,'MAESTRO DE UNIDADES'!$A$2:$A$208,0)),""))</f>
        <v/>
      </c>
      <c r="G147" s="4"/>
      <c r="H147" s="8" t="str">
        <f>IF($G147="","",IFERROR(INDEX('MAESTRO DE UNIDADES'!$F$2:$F$208,MATCH($G147,'MAESTRO DE UNIDADES'!$A$2:$A$208,0)),""))</f>
        <v/>
      </c>
      <c r="I147" s="8" t="str">
        <f>IF($G147="","",IFERROR(INDEX('MAESTRO DE UNIDADES'!$B$2:$B$208,MATCH($G147,'MAESTRO DE UNIDADES'!$A$2:$A$208,0)),""))</f>
        <v/>
      </c>
      <c r="J147" s="4"/>
      <c r="K147" s="4"/>
      <c r="L147" s="4"/>
      <c r="M147" s="8" t="str">
        <f>IF($G147="","",IFERROR(INDEX('MAESTRO DE UNIDADES'!$H$2:$H$208,MATCH($G147,'MAESTRO DE UNIDADES'!$A$2:$A$208,0)),""))</f>
        <v/>
      </c>
      <c r="N147" s="25"/>
      <c r="O147" s="25"/>
      <c r="P147" s="26" t="str">
        <f t="shared" si="19"/>
        <v/>
      </c>
      <c r="Q147" s="27"/>
      <c r="R147" s="27"/>
      <c r="S147" s="28" t="str">
        <f>IF(OR($G147="",$Q147="",COUNTIF($G$2:G146,$G147)=0),"",$Q147-LOOKUP(2,1/($G$2:G146=$G147),$Q$2:Q146))</f>
        <v/>
      </c>
      <c r="T147" s="28" t="str">
        <f>IF(OR($G147="",$R147="",COUNTIF($G$2:G146,$G147)=0),"",$R147-LOOKUP(2,1/($G$2:G146=$G147),$R$2:R146))</f>
        <v/>
      </c>
      <c r="U147" s="11" t="str">
        <f t="shared" si="20"/>
        <v/>
      </c>
      <c r="V147" s="4"/>
      <c r="W147" s="4"/>
      <c r="X147" s="55"/>
      <c r="Y147" s="56" t="str">
        <f>IF($B147="","",IF((IF($G147="","Sin unidad | ","")&amp;IF($J147="","Sin responsable | ","")&amp;IF($K147="","Sin obra | ","")&amp;IF(AND($N147&lt;&gt;"",$G147&lt;&gt;"",$N147&gt;IFERROR(INDEX('MAESTRO DE UNIDADES'!$I$2:$I$208,MATCH($G147,'MAESTRO DE UNIDADES'!$A$2:$A$208,0)),0)),"Litros &gt; tanque | ","")&amp;IF(AND($W147&lt;&gt;"",COUNTIF($W$2:$W147,$W147)&gt;1),"Ticket duplicado | ","")&amp;IF(AND($G147&lt;&gt;"",IFERROR(INDEX('MAESTRO DE UNIDADES'!$L$2:$L$208,MATCH($G147,'MAESTRO DE UNIDADES'!$A$2:$A$208,0)),"")="Inactivo"),"Unidad inactiva | ","")&amp;IF(AND($AA147&lt;&gt;"",$N147=""),"Carga de batán sin litros | ","")&amp;IF(AND($AA147&lt;&gt;"",$AC147&lt;0),"Supera saldo batán | ",""))="","OK",LEFT((IF($G147="","Sin unidad | ","")&amp;IF($J147="","Sin responsable | ","")&amp;IF($K147="","Sin obra | ","")&amp;IF(AND($N147&lt;&gt;"",$G147&lt;&gt;"",$N147&gt;IFERROR(INDEX('MAESTRO DE UNIDADES'!$I$2:$I$208,MATCH($G147,'MAESTRO DE UNIDADES'!$A$2:$A$208,0)),0)),"Litros &gt; tanque | ","")&amp;IF(AND($W147&lt;&gt;"",COUNTIF($W$2:$W147,$W147)&gt;1),"Ticket duplicado | ","")&amp;IF(AND($G147&lt;&gt;"",IFERROR(INDEX('MAESTRO DE UNIDADES'!$L$2:$L$208,MATCH($G147,'MAESTRO DE UNIDADES'!$A$2:$A$208,0)),"")="Inactivo"),"Unidad inactiva | ","")&amp;IF(AND($AA147&lt;&gt;"",$N147=""),"Carga de batán sin litros | ","")&amp;IF(AND($AA147&lt;&gt;"",$AC147&lt;0),"Supera saldo batán | ","")),LEN((IF($G147="","Sin unidad | ","")&amp;IF($J147="","Sin responsable | ","")&amp;IF($K147="","Sin obra | ","")&amp;IF(AND($N147&lt;&gt;"",$G147&lt;&gt;"",$N147&gt;IFERROR(INDEX('MAESTRO DE UNIDADES'!$I$2:$I$208,MATCH($G147,'MAESTRO DE UNIDADES'!$A$2:$A$208,0)),0)),"Litros &gt; tanque | ","")&amp;IF(AND($W147&lt;&gt;"",COUNTIF($W$2:$W147,$W147)&gt;1),"Ticket duplicado | ","")&amp;IF(AND($G147&lt;&gt;"",IFERROR(INDEX('MAESTRO DE UNIDADES'!$L$2:$L$208,MATCH($G147,'MAESTRO DE UNIDADES'!$A$2:$A$208,0)),"")="Inactivo"),"Unidad inactiva | ","")&amp;IF(AND($AA147&lt;&gt;"",$N147=""),"Carga de batán sin litros | ","")&amp;IF(AND($AA147&lt;&gt;"",$AC147&lt;0),"Supera saldo batán | ","")))-3)))</f>
        <v/>
      </c>
      <c r="Z147" s="8" t="str">
        <f t="shared" si="21"/>
        <v/>
      </c>
      <c r="AA147" s="4"/>
      <c r="AB147" s="26" t="str">
        <f>IF($AA147="","",IFERROR(INDEX('CONTROL DE BATAN'!$J$2:$J$301,MATCH($AA147,'CONTROL DE BATAN'!$A$2:$A$301,0)),""))</f>
        <v/>
      </c>
      <c r="AC147" s="28" t="str">
        <f>IF($AA147="","",IFERROR(INDEX('CONTROL DE BATAN'!$I$2:$I$301,MATCH($AA147,'CONTROL DE BATAN'!$A$2:$A$301,0)),0)-SUMIFS($N$2:$N147,$AA$2:$AA147,$AA147))</f>
        <v/>
      </c>
    </row>
    <row r="148" spans="1:29" x14ac:dyDescent="0.25">
      <c r="A148" s="8" t="str">
        <f t="shared" si="15"/>
        <v/>
      </c>
      <c r="B148" s="9"/>
      <c r="C148" s="8" t="str">
        <f t="shared" si="16"/>
        <v/>
      </c>
      <c r="D148" s="10" t="str">
        <f t="shared" si="17"/>
        <v/>
      </c>
      <c r="E148" s="8" t="str">
        <f t="shared" si="18"/>
        <v/>
      </c>
      <c r="F148" s="8" t="str">
        <f>IF($G148="","",IFERROR(INDEX('MAESTRO DE UNIDADES'!$C$2:$C$208,MATCH($G148,'MAESTRO DE UNIDADES'!$A$2:$A$208,0)),""))</f>
        <v/>
      </c>
      <c r="G148" s="4"/>
      <c r="H148" s="8" t="str">
        <f>IF($G148="","",IFERROR(INDEX('MAESTRO DE UNIDADES'!$F$2:$F$208,MATCH($G148,'MAESTRO DE UNIDADES'!$A$2:$A$208,0)),""))</f>
        <v/>
      </c>
      <c r="I148" s="8" t="str">
        <f>IF($G148="","",IFERROR(INDEX('MAESTRO DE UNIDADES'!$B$2:$B$208,MATCH($G148,'MAESTRO DE UNIDADES'!$A$2:$A$208,0)),""))</f>
        <v/>
      </c>
      <c r="J148" s="4"/>
      <c r="K148" s="4"/>
      <c r="L148" s="4"/>
      <c r="M148" s="8" t="str">
        <f>IF($G148="","",IFERROR(INDEX('MAESTRO DE UNIDADES'!$H$2:$H$208,MATCH($G148,'MAESTRO DE UNIDADES'!$A$2:$A$208,0)),""))</f>
        <v/>
      </c>
      <c r="N148" s="25"/>
      <c r="O148" s="25"/>
      <c r="P148" s="26" t="str">
        <f t="shared" si="19"/>
        <v/>
      </c>
      <c r="Q148" s="27"/>
      <c r="R148" s="27"/>
      <c r="S148" s="28" t="str">
        <f>IF(OR($G148="",$Q148="",COUNTIF($G$2:G147,$G148)=0),"",$Q148-LOOKUP(2,1/($G$2:G147=$G148),$Q$2:Q147))</f>
        <v/>
      </c>
      <c r="T148" s="28" t="str">
        <f>IF(OR($G148="",$R148="",COUNTIF($G$2:G147,$G148)=0),"",$R148-LOOKUP(2,1/($G$2:G147=$G148),$R$2:R147))</f>
        <v/>
      </c>
      <c r="U148" s="11" t="str">
        <f t="shared" si="20"/>
        <v/>
      </c>
      <c r="V148" s="4"/>
      <c r="W148" s="4"/>
      <c r="X148" s="55"/>
      <c r="Y148" s="56" t="str">
        <f>IF($B148="","",IF((IF($G148="","Sin unidad | ","")&amp;IF($J148="","Sin responsable | ","")&amp;IF($K148="","Sin obra | ","")&amp;IF(AND($N148&lt;&gt;"",$G148&lt;&gt;"",$N148&gt;IFERROR(INDEX('MAESTRO DE UNIDADES'!$I$2:$I$208,MATCH($G148,'MAESTRO DE UNIDADES'!$A$2:$A$208,0)),0)),"Litros &gt; tanque | ","")&amp;IF(AND($W148&lt;&gt;"",COUNTIF($W$2:$W148,$W148)&gt;1),"Ticket duplicado | ","")&amp;IF(AND($G148&lt;&gt;"",IFERROR(INDEX('MAESTRO DE UNIDADES'!$L$2:$L$208,MATCH($G148,'MAESTRO DE UNIDADES'!$A$2:$A$208,0)),"")="Inactivo"),"Unidad inactiva | ","")&amp;IF(AND($AA148&lt;&gt;"",$N148=""),"Carga de batán sin litros | ","")&amp;IF(AND($AA148&lt;&gt;"",$AC148&lt;0),"Supera saldo batán | ",""))="","OK",LEFT((IF($G148="","Sin unidad | ","")&amp;IF($J148="","Sin responsable | ","")&amp;IF($K148="","Sin obra | ","")&amp;IF(AND($N148&lt;&gt;"",$G148&lt;&gt;"",$N148&gt;IFERROR(INDEX('MAESTRO DE UNIDADES'!$I$2:$I$208,MATCH($G148,'MAESTRO DE UNIDADES'!$A$2:$A$208,0)),0)),"Litros &gt; tanque | ","")&amp;IF(AND($W148&lt;&gt;"",COUNTIF($W$2:$W148,$W148)&gt;1),"Ticket duplicado | ","")&amp;IF(AND($G148&lt;&gt;"",IFERROR(INDEX('MAESTRO DE UNIDADES'!$L$2:$L$208,MATCH($G148,'MAESTRO DE UNIDADES'!$A$2:$A$208,0)),"")="Inactivo"),"Unidad inactiva | ","")&amp;IF(AND($AA148&lt;&gt;"",$N148=""),"Carga de batán sin litros | ","")&amp;IF(AND($AA148&lt;&gt;"",$AC148&lt;0),"Supera saldo batán | ","")),LEN((IF($G148="","Sin unidad | ","")&amp;IF($J148="","Sin responsable | ","")&amp;IF($K148="","Sin obra | ","")&amp;IF(AND($N148&lt;&gt;"",$G148&lt;&gt;"",$N148&gt;IFERROR(INDEX('MAESTRO DE UNIDADES'!$I$2:$I$208,MATCH($G148,'MAESTRO DE UNIDADES'!$A$2:$A$208,0)),0)),"Litros &gt; tanque | ","")&amp;IF(AND($W148&lt;&gt;"",COUNTIF($W$2:$W148,$W148)&gt;1),"Ticket duplicado | ","")&amp;IF(AND($G148&lt;&gt;"",IFERROR(INDEX('MAESTRO DE UNIDADES'!$L$2:$L$208,MATCH($G148,'MAESTRO DE UNIDADES'!$A$2:$A$208,0)),"")="Inactivo"),"Unidad inactiva | ","")&amp;IF(AND($AA148&lt;&gt;"",$N148=""),"Carga de batán sin litros | ","")&amp;IF(AND($AA148&lt;&gt;"",$AC148&lt;0),"Supera saldo batán | ","")))-3)))</f>
        <v/>
      </c>
      <c r="Z148" s="8" t="str">
        <f t="shared" si="21"/>
        <v/>
      </c>
      <c r="AA148" s="4"/>
      <c r="AB148" s="26" t="str">
        <f>IF($AA148="","",IFERROR(INDEX('CONTROL DE BATAN'!$J$2:$J$301,MATCH($AA148,'CONTROL DE BATAN'!$A$2:$A$301,0)),""))</f>
        <v/>
      </c>
      <c r="AC148" s="28" t="str">
        <f>IF($AA148="","",IFERROR(INDEX('CONTROL DE BATAN'!$I$2:$I$301,MATCH($AA148,'CONTROL DE BATAN'!$A$2:$A$301,0)),0)-SUMIFS($N$2:$N148,$AA$2:$AA148,$AA148))</f>
        <v/>
      </c>
    </row>
    <row r="149" spans="1:29" x14ac:dyDescent="0.25">
      <c r="A149" s="8" t="str">
        <f t="shared" si="15"/>
        <v/>
      </c>
      <c r="B149" s="9"/>
      <c r="C149" s="8" t="str">
        <f t="shared" si="16"/>
        <v/>
      </c>
      <c r="D149" s="10" t="str">
        <f t="shared" si="17"/>
        <v/>
      </c>
      <c r="E149" s="8" t="str">
        <f t="shared" si="18"/>
        <v/>
      </c>
      <c r="F149" s="8" t="str">
        <f>IF($G149="","",IFERROR(INDEX('MAESTRO DE UNIDADES'!$C$2:$C$208,MATCH($G149,'MAESTRO DE UNIDADES'!$A$2:$A$208,0)),""))</f>
        <v/>
      </c>
      <c r="G149" s="4"/>
      <c r="H149" s="8" t="str">
        <f>IF($G149="","",IFERROR(INDEX('MAESTRO DE UNIDADES'!$F$2:$F$208,MATCH($G149,'MAESTRO DE UNIDADES'!$A$2:$A$208,0)),""))</f>
        <v/>
      </c>
      <c r="I149" s="8" t="str">
        <f>IF($G149="","",IFERROR(INDEX('MAESTRO DE UNIDADES'!$B$2:$B$208,MATCH($G149,'MAESTRO DE UNIDADES'!$A$2:$A$208,0)),""))</f>
        <v/>
      </c>
      <c r="J149" s="4"/>
      <c r="K149" s="4"/>
      <c r="L149" s="4"/>
      <c r="M149" s="8" t="str">
        <f>IF($G149="","",IFERROR(INDEX('MAESTRO DE UNIDADES'!$H$2:$H$208,MATCH($G149,'MAESTRO DE UNIDADES'!$A$2:$A$208,0)),""))</f>
        <v/>
      </c>
      <c r="N149" s="25"/>
      <c r="O149" s="25"/>
      <c r="P149" s="26" t="str">
        <f t="shared" si="19"/>
        <v/>
      </c>
      <c r="Q149" s="27"/>
      <c r="R149" s="27"/>
      <c r="S149" s="28" t="str">
        <f>IF(OR($G149="",$Q149="",COUNTIF($G$2:G148,$G149)=0),"",$Q149-LOOKUP(2,1/($G$2:G148=$G149),$Q$2:Q148))</f>
        <v/>
      </c>
      <c r="T149" s="28" t="str">
        <f>IF(OR($G149="",$R149="",COUNTIF($G$2:G148,$G149)=0),"",$R149-LOOKUP(2,1/($G$2:G148=$G149),$R$2:R148))</f>
        <v/>
      </c>
      <c r="U149" s="11" t="str">
        <f t="shared" si="20"/>
        <v/>
      </c>
      <c r="V149" s="4"/>
      <c r="W149" s="4"/>
      <c r="X149" s="55"/>
      <c r="Y149" s="56" t="str">
        <f>IF($B149="","",IF((IF($G149="","Sin unidad | ","")&amp;IF($J149="","Sin responsable | ","")&amp;IF($K149="","Sin obra | ","")&amp;IF(AND($N149&lt;&gt;"",$G149&lt;&gt;"",$N149&gt;IFERROR(INDEX('MAESTRO DE UNIDADES'!$I$2:$I$208,MATCH($G149,'MAESTRO DE UNIDADES'!$A$2:$A$208,0)),0)),"Litros &gt; tanque | ","")&amp;IF(AND($W149&lt;&gt;"",COUNTIF($W$2:$W149,$W149)&gt;1),"Ticket duplicado | ","")&amp;IF(AND($G149&lt;&gt;"",IFERROR(INDEX('MAESTRO DE UNIDADES'!$L$2:$L$208,MATCH($G149,'MAESTRO DE UNIDADES'!$A$2:$A$208,0)),"")="Inactivo"),"Unidad inactiva | ","")&amp;IF(AND($AA149&lt;&gt;"",$N149=""),"Carga de batán sin litros | ","")&amp;IF(AND($AA149&lt;&gt;"",$AC149&lt;0),"Supera saldo batán | ",""))="","OK",LEFT((IF($G149="","Sin unidad | ","")&amp;IF($J149="","Sin responsable | ","")&amp;IF($K149="","Sin obra | ","")&amp;IF(AND($N149&lt;&gt;"",$G149&lt;&gt;"",$N149&gt;IFERROR(INDEX('MAESTRO DE UNIDADES'!$I$2:$I$208,MATCH($G149,'MAESTRO DE UNIDADES'!$A$2:$A$208,0)),0)),"Litros &gt; tanque | ","")&amp;IF(AND($W149&lt;&gt;"",COUNTIF($W$2:$W149,$W149)&gt;1),"Ticket duplicado | ","")&amp;IF(AND($G149&lt;&gt;"",IFERROR(INDEX('MAESTRO DE UNIDADES'!$L$2:$L$208,MATCH($G149,'MAESTRO DE UNIDADES'!$A$2:$A$208,0)),"")="Inactivo"),"Unidad inactiva | ","")&amp;IF(AND($AA149&lt;&gt;"",$N149=""),"Carga de batán sin litros | ","")&amp;IF(AND($AA149&lt;&gt;"",$AC149&lt;0),"Supera saldo batán | ","")),LEN((IF($G149="","Sin unidad | ","")&amp;IF($J149="","Sin responsable | ","")&amp;IF($K149="","Sin obra | ","")&amp;IF(AND($N149&lt;&gt;"",$G149&lt;&gt;"",$N149&gt;IFERROR(INDEX('MAESTRO DE UNIDADES'!$I$2:$I$208,MATCH($G149,'MAESTRO DE UNIDADES'!$A$2:$A$208,0)),0)),"Litros &gt; tanque | ","")&amp;IF(AND($W149&lt;&gt;"",COUNTIF($W$2:$W149,$W149)&gt;1),"Ticket duplicado | ","")&amp;IF(AND($G149&lt;&gt;"",IFERROR(INDEX('MAESTRO DE UNIDADES'!$L$2:$L$208,MATCH($G149,'MAESTRO DE UNIDADES'!$A$2:$A$208,0)),"")="Inactivo"),"Unidad inactiva | ","")&amp;IF(AND($AA149&lt;&gt;"",$N149=""),"Carga de batán sin litros | ","")&amp;IF(AND($AA149&lt;&gt;"",$AC149&lt;0),"Supera saldo batán | ","")))-3)))</f>
        <v/>
      </c>
      <c r="Z149" s="8" t="str">
        <f t="shared" si="21"/>
        <v/>
      </c>
      <c r="AA149" s="4"/>
      <c r="AB149" s="26" t="str">
        <f>IF($AA149="","",IFERROR(INDEX('CONTROL DE BATAN'!$J$2:$J$301,MATCH($AA149,'CONTROL DE BATAN'!$A$2:$A$301,0)),""))</f>
        <v/>
      </c>
      <c r="AC149" s="28" t="str">
        <f>IF($AA149="","",IFERROR(INDEX('CONTROL DE BATAN'!$I$2:$I$301,MATCH($AA149,'CONTROL DE BATAN'!$A$2:$A$301,0)),0)-SUMIFS($N$2:$N149,$AA$2:$AA149,$AA149))</f>
        <v/>
      </c>
    </row>
    <row r="150" spans="1:29" x14ac:dyDescent="0.25">
      <c r="A150" s="8" t="str">
        <f t="shared" si="15"/>
        <v/>
      </c>
      <c r="B150" s="9"/>
      <c r="C150" s="8" t="str">
        <f t="shared" si="16"/>
        <v/>
      </c>
      <c r="D150" s="10" t="str">
        <f t="shared" si="17"/>
        <v/>
      </c>
      <c r="E150" s="8" t="str">
        <f t="shared" si="18"/>
        <v/>
      </c>
      <c r="F150" s="8" t="str">
        <f>IF($G150="","",IFERROR(INDEX('MAESTRO DE UNIDADES'!$C$2:$C$208,MATCH($G150,'MAESTRO DE UNIDADES'!$A$2:$A$208,0)),""))</f>
        <v/>
      </c>
      <c r="G150" s="4"/>
      <c r="H150" s="8" t="str">
        <f>IF($G150="","",IFERROR(INDEX('MAESTRO DE UNIDADES'!$F$2:$F$208,MATCH($G150,'MAESTRO DE UNIDADES'!$A$2:$A$208,0)),""))</f>
        <v/>
      </c>
      <c r="I150" s="8" t="str">
        <f>IF($G150="","",IFERROR(INDEX('MAESTRO DE UNIDADES'!$B$2:$B$208,MATCH($G150,'MAESTRO DE UNIDADES'!$A$2:$A$208,0)),""))</f>
        <v/>
      </c>
      <c r="J150" s="4"/>
      <c r="K150" s="4"/>
      <c r="L150" s="4"/>
      <c r="M150" s="8" t="str">
        <f>IF($G150="","",IFERROR(INDEX('MAESTRO DE UNIDADES'!$H$2:$H$208,MATCH($G150,'MAESTRO DE UNIDADES'!$A$2:$A$208,0)),""))</f>
        <v/>
      </c>
      <c r="N150" s="25"/>
      <c r="O150" s="25"/>
      <c r="P150" s="26" t="str">
        <f t="shared" si="19"/>
        <v/>
      </c>
      <c r="Q150" s="27"/>
      <c r="R150" s="27"/>
      <c r="S150" s="28" t="str">
        <f>IF(OR($G150="",$Q150="",COUNTIF($G$2:G149,$G150)=0),"",$Q150-LOOKUP(2,1/($G$2:G149=$G150),$Q$2:Q149))</f>
        <v/>
      </c>
      <c r="T150" s="28" t="str">
        <f>IF(OR($G150="",$R150="",COUNTIF($G$2:G149,$G150)=0),"",$R150-LOOKUP(2,1/($G$2:G149=$G150),$R$2:R149))</f>
        <v/>
      </c>
      <c r="U150" s="11" t="str">
        <f t="shared" si="20"/>
        <v/>
      </c>
      <c r="V150" s="4"/>
      <c r="W150" s="4"/>
      <c r="X150" s="55"/>
      <c r="Y150" s="56" t="str">
        <f>IF($B150="","",IF((IF($G150="","Sin unidad | ","")&amp;IF($J150="","Sin responsable | ","")&amp;IF($K150="","Sin obra | ","")&amp;IF(AND($N150&lt;&gt;"",$G150&lt;&gt;"",$N150&gt;IFERROR(INDEX('MAESTRO DE UNIDADES'!$I$2:$I$208,MATCH($G150,'MAESTRO DE UNIDADES'!$A$2:$A$208,0)),0)),"Litros &gt; tanque | ","")&amp;IF(AND($W150&lt;&gt;"",COUNTIF($W$2:$W150,$W150)&gt;1),"Ticket duplicado | ","")&amp;IF(AND($G150&lt;&gt;"",IFERROR(INDEX('MAESTRO DE UNIDADES'!$L$2:$L$208,MATCH($G150,'MAESTRO DE UNIDADES'!$A$2:$A$208,0)),"")="Inactivo"),"Unidad inactiva | ","")&amp;IF(AND($AA150&lt;&gt;"",$N150=""),"Carga de batán sin litros | ","")&amp;IF(AND($AA150&lt;&gt;"",$AC150&lt;0),"Supera saldo batán | ",""))="","OK",LEFT((IF($G150="","Sin unidad | ","")&amp;IF($J150="","Sin responsable | ","")&amp;IF($K150="","Sin obra | ","")&amp;IF(AND($N150&lt;&gt;"",$G150&lt;&gt;"",$N150&gt;IFERROR(INDEX('MAESTRO DE UNIDADES'!$I$2:$I$208,MATCH($G150,'MAESTRO DE UNIDADES'!$A$2:$A$208,0)),0)),"Litros &gt; tanque | ","")&amp;IF(AND($W150&lt;&gt;"",COUNTIF($W$2:$W150,$W150)&gt;1),"Ticket duplicado | ","")&amp;IF(AND($G150&lt;&gt;"",IFERROR(INDEX('MAESTRO DE UNIDADES'!$L$2:$L$208,MATCH($G150,'MAESTRO DE UNIDADES'!$A$2:$A$208,0)),"")="Inactivo"),"Unidad inactiva | ","")&amp;IF(AND($AA150&lt;&gt;"",$N150=""),"Carga de batán sin litros | ","")&amp;IF(AND($AA150&lt;&gt;"",$AC150&lt;0),"Supera saldo batán | ","")),LEN((IF($G150="","Sin unidad | ","")&amp;IF($J150="","Sin responsable | ","")&amp;IF($K150="","Sin obra | ","")&amp;IF(AND($N150&lt;&gt;"",$G150&lt;&gt;"",$N150&gt;IFERROR(INDEX('MAESTRO DE UNIDADES'!$I$2:$I$208,MATCH($G150,'MAESTRO DE UNIDADES'!$A$2:$A$208,0)),0)),"Litros &gt; tanque | ","")&amp;IF(AND($W150&lt;&gt;"",COUNTIF($W$2:$W150,$W150)&gt;1),"Ticket duplicado | ","")&amp;IF(AND($G150&lt;&gt;"",IFERROR(INDEX('MAESTRO DE UNIDADES'!$L$2:$L$208,MATCH($G150,'MAESTRO DE UNIDADES'!$A$2:$A$208,0)),"")="Inactivo"),"Unidad inactiva | ","")&amp;IF(AND($AA150&lt;&gt;"",$N150=""),"Carga de batán sin litros | ","")&amp;IF(AND($AA150&lt;&gt;"",$AC150&lt;0),"Supera saldo batán | ","")))-3)))</f>
        <v/>
      </c>
      <c r="Z150" s="8" t="str">
        <f t="shared" si="21"/>
        <v/>
      </c>
      <c r="AA150" s="4"/>
      <c r="AB150" s="26" t="str">
        <f>IF($AA150="","",IFERROR(INDEX('CONTROL DE BATAN'!$J$2:$J$301,MATCH($AA150,'CONTROL DE BATAN'!$A$2:$A$301,0)),""))</f>
        <v/>
      </c>
      <c r="AC150" s="28" t="str">
        <f>IF($AA150="","",IFERROR(INDEX('CONTROL DE BATAN'!$I$2:$I$301,MATCH($AA150,'CONTROL DE BATAN'!$A$2:$A$301,0)),0)-SUMIFS($N$2:$N150,$AA$2:$AA150,$AA150))</f>
        <v/>
      </c>
    </row>
    <row r="151" spans="1:29" x14ac:dyDescent="0.25">
      <c r="A151" s="8" t="str">
        <f t="shared" si="15"/>
        <v/>
      </c>
      <c r="B151" s="9"/>
      <c r="C151" s="8" t="str">
        <f t="shared" si="16"/>
        <v/>
      </c>
      <c r="D151" s="10" t="str">
        <f t="shared" si="17"/>
        <v/>
      </c>
      <c r="E151" s="8" t="str">
        <f t="shared" si="18"/>
        <v/>
      </c>
      <c r="F151" s="8" t="str">
        <f>IF($G151="","",IFERROR(INDEX('MAESTRO DE UNIDADES'!$C$2:$C$208,MATCH($G151,'MAESTRO DE UNIDADES'!$A$2:$A$208,0)),""))</f>
        <v/>
      </c>
      <c r="G151" s="4"/>
      <c r="H151" s="8" t="str">
        <f>IF($G151="","",IFERROR(INDEX('MAESTRO DE UNIDADES'!$F$2:$F$208,MATCH($G151,'MAESTRO DE UNIDADES'!$A$2:$A$208,0)),""))</f>
        <v/>
      </c>
      <c r="I151" s="8" t="str">
        <f>IF($G151="","",IFERROR(INDEX('MAESTRO DE UNIDADES'!$B$2:$B$208,MATCH($G151,'MAESTRO DE UNIDADES'!$A$2:$A$208,0)),""))</f>
        <v/>
      </c>
      <c r="J151" s="4"/>
      <c r="K151" s="4"/>
      <c r="L151" s="4"/>
      <c r="M151" s="8" t="str">
        <f>IF($G151="","",IFERROR(INDEX('MAESTRO DE UNIDADES'!$H$2:$H$208,MATCH($G151,'MAESTRO DE UNIDADES'!$A$2:$A$208,0)),""))</f>
        <v/>
      </c>
      <c r="N151" s="25"/>
      <c r="O151" s="25"/>
      <c r="P151" s="26" t="str">
        <f t="shared" si="19"/>
        <v/>
      </c>
      <c r="Q151" s="27"/>
      <c r="R151" s="27"/>
      <c r="S151" s="28" t="str">
        <f>IF(OR($G151="",$Q151="",COUNTIF($G$2:G150,$G151)=0),"",$Q151-LOOKUP(2,1/($G$2:G150=$G151),$Q$2:Q150))</f>
        <v/>
      </c>
      <c r="T151" s="28" t="str">
        <f>IF(OR($G151="",$R151="",COUNTIF($G$2:G150,$G151)=0),"",$R151-LOOKUP(2,1/($G$2:G150=$G151),$R$2:R150))</f>
        <v/>
      </c>
      <c r="U151" s="11" t="str">
        <f t="shared" si="20"/>
        <v/>
      </c>
      <c r="V151" s="4"/>
      <c r="W151" s="4"/>
      <c r="X151" s="55"/>
      <c r="Y151" s="56" t="str">
        <f>IF($B151="","",IF((IF($G151="","Sin unidad | ","")&amp;IF($J151="","Sin responsable | ","")&amp;IF($K151="","Sin obra | ","")&amp;IF(AND($N151&lt;&gt;"",$G151&lt;&gt;"",$N151&gt;IFERROR(INDEX('MAESTRO DE UNIDADES'!$I$2:$I$208,MATCH($G151,'MAESTRO DE UNIDADES'!$A$2:$A$208,0)),0)),"Litros &gt; tanque | ","")&amp;IF(AND($W151&lt;&gt;"",COUNTIF($W$2:$W151,$W151)&gt;1),"Ticket duplicado | ","")&amp;IF(AND($G151&lt;&gt;"",IFERROR(INDEX('MAESTRO DE UNIDADES'!$L$2:$L$208,MATCH($G151,'MAESTRO DE UNIDADES'!$A$2:$A$208,0)),"")="Inactivo"),"Unidad inactiva | ","")&amp;IF(AND($AA151&lt;&gt;"",$N151=""),"Carga de batán sin litros | ","")&amp;IF(AND($AA151&lt;&gt;"",$AC151&lt;0),"Supera saldo batán | ",""))="","OK",LEFT((IF($G151="","Sin unidad | ","")&amp;IF($J151="","Sin responsable | ","")&amp;IF($K151="","Sin obra | ","")&amp;IF(AND($N151&lt;&gt;"",$G151&lt;&gt;"",$N151&gt;IFERROR(INDEX('MAESTRO DE UNIDADES'!$I$2:$I$208,MATCH($G151,'MAESTRO DE UNIDADES'!$A$2:$A$208,0)),0)),"Litros &gt; tanque | ","")&amp;IF(AND($W151&lt;&gt;"",COUNTIF($W$2:$W151,$W151)&gt;1),"Ticket duplicado | ","")&amp;IF(AND($G151&lt;&gt;"",IFERROR(INDEX('MAESTRO DE UNIDADES'!$L$2:$L$208,MATCH($G151,'MAESTRO DE UNIDADES'!$A$2:$A$208,0)),"")="Inactivo"),"Unidad inactiva | ","")&amp;IF(AND($AA151&lt;&gt;"",$N151=""),"Carga de batán sin litros | ","")&amp;IF(AND($AA151&lt;&gt;"",$AC151&lt;0),"Supera saldo batán | ","")),LEN((IF($G151="","Sin unidad | ","")&amp;IF($J151="","Sin responsable | ","")&amp;IF($K151="","Sin obra | ","")&amp;IF(AND($N151&lt;&gt;"",$G151&lt;&gt;"",$N151&gt;IFERROR(INDEX('MAESTRO DE UNIDADES'!$I$2:$I$208,MATCH($G151,'MAESTRO DE UNIDADES'!$A$2:$A$208,0)),0)),"Litros &gt; tanque | ","")&amp;IF(AND($W151&lt;&gt;"",COUNTIF($W$2:$W151,$W151)&gt;1),"Ticket duplicado | ","")&amp;IF(AND($G151&lt;&gt;"",IFERROR(INDEX('MAESTRO DE UNIDADES'!$L$2:$L$208,MATCH($G151,'MAESTRO DE UNIDADES'!$A$2:$A$208,0)),"")="Inactivo"),"Unidad inactiva | ","")&amp;IF(AND($AA151&lt;&gt;"",$N151=""),"Carga de batán sin litros | ","")&amp;IF(AND($AA151&lt;&gt;"",$AC151&lt;0),"Supera saldo batán | ","")))-3)))</f>
        <v/>
      </c>
      <c r="Z151" s="8" t="str">
        <f t="shared" si="21"/>
        <v/>
      </c>
      <c r="AA151" s="4"/>
      <c r="AB151" s="26" t="str">
        <f>IF($AA151="","",IFERROR(INDEX('CONTROL DE BATAN'!$J$2:$J$301,MATCH($AA151,'CONTROL DE BATAN'!$A$2:$A$301,0)),""))</f>
        <v/>
      </c>
      <c r="AC151" s="28" t="str">
        <f>IF($AA151="","",IFERROR(INDEX('CONTROL DE BATAN'!$I$2:$I$301,MATCH($AA151,'CONTROL DE BATAN'!$A$2:$A$301,0)),0)-SUMIFS($N$2:$N151,$AA$2:$AA151,$AA151))</f>
        <v/>
      </c>
    </row>
    <row r="152" spans="1:29" x14ac:dyDescent="0.25">
      <c r="A152" s="8" t="str">
        <f t="shared" si="15"/>
        <v/>
      </c>
      <c r="B152" s="9"/>
      <c r="C152" s="8" t="str">
        <f t="shared" si="16"/>
        <v/>
      </c>
      <c r="D152" s="10" t="str">
        <f t="shared" si="17"/>
        <v/>
      </c>
      <c r="E152" s="8" t="str">
        <f t="shared" si="18"/>
        <v/>
      </c>
      <c r="F152" s="8" t="str">
        <f>IF($G152="","",IFERROR(INDEX('MAESTRO DE UNIDADES'!$C$2:$C$208,MATCH($G152,'MAESTRO DE UNIDADES'!$A$2:$A$208,0)),""))</f>
        <v/>
      </c>
      <c r="G152" s="4"/>
      <c r="H152" s="8" t="str">
        <f>IF($G152="","",IFERROR(INDEX('MAESTRO DE UNIDADES'!$F$2:$F$208,MATCH($G152,'MAESTRO DE UNIDADES'!$A$2:$A$208,0)),""))</f>
        <v/>
      </c>
      <c r="I152" s="8" t="str">
        <f>IF($G152="","",IFERROR(INDEX('MAESTRO DE UNIDADES'!$B$2:$B$208,MATCH($G152,'MAESTRO DE UNIDADES'!$A$2:$A$208,0)),""))</f>
        <v/>
      </c>
      <c r="J152" s="4"/>
      <c r="K152" s="4"/>
      <c r="L152" s="4"/>
      <c r="M152" s="8" t="str">
        <f>IF($G152="","",IFERROR(INDEX('MAESTRO DE UNIDADES'!$H$2:$H$208,MATCH($G152,'MAESTRO DE UNIDADES'!$A$2:$A$208,0)),""))</f>
        <v/>
      </c>
      <c r="N152" s="25"/>
      <c r="O152" s="25"/>
      <c r="P152" s="26" t="str">
        <f t="shared" si="19"/>
        <v/>
      </c>
      <c r="Q152" s="27"/>
      <c r="R152" s="27"/>
      <c r="S152" s="28" t="str">
        <f>IF(OR($G152="",$Q152="",COUNTIF($G$2:G151,$G152)=0),"",$Q152-LOOKUP(2,1/($G$2:G151=$G152),$Q$2:Q151))</f>
        <v/>
      </c>
      <c r="T152" s="28" t="str">
        <f>IF(OR($G152="",$R152="",COUNTIF($G$2:G151,$G152)=0),"",$R152-LOOKUP(2,1/($G$2:G151=$G152),$R$2:R151))</f>
        <v/>
      </c>
      <c r="U152" s="11" t="str">
        <f t="shared" si="20"/>
        <v/>
      </c>
      <c r="V152" s="4"/>
      <c r="W152" s="4"/>
      <c r="X152" s="55"/>
      <c r="Y152" s="56" t="str">
        <f>IF($B152="","",IF((IF($G152="","Sin unidad | ","")&amp;IF($J152="","Sin responsable | ","")&amp;IF($K152="","Sin obra | ","")&amp;IF(AND($N152&lt;&gt;"",$G152&lt;&gt;"",$N152&gt;IFERROR(INDEX('MAESTRO DE UNIDADES'!$I$2:$I$208,MATCH($G152,'MAESTRO DE UNIDADES'!$A$2:$A$208,0)),0)),"Litros &gt; tanque | ","")&amp;IF(AND($W152&lt;&gt;"",COUNTIF($W$2:$W152,$W152)&gt;1),"Ticket duplicado | ","")&amp;IF(AND($G152&lt;&gt;"",IFERROR(INDEX('MAESTRO DE UNIDADES'!$L$2:$L$208,MATCH($G152,'MAESTRO DE UNIDADES'!$A$2:$A$208,0)),"")="Inactivo"),"Unidad inactiva | ","")&amp;IF(AND($AA152&lt;&gt;"",$N152=""),"Carga de batán sin litros | ","")&amp;IF(AND($AA152&lt;&gt;"",$AC152&lt;0),"Supera saldo batán | ",""))="","OK",LEFT((IF($G152="","Sin unidad | ","")&amp;IF($J152="","Sin responsable | ","")&amp;IF($K152="","Sin obra | ","")&amp;IF(AND($N152&lt;&gt;"",$G152&lt;&gt;"",$N152&gt;IFERROR(INDEX('MAESTRO DE UNIDADES'!$I$2:$I$208,MATCH($G152,'MAESTRO DE UNIDADES'!$A$2:$A$208,0)),0)),"Litros &gt; tanque | ","")&amp;IF(AND($W152&lt;&gt;"",COUNTIF($W$2:$W152,$W152)&gt;1),"Ticket duplicado | ","")&amp;IF(AND($G152&lt;&gt;"",IFERROR(INDEX('MAESTRO DE UNIDADES'!$L$2:$L$208,MATCH($G152,'MAESTRO DE UNIDADES'!$A$2:$A$208,0)),"")="Inactivo"),"Unidad inactiva | ","")&amp;IF(AND($AA152&lt;&gt;"",$N152=""),"Carga de batán sin litros | ","")&amp;IF(AND($AA152&lt;&gt;"",$AC152&lt;0),"Supera saldo batán | ","")),LEN((IF($G152="","Sin unidad | ","")&amp;IF($J152="","Sin responsable | ","")&amp;IF($K152="","Sin obra | ","")&amp;IF(AND($N152&lt;&gt;"",$G152&lt;&gt;"",$N152&gt;IFERROR(INDEX('MAESTRO DE UNIDADES'!$I$2:$I$208,MATCH($G152,'MAESTRO DE UNIDADES'!$A$2:$A$208,0)),0)),"Litros &gt; tanque | ","")&amp;IF(AND($W152&lt;&gt;"",COUNTIF($W$2:$W152,$W152)&gt;1),"Ticket duplicado | ","")&amp;IF(AND($G152&lt;&gt;"",IFERROR(INDEX('MAESTRO DE UNIDADES'!$L$2:$L$208,MATCH($G152,'MAESTRO DE UNIDADES'!$A$2:$A$208,0)),"")="Inactivo"),"Unidad inactiva | ","")&amp;IF(AND($AA152&lt;&gt;"",$N152=""),"Carga de batán sin litros | ","")&amp;IF(AND($AA152&lt;&gt;"",$AC152&lt;0),"Supera saldo batán | ","")))-3)))</f>
        <v/>
      </c>
      <c r="Z152" s="8" t="str">
        <f t="shared" si="21"/>
        <v/>
      </c>
      <c r="AA152" s="4"/>
      <c r="AB152" s="26" t="str">
        <f>IF($AA152="","",IFERROR(INDEX('CONTROL DE BATAN'!$J$2:$J$301,MATCH($AA152,'CONTROL DE BATAN'!$A$2:$A$301,0)),""))</f>
        <v/>
      </c>
      <c r="AC152" s="28" t="str">
        <f>IF($AA152="","",IFERROR(INDEX('CONTROL DE BATAN'!$I$2:$I$301,MATCH($AA152,'CONTROL DE BATAN'!$A$2:$A$301,0)),0)-SUMIFS($N$2:$N152,$AA$2:$AA152,$AA152))</f>
        <v/>
      </c>
    </row>
    <row r="153" spans="1:29" x14ac:dyDescent="0.25">
      <c r="A153" s="8" t="str">
        <f t="shared" si="15"/>
        <v/>
      </c>
      <c r="B153" s="9"/>
      <c r="C153" s="8" t="str">
        <f t="shared" si="16"/>
        <v/>
      </c>
      <c r="D153" s="10" t="str">
        <f t="shared" si="17"/>
        <v/>
      </c>
      <c r="E153" s="8" t="str">
        <f t="shared" si="18"/>
        <v/>
      </c>
      <c r="F153" s="8" t="str">
        <f>IF($G153="","",IFERROR(INDEX('MAESTRO DE UNIDADES'!$C$2:$C$208,MATCH($G153,'MAESTRO DE UNIDADES'!$A$2:$A$208,0)),""))</f>
        <v/>
      </c>
      <c r="G153" s="4"/>
      <c r="H153" s="8" t="str">
        <f>IF($G153="","",IFERROR(INDEX('MAESTRO DE UNIDADES'!$F$2:$F$208,MATCH($G153,'MAESTRO DE UNIDADES'!$A$2:$A$208,0)),""))</f>
        <v/>
      </c>
      <c r="I153" s="8" t="str">
        <f>IF($G153="","",IFERROR(INDEX('MAESTRO DE UNIDADES'!$B$2:$B$208,MATCH($G153,'MAESTRO DE UNIDADES'!$A$2:$A$208,0)),""))</f>
        <v/>
      </c>
      <c r="J153" s="4"/>
      <c r="K153" s="4"/>
      <c r="L153" s="4"/>
      <c r="M153" s="8" t="str">
        <f>IF($G153="","",IFERROR(INDEX('MAESTRO DE UNIDADES'!$H$2:$H$208,MATCH($G153,'MAESTRO DE UNIDADES'!$A$2:$A$208,0)),""))</f>
        <v/>
      </c>
      <c r="N153" s="25"/>
      <c r="O153" s="25"/>
      <c r="P153" s="26" t="str">
        <f t="shared" si="19"/>
        <v/>
      </c>
      <c r="Q153" s="27"/>
      <c r="R153" s="27"/>
      <c r="S153" s="28" t="str">
        <f>IF(OR($G153="",$Q153="",COUNTIF($G$2:G152,$G153)=0),"",$Q153-LOOKUP(2,1/($G$2:G152=$G153),$Q$2:Q152))</f>
        <v/>
      </c>
      <c r="T153" s="28" t="str">
        <f>IF(OR($G153="",$R153="",COUNTIF($G$2:G152,$G153)=0),"",$R153-LOOKUP(2,1/($G$2:G152=$G153),$R$2:R152))</f>
        <v/>
      </c>
      <c r="U153" s="11" t="str">
        <f t="shared" si="20"/>
        <v/>
      </c>
      <c r="V153" s="4"/>
      <c r="W153" s="4"/>
      <c r="X153" s="55"/>
      <c r="Y153" s="56" t="str">
        <f>IF($B153="","",IF((IF($G153="","Sin unidad | ","")&amp;IF($J153="","Sin responsable | ","")&amp;IF($K153="","Sin obra | ","")&amp;IF(AND($N153&lt;&gt;"",$G153&lt;&gt;"",$N153&gt;IFERROR(INDEX('MAESTRO DE UNIDADES'!$I$2:$I$208,MATCH($G153,'MAESTRO DE UNIDADES'!$A$2:$A$208,0)),0)),"Litros &gt; tanque | ","")&amp;IF(AND($W153&lt;&gt;"",COUNTIF($W$2:$W153,$W153)&gt;1),"Ticket duplicado | ","")&amp;IF(AND($G153&lt;&gt;"",IFERROR(INDEX('MAESTRO DE UNIDADES'!$L$2:$L$208,MATCH($G153,'MAESTRO DE UNIDADES'!$A$2:$A$208,0)),"")="Inactivo"),"Unidad inactiva | ","")&amp;IF(AND($AA153&lt;&gt;"",$N153=""),"Carga de batán sin litros | ","")&amp;IF(AND($AA153&lt;&gt;"",$AC153&lt;0),"Supera saldo batán | ",""))="","OK",LEFT((IF($G153="","Sin unidad | ","")&amp;IF($J153="","Sin responsable | ","")&amp;IF($K153="","Sin obra | ","")&amp;IF(AND($N153&lt;&gt;"",$G153&lt;&gt;"",$N153&gt;IFERROR(INDEX('MAESTRO DE UNIDADES'!$I$2:$I$208,MATCH($G153,'MAESTRO DE UNIDADES'!$A$2:$A$208,0)),0)),"Litros &gt; tanque | ","")&amp;IF(AND($W153&lt;&gt;"",COUNTIF($W$2:$W153,$W153)&gt;1),"Ticket duplicado | ","")&amp;IF(AND($G153&lt;&gt;"",IFERROR(INDEX('MAESTRO DE UNIDADES'!$L$2:$L$208,MATCH($G153,'MAESTRO DE UNIDADES'!$A$2:$A$208,0)),"")="Inactivo"),"Unidad inactiva | ","")&amp;IF(AND($AA153&lt;&gt;"",$N153=""),"Carga de batán sin litros | ","")&amp;IF(AND($AA153&lt;&gt;"",$AC153&lt;0),"Supera saldo batán | ","")),LEN((IF($G153="","Sin unidad | ","")&amp;IF($J153="","Sin responsable | ","")&amp;IF($K153="","Sin obra | ","")&amp;IF(AND($N153&lt;&gt;"",$G153&lt;&gt;"",$N153&gt;IFERROR(INDEX('MAESTRO DE UNIDADES'!$I$2:$I$208,MATCH($G153,'MAESTRO DE UNIDADES'!$A$2:$A$208,0)),0)),"Litros &gt; tanque | ","")&amp;IF(AND($W153&lt;&gt;"",COUNTIF($W$2:$W153,$W153)&gt;1),"Ticket duplicado | ","")&amp;IF(AND($G153&lt;&gt;"",IFERROR(INDEX('MAESTRO DE UNIDADES'!$L$2:$L$208,MATCH($G153,'MAESTRO DE UNIDADES'!$A$2:$A$208,0)),"")="Inactivo"),"Unidad inactiva | ","")&amp;IF(AND($AA153&lt;&gt;"",$N153=""),"Carga de batán sin litros | ","")&amp;IF(AND($AA153&lt;&gt;"",$AC153&lt;0),"Supera saldo batán | ","")))-3)))</f>
        <v/>
      </c>
      <c r="Z153" s="8" t="str">
        <f t="shared" si="21"/>
        <v/>
      </c>
      <c r="AA153" s="4"/>
      <c r="AB153" s="26" t="str">
        <f>IF($AA153="","",IFERROR(INDEX('CONTROL DE BATAN'!$J$2:$J$301,MATCH($AA153,'CONTROL DE BATAN'!$A$2:$A$301,0)),""))</f>
        <v/>
      </c>
      <c r="AC153" s="28" t="str">
        <f>IF($AA153="","",IFERROR(INDEX('CONTROL DE BATAN'!$I$2:$I$301,MATCH($AA153,'CONTROL DE BATAN'!$A$2:$A$301,0)),0)-SUMIFS($N$2:$N153,$AA$2:$AA153,$AA153))</f>
        <v/>
      </c>
    </row>
    <row r="154" spans="1:29" x14ac:dyDescent="0.25">
      <c r="A154" s="8" t="str">
        <f t="shared" si="15"/>
        <v/>
      </c>
      <c r="B154" s="9"/>
      <c r="C154" s="8" t="str">
        <f t="shared" si="16"/>
        <v/>
      </c>
      <c r="D154" s="10" t="str">
        <f t="shared" si="17"/>
        <v/>
      </c>
      <c r="E154" s="8" t="str">
        <f t="shared" si="18"/>
        <v/>
      </c>
      <c r="F154" s="8" t="str">
        <f>IF($G154="","",IFERROR(INDEX('MAESTRO DE UNIDADES'!$C$2:$C$208,MATCH($G154,'MAESTRO DE UNIDADES'!$A$2:$A$208,0)),""))</f>
        <v/>
      </c>
      <c r="G154" s="4"/>
      <c r="H154" s="8" t="str">
        <f>IF($G154="","",IFERROR(INDEX('MAESTRO DE UNIDADES'!$F$2:$F$208,MATCH($G154,'MAESTRO DE UNIDADES'!$A$2:$A$208,0)),""))</f>
        <v/>
      </c>
      <c r="I154" s="8" t="str">
        <f>IF($G154="","",IFERROR(INDEX('MAESTRO DE UNIDADES'!$B$2:$B$208,MATCH($G154,'MAESTRO DE UNIDADES'!$A$2:$A$208,0)),""))</f>
        <v/>
      </c>
      <c r="J154" s="4"/>
      <c r="K154" s="4"/>
      <c r="L154" s="4"/>
      <c r="M154" s="8" t="str">
        <f>IF($G154="","",IFERROR(INDEX('MAESTRO DE UNIDADES'!$H$2:$H$208,MATCH($G154,'MAESTRO DE UNIDADES'!$A$2:$A$208,0)),""))</f>
        <v/>
      </c>
      <c r="N154" s="25"/>
      <c r="O154" s="25"/>
      <c r="P154" s="26" t="str">
        <f t="shared" si="19"/>
        <v/>
      </c>
      <c r="Q154" s="27"/>
      <c r="R154" s="27"/>
      <c r="S154" s="28" t="str">
        <f>IF(OR($G154="",$Q154="",COUNTIF($G$2:G153,$G154)=0),"",$Q154-LOOKUP(2,1/($G$2:G153=$G154),$Q$2:Q153))</f>
        <v/>
      </c>
      <c r="T154" s="28" t="str">
        <f>IF(OR($G154="",$R154="",COUNTIF($G$2:G153,$G154)=0),"",$R154-LOOKUP(2,1/($G$2:G153=$G154),$R$2:R153))</f>
        <v/>
      </c>
      <c r="U154" s="11" t="str">
        <f t="shared" si="20"/>
        <v/>
      </c>
      <c r="V154" s="4"/>
      <c r="W154" s="4"/>
      <c r="X154" s="55"/>
      <c r="Y154" s="56" t="str">
        <f>IF($B154="","",IF((IF($G154="","Sin unidad | ","")&amp;IF($J154="","Sin responsable | ","")&amp;IF($K154="","Sin obra | ","")&amp;IF(AND($N154&lt;&gt;"",$G154&lt;&gt;"",$N154&gt;IFERROR(INDEX('MAESTRO DE UNIDADES'!$I$2:$I$208,MATCH($G154,'MAESTRO DE UNIDADES'!$A$2:$A$208,0)),0)),"Litros &gt; tanque | ","")&amp;IF(AND($W154&lt;&gt;"",COUNTIF($W$2:$W154,$W154)&gt;1),"Ticket duplicado | ","")&amp;IF(AND($G154&lt;&gt;"",IFERROR(INDEX('MAESTRO DE UNIDADES'!$L$2:$L$208,MATCH($G154,'MAESTRO DE UNIDADES'!$A$2:$A$208,0)),"")="Inactivo"),"Unidad inactiva | ","")&amp;IF(AND($AA154&lt;&gt;"",$N154=""),"Carga de batán sin litros | ","")&amp;IF(AND($AA154&lt;&gt;"",$AC154&lt;0),"Supera saldo batán | ",""))="","OK",LEFT((IF($G154="","Sin unidad | ","")&amp;IF($J154="","Sin responsable | ","")&amp;IF($K154="","Sin obra | ","")&amp;IF(AND($N154&lt;&gt;"",$G154&lt;&gt;"",$N154&gt;IFERROR(INDEX('MAESTRO DE UNIDADES'!$I$2:$I$208,MATCH($G154,'MAESTRO DE UNIDADES'!$A$2:$A$208,0)),0)),"Litros &gt; tanque | ","")&amp;IF(AND($W154&lt;&gt;"",COUNTIF($W$2:$W154,$W154)&gt;1),"Ticket duplicado | ","")&amp;IF(AND($G154&lt;&gt;"",IFERROR(INDEX('MAESTRO DE UNIDADES'!$L$2:$L$208,MATCH($G154,'MAESTRO DE UNIDADES'!$A$2:$A$208,0)),"")="Inactivo"),"Unidad inactiva | ","")&amp;IF(AND($AA154&lt;&gt;"",$N154=""),"Carga de batán sin litros | ","")&amp;IF(AND($AA154&lt;&gt;"",$AC154&lt;0),"Supera saldo batán | ","")),LEN((IF($G154="","Sin unidad | ","")&amp;IF($J154="","Sin responsable | ","")&amp;IF($K154="","Sin obra | ","")&amp;IF(AND($N154&lt;&gt;"",$G154&lt;&gt;"",$N154&gt;IFERROR(INDEX('MAESTRO DE UNIDADES'!$I$2:$I$208,MATCH($G154,'MAESTRO DE UNIDADES'!$A$2:$A$208,0)),0)),"Litros &gt; tanque | ","")&amp;IF(AND($W154&lt;&gt;"",COUNTIF($W$2:$W154,$W154)&gt;1),"Ticket duplicado | ","")&amp;IF(AND($G154&lt;&gt;"",IFERROR(INDEX('MAESTRO DE UNIDADES'!$L$2:$L$208,MATCH($G154,'MAESTRO DE UNIDADES'!$A$2:$A$208,0)),"")="Inactivo"),"Unidad inactiva | ","")&amp;IF(AND($AA154&lt;&gt;"",$N154=""),"Carga de batán sin litros | ","")&amp;IF(AND($AA154&lt;&gt;"",$AC154&lt;0),"Supera saldo batán | ","")))-3)))</f>
        <v/>
      </c>
      <c r="Z154" s="8" t="str">
        <f t="shared" si="21"/>
        <v/>
      </c>
      <c r="AA154" s="4"/>
      <c r="AB154" s="26" t="str">
        <f>IF($AA154="","",IFERROR(INDEX('CONTROL DE BATAN'!$J$2:$J$301,MATCH($AA154,'CONTROL DE BATAN'!$A$2:$A$301,0)),""))</f>
        <v/>
      </c>
      <c r="AC154" s="28" t="str">
        <f>IF($AA154="","",IFERROR(INDEX('CONTROL DE BATAN'!$I$2:$I$301,MATCH($AA154,'CONTROL DE BATAN'!$A$2:$A$301,0)),0)-SUMIFS($N$2:$N154,$AA$2:$AA154,$AA154))</f>
        <v/>
      </c>
    </row>
    <row r="155" spans="1:29" x14ac:dyDescent="0.25">
      <c r="A155" s="8" t="str">
        <f t="shared" si="15"/>
        <v/>
      </c>
      <c r="B155" s="9"/>
      <c r="C155" s="8" t="str">
        <f t="shared" si="16"/>
        <v/>
      </c>
      <c r="D155" s="10" t="str">
        <f t="shared" si="17"/>
        <v/>
      </c>
      <c r="E155" s="8" t="str">
        <f t="shared" si="18"/>
        <v/>
      </c>
      <c r="F155" s="8" t="str">
        <f>IF($G155="","",IFERROR(INDEX('MAESTRO DE UNIDADES'!$C$2:$C$208,MATCH($G155,'MAESTRO DE UNIDADES'!$A$2:$A$208,0)),""))</f>
        <v/>
      </c>
      <c r="G155" s="4"/>
      <c r="H155" s="8" t="str">
        <f>IF($G155="","",IFERROR(INDEX('MAESTRO DE UNIDADES'!$F$2:$F$208,MATCH($G155,'MAESTRO DE UNIDADES'!$A$2:$A$208,0)),""))</f>
        <v/>
      </c>
      <c r="I155" s="8" t="str">
        <f>IF($G155="","",IFERROR(INDEX('MAESTRO DE UNIDADES'!$B$2:$B$208,MATCH($G155,'MAESTRO DE UNIDADES'!$A$2:$A$208,0)),""))</f>
        <v/>
      </c>
      <c r="J155" s="4"/>
      <c r="K155" s="4"/>
      <c r="L155" s="4"/>
      <c r="M155" s="8" t="str">
        <f>IF($G155="","",IFERROR(INDEX('MAESTRO DE UNIDADES'!$H$2:$H$208,MATCH($G155,'MAESTRO DE UNIDADES'!$A$2:$A$208,0)),""))</f>
        <v/>
      </c>
      <c r="N155" s="25"/>
      <c r="O155" s="25"/>
      <c r="P155" s="26" t="str">
        <f t="shared" si="19"/>
        <v/>
      </c>
      <c r="Q155" s="27"/>
      <c r="R155" s="27"/>
      <c r="S155" s="28" t="str">
        <f>IF(OR($G155="",$Q155="",COUNTIF($G$2:G154,$G155)=0),"",$Q155-LOOKUP(2,1/($G$2:G154=$G155),$Q$2:Q154))</f>
        <v/>
      </c>
      <c r="T155" s="28" t="str">
        <f>IF(OR($G155="",$R155="",COUNTIF($G$2:G154,$G155)=0),"",$R155-LOOKUP(2,1/($G$2:G154=$G155),$R$2:R154))</f>
        <v/>
      </c>
      <c r="U155" s="11" t="str">
        <f t="shared" si="20"/>
        <v/>
      </c>
      <c r="V155" s="4"/>
      <c r="W155" s="4"/>
      <c r="X155" s="55"/>
      <c r="Y155" s="56" t="str">
        <f>IF($B155="","",IF((IF($G155="","Sin unidad | ","")&amp;IF($J155="","Sin responsable | ","")&amp;IF($K155="","Sin obra | ","")&amp;IF(AND($N155&lt;&gt;"",$G155&lt;&gt;"",$N155&gt;IFERROR(INDEX('MAESTRO DE UNIDADES'!$I$2:$I$208,MATCH($G155,'MAESTRO DE UNIDADES'!$A$2:$A$208,0)),0)),"Litros &gt; tanque | ","")&amp;IF(AND($W155&lt;&gt;"",COUNTIF($W$2:$W155,$W155)&gt;1),"Ticket duplicado | ","")&amp;IF(AND($G155&lt;&gt;"",IFERROR(INDEX('MAESTRO DE UNIDADES'!$L$2:$L$208,MATCH($G155,'MAESTRO DE UNIDADES'!$A$2:$A$208,0)),"")="Inactivo"),"Unidad inactiva | ","")&amp;IF(AND($AA155&lt;&gt;"",$N155=""),"Carga de batán sin litros | ","")&amp;IF(AND($AA155&lt;&gt;"",$AC155&lt;0),"Supera saldo batán | ",""))="","OK",LEFT((IF($G155="","Sin unidad | ","")&amp;IF($J155="","Sin responsable | ","")&amp;IF($K155="","Sin obra | ","")&amp;IF(AND($N155&lt;&gt;"",$G155&lt;&gt;"",$N155&gt;IFERROR(INDEX('MAESTRO DE UNIDADES'!$I$2:$I$208,MATCH($G155,'MAESTRO DE UNIDADES'!$A$2:$A$208,0)),0)),"Litros &gt; tanque | ","")&amp;IF(AND($W155&lt;&gt;"",COUNTIF($W$2:$W155,$W155)&gt;1),"Ticket duplicado | ","")&amp;IF(AND($G155&lt;&gt;"",IFERROR(INDEX('MAESTRO DE UNIDADES'!$L$2:$L$208,MATCH($G155,'MAESTRO DE UNIDADES'!$A$2:$A$208,0)),"")="Inactivo"),"Unidad inactiva | ","")&amp;IF(AND($AA155&lt;&gt;"",$N155=""),"Carga de batán sin litros | ","")&amp;IF(AND($AA155&lt;&gt;"",$AC155&lt;0),"Supera saldo batán | ","")),LEN((IF($G155="","Sin unidad | ","")&amp;IF($J155="","Sin responsable | ","")&amp;IF($K155="","Sin obra | ","")&amp;IF(AND($N155&lt;&gt;"",$G155&lt;&gt;"",$N155&gt;IFERROR(INDEX('MAESTRO DE UNIDADES'!$I$2:$I$208,MATCH($G155,'MAESTRO DE UNIDADES'!$A$2:$A$208,0)),0)),"Litros &gt; tanque | ","")&amp;IF(AND($W155&lt;&gt;"",COUNTIF($W$2:$W155,$W155)&gt;1),"Ticket duplicado | ","")&amp;IF(AND($G155&lt;&gt;"",IFERROR(INDEX('MAESTRO DE UNIDADES'!$L$2:$L$208,MATCH($G155,'MAESTRO DE UNIDADES'!$A$2:$A$208,0)),"")="Inactivo"),"Unidad inactiva | ","")&amp;IF(AND($AA155&lt;&gt;"",$N155=""),"Carga de batán sin litros | ","")&amp;IF(AND($AA155&lt;&gt;"",$AC155&lt;0),"Supera saldo batán | ","")))-3)))</f>
        <v/>
      </c>
      <c r="Z155" s="8" t="str">
        <f t="shared" si="21"/>
        <v/>
      </c>
      <c r="AA155" s="4"/>
      <c r="AB155" s="26" t="str">
        <f>IF($AA155="","",IFERROR(INDEX('CONTROL DE BATAN'!$J$2:$J$301,MATCH($AA155,'CONTROL DE BATAN'!$A$2:$A$301,0)),""))</f>
        <v/>
      </c>
      <c r="AC155" s="28" t="str">
        <f>IF($AA155="","",IFERROR(INDEX('CONTROL DE BATAN'!$I$2:$I$301,MATCH($AA155,'CONTROL DE BATAN'!$A$2:$A$301,0)),0)-SUMIFS($N$2:$N155,$AA$2:$AA155,$AA155))</f>
        <v/>
      </c>
    </row>
    <row r="156" spans="1:29" x14ac:dyDescent="0.25">
      <c r="A156" s="8" t="str">
        <f t="shared" si="15"/>
        <v/>
      </c>
      <c r="B156" s="9"/>
      <c r="C156" s="8" t="str">
        <f t="shared" si="16"/>
        <v/>
      </c>
      <c r="D156" s="10" t="str">
        <f t="shared" si="17"/>
        <v/>
      </c>
      <c r="E156" s="8" t="str">
        <f t="shared" si="18"/>
        <v/>
      </c>
      <c r="F156" s="8" t="str">
        <f>IF($G156="","",IFERROR(INDEX('MAESTRO DE UNIDADES'!$C$2:$C$208,MATCH($G156,'MAESTRO DE UNIDADES'!$A$2:$A$208,0)),""))</f>
        <v/>
      </c>
      <c r="G156" s="4"/>
      <c r="H156" s="8" t="str">
        <f>IF($G156="","",IFERROR(INDEX('MAESTRO DE UNIDADES'!$F$2:$F$208,MATCH($G156,'MAESTRO DE UNIDADES'!$A$2:$A$208,0)),""))</f>
        <v/>
      </c>
      <c r="I156" s="8" t="str">
        <f>IF($G156="","",IFERROR(INDEX('MAESTRO DE UNIDADES'!$B$2:$B$208,MATCH($G156,'MAESTRO DE UNIDADES'!$A$2:$A$208,0)),""))</f>
        <v/>
      </c>
      <c r="J156" s="4"/>
      <c r="K156" s="4"/>
      <c r="L156" s="4"/>
      <c r="M156" s="8" t="str">
        <f>IF($G156="","",IFERROR(INDEX('MAESTRO DE UNIDADES'!$H$2:$H$208,MATCH($G156,'MAESTRO DE UNIDADES'!$A$2:$A$208,0)),""))</f>
        <v/>
      </c>
      <c r="N156" s="25"/>
      <c r="O156" s="25"/>
      <c r="P156" s="26" t="str">
        <f t="shared" si="19"/>
        <v/>
      </c>
      <c r="Q156" s="27"/>
      <c r="R156" s="27"/>
      <c r="S156" s="28" t="str">
        <f>IF(OR($G156="",$Q156="",COUNTIF($G$2:G155,$G156)=0),"",$Q156-LOOKUP(2,1/($G$2:G155=$G156),$Q$2:Q155))</f>
        <v/>
      </c>
      <c r="T156" s="28" t="str">
        <f>IF(OR($G156="",$R156="",COUNTIF($G$2:G155,$G156)=0),"",$R156-LOOKUP(2,1/($G$2:G155=$G156),$R$2:R155))</f>
        <v/>
      </c>
      <c r="U156" s="11" t="str">
        <f t="shared" si="20"/>
        <v/>
      </c>
      <c r="V156" s="4"/>
      <c r="W156" s="4"/>
      <c r="X156" s="55"/>
      <c r="Y156" s="56" t="str">
        <f>IF($B156="","",IF((IF($G156="","Sin unidad | ","")&amp;IF($J156="","Sin responsable | ","")&amp;IF($K156="","Sin obra | ","")&amp;IF(AND($N156&lt;&gt;"",$G156&lt;&gt;"",$N156&gt;IFERROR(INDEX('MAESTRO DE UNIDADES'!$I$2:$I$208,MATCH($G156,'MAESTRO DE UNIDADES'!$A$2:$A$208,0)),0)),"Litros &gt; tanque | ","")&amp;IF(AND($W156&lt;&gt;"",COUNTIF($W$2:$W156,$W156)&gt;1),"Ticket duplicado | ","")&amp;IF(AND($G156&lt;&gt;"",IFERROR(INDEX('MAESTRO DE UNIDADES'!$L$2:$L$208,MATCH($G156,'MAESTRO DE UNIDADES'!$A$2:$A$208,0)),"")="Inactivo"),"Unidad inactiva | ","")&amp;IF(AND($AA156&lt;&gt;"",$N156=""),"Carga de batán sin litros | ","")&amp;IF(AND($AA156&lt;&gt;"",$AC156&lt;0),"Supera saldo batán | ",""))="","OK",LEFT((IF($G156="","Sin unidad | ","")&amp;IF($J156="","Sin responsable | ","")&amp;IF($K156="","Sin obra | ","")&amp;IF(AND($N156&lt;&gt;"",$G156&lt;&gt;"",$N156&gt;IFERROR(INDEX('MAESTRO DE UNIDADES'!$I$2:$I$208,MATCH($G156,'MAESTRO DE UNIDADES'!$A$2:$A$208,0)),0)),"Litros &gt; tanque | ","")&amp;IF(AND($W156&lt;&gt;"",COUNTIF($W$2:$W156,$W156)&gt;1),"Ticket duplicado | ","")&amp;IF(AND($G156&lt;&gt;"",IFERROR(INDEX('MAESTRO DE UNIDADES'!$L$2:$L$208,MATCH($G156,'MAESTRO DE UNIDADES'!$A$2:$A$208,0)),"")="Inactivo"),"Unidad inactiva | ","")&amp;IF(AND($AA156&lt;&gt;"",$N156=""),"Carga de batán sin litros | ","")&amp;IF(AND($AA156&lt;&gt;"",$AC156&lt;0),"Supera saldo batán | ","")),LEN((IF($G156="","Sin unidad | ","")&amp;IF($J156="","Sin responsable | ","")&amp;IF($K156="","Sin obra | ","")&amp;IF(AND($N156&lt;&gt;"",$G156&lt;&gt;"",$N156&gt;IFERROR(INDEX('MAESTRO DE UNIDADES'!$I$2:$I$208,MATCH($G156,'MAESTRO DE UNIDADES'!$A$2:$A$208,0)),0)),"Litros &gt; tanque | ","")&amp;IF(AND($W156&lt;&gt;"",COUNTIF($W$2:$W156,$W156)&gt;1),"Ticket duplicado | ","")&amp;IF(AND($G156&lt;&gt;"",IFERROR(INDEX('MAESTRO DE UNIDADES'!$L$2:$L$208,MATCH($G156,'MAESTRO DE UNIDADES'!$A$2:$A$208,0)),"")="Inactivo"),"Unidad inactiva | ","")&amp;IF(AND($AA156&lt;&gt;"",$N156=""),"Carga de batán sin litros | ","")&amp;IF(AND($AA156&lt;&gt;"",$AC156&lt;0),"Supera saldo batán | ","")))-3)))</f>
        <v/>
      </c>
      <c r="Z156" s="8" t="str">
        <f t="shared" si="21"/>
        <v/>
      </c>
      <c r="AA156" s="4"/>
      <c r="AB156" s="26" t="str">
        <f>IF($AA156="","",IFERROR(INDEX('CONTROL DE BATAN'!$J$2:$J$301,MATCH($AA156,'CONTROL DE BATAN'!$A$2:$A$301,0)),""))</f>
        <v/>
      </c>
      <c r="AC156" s="28" t="str">
        <f>IF($AA156="","",IFERROR(INDEX('CONTROL DE BATAN'!$I$2:$I$301,MATCH($AA156,'CONTROL DE BATAN'!$A$2:$A$301,0)),0)-SUMIFS($N$2:$N156,$AA$2:$AA156,$AA156))</f>
        <v/>
      </c>
    </row>
    <row r="157" spans="1:29" x14ac:dyDescent="0.25">
      <c r="A157" s="8" t="str">
        <f t="shared" si="15"/>
        <v/>
      </c>
      <c r="B157" s="9"/>
      <c r="C157" s="8" t="str">
        <f t="shared" si="16"/>
        <v/>
      </c>
      <c r="D157" s="10" t="str">
        <f t="shared" si="17"/>
        <v/>
      </c>
      <c r="E157" s="8" t="str">
        <f t="shared" si="18"/>
        <v/>
      </c>
      <c r="F157" s="8" t="str">
        <f>IF($G157="","",IFERROR(INDEX('MAESTRO DE UNIDADES'!$C$2:$C$208,MATCH($G157,'MAESTRO DE UNIDADES'!$A$2:$A$208,0)),""))</f>
        <v/>
      </c>
      <c r="G157" s="4"/>
      <c r="H157" s="8" t="str">
        <f>IF($G157="","",IFERROR(INDEX('MAESTRO DE UNIDADES'!$F$2:$F$208,MATCH($G157,'MAESTRO DE UNIDADES'!$A$2:$A$208,0)),""))</f>
        <v/>
      </c>
      <c r="I157" s="8" t="str">
        <f>IF($G157="","",IFERROR(INDEX('MAESTRO DE UNIDADES'!$B$2:$B$208,MATCH($G157,'MAESTRO DE UNIDADES'!$A$2:$A$208,0)),""))</f>
        <v/>
      </c>
      <c r="J157" s="4"/>
      <c r="K157" s="4"/>
      <c r="L157" s="4"/>
      <c r="M157" s="8" t="str">
        <f>IF($G157="","",IFERROR(INDEX('MAESTRO DE UNIDADES'!$H$2:$H$208,MATCH($G157,'MAESTRO DE UNIDADES'!$A$2:$A$208,0)),""))</f>
        <v/>
      </c>
      <c r="N157" s="25"/>
      <c r="O157" s="25"/>
      <c r="P157" s="26" t="str">
        <f t="shared" si="19"/>
        <v/>
      </c>
      <c r="Q157" s="27"/>
      <c r="R157" s="27"/>
      <c r="S157" s="28" t="str">
        <f>IF(OR($G157="",$Q157="",COUNTIF($G$2:G156,$G157)=0),"",$Q157-LOOKUP(2,1/($G$2:G156=$G157),$Q$2:Q156))</f>
        <v/>
      </c>
      <c r="T157" s="28" t="str">
        <f>IF(OR($G157="",$R157="",COUNTIF($G$2:G156,$G157)=0),"",$R157-LOOKUP(2,1/($G$2:G156=$G157),$R$2:R156))</f>
        <v/>
      </c>
      <c r="U157" s="11" t="str">
        <f t="shared" si="20"/>
        <v/>
      </c>
      <c r="V157" s="4"/>
      <c r="W157" s="4"/>
      <c r="X157" s="55"/>
      <c r="Y157" s="56" t="str">
        <f>IF($B157="","",IF((IF($G157="","Sin unidad | ","")&amp;IF($J157="","Sin responsable | ","")&amp;IF($K157="","Sin obra | ","")&amp;IF(AND($N157&lt;&gt;"",$G157&lt;&gt;"",$N157&gt;IFERROR(INDEX('MAESTRO DE UNIDADES'!$I$2:$I$208,MATCH($G157,'MAESTRO DE UNIDADES'!$A$2:$A$208,0)),0)),"Litros &gt; tanque | ","")&amp;IF(AND($W157&lt;&gt;"",COUNTIF($W$2:$W157,$W157)&gt;1),"Ticket duplicado | ","")&amp;IF(AND($G157&lt;&gt;"",IFERROR(INDEX('MAESTRO DE UNIDADES'!$L$2:$L$208,MATCH($G157,'MAESTRO DE UNIDADES'!$A$2:$A$208,0)),"")="Inactivo"),"Unidad inactiva | ","")&amp;IF(AND($AA157&lt;&gt;"",$N157=""),"Carga de batán sin litros | ","")&amp;IF(AND($AA157&lt;&gt;"",$AC157&lt;0),"Supera saldo batán | ",""))="","OK",LEFT((IF($G157="","Sin unidad | ","")&amp;IF($J157="","Sin responsable | ","")&amp;IF($K157="","Sin obra | ","")&amp;IF(AND($N157&lt;&gt;"",$G157&lt;&gt;"",$N157&gt;IFERROR(INDEX('MAESTRO DE UNIDADES'!$I$2:$I$208,MATCH($G157,'MAESTRO DE UNIDADES'!$A$2:$A$208,0)),0)),"Litros &gt; tanque | ","")&amp;IF(AND($W157&lt;&gt;"",COUNTIF($W$2:$W157,$W157)&gt;1),"Ticket duplicado | ","")&amp;IF(AND($G157&lt;&gt;"",IFERROR(INDEX('MAESTRO DE UNIDADES'!$L$2:$L$208,MATCH($G157,'MAESTRO DE UNIDADES'!$A$2:$A$208,0)),"")="Inactivo"),"Unidad inactiva | ","")&amp;IF(AND($AA157&lt;&gt;"",$N157=""),"Carga de batán sin litros | ","")&amp;IF(AND($AA157&lt;&gt;"",$AC157&lt;0),"Supera saldo batán | ","")),LEN((IF($G157="","Sin unidad | ","")&amp;IF($J157="","Sin responsable | ","")&amp;IF($K157="","Sin obra | ","")&amp;IF(AND($N157&lt;&gt;"",$G157&lt;&gt;"",$N157&gt;IFERROR(INDEX('MAESTRO DE UNIDADES'!$I$2:$I$208,MATCH($G157,'MAESTRO DE UNIDADES'!$A$2:$A$208,0)),0)),"Litros &gt; tanque | ","")&amp;IF(AND($W157&lt;&gt;"",COUNTIF($W$2:$W157,$W157)&gt;1),"Ticket duplicado | ","")&amp;IF(AND($G157&lt;&gt;"",IFERROR(INDEX('MAESTRO DE UNIDADES'!$L$2:$L$208,MATCH($G157,'MAESTRO DE UNIDADES'!$A$2:$A$208,0)),"")="Inactivo"),"Unidad inactiva | ","")&amp;IF(AND($AA157&lt;&gt;"",$N157=""),"Carga de batán sin litros | ","")&amp;IF(AND($AA157&lt;&gt;"",$AC157&lt;0),"Supera saldo batán | ","")))-3)))</f>
        <v/>
      </c>
      <c r="Z157" s="8" t="str">
        <f t="shared" si="21"/>
        <v/>
      </c>
      <c r="AA157" s="4"/>
      <c r="AB157" s="26" t="str">
        <f>IF($AA157="","",IFERROR(INDEX('CONTROL DE BATAN'!$J$2:$J$301,MATCH($AA157,'CONTROL DE BATAN'!$A$2:$A$301,0)),""))</f>
        <v/>
      </c>
      <c r="AC157" s="28" t="str">
        <f>IF($AA157="","",IFERROR(INDEX('CONTROL DE BATAN'!$I$2:$I$301,MATCH($AA157,'CONTROL DE BATAN'!$A$2:$A$301,0)),0)-SUMIFS($N$2:$N157,$AA$2:$AA157,$AA157))</f>
        <v/>
      </c>
    </row>
    <row r="158" spans="1:29" x14ac:dyDescent="0.25">
      <c r="A158" s="8" t="str">
        <f t="shared" si="15"/>
        <v/>
      </c>
      <c r="B158" s="9"/>
      <c r="C158" s="8" t="str">
        <f t="shared" si="16"/>
        <v/>
      </c>
      <c r="D158" s="10" t="str">
        <f t="shared" si="17"/>
        <v/>
      </c>
      <c r="E158" s="8" t="str">
        <f t="shared" si="18"/>
        <v/>
      </c>
      <c r="F158" s="8" t="str">
        <f>IF($G158="","",IFERROR(INDEX('MAESTRO DE UNIDADES'!$C$2:$C$208,MATCH($G158,'MAESTRO DE UNIDADES'!$A$2:$A$208,0)),""))</f>
        <v/>
      </c>
      <c r="G158" s="4"/>
      <c r="H158" s="8" t="str">
        <f>IF($G158="","",IFERROR(INDEX('MAESTRO DE UNIDADES'!$F$2:$F$208,MATCH($G158,'MAESTRO DE UNIDADES'!$A$2:$A$208,0)),""))</f>
        <v/>
      </c>
      <c r="I158" s="8" t="str">
        <f>IF($G158="","",IFERROR(INDEX('MAESTRO DE UNIDADES'!$B$2:$B$208,MATCH($G158,'MAESTRO DE UNIDADES'!$A$2:$A$208,0)),""))</f>
        <v/>
      </c>
      <c r="J158" s="4"/>
      <c r="K158" s="4"/>
      <c r="L158" s="4"/>
      <c r="M158" s="8" t="str">
        <f>IF($G158="","",IFERROR(INDEX('MAESTRO DE UNIDADES'!$H$2:$H$208,MATCH($G158,'MAESTRO DE UNIDADES'!$A$2:$A$208,0)),""))</f>
        <v/>
      </c>
      <c r="N158" s="25"/>
      <c r="O158" s="25"/>
      <c r="P158" s="26" t="str">
        <f t="shared" si="19"/>
        <v/>
      </c>
      <c r="Q158" s="27"/>
      <c r="R158" s="27"/>
      <c r="S158" s="28" t="str">
        <f>IF(OR($G158="",$Q158="",COUNTIF($G$2:G157,$G158)=0),"",$Q158-LOOKUP(2,1/($G$2:G157=$G158),$Q$2:Q157))</f>
        <v/>
      </c>
      <c r="T158" s="28" t="str">
        <f>IF(OR($G158="",$R158="",COUNTIF($G$2:G157,$G158)=0),"",$R158-LOOKUP(2,1/($G$2:G157=$G158),$R$2:R157))</f>
        <v/>
      </c>
      <c r="U158" s="11" t="str">
        <f t="shared" si="20"/>
        <v/>
      </c>
      <c r="V158" s="4"/>
      <c r="W158" s="4"/>
      <c r="X158" s="55"/>
      <c r="Y158" s="56" t="str">
        <f>IF($B158="","",IF((IF($G158="","Sin unidad | ","")&amp;IF($J158="","Sin responsable | ","")&amp;IF($K158="","Sin obra | ","")&amp;IF(AND($N158&lt;&gt;"",$G158&lt;&gt;"",$N158&gt;IFERROR(INDEX('MAESTRO DE UNIDADES'!$I$2:$I$208,MATCH($G158,'MAESTRO DE UNIDADES'!$A$2:$A$208,0)),0)),"Litros &gt; tanque | ","")&amp;IF(AND($W158&lt;&gt;"",COUNTIF($W$2:$W158,$W158)&gt;1),"Ticket duplicado | ","")&amp;IF(AND($G158&lt;&gt;"",IFERROR(INDEX('MAESTRO DE UNIDADES'!$L$2:$L$208,MATCH($G158,'MAESTRO DE UNIDADES'!$A$2:$A$208,0)),"")="Inactivo"),"Unidad inactiva | ","")&amp;IF(AND($AA158&lt;&gt;"",$N158=""),"Carga de batán sin litros | ","")&amp;IF(AND($AA158&lt;&gt;"",$AC158&lt;0),"Supera saldo batán | ",""))="","OK",LEFT((IF($G158="","Sin unidad | ","")&amp;IF($J158="","Sin responsable | ","")&amp;IF($K158="","Sin obra | ","")&amp;IF(AND($N158&lt;&gt;"",$G158&lt;&gt;"",$N158&gt;IFERROR(INDEX('MAESTRO DE UNIDADES'!$I$2:$I$208,MATCH($G158,'MAESTRO DE UNIDADES'!$A$2:$A$208,0)),0)),"Litros &gt; tanque | ","")&amp;IF(AND($W158&lt;&gt;"",COUNTIF($W$2:$W158,$W158)&gt;1),"Ticket duplicado | ","")&amp;IF(AND($G158&lt;&gt;"",IFERROR(INDEX('MAESTRO DE UNIDADES'!$L$2:$L$208,MATCH($G158,'MAESTRO DE UNIDADES'!$A$2:$A$208,0)),"")="Inactivo"),"Unidad inactiva | ","")&amp;IF(AND($AA158&lt;&gt;"",$N158=""),"Carga de batán sin litros | ","")&amp;IF(AND($AA158&lt;&gt;"",$AC158&lt;0),"Supera saldo batán | ","")),LEN((IF($G158="","Sin unidad | ","")&amp;IF($J158="","Sin responsable | ","")&amp;IF($K158="","Sin obra | ","")&amp;IF(AND($N158&lt;&gt;"",$G158&lt;&gt;"",$N158&gt;IFERROR(INDEX('MAESTRO DE UNIDADES'!$I$2:$I$208,MATCH($G158,'MAESTRO DE UNIDADES'!$A$2:$A$208,0)),0)),"Litros &gt; tanque | ","")&amp;IF(AND($W158&lt;&gt;"",COUNTIF($W$2:$W158,$W158)&gt;1),"Ticket duplicado | ","")&amp;IF(AND($G158&lt;&gt;"",IFERROR(INDEX('MAESTRO DE UNIDADES'!$L$2:$L$208,MATCH($G158,'MAESTRO DE UNIDADES'!$A$2:$A$208,0)),"")="Inactivo"),"Unidad inactiva | ","")&amp;IF(AND($AA158&lt;&gt;"",$N158=""),"Carga de batán sin litros | ","")&amp;IF(AND($AA158&lt;&gt;"",$AC158&lt;0),"Supera saldo batán | ","")))-3)))</f>
        <v/>
      </c>
      <c r="Z158" s="8" t="str">
        <f t="shared" si="21"/>
        <v/>
      </c>
      <c r="AA158" s="4"/>
      <c r="AB158" s="26" t="str">
        <f>IF($AA158="","",IFERROR(INDEX('CONTROL DE BATAN'!$J$2:$J$301,MATCH($AA158,'CONTROL DE BATAN'!$A$2:$A$301,0)),""))</f>
        <v/>
      </c>
      <c r="AC158" s="28" t="str">
        <f>IF($AA158="","",IFERROR(INDEX('CONTROL DE BATAN'!$I$2:$I$301,MATCH($AA158,'CONTROL DE BATAN'!$A$2:$A$301,0)),0)-SUMIFS($N$2:$N158,$AA$2:$AA158,$AA158))</f>
        <v/>
      </c>
    </row>
    <row r="159" spans="1:29" x14ac:dyDescent="0.25">
      <c r="A159" s="8" t="str">
        <f t="shared" si="15"/>
        <v/>
      </c>
      <c r="B159" s="9"/>
      <c r="C159" s="8" t="str">
        <f t="shared" si="16"/>
        <v/>
      </c>
      <c r="D159" s="10" t="str">
        <f t="shared" si="17"/>
        <v/>
      </c>
      <c r="E159" s="8" t="str">
        <f t="shared" si="18"/>
        <v/>
      </c>
      <c r="F159" s="8" t="str">
        <f>IF($G159="","",IFERROR(INDEX('MAESTRO DE UNIDADES'!$C$2:$C$208,MATCH($G159,'MAESTRO DE UNIDADES'!$A$2:$A$208,0)),""))</f>
        <v/>
      </c>
      <c r="G159" s="4"/>
      <c r="H159" s="8" t="str">
        <f>IF($G159="","",IFERROR(INDEX('MAESTRO DE UNIDADES'!$F$2:$F$208,MATCH($G159,'MAESTRO DE UNIDADES'!$A$2:$A$208,0)),""))</f>
        <v/>
      </c>
      <c r="I159" s="8" t="str">
        <f>IF($G159="","",IFERROR(INDEX('MAESTRO DE UNIDADES'!$B$2:$B$208,MATCH($G159,'MAESTRO DE UNIDADES'!$A$2:$A$208,0)),""))</f>
        <v/>
      </c>
      <c r="J159" s="4"/>
      <c r="K159" s="4"/>
      <c r="L159" s="4"/>
      <c r="M159" s="8" t="str">
        <f>IF($G159="","",IFERROR(INDEX('MAESTRO DE UNIDADES'!$H$2:$H$208,MATCH($G159,'MAESTRO DE UNIDADES'!$A$2:$A$208,0)),""))</f>
        <v/>
      </c>
      <c r="N159" s="25"/>
      <c r="O159" s="25"/>
      <c r="P159" s="26" t="str">
        <f t="shared" si="19"/>
        <v/>
      </c>
      <c r="Q159" s="27"/>
      <c r="R159" s="27"/>
      <c r="S159" s="28" t="str">
        <f>IF(OR($G159="",$Q159="",COUNTIF($G$2:G158,$G159)=0),"",$Q159-LOOKUP(2,1/($G$2:G158=$G159),$Q$2:Q158))</f>
        <v/>
      </c>
      <c r="T159" s="28" t="str">
        <f>IF(OR($G159="",$R159="",COUNTIF($G$2:G158,$G159)=0),"",$R159-LOOKUP(2,1/($G$2:G158=$G159),$R$2:R158))</f>
        <v/>
      </c>
      <c r="U159" s="11" t="str">
        <f t="shared" si="20"/>
        <v/>
      </c>
      <c r="V159" s="4"/>
      <c r="W159" s="4"/>
      <c r="X159" s="55"/>
      <c r="Y159" s="56" t="str">
        <f>IF($B159="","",IF((IF($G159="","Sin unidad | ","")&amp;IF($J159="","Sin responsable | ","")&amp;IF($K159="","Sin obra | ","")&amp;IF(AND($N159&lt;&gt;"",$G159&lt;&gt;"",$N159&gt;IFERROR(INDEX('MAESTRO DE UNIDADES'!$I$2:$I$208,MATCH($G159,'MAESTRO DE UNIDADES'!$A$2:$A$208,0)),0)),"Litros &gt; tanque | ","")&amp;IF(AND($W159&lt;&gt;"",COUNTIF($W$2:$W159,$W159)&gt;1),"Ticket duplicado | ","")&amp;IF(AND($G159&lt;&gt;"",IFERROR(INDEX('MAESTRO DE UNIDADES'!$L$2:$L$208,MATCH($G159,'MAESTRO DE UNIDADES'!$A$2:$A$208,0)),"")="Inactivo"),"Unidad inactiva | ","")&amp;IF(AND($AA159&lt;&gt;"",$N159=""),"Carga de batán sin litros | ","")&amp;IF(AND($AA159&lt;&gt;"",$AC159&lt;0),"Supera saldo batán | ",""))="","OK",LEFT((IF($G159="","Sin unidad | ","")&amp;IF($J159="","Sin responsable | ","")&amp;IF($K159="","Sin obra | ","")&amp;IF(AND($N159&lt;&gt;"",$G159&lt;&gt;"",$N159&gt;IFERROR(INDEX('MAESTRO DE UNIDADES'!$I$2:$I$208,MATCH($G159,'MAESTRO DE UNIDADES'!$A$2:$A$208,0)),0)),"Litros &gt; tanque | ","")&amp;IF(AND($W159&lt;&gt;"",COUNTIF($W$2:$W159,$W159)&gt;1),"Ticket duplicado | ","")&amp;IF(AND($G159&lt;&gt;"",IFERROR(INDEX('MAESTRO DE UNIDADES'!$L$2:$L$208,MATCH($G159,'MAESTRO DE UNIDADES'!$A$2:$A$208,0)),"")="Inactivo"),"Unidad inactiva | ","")&amp;IF(AND($AA159&lt;&gt;"",$N159=""),"Carga de batán sin litros | ","")&amp;IF(AND($AA159&lt;&gt;"",$AC159&lt;0),"Supera saldo batán | ","")),LEN((IF($G159="","Sin unidad | ","")&amp;IF($J159="","Sin responsable | ","")&amp;IF($K159="","Sin obra | ","")&amp;IF(AND($N159&lt;&gt;"",$G159&lt;&gt;"",$N159&gt;IFERROR(INDEX('MAESTRO DE UNIDADES'!$I$2:$I$208,MATCH($G159,'MAESTRO DE UNIDADES'!$A$2:$A$208,0)),0)),"Litros &gt; tanque | ","")&amp;IF(AND($W159&lt;&gt;"",COUNTIF($W$2:$W159,$W159)&gt;1),"Ticket duplicado | ","")&amp;IF(AND($G159&lt;&gt;"",IFERROR(INDEX('MAESTRO DE UNIDADES'!$L$2:$L$208,MATCH($G159,'MAESTRO DE UNIDADES'!$A$2:$A$208,0)),"")="Inactivo"),"Unidad inactiva | ","")&amp;IF(AND($AA159&lt;&gt;"",$N159=""),"Carga de batán sin litros | ","")&amp;IF(AND($AA159&lt;&gt;"",$AC159&lt;0),"Supera saldo batán | ","")))-3)))</f>
        <v/>
      </c>
      <c r="Z159" s="8" t="str">
        <f t="shared" si="21"/>
        <v/>
      </c>
      <c r="AA159" s="4"/>
      <c r="AB159" s="26" t="str">
        <f>IF($AA159="","",IFERROR(INDEX('CONTROL DE BATAN'!$J$2:$J$301,MATCH($AA159,'CONTROL DE BATAN'!$A$2:$A$301,0)),""))</f>
        <v/>
      </c>
      <c r="AC159" s="28" t="str">
        <f>IF($AA159="","",IFERROR(INDEX('CONTROL DE BATAN'!$I$2:$I$301,MATCH($AA159,'CONTROL DE BATAN'!$A$2:$A$301,0)),0)-SUMIFS($N$2:$N159,$AA$2:$AA159,$AA159))</f>
        <v/>
      </c>
    </row>
    <row r="160" spans="1:29" x14ac:dyDescent="0.25">
      <c r="A160" s="8" t="str">
        <f t="shared" si="15"/>
        <v/>
      </c>
      <c r="B160" s="9"/>
      <c r="C160" s="8" t="str">
        <f t="shared" si="16"/>
        <v/>
      </c>
      <c r="D160" s="10" t="str">
        <f t="shared" si="17"/>
        <v/>
      </c>
      <c r="E160" s="8" t="str">
        <f t="shared" si="18"/>
        <v/>
      </c>
      <c r="F160" s="8" t="str">
        <f>IF($G160="","",IFERROR(INDEX('MAESTRO DE UNIDADES'!$C$2:$C$208,MATCH($G160,'MAESTRO DE UNIDADES'!$A$2:$A$208,0)),""))</f>
        <v/>
      </c>
      <c r="G160" s="4"/>
      <c r="H160" s="8" t="str">
        <f>IF($G160="","",IFERROR(INDEX('MAESTRO DE UNIDADES'!$F$2:$F$208,MATCH($G160,'MAESTRO DE UNIDADES'!$A$2:$A$208,0)),""))</f>
        <v/>
      </c>
      <c r="I160" s="8" t="str">
        <f>IF($G160="","",IFERROR(INDEX('MAESTRO DE UNIDADES'!$B$2:$B$208,MATCH($G160,'MAESTRO DE UNIDADES'!$A$2:$A$208,0)),""))</f>
        <v/>
      </c>
      <c r="J160" s="4"/>
      <c r="K160" s="4"/>
      <c r="L160" s="4"/>
      <c r="M160" s="8" t="str">
        <f>IF($G160="","",IFERROR(INDEX('MAESTRO DE UNIDADES'!$H$2:$H$208,MATCH($G160,'MAESTRO DE UNIDADES'!$A$2:$A$208,0)),""))</f>
        <v/>
      </c>
      <c r="N160" s="25"/>
      <c r="O160" s="25"/>
      <c r="P160" s="26" t="str">
        <f t="shared" si="19"/>
        <v/>
      </c>
      <c r="Q160" s="27"/>
      <c r="R160" s="27"/>
      <c r="S160" s="28" t="str">
        <f>IF(OR($G160="",$Q160="",COUNTIF($G$2:G159,$G160)=0),"",$Q160-LOOKUP(2,1/($G$2:G159=$G160),$Q$2:Q159))</f>
        <v/>
      </c>
      <c r="T160" s="28" t="str">
        <f>IF(OR($G160="",$R160="",COUNTIF($G$2:G159,$G160)=0),"",$R160-LOOKUP(2,1/($G$2:G159=$G160),$R$2:R159))</f>
        <v/>
      </c>
      <c r="U160" s="11" t="str">
        <f t="shared" si="20"/>
        <v/>
      </c>
      <c r="V160" s="4"/>
      <c r="W160" s="4"/>
      <c r="X160" s="55"/>
      <c r="Y160" s="56" t="str">
        <f>IF($B160="","",IF((IF($G160="","Sin unidad | ","")&amp;IF($J160="","Sin responsable | ","")&amp;IF($K160="","Sin obra | ","")&amp;IF(AND($N160&lt;&gt;"",$G160&lt;&gt;"",$N160&gt;IFERROR(INDEX('MAESTRO DE UNIDADES'!$I$2:$I$208,MATCH($G160,'MAESTRO DE UNIDADES'!$A$2:$A$208,0)),0)),"Litros &gt; tanque | ","")&amp;IF(AND($W160&lt;&gt;"",COUNTIF($W$2:$W160,$W160)&gt;1),"Ticket duplicado | ","")&amp;IF(AND($G160&lt;&gt;"",IFERROR(INDEX('MAESTRO DE UNIDADES'!$L$2:$L$208,MATCH($G160,'MAESTRO DE UNIDADES'!$A$2:$A$208,0)),"")="Inactivo"),"Unidad inactiva | ","")&amp;IF(AND($AA160&lt;&gt;"",$N160=""),"Carga de batán sin litros | ","")&amp;IF(AND($AA160&lt;&gt;"",$AC160&lt;0),"Supera saldo batán | ",""))="","OK",LEFT((IF($G160="","Sin unidad | ","")&amp;IF($J160="","Sin responsable | ","")&amp;IF($K160="","Sin obra | ","")&amp;IF(AND($N160&lt;&gt;"",$G160&lt;&gt;"",$N160&gt;IFERROR(INDEX('MAESTRO DE UNIDADES'!$I$2:$I$208,MATCH($G160,'MAESTRO DE UNIDADES'!$A$2:$A$208,0)),0)),"Litros &gt; tanque | ","")&amp;IF(AND($W160&lt;&gt;"",COUNTIF($W$2:$W160,$W160)&gt;1),"Ticket duplicado | ","")&amp;IF(AND($G160&lt;&gt;"",IFERROR(INDEX('MAESTRO DE UNIDADES'!$L$2:$L$208,MATCH($G160,'MAESTRO DE UNIDADES'!$A$2:$A$208,0)),"")="Inactivo"),"Unidad inactiva | ","")&amp;IF(AND($AA160&lt;&gt;"",$N160=""),"Carga de batán sin litros | ","")&amp;IF(AND($AA160&lt;&gt;"",$AC160&lt;0),"Supera saldo batán | ","")),LEN((IF($G160="","Sin unidad | ","")&amp;IF($J160="","Sin responsable | ","")&amp;IF($K160="","Sin obra | ","")&amp;IF(AND($N160&lt;&gt;"",$G160&lt;&gt;"",$N160&gt;IFERROR(INDEX('MAESTRO DE UNIDADES'!$I$2:$I$208,MATCH($G160,'MAESTRO DE UNIDADES'!$A$2:$A$208,0)),0)),"Litros &gt; tanque | ","")&amp;IF(AND($W160&lt;&gt;"",COUNTIF($W$2:$W160,$W160)&gt;1),"Ticket duplicado | ","")&amp;IF(AND($G160&lt;&gt;"",IFERROR(INDEX('MAESTRO DE UNIDADES'!$L$2:$L$208,MATCH($G160,'MAESTRO DE UNIDADES'!$A$2:$A$208,0)),"")="Inactivo"),"Unidad inactiva | ","")&amp;IF(AND($AA160&lt;&gt;"",$N160=""),"Carga de batán sin litros | ","")&amp;IF(AND($AA160&lt;&gt;"",$AC160&lt;0),"Supera saldo batán | ","")))-3)))</f>
        <v/>
      </c>
      <c r="Z160" s="8" t="str">
        <f t="shared" si="21"/>
        <v/>
      </c>
      <c r="AA160" s="4"/>
      <c r="AB160" s="26" t="str">
        <f>IF($AA160="","",IFERROR(INDEX('CONTROL DE BATAN'!$J$2:$J$301,MATCH($AA160,'CONTROL DE BATAN'!$A$2:$A$301,0)),""))</f>
        <v/>
      </c>
      <c r="AC160" s="28" t="str">
        <f>IF($AA160="","",IFERROR(INDEX('CONTROL DE BATAN'!$I$2:$I$301,MATCH($AA160,'CONTROL DE BATAN'!$A$2:$A$301,0)),0)-SUMIFS($N$2:$N160,$AA$2:$AA160,$AA160))</f>
        <v/>
      </c>
    </row>
    <row r="161" spans="1:29" x14ac:dyDescent="0.25">
      <c r="A161" s="8" t="str">
        <f t="shared" si="15"/>
        <v/>
      </c>
      <c r="B161" s="9"/>
      <c r="C161" s="8" t="str">
        <f t="shared" si="16"/>
        <v/>
      </c>
      <c r="D161" s="10" t="str">
        <f t="shared" si="17"/>
        <v/>
      </c>
      <c r="E161" s="8" t="str">
        <f t="shared" si="18"/>
        <v/>
      </c>
      <c r="F161" s="8" t="str">
        <f>IF($G161="","",IFERROR(INDEX('MAESTRO DE UNIDADES'!$C$2:$C$208,MATCH($G161,'MAESTRO DE UNIDADES'!$A$2:$A$208,0)),""))</f>
        <v/>
      </c>
      <c r="G161" s="4"/>
      <c r="H161" s="8" t="str">
        <f>IF($G161="","",IFERROR(INDEX('MAESTRO DE UNIDADES'!$F$2:$F$208,MATCH($G161,'MAESTRO DE UNIDADES'!$A$2:$A$208,0)),""))</f>
        <v/>
      </c>
      <c r="I161" s="8" t="str">
        <f>IF($G161="","",IFERROR(INDEX('MAESTRO DE UNIDADES'!$B$2:$B$208,MATCH($G161,'MAESTRO DE UNIDADES'!$A$2:$A$208,0)),""))</f>
        <v/>
      </c>
      <c r="J161" s="4"/>
      <c r="K161" s="4"/>
      <c r="L161" s="4"/>
      <c r="M161" s="8" t="str">
        <f>IF($G161="","",IFERROR(INDEX('MAESTRO DE UNIDADES'!$H$2:$H$208,MATCH($G161,'MAESTRO DE UNIDADES'!$A$2:$A$208,0)),""))</f>
        <v/>
      </c>
      <c r="N161" s="25"/>
      <c r="O161" s="25"/>
      <c r="P161" s="26" t="str">
        <f t="shared" si="19"/>
        <v/>
      </c>
      <c r="Q161" s="27"/>
      <c r="R161" s="27"/>
      <c r="S161" s="28" t="str">
        <f>IF(OR($G161="",$Q161="",COUNTIF($G$2:G160,$G161)=0),"",$Q161-LOOKUP(2,1/($G$2:G160=$G161),$Q$2:Q160))</f>
        <v/>
      </c>
      <c r="T161" s="28" t="str">
        <f>IF(OR($G161="",$R161="",COUNTIF($G$2:G160,$G161)=0),"",$R161-LOOKUP(2,1/($G$2:G160=$G161),$R$2:R160))</f>
        <v/>
      </c>
      <c r="U161" s="11" t="str">
        <f t="shared" si="20"/>
        <v/>
      </c>
      <c r="V161" s="4"/>
      <c r="W161" s="4"/>
      <c r="X161" s="55"/>
      <c r="Y161" s="56" t="str">
        <f>IF($B161="","",IF((IF($G161="","Sin unidad | ","")&amp;IF($J161="","Sin responsable | ","")&amp;IF($K161="","Sin obra | ","")&amp;IF(AND($N161&lt;&gt;"",$G161&lt;&gt;"",$N161&gt;IFERROR(INDEX('MAESTRO DE UNIDADES'!$I$2:$I$208,MATCH($G161,'MAESTRO DE UNIDADES'!$A$2:$A$208,0)),0)),"Litros &gt; tanque | ","")&amp;IF(AND($W161&lt;&gt;"",COUNTIF($W$2:$W161,$W161)&gt;1),"Ticket duplicado | ","")&amp;IF(AND($G161&lt;&gt;"",IFERROR(INDEX('MAESTRO DE UNIDADES'!$L$2:$L$208,MATCH($G161,'MAESTRO DE UNIDADES'!$A$2:$A$208,0)),"")="Inactivo"),"Unidad inactiva | ","")&amp;IF(AND($AA161&lt;&gt;"",$N161=""),"Carga de batán sin litros | ","")&amp;IF(AND($AA161&lt;&gt;"",$AC161&lt;0),"Supera saldo batán | ",""))="","OK",LEFT((IF($G161="","Sin unidad | ","")&amp;IF($J161="","Sin responsable | ","")&amp;IF($K161="","Sin obra | ","")&amp;IF(AND($N161&lt;&gt;"",$G161&lt;&gt;"",$N161&gt;IFERROR(INDEX('MAESTRO DE UNIDADES'!$I$2:$I$208,MATCH($G161,'MAESTRO DE UNIDADES'!$A$2:$A$208,0)),0)),"Litros &gt; tanque | ","")&amp;IF(AND($W161&lt;&gt;"",COUNTIF($W$2:$W161,$W161)&gt;1),"Ticket duplicado | ","")&amp;IF(AND($G161&lt;&gt;"",IFERROR(INDEX('MAESTRO DE UNIDADES'!$L$2:$L$208,MATCH($G161,'MAESTRO DE UNIDADES'!$A$2:$A$208,0)),"")="Inactivo"),"Unidad inactiva | ","")&amp;IF(AND($AA161&lt;&gt;"",$N161=""),"Carga de batán sin litros | ","")&amp;IF(AND($AA161&lt;&gt;"",$AC161&lt;0),"Supera saldo batán | ","")),LEN((IF($G161="","Sin unidad | ","")&amp;IF($J161="","Sin responsable | ","")&amp;IF($K161="","Sin obra | ","")&amp;IF(AND($N161&lt;&gt;"",$G161&lt;&gt;"",$N161&gt;IFERROR(INDEX('MAESTRO DE UNIDADES'!$I$2:$I$208,MATCH($G161,'MAESTRO DE UNIDADES'!$A$2:$A$208,0)),0)),"Litros &gt; tanque | ","")&amp;IF(AND($W161&lt;&gt;"",COUNTIF($W$2:$W161,$W161)&gt;1),"Ticket duplicado | ","")&amp;IF(AND($G161&lt;&gt;"",IFERROR(INDEX('MAESTRO DE UNIDADES'!$L$2:$L$208,MATCH($G161,'MAESTRO DE UNIDADES'!$A$2:$A$208,0)),"")="Inactivo"),"Unidad inactiva | ","")&amp;IF(AND($AA161&lt;&gt;"",$N161=""),"Carga de batán sin litros | ","")&amp;IF(AND($AA161&lt;&gt;"",$AC161&lt;0),"Supera saldo batán | ","")))-3)))</f>
        <v/>
      </c>
      <c r="Z161" s="8" t="str">
        <f t="shared" si="21"/>
        <v/>
      </c>
      <c r="AA161" s="4"/>
      <c r="AB161" s="26" t="str">
        <f>IF($AA161="","",IFERROR(INDEX('CONTROL DE BATAN'!$J$2:$J$301,MATCH($AA161,'CONTROL DE BATAN'!$A$2:$A$301,0)),""))</f>
        <v/>
      </c>
      <c r="AC161" s="28" t="str">
        <f>IF($AA161="","",IFERROR(INDEX('CONTROL DE BATAN'!$I$2:$I$301,MATCH($AA161,'CONTROL DE BATAN'!$A$2:$A$301,0)),0)-SUMIFS($N$2:$N161,$AA$2:$AA161,$AA161))</f>
        <v/>
      </c>
    </row>
    <row r="162" spans="1:29" x14ac:dyDescent="0.25">
      <c r="A162" s="8" t="str">
        <f t="shared" si="15"/>
        <v/>
      </c>
      <c r="B162" s="9"/>
      <c r="C162" s="8" t="str">
        <f t="shared" si="16"/>
        <v/>
      </c>
      <c r="D162" s="10" t="str">
        <f t="shared" si="17"/>
        <v/>
      </c>
      <c r="E162" s="8" t="str">
        <f t="shared" si="18"/>
        <v/>
      </c>
      <c r="F162" s="8" t="str">
        <f>IF($G162="","",IFERROR(INDEX('MAESTRO DE UNIDADES'!$C$2:$C$208,MATCH($G162,'MAESTRO DE UNIDADES'!$A$2:$A$208,0)),""))</f>
        <v/>
      </c>
      <c r="G162" s="4"/>
      <c r="H162" s="8" t="str">
        <f>IF($G162="","",IFERROR(INDEX('MAESTRO DE UNIDADES'!$F$2:$F$208,MATCH($G162,'MAESTRO DE UNIDADES'!$A$2:$A$208,0)),""))</f>
        <v/>
      </c>
      <c r="I162" s="8" t="str">
        <f>IF($G162="","",IFERROR(INDEX('MAESTRO DE UNIDADES'!$B$2:$B$208,MATCH($G162,'MAESTRO DE UNIDADES'!$A$2:$A$208,0)),""))</f>
        <v/>
      </c>
      <c r="J162" s="4"/>
      <c r="K162" s="4"/>
      <c r="L162" s="4"/>
      <c r="M162" s="8" t="str">
        <f>IF($G162="","",IFERROR(INDEX('MAESTRO DE UNIDADES'!$H$2:$H$208,MATCH($G162,'MAESTRO DE UNIDADES'!$A$2:$A$208,0)),""))</f>
        <v/>
      </c>
      <c r="N162" s="25"/>
      <c r="O162" s="25"/>
      <c r="P162" s="26" t="str">
        <f t="shared" si="19"/>
        <v/>
      </c>
      <c r="Q162" s="27"/>
      <c r="R162" s="27"/>
      <c r="S162" s="28" t="str">
        <f>IF(OR($G162="",$Q162="",COUNTIF($G$2:G161,$G162)=0),"",$Q162-LOOKUP(2,1/($G$2:G161=$G162),$Q$2:Q161))</f>
        <v/>
      </c>
      <c r="T162" s="28" t="str">
        <f>IF(OR($G162="",$R162="",COUNTIF($G$2:G161,$G162)=0),"",$R162-LOOKUP(2,1/($G$2:G161=$G162),$R$2:R161))</f>
        <v/>
      </c>
      <c r="U162" s="11" t="str">
        <f t="shared" si="20"/>
        <v/>
      </c>
      <c r="V162" s="4"/>
      <c r="W162" s="4"/>
      <c r="X162" s="55"/>
      <c r="Y162" s="56" t="str">
        <f>IF($B162="","",IF((IF($G162="","Sin unidad | ","")&amp;IF($J162="","Sin responsable | ","")&amp;IF($K162="","Sin obra | ","")&amp;IF(AND($N162&lt;&gt;"",$G162&lt;&gt;"",$N162&gt;IFERROR(INDEX('MAESTRO DE UNIDADES'!$I$2:$I$208,MATCH($G162,'MAESTRO DE UNIDADES'!$A$2:$A$208,0)),0)),"Litros &gt; tanque | ","")&amp;IF(AND($W162&lt;&gt;"",COUNTIF($W$2:$W162,$W162)&gt;1),"Ticket duplicado | ","")&amp;IF(AND($G162&lt;&gt;"",IFERROR(INDEX('MAESTRO DE UNIDADES'!$L$2:$L$208,MATCH($G162,'MAESTRO DE UNIDADES'!$A$2:$A$208,0)),"")="Inactivo"),"Unidad inactiva | ","")&amp;IF(AND($AA162&lt;&gt;"",$N162=""),"Carga de batán sin litros | ","")&amp;IF(AND($AA162&lt;&gt;"",$AC162&lt;0),"Supera saldo batán | ",""))="","OK",LEFT((IF($G162="","Sin unidad | ","")&amp;IF($J162="","Sin responsable | ","")&amp;IF($K162="","Sin obra | ","")&amp;IF(AND($N162&lt;&gt;"",$G162&lt;&gt;"",$N162&gt;IFERROR(INDEX('MAESTRO DE UNIDADES'!$I$2:$I$208,MATCH($G162,'MAESTRO DE UNIDADES'!$A$2:$A$208,0)),0)),"Litros &gt; tanque | ","")&amp;IF(AND($W162&lt;&gt;"",COUNTIF($W$2:$W162,$W162)&gt;1),"Ticket duplicado | ","")&amp;IF(AND($G162&lt;&gt;"",IFERROR(INDEX('MAESTRO DE UNIDADES'!$L$2:$L$208,MATCH($G162,'MAESTRO DE UNIDADES'!$A$2:$A$208,0)),"")="Inactivo"),"Unidad inactiva | ","")&amp;IF(AND($AA162&lt;&gt;"",$N162=""),"Carga de batán sin litros | ","")&amp;IF(AND($AA162&lt;&gt;"",$AC162&lt;0),"Supera saldo batán | ","")),LEN((IF($G162="","Sin unidad | ","")&amp;IF($J162="","Sin responsable | ","")&amp;IF($K162="","Sin obra | ","")&amp;IF(AND($N162&lt;&gt;"",$G162&lt;&gt;"",$N162&gt;IFERROR(INDEX('MAESTRO DE UNIDADES'!$I$2:$I$208,MATCH($G162,'MAESTRO DE UNIDADES'!$A$2:$A$208,0)),0)),"Litros &gt; tanque | ","")&amp;IF(AND($W162&lt;&gt;"",COUNTIF($W$2:$W162,$W162)&gt;1),"Ticket duplicado | ","")&amp;IF(AND($G162&lt;&gt;"",IFERROR(INDEX('MAESTRO DE UNIDADES'!$L$2:$L$208,MATCH($G162,'MAESTRO DE UNIDADES'!$A$2:$A$208,0)),"")="Inactivo"),"Unidad inactiva | ","")&amp;IF(AND($AA162&lt;&gt;"",$N162=""),"Carga de batán sin litros | ","")&amp;IF(AND($AA162&lt;&gt;"",$AC162&lt;0),"Supera saldo batán | ","")))-3)))</f>
        <v/>
      </c>
      <c r="Z162" s="8" t="str">
        <f t="shared" si="21"/>
        <v/>
      </c>
      <c r="AA162" s="4"/>
      <c r="AB162" s="26" t="str">
        <f>IF($AA162="","",IFERROR(INDEX('CONTROL DE BATAN'!$J$2:$J$301,MATCH($AA162,'CONTROL DE BATAN'!$A$2:$A$301,0)),""))</f>
        <v/>
      </c>
      <c r="AC162" s="28" t="str">
        <f>IF($AA162="","",IFERROR(INDEX('CONTROL DE BATAN'!$I$2:$I$301,MATCH($AA162,'CONTROL DE BATAN'!$A$2:$A$301,0)),0)-SUMIFS($N$2:$N162,$AA$2:$AA162,$AA162))</f>
        <v/>
      </c>
    </row>
    <row r="163" spans="1:29" x14ac:dyDescent="0.25">
      <c r="A163" s="8" t="str">
        <f t="shared" si="15"/>
        <v/>
      </c>
      <c r="B163" s="9"/>
      <c r="C163" s="8" t="str">
        <f t="shared" si="16"/>
        <v/>
      </c>
      <c r="D163" s="10" t="str">
        <f t="shared" si="17"/>
        <v/>
      </c>
      <c r="E163" s="8" t="str">
        <f t="shared" si="18"/>
        <v/>
      </c>
      <c r="F163" s="8" t="str">
        <f>IF($G163="","",IFERROR(INDEX('MAESTRO DE UNIDADES'!$C$2:$C$208,MATCH($G163,'MAESTRO DE UNIDADES'!$A$2:$A$208,0)),""))</f>
        <v/>
      </c>
      <c r="G163" s="4"/>
      <c r="H163" s="8" t="str">
        <f>IF($G163="","",IFERROR(INDEX('MAESTRO DE UNIDADES'!$F$2:$F$208,MATCH($G163,'MAESTRO DE UNIDADES'!$A$2:$A$208,0)),""))</f>
        <v/>
      </c>
      <c r="I163" s="8" t="str">
        <f>IF($G163="","",IFERROR(INDEX('MAESTRO DE UNIDADES'!$B$2:$B$208,MATCH($G163,'MAESTRO DE UNIDADES'!$A$2:$A$208,0)),""))</f>
        <v/>
      </c>
      <c r="J163" s="4"/>
      <c r="K163" s="4"/>
      <c r="L163" s="4"/>
      <c r="M163" s="8" t="str">
        <f>IF($G163="","",IFERROR(INDEX('MAESTRO DE UNIDADES'!$H$2:$H$208,MATCH($G163,'MAESTRO DE UNIDADES'!$A$2:$A$208,0)),""))</f>
        <v/>
      </c>
      <c r="N163" s="25"/>
      <c r="O163" s="25"/>
      <c r="P163" s="26" t="str">
        <f t="shared" si="19"/>
        <v/>
      </c>
      <c r="Q163" s="27"/>
      <c r="R163" s="27"/>
      <c r="S163" s="28" t="str">
        <f>IF(OR($G163="",$Q163="",COUNTIF($G$2:G162,$G163)=0),"",$Q163-LOOKUP(2,1/($G$2:G162=$G163),$Q$2:Q162))</f>
        <v/>
      </c>
      <c r="T163" s="28" t="str">
        <f>IF(OR($G163="",$R163="",COUNTIF($G$2:G162,$G163)=0),"",$R163-LOOKUP(2,1/($G$2:G162=$G163),$R$2:R162))</f>
        <v/>
      </c>
      <c r="U163" s="11" t="str">
        <f t="shared" si="20"/>
        <v/>
      </c>
      <c r="V163" s="4"/>
      <c r="W163" s="4"/>
      <c r="X163" s="55"/>
      <c r="Y163" s="56" t="str">
        <f>IF($B163="","",IF((IF($G163="","Sin unidad | ","")&amp;IF($J163="","Sin responsable | ","")&amp;IF($K163="","Sin obra | ","")&amp;IF(AND($N163&lt;&gt;"",$G163&lt;&gt;"",$N163&gt;IFERROR(INDEX('MAESTRO DE UNIDADES'!$I$2:$I$208,MATCH($G163,'MAESTRO DE UNIDADES'!$A$2:$A$208,0)),0)),"Litros &gt; tanque | ","")&amp;IF(AND($W163&lt;&gt;"",COUNTIF($W$2:$W163,$W163)&gt;1),"Ticket duplicado | ","")&amp;IF(AND($G163&lt;&gt;"",IFERROR(INDEX('MAESTRO DE UNIDADES'!$L$2:$L$208,MATCH($G163,'MAESTRO DE UNIDADES'!$A$2:$A$208,0)),"")="Inactivo"),"Unidad inactiva | ","")&amp;IF(AND($AA163&lt;&gt;"",$N163=""),"Carga de batán sin litros | ","")&amp;IF(AND($AA163&lt;&gt;"",$AC163&lt;0),"Supera saldo batán | ",""))="","OK",LEFT((IF($G163="","Sin unidad | ","")&amp;IF($J163="","Sin responsable | ","")&amp;IF($K163="","Sin obra | ","")&amp;IF(AND($N163&lt;&gt;"",$G163&lt;&gt;"",$N163&gt;IFERROR(INDEX('MAESTRO DE UNIDADES'!$I$2:$I$208,MATCH($G163,'MAESTRO DE UNIDADES'!$A$2:$A$208,0)),0)),"Litros &gt; tanque | ","")&amp;IF(AND($W163&lt;&gt;"",COUNTIF($W$2:$W163,$W163)&gt;1),"Ticket duplicado | ","")&amp;IF(AND($G163&lt;&gt;"",IFERROR(INDEX('MAESTRO DE UNIDADES'!$L$2:$L$208,MATCH($G163,'MAESTRO DE UNIDADES'!$A$2:$A$208,0)),"")="Inactivo"),"Unidad inactiva | ","")&amp;IF(AND($AA163&lt;&gt;"",$N163=""),"Carga de batán sin litros | ","")&amp;IF(AND($AA163&lt;&gt;"",$AC163&lt;0),"Supera saldo batán | ","")),LEN((IF($G163="","Sin unidad | ","")&amp;IF($J163="","Sin responsable | ","")&amp;IF($K163="","Sin obra | ","")&amp;IF(AND($N163&lt;&gt;"",$G163&lt;&gt;"",$N163&gt;IFERROR(INDEX('MAESTRO DE UNIDADES'!$I$2:$I$208,MATCH($G163,'MAESTRO DE UNIDADES'!$A$2:$A$208,0)),0)),"Litros &gt; tanque | ","")&amp;IF(AND($W163&lt;&gt;"",COUNTIF($W$2:$W163,$W163)&gt;1),"Ticket duplicado | ","")&amp;IF(AND($G163&lt;&gt;"",IFERROR(INDEX('MAESTRO DE UNIDADES'!$L$2:$L$208,MATCH($G163,'MAESTRO DE UNIDADES'!$A$2:$A$208,0)),"")="Inactivo"),"Unidad inactiva | ","")&amp;IF(AND($AA163&lt;&gt;"",$N163=""),"Carga de batán sin litros | ","")&amp;IF(AND($AA163&lt;&gt;"",$AC163&lt;0),"Supera saldo batán | ","")))-3)))</f>
        <v/>
      </c>
      <c r="Z163" s="8" t="str">
        <f t="shared" si="21"/>
        <v/>
      </c>
      <c r="AA163" s="4"/>
      <c r="AB163" s="26" t="str">
        <f>IF($AA163="","",IFERROR(INDEX('CONTROL DE BATAN'!$J$2:$J$301,MATCH($AA163,'CONTROL DE BATAN'!$A$2:$A$301,0)),""))</f>
        <v/>
      </c>
      <c r="AC163" s="28" t="str">
        <f>IF($AA163="","",IFERROR(INDEX('CONTROL DE BATAN'!$I$2:$I$301,MATCH($AA163,'CONTROL DE BATAN'!$A$2:$A$301,0)),0)-SUMIFS($N$2:$N163,$AA$2:$AA163,$AA163))</f>
        <v/>
      </c>
    </row>
    <row r="164" spans="1:29" x14ac:dyDescent="0.25">
      <c r="A164" s="8" t="str">
        <f t="shared" si="15"/>
        <v/>
      </c>
      <c r="B164" s="9"/>
      <c r="C164" s="8" t="str">
        <f t="shared" si="16"/>
        <v/>
      </c>
      <c r="D164" s="10" t="str">
        <f t="shared" si="17"/>
        <v/>
      </c>
      <c r="E164" s="8" t="str">
        <f t="shared" si="18"/>
        <v/>
      </c>
      <c r="F164" s="8" t="str">
        <f>IF($G164="","",IFERROR(INDEX('MAESTRO DE UNIDADES'!$C$2:$C$208,MATCH($G164,'MAESTRO DE UNIDADES'!$A$2:$A$208,0)),""))</f>
        <v/>
      </c>
      <c r="G164" s="4"/>
      <c r="H164" s="8" t="str">
        <f>IF($G164="","",IFERROR(INDEX('MAESTRO DE UNIDADES'!$F$2:$F$208,MATCH($G164,'MAESTRO DE UNIDADES'!$A$2:$A$208,0)),""))</f>
        <v/>
      </c>
      <c r="I164" s="8" t="str">
        <f>IF($G164="","",IFERROR(INDEX('MAESTRO DE UNIDADES'!$B$2:$B$208,MATCH($G164,'MAESTRO DE UNIDADES'!$A$2:$A$208,0)),""))</f>
        <v/>
      </c>
      <c r="J164" s="4"/>
      <c r="K164" s="4"/>
      <c r="L164" s="4"/>
      <c r="M164" s="8" t="str">
        <f>IF($G164="","",IFERROR(INDEX('MAESTRO DE UNIDADES'!$H$2:$H$208,MATCH($G164,'MAESTRO DE UNIDADES'!$A$2:$A$208,0)),""))</f>
        <v/>
      </c>
      <c r="N164" s="25"/>
      <c r="O164" s="25"/>
      <c r="P164" s="26" t="str">
        <f t="shared" si="19"/>
        <v/>
      </c>
      <c r="Q164" s="27"/>
      <c r="R164" s="27"/>
      <c r="S164" s="28" t="str">
        <f>IF(OR($G164="",$Q164="",COUNTIF($G$2:G163,$G164)=0),"",$Q164-LOOKUP(2,1/($G$2:G163=$G164),$Q$2:Q163))</f>
        <v/>
      </c>
      <c r="T164" s="28" t="str">
        <f>IF(OR($G164="",$R164="",COUNTIF($G$2:G163,$G164)=0),"",$R164-LOOKUP(2,1/($G$2:G163=$G164),$R$2:R163))</f>
        <v/>
      </c>
      <c r="U164" s="11" t="str">
        <f t="shared" si="20"/>
        <v/>
      </c>
      <c r="V164" s="4"/>
      <c r="W164" s="4"/>
      <c r="X164" s="55"/>
      <c r="Y164" s="56" t="str">
        <f>IF($B164="","",IF((IF($G164="","Sin unidad | ","")&amp;IF($J164="","Sin responsable | ","")&amp;IF($K164="","Sin obra | ","")&amp;IF(AND($N164&lt;&gt;"",$G164&lt;&gt;"",$N164&gt;IFERROR(INDEX('MAESTRO DE UNIDADES'!$I$2:$I$208,MATCH($G164,'MAESTRO DE UNIDADES'!$A$2:$A$208,0)),0)),"Litros &gt; tanque | ","")&amp;IF(AND($W164&lt;&gt;"",COUNTIF($W$2:$W164,$W164)&gt;1),"Ticket duplicado | ","")&amp;IF(AND($G164&lt;&gt;"",IFERROR(INDEX('MAESTRO DE UNIDADES'!$L$2:$L$208,MATCH($G164,'MAESTRO DE UNIDADES'!$A$2:$A$208,0)),"")="Inactivo"),"Unidad inactiva | ","")&amp;IF(AND($AA164&lt;&gt;"",$N164=""),"Carga de batán sin litros | ","")&amp;IF(AND($AA164&lt;&gt;"",$AC164&lt;0),"Supera saldo batán | ",""))="","OK",LEFT((IF($G164="","Sin unidad | ","")&amp;IF($J164="","Sin responsable | ","")&amp;IF($K164="","Sin obra | ","")&amp;IF(AND($N164&lt;&gt;"",$G164&lt;&gt;"",$N164&gt;IFERROR(INDEX('MAESTRO DE UNIDADES'!$I$2:$I$208,MATCH($G164,'MAESTRO DE UNIDADES'!$A$2:$A$208,0)),0)),"Litros &gt; tanque | ","")&amp;IF(AND($W164&lt;&gt;"",COUNTIF($W$2:$W164,$W164)&gt;1),"Ticket duplicado | ","")&amp;IF(AND($G164&lt;&gt;"",IFERROR(INDEX('MAESTRO DE UNIDADES'!$L$2:$L$208,MATCH($G164,'MAESTRO DE UNIDADES'!$A$2:$A$208,0)),"")="Inactivo"),"Unidad inactiva | ","")&amp;IF(AND($AA164&lt;&gt;"",$N164=""),"Carga de batán sin litros | ","")&amp;IF(AND($AA164&lt;&gt;"",$AC164&lt;0),"Supera saldo batán | ","")),LEN((IF($G164="","Sin unidad | ","")&amp;IF($J164="","Sin responsable | ","")&amp;IF($K164="","Sin obra | ","")&amp;IF(AND($N164&lt;&gt;"",$G164&lt;&gt;"",$N164&gt;IFERROR(INDEX('MAESTRO DE UNIDADES'!$I$2:$I$208,MATCH($G164,'MAESTRO DE UNIDADES'!$A$2:$A$208,0)),0)),"Litros &gt; tanque | ","")&amp;IF(AND($W164&lt;&gt;"",COUNTIF($W$2:$W164,$W164)&gt;1),"Ticket duplicado | ","")&amp;IF(AND($G164&lt;&gt;"",IFERROR(INDEX('MAESTRO DE UNIDADES'!$L$2:$L$208,MATCH($G164,'MAESTRO DE UNIDADES'!$A$2:$A$208,0)),"")="Inactivo"),"Unidad inactiva | ","")&amp;IF(AND($AA164&lt;&gt;"",$N164=""),"Carga de batán sin litros | ","")&amp;IF(AND($AA164&lt;&gt;"",$AC164&lt;0),"Supera saldo batán | ","")))-3)))</f>
        <v/>
      </c>
      <c r="Z164" s="8" t="str">
        <f t="shared" si="21"/>
        <v/>
      </c>
      <c r="AA164" s="4"/>
      <c r="AB164" s="26" t="str">
        <f>IF($AA164="","",IFERROR(INDEX('CONTROL DE BATAN'!$J$2:$J$301,MATCH($AA164,'CONTROL DE BATAN'!$A$2:$A$301,0)),""))</f>
        <v/>
      </c>
      <c r="AC164" s="28" t="str">
        <f>IF($AA164="","",IFERROR(INDEX('CONTROL DE BATAN'!$I$2:$I$301,MATCH($AA164,'CONTROL DE BATAN'!$A$2:$A$301,0)),0)-SUMIFS($N$2:$N164,$AA$2:$AA164,$AA164))</f>
        <v/>
      </c>
    </row>
    <row r="165" spans="1:29" x14ac:dyDescent="0.25">
      <c r="A165" s="8" t="str">
        <f t="shared" si="15"/>
        <v/>
      </c>
      <c r="B165" s="9"/>
      <c r="C165" s="8" t="str">
        <f t="shared" si="16"/>
        <v/>
      </c>
      <c r="D165" s="10" t="str">
        <f t="shared" si="17"/>
        <v/>
      </c>
      <c r="E165" s="8" t="str">
        <f t="shared" si="18"/>
        <v/>
      </c>
      <c r="F165" s="8" t="str">
        <f>IF($G165="","",IFERROR(INDEX('MAESTRO DE UNIDADES'!$C$2:$C$208,MATCH($G165,'MAESTRO DE UNIDADES'!$A$2:$A$208,0)),""))</f>
        <v/>
      </c>
      <c r="G165" s="4"/>
      <c r="H165" s="8" t="str">
        <f>IF($G165="","",IFERROR(INDEX('MAESTRO DE UNIDADES'!$F$2:$F$208,MATCH($G165,'MAESTRO DE UNIDADES'!$A$2:$A$208,0)),""))</f>
        <v/>
      </c>
      <c r="I165" s="8" t="str">
        <f>IF($G165="","",IFERROR(INDEX('MAESTRO DE UNIDADES'!$B$2:$B$208,MATCH($G165,'MAESTRO DE UNIDADES'!$A$2:$A$208,0)),""))</f>
        <v/>
      </c>
      <c r="J165" s="4"/>
      <c r="K165" s="4"/>
      <c r="L165" s="4"/>
      <c r="M165" s="8" t="str">
        <f>IF($G165="","",IFERROR(INDEX('MAESTRO DE UNIDADES'!$H$2:$H$208,MATCH($G165,'MAESTRO DE UNIDADES'!$A$2:$A$208,0)),""))</f>
        <v/>
      </c>
      <c r="N165" s="25"/>
      <c r="O165" s="25"/>
      <c r="P165" s="26" t="str">
        <f t="shared" si="19"/>
        <v/>
      </c>
      <c r="Q165" s="27"/>
      <c r="R165" s="27"/>
      <c r="S165" s="28" t="str">
        <f>IF(OR($G165="",$Q165="",COUNTIF($G$2:G164,$G165)=0),"",$Q165-LOOKUP(2,1/($G$2:G164=$G165),$Q$2:Q164))</f>
        <v/>
      </c>
      <c r="T165" s="28" t="str">
        <f>IF(OR($G165="",$R165="",COUNTIF($G$2:G164,$G165)=0),"",$R165-LOOKUP(2,1/($G$2:G164=$G165),$R$2:R164))</f>
        <v/>
      </c>
      <c r="U165" s="11" t="str">
        <f t="shared" si="20"/>
        <v/>
      </c>
      <c r="V165" s="4"/>
      <c r="W165" s="4"/>
      <c r="X165" s="55"/>
      <c r="Y165" s="56" t="str">
        <f>IF($B165="","",IF((IF($G165="","Sin unidad | ","")&amp;IF($J165="","Sin responsable | ","")&amp;IF($K165="","Sin obra | ","")&amp;IF(AND($N165&lt;&gt;"",$G165&lt;&gt;"",$N165&gt;IFERROR(INDEX('MAESTRO DE UNIDADES'!$I$2:$I$208,MATCH($G165,'MAESTRO DE UNIDADES'!$A$2:$A$208,0)),0)),"Litros &gt; tanque | ","")&amp;IF(AND($W165&lt;&gt;"",COUNTIF($W$2:$W165,$W165)&gt;1),"Ticket duplicado | ","")&amp;IF(AND($G165&lt;&gt;"",IFERROR(INDEX('MAESTRO DE UNIDADES'!$L$2:$L$208,MATCH($G165,'MAESTRO DE UNIDADES'!$A$2:$A$208,0)),"")="Inactivo"),"Unidad inactiva | ","")&amp;IF(AND($AA165&lt;&gt;"",$N165=""),"Carga de batán sin litros | ","")&amp;IF(AND($AA165&lt;&gt;"",$AC165&lt;0),"Supera saldo batán | ",""))="","OK",LEFT((IF($G165="","Sin unidad | ","")&amp;IF($J165="","Sin responsable | ","")&amp;IF($K165="","Sin obra | ","")&amp;IF(AND($N165&lt;&gt;"",$G165&lt;&gt;"",$N165&gt;IFERROR(INDEX('MAESTRO DE UNIDADES'!$I$2:$I$208,MATCH($G165,'MAESTRO DE UNIDADES'!$A$2:$A$208,0)),0)),"Litros &gt; tanque | ","")&amp;IF(AND($W165&lt;&gt;"",COUNTIF($W$2:$W165,$W165)&gt;1),"Ticket duplicado | ","")&amp;IF(AND($G165&lt;&gt;"",IFERROR(INDEX('MAESTRO DE UNIDADES'!$L$2:$L$208,MATCH($G165,'MAESTRO DE UNIDADES'!$A$2:$A$208,0)),"")="Inactivo"),"Unidad inactiva | ","")&amp;IF(AND($AA165&lt;&gt;"",$N165=""),"Carga de batán sin litros | ","")&amp;IF(AND($AA165&lt;&gt;"",$AC165&lt;0),"Supera saldo batán | ","")),LEN((IF($G165="","Sin unidad | ","")&amp;IF($J165="","Sin responsable | ","")&amp;IF($K165="","Sin obra | ","")&amp;IF(AND($N165&lt;&gt;"",$G165&lt;&gt;"",$N165&gt;IFERROR(INDEX('MAESTRO DE UNIDADES'!$I$2:$I$208,MATCH($G165,'MAESTRO DE UNIDADES'!$A$2:$A$208,0)),0)),"Litros &gt; tanque | ","")&amp;IF(AND($W165&lt;&gt;"",COUNTIF($W$2:$W165,$W165)&gt;1),"Ticket duplicado | ","")&amp;IF(AND($G165&lt;&gt;"",IFERROR(INDEX('MAESTRO DE UNIDADES'!$L$2:$L$208,MATCH($G165,'MAESTRO DE UNIDADES'!$A$2:$A$208,0)),"")="Inactivo"),"Unidad inactiva | ","")&amp;IF(AND($AA165&lt;&gt;"",$N165=""),"Carga de batán sin litros | ","")&amp;IF(AND($AA165&lt;&gt;"",$AC165&lt;0),"Supera saldo batán | ","")))-3)))</f>
        <v/>
      </c>
      <c r="Z165" s="8" t="str">
        <f t="shared" si="21"/>
        <v/>
      </c>
      <c r="AA165" s="4"/>
      <c r="AB165" s="26" t="str">
        <f>IF($AA165="","",IFERROR(INDEX('CONTROL DE BATAN'!$J$2:$J$301,MATCH($AA165,'CONTROL DE BATAN'!$A$2:$A$301,0)),""))</f>
        <v/>
      </c>
      <c r="AC165" s="28" t="str">
        <f>IF($AA165="","",IFERROR(INDEX('CONTROL DE BATAN'!$I$2:$I$301,MATCH($AA165,'CONTROL DE BATAN'!$A$2:$A$301,0)),0)-SUMIFS($N$2:$N165,$AA$2:$AA165,$AA165))</f>
        <v/>
      </c>
    </row>
    <row r="166" spans="1:29" x14ac:dyDescent="0.25">
      <c r="A166" s="8" t="str">
        <f t="shared" si="15"/>
        <v/>
      </c>
      <c r="B166" s="9"/>
      <c r="C166" s="8" t="str">
        <f t="shared" si="16"/>
        <v/>
      </c>
      <c r="D166" s="10" t="str">
        <f t="shared" si="17"/>
        <v/>
      </c>
      <c r="E166" s="8" t="str">
        <f t="shared" si="18"/>
        <v/>
      </c>
      <c r="F166" s="8" t="str">
        <f>IF($G166="","",IFERROR(INDEX('MAESTRO DE UNIDADES'!$C$2:$C$208,MATCH($G166,'MAESTRO DE UNIDADES'!$A$2:$A$208,0)),""))</f>
        <v/>
      </c>
      <c r="G166" s="4"/>
      <c r="H166" s="8" t="str">
        <f>IF($G166="","",IFERROR(INDEX('MAESTRO DE UNIDADES'!$F$2:$F$208,MATCH($G166,'MAESTRO DE UNIDADES'!$A$2:$A$208,0)),""))</f>
        <v/>
      </c>
      <c r="I166" s="8" t="str">
        <f>IF($G166="","",IFERROR(INDEX('MAESTRO DE UNIDADES'!$B$2:$B$208,MATCH($G166,'MAESTRO DE UNIDADES'!$A$2:$A$208,0)),""))</f>
        <v/>
      </c>
      <c r="J166" s="4"/>
      <c r="K166" s="4"/>
      <c r="L166" s="4"/>
      <c r="M166" s="8" t="str">
        <f>IF($G166="","",IFERROR(INDEX('MAESTRO DE UNIDADES'!$H$2:$H$208,MATCH($G166,'MAESTRO DE UNIDADES'!$A$2:$A$208,0)),""))</f>
        <v/>
      </c>
      <c r="N166" s="25"/>
      <c r="O166" s="25"/>
      <c r="P166" s="26" t="str">
        <f t="shared" si="19"/>
        <v/>
      </c>
      <c r="Q166" s="27"/>
      <c r="R166" s="27"/>
      <c r="S166" s="28" t="str">
        <f>IF(OR($G166="",$Q166="",COUNTIF($G$2:G165,$G166)=0),"",$Q166-LOOKUP(2,1/($G$2:G165=$G166),$Q$2:Q165))</f>
        <v/>
      </c>
      <c r="T166" s="28" t="str">
        <f>IF(OR($G166="",$R166="",COUNTIF($G$2:G165,$G166)=0),"",$R166-LOOKUP(2,1/($G$2:G165=$G166),$R$2:R165))</f>
        <v/>
      </c>
      <c r="U166" s="11" t="str">
        <f t="shared" si="20"/>
        <v/>
      </c>
      <c r="V166" s="4"/>
      <c r="W166" s="4"/>
      <c r="X166" s="55"/>
      <c r="Y166" s="56" t="str">
        <f>IF($B166="","",IF((IF($G166="","Sin unidad | ","")&amp;IF($J166="","Sin responsable | ","")&amp;IF($K166="","Sin obra | ","")&amp;IF(AND($N166&lt;&gt;"",$G166&lt;&gt;"",$N166&gt;IFERROR(INDEX('MAESTRO DE UNIDADES'!$I$2:$I$208,MATCH($G166,'MAESTRO DE UNIDADES'!$A$2:$A$208,0)),0)),"Litros &gt; tanque | ","")&amp;IF(AND($W166&lt;&gt;"",COUNTIF($W$2:$W166,$W166)&gt;1),"Ticket duplicado | ","")&amp;IF(AND($G166&lt;&gt;"",IFERROR(INDEX('MAESTRO DE UNIDADES'!$L$2:$L$208,MATCH($G166,'MAESTRO DE UNIDADES'!$A$2:$A$208,0)),"")="Inactivo"),"Unidad inactiva | ","")&amp;IF(AND($AA166&lt;&gt;"",$N166=""),"Carga de batán sin litros | ","")&amp;IF(AND($AA166&lt;&gt;"",$AC166&lt;0),"Supera saldo batán | ",""))="","OK",LEFT((IF($G166="","Sin unidad | ","")&amp;IF($J166="","Sin responsable | ","")&amp;IF($K166="","Sin obra | ","")&amp;IF(AND($N166&lt;&gt;"",$G166&lt;&gt;"",$N166&gt;IFERROR(INDEX('MAESTRO DE UNIDADES'!$I$2:$I$208,MATCH($G166,'MAESTRO DE UNIDADES'!$A$2:$A$208,0)),0)),"Litros &gt; tanque | ","")&amp;IF(AND($W166&lt;&gt;"",COUNTIF($W$2:$W166,$W166)&gt;1),"Ticket duplicado | ","")&amp;IF(AND($G166&lt;&gt;"",IFERROR(INDEX('MAESTRO DE UNIDADES'!$L$2:$L$208,MATCH($G166,'MAESTRO DE UNIDADES'!$A$2:$A$208,0)),"")="Inactivo"),"Unidad inactiva | ","")&amp;IF(AND($AA166&lt;&gt;"",$N166=""),"Carga de batán sin litros | ","")&amp;IF(AND($AA166&lt;&gt;"",$AC166&lt;0),"Supera saldo batán | ","")),LEN((IF($G166="","Sin unidad | ","")&amp;IF($J166="","Sin responsable | ","")&amp;IF($K166="","Sin obra | ","")&amp;IF(AND($N166&lt;&gt;"",$G166&lt;&gt;"",$N166&gt;IFERROR(INDEX('MAESTRO DE UNIDADES'!$I$2:$I$208,MATCH($G166,'MAESTRO DE UNIDADES'!$A$2:$A$208,0)),0)),"Litros &gt; tanque | ","")&amp;IF(AND($W166&lt;&gt;"",COUNTIF($W$2:$W166,$W166)&gt;1),"Ticket duplicado | ","")&amp;IF(AND($G166&lt;&gt;"",IFERROR(INDEX('MAESTRO DE UNIDADES'!$L$2:$L$208,MATCH($G166,'MAESTRO DE UNIDADES'!$A$2:$A$208,0)),"")="Inactivo"),"Unidad inactiva | ","")&amp;IF(AND($AA166&lt;&gt;"",$N166=""),"Carga de batán sin litros | ","")&amp;IF(AND($AA166&lt;&gt;"",$AC166&lt;0),"Supera saldo batán | ","")))-3)))</f>
        <v/>
      </c>
      <c r="Z166" s="8" t="str">
        <f t="shared" si="21"/>
        <v/>
      </c>
      <c r="AA166" s="4"/>
      <c r="AB166" s="26" t="str">
        <f>IF($AA166="","",IFERROR(INDEX('CONTROL DE BATAN'!$J$2:$J$301,MATCH($AA166,'CONTROL DE BATAN'!$A$2:$A$301,0)),""))</f>
        <v/>
      </c>
      <c r="AC166" s="28" t="str">
        <f>IF($AA166="","",IFERROR(INDEX('CONTROL DE BATAN'!$I$2:$I$301,MATCH($AA166,'CONTROL DE BATAN'!$A$2:$A$301,0)),0)-SUMIFS($N$2:$N166,$AA$2:$AA166,$AA166))</f>
        <v/>
      </c>
    </row>
    <row r="167" spans="1:29" x14ac:dyDescent="0.25">
      <c r="A167" s="8" t="str">
        <f t="shared" si="15"/>
        <v/>
      </c>
      <c r="B167" s="9"/>
      <c r="C167" s="8" t="str">
        <f t="shared" si="16"/>
        <v/>
      </c>
      <c r="D167" s="10" t="str">
        <f t="shared" si="17"/>
        <v/>
      </c>
      <c r="E167" s="8" t="str">
        <f t="shared" si="18"/>
        <v/>
      </c>
      <c r="F167" s="8" t="str">
        <f>IF($G167="","",IFERROR(INDEX('MAESTRO DE UNIDADES'!$C$2:$C$208,MATCH($G167,'MAESTRO DE UNIDADES'!$A$2:$A$208,0)),""))</f>
        <v/>
      </c>
      <c r="G167" s="4"/>
      <c r="H167" s="8" t="str">
        <f>IF($G167="","",IFERROR(INDEX('MAESTRO DE UNIDADES'!$F$2:$F$208,MATCH($G167,'MAESTRO DE UNIDADES'!$A$2:$A$208,0)),""))</f>
        <v/>
      </c>
      <c r="I167" s="8" t="str">
        <f>IF($G167="","",IFERROR(INDEX('MAESTRO DE UNIDADES'!$B$2:$B$208,MATCH($G167,'MAESTRO DE UNIDADES'!$A$2:$A$208,0)),""))</f>
        <v/>
      </c>
      <c r="J167" s="4"/>
      <c r="K167" s="4"/>
      <c r="L167" s="4"/>
      <c r="M167" s="8" t="str">
        <f>IF($G167="","",IFERROR(INDEX('MAESTRO DE UNIDADES'!$H$2:$H$208,MATCH($G167,'MAESTRO DE UNIDADES'!$A$2:$A$208,0)),""))</f>
        <v/>
      </c>
      <c r="N167" s="25"/>
      <c r="O167" s="25"/>
      <c r="P167" s="26" t="str">
        <f t="shared" si="19"/>
        <v/>
      </c>
      <c r="Q167" s="27"/>
      <c r="R167" s="27"/>
      <c r="S167" s="28" t="str">
        <f>IF(OR($G167="",$Q167="",COUNTIF($G$2:G166,$G167)=0),"",$Q167-LOOKUP(2,1/($G$2:G166=$G167),$Q$2:Q166))</f>
        <v/>
      </c>
      <c r="T167" s="28" t="str">
        <f>IF(OR($G167="",$R167="",COUNTIF($G$2:G166,$G167)=0),"",$R167-LOOKUP(2,1/($G$2:G166=$G167),$R$2:R166))</f>
        <v/>
      </c>
      <c r="U167" s="11" t="str">
        <f t="shared" si="20"/>
        <v/>
      </c>
      <c r="V167" s="4"/>
      <c r="W167" s="4"/>
      <c r="X167" s="55"/>
      <c r="Y167" s="56" t="str">
        <f>IF($B167="","",IF((IF($G167="","Sin unidad | ","")&amp;IF($J167="","Sin responsable | ","")&amp;IF($K167="","Sin obra | ","")&amp;IF(AND($N167&lt;&gt;"",$G167&lt;&gt;"",$N167&gt;IFERROR(INDEX('MAESTRO DE UNIDADES'!$I$2:$I$208,MATCH($G167,'MAESTRO DE UNIDADES'!$A$2:$A$208,0)),0)),"Litros &gt; tanque | ","")&amp;IF(AND($W167&lt;&gt;"",COUNTIF($W$2:$W167,$W167)&gt;1),"Ticket duplicado | ","")&amp;IF(AND($G167&lt;&gt;"",IFERROR(INDEX('MAESTRO DE UNIDADES'!$L$2:$L$208,MATCH($G167,'MAESTRO DE UNIDADES'!$A$2:$A$208,0)),"")="Inactivo"),"Unidad inactiva | ","")&amp;IF(AND($AA167&lt;&gt;"",$N167=""),"Carga de batán sin litros | ","")&amp;IF(AND($AA167&lt;&gt;"",$AC167&lt;0),"Supera saldo batán | ",""))="","OK",LEFT((IF($G167="","Sin unidad | ","")&amp;IF($J167="","Sin responsable | ","")&amp;IF($K167="","Sin obra | ","")&amp;IF(AND($N167&lt;&gt;"",$G167&lt;&gt;"",$N167&gt;IFERROR(INDEX('MAESTRO DE UNIDADES'!$I$2:$I$208,MATCH($G167,'MAESTRO DE UNIDADES'!$A$2:$A$208,0)),0)),"Litros &gt; tanque | ","")&amp;IF(AND($W167&lt;&gt;"",COUNTIF($W$2:$W167,$W167)&gt;1),"Ticket duplicado | ","")&amp;IF(AND($G167&lt;&gt;"",IFERROR(INDEX('MAESTRO DE UNIDADES'!$L$2:$L$208,MATCH($G167,'MAESTRO DE UNIDADES'!$A$2:$A$208,0)),"")="Inactivo"),"Unidad inactiva | ","")&amp;IF(AND($AA167&lt;&gt;"",$N167=""),"Carga de batán sin litros | ","")&amp;IF(AND($AA167&lt;&gt;"",$AC167&lt;0),"Supera saldo batán | ","")),LEN((IF($G167="","Sin unidad | ","")&amp;IF($J167="","Sin responsable | ","")&amp;IF($K167="","Sin obra | ","")&amp;IF(AND($N167&lt;&gt;"",$G167&lt;&gt;"",$N167&gt;IFERROR(INDEX('MAESTRO DE UNIDADES'!$I$2:$I$208,MATCH($G167,'MAESTRO DE UNIDADES'!$A$2:$A$208,0)),0)),"Litros &gt; tanque | ","")&amp;IF(AND($W167&lt;&gt;"",COUNTIF($W$2:$W167,$W167)&gt;1),"Ticket duplicado | ","")&amp;IF(AND($G167&lt;&gt;"",IFERROR(INDEX('MAESTRO DE UNIDADES'!$L$2:$L$208,MATCH($G167,'MAESTRO DE UNIDADES'!$A$2:$A$208,0)),"")="Inactivo"),"Unidad inactiva | ","")&amp;IF(AND($AA167&lt;&gt;"",$N167=""),"Carga de batán sin litros | ","")&amp;IF(AND($AA167&lt;&gt;"",$AC167&lt;0),"Supera saldo batán | ","")))-3)))</f>
        <v/>
      </c>
      <c r="Z167" s="8" t="str">
        <f t="shared" si="21"/>
        <v/>
      </c>
      <c r="AA167" s="4"/>
      <c r="AB167" s="26" t="str">
        <f>IF($AA167="","",IFERROR(INDEX('CONTROL DE BATAN'!$J$2:$J$301,MATCH($AA167,'CONTROL DE BATAN'!$A$2:$A$301,0)),""))</f>
        <v/>
      </c>
      <c r="AC167" s="28" t="str">
        <f>IF($AA167="","",IFERROR(INDEX('CONTROL DE BATAN'!$I$2:$I$301,MATCH($AA167,'CONTROL DE BATAN'!$A$2:$A$301,0)),0)-SUMIFS($N$2:$N167,$AA$2:$AA167,$AA167))</f>
        <v/>
      </c>
    </row>
    <row r="168" spans="1:29" x14ac:dyDescent="0.25">
      <c r="A168" s="8" t="str">
        <f t="shared" si="15"/>
        <v/>
      </c>
      <c r="B168" s="9"/>
      <c r="C168" s="8" t="str">
        <f t="shared" si="16"/>
        <v/>
      </c>
      <c r="D168" s="10" t="str">
        <f t="shared" si="17"/>
        <v/>
      </c>
      <c r="E168" s="8" t="str">
        <f t="shared" si="18"/>
        <v/>
      </c>
      <c r="F168" s="8" t="str">
        <f>IF($G168="","",IFERROR(INDEX('MAESTRO DE UNIDADES'!$C$2:$C$208,MATCH($G168,'MAESTRO DE UNIDADES'!$A$2:$A$208,0)),""))</f>
        <v/>
      </c>
      <c r="G168" s="4"/>
      <c r="H168" s="8" t="str">
        <f>IF($G168="","",IFERROR(INDEX('MAESTRO DE UNIDADES'!$F$2:$F$208,MATCH($G168,'MAESTRO DE UNIDADES'!$A$2:$A$208,0)),""))</f>
        <v/>
      </c>
      <c r="I168" s="8" t="str">
        <f>IF($G168="","",IFERROR(INDEX('MAESTRO DE UNIDADES'!$B$2:$B$208,MATCH($G168,'MAESTRO DE UNIDADES'!$A$2:$A$208,0)),""))</f>
        <v/>
      </c>
      <c r="J168" s="4"/>
      <c r="K168" s="4"/>
      <c r="L168" s="4"/>
      <c r="M168" s="8" t="str">
        <f>IF($G168="","",IFERROR(INDEX('MAESTRO DE UNIDADES'!$H$2:$H$208,MATCH($G168,'MAESTRO DE UNIDADES'!$A$2:$A$208,0)),""))</f>
        <v/>
      </c>
      <c r="N168" s="25"/>
      <c r="O168" s="25"/>
      <c r="P168" s="26" t="str">
        <f t="shared" si="19"/>
        <v/>
      </c>
      <c r="Q168" s="27"/>
      <c r="R168" s="27"/>
      <c r="S168" s="28" t="str">
        <f>IF(OR($G168="",$Q168="",COUNTIF($G$2:G167,$G168)=0),"",$Q168-LOOKUP(2,1/($G$2:G167=$G168),$Q$2:Q167))</f>
        <v/>
      </c>
      <c r="T168" s="28" t="str">
        <f>IF(OR($G168="",$R168="",COUNTIF($G$2:G167,$G168)=0),"",$R168-LOOKUP(2,1/($G$2:G167=$G168),$R$2:R167))</f>
        <v/>
      </c>
      <c r="U168" s="11" t="str">
        <f t="shared" si="20"/>
        <v/>
      </c>
      <c r="V168" s="4"/>
      <c r="W168" s="4"/>
      <c r="X168" s="55"/>
      <c r="Y168" s="56" t="str">
        <f>IF($B168="","",IF((IF($G168="","Sin unidad | ","")&amp;IF($J168="","Sin responsable | ","")&amp;IF($K168="","Sin obra | ","")&amp;IF(AND($N168&lt;&gt;"",$G168&lt;&gt;"",$N168&gt;IFERROR(INDEX('MAESTRO DE UNIDADES'!$I$2:$I$208,MATCH($G168,'MAESTRO DE UNIDADES'!$A$2:$A$208,0)),0)),"Litros &gt; tanque | ","")&amp;IF(AND($W168&lt;&gt;"",COUNTIF($W$2:$W168,$W168)&gt;1),"Ticket duplicado | ","")&amp;IF(AND($G168&lt;&gt;"",IFERROR(INDEX('MAESTRO DE UNIDADES'!$L$2:$L$208,MATCH($G168,'MAESTRO DE UNIDADES'!$A$2:$A$208,0)),"")="Inactivo"),"Unidad inactiva | ","")&amp;IF(AND($AA168&lt;&gt;"",$N168=""),"Carga de batán sin litros | ","")&amp;IF(AND($AA168&lt;&gt;"",$AC168&lt;0),"Supera saldo batán | ",""))="","OK",LEFT((IF($G168="","Sin unidad | ","")&amp;IF($J168="","Sin responsable | ","")&amp;IF($K168="","Sin obra | ","")&amp;IF(AND($N168&lt;&gt;"",$G168&lt;&gt;"",$N168&gt;IFERROR(INDEX('MAESTRO DE UNIDADES'!$I$2:$I$208,MATCH($G168,'MAESTRO DE UNIDADES'!$A$2:$A$208,0)),0)),"Litros &gt; tanque | ","")&amp;IF(AND($W168&lt;&gt;"",COUNTIF($W$2:$W168,$W168)&gt;1),"Ticket duplicado | ","")&amp;IF(AND($G168&lt;&gt;"",IFERROR(INDEX('MAESTRO DE UNIDADES'!$L$2:$L$208,MATCH($G168,'MAESTRO DE UNIDADES'!$A$2:$A$208,0)),"")="Inactivo"),"Unidad inactiva | ","")&amp;IF(AND($AA168&lt;&gt;"",$N168=""),"Carga de batán sin litros | ","")&amp;IF(AND($AA168&lt;&gt;"",$AC168&lt;0),"Supera saldo batán | ","")),LEN((IF($G168="","Sin unidad | ","")&amp;IF($J168="","Sin responsable | ","")&amp;IF($K168="","Sin obra | ","")&amp;IF(AND($N168&lt;&gt;"",$G168&lt;&gt;"",$N168&gt;IFERROR(INDEX('MAESTRO DE UNIDADES'!$I$2:$I$208,MATCH($G168,'MAESTRO DE UNIDADES'!$A$2:$A$208,0)),0)),"Litros &gt; tanque | ","")&amp;IF(AND($W168&lt;&gt;"",COUNTIF($W$2:$W168,$W168)&gt;1),"Ticket duplicado | ","")&amp;IF(AND($G168&lt;&gt;"",IFERROR(INDEX('MAESTRO DE UNIDADES'!$L$2:$L$208,MATCH($G168,'MAESTRO DE UNIDADES'!$A$2:$A$208,0)),"")="Inactivo"),"Unidad inactiva | ","")&amp;IF(AND($AA168&lt;&gt;"",$N168=""),"Carga de batán sin litros | ","")&amp;IF(AND($AA168&lt;&gt;"",$AC168&lt;0),"Supera saldo batán | ","")))-3)))</f>
        <v/>
      </c>
      <c r="Z168" s="8" t="str">
        <f t="shared" si="21"/>
        <v/>
      </c>
      <c r="AA168" s="4"/>
      <c r="AB168" s="26" t="str">
        <f>IF($AA168="","",IFERROR(INDEX('CONTROL DE BATAN'!$J$2:$J$301,MATCH($AA168,'CONTROL DE BATAN'!$A$2:$A$301,0)),""))</f>
        <v/>
      </c>
      <c r="AC168" s="28" t="str">
        <f>IF($AA168="","",IFERROR(INDEX('CONTROL DE BATAN'!$I$2:$I$301,MATCH($AA168,'CONTROL DE BATAN'!$A$2:$A$301,0)),0)-SUMIFS($N$2:$N168,$AA$2:$AA168,$AA168))</f>
        <v/>
      </c>
    </row>
    <row r="169" spans="1:29" x14ac:dyDescent="0.25">
      <c r="A169" s="8" t="str">
        <f t="shared" si="15"/>
        <v/>
      </c>
      <c r="B169" s="9"/>
      <c r="C169" s="8" t="str">
        <f t="shared" si="16"/>
        <v/>
      </c>
      <c r="D169" s="10" t="str">
        <f t="shared" si="17"/>
        <v/>
      </c>
      <c r="E169" s="8" t="str">
        <f t="shared" si="18"/>
        <v/>
      </c>
      <c r="F169" s="8" t="str">
        <f>IF($G169="","",IFERROR(INDEX('MAESTRO DE UNIDADES'!$C$2:$C$208,MATCH($G169,'MAESTRO DE UNIDADES'!$A$2:$A$208,0)),""))</f>
        <v/>
      </c>
      <c r="G169" s="4"/>
      <c r="H169" s="8" t="str">
        <f>IF($G169="","",IFERROR(INDEX('MAESTRO DE UNIDADES'!$F$2:$F$208,MATCH($G169,'MAESTRO DE UNIDADES'!$A$2:$A$208,0)),""))</f>
        <v/>
      </c>
      <c r="I169" s="8" t="str">
        <f>IF($G169="","",IFERROR(INDEX('MAESTRO DE UNIDADES'!$B$2:$B$208,MATCH($G169,'MAESTRO DE UNIDADES'!$A$2:$A$208,0)),""))</f>
        <v/>
      </c>
      <c r="J169" s="4"/>
      <c r="K169" s="4"/>
      <c r="L169" s="4"/>
      <c r="M169" s="8" t="str">
        <f>IF($G169="","",IFERROR(INDEX('MAESTRO DE UNIDADES'!$H$2:$H$208,MATCH($G169,'MAESTRO DE UNIDADES'!$A$2:$A$208,0)),""))</f>
        <v/>
      </c>
      <c r="N169" s="25"/>
      <c r="O169" s="25"/>
      <c r="P169" s="26" t="str">
        <f t="shared" si="19"/>
        <v/>
      </c>
      <c r="Q169" s="27"/>
      <c r="R169" s="27"/>
      <c r="S169" s="28" t="str">
        <f>IF(OR($G169="",$Q169="",COUNTIF($G$2:G168,$G169)=0),"",$Q169-LOOKUP(2,1/($G$2:G168=$G169),$Q$2:Q168))</f>
        <v/>
      </c>
      <c r="T169" s="28" t="str">
        <f>IF(OR($G169="",$R169="",COUNTIF($G$2:G168,$G169)=0),"",$R169-LOOKUP(2,1/($G$2:G168=$G169),$R$2:R168))</f>
        <v/>
      </c>
      <c r="U169" s="11" t="str">
        <f t="shared" si="20"/>
        <v/>
      </c>
      <c r="V169" s="4"/>
      <c r="W169" s="4"/>
      <c r="X169" s="55"/>
      <c r="Y169" s="56" t="str">
        <f>IF($B169="","",IF((IF($G169="","Sin unidad | ","")&amp;IF($J169="","Sin responsable | ","")&amp;IF($K169="","Sin obra | ","")&amp;IF(AND($N169&lt;&gt;"",$G169&lt;&gt;"",$N169&gt;IFERROR(INDEX('MAESTRO DE UNIDADES'!$I$2:$I$208,MATCH($G169,'MAESTRO DE UNIDADES'!$A$2:$A$208,0)),0)),"Litros &gt; tanque | ","")&amp;IF(AND($W169&lt;&gt;"",COUNTIF($W$2:$W169,$W169)&gt;1),"Ticket duplicado | ","")&amp;IF(AND($G169&lt;&gt;"",IFERROR(INDEX('MAESTRO DE UNIDADES'!$L$2:$L$208,MATCH($G169,'MAESTRO DE UNIDADES'!$A$2:$A$208,0)),"")="Inactivo"),"Unidad inactiva | ","")&amp;IF(AND($AA169&lt;&gt;"",$N169=""),"Carga de batán sin litros | ","")&amp;IF(AND($AA169&lt;&gt;"",$AC169&lt;0),"Supera saldo batán | ",""))="","OK",LEFT((IF($G169="","Sin unidad | ","")&amp;IF($J169="","Sin responsable | ","")&amp;IF($K169="","Sin obra | ","")&amp;IF(AND($N169&lt;&gt;"",$G169&lt;&gt;"",$N169&gt;IFERROR(INDEX('MAESTRO DE UNIDADES'!$I$2:$I$208,MATCH($G169,'MAESTRO DE UNIDADES'!$A$2:$A$208,0)),0)),"Litros &gt; tanque | ","")&amp;IF(AND($W169&lt;&gt;"",COUNTIF($W$2:$W169,$W169)&gt;1),"Ticket duplicado | ","")&amp;IF(AND($G169&lt;&gt;"",IFERROR(INDEX('MAESTRO DE UNIDADES'!$L$2:$L$208,MATCH($G169,'MAESTRO DE UNIDADES'!$A$2:$A$208,0)),"")="Inactivo"),"Unidad inactiva | ","")&amp;IF(AND($AA169&lt;&gt;"",$N169=""),"Carga de batán sin litros | ","")&amp;IF(AND($AA169&lt;&gt;"",$AC169&lt;0),"Supera saldo batán | ","")),LEN((IF($G169="","Sin unidad | ","")&amp;IF($J169="","Sin responsable | ","")&amp;IF($K169="","Sin obra | ","")&amp;IF(AND($N169&lt;&gt;"",$G169&lt;&gt;"",$N169&gt;IFERROR(INDEX('MAESTRO DE UNIDADES'!$I$2:$I$208,MATCH($G169,'MAESTRO DE UNIDADES'!$A$2:$A$208,0)),0)),"Litros &gt; tanque | ","")&amp;IF(AND($W169&lt;&gt;"",COUNTIF($W$2:$W169,$W169)&gt;1),"Ticket duplicado | ","")&amp;IF(AND($G169&lt;&gt;"",IFERROR(INDEX('MAESTRO DE UNIDADES'!$L$2:$L$208,MATCH($G169,'MAESTRO DE UNIDADES'!$A$2:$A$208,0)),"")="Inactivo"),"Unidad inactiva | ","")&amp;IF(AND($AA169&lt;&gt;"",$N169=""),"Carga de batán sin litros | ","")&amp;IF(AND($AA169&lt;&gt;"",$AC169&lt;0),"Supera saldo batán | ","")))-3)))</f>
        <v/>
      </c>
      <c r="Z169" s="8" t="str">
        <f t="shared" si="21"/>
        <v/>
      </c>
      <c r="AA169" s="4"/>
      <c r="AB169" s="26" t="str">
        <f>IF($AA169="","",IFERROR(INDEX('CONTROL DE BATAN'!$J$2:$J$301,MATCH($AA169,'CONTROL DE BATAN'!$A$2:$A$301,0)),""))</f>
        <v/>
      </c>
      <c r="AC169" s="28" t="str">
        <f>IF($AA169="","",IFERROR(INDEX('CONTROL DE BATAN'!$I$2:$I$301,MATCH($AA169,'CONTROL DE BATAN'!$A$2:$A$301,0)),0)-SUMIFS($N$2:$N169,$AA$2:$AA169,$AA169))</f>
        <v/>
      </c>
    </row>
    <row r="170" spans="1:29" x14ac:dyDescent="0.25">
      <c r="A170" s="8" t="str">
        <f t="shared" si="15"/>
        <v/>
      </c>
      <c r="B170" s="9"/>
      <c r="C170" s="8" t="str">
        <f t="shared" si="16"/>
        <v/>
      </c>
      <c r="D170" s="10" t="str">
        <f t="shared" si="17"/>
        <v/>
      </c>
      <c r="E170" s="8" t="str">
        <f t="shared" si="18"/>
        <v/>
      </c>
      <c r="F170" s="8" t="str">
        <f>IF($G170="","",IFERROR(INDEX('MAESTRO DE UNIDADES'!$C$2:$C$208,MATCH($G170,'MAESTRO DE UNIDADES'!$A$2:$A$208,0)),""))</f>
        <v/>
      </c>
      <c r="G170" s="4"/>
      <c r="H170" s="8" t="str">
        <f>IF($G170="","",IFERROR(INDEX('MAESTRO DE UNIDADES'!$F$2:$F$208,MATCH($G170,'MAESTRO DE UNIDADES'!$A$2:$A$208,0)),""))</f>
        <v/>
      </c>
      <c r="I170" s="8" t="str">
        <f>IF($G170="","",IFERROR(INDEX('MAESTRO DE UNIDADES'!$B$2:$B$208,MATCH($G170,'MAESTRO DE UNIDADES'!$A$2:$A$208,0)),""))</f>
        <v/>
      </c>
      <c r="J170" s="4"/>
      <c r="K170" s="4"/>
      <c r="L170" s="4"/>
      <c r="M170" s="8" t="str">
        <f>IF($G170="","",IFERROR(INDEX('MAESTRO DE UNIDADES'!$H$2:$H$208,MATCH($G170,'MAESTRO DE UNIDADES'!$A$2:$A$208,0)),""))</f>
        <v/>
      </c>
      <c r="N170" s="25"/>
      <c r="O170" s="25"/>
      <c r="P170" s="26" t="str">
        <f t="shared" si="19"/>
        <v/>
      </c>
      <c r="Q170" s="27"/>
      <c r="R170" s="27"/>
      <c r="S170" s="28" t="str">
        <f>IF(OR($G170="",$Q170="",COUNTIF($G$2:G169,$G170)=0),"",$Q170-LOOKUP(2,1/($G$2:G169=$G170),$Q$2:Q169))</f>
        <v/>
      </c>
      <c r="T170" s="28" t="str">
        <f>IF(OR($G170="",$R170="",COUNTIF($G$2:G169,$G170)=0),"",$R170-LOOKUP(2,1/($G$2:G169=$G170),$R$2:R169))</f>
        <v/>
      </c>
      <c r="U170" s="11" t="str">
        <f t="shared" si="20"/>
        <v/>
      </c>
      <c r="V170" s="4"/>
      <c r="W170" s="4"/>
      <c r="X170" s="55"/>
      <c r="Y170" s="56" t="str">
        <f>IF($B170="","",IF((IF($G170="","Sin unidad | ","")&amp;IF($J170="","Sin responsable | ","")&amp;IF($K170="","Sin obra | ","")&amp;IF(AND($N170&lt;&gt;"",$G170&lt;&gt;"",$N170&gt;IFERROR(INDEX('MAESTRO DE UNIDADES'!$I$2:$I$208,MATCH($G170,'MAESTRO DE UNIDADES'!$A$2:$A$208,0)),0)),"Litros &gt; tanque | ","")&amp;IF(AND($W170&lt;&gt;"",COUNTIF($W$2:$W170,$W170)&gt;1),"Ticket duplicado | ","")&amp;IF(AND($G170&lt;&gt;"",IFERROR(INDEX('MAESTRO DE UNIDADES'!$L$2:$L$208,MATCH($G170,'MAESTRO DE UNIDADES'!$A$2:$A$208,0)),"")="Inactivo"),"Unidad inactiva | ","")&amp;IF(AND($AA170&lt;&gt;"",$N170=""),"Carga de batán sin litros | ","")&amp;IF(AND($AA170&lt;&gt;"",$AC170&lt;0),"Supera saldo batán | ",""))="","OK",LEFT((IF($G170="","Sin unidad | ","")&amp;IF($J170="","Sin responsable | ","")&amp;IF($K170="","Sin obra | ","")&amp;IF(AND($N170&lt;&gt;"",$G170&lt;&gt;"",$N170&gt;IFERROR(INDEX('MAESTRO DE UNIDADES'!$I$2:$I$208,MATCH($G170,'MAESTRO DE UNIDADES'!$A$2:$A$208,0)),0)),"Litros &gt; tanque | ","")&amp;IF(AND($W170&lt;&gt;"",COUNTIF($W$2:$W170,$W170)&gt;1),"Ticket duplicado | ","")&amp;IF(AND($G170&lt;&gt;"",IFERROR(INDEX('MAESTRO DE UNIDADES'!$L$2:$L$208,MATCH($G170,'MAESTRO DE UNIDADES'!$A$2:$A$208,0)),"")="Inactivo"),"Unidad inactiva | ","")&amp;IF(AND($AA170&lt;&gt;"",$N170=""),"Carga de batán sin litros | ","")&amp;IF(AND($AA170&lt;&gt;"",$AC170&lt;0),"Supera saldo batán | ","")),LEN((IF($G170="","Sin unidad | ","")&amp;IF($J170="","Sin responsable | ","")&amp;IF($K170="","Sin obra | ","")&amp;IF(AND($N170&lt;&gt;"",$G170&lt;&gt;"",$N170&gt;IFERROR(INDEX('MAESTRO DE UNIDADES'!$I$2:$I$208,MATCH($G170,'MAESTRO DE UNIDADES'!$A$2:$A$208,0)),0)),"Litros &gt; tanque | ","")&amp;IF(AND($W170&lt;&gt;"",COUNTIF($W$2:$W170,$W170)&gt;1),"Ticket duplicado | ","")&amp;IF(AND($G170&lt;&gt;"",IFERROR(INDEX('MAESTRO DE UNIDADES'!$L$2:$L$208,MATCH($G170,'MAESTRO DE UNIDADES'!$A$2:$A$208,0)),"")="Inactivo"),"Unidad inactiva | ","")&amp;IF(AND($AA170&lt;&gt;"",$N170=""),"Carga de batán sin litros | ","")&amp;IF(AND($AA170&lt;&gt;"",$AC170&lt;0),"Supera saldo batán | ","")))-3)))</f>
        <v/>
      </c>
      <c r="Z170" s="8" t="str">
        <f t="shared" si="21"/>
        <v/>
      </c>
      <c r="AA170" s="4"/>
      <c r="AB170" s="26" t="str">
        <f>IF($AA170="","",IFERROR(INDEX('CONTROL DE BATAN'!$J$2:$J$301,MATCH($AA170,'CONTROL DE BATAN'!$A$2:$A$301,0)),""))</f>
        <v/>
      </c>
      <c r="AC170" s="28" t="str">
        <f>IF($AA170="","",IFERROR(INDEX('CONTROL DE BATAN'!$I$2:$I$301,MATCH($AA170,'CONTROL DE BATAN'!$A$2:$A$301,0)),0)-SUMIFS($N$2:$N170,$AA$2:$AA170,$AA170))</f>
        <v/>
      </c>
    </row>
    <row r="171" spans="1:29" x14ac:dyDescent="0.25">
      <c r="A171" s="8" t="str">
        <f t="shared" si="15"/>
        <v/>
      </c>
      <c r="B171" s="9"/>
      <c r="C171" s="8" t="str">
        <f t="shared" si="16"/>
        <v/>
      </c>
      <c r="D171" s="10" t="str">
        <f t="shared" si="17"/>
        <v/>
      </c>
      <c r="E171" s="8" t="str">
        <f t="shared" si="18"/>
        <v/>
      </c>
      <c r="F171" s="8" t="str">
        <f>IF($G171="","",IFERROR(INDEX('MAESTRO DE UNIDADES'!$C$2:$C$208,MATCH($G171,'MAESTRO DE UNIDADES'!$A$2:$A$208,0)),""))</f>
        <v/>
      </c>
      <c r="G171" s="4"/>
      <c r="H171" s="8" t="str">
        <f>IF($G171="","",IFERROR(INDEX('MAESTRO DE UNIDADES'!$F$2:$F$208,MATCH($G171,'MAESTRO DE UNIDADES'!$A$2:$A$208,0)),""))</f>
        <v/>
      </c>
      <c r="I171" s="8" t="str">
        <f>IF($G171="","",IFERROR(INDEX('MAESTRO DE UNIDADES'!$B$2:$B$208,MATCH($G171,'MAESTRO DE UNIDADES'!$A$2:$A$208,0)),""))</f>
        <v/>
      </c>
      <c r="J171" s="4"/>
      <c r="K171" s="4"/>
      <c r="L171" s="4"/>
      <c r="M171" s="8" t="str">
        <f>IF($G171="","",IFERROR(INDEX('MAESTRO DE UNIDADES'!$H$2:$H$208,MATCH($G171,'MAESTRO DE UNIDADES'!$A$2:$A$208,0)),""))</f>
        <v/>
      </c>
      <c r="N171" s="25"/>
      <c r="O171" s="25"/>
      <c r="P171" s="26" t="str">
        <f t="shared" si="19"/>
        <v/>
      </c>
      <c r="Q171" s="27"/>
      <c r="R171" s="27"/>
      <c r="S171" s="28" t="str">
        <f>IF(OR($G171="",$Q171="",COUNTIF($G$2:G170,$G171)=0),"",$Q171-LOOKUP(2,1/($G$2:G170=$G171),$Q$2:Q170))</f>
        <v/>
      </c>
      <c r="T171" s="28" t="str">
        <f>IF(OR($G171="",$R171="",COUNTIF($G$2:G170,$G171)=0),"",$R171-LOOKUP(2,1/($G$2:G170=$G171),$R$2:R170))</f>
        <v/>
      </c>
      <c r="U171" s="11" t="str">
        <f t="shared" si="20"/>
        <v/>
      </c>
      <c r="V171" s="4"/>
      <c r="W171" s="4"/>
      <c r="X171" s="55"/>
      <c r="Y171" s="56" t="str">
        <f>IF($B171="","",IF((IF($G171="","Sin unidad | ","")&amp;IF($J171="","Sin responsable | ","")&amp;IF($K171="","Sin obra | ","")&amp;IF(AND($N171&lt;&gt;"",$G171&lt;&gt;"",$N171&gt;IFERROR(INDEX('MAESTRO DE UNIDADES'!$I$2:$I$208,MATCH($G171,'MAESTRO DE UNIDADES'!$A$2:$A$208,0)),0)),"Litros &gt; tanque | ","")&amp;IF(AND($W171&lt;&gt;"",COUNTIF($W$2:$W171,$W171)&gt;1),"Ticket duplicado | ","")&amp;IF(AND($G171&lt;&gt;"",IFERROR(INDEX('MAESTRO DE UNIDADES'!$L$2:$L$208,MATCH($G171,'MAESTRO DE UNIDADES'!$A$2:$A$208,0)),"")="Inactivo"),"Unidad inactiva | ","")&amp;IF(AND($AA171&lt;&gt;"",$N171=""),"Carga de batán sin litros | ","")&amp;IF(AND($AA171&lt;&gt;"",$AC171&lt;0),"Supera saldo batán | ",""))="","OK",LEFT((IF($G171="","Sin unidad | ","")&amp;IF($J171="","Sin responsable | ","")&amp;IF($K171="","Sin obra | ","")&amp;IF(AND($N171&lt;&gt;"",$G171&lt;&gt;"",$N171&gt;IFERROR(INDEX('MAESTRO DE UNIDADES'!$I$2:$I$208,MATCH($G171,'MAESTRO DE UNIDADES'!$A$2:$A$208,0)),0)),"Litros &gt; tanque | ","")&amp;IF(AND($W171&lt;&gt;"",COUNTIF($W$2:$W171,$W171)&gt;1),"Ticket duplicado | ","")&amp;IF(AND($G171&lt;&gt;"",IFERROR(INDEX('MAESTRO DE UNIDADES'!$L$2:$L$208,MATCH($G171,'MAESTRO DE UNIDADES'!$A$2:$A$208,0)),"")="Inactivo"),"Unidad inactiva | ","")&amp;IF(AND($AA171&lt;&gt;"",$N171=""),"Carga de batán sin litros | ","")&amp;IF(AND($AA171&lt;&gt;"",$AC171&lt;0),"Supera saldo batán | ","")),LEN((IF($G171="","Sin unidad | ","")&amp;IF($J171="","Sin responsable | ","")&amp;IF($K171="","Sin obra | ","")&amp;IF(AND($N171&lt;&gt;"",$G171&lt;&gt;"",$N171&gt;IFERROR(INDEX('MAESTRO DE UNIDADES'!$I$2:$I$208,MATCH($G171,'MAESTRO DE UNIDADES'!$A$2:$A$208,0)),0)),"Litros &gt; tanque | ","")&amp;IF(AND($W171&lt;&gt;"",COUNTIF($W$2:$W171,$W171)&gt;1),"Ticket duplicado | ","")&amp;IF(AND($G171&lt;&gt;"",IFERROR(INDEX('MAESTRO DE UNIDADES'!$L$2:$L$208,MATCH($G171,'MAESTRO DE UNIDADES'!$A$2:$A$208,0)),"")="Inactivo"),"Unidad inactiva | ","")&amp;IF(AND($AA171&lt;&gt;"",$N171=""),"Carga de batán sin litros | ","")&amp;IF(AND($AA171&lt;&gt;"",$AC171&lt;0),"Supera saldo batán | ","")))-3)))</f>
        <v/>
      </c>
      <c r="Z171" s="8" t="str">
        <f t="shared" si="21"/>
        <v/>
      </c>
      <c r="AA171" s="4"/>
      <c r="AB171" s="26" t="str">
        <f>IF($AA171="","",IFERROR(INDEX('CONTROL DE BATAN'!$J$2:$J$301,MATCH($AA171,'CONTROL DE BATAN'!$A$2:$A$301,0)),""))</f>
        <v/>
      </c>
      <c r="AC171" s="28" t="str">
        <f>IF($AA171="","",IFERROR(INDEX('CONTROL DE BATAN'!$I$2:$I$301,MATCH($AA171,'CONTROL DE BATAN'!$A$2:$A$301,0)),0)-SUMIFS($N$2:$N171,$AA$2:$AA171,$AA171))</f>
        <v/>
      </c>
    </row>
    <row r="172" spans="1:29" x14ac:dyDescent="0.25">
      <c r="A172" s="8" t="str">
        <f t="shared" si="15"/>
        <v/>
      </c>
      <c r="B172" s="9"/>
      <c r="C172" s="8" t="str">
        <f t="shared" si="16"/>
        <v/>
      </c>
      <c r="D172" s="10" t="str">
        <f t="shared" si="17"/>
        <v/>
      </c>
      <c r="E172" s="8" t="str">
        <f t="shared" si="18"/>
        <v/>
      </c>
      <c r="F172" s="8" t="str">
        <f>IF($G172="","",IFERROR(INDEX('MAESTRO DE UNIDADES'!$C$2:$C$208,MATCH($G172,'MAESTRO DE UNIDADES'!$A$2:$A$208,0)),""))</f>
        <v/>
      </c>
      <c r="G172" s="4"/>
      <c r="H172" s="8" t="str">
        <f>IF($G172="","",IFERROR(INDEX('MAESTRO DE UNIDADES'!$F$2:$F$208,MATCH($G172,'MAESTRO DE UNIDADES'!$A$2:$A$208,0)),""))</f>
        <v/>
      </c>
      <c r="I172" s="8" t="str">
        <f>IF($G172="","",IFERROR(INDEX('MAESTRO DE UNIDADES'!$B$2:$B$208,MATCH($G172,'MAESTRO DE UNIDADES'!$A$2:$A$208,0)),""))</f>
        <v/>
      </c>
      <c r="J172" s="4"/>
      <c r="K172" s="4"/>
      <c r="L172" s="4"/>
      <c r="M172" s="8" t="str">
        <f>IF($G172="","",IFERROR(INDEX('MAESTRO DE UNIDADES'!$H$2:$H$208,MATCH($G172,'MAESTRO DE UNIDADES'!$A$2:$A$208,0)),""))</f>
        <v/>
      </c>
      <c r="N172" s="25"/>
      <c r="O172" s="25"/>
      <c r="P172" s="26" t="str">
        <f t="shared" si="19"/>
        <v/>
      </c>
      <c r="Q172" s="27"/>
      <c r="R172" s="27"/>
      <c r="S172" s="28" t="str">
        <f>IF(OR($G172="",$Q172="",COUNTIF($G$2:G171,$G172)=0),"",$Q172-LOOKUP(2,1/($G$2:G171=$G172),$Q$2:Q171))</f>
        <v/>
      </c>
      <c r="T172" s="28" t="str">
        <f>IF(OR($G172="",$R172="",COUNTIF($G$2:G171,$G172)=0),"",$R172-LOOKUP(2,1/($G$2:G171=$G172),$R$2:R171))</f>
        <v/>
      </c>
      <c r="U172" s="11" t="str">
        <f t="shared" si="20"/>
        <v/>
      </c>
      <c r="V172" s="4"/>
      <c r="W172" s="4"/>
      <c r="X172" s="55"/>
      <c r="Y172" s="56" t="str">
        <f>IF($B172="","",IF((IF($G172="","Sin unidad | ","")&amp;IF($J172="","Sin responsable | ","")&amp;IF($K172="","Sin obra | ","")&amp;IF(AND($N172&lt;&gt;"",$G172&lt;&gt;"",$N172&gt;IFERROR(INDEX('MAESTRO DE UNIDADES'!$I$2:$I$208,MATCH($G172,'MAESTRO DE UNIDADES'!$A$2:$A$208,0)),0)),"Litros &gt; tanque | ","")&amp;IF(AND($W172&lt;&gt;"",COUNTIF($W$2:$W172,$W172)&gt;1),"Ticket duplicado | ","")&amp;IF(AND($G172&lt;&gt;"",IFERROR(INDEX('MAESTRO DE UNIDADES'!$L$2:$L$208,MATCH($G172,'MAESTRO DE UNIDADES'!$A$2:$A$208,0)),"")="Inactivo"),"Unidad inactiva | ","")&amp;IF(AND($AA172&lt;&gt;"",$N172=""),"Carga de batán sin litros | ","")&amp;IF(AND($AA172&lt;&gt;"",$AC172&lt;0),"Supera saldo batán | ",""))="","OK",LEFT((IF($G172="","Sin unidad | ","")&amp;IF($J172="","Sin responsable | ","")&amp;IF($K172="","Sin obra | ","")&amp;IF(AND($N172&lt;&gt;"",$G172&lt;&gt;"",$N172&gt;IFERROR(INDEX('MAESTRO DE UNIDADES'!$I$2:$I$208,MATCH($G172,'MAESTRO DE UNIDADES'!$A$2:$A$208,0)),0)),"Litros &gt; tanque | ","")&amp;IF(AND($W172&lt;&gt;"",COUNTIF($W$2:$W172,$W172)&gt;1),"Ticket duplicado | ","")&amp;IF(AND($G172&lt;&gt;"",IFERROR(INDEX('MAESTRO DE UNIDADES'!$L$2:$L$208,MATCH($G172,'MAESTRO DE UNIDADES'!$A$2:$A$208,0)),"")="Inactivo"),"Unidad inactiva | ","")&amp;IF(AND($AA172&lt;&gt;"",$N172=""),"Carga de batán sin litros | ","")&amp;IF(AND($AA172&lt;&gt;"",$AC172&lt;0),"Supera saldo batán | ","")),LEN((IF($G172="","Sin unidad | ","")&amp;IF($J172="","Sin responsable | ","")&amp;IF($K172="","Sin obra | ","")&amp;IF(AND($N172&lt;&gt;"",$G172&lt;&gt;"",$N172&gt;IFERROR(INDEX('MAESTRO DE UNIDADES'!$I$2:$I$208,MATCH($G172,'MAESTRO DE UNIDADES'!$A$2:$A$208,0)),0)),"Litros &gt; tanque | ","")&amp;IF(AND($W172&lt;&gt;"",COUNTIF($W$2:$W172,$W172)&gt;1),"Ticket duplicado | ","")&amp;IF(AND($G172&lt;&gt;"",IFERROR(INDEX('MAESTRO DE UNIDADES'!$L$2:$L$208,MATCH($G172,'MAESTRO DE UNIDADES'!$A$2:$A$208,0)),"")="Inactivo"),"Unidad inactiva | ","")&amp;IF(AND($AA172&lt;&gt;"",$N172=""),"Carga de batán sin litros | ","")&amp;IF(AND($AA172&lt;&gt;"",$AC172&lt;0),"Supera saldo batán | ","")))-3)))</f>
        <v/>
      </c>
      <c r="Z172" s="8" t="str">
        <f t="shared" si="21"/>
        <v/>
      </c>
      <c r="AA172" s="4"/>
      <c r="AB172" s="26" t="str">
        <f>IF($AA172="","",IFERROR(INDEX('CONTROL DE BATAN'!$J$2:$J$301,MATCH($AA172,'CONTROL DE BATAN'!$A$2:$A$301,0)),""))</f>
        <v/>
      </c>
      <c r="AC172" s="28" t="str">
        <f>IF($AA172="","",IFERROR(INDEX('CONTROL DE BATAN'!$I$2:$I$301,MATCH($AA172,'CONTROL DE BATAN'!$A$2:$A$301,0)),0)-SUMIFS($N$2:$N172,$AA$2:$AA172,$AA172))</f>
        <v/>
      </c>
    </row>
    <row r="173" spans="1:29" x14ac:dyDescent="0.25">
      <c r="A173" s="8" t="str">
        <f t="shared" si="15"/>
        <v/>
      </c>
      <c r="B173" s="9"/>
      <c r="C173" s="8" t="str">
        <f t="shared" si="16"/>
        <v/>
      </c>
      <c r="D173" s="10" t="str">
        <f t="shared" si="17"/>
        <v/>
      </c>
      <c r="E173" s="8" t="str">
        <f t="shared" si="18"/>
        <v/>
      </c>
      <c r="F173" s="8" t="str">
        <f>IF($G173="","",IFERROR(INDEX('MAESTRO DE UNIDADES'!$C$2:$C$208,MATCH($G173,'MAESTRO DE UNIDADES'!$A$2:$A$208,0)),""))</f>
        <v/>
      </c>
      <c r="G173" s="4"/>
      <c r="H173" s="8" t="str">
        <f>IF($G173="","",IFERROR(INDEX('MAESTRO DE UNIDADES'!$F$2:$F$208,MATCH($G173,'MAESTRO DE UNIDADES'!$A$2:$A$208,0)),""))</f>
        <v/>
      </c>
      <c r="I173" s="8" t="str">
        <f>IF($G173="","",IFERROR(INDEX('MAESTRO DE UNIDADES'!$B$2:$B$208,MATCH($G173,'MAESTRO DE UNIDADES'!$A$2:$A$208,0)),""))</f>
        <v/>
      </c>
      <c r="J173" s="4"/>
      <c r="K173" s="4"/>
      <c r="L173" s="4"/>
      <c r="M173" s="8" t="str">
        <f>IF($G173="","",IFERROR(INDEX('MAESTRO DE UNIDADES'!$H$2:$H$208,MATCH($G173,'MAESTRO DE UNIDADES'!$A$2:$A$208,0)),""))</f>
        <v/>
      </c>
      <c r="N173" s="25"/>
      <c r="O173" s="25"/>
      <c r="P173" s="26" t="str">
        <f t="shared" si="19"/>
        <v/>
      </c>
      <c r="Q173" s="27"/>
      <c r="R173" s="27"/>
      <c r="S173" s="28" t="str">
        <f>IF(OR($G173="",$Q173="",COUNTIF($G$2:G172,$G173)=0),"",$Q173-LOOKUP(2,1/($G$2:G172=$G173),$Q$2:Q172))</f>
        <v/>
      </c>
      <c r="T173" s="28" t="str">
        <f>IF(OR($G173="",$R173="",COUNTIF($G$2:G172,$G173)=0),"",$R173-LOOKUP(2,1/($G$2:G172=$G173),$R$2:R172))</f>
        <v/>
      </c>
      <c r="U173" s="11" t="str">
        <f t="shared" si="20"/>
        <v/>
      </c>
      <c r="V173" s="4"/>
      <c r="W173" s="4"/>
      <c r="X173" s="55"/>
      <c r="Y173" s="56" t="str">
        <f>IF($B173="","",IF((IF($G173="","Sin unidad | ","")&amp;IF($J173="","Sin responsable | ","")&amp;IF($K173="","Sin obra | ","")&amp;IF(AND($N173&lt;&gt;"",$G173&lt;&gt;"",$N173&gt;IFERROR(INDEX('MAESTRO DE UNIDADES'!$I$2:$I$208,MATCH($G173,'MAESTRO DE UNIDADES'!$A$2:$A$208,0)),0)),"Litros &gt; tanque | ","")&amp;IF(AND($W173&lt;&gt;"",COUNTIF($W$2:$W173,$W173)&gt;1),"Ticket duplicado | ","")&amp;IF(AND($G173&lt;&gt;"",IFERROR(INDEX('MAESTRO DE UNIDADES'!$L$2:$L$208,MATCH($G173,'MAESTRO DE UNIDADES'!$A$2:$A$208,0)),"")="Inactivo"),"Unidad inactiva | ","")&amp;IF(AND($AA173&lt;&gt;"",$N173=""),"Carga de batán sin litros | ","")&amp;IF(AND($AA173&lt;&gt;"",$AC173&lt;0),"Supera saldo batán | ",""))="","OK",LEFT((IF($G173="","Sin unidad | ","")&amp;IF($J173="","Sin responsable | ","")&amp;IF($K173="","Sin obra | ","")&amp;IF(AND($N173&lt;&gt;"",$G173&lt;&gt;"",$N173&gt;IFERROR(INDEX('MAESTRO DE UNIDADES'!$I$2:$I$208,MATCH($G173,'MAESTRO DE UNIDADES'!$A$2:$A$208,0)),0)),"Litros &gt; tanque | ","")&amp;IF(AND($W173&lt;&gt;"",COUNTIF($W$2:$W173,$W173)&gt;1),"Ticket duplicado | ","")&amp;IF(AND($G173&lt;&gt;"",IFERROR(INDEX('MAESTRO DE UNIDADES'!$L$2:$L$208,MATCH($G173,'MAESTRO DE UNIDADES'!$A$2:$A$208,0)),"")="Inactivo"),"Unidad inactiva | ","")&amp;IF(AND($AA173&lt;&gt;"",$N173=""),"Carga de batán sin litros | ","")&amp;IF(AND($AA173&lt;&gt;"",$AC173&lt;0),"Supera saldo batán | ","")),LEN((IF($G173="","Sin unidad | ","")&amp;IF($J173="","Sin responsable | ","")&amp;IF($K173="","Sin obra | ","")&amp;IF(AND($N173&lt;&gt;"",$G173&lt;&gt;"",$N173&gt;IFERROR(INDEX('MAESTRO DE UNIDADES'!$I$2:$I$208,MATCH($G173,'MAESTRO DE UNIDADES'!$A$2:$A$208,0)),0)),"Litros &gt; tanque | ","")&amp;IF(AND($W173&lt;&gt;"",COUNTIF($W$2:$W173,$W173)&gt;1),"Ticket duplicado | ","")&amp;IF(AND($G173&lt;&gt;"",IFERROR(INDEX('MAESTRO DE UNIDADES'!$L$2:$L$208,MATCH($G173,'MAESTRO DE UNIDADES'!$A$2:$A$208,0)),"")="Inactivo"),"Unidad inactiva | ","")&amp;IF(AND($AA173&lt;&gt;"",$N173=""),"Carga de batán sin litros | ","")&amp;IF(AND($AA173&lt;&gt;"",$AC173&lt;0),"Supera saldo batán | ","")))-3)))</f>
        <v/>
      </c>
      <c r="Z173" s="8" t="str">
        <f t="shared" si="21"/>
        <v/>
      </c>
      <c r="AA173" s="4"/>
      <c r="AB173" s="26" t="str">
        <f>IF($AA173="","",IFERROR(INDEX('CONTROL DE BATAN'!$J$2:$J$301,MATCH($AA173,'CONTROL DE BATAN'!$A$2:$A$301,0)),""))</f>
        <v/>
      </c>
      <c r="AC173" s="28" t="str">
        <f>IF($AA173="","",IFERROR(INDEX('CONTROL DE BATAN'!$I$2:$I$301,MATCH($AA173,'CONTROL DE BATAN'!$A$2:$A$301,0)),0)-SUMIFS($N$2:$N173,$AA$2:$AA173,$AA173))</f>
        <v/>
      </c>
    </row>
    <row r="174" spans="1:29" x14ac:dyDescent="0.25">
      <c r="A174" s="8" t="str">
        <f t="shared" si="15"/>
        <v/>
      </c>
      <c r="B174" s="9"/>
      <c r="C174" s="8" t="str">
        <f t="shared" si="16"/>
        <v/>
      </c>
      <c r="D174" s="10" t="str">
        <f t="shared" si="17"/>
        <v/>
      </c>
      <c r="E174" s="8" t="str">
        <f t="shared" si="18"/>
        <v/>
      </c>
      <c r="F174" s="8" t="str">
        <f>IF($G174="","",IFERROR(INDEX('MAESTRO DE UNIDADES'!$C$2:$C$208,MATCH($G174,'MAESTRO DE UNIDADES'!$A$2:$A$208,0)),""))</f>
        <v/>
      </c>
      <c r="G174" s="4"/>
      <c r="H174" s="8" t="str">
        <f>IF($G174="","",IFERROR(INDEX('MAESTRO DE UNIDADES'!$F$2:$F$208,MATCH($G174,'MAESTRO DE UNIDADES'!$A$2:$A$208,0)),""))</f>
        <v/>
      </c>
      <c r="I174" s="8" t="str">
        <f>IF($G174="","",IFERROR(INDEX('MAESTRO DE UNIDADES'!$B$2:$B$208,MATCH($G174,'MAESTRO DE UNIDADES'!$A$2:$A$208,0)),""))</f>
        <v/>
      </c>
      <c r="J174" s="4"/>
      <c r="K174" s="4"/>
      <c r="L174" s="4"/>
      <c r="M174" s="8" t="str">
        <f>IF($G174="","",IFERROR(INDEX('MAESTRO DE UNIDADES'!$H$2:$H$208,MATCH($G174,'MAESTRO DE UNIDADES'!$A$2:$A$208,0)),""))</f>
        <v/>
      </c>
      <c r="N174" s="25"/>
      <c r="O174" s="25"/>
      <c r="P174" s="26" t="str">
        <f t="shared" si="19"/>
        <v/>
      </c>
      <c r="Q174" s="27"/>
      <c r="R174" s="27"/>
      <c r="S174" s="28" t="str">
        <f>IF(OR($G174="",$Q174="",COUNTIF($G$2:G173,$G174)=0),"",$Q174-LOOKUP(2,1/($G$2:G173=$G174),$Q$2:Q173))</f>
        <v/>
      </c>
      <c r="T174" s="28" t="str">
        <f>IF(OR($G174="",$R174="",COUNTIF($G$2:G173,$G174)=0),"",$R174-LOOKUP(2,1/($G$2:G173=$G174),$R$2:R173))</f>
        <v/>
      </c>
      <c r="U174" s="11" t="str">
        <f t="shared" si="20"/>
        <v/>
      </c>
      <c r="V174" s="4"/>
      <c r="W174" s="4"/>
      <c r="X174" s="55"/>
      <c r="Y174" s="56" t="str">
        <f>IF($B174="","",IF((IF($G174="","Sin unidad | ","")&amp;IF($J174="","Sin responsable | ","")&amp;IF($K174="","Sin obra | ","")&amp;IF(AND($N174&lt;&gt;"",$G174&lt;&gt;"",$N174&gt;IFERROR(INDEX('MAESTRO DE UNIDADES'!$I$2:$I$208,MATCH($G174,'MAESTRO DE UNIDADES'!$A$2:$A$208,0)),0)),"Litros &gt; tanque | ","")&amp;IF(AND($W174&lt;&gt;"",COUNTIF($W$2:$W174,$W174)&gt;1),"Ticket duplicado | ","")&amp;IF(AND($G174&lt;&gt;"",IFERROR(INDEX('MAESTRO DE UNIDADES'!$L$2:$L$208,MATCH($G174,'MAESTRO DE UNIDADES'!$A$2:$A$208,0)),"")="Inactivo"),"Unidad inactiva | ","")&amp;IF(AND($AA174&lt;&gt;"",$N174=""),"Carga de batán sin litros | ","")&amp;IF(AND($AA174&lt;&gt;"",$AC174&lt;0),"Supera saldo batán | ",""))="","OK",LEFT((IF($G174="","Sin unidad | ","")&amp;IF($J174="","Sin responsable | ","")&amp;IF($K174="","Sin obra | ","")&amp;IF(AND($N174&lt;&gt;"",$G174&lt;&gt;"",$N174&gt;IFERROR(INDEX('MAESTRO DE UNIDADES'!$I$2:$I$208,MATCH($G174,'MAESTRO DE UNIDADES'!$A$2:$A$208,0)),0)),"Litros &gt; tanque | ","")&amp;IF(AND($W174&lt;&gt;"",COUNTIF($W$2:$W174,$W174)&gt;1),"Ticket duplicado | ","")&amp;IF(AND($G174&lt;&gt;"",IFERROR(INDEX('MAESTRO DE UNIDADES'!$L$2:$L$208,MATCH($G174,'MAESTRO DE UNIDADES'!$A$2:$A$208,0)),"")="Inactivo"),"Unidad inactiva | ","")&amp;IF(AND($AA174&lt;&gt;"",$N174=""),"Carga de batán sin litros | ","")&amp;IF(AND($AA174&lt;&gt;"",$AC174&lt;0),"Supera saldo batán | ","")),LEN((IF($G174="","Sin unidad | ","")&amp;IF($J174="","Sin responsable | ","")&amp;IF($K174="","Sin obra | ","")&amp;IF(AND($N174&lt;&gt;"",$G174&lt;&gt;"",$N174&gt;IFERROR(INDEX('MAESTRO DE UNIDADES'!$I$2:$I$208,MATCH($G174,'MAESTRO DE UNIDADES'!$A$2:$A$208,0)),0)),"Litros &gt; tanque | ","")&amp;IF(AND($W174&lt;&gt;"",COUNTIF($W$2:$W174,$W174)&gt;1),"Ticket duplicado | ","")&amp;IF(AND($G174&lt;&gt;"",IFERROR(INDEX('MAESTRO DE UNIDADES'!$L$2:$L$208,MATCH($G174,'MAESTRO DE UNIDADES'!$A$2:$A$208,0)),"")="Inactivo"),"Unidad inactiva | ","")&amp;IF(AND($AA174&lt;&gt;"",$N174=""),"Carga de batán sin litros | ","")&amp;IF(AND($AA174&lt;&gt;"",$AC174&lt;0),"Supera saldo batán | ","")))-3)))</f>
        <v/>
      </c>
      <c r="Z174" s="8" t="str">
        <f t="shared" si="21"/>
        <v/>
      </c>
      <c r="AA174" s="4"/>
      <c r="AB174" s="26" t="str">
        <f>IF($AA174="","",IFERROR(INDEX('CONTROL DE BATAN'!$J$2:$J$301,MATCH($AA174,'CONTROL DE BATAN'!$A$2:$A$301,0)),""))</f>
        <v/>
      </c>
      <c r="AC174" s="28" t="str">
        <f>IF($AA174="","",IFERROR(INDEX('CONTROL DE BATAN'!$I$2:$I$301,MATCH($AA174,'CONTROL DE BATAN'!$A$2:$A$301,0)),0)-SUMIFS($N$2:$N174,$AA$2:$AA174,$AA174))</f>
        <v/>
      </c>
    </row>
    <row r="175" spans="1:29" x14ac:dyDescent="0.25">
      <c r="A175" s="8" t="str">
        <f t="shared" si="15"/>
        <v/>
      </c>
      <c r="B175" s="9"/>
      <c r="C175" s="8" t="str">
        <f t="shared" si="16"/>
        <v/>
      </c>
      <c r="D175" s="10" t="str">
        <f t="shared" si="17"/>
        <v/>
      </c>
      <c r="E175" s="8" t="str">
        <f t="shared" si="18"/>
        <v/>
      </c>
      <c r="F175" s="8" t="str">
        <f>IF($G175="","",IFERROR(INDEX('MAESTRO DE UNIDADES'!$C$2:$C$208,MATCH($G175,'MAESTRO DE UNIDADES'!$A$2:$A$208,0)),""))</f>
        <v/>
      </c>
      <c r="G175" s="4"/>
      <c r="H175" s="8" t="str">
        <f>IF($G175="","",IFERROR(INDEX('MAESTRO DE UNIDADES'!$F$2:$F$208,MATCH($G175,'MAESTRO DE UNIDADES'!$A$2:$A$208,0)),""))</f>
        <v/>
      </c>
      <c r="I175" s="8" t="str">
        <f>IF($G175="","",IFERROR(INDEX('MAESTRO DE UNIDADES'!$B$2:$B$208,MATCH($G175,'MAESTRO DE UNIDADES'!$A$2:$A$208,0)),""))</f>
        <v/>
      </c>
      <c r="J175" s="4"/>
      <c r="K175" s="4"/>
      <c r="L175" s="4"/>
      <c r="M175" s="8" t="str">
        <f>IF($G175="","",IFERROR(INDEX('MAESTRO DE UNIDADES'!$H$2:$H$208,MATCH($G175,'MAESTRO DE UNIDADES'!$A$2:$A$208,0)),""))</f>
        <v/>
      </c>
      <c r="N175" s="25"/>
      <c r="O175" s="25"/>
      <c r="P175" s="26" t="str">
        <f t="shared" si="19"/>
        <v/>
      </c>
      <c r="Q175" s="27"/>
      <c r="R175" s="27"/>
      <c r="S175" s="28" t="str">
        <f>IF(OR($G175="",$Q175="",COUNTIF($G$2:G174,$G175)=0),"",$Q175-LOOKUP(2,1/($G$2:G174=$G175),$Q$2:Q174))</f>
        <v/>
      </c>
      <c r="T175" s="28" t="str">
        <f>IF(OR($G175="",$R175="",COUNTIF($G$2:G174,$G175)=0),"",$R175-LOOKUP(2,1/($G$2:G174=$G175),$R$2:R174))</f>
        <v/>
      </c>
      <c r="U175" s="11" t="str">
        <f t="shared" si="20"/>
        <v/>
      </c>
      <c r="V175" s="4"/>
      <c r="W175" s="4"/>
      <c r="X175" s="55"/>
      <c r="Y175" s="56" t="str">
        <f>IF($B175="","",IF((IF($G175="","Sin unidad | ","")&amp;IF($J175="","Sin responsable | ","")&amp;IF($K175="","Sin obra | ","")&amp;IF(AND($N175&lt;&gt;"",$G175&lt;&gt;"",$N175&gt;IFERROR(INDEX('MAESTRO DE UNIDADES'!$I$2:$I$208,MATCH($G175,'MAESTRO DE UNIDADES'!$A$2:$A$208,0)),0)),"Litros &gt; tanque | ","")&amp;IF(AND($W175&lt;&gt;"",COUNTIF($W$2:$W175,$W175)&gt;1),"Ticket duplicado | ","")&amp;IF(AND($G175&lt;&gt;"",IFERROR(INDEX('MAESTRO DE UNIDADES'!$L$2:$L$208,MATCH($G175,'MAESTRO DE UNIDADES'!$A$2:$A$208,0)),"")="Inactivo"),"Unidad inactiva | ","")&amp;IF(AND($AA175&lt;&gt;"",$N175=""),"Carga de batán sin litros | ","")&amp;IF(AND($AA175&lt;&gt;"",$AC175&lt;0),"Supera saldo batán | ",""))="","OK",LEFT((IF($G175="","Sin unidad | ","")&amp;IF($J175="","Sin responsable | ","")&amp;IF($K175="","Sin obra | ","")&amp;IF(AND($N175&lt;&gt;"",$G175&lt;&gt;"",$N175&gt;IFERROR(INDEX('MAESTRO DE UNIDADES'!$I$2:$I$208,MATCH($G175,'MAESTRO DE UNIDADES'!$A$2:$A$208,0)),0)),"Litros &gt; tanque | ","")&amp;IF(AND($W175&lt;&gt;"",COUNTIF($W$2:$W175,$W175)&gt;1),"Ticket duplicado | ","")&amp;IF(AND($G175&lt;&gt;"",IFERROR(INDEX('MAESTRO DE UNIDADES'!$L$2:$L$208,MATCH($G175,'MAESTRO DE UNIDADES'!$A$2:$A$208,0)),"")="Inactivo"),"Unidad inactiva | ","")&amp;IF(AND($AA175&lt;&gt;"",$N175=""),"Carga de batán sin litros | ","")&amp;IF(AND($AA175&lt;&gt;"",$AC175&lt;0),"Supera saldo batán | ","")),LEN((IF($G175="","Sin unidad | ","")&amp;IF($J175="","Sin responsable | ","")&amp;IF($K175="","Sin obra | ","")&amp;IF(AND($N175&lt;&gt;"",$G175&lt;&gt;"",$N175&gt;IFERROR(INDEX('MAESTRO DE UNIDADES'!$I$2:$I$208,MATCH($G175,'MAESTRO DE UNIDADES'!$A$2:$A$208,0)),0)),"Litros &gt; tanque | ","")&amp;IF(AND($W175&lt;&gt;"",COUNTIF($W$2:$W175,$W175)&gt;1),"Ticket duplicado | ","")&amp;IF(AND($G175&lt;&gt;"",IFERROR(INDEX('MAESTRO DE UNIDADES'!$L$2:$L$208,MATCH($G175,'MAESTRO DE UNIDADES'!$A$2:$A$208,0)),"")="Inactivo"),"Unidad inactiva | ","")&amp;IF(AND($AA175&lt;&gt;"",$N175=""),"Carga de batán sin litros | ","")&amp;IF(AND($AA175&lt;&gt;"",$AC175&lt;0),"Supera saldo batán | ","")))-3)))</f>
        <v/>
      </c>
      <c r="Z175" s="8" t="str">
        <f t="shared" si="21"/>
        <v/>
      </c>
      <c r="AA175" s="4"/>
      <c r="AB175" s="26" t="str">
        <f>IF($AA175="","",IFERROR(INDEX('CONTROL DE BATAN'!$J$2:$J$301,MATCH($AA175,'CONTROL DE BATAN'!$A$2:$A$301,0)),""))</f>
        <v/>
      </c>
      <c r="AC175" s="28" t="str">
        <f>IF($AA175="","",IFERROR(INDEX('CONTROL DE BATAN'!$I$2:$I$301,MATCH($AA175,'CONTROL DE BATAN'!$A$2:$A$301,0)),0)-SUMIFS($N$2:$N175,$AA$2:$AA175,$AA175))</f>
        <v/>
      </c>
    </row>
    <row r="176" spans="1:29" x14ac:dyDescent="0.25">
      <c r="A176" s="8" t="str">
        <f t="shared" si="15"/>
        <v/>
      </c>
      <c r="B176" s="9"/>
      <c r="C176" s="8" t="str">
        <f t="shared" si="16"/>
        <v/>
      </c>
      <c r="D176" s="10" t="str">
        <f t="shared" si="17"/>
        <v/>
      </c>
      <c r="E176" s="8" t="str">
        <f t="shared" si="18"/>
        <v/>
      </c>
      <c r="F176" s="8" t="str">
        <f>IF($G176="","",IFERROR(INDEX('MAESTRO DE UNIDADES'!$C$2:$C$208,MATCH($G176,'MAESTRO DE UNIDADES'!$A$2:$A$208,0)),""))</f>
        <v/>
      </c>
      <c r="G176" s="4"/>
      <c r="H176" s="8" t="str">
        <f>IF($G176="","",IFERROR(INDEX('MAESTRO DE UNIDADES'!$F$2:$F$208,MATCH($G176,'MAESTRO DE UNIDADES'!$A$2:$A$208,0)),""))</f>
        <v/>
      </c>
      <c r="I176" s="8" t="str">
        <f>IF($G176="","",IFERROR(INDEX('MAESTRO DE UNIDADES'!$B$2:$B$208,MATCH($G176,'MAESTRO DE UNIDADES'!$A$2:$A$208,0)),""))</f>
        <v/>
      </c>
      <c r="J176" s="4"/>
      <c r="K176" s="4"/>
      <c r="L176" s="4"/>
      <c r="M176" s="8" t="str">
        <f>IF($G176="","",IFERROR(INDEX('MAESTRO DE UNIDADES'!$H$2:$H$208,MATCH($G176,'MAESTRO DE UNIDADES'!$A$2:$A$208,0)),""))</f>
        <v/>
      </c>
      <c r="N176" s="25"/>
      <c r="O176" s="25"/>
      <c r="P176" s="26" t="str">
        <f t="shared" si="19"/>
        <v/>
      </c>
      <c r="Q176" s="27"/>
      <c r="R176" s="27"/>
      <c r="S176" s="28" t="str">
        <f>IF(OR($G176="",$Q176="",COUNTIF($G$2:G175,$G176)=0),"",$Q176-LOOKUP(2,1/($G$2:G175=$G176),$Q$2:Q175))</f>
        <v/>
      </c>
      <c r="T176" s="28" t="str">
        <f>IF(OR($G176="",$R176="",COUNTIF($G$2:G175,$G176)=0),"",$R176-LOOKUP(2,1/($G$2:G175=$G176),$R$2:R175))</f>
        <v/>
      </c>
      <c r="U176" s="11" t="str">
        <f t="shared" si="20"/>
        <v/>
      </c>
      <c r="V176" s="4"/>
      <c r="W176" s="4"/>
      <c r="X176" s="55"/>
      <c r="Y176" s="56" t="str">
        <f>IF($B176="","",IF((IF($G176="","Sin unidad | ","")&amp;IF($J176="","Sin responsable | ","")&amp;IF($K176="","Sin obra | ","")&amp;IF(AND($N176&lt;&gt;"",$G176&lt;&gt;"",$N176&gt;IFERROR(INDEX('MAESTRO DE UNIDADES'!$I$2:$I$208,MATCH($G176,'MAESTRO DE UNIDADES'!$A$2:$A$208,0)),0)),"Litros &gt; tanque | ","")&amp;IF(AND($W176&lt;&gt;"",COUNTIF($W$2:$W176,$W176)&gt;1),"Ticket duplicado | ","")&amp;IF(AND($G176&lt;&gt;"",IFERROR(INDEX('MAESTRO DE UNIDADES'!$L$2:$L$208,MATCH($G176,'MAESTRO DE UNIDADES'!$A$2:$A$208,0)),"")="Inactivo"),"Unidad inactiva | ","")&amp;IF(AND($AA176&lt;&gt;"",$N176=""),"Carga de batán sin litros | ","")&amp;IF(AND($AA176&lt;&gt;"",$AC176&lt;0),"Supera saldo batán | ",""))="","OK",LEFT((IF($G176="","Sin unidad | ","")&amp;IF($J176="","Sin responsable | ","")&amp;IF($K176="","Sin obra | ","")&amp;IF(AND($N176&lt;&gt;"",$G176&lt;&gt;"",$N176&gt;IFERROR(INDEX('MAESTRO DE UNIDADES'!$I$2:$I$208,MATCH($G176,'MAESTRO DE UNIDADES'!$A$2:$A$208,0)),0)),"Litros &gt; tanque | ","")&amp;IF(AND($W176&lt;&gt;"",COUNTIF($W$2:$W176,$W176)&gt;1),"Ticket duplicado | ","")&amp;IF(AND($G176&lt;&gt;"",IFERROR(INDEX('MAESTRO DE UNIDADES'!$L$2:$L$208,MATCH($G176,'MAESTRO DE UNIDADES'!$A$2:$A$208,0)),"")="Inactivo"),"Unidad inactiva | ","")&amp;IF(AND($AA176&lt;&gt;"",$N176=""),"Carga de batán sin litros | ","")&amp;IF(AND($AA176&lt;&gt;"",$AC176&lt;0),"Supera saldo batán | ","")),LEN((IF($G176="","Sin unidad | ","")&amp;IF($J176="","Sin responsable | ","")&amp;IF($K176="","Sin obra | ","")&amp;IF(AND($N176&lt;&gt;"",$G176&lt;&gt;"",$N176&gt;IFERROR(INDEX('MAESTRO DE UNIDADES'!$I$2:$I$208,MATCH($G176,'MAESTRO DE UNIDADES'!$A$2:$A$208,0)),0)),"Litros &gt; tanque | ","")&amp;IF(AND($W176&lt;&gt;"",COUNTIF($W$2:$W176,$W176)&gt;1),"Ticket duplicado | ","")&amp;IF(AND($G176&lt;&gt;"",IFERROR(INDEX('MAESTRO DE UNIDADES'!$L$2:$L$208,MATCH($G176,'MAESTRO DE UNIDADES'!$A$2:$A$208,0)),"")="Inactivo"),"Unidad inactiva | ","")&amp;IF(AND($AA176&lt;&gt;"",$N176=""),"Carga de batán sin litros | ","")&amp;IF(AND($AA176&lt;&gt;"",$AC176&lt;0),"Supera saldo batán | ","")))-3)))</f>
        <v/>
      </c>
      <c r="Z176" s="8" t="str">
        <f t="shared" si="21"/>
        <v/>
      </c>
      <c r="AA176" s="4"/>
      <c r="AB176" s="26" t="str">
        <f>IF($AA176="","",IFERROR(INDEX('CONTROL DE BATAN'!$J$2:$J$301,MATCH($AA176,'CONTROL DE BATAN'!$A$2:$A$301,0)),""))</f>
        <v/>
      </c>
      <c r="AC176" s="28" t="str">
        <f>IF($AA176="","",IFERROR(INDEX('CONTROL DE BATAN'!$I$2:$I$301,MATCH($AA176,'CONTROL DE BATAN'!$A$2:$A$301,0)),0)-SUMIFS($N$2:$N176,$AA$2:$AA176,$AA176))</f>
        <v/>
      </c>
    </row>
    <row r="177" spans="1:29" x14ac:dyDescent="0.25">
      <c r="A177" s="8" t="str">
        <f t="shared" si="15"/>
        <v/>
      </c>
      <c r="B177" s="9"/>
      <c r="C177" s="8" t="str">
        <f t="shared" si="16"/>
        <v/>
      </c>
      <c r="D177" s="10" t="str">
        <f t="shared" si="17"/>
        <v/>
      </c>
      <c r="E177" s="8" t="str">
        <f t="shared" si="18"/>
        <v/>
      </c>
      <c r="F177" s="8" t="str">
        <f>IF($G177="","",IFERROR(INDEX('MAESTRO DE UNIDADES'!$C$2:$C$208,MATCH($G177,'MAESTRO DE UNIDADES'!$A$2:$A$208,0)),""))</f>
        <v/>
      </c>
      <c r="G177" s="4"/>
      <c r="H177" s="8" t="str">
        <f>IF($G177="","",IFERROR(INDEX('MAESTRO DE UNIDADES'!$F$2:$F$208,MATCH($G177,'MAESTRO DE UNIDADES'!$A$2:$A$208,0)),""))</f>
        <v/>
      </c>
      <c r="I177" s="8" t="str">
        <f>IF($G177="","",IFERROR(INDEX('MAESTRO DE UNIDADES'!$B$2:$B$208,MATCH($G177,'MAESTRO DE UNIDADES'!$A$2:$A$208,0)),""))</f>
        <v/>
      </c>
      <c r="J177" s="4"/>
      <c r="K177" s="4"/>
      <c r="L177" s="4"/>
      <c r="M177" s="8" t="str">
        <f>IF($G177="","",IFERROR(INDEX('MAESTRO DE UNIDADES'!$H$2:$H$208,MATCH($G177,'MAESTRO DE UNIDADES'!$A$2:$A$208,0)),""))</f>
        <v/>
      </c>
      <c r="N177" s="25"/>
      <c r="O177" s="25"/>
      <c r="P177" s="26" t="str">
        <f t="shared" si="19"/>
        <v/>
      </c>
      <c r="Q177" s="27"/>
      <c r="R177" s="27"/>
      <c r="S177" s="28" t="str">
        <f>IF(OR($G177="",$Q177="",COUNTIF($G$2:G176,$G177)=0),"",$Q177-LOOKUP(2,1/($G$2:G176=$G177),$Q$2:Q176))</f>
        <v/>
      </c>
      <c r="T177" s="28" t="str">
        <f>IF(OR($G177="",$R177="",COUNTIF($G$2:G176,$G177)=0),"",$R177-LOOKUP(2,1/($G$2:G176=$G177),$R$2:R176))</f>
        <v/>
      </c>
      <c r="U177" s="11" t="str">
        <f t="shared" si="20"/>
        <v/>
      </c>
      <c r="V177" s="4"/>
      <c r="W177" s="4"/>
      <c r="X177" s="55"/>
      <c r="Y177" s="56" t="str">
        <f>IF($B177="","",IF((IF($G177="","Sin unidad | ","")&amp;IF($J177="","Sin responsable | ","")&amp;IF($K177="","Sin obra | ","")&amp;IF(AND($N177&lt;&gt;"",$G177&lt;&gt;"",$N177&gt;IFERROR(INDEX('MAESTRO DE UNIDADES'!$I$2:$I$208,MATCH($G177,'MAESTRO DE UNIDADES'!$A$2:$A$208,0)),0)),"Litros &gt; tanque | ","")&amp;IF(AND($W177&lt;&gt;"",COUNTIF($W$2:$W177,$W177)&gt;1),"Ticket duplicado | ","")&amp;IF(AND($G177&lt;&gt;"",IFERROR(INDEX('MAESTRO DE UNIDADES'!$L$2:$L$208,MATCH($G177,'MAESTRO DE UNIDADES'!$A$2:$A$208,0)),"")="Inactivo"),"Unidad inactiva | ","")&amp;IF(AND($AA177&lt;&gt;"",$N177=""),"Carga de batán sin litros | ","")&amp;IF(AND($AA177&lt;&gt;"",$AC177&lt;0),"Supera saldo batán | ",""))="","OK",LEFT((IF($G177="","Sin unidad | ","")&amp;IF($J177="","Sin responsable | ","")&amp;IF($K177="","Sin obra | ","")&amp;IF(AND($N177&lt;&gt;"",$G177&lt;&gt;"",$N177&gt;IFERROR(INDEX('MAESTRO DE UNIDADES'!$I$2:$I$208,MATCH($G177,'MAESTRO DE UNIDADES'!$A$2:$A$208,0)),0)),"Litros &gt; tanque | ","")&amp;IF(AND($W177&lt;&gt;"",COUNTIF($W$2:$W177,$W177)&gt;1),"Ticket duplicado | ","")&amp;IF(AND($G177&lt;&gt;"",IFERROR(INDEX('MAESTRO DE UNIDADES'!$L$2:$L$208,MATCH($G177,'MAESTRO DE UNIDADES'!$A$2:$A$208,0)),"")="Inactivo"),"Unidad inactiva | ","")&amp;IF(AND($AA177&lt;&gt;"",$N177=""),"Carga de batán sin litros | ","")&amp;IF(AND($AA177&lt;&gt;"",$AC177&lt;0),"Supera saldo batán | ","")),LEN((IF($G177="","Sin unidad | ","")&amp;IF($J177="","Sin responsable | ","")&amp;IF($K177="","Sin obra | ","")&amp;IF(AND($N177&lt;&gt;"",$G177&lt;&gt;"",$N177&gt;IFERROR(INDEX('MAESTRO DE UNIDADES'!$I$2:$I$208,MATCH($G177,'MAESTRO DE UNIDADES'!$A$2:$A$208,0)),0)),"Litros &gt; tanque | ","")&amp;IF(AND($W177&lt;&gt;"",COUNTIF($W$2:$W177,$W177)&gt;1),"Ticket duplicado | ","")&amp;IF(AND($G177&lt;&gt;"",IFERROR(INDEX('MAESTRO DE UNIDADES'!$L$2:$L$208,MATCH($G177,'MAESTRO DE UNIDADES'!$A$2:$A$208,0)),"")="Inactivo"),"Unidad inactiva | ","")&amp;IF(AND($AA177&lt;&gt;"",$N177=""),"Carga de batán sin litros | ","")&amp;IF(AND($AA177&lt;&gt;"",$AC177&lt;0),"Supera saldo batán | ","")))-3)))</f>
        <v/>
      </c>
      <c r="Z177" s="8" t="str">
        <f t="shared" si="21"/>
        <v/>
      </c>
      <c r="AA177" s="4"/>
      <c r="AB177" s="26" t="str">
        <f>IF($AA177="","",IFERROR(INDEX('CONTROL DE BATAN'!$J$2:$J$301,MATCH($AA177,'CONTROL DE BATAN'!$A$2:$A$301,0)),""))</f>
        <v/>
      </c>
      <c r="AC177" s="28" t="str">
        <f>IF($AA177="","",IFERROR(INDEX('CONTROL DE BATAN'!$I$2:$I$301,MATCH($AA177,'CONTROL DE BATAN'!$A$2:$A$301,0)),0)-SUMIFS($N$2:$N177,$AA$2:$AA177,$AA177))</f>
        <v/>
      </c>
    </row>
    <row r="178" spans="1:29" x14ac:dyDescent="0.25">
      <c r="A178" s="8" t="str">
        <f t="shared" si="15"/>
        <v/>
      </c>
      <c r="B178" s="9"/>
      <c r="C178" s="8" t="str">
        <f t="shared" si="16"/>
        <v/>
      </c>
      <c r="D178" s="10" t="str">
        <f t="shared" si="17"/>
        <v/>
      </c>
      <c r="E178" s="8" t="str">
        <f t="shared" si="18"/>
        <v/>
      </c>
      <c r="F178" s="8" t="str">
        <f>IF($G178="","",IFERROR(INDEX('MAESTRO DE UNIDADES'!$C$2:$C$208,MATCH($G178,'MAESTRO DE UNIDADES'!$A$2:$A$208,0)),""))</f>
        <v/>
      </c>
      <c r="G178" s="4"/>
      <c r="H178" s="8" t="str">
        <f>IF($G178="","",IFERROR(INDEX('MAESTRO DE UNIDADES'!$F$2:$F$208,MATCH($G178,'MAESTRO DE UNIDADES'!$A$2:$A$208,0)),""))</f>
        <v/>
      </c>
      <c r="I178" s="8" t="str">
        <f>IF($G178="","",IFERROR(INDEX('MAESTRO DE UNIDADES'!$B$2:$B$208,MATCH($G178,'MAESTRO DE UNIDADES'!$A$2:$A$208,0)),""))</f>
        <v/>
      </c>
      <c r="J178" s="4"/>
      <c r="K178" s="4"/>
      <c r="L178" s="4"/>
      <c r="M178" s="8" t="str">
        <f>IF($G178="","",IFERROR(INDEX('MAESTRO DE UNIDADES'!$H$2:$H$208,MATCH($G178,'MAESTRO DE UNIDADES'!$A$2:$A$208,0)),""))</f>
        <v/>
      </c>
      <c r="N178" s="25"/>
      <c r="O178" s="25"/>
      <c r="P178" s="26" t="str">
        <f t="shared" si="19"/>
        <v/>
      </c>
      <c r="Q178" s="27"/>
      <c r="R178" s="27"/>
      <c r="S178" s="28" t="str">
        <f>IF(OR($G178="",$Q178="",COUNTIF($G$2:G177,$G178)=0),"",$Q178-LOOKUP(2,1/($G$2:G177=$G178),$Q$2:Q177))</f>
        <v/>
      </c>
      <c r="T178" s="28" t="str">
        <f>IF(OR($G178="",$R178="",COUNTIF($G$2:G177,$G178)=0),"",$R178-LOOKUP(2,1/($G$2:G177=$G178),$R$2:R177))</f>
        <v/>
      </c>
      <c r="U178" s="11" t="str">
        <f t="shared" si="20"/>
        <v/>
      </c>
      <c r="V178" s="4"/>
      <c r="W178" s="4"/>
      <c r="X178" s="55"/>
      <c r="Y178" s="56" t="str">
        <f>IF($B178="","",IF((IF($G178="","Sin unidad | ","")&amp;IF($J178="","Sin responsable | ","")&amp;IF($K178="","Sin obra | ","")&amp;IF(AND($N178&lt;&gt;"",$G178&lt;&gt;"",$N178&gt;IFERROR(INDEX('MAESTRO DE UNIDADES'!$I$2:$I$208,MATCH($G178,'MAESTRO DE UNIDADES'!$A$2:$A$208,0)),0)),"Litros &gt; tanque | ","")&amp;IF(AND($W178&lt;&gt;"",COUNTIF($W$2:$W178,$W178)&gt;1),"Ticket duplicado | ","")&amp;IF(AND($G178&lt;&gt;"",IFERROR(INDEX('MAESTRO DE UNIDADES'!$L$2:$L$208,MATCH($G178,'MAESTRO DE UNIDADES'!$A$2:$A$208,0)),"")="Inactivo"),"Unidad inactiva | ","")&amp;IF(AND($AA178&lt;&gt;"",$N178=""),"Carga de batán sin litros | ","")&amp;IF(AND($AA178&lt;&gt;"",$AC178&lt;0),"Supera saldo batán | ",""))="","OK",LEFT((IF($G178="","Sin unidad | ","")&amp;IF($J178="","Sin responsable | ","")&amp;IF($K178="","Sin obra | ","")&amp;IF(AND($N178&lt;&gt;"",$G178&lt;&gt;"",$N178&gt;IFERROR(INDEX('MAESTRO DE UNIDADES'!$I$2:$I$208,MATCH($G178,'MAESTRO DE UNIDADES'!$A$2:$A$208,0)),0)),"Litros &gt; tanque | ","")&amp;IF(AND($W178&lt;&gt;"",COUNTIF($W$2:$W178,$W178)&gt;1),"Ticket duplicado | ","")&amp;IF(AND($G178&lt;&gt;"",IFERROR(INDEX('MAESTRO DE UNIDADES'!$L$2:$L$208,MATCH($G178,'MAESTRO DE UNIDADES'!$A$2:$A$208,0)),"")="Inactivo"),"Unidad inactiva | ","")&amp;IF(AND($AA178&lt;&gt;"",$N178=""),"Carga de batán sin litros | ","")&amp;IF(AND($AA178&lt;&gt;"",$AC178&lt;0),"Supera saldo batán | ","")),LEN((IF($G178="","Sin unidad | ","")&amp;IF($J178="","Sin responsable | ","")&amp;IF($K178="","Sin obra | ","")&amp;IF(AND($N178&lt;&gt;"",$G178&lt;&gt;"",$N178&gt;IFERROR(INDEX('MAESTRO DE UNIDADES'!$I$2:$I$208,MATCH($G178,'MAESTRO DE UNIDADES'!$A$2:$A$208,0)),0)),"Litros &gt; tanque | ","")&amp;IF(AND($W178&lt;&gt;"",COUNTIF($W$2:$W178,$W178)&gt;1),"Ticket duplicado | ","")&amp;IF(AND($G178&lt;&gt;"",IFERROR(INDEX('MAESTRO DE UNIDADES'!$L$2:$L$208,MATCH($G178,'MAESTRO DE UNIDADES'!$A$2:$A$208,0)),"")="Inactivo"),"Unidad inactiva | ","")&amp;IF(AND($AA178&lt;&gt;"",$N178=""),"Carga de batán sin litros | ","")&amp;IF(AND($AA178&lt;&gt;"",$AC178&lt;0),"Supera saldo batán | ","")))-3)))</f>
        <v/>
      </c>
      <c r="Z178" s="8" t="str">
        <f t="shared" si="21"/>
        <v/>
      </c>
      <c r="AA178" s="4"/>
      <c r="AB178" s="26" t="str">
        <f>IF($AA178="","",IFERROR(INDEX('CONTROL DE BATAN'!$J$2:$J$301,MATCH($AA178,'CONTROL DE BATAN'!$A$2:$A$301,0)),""))</f>
        <v/>
      </c>
      <c r="AC178" s="28" t="str">
        <f>IF($AA178="","",IFERROR(INDEX('CONTROL DE BATAN'!$I$2:$I$301,MATCH($AA178,'CONTROL DE BATAN'!$A$2:$A$301,0)),0)-SUMIFS($N$2:$N178,$AA$2:$AA178,$AA178))</f>
        <v/>
      </c>
    </row>
    <row r="179" spans="1:29" x14ac:dyDescent="0.25">
      <c r="A179" s="8" t="str">
        <f t="shared" si="15"/>
        <v/>
      </c>
      <c r="B179" s="9"/>
      <c r="C179" s="8" t="str">
        <f t="shared" si="16"/>
        <v/>
      </c>
      <c r="D179" s="10" t="str">
        <f t="shared" si="17"/>
        <v/>
      </c>
      <c r="E179" s="8" t="str">
        <f t="shared" si="18"/>
        <v/>
      </c>
      <c r="F179" s="8" t="str">
        <f>IF($G179="","",IFERROR(INDEX('MAESTRO DE UNIDADES'!$C$2:$C$208,MATCH($G179,'MAESTRO DE UNIDADES'!$A$2:$A$208,0)),""))</f>
        <v/>
      </c>
      <c r="G179" s="4"/>
      <c r="H179" s="8" t="str">
        <f>IF($G179="","",IFERROR(INDEX('MAESTRO DE UNIDADES'!$F$2:$F$208,MATCH($G179,'MAESTRO DE UNIDADES'!$A$2:$A$208,0)),""))</f>
        <v/>
      </c>
      <c r="I179" s="8" t="str">
        <f>IF($G179="","",IFERROR(INDEX('MAESTRO DE UNIDADES'!$B$2:$B$208,MATCH($G179,'MAESTRO DE UNIDADES'!$A$2:$A$208,0)),""))</f>
        <v/>
      </c>
      <c r="J179" s="4"/>
      <c r="K179" s="4"/>
      <c r="L179" s="4"/>
      <c r="M179" s="8" t="str">
        <f>IF($G179="","",IFERROR(INDEX('MAESTRO DE UNIDADES'!$H$2:$H$208,MATCH($G179,'MAESTRO DE UNIDADES'!$A$2:$A$208,0)),""))</f>
        <v/>
      </c>
      <c r="N179" s="25"/>
      <c r="O179" s="25"/>
      <c r="P179" s="26" t="str">
        <f t="shared" si="19"/>
        <v/>
      </c>
      <c r="Q179" s="27"/>
      <c r="R179" s="27"/>
      <c r="S179" s="28" t="str">
        <f>IF(OR($G179="",$Q179="",COUNTIF($G$2:G178,$G179)=0),"",$Q179-LOOKUP(2,1/($G$2:G178=$G179),$Q$2:Q178))</f>
        <v/>
      </c>
      <c r="T179" s="28" t="str">
        <f>IF(OR($G179="",$R179="",COUNTIF($G$2:G178,$G179)=0),"",$R179-LOOKUP(2,1/($G$2:G178=$G179),$R$2:R178))</f>
        <v/>
      </c>
      <c r="U179" s="11" t="str">
        <f t="shared" si="20"/>
        <v/>
      </c>
      <c r="V179" s="4"/>
      <c r="W179" s="4"/>
      <c r="X179" s="55"/>
      <c r="Y179" s="56" t="str">
        <f>IF($B179="","",IF((IF($G179="","Sin unidad | ","")&amp;IF($J179="","Sin responsable | ","")&amp;IF($K179="","Sin obra | ","")&amp;IF(AND($N179&lt;&gt;"",$G179&lt;&gt;"",$N179&gt;IFERROR(INDEX('MAESTRO DE UNIDADES'!$I$2:$I$208,MATCH($G179,'MAESTRO DE UNIDADES'!$A$2:$A$208,0)),0)),"Litros &gt; tanque | ","")&amp;IF(AND($W179&lt;&gt;"",COUNTIF($W$2:$W179,$W179)&gt;1),"Ticket duplicado | ","")&amp;IF(AND($G179&lt;&gt;"",IFERROR(INDEX('MAESTRO DE UNIDADES'!$L$2:$L$208,MATCH($G179,'MAESTRO DE UNIDADES'!$A$2:$A$208,0)),"")="Inactivo"),"Unidad inactiva | ","")&amp;IF(AND($AA179&lt;&gt;"",$N179=""),"Carga de batán sin litros | ","")&amp;IF(AND($AA179&lt;&gt;"",$AC179&lt;0),"Supera saldo batán | ",""))="","OK",LEFT((IF($G179="","Sin unidad | ","")&amp;IF($J179="","Sin responsable | ","")&amp;IF($K179="","Sin obra | ","")&amp;IF(AND($N179&lt;&gt;"",$G179&lt;&gt;"",$N179&gt;IFERROR(INDEX('MAESTRO DE UNIDADES'!$I$2:$I$208,MATCH($G179,'MAESTRO DE UNIDADES'!$A$2:$A$208,0)),0)),"Litros &gt; tanque | ","")&amp;IF(AND($W179&lt;&gt;"",COUNTIF($W$2:$W179,$W179)&gt;1),"Ticket duplicado | ","")&amp;IF(AND($G179&lt;&gt;"",IFERROR(INDEX('MAESTRO DE UNIDADES'!$L$2:$L$208,MATCH($G179,'MAESTRO DE UNIDADES'!$A$2:$A$208,0)),"")="Inactivo"),"Unidad inactiva | ","")&amp;IF(AND($AA179&lt;&gt;"",$N179=""),"Carga de batán sin litros | ","")&amp;IF(AND($AA179&lt;&gt;"",$AC179&lt;0),"Supera saldo batán | ","")),LEN((IF($G179="","Sin unidad | ","")&amp;IF($J179="","Sin responsable | ","")&amp;IF($K179="","Sin obra | ","")&amp;IF(AND($N179&lt;&gt;"",$G179&lt;&gt;"",$N179&gt;IFERROR(INDEX('MAESTRO DE UNIDADES'!$I$2:$I$208,MATCH($G179,'MAESTRO DE UNIDADES'!$A$2:$A$208,0)),0)),"Litros &gt; tanque | ","")&amp;IF(AND($W179&lt;&gt;"",COUNTIF($W$2:$W179,$W179)&gt;1),"Ticket duplicado | ","")&amp;IF(AND($G179&lt;&gt;"",IFERROR(INDEX('MAESTRO DE UNIDADES'!$L$2:$L$208,MATCH($G179,'MAESTRO DE UNIDADES'!$A$2:$A$208,0)),"")="Inactivo"),"Unidad inactiva | ","")&amp;IF(AND($AA179&lt;&gt;"",$N179=""),"Carga de batán sin litros | ","")&amp;IF(AND($AA179&lt;&gt;"",$AC179&lt;0),"Supera saldo batán | ","")))-3)))</f>
        <v/>
      </c>
      <c r="Z179" s="8" t="str">
        <f t="shared" si="21"/>
        <v/>
      </c>
      <c r="AA179" s="4"/>
      <c r="AB179" s="26" t="str">
        <f>IF($AA179="","",IFERROR(INDEX('CONTROL DE BATAN'!$J$2:$J$301,MATCH($AA179,'CONTROL DE BATAN'!$A$2:$A$301,0)),""))</f>
        <v/>
      </c>
      <c r="AC179" s="28" t="str">
        <f>IF($AA179="","",IFERROR(INDEX('CONTROL DE BATAN'!$I$2:$I$301,MATCH($AA179,'CONTROL DE BATAN'!$A$2:$A$301,0)),0)-SUMIFS($N$2:$N179,$AA$2:$AA179,$AA179))</f>
        <v/>
      </c>
    </row>
    <row r="180" spans="1:29" x14ac:dyDescent="0.25">
      <c r="A180" s="8" t="str">
        <f t="shared" si="15"/>
        <v/>
      </c>
      <c r="B180" s="9"/>
      <c r="C180" s="8" t="str">
        <f t="shared" si="16"/>
        <v/>
      </c>
      <c r="D180" s="10" t="str">
        <f t="shared" si="17"/>
        <v/>
      </c>
      <c r="E180" s="8" t="str">
        <f t="shared" si="18"/>
        <v/>
      </c>
      <c r="F180" s="8" t="str">
        <f>IF($G180="","",IFERROR(INDEX('MAESTRO DE UNIDADES'!$C$2:$C$208,MATCH($G180,'MAESTRO DE UNIDADES'!$A$2:$A$208,0)),""))</f>
        <v/>
      </c>
      <c r="G180" s="4"/>
      <c r="H180" s="8" t="str">
        <f>IF($G180="","",IFERROR(INDEX('MAESTRO DE UNIDADES'!$F$2:$F$208,MATCH($G180,'MAESTRO DE UNIDADES'!$A$2:$A$208,0)),""))</f>
        <v/>
      </c>
      <c r="I180" s="8" t="str">
        <f>IF($G180="","",IFERROR(INDEX('MAESTRO DE UNIDADES'!$B$2:$B$208,MATCH($G180,'MAESTRO DE UNIDADES'!$A$2:$A$208,0)),""))</f>
        <v/>
      </c>
      <c r="J180" s="4"/>
      <c r="K180" s="4"/>
      <c r="L180" s="4"/>
      <c r="M180" s="8" t="str">
        <f>IF($G180="","",IFERROR(INDEX('MAESTRO DE UNIDADES'!$H$2:$H$208,MATCH($G180,'MAESTRO DE UNIDADES'!$A$2:$A$208,0)),""))</f>
        <v/>
      </c>
      <c r="N180" s="25"/>
      <c r="O180" s="25"/>
      <c r="P180" s="26" t="str">
        <f t="shared" si="19"/>
        <v/>
      </c>
      <c r="Q180" s="27"/>
      <c r="R180" s="27"/>
      <c r="S180" s="28" t="str">
        <f>IF(OR($G180="",$Q180="",COUNTIF($G$2:G179,$G180)=0),"",$Q180-LOOKUP(2,1/($G$2:G179=$G180),$Q$2:Q179))</f>
        <v/>
      </c>
      <c r="T180" s="28" t="str">
        <f>IF(OR($G180="",$R180="",COUNTIF($G$2:G179,$G180)=0),"",$R180-LOOKUP(2,1/($G$2:G179=$G180),$R$2:R179))</f>
        <v/>
      </c>
      <c r="U180" s="11" t="str">
        <f t="shared" si="20"/>
        <v/>
      </c>
      <c r="V180" s="4"/>
      <c r="W180" s="4"/>
      <c r="X180" s="55"/>
      <c r="Y180" s="56" t="str">
        <f>IF($B180="","",IF((IF($G180="","Sin unidad | ","")&amp;IF($J180="","Sin responsable | ","")&amp;IF($K180="","Sin obra | ","")&amp;IF(AND($N180&lt;&gt;"",$G180&lt;&gt;"",$N180&gt;IFERROR(INDEX('MAESTRO DE UNIDADES'!$I$2:$I$208,MATCH($G180,'MAESTRO DE UNIDADES'!$A$2:$A$208,0)),0)),"Litros &gt; tanque | ","")&amp;IF(AND($W180&lt;&gt;"",COUNTIF($W$2:$W180,$W180)&gt;1),"Ticket duplicado | ","")&amp;IF(AND($G180&lt;&gt;"",IFERROR(INDEX('MAESTRO DE UNIDADES'!$L$2:$L$208,MATCH($G180,'MAESTRO DE UNIDADES'!$A$2:$A$208,0)),"")="Inactivo"),"Unidad inactiva | ","")&amp;IF(AND($AA180&lt;&gt;"",$N180=""),"Carga de batán sin litros | ","")&amp;IF(AND($AA180&lt;&gt;"",$AC180&lt;0),"Supera saldo batán | ",""))="","OK",LEFT((IF($G180="","Sin unidad | ","")&amp;IF($J180="","Sin responsable | ","")&amp;IF($K180="","Sin obra | ","")&amp;IF(AND($N180&lt;&gt;"",$G180&lt;&gt;"",$N180&gt;IFERROR(INDEX('MAESTRO DE UNIDADES'!$I$2:$I$208,MATCH($G180,'MAESTRO DE UNIDADES'!$A$2:$A$208,0)),0)),"Litros &gt; tanque | ","")&amp;IF(AND($W180&lt;&gt;"",COUNTIF($W$2:$W180,$W180)&gt;1),"Ticket duplicado | ","")&amp;IF(AND($G180&lt;&gt;"",IFERROR(INDEX('MAESTRO DE UNIDADES'!$L$2:$L$208,MATCH($G180,'MAESTRO DE UNIDADES'!$A$2:$A$208,0)),"")="Inactivo"),"Unidad inactiva | ","")&amp;IF(AND($AA180&lt;&gt;"",$N180=""),"Carga de batán sin litros | ","")&amp;IF(AND($AA180&lt;&gt;"",$AC180&lt;0),"Supera saldo batán | ","")),LEN((IF($G180="","Sin unidad | ","")&amp;IF($J180="","Sin responsable | ","")&amp;IF($K180="","Sin obra | ","")&amp;IF(AND($N180&lt;&gt;"",$G180&lt;&gt;"",$N180&gt;IFERROR(INDEX('MAESTRO DE UNIDADES'!$I$2:$I$208,MATCH($G180,'MAESTRO DE UNIDADES'!$A$2:$A$208,0)),0)),"Litros &gt; tanque | ","")&amp;IF(AND($W180&lt;&gt;"",COUNTIF($W$2:$W180,$W180)&gt;1),"Ticket duplicado | ","")&amp;IF(AND($G180&lt;&gt;"",IFERROR(INDEX('MAESTRO DE UNIDADES'!$L$2:$L$208,MATCH($G180,'MAESTRO DE UNIDADES'!$A$2:$A$208,0)),"")="Inactivo"),"Unidad inactiva | ","")&amp;IF(AND($AA180&lt;&gt;"",$N180=""),"Carga de batán sin litros | ","")&amp;IF(AND($AA180&lt;&gt;"",$AC180&lt;0),"Supera saldo batán | ","")))-3)))</f>
        <v/>
      </c>
      <c r="Z180" s="8" t="str">
        <f t="shared" si="21"/>
        <v/>
      </c>
      <c r="AA180" s="4"/>
      <c r="AB180" s="26" t="str">
        <f>IF($AA180="","",IFERROR(INDEX('CONTROL DE BATAN'!$J$2:$J$301,MATCH($AA180,'CONTROL DE BATAN'!$A$2:$A$301,0)),""))</f>
        <v/>
      </c>
      <c r="AC180" s="28" t="str">
        <f>IF($AA180="","",IFERROR(INDEX('CONTROL DE BATAN'!$I$2:$I$301,MATCH($AA180,'CONTROL DE BATAN'!$A$2:$A$301,0)),0)-SUMIFS($N$2:$N180,$AA$2:$AA180,$AA180))</f>
        <v/>
      </c>
    </row>
    <row r="181" spans="1:29" x14ac:dyDescent="0.25">
      <c r="A181" s="8" t="str">
        <f t="shared" si="15"/>
        <v/>
      </c>
      <c r="B181" s="9"/>
      <c r="C181" s="8" t="str">
        <f t="shared" si="16"/>
        <v/>
      </c>
      <c r="D181" s="10" t="str">
        <f t="shared" si="17"/>
        <v/>
      </c>
      <c r="E181" s="8" t="str">
        <f t="shared" si="18"/>
        <v/>
      </c>
      <c r="F181" s="8" t="str">
        <f>IF($G181="","",IFERROR(INDEX('MAESTRO DE UNIDADES'!$C$2:$C$208,MATCH($G181,'MAESTRO DE UNIDADES'!$A$2:$A$208,0)),""))</f>
        <v/>
      </c>
      <c r="G181" s="4"/>
      <c r="H181" s="8" t="str">
        <f>IF($G181="","",IFERROR(INDEX('MAESTRO DE UNIDADES'!$F$2:$F$208,MATCH($G181,'MAESTRO DE UNIDADES'!$A$2:$A$208,0)),""))</f>
        <v/>
      </c>
      <c r="I181" s="8" t="str">
        <f>IF($G181="","",IFERROR(INDEX('MAESTRO DE UNIDADES'!$B$2:$B$208,MATCH($G181,'MAESTRO DE UNIDADES'!$A$2:$A$208,0)),""))</f>
        <v/>
      </c>
      <c r="J181" s="4"/>
      <c r="K181" s="4"/>
      <c r="L181" s="4"/>
      <c r="M181" s="8" t="str">
        <f>IF($G181="","",IFERROR(INDEX('MAESTRO DE UNIDADES'!$H$2:$H$208,MATCH($G181,'MAESTRO DE UNIDADES'!$A$2:$A$208,0)),""))</f>
        <v/>
      </c>
      <c r="N181" s="25"/>
      <c r="O181" s="25"/>
      <c r="P181" s="26" t="str">
        <f t="shared" si="19"/>
        <v/>
      </c>
      <c r="Q181" s="27"/>
      <c r="R181" s="27"/>
      <c r="S181" s="28" t="str">
        <f>IF(OR($G181="",$Q181="",COUNTIF($G$2:G180,$G181)=0),"",$Q181-LOOKUP(2,1/($G$2:G180=$G181),$Q$2:Q180))</f>
        <v/>
      </c>
      <c r="T181" s="28" t="str">
        <f>IF(OR($G181="",$R181="",COUNTIF($G$2:G180,$G181)=0),"",$R181-LOOKUP(2,1/($G$2:G180=$G181),$R$2:R180))</f>
        <v/>
      </c>
      <c r="U181" s="11" t="str">
        <f t="shared" si="20"/>
        <v/>
      </c>
      <c r="V181" s="4"/>
      <c r="W181" s="4"/>
      <c r="X181" s="55"/>
      <c r="Y181" s="56" t="str">
        <f>IF($B181="","",IF((IF($G181="","Sin unidad | ","")&amp;IF($J181="","Sin responsable | ","")&amp;IF($K181="","Sin obra | ","")&amp;IF(AND($N181&lt;&gt;"",$G181&lt;&gt;"",$N181&gt;IFERROR(INDEX('MAESTRO DE UNIDADES'!$I$2:$I$208,MATCH($G181,'MAESTRO DE UNIDADES'!$A$2:$A$208,0)),0)),"Litros &gt; tanque | ","")&amp;IF(AND($W181&lt;&gt;"",COUNTIF($W$2:$W181,$W181)&gt;1),"Ticket duplicado | ","")&amp;IF(AND($G181&lt;&gt;"",IFERROR(INDEX('MAESTRO DE UNIDADES'!$L$2:$L$208,MATCH($G181,'MAESTRO DE UNIDADES'!$A$2:$A$208,0)),"")="Inactivo"),"Unidad inactiva | ","")&amp;IF(AND($AA181&lt;&gt;"",$N181=""),"Carga de batán sin litros | ","")&amp;IF(AND($AA181&lt;&gt;"",$AC181&lt;0),"Supera saldo batán | ",""))="","OK",LEFT((IF($G181="","Sin unidad | ","")&amp;IF($J181="","Sin responsable | ","")&amp;IF($K181="","Sin obra | ","")&amp;IF(AND($N181&lt;&gt;"",$G181&lt;&gt;"",$N181&gt;IFERROR(INDEX('MAESTRO DE UNIDADES'!$I$2:$I$208,MATCH($G181,'MAESTRO DE UNIDADES'!$A$2:$A$208,0)),0)),"Litros &gt; tanque | ","")&amp;IF(AND($W181&lt;&gt;"",COUNTIF($W$2:$W181,$W181)&gt;1),"Ticket duplicado | ","")&amp;IF(AND($G181&lt;&gt;"",IFERROR(INDEX('MAESTRO DE UNIDADES'!$L$2:$L$208,MATCH($G181,'MAESTRO DE UNIDADES'!$A$2:$A$208,0)),"")="Inactivo"),"Unidad inactiva | ","")&amp;IF(AND($AA181&lt;&gt;"",$N181=""),"Carga de batán sin litros | ","")&amp;IF(AND($AA181&lt;&gt;"",$AC181&lt;0),"Supera saldo batán | ","")),LEN((IF($G181="","Sin unidad | ","")&amp;IF($J181="","Sin responsable | ","")&amp;IF($K181="","Sin obra | ","")&amp;IF(AND($N181&lt;&gt;"",$G181&lt;&gt;"",$N181&gt;IFERROR(INDEX('MAESTRO DE UNIDADES'!$I$2:$I$208,MATCH($G181,'MAESTRO DE UNIDADES'!$A$2:$A$208,0)),0)),"Litros &gt; tanque | ","")&amp;IF(AND($W181&lt;&gt;"",COUNTIF($W$2:$W181,$W181)&gt;1),"Ticket duplicado | ","")&amp;IF(AND($G181&lt;&gt;"",IFERROR(INDEX('MAESTRO DE UNIDADES'!$L$2:$L$208,MATCH($G181,'MAESTRO DE UNIDADES'!$A$2:$A$208,0)),"")="Inactivo"),"Unidad inactiva | ","")&amp;IF(AND($AA181&lt;&gt;"",$N181=""),"Carga de batán sin litros | ","")&amp;IF(AND($AA181&lt;&gt;"",$AC181&lt;0),"Supera saldo batán | ","")))-3)))</f>
        <v/>
      </c>
      <c r="Z181" s="8" t="str">
        <f t="shared" si="21"/>
        <v/>
      </c>
      <c r="AA181" s="4"/>
      <c r="AB181" s="26" t="str">
        <f>IF($AA181="","",IFERROR(INDEX('CONTROL DE BATAN'!$J$2:$J$301,MATCH($AA181,'CONTROL DE BATAN'!$A$2:$A$301,0)),""))</f>
        <v/>
      </c>
      <c r="AC181" s="28" t="str">
        <f>IF($AA181="","",IFERROR(INDEX('CONTROL DE BATAN'!$I$2:$I$301,MATCH($AA181,'CONTROL DE BATAN'!$A$2:$A$301,0)),0)-SUMIFS($N$2:$N181,$AA$2:$AA181,$AA181))</f>
        <v/>
      </c>
    </row>
    <row r="182" spans="1:29" x14ac:dyDescent="0.25">
      <c r="A182" s="8" t="str">
        <f t="shared" si="15"/>
        <v/>
      </c>
      <c r="B182" s="9"/>
      <c r="C182" s="8" t="str">
        <f t="shared" si="16"/>
        <v/>
      </c>
      <c r="D182" s="10" t="str">
        <f t="shared" si="17"/>
        <v/>
      </c>
      <c r="E182" s="8" t="str">
        <f t="shared" si="18"/>
        <v/>
      </c>
      <c r="F182" s="8" t="str">
        <f>IF($G182="","",IFERROR(INDEX('MAESTRO DE UNIDADES'!$C$2:$C$208,MATCH($G182,'MAESTRO DE UNIDADES'!$A$2:$A$208,0)),""))</f>
        <v/>
      </c>
      <c r="G182" s="4"/>
      <c r="H182" s="8" t="str">
        <f>IF($G182="","",IFERROR(INDEX('MAESTRO DE UNIDADES'!$F$2:$F$208,MATCH($G182,'MAESTRO DE UNIDADES'!$A$2:$A$208,0)),""))</f>
        <v/>
      </c>
      <c r="I182" s="8" t="str">
        <f>IF($G182="","",IFERROR(INDEX('MAESTRO DE UNIDADES'!$B$2:$B$208,MATCH($G182,'MAESTRO DE UNIDADES'!$A$2:$A$208,0)),""))</f>
        <v/>
      </c>
      <c r="J182" s="4"/>
      <c r="K182" s="4"/>
      <c r="L182" s="4"/>
      <c r="M182" s="8" t="str">
        <f>IF($G182="","",IFERROR(INDEX('MAESTRO DE UNIDADES'!$H$2:$H$208,MATCH($G182,'MAESTRO DE UNIDADES'!$A$2:$A$208,0)),""))</f>
        <v/>
      </c>
      <c r="N182" s="25"/>
      <c r="O182" s="25"/>
      <c r="P182" s="26" t="str">
        <f t="shared" si="19"/>
        <v/>
      </c>
      <c r="Q182" s="27"/>
      <c r="R182" s="27"/>
      <c r="S182" s="28" t="str">
        <f>IF(OR($G182="",$Q182="",COUNTIF($G$2:G181,$G182)=0),"",$Q182-LOOKUP(2,1/($G$2:G181=$G182),$Q$2:Q181))</f>
        <v/>
      </c>
      <c r="T182" s="28" t="str">
        <f>IF(OR($G182="",$R182="",COUNTIF($G$2:G181,$G182)=0),"",$R182-LOOKUP(2,1/($G$2:G181=$G182),$R$2:R181))</f>
        <v/>
      </c>
      <c r="U182" s="11" t="str">
        <f t="shared" si="20"/>
        <v/>
      </c>
      <c r="V182" s="4"/>
      <c r="W182" s="4"/>
      <c r="X182" s="55"/>
      <c r="Y182" s="56" t="str">
        <f>IF($B182="","",IF((IF($G182="","Sin unidad | ","")&amp;IF($J182="","Sin responsable | ","")&amp;IF($K182="","Sin obra | ","")&amp;IF(AND($N182&lt;&gt;"",$G182&lt;&gt;"",$N182&gt;IFERROR(INDEX('MAESTRO DE UNIDADES'!$I$2:$I$208,MATCH($G182,'MAESTRO DE UNIDADES'!$A$2:$A$208,0)),0)),"Litros &gt; tanque | ","")&amp;IF(AND($W182&lt;&gt;"",COUNTIF($W$2:$W182,$W182)&gt;1),"Ticket duplicado | ","")&amp;IF(AND($G182&lt;&gt;"",IFERROR(INDEX('MAESTRO DE UNIDADES'!$L$2:$L$208,MATCH($G182,'MAESTRO DE UNIDADES'!$A$2:$A$208,0)),"")="Inactivo"),"Unidad inactiva | ","")&amp;IF(AND($AA182&lt;&gt;"",$N182=""),"Carga de batán sin litros | ","")&amp;IF(AND($AA182&lt;&gt;"",$AC182&lt;0),"Supera saldo batán | ",""))="","OK",LEFT((IF($G182="","Sin unidad | ","")&amp;IF($J182="","Sin responsable | ","")&amp;IF($K182="","Sin obra | ","")&amp;IF(AND($N182&lt;&gt;"",$G182&lt;&gt;"",$N182&gt;IFERROR(INDEX('MAESTRO DE UNIDADES'!$I$2:$I$208,MATCH($G182,'MAESTRO DE UNIDADES'!$A$2:$A$208,0)),0)),"Litros &gt; tanque | ","")&amp;IF(AND($W182&lt;&gt;"",COUNTIF($W$2:$W182,$W182)&gt;1),"Ticket duplicado | ","")&amp;IF(AND($G182&lt;&gt;"",IFERROR(INDEX('MAESTRO DE UNIDADES'!$L$2:$L$208,MATCH($G182,'MAESTRO DE UNIDADES'!$A$2:$A$208,0)),"")="Inactivo"),"Unidad inactiva | ","")&amp;IF(AND($AA182&lt;&gt;"",$N182=""),"Carga de batán sin litros | ","")&amp;IF(AND($AA182&lt;&gt;"",$AC182&lt;0),"Supera saldo batán | ","")),LEN((IF($G182="","Sin unidad | ","")&amp;IF($J182="","Sin responsable | ","")&amp;IF($K182="","Sin obra | ","")&amp;IF(AND($N182&lt;&gt;"",$G182&lt;&gt;"",$N182&gt;IFERROR(INDEX('MAESTRO DE UNIDADES'!$I$2:$I$208,MATCH($G182,'MAESTRO DE UNIDADES'!$A$2:$A$208,0)),0)),"Litros &gt; tanque | ","")&amp;IF(AND($W182&lt;&gt;"",COUNTIF($W$2:$W182,$W182)&gt;1),"Ticket duplicado | ","")&amp;IF(AND($G182&lt;&gt;"",IFERROR(INDEX('MAESTRO DE UNIDADES'!$L$2:$L$208,MATCH($G182,'MAESTRO DE UNIDADES'!$A$2:$A$208,0)),"")="Inactivo"),"Unidad inactiva | ","")&amp;IF(AND($AA182&lt;&gt;"",$N182=""),"Carga de batán sin litros | ","")&amp;IF(AND($AA182&lt;&gt;"",$AC182&lt;0),"Supera saldo batán | ","")))-3)))</f>
        <v/>
      </c>
      <c r="Z182" s="8" t="str">
        <f t="shared" si="21"/>
        <v/>
      </c>
      <c r="AA182" s="4"/>
      <c r="AB182" s="26" t="str">
        <f>IF($AA182="","",IFERROR(INDEX('CONTROL DE BATAN'!$J$2:$J$301,MATCH($AA182,'CONTROL DE BATAN'!$A$2:$A$301,0)),""))</f>
        <v/>
      </c>
      <c r="AC182" s="28" t="str">
        <f>IF($AA182="","",IFERROR(INDEX('CONTROL DE BATAN'!$I$2:$I$301,MATCH($AA182,'CONTROL DE BATAN'!$A$2:$A$301,0)),0)-SUMIFS($N$2:$N182,$AA$2:$AA182,$AA182))</f>
        <v/>
      </c>
    </row>
    <row r="183" spans="1:29" x14ac:dyDescent="0.25">
      <c r="A183" s="8" t="str">
        <f t="shared" si="15"/>
        <v/>
      </c>
      <c r="B183" s="9"/>
      <c r="C183" s="8" t="str">
        <f t="shared" si="16"/>
        <v/>
      </c>
      <c r="D183" s="10" t="str">
        <f t="shared" si="17"/>
        <v/>
      </c>
      <c r="E183" s="8" t="str">
        <f t="shared" si="18"/>
        <v/>
      </c>
      <c r="F183" s="8" t="str">
        <f>IF($G183="","",IFERROR(INDEX('MAESTRO DE UNIDADES'!$C$2:$C$208,MATCH($G183,'MAESTRO DE UNIDADES'!$A$2:$A$208,0)),""))</f>
        <v/>
      </c>
      <c r="G183" s="4"/>
      <c r="H183" s="8" t="str">
        <f>IF($G183="","",IFERROR(INDEX('MAESTRO DE UNIDADES'!$F$2:$F$208,MATCH($G183,'MAESTRO DE UNIDADES'!$A$2:$A$208,0)),""))</f>
        <v/>
      </c>
      <c r="I183" s="8" t="str">
        <f>IF($G183="","",IFERROR(INDEX('MAESTRO DE UNIDADES'!$B$2:$B$208,MATCH($G183,'MAESTRO DE UNIDADES'!$A$2:$A$208,0)),""))</f>
        <v/>
      </c>
      <c r="J183" s="4"/>
      <c r="K183" s="4"/>
      <c r="L183" s="4"/>
      <c r="M183" s="8" t="str">
        <f>IF($G183="","",IFERROR(INDEX('MAESTRO DE UNIDADES'!$H$2:$H$208,MATCH($G183,'MAESTRO DE UNIDADES'!$A$2:$A$208,0)),""))</f>
        <v/>
      </c>
      <c r="N183" s="25"/>
      <c r="O183" s="25"/>
      <c r="P183" s="26" t="str">
        <f t="shared" si="19"/>
        <v/>
      </c>
      <c r="Q183" s="27"/>
      <c r="R183" s="27"/>
      <c r="S183" s="28" t="str">
        <f>IF(OR($G183="",$Q183="",COUNTIF($G$2:G182,$G183)=0),"",$Q183-LOOKUP(2,1/($G$2:G182=$G183),$Q$2:Q182))</f>
        <v/>
      </c>
      <c r="T183" s="28" t="str">
        <f>IF(OR($G183="",$R183="",COUNTIF($G$2:G182,$G183)=0),"",$R183-LOOKUP(2,1/($G$2:G182=$G183),$R$2:R182))</f>
        <v/>
      </c>
      <c r="U183" s="11" t="str">
        <f t="shared" si="20"/>
        <v/>
      </c>
      <c r="V183" s="4"/>
      <c r="W183" s="4"/>
      <c r="X183" s="55"/>
      <c r="Y183" s="56" t="str">
        <f>IF($B183="","",IF((IF($G183="","Sin unidad | ","")&amp;IF($J183="","Sin responsable | ","")&amp;IF($K183="","Sin obra | ","")&amp;IF(AND($N183&lt;&gt;"",$G183&lt;&gt;"",$N183&gt;IFERROR(INDEX('MAESTRO DE UNIDADES'!$I$2:$I$208,MATCH($G183,'MAESTRO DE UNIDADES'!$A$2:$A$208,0)),0)),"Litros &gt; tanque | ","")&amp;IF(AND($W183&lt;&gt;"",COUNTIF($W$2:$W183,$W183)&gt;1),"Ticket duplicado | ","")&amp;IF(AND($G183&lt;&gt;"",IFERROR(INDEX('MAESTRO DE UNIDADES'!$L$2:$L$208,MATCH($G183,'MAESTRO DE UNIDADES'!$A$2:$A$208,0)),"")="Inactivo"),"Unidad inactiva | ","")&amp;IF(AND($AA183&lt;&gt;"",$N183=""),"Carga de batán sin litros | ","")&amp;IF(AND($AA183&lt;&gt;"",$AC183&lt;0),"Supera saldo batán | ",""))="","OK",LEFT((IF($G183="","Sin unidad | ","")&amp;IF($J183="","Sin responsable | ","")&amp;IF($K183="","Sin obra | ","")&amp;IF(AND($N183&lt;&gt;"",$G183&lt;&gt;"",$N183&gt;IFERROR(INDEX('MAESTRO DE UNIDADES'!$I$2:$I$208,MATCH($G183,'MAESTRO DE UNIDADES'!$A$2:$A$208,0)),0)),"Litros &gt; tanque | ","")&amp;IF(AND($W183&lt;&gt;"",COUNTIF($W$2:$W183,$W183)&gt;1),"Ticket duplicado | ","")&amp;IF(AND($G183&lt;&gt;"",IFERROR(INDEX('MAESTRO DE UNIDADES'!$L$2:$L$208,MATCH($G183,'MAESTRO DE UNIDADES'!$A$2:$A$208,0)),"")="Inactivo"),"Unidad inactiva | ","")&amp;IF(AND($AA183&lt;&gt;"",$N183=""),"Carga de batán sin litros | ","")&amp;IF(AND($AA183&lt;&gt;"",$AC183&lt;0),"Supera saldo batán | ","")),LEN((IF($G183="","Sin unidad | ","")&amp;IF($J183="","Sin responsable | ","")&amp;IF($K183="","Sin obra | ","")&amp;IF(AND($N183&lt;&gt;"",$G183&lt;&gt;"",$N183&gt;IFERROR(INDEX('MAESTRO DE UNIDADES'!$I$2:$I$208,MATCH($G183,'MAESTRO DE UNIDADES'!$A$2:$A$208,0)),0)),"Litros &gt; tanque | ","")&amp;IF(AND($W183&lt;&gt;"",COUNTIF($W$2:$W183,$W183)&gt;1),"Ticket duplicado | ","")&amp;IF(AND($G183&lt;&gt;"",IFERROR(INDEX('MAESTRO DE UNIDADES'!$L$2:$L$208,MATCH($G183,'MAESTRO DE UNIDADES'!$A$2:$A$208,0)),"")="Inactivo"),"Unidad inactiva | ","")&amp;IF(AND($AA183&lt;&gt;"",$N183=""),"Carga de batán sin litros | ","")&amp;IF(AND($AA183&lt;&gt;"",$AC183&lt;0),"Supera saldo batán | ","")))-3)))</f>
        <v/>
      </c>
      <c r="Z183" s="8" t="str">
        <f t="shared" si="21"/>
        <v/>
      </c>
      <c r="AA183" s="4"/>
      <c r="AB183" s="26" t="str">
        <f>IF($AA183="","",IFERROR(INDEX('CONTROL DE BATAN'!$J$2:$J$301,MATCH($AA183,'CONTROL DE BATAN'!$A$2:$A$301,0)),""))</f>
        <v/>
      </c>
      <c r="AC183" s="28" t="str">
        <f>IF($AA183="","",IFERROR(INDEX('CONTROL DE BATAN'!$I$2:$I$301,MATCH($AA183,'CONTROL DE BATAN'!$A$2:$A$301,0)),0)-SUMIFS($N$2:$N183,$AA$2:$AA183,$AA183))</f>
        <v/>
      </c>
    </row>
    <row r="184" spans="1:29" x14ac:dyDescent="0.25">
      <c r="A184" s="8" t="str">
        <f t="shared" si="15"/>
        <v/>
      </c>
      <c r="B184" s="9"/>
      <c r="C184" s="8" t="str">
        <f t="shared" si="16"/>
        <v/>
      </c>
      <c r="D184" s="10" t="str">
        <f t="shared" si="17"/>
        <v/>
      </c>
      <c r="E184" s="8" t="str">
        <f t="shared" si="18"/>
        <v/>
      </c>
      <c r="F184" s="8" t="str">
        <f>IF($G184="","",IFERROR(INDEX('MAESTRO DE UNIDADES'!$C$2:$C$208,MATCH($G184,'MAESTRO DE UNIDADES'!$A$2:$A$208,0)),""))</f>
        <v/>
      </c>
      <c r="G184" s="4"/>
      <c r="H184" s="8" t="str">
        <f>IF($G184="","",IFERROR(INDEX('MAESTRO DE UNIDADES'!$F$2:$F$208,MATCH($G184,'MAESTRO DE UNIDADES'!$A$2:$A$208,0)),""))</f>
        <v/>
      </c>
      <c r="I184" s="8" t="str">
        <f>IF($G184="","",IFERROR(INDEX('MAESTRO DE UNIDADES'!$B$2:$B$208,MATCH($G184,'MAESTRO DE UNIDADES'!$A$2:$A$208,0)),""))</f>
        <v/>
      </c>
      <c r="J184" s="4"/>
      <c r="K184" s="4"/>
      <c r="L184" s="4"/>
      <c r="M184" s="8" t="str">
        <f>IF($G184="","",IFERROR(INDEX('MAESTRO DE UNIDADES'!$H$2:$H$208,MATCH($G184,'MAESTRO DE UNIDADES'!$A$2:$A$208,0)),""))</f>
        <v/>
      </c>
      <c r="N184" s="25"/>
      <c r="O184" s="25"/>
      <c r="P184" s="26" t="str">
        <f t="shared" si="19"/>
        <v/>
      </c>
      <c r="Q184" s="27"/>
      <c r="R184" s="27"/>
      <c r="S184" s="28" t="str">
        <f>IF(OR($G184="",$Q184="",COUNTIF($G$2:G183,$G184)=0),"",$Q184-LOOKUP(2,1/($G$2:G183=$G184),$Q$2:Q183))</f>
        <v/>
      </c>
      <c r="T184" s="28" t="str">
        <f>IF(OR($G184="",$R184="",COUNTIF($G$2:G183,$G184)=0),"",$R184-LOOKUP(2,1/($G$2:G183=$G184),$R$2:R183))</f>
        <v/>
      </c>
      <c r="U184" s="11" t="str">
        <f t="shared" si="20"/>
        <v/>
      </c>
      <c r="V184" s="4"/>
      <c r="W184" s="4"/>
      <c r="X184" s="55"/>
      <c r="Y184" s="56" t="str">
        <f>IF($B184="","",IF((IF($G184="","Sin unidad | ","")&amp;IF($J184="","Sin responsable | ","")&amp;IF($K184="","Sin obra | ","")&amp;IF(AND($N184&lt;&gt;"",$G184&lt;&gt;"",$N184&gt;IFERROR(INDEX('MAESTRO DE UNIDADES'!$I$2:$I$208,MATCH($G184,'MAESTRO DE UNIDADES'!$A$2:$A$208,0)),0)),"Litros &gt; tanque | ","")&amp;IF(AND($W184&lt;&gt;"",COUNTIF($W$2:$W184,$W184)&gt;1),"Ticket duplicado | ","")&amp;IF(AND($G184&lt;&gt;"",IFERROR(INDEX('MAESTRO DE UNIDADES'!$L$2:$L$208,MATCH($G184,'MAESTRO DE UNIDADES'!$A$2:$A$208,0)),"")="Inactivo"),"Unidad inactiva | ","")&amp;IF(AND($AA184&lt;&gt;"",$N184=""),"Carga de batán sin litros | ","")&amp;IF(AND($AA184&lt;&gt;"",$AC184&lt;0),"Supera saldo batán | ",""))="","OK",LEFT((IF($G184="","Sin unidad | ","")&amp;IF($J184="","Sin responsable | ","")&amp;IF($K184="","Sin obra | ","")&amp;IF(AND($N184&lt;&gt;"",$G184&lt;&gt;"",$N184&gt;IFERROR(INDEX('MAESTRO DE UNIDADES'!$I$2:$I$208,MATCH($G184,'MAESTRO DE UNIDADES'!$A$2:$A$208,0)),0)),"Litros &gt; tanque | ","")&amp;IF(AND($W184&lt;&gt;"",COUNTIF($W$2:$W184,$W184)&gt;1),"Ticket duplicado | ","")&amp;IF(AND($G184&lt;&gt;"",IFERROR(INDEX('MAESTRO DE UNIDADES'!$L$2:$L$208,MATCH($G184,'MAESTRO DE UNIDADES'!$A$2:$A$208,0)),"")="Inactivo"),"Unidad inactiva | ","")&amp;IF(AND($AA184&lt;&gt;"",$N184=""),"Carga de batán sin litros | ","")&amp;IF(AND($AA184&lt;&gt;"",$AC184&lt;0),"Supera saldo batán | ","")),LEN((IF($G184="","Sin unidad | ","")&amp;IF($J184="","Sin responsable | ","")&amp;IF($K184="","Sin obra | ","")&amp;IF(AND($N184&lt;&gt;"",$G184&lt;&gt;"",$N184&gt;IFERROR(INDEX('MAESTRO DE UNIDADES'!$I$2:$I$208,MATCH($G184,'MAESTRO DE UNIDADES'!$A$2:$A$208,0)),0)),"Litros &gt; tanque | ","")&amp;IF(AND($W184&lt;&gt;"",COUNTIF($W$2:$W184,$W184)&gt;1),"Ticket duplicado | ","")&amp;IF(AND($G184&lt;&gt;"",IFERROR(INDEX('MAESTRO DE UNIDADES'!$L$2:$L$208,MATCH($G184,'MAESTRO DE UNIDADES'!$A$2:$A$208,0)),"")="Inactivo"),"Unidad inactiva | ","")&amp;IF(AND($AA184&lt;&gt;"",$N184=""),"Carga de batán sin litros | ","")&amp;IF(AND($AA184&lt;&gt;"",$AC184&lt;0),"Supera saldo batán | ","")))-3)))</f>
        <v/>
      </c>
      <c r="Z184" s="8" t="str">
        <f t="shared" si="21"/>
        <v/>
      </c>
      <c r="AA184" s="4"/>
      <c r="AB184" s="26" t="str">
        <f>IF($AA184="","",IFERROR(INDEX('CONTROL DE BATAN'!$J$2:$J$301,MATCH($AA184,'CONTROL DE BATAN'!$A$2:$A$301,0)),""))</f>
        <v/>
      </c>
      <c r="AC184" s="28" t="str">
        <f>IF($AA184="","",IFERROR(INDEX('CONTROL DE BATAN'!$I$2:$I$301,MATCH($AA184,'CONTROL DE BATAN'!$A$2:$A$301,0)),0)-SUMIFS($N$2:$N184,$AA$2:$AA184,$AA184))</f>
        <v/>
      </c>
    </row>
    <row r="185" spans="1:29" x14ac:dyDescent="0.25">
      <c r="A185" s="8" t="str">
        <f t="shared" si="15"/>
        <v/>
      </c>
      <c r="B185" s="9"/>
      <c r="C185" s="8" t="str">
        <f t="shared" si="16"/>
        <v/>
      </c>
      <c r="D185" s="10" t="str">
        <f t="shared" si="17"/>
        <v/>
      </c>
      <c r="E185" s="8" t="str">
        <f t="shared" si="18"/>
        <v/>
      </c>
      <c r="F185" s="8" t="str">
        <f>IF($G185="","",IFERROR(INDEX('MAESTRO DE UNIDADES'!$C$2:$C$208,MATCH($G185,'MAESTRO DE UNIDADES'!$A$2:$A$208,0)),""))</f>
        <v/>
      </c>
      <c r="G185" s="4"/>
      <c r="H185" s="8" t="str">
        <f>IF($G185="","",IFERROR(INDEX('MAESTRO DE UNIDADES'!$F$2:$F$208,MATCH($G185,'MAESTRO DE UNIDADES'!$A$2:$A$208,0)),""))</f>
        <v/>
      </c>
      <c r="I185" s="8" t="str">
        <f>IF($G185="","",IFERROR(INDEX('MAESTRO DE UNIDADES'!$B$2:$B$208,MATCH($G185,'MAESTRO DE UNIDADES'!$A$2:$A$208,0)),""))</f>
        <v/>
      </c>
      <c r="J185" s="4"/>
      <c r="K185" s="4"/>
      <c r="L185" s="4"/>
      <c r="M185" s="8" t="str">
        <f>IF($G185="","",IFERROR(INDEX('MAESTRO DE UNIDADES'!$H$2:$H$208,MATCH($G185,'MAESTRO DE UNIDADES'!$A$2:$A$208,0)),""))</f>
        <v/>
      </c>
      <c r="N185" s="25"/>
      <c r="O185" s="25"/>
      <c r="P185" s="26" t="str">
        <f t="shared" si="19"/>
        <v/>
      </c>
      <c r="Q185" s="27"/>
      <c r="R185" s="27"/>
      <c r="S185" s="28" t="str">
        <f>IF(OR($G185="",$Q185="",COUNTIF($G$2:G184,$G185)=0),"",$Q185-LOOKUP(2,1/($G$2:G184=$G185),$Q$2:Q184))</f>
        <v/>
      </c>
      <c r="T185" s="28" t="str">
        <f>IF(OR($G185="",$R185="",COUNTIF($G$2:G184,$G185)=0),"",$R185-LOOKUP(2,1/($G$2:G184=$G185),$R$2:R184))</f>
        <v/>
      </c>
      <c r="U185" s="11" t="str">
        <f t="shared" si="20"/>
        <v/>
      </c>
      <c r="V185" s="4"/>
      <c r="W185" s="4"/>
      <c r="X185" s="55"/>
      <c r="Y185" s="56" t="str">
        <f>IF($B185="","",IF((IF($G185="","Sin unidad | ","")&amp;IF($J185="","Sin responsable | ","")&amp;IF($K185="","Sin obra | ","")&amp;IF(AND($N185&lt;&gt;"",$G185&lt;&gt;"",$N185&gt;IFERROR(INDEX('MAESTRO DE UNIDADES'!$I$2:$I$208,MATCH($G185,'MAESTRO DE UNIDADES'!$A$2:$A$208,0)),0)),"Litros &gt; tanque | ","")&amp;IF(AND($W185&lt;&gt;"",COUNTIF($W$2:$W185,$W185)&gt;1),"Ticket duplicado | ","")&amp;IF(AND($G185&lt;&gt;"",IFERROR(INDEX('MAESTRO DE UNIDADES'!$L$2:$L$208,MATCH($G185,'MAESTRO DE UNIDADES'!$A$2:$A$208,0)),"")="Inactivo"),"Unidad inactiva | ","")&amp;IF(AND($AA185&lt;&gt;"",$N185=""),"Carga de batán sin litros | ","")&amp;IF(AND($AA185&lt;&gt;"",$AC185&lt;0),"Supera saldo batán | ",""))="","OK",LEFT((IF($G185="","Sin unidad | ","")&amp;IF($J185="","Sin responsable | ","")&amp;IF($K185="","Sin obra | ","")&amp;IF(AND($N185&lt;&gt;"",$G185&lt;&gt;"",$N185&gt;IFERROR(INDEX('MAESTRO DE UNIDADES'!$I$2:$I$208,MATCH($G185,'MAESTRO DE UNIDADES'!$A$2:$A$208,0)),0)),"Litros &gt; tanque | ","")&amp;IF(AND($W185&lt;&gt;"",COUNTIF($W$2:$W185,$W185)&gt;1),"Ticket duplicado | ","")&amp;IF(AND($G185&lt;&gt;"",IFERROR(INDEX('MAESTRO DE UNIDADES'!$L$2:$L$208,MATCH($G185,'MAESTRO DE UNIDADES'!$A$2:$A$208,0)),"")="Inactivo"),"Unidad inactiva | ","")&amp;IF(AND($AA185&lt;&gt;"",$N185=""),"Carga de batán sin litros | ","")&amp;IF(AND($AA185&lt;&gt;"",$AC185&lt;0),"Supera saldo batán | ","")),LEN((IF($G185="","Sin unidad | ","")&amp;IF($J185="","Sin responsable | ","")&amp;IF($K185="","Sin obra | ","")&amp;IF(AND($N185&lt;&gt;"",$G185&lt;&gt;"",$N185&gt;IFERROR(INDEX('MAESTRO DE UNIDADES'!$I$2:$I$208,MATCH($G185,'MAESTRO DE UNIDADES'!$A$2:$A$208,0)),0)),"Litros &gt; tanque | ","")&amp;IF(AND($W185&lt;&gt;"",COUNTIF($W$2:$W185,$W185)&gt;1),"Ticket duplicado | ","")&amp;IF(AND($G185&lt;&gt;"",IFERROR(INDEX('MAESTRO DE UNIDADES'!$L$2:$L$208,MATCH($G185,'MAESTRO DE UNIDADES'!$A$2:$A$208,0)),"")="Inactivo"),"Unidad inactiva | ","")&amp;IF(AND($AA185&lt;&gt;"",$N185=""),"Carga de batán sin litros | ","")&amp;IF(AND($AA185&lt;&gt;"",$AC185&lt;0),"Supera saldo batán | ","")))-3)))</f>
        <v/>
      </c>
      <c r="Z185" s="8" t="str">
        <f t="shared" si="21"/>
        <v/>
      </c>
      <c r="AA185" s="4"/>
      <c r="AB185" s="26" t="str">
        <f>IF($AA185="","",IFERROR(INDEX('CONTROL DE BATAN'!$J$2:$J$301,MATCH($AA185,'CONTROL DE BATAN'!$A$2:$A$301,0)),""))</f>
        <v/>
      </c>
      <c r="AC185" s="28" t="str">
        <f>IF($AA185="","",IFERROR(INDEX('CONTROL DE BATAN'!$I$2:$I$301,MATCH($AA185,'CONTROL DE BATAN'!$A$2:$A$301,0)),0)-SUMIFS($N$2:$N185,$AA$2:$AA185,$AA185))</f>
        <v/>
      </c>
    </row>
    <row r="186" spans="1:29" x14ac:dyDescent="0.25">
      <c r="A186" s="8" t="str">
        <f t="shared" si="15"/>
        <v/>
      </c>
      <c r="B186" s="9"/>
      <c r="C186" s="8" t="str">
        <f t="shared" si="16"/>
        <v/>
      </c>
      <c r="D186" s="10" t="str">
        <f t="shared" si="17"/>
        <v/>
      </c>
      <c r="E186" s="8" t="str">
        <f t="shared" si="18"/>
        <v/>
      </c>
      <c r="F186" s="8" t="str">
        <f>IF($G186="","",IFERROR(INDEX('MAESTRO DE UNIDADES'!$C$2:$C$208,MATCH($G186,'MAESTRO DE UNIDADES'!$A$2:$A$208,0)),""))</f>
        <v/>
      </c>
      <c r="G186" s="4"/>
      <c r="H186" s="8" t="str">
        <f>IF($G186="","",IFERROR(INDEX('MAESTRO DE UNIDADES'!$F$2:$F$208,MATCH($G186,'MAESTRO DE UNIDADES'!$A$2:$A$208,0)),""))</f>
        <v/>
      </c>
      <c r="I186" s="8" t="str">
        <f>IF($G186="","",IFERROR(INDEX('MAESTRO DE UNIDADES'!$B$2:$B$208,MATCH($G186,'MAESTRO DE UNIDADES'!$A$2:$A$208,0)),""))</f>
        <v/>
      </c>
      <c r="J186" s="4"/>
      <c r="K186" s="4"/>
      <c r="L186" s="4"/>
      <c r="M186" s="8" t="str">
        <f>IF($G186="","",IFERROR(INDEX('MAESTRO DE UNIDADES'!$H$2:$H$208,MATCH($G186,'MAESTRO DE UNIDADES'!$A$2:$A$208,0)),""))</f>
        <v/>
      </c>
      <c r="N186" s="25"/>
      <c r="O186" s="25"/>
      <c r="P186" s="26" t="str">
        <f t="shared" si="19"/>
        <v/>
      </c>
      <c r="Q186" s="27"/>
      <c r="R186" s="27"/>
      <c r="S186" s="28" t="str">
        <f>IF(OR($G186="",$Q186="",COUNTIF($G$2:G185,$G186)=0),"",$Q186-LOOKUP(2,1/($G$2:G185=$G186),$Q$2:Q185))</f>
        <v/>
      </c>
      <c r="T186" s="28" t="str">
        <f>IF(OR($G186="",$R186="",COUNTIF($G$2:G185,$G186)=0),"",$R186-LOOKUP(2,1/($G$2:G185=$G186),$R$2:R185))</f>
        <v/>
      </c>
      <c r="U186" s="11" t="str">
        <f t="shared" si="20"/>
        <v/>
      </c>
      <c r="V186" s="4"/>
      <c r="W186" s="4"/>
      <c r="X186" s="55"/>
      <c r="Y186" s="56" t="str">
        <f>IF($B186="","",IF((IF($G186="","Sin unidad | ","")&amp;IF($J186="","Sin responsable | ","")&amp;IF($K186="","Sin obra | ","")&amp;IF(AND($N186&lt;&gt;"",$G186&lt;&gt;"",$N186&gt;IFERROR(INDEX('MAESTRO DE UNIDADES'!$I$2:$I$208,MATCH($G186,'MAESTRO DE UNIDADES'!$A$2:$A$208,0)),0)),"Litros &gt; tanque | ","")&amp;IF(AND($W186&lt;&gt;"",COUNTIF($W$2:$W186,$W186)&gt;1),"Ticket duplicado | ","")&amp;IF(AND($G186&lt;&gt;"",IFERROR(INDEX('MAESTRO DE UNIDADES'!$L$2:$L$208,MATCH($G186,'MAESTRO DE UNIDADES'!$A$2:$A$208,0)),"")="Inactivo"),"Unidad inactiva | ","")&amp;IF(AND($AA186&lt;&gt;"",$N186=""),"Carga de batán sin litros | ","")&amp;IF(AND($AA186&lt;&gt;"",$AC186&lt;0),"Supera saldo batán | ",""))="","OK",LEFT((IF($G186="","Sin unidad | ","")&amp;IF($J186="","Sin responsable | ","")&amp;IF($K186="","Sin obra | ","")&amp;IF(AND($N186&lt;&gt;"",$G186&lt;&gt;"",$N186&gt;IFERROR(INDEX('MAESTRO DE UNIDADES'!$I$2:$I$208,MATCH($G186,'MAESTRO DE UNIDADES'!$A$2:$A$208,0)),0)),"Litros &gt; tanque | ","")&amp;IF(AND($W186&lt;&gt;"",COUNTIF($W$2:$W186,$W186)&gt;1),"Ticket duplicado | ","")&amp;IF(AND($G186&lt;&gt;"",IFERROR(INDEX('MAESTRO DE UNIDADES'!$L$2:$L$208,MATCH($G186,'MAESTRO DE UNIDADES'!$A$2:$A$208,0)),"")="Inactivo"),"Unidad inactiva | ","")&amp;IF(AND($AA186&lt;&gt;"",$N186=""),"Carga de batán sin litros | ","")&amp;IF(AND($AA186&lt;&gt;"",$AC186&lt;0),"Supera saldo batán | ","")),LEN((IF($G186="","Sin unidad | ","")&amp;IF($J186="","Sin responsable | ","")&amp;IF($K186="","Sin obra | ","")&amp;IF(AND($N186&lt;&gt;"",$G186&lt;&gt;"",$N186&gt;IFERROR(INDEX('MAESTRO DE UNIDADES'!$I$2:$I$208,MATCH($G186,'MAESTRO DE UNIDADES'!$A$2:$A$208,0)),0)),"Litros &gt; tanque | ","")&amp;IF(AND($W186&lt;&gt;"",COUNTIF($W$2:$W186,$W186)&gt;1),"Ticket duplicado | ","")&amp;IF(AND($G186&lt;&gt;"",IFERROR(INDEX('MAESTRO DE UNIDADES'!$L$2:$L$208,MATCH($G186,'MAESTRO DE UNIDADES'!$A$2:$A$208,0)),"")="Inactivo"),"Unidad inactiva | ","")&amp;IF(AND($AA186&lt;&gt;"",$N186=""),"Carga de batán sin litros | ","")&amp;IF(AND($AA186&lt;&gt;"",$AC186&lt;0),"Supera saldo batán | ","")))-3)))</f>
        <v/>
      </c>
      <c r="Z186" s="8" t="str">
        <f t="shared" si="21"/>
        <v/>
      </c>
      <c r="AA186" s="4"/>
      <c r="AB186" s="26" t="str">
        <f>IF($AA186="","",IFERROR(INDEX('CONTROL DE BATAN'!$J$2:$J$301,MATCH($AA186,'CONTROL DE BATAN'!$A$2:$A$301,0)),""))</f>
        <v/>
      </c>
      <c r="AC186" s="28" t="str">
        <f>IF($AA186="","",IFERROR(INDEX('CONTROL DE BATAN'!$I$2:$I$301,MATCH($AA186,'CONTROL DE BATAN'!$A$2:$A$301,0)),0)-SUMIFS($N$2:$N186,$AA$2:$AA186,$AA186))</f>
        <v/>
      </c>
    </row>
    <row r="187" spans="1:29" x14ac:dyDescent="0.25">
      <c r="A187" s="8" t="str">
        <f t="shared" si="15"/>
        <v/>
      </c>
      <c r="B187" s="9"/>
      <c r="C187" s="8" t="str">
        <f t="shared" si="16"/>
        <v/>
      </c>
      <c r="D187" s="10" t="str">
        <f t="shared" si="17"/>
        <v/>
      </c>
      <c r="E187" s="8" t="str">
        <f t="shared" si="18"/>
        <v/>
      </c>
      <c r="F187" s="8" t="str">
        <f>IF($G187="","",IFERROR(INDEX('MAESTRO DE UNIDADES'!$C$2:$C$208,MATCH($G187,'MAESTRO DE UNIDADES'!$A$2:$A$208,0)),""))</f>
        <v/>
      </c>
      <c r="G187" s="4"/>
      <c r="H187" s="8" t="str">
        <f>IF($G187="","",IFERROR(INDEX('MAESTRO DE UNIDADES'!$F$2:$F$208,MATCH($G187,'MAESTRO DE UNIDADES'!$A$2:$A$208,0)),""))</f>
        <v/>
      </c>
      <c r="I187" s="8" t="str">
        <f>IF($G187="","",IFERROR(INDEX('MAESTRO DE UNIDADES'!$B$2:$B$208,MATCH($G187,'MAESTRO DE UNIDADES'!$A$2:$A$208,0)),""))</f>
        <v/>
      </c>
      <c r="J187" s="4"/>
      <c r="K187" s="4"/>
      <c r="L187" s="4"/>
      <c r="M187" s="8" t="str">
        <f>IF($G187="","",IFERROR(INDEX('MAESTRO DE UNIDADES'!$H$2:$H$208,MATCH($G187,'MAESTRO DE UNIDADES'!$A$2:$A$208,0)),""))</f>
        <v/>
      </c>
      <c r="N187" s="25"/>
      <c r="O187" s="25"/>
      <c r="P187" s="26" t="str">
        <f t="shared" si="19"/>
        <v/>
      </c>
      <c r="Q187" s="27"/>
      <c r="R187" s="27"/>
      <c r="S187" s="28" t="str">
        <f>IF(OR($G187="",$Q187="",COUNTIF($G$2:G186,$G187)=0),"",$Q187-LOOKUP(2,1/($G$2:G186=$G187),$Q$2:Q186))</f>
        <v/>
      </c>
      <c r="T187" s="28" t="str">
        <f>IF(OR($G187="",$R187="",COUNTIF($G$2:G186,$G187)=0),"",$R187-LOOKUP(2,1/($G$2:G186=$G187),$R$2:R186))</f>
        <v/>
      </c>
      <c r="U187" s="11" t="str">
        <f t="shared" si="20"/>
        <v/>
      </c>
      <c r="V187" s="4"/>
      <c r="W187" s="4"/>
      <c r="X187" s="55"/>
      <c r="Y187" s="56" t="str">
        <f>IF($B187="","",IF((IF($G187="","Sin unidad | ","")&amp;IF($J187="","Sin responsable | ","")&amp;IF($K187="","Sin obra | ","")&amp;IF(AND($N187&lt;&gt;"",$G187&lt;&gt;"",$N187&gt;IFERROR(INDEX('MAESTRO DE UNIDADES'!$I$2:$I$208,MATCH($G187,'MAESTRO DE UNIDADES'!$A$2:$A$208,0)),0)),"Litros &gt; tanque | ","")&amp;IF(AND($W187&lt;&gt;"",COUNTIF($W$2:$W187,$W187)&gt;1),"Ticket duplicado | ","")&amp;IF(AND($G187&lt;&gt;"",IFERROR(INDEX('MAESTRO DE UNIDADES'!$L$2:$L$208,MATCH($G187,'MAESTRO DE UNIDADES'!$A$2:$A$208,0)),"")="Inactivo"),"Unidad inactiva | ","")&amp;IF(AND($AA187&lt;&gt;"",$N187=""),"Carga de batán sin litros | ","")&amp;IF(AND($AA187&lt;&gt;"",$AC187&lt;0),"Supera saldo batán | ",""))="","OK",LEFT((IF($G187="","Sin unidad | ","")&amp;IF($J187="","Sin responsable | ","")&amp;IF($K187="","Sin obra | ","")&amp;IF(AND($N187&lt;&gt;"",$G187&lt;&gt;"",$N187&gt;IFERROR(INDEX('MAESTRO DE UNIDADES'!$I$2:$I$208,MATCH($G187,'MAESTRO DE UNIDADES'!$A$2:$A$208,0)),0)),"Litros &gt; tanque | ","")&amp;IF(AND($W187&lt;&gt;"",COUNTIF($W$2:$W187,$W187)&gt;1),"Ticket duplicado | ","")&amp;IF(AND($G187&lt;&gt;"",IFERROR(INDEX('MAESTRO DE UNIDADES'!$L$2:$L$208,MATCH($G187,'MAESTRO DE UNIDADES'!$A$2:$A$208,0)),"")="Inactivo"),"Unidad inactiva | ","")&amp;IF(AND($AA187&lt;&gt;"",$N187=""),"Carga de batán sin litros | ","")&amp;IF(AND($AA187&lt;&gt;"",$AC187&lt;0),"Supera saldo batán | ","")),LEN((IF($G187="","Sin unidad | ","")&amp;IF($J187="","Sin responsable | ","")&amp;IF($K187="","Sin obra | ","")&amp;IF(AND($N187&lt;&gt;"",$G187&lt;&gt;"",$N187&gt;IFERROR(INDEX('MAESTRO DE UNIDADES'!$I$2:$I$208,MATCH($G187,'MAESTRO DE UNIDADES'!$A$2:$A$208,0)),0)),"Litros &gt; tanque | ","")&amp;IF(AND($W187&lt;&gt;"",COUNTIF($W$2:$W187,$W187)&gt;1),"Ticket duplicado | ","")&amp;IF(AND($G187&lt;&gt;"",IFERROR(INDEX('MAESTRO DE UNIDADES'!$L$2:$L$208,MATCH($G187,'MAESTRO DE UNIDADES'!$A$2:$A$208,0)),"")="Inactivo"),"Unidad inactiva | ","")&amp;IF(AND($AA187&lt;&gt;"",$N187=""),"Carga de batán sin litros | ","")&amp;IF(AND($AA187&lt;&gt;"",$AC187&lt;0),"Supera saldo batán | ","")))-3)))</f>
        <v/>
      </c>
      <c r="Z187" s="8" t="str">
        <f t="shared" si="21"/>
        <v/>
      </c>
      <c r="AA187" s="4"/>
      <c r="AB187" s="26" t="str">
        <f>IF($AA187="","",IFERROR(INDEX('CONTROL DE BATAN'!$J$2:$J$301,MATCH($AA187,'CONTROL DE BATAN'!$A$2:$A$301,0)),""))</f>
        <v/>
      </c>
      <c r="AC187" s="28" t="str">
        <f>IF($AA187="","",IFERROR(INDEX('CONTROL DE BATAN'!$I$2:$I$301,MATCH($AA187,'CONTROL DE BATAN'!$A$2:$A$301,0)),0)-SUMIFS($N$2:$N187,$AA$2:$AA187,$AA187))</f>
        <v/>
      </c>
    </row>
    <row r="188" spans="1:29" x14ac:dyDescent="0.25">
      <c r="A188" s="8" t="str">
        <f t="shared" si="15"/>
        <v/>
      </c>
      <c r="B188" s="9"/>
      <c r="C188" s="8" t="str">
        <f t="shared" si="16"/>
        <v/>
      </c>
      <c r="D188" s="10" t="str">
        <f t="shared" si="17"/>
        <v/>
      </c>
      <c r="E188" s="8" t="str">
        <f t="shared" si="18"/>
        <v/>
      </c>
      <c r="F188" s="8" t="str">
        <f>IF($G188="","",IFERROR(INDEX('MAESTRO DE UNIDADES'!$C$2:$C$208,MATCH($G188,'MAESTRO DE UNIDADES'!$A$2:$A$208,0)),""))</f>
        <v/>
      </c>
      <c r="G188" s="4"/>
      <c r="H188" s="8" t="str">
        <f>IF($G188="","",IFERROR(INDEX('MAESTRO DE UNIDADES'!$F$2:$F$208,MATCH($G188,'MAESTRO DE UNIDADES'!$A$2:$A$208,0)),""))</f>
        <v/>
      </c>
      <c r="I188" s="8" t="str">
        <f>IF($G188="","",IFERROR(INDEX('MAESTRO DE UNIDADES'!$B$2:$B$208,MATCH($G188,'MAESTRO DE UNIDADES'!$A$2:$A$208,0)),""))</f>
        <v/>
      </c>
      <c r="J188" s="4"/>
      <c r="K188" s="4"/>
      <c r="L188" s="4"/>
      <c r="M188" s="8" t="str">
        <f>IF($G188="","",IFERROR(INDEX('MAESTRO DE UNIDADES'!$H$2:$H$208,MATCH($G188,'MAESTRO DE UNIDADES'!$A$2:$A$208,0)),""))</f>
        <v/>
      </c>
      <c r="N188" s="25"/>
      <c r="O188" s="25"/>
      <c r="P188" s="26" t="str">
        <f t="shared" si="19"/>
        <v/>
      </c>
      <c r="Q188" s="27"/>
      <c r="R188" s="27"/>
      <c r="S188" s="28" t="str">
        <f>IF(OR($G188="",$Q188="",COUNTIF($G$2:G187,$G188)=0),"",$Q188-LOOKUP(2,1/($G$2:G187=$G188),$Q$2:Q187))</f>
        <v/>
      </c>
      <c r="T188" s="28" t="str">
        <f>IF(OR($G188="",$R188="",COUNTIF($G$2:G187,$G188)=0),"",$R188-LOOKUP(2,1/($G$2:G187=$G188),$R$2:R187))</f>
        <v/>
      </c>
      <c r="U188" s="11" t="str">
        <f t="shared" si="20"/>
        <v/>
      </c>
      <c r="V188" s="4"/>
      <c r="W188" s="4"/>
      <c r="X188" s="55"/>
      <c r="Y188" s="56" t="str">
        <f>IF($B188="","",IF((IF($G188="","Sin unidad | ","")&amp;IF($J188="","Sin responsable | ","")&amp;IF($K188="","Sin obra | ","")&amp;IF(AND($N188&lt;&gt;"",$G188&lt;&gt;"",$N188&gt;IFERROR(INDEX('MAESTRO DE UNIDADES'!$I$2:$I$208,MATCH($G188,'MAESTRO DE UNIDADES'!$A$2:$A$208,0)),0)),"Litros &gt; tanque | ","")&amp;IF(AND($W188&lt;&gt;"",COUNTIF($W$2:$W188,$W188)&gt;1),"Ticket duplicado | ","")&amp;IF(AND($G188&lt;&gt;"",IFERROR(INDEX('MAESTRO DE UNIDADES'!$L$2:$L$208,MATCH($G188,'MAESTRO DE UNIDADES'!$A$2:$A$208,0)),"")="Inactivo"),"Unidad inactiva | ","")&amp;IF(AND($AA188&lt;&gt;"",$N188=""),"Carga de batán sin litros | ","")&amp;IF(AND($AA188&lt;&gt;"",$AC188&lt;0),"Supera saldo batán | ",""))="","OK",LEFT((IF($G188="","Sin unidad | ","")&amp;IF($J188="","Sin responsable | ","")&amp;IF($K188="","Sin obra | ","")&amp;IF(AND($N188&lt;&gt;"",$G188&lt;&gt;"",$N188&gt;IFERROR(INDEX('MAESTRO DE UNIDADES'!$I$2:$I$208,MATCH($G188,'MAESTRO DE UNIDADES'!$A$2:$A$208,0)),0)),"Litros &gt; tanque | ","")&amp;IF(AND($W188&lt;&gt;"",COUNTIF($W$2:$W188,$W188)&gt;1),"Ticket duplicado | ","")&amp;IF(AND($G188&lt;&gt;"",IFERROR(INDEX('MAESTRO DE UNIDADES'!$L$2:$L$208,MATCH($G188,'MAESTRO DE UNIDADES'!$A$2:$A$208,0)),"")="Inactivo"),"Unidad inactiva | ","")&amp;IF(AND($AA188&lt;&gt;"",$N188=""),"Carga de batán sin litros | ","")&amp;IF(AND($AA188&lt;&gt;"",$AC188&lt;0),"Supera saldo batán | ","")),LEN((IF($G188="","Sin unidad | ","")&amp;IF($J188="","Sin responsable | ","")&amp;IF($K188="","Sin obra | ","")&amp;IF(AND($N188&lt;&gt;"",$G188&lt;&gt;"",$N188&gt;IFERROR(INDEX('MAESTRO DE UNIDADES'!$I$2:$I$208,MATCH($G188,'MAESTRO DE UNIDADES'!$A$2:$A$208,0)),0)),"Litros &gt; tanque | ","")&amp;IF(AND($W188&lt;&gt;"",COUNTIF($W$2:$W188,$W188)&gt;1),"Ticket duplicado | ","")&amp;IF(AND($G188&lt;&gt;"",IFERROR(INDEX('MAESTRO DE UNIDADES'!$L$2:$L$208,MATCH($G188,'MAESTRO DE UNIDADES'!$A$2:$A$208,0)),"")="Inactivo"),"Unidad inactiva | ","")&amp;IF(AND($AA188&lt;&gt;"",$N188=""),"Carga de batán sin litros | ","")&amp;IF(AND($AA188&lt;&gt;"",$AC188&lt;0),"Supera saldo batán | ","")))-3)))</f>
        <v/>
      </c>
      <c r="Z188" s="8" t="str">
        <f t="shared" si="21"/>
        <v/>
      </c>
      <c r="AA188" s="4"/>
      <c r="AB188" s="26" t="str">
        <f>IF($AA188="","",IFERROR(INDEX('CONTROL DE BATAN'!$J$2:$J$301,MATCH($AA188,'CONTROL DE BATAN'!$A$2:$A$301,0)),""))</f>
        <v/>
      </c>
      <c r="AC188" s="28" t="str">
        <f>IF($AA188="","",IFERROR(INDEX('CONTROL DE BATAN'!$I$2:$I$301,MATCH($AA188,'CONTROL DE BATAN'!$A$2:$A$301,0)),0)-SUMIFS($N$2:$N188,$AA$2:$AA188,$AA188))</f>
        <v/>
      </c>
    </row>
    <row r="189" spans="1:29" x14ac:dyDescent="0.25">
      <c r="A189" s="8" t="str">
        <f t="shared" si="15"/>
        <v/>
      </c>
      <c r="B189" s="9"/>
      <c r="C189" s="8" t="str">
        <f t="shared" si="16"/>
        <v/>
      </c>
      <c r="D189" s="10" t="str">
        <f t="shared" si="17"/>
        <v/>
      </c>
      <c r="E189" s="8" t="str">
        <f t="shared" si="18"/>
        <v/>
      </c>
      <c r="F189" s="8" t="str">
        <f>IF($G189="","",IFERROR(INDEX('MAESTRO DE UNIDADES'!$C$2:$C$208,MATCH($G189,'MAESTRO DE UNIDADES'!$A$2:$A$208,0)),""))</f>
        <v/>
      </c>
      <c r="G189" s="4"/>
      <c r="H189" s="8" t="str">
        <f>IF($G189="","",IFERROR(INDEX('MAESTRO DE UNIDADES'!$F$2:$F$208,MATCH($G189,'MAESTRO DE UNIDADES'!$A$2:$A$208,0)),""))</f>
        <v/>
      </c>
      <c r="I189" s="8" t="str">
        <f>IF($G189="","",IFERROR(INDEX('MAESTRO DE UNIDADES'!$B$2:$B$208,MATCH($G189,'MAESTRO DE UNIDADES'!$A$2:$A$208,0)),""))</f>
        <v/>
      </c>
      <c r="J189" s="4"/>
      <c r="K189" s="4"/>
      <c r="L189" s="4"/>
      <c r="M189" s="8" t="str">
        <f>IF($G189="","",IFERROR(INDEX('MAESTRO DE UNIDADES'!$H$2:$H$208,MATCH($G189,'MAESTRO DE UNIDADES'!$A$2:$A$208,0)),""))</f>
        <v/>
      </c>
      <c r="N189" s="25"/>
      <c r="O189" s="25"/>
      <c r="P189" s="26" t="str">
        <f t="shared" si="19"/>
        <v/>
      </c>
      <c r="Q189" s="27"/>
      <c r="R189" s="27"/>
      <c r="S189" s="28" t="str">
        <f>IF(OR($G189="",$Q189="",COUNTIF($G$2:G188,$G189)=0),"",$Q189-LOOKUP(2,1/($G$2:G188=$G189),$Q$2:Q188))</f>
        <v/>
      </c>
      <c r="T189" s="28" t="str">
        <f>IF(OR($G189="",$R189="",COUNTIF($G$2:G188,$G189)=0),"",$R189-LOOKUP(2,1/($G$2:G188=$G189),$R$2:R188))</f>
        <v/>
      </c>
      <c r="U189" s="11" t="str">
        <f t="shared" si="20"/>
        <v/>
      </c>
      <c r="V189" s="4"/>
      <c r="W189" s="4"/>
      <c r="X189" s="55"/>
      <c r="Y189" s="56" t="str">
        <f>IF($B189="","",IF((IF($G189="","Sin unidad | ","")&amp;IF($J189="","Sin responsable | ","")&amp;IF($K189="","Sin obra | ","")&amp;IF(AND($N189&lt;&gt;"",$G189&lt;&gt;"",$N189&gt;IFERROR(INDEX('MAESTRO DE UNIDADES'!$I$2:$I$208,MATCH($G189,'MAESTRO DE UNIDADES'!$A$2:$A$208,0)),0)),"Litros &gt; tanque | ","")&amp;IF(AND($W189&lt;&gt;"",COUNTIF($W$2:$W189,$W189)&gt;1),"Ticket duplicado | ","")&amp;IF(AND($G189&lt;&gt;"",IFERROR(INDEX('MAESTRO DE UNIDADES'!$L$2:$L$208,MATCH($G189,'MAESTRO DE UNIDADES'!$A$2:$A$208,0)),"")="Inactivo"),"Unidad inactiva | ","")&amp;IF(AND($AA189&lt;&gt;"",$N189=""),"Carga de batán sin litros | ","")&amp;IF(AND($AA189&lt;&gt;"",$AC189&lt;0),"Supera saldo batán | ",""))="","OK",LEFT((IF($G189="","Sin unidad | ","")&amp;IF($J189="","Sin responsable | ","")&amp;IF($K189="","Sin obra | ","")&amp;IF(AND($N189&lt;&gt;"",$G189&lt;&gt;"",$N189&gt;IFERROR(INDEX('MAESTRO DE UNIDADES'!$I$2:$I$208,MATCH($G189,'MAESTRO DE UNIDADES'!$A$2:$A$208,0)),0)),"Litros &gt; tanque | ","")&amp;IF(AND($W189&lt;&gt;"",COUNTIF($W$2:$W189,$W189)&gt;1),"Ticket duplicado | ","")&amp;IF(AND($G189&lt;&gt;"",IFERROR(INDEX('MAESTRO DE UNIDADES'!$L$2:$L$208,MATCH($G189,'MAESTRO DE UNIDADES'!$A$2:$A$208,0)),"")="Inactivo"),"Unidad inactiva | ","")&amp;IF(AND($AA189&lt;&gt;"",$N189=""),"Carga de batán sin litros | ","")&amp;IF(AND($AA189&lt;&gt;"",$AC189&lt;0),"Supera saldo batán | ","")),LEN((IF($G189="","Sin unidad | ","")&amp;IF($J189="","Sin responsable | ","")&amp;IF($K189="","Sin obra | ","")&amp;IF(AND($N189&lt;&gt;"",$G189&lt;&gt;"",$N189&gt;IFERROR(INDEX('MAESTRO DE UNIDADES'!$I$2:$I$208,MATCH($G189,'MAESTRO DE UNIDADES'!$A$2:$A$208,0)),0)),"Litros &gt; tanque | ","")&amp;IF(AND($W189&lt;&gt;"",COUNTIF($W$2:$W189,$W189)&gt;1),"Ticket duplicado | ","")&amp;IF(AND($G189&lt;&gt;"",IFERROR(INDEX('MAESTRO DE UNIDADES'!$L$2:$L$208,MATCH($G189,'MAESTRO DE UNIDADES'!$A$2:$A$208,0)),"")="Inactivo"),"Unidad inactiva | ","")&amp;IF(AND($AA189&lt;&gt;"",$N189=""),"Carga de batán sin litros | ","")&amp;IF(AND($AA189&lt;&gt;"",$AC189&lt;0),"Supera saldo batán | ","")))-3)))</f>
        <v/>
      </c>
      <c r="Z189" s="8" t="str">
        <f t="shared" si="21"/>
        <v/>
      </c>
      <c r="AA189" s="4"/>
      <c r="AB189" s="26" t="str">
        <f>IF($AA189="","",IFERROR(INDEX('CONTROL DE BATAN'!$J$2:$J$301,MATCH($AA189,'CONTROL DE BATAN'!$A$2:$A$301,0)),""))</f>
        <v/>
      </c>
      <c r="AC189" s="28" t="str">
        <f>IF($AA189="","",IFERROR(INDEX('CONTROL DE BATAN'!$I$2:$I$301,MATCH($AA189,'CONTROL DE BATAN'!$A$2:$A$301,0)),0)-SUMIFS($N$2:$N189,$AA$2:$AA189,$AA189))</f>
        <v/>
      </c>
    </row>
    <row r="190" spans="1:29" x14ac:dyDescent="0.25">
      <c r="A190" s="8" t="str">
        <f t="shared" si="15"/>
        <v/>
      </c>
      <c r="B190" s="9"/>
      <c r="C190" s="8" t="str">
        <f t="shared" si="16"/>
        <v/>
      </c>
      <c r="D190" s="10" t="str">
        <f t="shared" si="17"/>
        <v/>
      </c>
      <c r="E190" s="8" t="str">
        <f t="shared" si="18"/>
        <v/>
      </c>
      <c r="F190" s="8" t="str">
        <f>IF($G190="","",IFERROR(INDEX('MAESTRO DE UNIDADES'!$C$2:$C$208,MATCH($G190,'MAESTRO DE UNIDADES'!$A$2:$A$208,0)),""))</f>
        <v/>
      </c>
      <c r="G190" s="4"/>
      <c r="H190" s="8" t="str">
        <f>IF($G190="","",IFERROR(INDEX('MAESTRO DE UNIDADES'!$F$2:$F$208,MATCH($G190,'MAESTRO DE UNIDADES'!$A$2:$A$208,0)),""))</f>
        <v/>
      </c>
      <c r="I190" s="8" t="str">
        <f>IF($G190="","",IFERROR(INDEX('MAESTRO DE UNIDADES'!$B$2:$B$208,MATCH($G190,'MAESTRO DE UNIDADES'!$A$2:$A$208,0)),""))</f>
        <v/>
      </c>
      <c r="J190" s="4"/>
      <c r="K190" s="4"/>
      <c r="L190" s="4"/>
      <c r="M190" s="8" t="str">
        <f>IF($G190="","",IFERROR(INDEX('MAESTRO DE UNIDADES'!$H$2:$H$208,MATCH($G190,'MAESTRO DE UNIDADES'!$A$2:$A$208,0)),""))</f>
        <v/>
      </c>
      <c r="N190" s="25"/>
      <c r="O190" s="25"/>
      <c r="P190" s="26" t="str">
        <f t="shared" si="19"/>
        <v/>
      </c>
      <c r="Q190" s="27"/>
      <c r="R190" s="27"/>
      <c r="S190" s="28" t="str">
        <f>IF(OR($G190="",$Q190="",COUNTIF($G$2:G189,$G190)=0),"",$Q190-LOOKUP(2,1/($G$2:G189=$G190),$Q$2:Q189))</f>
        <v/>
      </c>
      <c r="T190" s="28" t="str">
        <f>IF(OR($G190="",$R190="",COUNTIF($G$2:G189,$G190)=0),"",$R190-LOOKUP(2,1/($G$2:G189=$G190),$R$2:R189))</f>
        <v/>
      </c>
      <c r="U190" s="11" t="str">
        <f t="shared" si="20"/>
        <v/>
      </c>
      <c r="V190" s="4"/>
      <c r="W190" s="4"/>
      <c r="X190" s="55"/>
      <c r="Y190" s="56" t="str">
        <f>IF($B190="","",IF((IF($G190="","Sin unidad | ","")&amp;IF($J190="","Sin responsable | ","")&amp;IF($K190="","Sin obra | ","")&amp;IF(AND($N190&lt;&gt;"",$G190&lt;&gt;"",$N190&gt;IFERROR(INDEX('MAESTRO DE UNIDADES'!$I$2:$I$208,MATCH($G190,'MAESTRO DE UNIDADES'!$A$2:$A$208,0)),0)),"Litros &gt; tanque | ","")&amp;IF(AND($W190&lt;&gt;"",COUNTIF($W$2:$W190,$W190)&gt;1),"Ticket duplicado | ","")&amp;IF(AND($G190&lt;&gt;"",IFERROR(INDEX('MAESTRO DE UNIDADES'!$L$2:$L$208,MATCH($G190,'MAESTRO DE UNIDADES'!$A$2:$A$208,0)),"")="Inactivo"),"Unidad inactiva | ","")&amp;IF(AND($AA190&lt;&gt;"",$N190=""),"Carga de batán sin litros | ","")&amp;IF(AND($AA190&lt;&gt;"",$AC190&lt;0),"Supera saldo batán | ",""))="","OK",LEFT((IF($G190="","Sin unidad | ","")&amp;IF($J190="","Sin responsable | ","")&amp;IF($K190="","Sin obra | ","")&amp;IF(AND($N190&lt;&gt;"",$G190&lt;&gt;"",$N190&gt;IFERROR(INDEX('MAESTRO DE UNIDADES'!$I$2:$I$208,MATCH($G190,'MAESTRO DE UNIDADES'!$A$2:$A$208,0)),0)),"Litros &gt; tanque | ","")&amp;IF(AND($W190&lt;&gt;"",COUNTIF($W$2:$W190,$W190)&gt;1),"Ticket duplicado | ","")&amp;IF(AND($G190&lt;&gt;"",IFERROR(INDEX('MAESTRO DE UNIDADES'!$L$2:$L$208,MATCH($G190,'MAESTRO DE UNIDADES'!$A$2:$A$208,0)),"")="Inactivo"),"Unidad inactiva | ","")&amp;IF(AND($AA190&lt;&gt;"",$N190=""),"Carga de batán sin litros | ","")&amp;IF(AND($AA190&lt;&gt;"",$AC190&lt;0),"Supera saldo batán | ","")),LEN((IF($G190="","Sin unidad | ","")&amp;IF($J190="","Sin responsable | ","")&amp;IF($K190="","Sin obra | ","")&amp;IF(AND($N190&lt;&gt;"",$G190&lt;&gt;"",$N190&gt;IFERROR(INDEX('MAESTRO DE UNIDADES'!$I$2:$I$208,MATCH($G190,'MAESTRO DE UNIDADES'!$A$2:$A$208,0)),0)),"Litros &gt; tanque | ","")&amp;IF(AND($W190&lt;&gt;"",COUNTIF($W$2:$W190,$W190)&gt;1),"Ticket duplicado | ","")&amp;IF(AND($G190&lt;&gt;"",IFERROR(INDEX('MAESTRO DE UNIDADES'!$L$2:$L$208,MATCH($G190,'MAESTRO DE UNIDADES'!$A$2:$A$208,0)),"")="Inactivo"),"Unidad inactiva | ","")&amp;IF(AND($AA190&lt;&gt;"",$N190=""),"Carga de batán sin litros | ","")&amp;IF(AND($AA190&lt;&gt;"",$AC190&lt;0),"Supera saldo batán | ","")))-3)))</f>
        <v/>
      </c>
      <c r="Z190" s="8" t="str">
        <f t="shared" si="21"/>
        <v/>
      </c>
      <c r="AA190" s="4"/>
      <c r="AB190" s="26" t="str">
        <f>IF($AA190="","",IFERROR(INDEX('CONTROL DE BATAN'!$J$2:$J$301,MATCH($AA190,'CONTROL DE BATAN'!$A$2:$A$301,0)),""))</f>
        <v/>
      </c>
      <c r="AC190" s="28" t="str">
        <f>IF($AA190="","",IFERROR(INDEX('CONTROL DE BATAN'!$I$2:$I$301,MATCH($AA190,'CONTROL DE BATAN'!$A$2:$A$301,0)),0)-SUMIFS($N$2:$N190,$AA$2:$AA190,$AA190))</f>
        <v/>
      </c>
    </row>
    <row r="191" spans="1:29" x14ac:dyDescent="0.25">
      <c r="A191" s="8" t="str">
        <f t="shared" si="15"/>
        <v/>
      </c>
      <c r="B191" s="9"/>
      <c r="C191" s="8" t="str">
        <f t="shared" si="16"/>
        <v/>
      </c>
      <c r="D191" s="10" t="str">
        <f t="shared" si="17"/>
        <v/>
      </c>
      <c r="E191" s="8" t="str">
        <f t="shared" si="18"/>
        <v/>
      </c>
      <c r="F191" s="8" t="str">
        <f>IF($G191="","",IFERROR(INDEX('MAESTRO DE UNIDADES'!$C$2:$C$208,MATCH($G191,'MAESTRO DE UNIDADES'!$A$2:$A$208,0)),""))</f>
        <v/>
      </c>
      <c r="G191" s="4"/>
      <c r="H191" s="8" t="str">
        <f>IF($G191="","",IFERROR(INDEX('MAESTRO DE UNIDADES'!$F$2:$F$208,MATCH($G191,'MAESTRO DE UNIDADES'!$A$2:$A$208,0)),""))</f>
        <v/>
      </c>
      <c r="I191" s="8" t="str">
        <f>IF($G191="","",IFERROR(INDEX('MAESTRO DE UNIDADES'!$B$2:$B$208,MATCH($G191,'MAESTRO DE UNIDADES'!$A$2:$A$208,0)),""))</f>
        <v/>
      </c>
      <c r="J191" s="4"/>
      <c r="K191" s="4"/>
      <c r="L191" s="4"/>
      <c r="M191" s="8" t="str">
        <f>IF($G191="","",IFERROR(INDEX('MAESTRO DE UNIDADES'!$H$2:$H$208,MATCH($G191,'MAESTRO DE UNIDADES'!$A$2:$A$208,0)),""))</f>
        <v/>
      </c>
      <c r="N191" s="25"/>
      <c r="O191" s="25"/>
      <c r="P191" s="26" t="str">
        <f t="shared" si="19"/>
        <v/>
      </c>
      <c r="Q191" s="27"/>
      <c r="R191" s="27"/>
      <c r="S191" s="28" t="str">
        <f>IF(OR($G191="",$Q191="",COUNTIF($G$2:G190,$G191)=0),"",$Q191-LOOKUP(2,1/($G$2:G190=$G191),$Q$2:Q190))</f>
        <v/>
      </c>
      <c r="T191" s="28" t="str">
        <f>IF(OR($G191="",$R191="",COUNTIF($G$2:G190,$G191)=0),"",$R191-LOOKUP(2,1/($G$2:G190=$G191),$R$2:R190))</f>
        <v/>
      </c>
      <c r="U191" s="11" t="str">
        <f t="shared" si="20"/>
        <v/>
      </c>
      <c r="V191" s="4"/>
      <c r="W191" s="4"/>
      <c r="X191" s="55"/>
      <c r="Y191" s="56" t="str">
        <f>IF($B191="","",IF((IF($G191="","Sin unidad | ","")&amp;IF($J191="","Sin responsable | ","")&amp;IF($K191="","Sin obra | ","")&amp;IF(AND($N191&lt;&gt;"",$G191&lt;&gt;"",$N191&gt;IFERROR(INDEX('MAESTRO DE UNIDADES'!$I$2:$I$208,MATCH($G191,'MAESTRO DE UNIDADES'!$A$2:$A$208,0)),0)),"Litros &gt; tanque | ","")&amp;IF(AND($W191&lt;&gt;"",COUNTIF($W$2:$W191,$W191)&gt;1),"Ticket duplicado | ","")&amp;IF(AND($G191&lt;&gt;"",IFERROR(INDEX('MAESTRO DE UNIDADES'!$L$2:$L$208,MATCH($G191,'MAESTRO DE UNIDADES'!$A$2:$A$208,0)),"")="Inactivo"),"Unidad inactiva | ","")&amp;IF(AND($AA191&lt;&gt;"",$N191=""),"Carga de batán sin litros | ","")&amp;IF(AND($AA191&lt;&gt;"",$AC191&lt;0),"Supera saldo batán | ",""))="","OK",LEFT((IF($G191="","Sin unidad | ","")&amp;IF($J191="","Sin responsable | ","")&amp;IF($K191="","Sin obra | ","")&amp;IF(AND($N191&lt;&gt;"",$G191&lt;&gt;"",$N191&gt;IFERROR(INDEX('MAESTRO DE UNIDADES'!$I$2:$I$208,MATCH($G191,'MAESTRO DE UNIDADES'!$A$2:$A$208,0)),0)),"Litros &gt; tanque | ","")&amp;IF(AND($W191&lt;&gt;"",COUNTIF($W$2:$W191,$W191)&gt;1),"Ticket duplicado | ","")&amp;IF(AND($G191&lt;&gt;"",IFERROR(INDEX('MAESTRO DE UNIDADES'!$L$2:$L$208,MATCH($G191,'MAESTRO DE UNIDADES'!$A$2:$A$208,0)),"")="Inactivo"),"Unidad inactiva | ","")&amp;IF(AND($AA191&lt;&gt;"",$N191=""),"Carga de batán sin litros | ","")&amp;IF(AND($AA191&lt;&gt;"",$AC191&lt;0),"Supera saldo batán | ","")),LEN((IF($G191="","Sin unidad | ","")&amp;IF($J191="","Sin responsable | ","")&amp;IF($K191="","Sin obra | ","")&amp;IF(AND($N191&lt;&gt;"",$G191&lt;&gt;"",$N191&gt;IFERROR(INDEX('MAESTRO DE UNIDADES'!$I$2:$I$208,MATCH($G191,'MAESTRO DE UNIDADES'!$A$2:$A$208,0)),0)),"Litros &gt; tanque | ","")&amp;IF(AND($W191&lt;&gt;"",COUNTIF($W$2:$W191,$W191)&gt;1),"Ticket duplicado | ","")&amp;IF(AND($G191&lt;&gt;"",IFERROR(INDEX('MAESTRO DE UNIDADES'!$L$2:$L$208,MATCH($G191,'MAESTRO DE UNIDADES'!$A$2:$A$208,0)),"")="Inactivo"),"Unidad inactiva | ","")&amp;IF(AND($AA191&lt;&gt;"",$N191=""),"Carga de batán sin litros | ","")&amp;IF(AND($AA191&lt;&gt;"",$AC191&lt;0),"Supera saldo batán | ","")))-3)))</f>
        <v/>
      </c>
      <c r="Z191" s="8" t="str">
        <f t="shared" si="21"/>
        <v/>
      </c>
      <c r="AA191" s="4"/>
      <c r="AB191" s="26" t="str">
        <f>IF($AA191="","",IFERROR(INDEX('CONTROL DE BATAN'!$J$2:$J$301,MATCH($AA191,'CONTROL DE BATAN'!$A$2:$A$301,0)),""))</f>
        <v/>
      </c>
      <c r="AC191" s="28" t="str">
        <f>IF($AA191="","",IFERROR(INDEX('CONTROL DE BATAN'!$I$2:$I$301,MATCH($AA191,'CONTROL DE BATAN'!$A$2:$A$301,0)),0)-SUMIFS($N$2:$N191,$AA$2:$AA191,$AA191))</f>
        <v/>
      </c>
    </row>
    <row r="192" spans="1:29" x14ac:dyDescent="0.25">
      <c r="A192" s="8" t="str">
        <f t="shared" si="15"/>
        <v/>
      </c>
      <c r="B192" s="9"/>
      <c r="C192" s="8" t="str">
        <f t="shared" si="16"/>
        <v/>
      </c>
      <c r="D192" s="10" t="str">
        <f t="shared" si="17"/>
        <v/>
      </c>
      <c r="E192" s="8" t="str">
        <f t="shared" si="18"/>
        <v/>
      </c>
      <c r="F192" s="8" t="str">
        <f>IF($G192="","",IFERROR(INDEX('MAESTRO DE UNIDADES'!$C$2:$C$208,MATCH($G192,'MAESTRO DE UNIDADES'!$A$2:$A$208,0)),""))</f>
        <v/>
      </c>
      <c r="G192" s="4"/>
      <c r="H192" s="8" t="str">
        <f>IF($G192="","",IFERROR(INDEX('MAESTRO DE UNIDADES'!$F$2:$F$208,MATCH($G192,'MAESTRO DE UNIDADES'!$A$2:$A$208,0)),""))</f>
        <v/>
      </c>
      <c r="I192" s="8" t="str">
        <f>IF($G192="","",IFERROR(INDEX('MAESTRO DE UNIDADES'!$B$2:$B$208,MATCH($G192,'MAESTRO DE UNIDADES'!$A$2:$A$208,0)),""))</f>
        <v/>
      </c>
      <c r="J192" s="4"/>
      <c r="K192" s="4"/>
      <c r="L192" s="4"/>
      <c r="M192" s="8" t="str">
        <f>IF($G192="","",IFERROR(INDEX('MAESTRO DE UNIDADES'!$H$2:$H$208,MATCH($G192,'MAESTRO DE UNIDADES'!$A$2:$A$208,0)),""))</f>
        <v/>
      </c>
      <c r="N192" s="25"/>
      <c r="O192" s="25"/>
      <c r="P192" s="26" t="str">
        <f t="shared" si="19"/>
        <v/>
      </c>
      <c r="Q192" s="27"/>
      <c r="R192" s="27"/>
      <c r="S192" s="28" t="str">
        <f>IF(OR($G192="",$Q192="",COUNTIF($G$2:G191,$G192)=0),"",$Q192-LOOKUP(2,1/($G$2:G191=$G192),$Q$2:Q191))</f>
        <v/>
      </c>
      <c r="T192" s="28" t="str">
        <f>IF(OR($G192="",$R192="",COUNTIF($G$2:G191,$G192)=0),"",$R192-LOOKUP(2,1/($G$2:G191=$G192),$R$2:R191))</f>
        <v/>
      </c>
      <c r="U192" s="11" t="str">
        <f t="shared" si="20"/>
        <v/>
      </c>
      <c r="V192" s="4"/>
      <c r="W192" s="4"/>
      <c r="X192" s="55"/>
      <c r="Y192" s="56" t="str">
        <f>IF($B192="","",IF((IF($G192="","Sin unidad | ","")&amp;IF($J192="","Sin responsable | ","")&amp;IF($K192="","Sin obra | ","")&amp;IF(AND($N192&lt;&gt;"",$G192&lt;&gt;"",$N192&gt;IFERROR(INDEX('MAESTRO DE UNIDADES'!$I$2:$I$208,MATCH($G192,'MAESTRO DE UNIDADES'!$A$2:$A$208,0)),0)),"Litros &gt; tanque | ","")&amp;IF(AND($W192&lt;&gt;"",COUNTIF($W$2:$W192,$W192)&gt;1),"Ticket duplicado | ","")&amp;IF(AND($G192&lt;&gt;"",IFERROR(INDEX('MAESTRO DE UNIDADES'!$L$2:$L$208,MATCH($G192,'MAESTRO DE UNIDADES'!$A$2:$A$208,0)),"")="Inactivo"),"Unidad inactiva | ","")&amp;IF(AND($AA192&lt;&gt;"",$N192=""),"Carga de batán sin litros | ","")&amp;IF(AND($AA192&lt;&gt;"",$AC192&lt;0),"Supera saldo batán | ",""))="","OK",LEFT((IF($G192="","Sin unidad | ","")&amp;IF($J192="","Sin responsable | ","")&amp;IF($K192="","Sin obra | ","")&amp;IF(AND($N192&lt;&gt;"",$G192&lt;&gt;"",$N192&gt;IFERROR(INDEX('MAESTRO DE UNIDADES'!$I$2:$I$208,MATCH($G192,'MAESTRO DE UNIDADES'!$A$2:$A$208,0)),0)),"Litros &gt; tanque | ","")&amp;IF(AND($W192&lt;&gt;"",COUNTIF($W$2:$W192,$W192)&gt;1),"Ticket duplicado | ","")&amp;IF(AND($G192&lt;&gt;"",IFERROR(INDEX('MAESTRO DE UNIDADES'!$L$2:$L$208,MATCH($G192,'MAESTRO DE UNIDADES'!$A$2:$A$208,0)),"")="Inactivo"),"Unidad inactiva | ","")&amp;IF(AND($AA192&lt;&gt;"",$N192=""),"Carga de batán sin litros | ","")&amp;IF(AND($AA192&lt;&gt;"",$AC192&lt;0),"Supera saldo batán | ","")),LEN((IF($G192="","Sin unidad | ","")&amp;IF($J192="","Sin responsable | ","")&amp;IF($K192="","Sin obra | ","")&amp;IF(AND($N192&lt;&gt;"",$G192&lt;&gt;"",$N192&gt;IFERROR(INDEX('MAESTRO DE UNIDADES'!$I$2:$I$208,MATCH($G192,'MAESTRO DE UNIDADES'!$A$2:$A$208,0)),0)),"Litros &gt; tanque | ","")&amp;IF(AND($W192&lt;&gt;"",COUNTIF($W$2:$W192,$W192)&gt;1),"Ticket duplicado | ","")&amp;IF(AND($G192&lt;&gt;"",IFERROR(INDEX('MAESTRO DE UNIDADES'!$L$2:$L$208,MATCH($G192,'MAESTRO DE UNIDADES'!$A$2:$A$208,0)),"")="Inactivo"),"Unidad inactiva | ","")&amp;IF(AND($AA192&lt;&gt;"",$N192=""),"Carga de batán sin litros | ","")&amp;IF(AND($AA192&lt;&gt;"",$AC192&lt;0),"Supera saldo batán | ","")))-3)))</f>
        <v/>
      </c>
      <c r="Z192" s="8" t="str">
        <f t="shared" si="21"/>
        <v/>
      </c>
      <c r="AA192" s="4"/>
      <c r="AB192" s="26" t="str">
        <f>IF($AA192="","",IFERROR(INDEX('CONTROL DE BATAN'!$J$2:$J$301,MATCH($AA192,'CONTROL DE BATAN'!$A$2:$A$301,0)),""))</f>
        <v/>
      </c>
      <c r="AC192" s="28" t="str">
        <f>IF($AA192="","",IFERROR(INDEX('CONTROL DE BATAN'!$I$2:$I$301,MATCH($AA192,'CONTROL DE BATAN'!$A$2:$A$301,0)),0)-SUMIFS($N$2:$N192,$AA$2:$AA192,$AA192))</f>
        <v/>
      </c>
    </row>
    <row r="193" spans="1:29" x14ac:dyDescent="0.25">
      <c r="A193" s="8" t="str">
        <f t="shared" si="15"/>
        <v/>
      </c>
      <c r="B193" s="9"/>
      <c r="C193" s="8" t="str">
        <f t="shared" si="16"/>
        <v/>
      </c>
      <c r="D193" s="10" t="str">
        <f t="shared" si="17"/>
        <v/>
      </c>
      <c r="E193" s="8" t="str">
        <f t="shared" si="18"/>
        <v/>
      </c>
      <c r="F193" s="8" t="str">
        <f>IF($G193="","",IFERROR(INDEX('MAESTRO DE UNIDADES'!$C$2:$C$208,MATCH($G193,'MAESTRO DE UNIDADES'!$A$2:$A$208,0)),""))</f>
        <v/>
      </c>
      <c r="G193" s="4"/>
      <c r="H193" s="8" t="str">
        <f>IF($G193="","",IFERROR(INDEX('MAESTRO DE UNIDADES'!$F$2:$F$208,MATCH($G193,'MAESTRO DE UNIDADES'!$A$2:$A$208,0)),""))</f>
        <v/>
      </c>
      <c r="I193" s="8" t="str">
        <f>IF($G193="","",IFERROR(INDEX('MAESTRO DE UNIDADES'!$B$2:$B$208,MATCH($G193,'MAESTRO DE UNIDADES'!$A$2:$A$208,0)),""))</f>
        <v/>
      </c>
      <c r="J193" s="4"/>
      <c r="K193" s="4"/>
      <c r="L193" s="4"/>
      <c r="M193" s="8" t="str">
        <f>IF($G193="","",IFERROR(INDEX('MAESTRO DE UNIDADES'!$H$2:$H$208,MATCH($G193,'MAESTRO DE UNIDADES'!$A$2:$A$208,0)),""))</f>
        <v/>
      </c>
      <c r="N193" s="25"/>
      <c r="O193" s="25"/>
      <c r="P193" s="26" t="str">
        <f t="shared" si="19"/>
        <v/>
      </c>
      <c r="Q193" s="27"/>
      <c r="R193" s="27"/>
      <c r="S193" s="28" t="str">
        <f>IF(OR($G193="",$Q193="",COUNTIF($G$2:G192,$G193)=0),"",$Q193-LOOKUP(2,1/($G$2:G192=$G193),$Q$2:Q192))</f>
        <v/>
      </c>
      <c r="T193" s="28" t="str">
        <f>IF(OR($G193="",$R193="",COUNTIF($G$2:G192,$G193)=0),"",$R193-LOOKUP(2,1/($G$2:G192=$G193),$R$2:R192))</f>
        <v/>
      </c>
      <c r="U193" s="11" t="str">
        <f t="shared" si="20"/>
        <v/>
      </c>
      <c r="V193" s="4"/>
      <c r="W193" s="4"/>
      <c r="X193" s="55"/>
      <c r="Y193" s="56" t="str">
        <f>IF($B193="","",IF((IF($G193="","Sin unidad | ","")&amp;IF($J193="","Sin responsable | ","")&amp;IF($K193="","Sin obra | ","")&amp;IF(AND($N193&lt;&gt;"",$G193&lt;&gt;"",$N193&gt;IFERROR(INDEX('MAESTRO DE UNIDADES'!$I$2:$I$208,MATCH($G193,'MAESTRO DE UNIDADES'!$A$2:$A$208,0)),0)),"Litros &gt; tanque | ","")&amp;IF(AND($W193&lt;&gt;"",COUNTIF($W$2:$W193,$W193)&gt;1),"Ticket duplicado | ","")&amp;IF(AND($G193&lt;&gt;"",IFERROR(INDEX('MAESTRO DE UNIDADES'!$L$2:$L$208,MATCH($G193,'MAESTRO DE UNIDADES'!$A$2:$A$208,0)),"")="Inactivo"),"Unidad inactiva | ","")&amp;IF(AND($AA193&lt;&gt;"",$N193=""),"Carga de batán sin litros | ","")&amp;IF(AND($AA193&lt;&gt;"",$AC193&lt;0),"Supera saldo batán | ",""))="","OK",LEFT((IF($G193="","Sin unidad | ","")&amp;IF($J193="","Sin responsable | ","")&amp;IF($K193="","Sin obra | ","")&amp;IF(AND($N193&lt;&gt;"",$G193&lt;&gt;"",$N193&gt;IFERROR(INDEX('MAESTRO DE UNIDADES'!$I$2:$I$208,MATCH($G193,'MAESTRO DE UNIDADES'!$A$2:$A$208,0)),0)),"Litros &gt; tanque | ","")&amp;IF(AND($W193&lt;&gt;"",COUNTIF($W$2:$W193,$W193)&gt;1),"Ticket duplicado | ","")&amp;IF(AND($G193&lt;&gt;"",IFERROR(INDEX('MAESTRO DE UNIDADES'!$L$2:$L$208,MATCH($G193,'MAESTRO DE UNIDADES'!$A$2:$A$208,0)),"")="Inactivo"),"Unidad inactiva | ","")&amp;IF(AND($AA193&lt;&gt;"",$N193=""),"Carga de batán sin litros | ","")&amp;IF(AND($AA193&lt;&gt;"",$AC193&lt;0),"Supera saldo batán | ","")),LEN((IF($G193="","Sin unidad | ","")&amp;IF($J193="","Sin responsable | ","")&amp;IF($K193="","Sin obra | ","")&amp;IF(AND($N193&lt;&gt;"",$G193&lt;&gt;"",$N193&gt;IFERROR(INDEX('MAESTRO DE UNIDADES'!$I$2:$I$208,MATCH($G193,'MAESTRO DE UNIDADES'!$A$2:$A$208,0)),0)),"Litros &gt; tanque | ","")&amp;IF(AND($W193&lt;&gt;"",COUNTIF($W$2:$W193,$W193)&gt;1),"Ticket duplicado | ","")&amp;IF(AND($G193&lt;&gt;"",IFERROR(INDEX('MAESTRO DE UNIDADES'!$L$2:$L$208,MATCH($G193,'MAESTRO DE UNIDADES'!$A$2:$A$208,0)),"")="Inactivo"),"Unidad inactiva | ","")&amp;IF(AND($AA193&lt;&gt;"",$N193=""),"Carga de batán sin litros | ","")&amp;IF(AND($AA193&lt;&gt;"",$AC193&lt;0),"Supera saldo batán | ","")))-3)))</f>
        <v/>
      </c>
      <c r="Z193" s="8" t="str">
        <f t="shared" si="21"/>
        <v/>
      </c>
      <c r="AA193" s="4"/>
      <c r="AB193" s="26" t="str">
        <f>IF($AA193="","",IFERROR(INDEX('CONTROL DE BATAN'!$J$2:$J$301,MATCH($AA193,'CONTROL DE BATAN'!$A$2:$A$301,0)),""))</f>
        <v/>
      </c>
      <c r="AC193" s="28" t="str">
        <f>IF($AA193="","",IFERROR(INDEX('CONTROL DE BATAN'!$I$2:$I$301,MATCH($AA193,'CONTROL DE BATAN'!$A$2:$A$301,0)),0)-SUMIFS($N$2:$N193,$AA$2:$AA193,$AA193))</f>
        <v/>
      </c>
    </row>
    <row r="194" spans="1:29" x14ac:dyDescent="0.25">
      <c r="A194" s="8" t="str">
        <f t="shared" si="15"/>
        <v/>
      </c>
      <c r="B194" s="9"/>
      <c r="C194" s="8" t="str">
        <f t="shared" si="16"/>
        <v/>
      </c>
      <c r="D194" s="10" t="str">
        <f t="shared" si="17"/>
        <v/>
      </c>
      <c r="E194" s="8" t="str">
        <f t="shared" si="18"/>
        <v/>
      </c>
      <c r="F194" s="8" t="str">
        <f>IF($G194="","",IFERROR(INDEX('MAESTRO DE UNIDADES'!$C$2:$C$208,MATCH($G194,'MAESTRO DE UNIDADES'!$A$2:$A$208,0)),""))</f>
        <v/>
      </c>
      <c r="G194" s="4"/>
      <c r="H194" s="8" t="str">
        <f>IF($G194="","",IFERROR(INDEX('MAESTRO DE UNIDADES'!$F$2:$F$208,MATCH($G194,'MAESTRO DE UNIDADES'!$A$2:$A$208,0)),""))</f>
        <v/>
      </c>
      <c r="I194" s="8" t="str">
        <f>IF($G194="","",IFERROR(INDEX('MAESTRO DE UNIDADES'!$B$2:$B$208,MATCH($G194,'MAESTRO DE UNIDADES'!$A$2:$A$208,0)),""))</f>
        <v/>
      </c>
      <c r="J194" s="4"/>
      <c r="K194" s="4"/>
      <c r="L194" s="4"/>
      <c r="M194" s="8" t="str">
        <f>IF($G194="","",IFERROR(INDEX('MAESTRO DE UNIDADES'!$H$2:$H$208,MATCH($G194,'MAESTRO DE UNIDADES'!$A$2:$A$208,0)),""))</f>
        <v/>
      </c>
      <c r="N194" s="25"/>
      <c r="O194" s="25"/>
      <c r="P194" s="26" t="str">
        <f t="shared" si="19"/>
        <v/>
      </c>
      <c r="Q194" s="27"/>
      <c r="R194" s="27"/>
      <c r="S194" s="28" t="str">
        <f>IF(OR($G194="",$Q194="",COUNTIF($G$2:G193,$G194)=0),"",$Q194-LOOKUP(2,1/($G$2:G193=$G194),$Q$2:Q193))</f>
        <v/>
      </c>
      <c r="T194" s="28" t="str">
        <f>IF(OR($G194="",$R194="",COUNTIF($G$2:G193,$G194)=0),"",$R194-LOOKUP(2,1/($G$2:G193=$G194),$R$2:R193))</f>
        <v/>
      </c>
      <c r="U194" s="11" t="str">
        <f t="shared" si="20"/>
        <v/>
      </c>
      <c r="V194" s="4"/>
      <c r="W194" s="4"/>
      <c r="X194" s="55"/>
      <c r="Y194" s="56" t="str">
        <f>IF($B194="","",IF((IF($G194="","Sin unidad | ","")&amp;IF($J194="","Sin responsable | ","")&amp;IF($K194="","Sin obra | ","")&amp;IF(AND($N194&lt;&gt;"",$G194&lt;&gt;"",$N194&gt;IFERROR(INDEX('MAESTRO DE UNIDADES'!$I$2:$I$208,MATCH($G194,'MAESTRO DE UNIDADES'!$A$2:$A$208,0)),0)),"Litros &gt; tanque | ","")&amp;IF(AND($W194&lt;&gt;"",COUNTIF($W$2:$W194,$W194)&gt;1),"Ticket duplicado | ","")&amp;IF(AND($G194&lt;&gt;"",IFERROR(INDEX('MAESTRO DE UNIDADES'!$L$2:$L$208,MATCH($G194,'MAESTRO DE UNIDADES'!$A$2:$A$208,0)),"")="Inactivo"),"Unidad inactiva | ","")&amp;IF(AND($AA194&lt;&gt;"",$N194=""),"Carga de batán sin litros | ","")&amp;IF(AND($AA194&lt;&gt;"",$AC194&lt;0),"Supera saldo batán | ",""))="","OK",LEFT((IF($G194="","Sin unidad | ","")&amp;IF($J194="","Sin responsable | ","")&amp;IF($K194="","Sin obra | ","")&amp;IF(AND($N194&lt;&gt;"",$G194&lt;&gt;"",$N194&gt;IFERROR(INDEX('MAESTRO DE UNIDADES'!$I$2:$I$208,MATCH($G194,'MAESTRO DE UNIDADES'!$A$2:$A$208,0)),0)),"Litros &gt; tanque | ","")&amp;IF(AND($W194&lt;&gt;"",COUNTIF($W$2:$W194,$W194)&gt;1),"Ticket duplicado | ","")&amp;IF(AND($G194&lt;&gt;"",IFERROR(INDEX('MAESTRO DE UNIDADES'!$L$2:$L$208,MATCH($G194,'MAESTRO DE UNIDADES'!$A$2:$A$208,0)),"")="Inactivo"),"Unidad inactiva | ","")&amp;IF(AND($AA194&lt;&gt;"",$N194=""),"Carga de batán sin litros | ","")&amp;IF(AND($AA194&lt;&gt;"",$AC194&lt;0),"Supera saldo batán | ","")),LEN((IF($G194="","Sin unidad | ","")&amp;IF($J194="","Sin responsable | ","")&amp;IF($K194="","Sin obra | ","")&amp;IF(AND($N194&lt;&gt;"",$G194&lt;&gt;"",$N194&gt;IFERROR(INDEX('MAESTRO DE UNIDADES'!$I$2:$I$208,MATCH($G194,'MAESTRO DE UNIDADES'!$A$2:$A$208,0)),0)),"Litros &gt; tanque | ","")&amp;IF(AND($W194&lt;&gt;"",COUNTIF($W$2:$W194,$W194)&gt;1),"Ticket duplicado | ","")&amp;IF(AND($G194&lt;&gt;"",IFERROR(INDEX('MAESTRO DE UNIDADES'!$L$2:$L$208,MATCH($G194,'MAESTRO DE UNIDADES'!$A$2:$A$208,0)),"")="Inactivo"),"Unidad inactiva | ","")&amp;IF(AND($AA194&lt;&gt;"",$N194=""),"Carga de batán sin litros | ","")&amp;IF(AND($AA194&lt;&gt;"",$AC194&lt;0),"Supera saldo batán | ","")))-3)))</f>
        <v/>
      </c>
      <c r="Z194" s="8" t="str">
        <f t="shared" si="21"/>
        <v/>
      </c>
      <c r="AA194" s="4"/>
      <c r="AB194" s="26" t="str">
        <f>IF($AA194="","",IFERROR(INDEX('CONTROL DE BATAN'!$J$2:$J$301,MATCH($AA194,'CONTROL DE BATAN'!$A$2:$A$301,0)),""))</f>
        <v/>
      </c>
      <c r="AC194" s="28" t="str">
        <f>IF($AA194="","",IFERROR(INDEX('CONTROL DE BATAN'!$I$2:$I$301,MATCH($AA194,'CONTROL DE BATAN'!$A$2:$A$301,0)),0)-SUMIFS($N$2:$N194,$AA$2:$AA194,$AA194))</f>
        <v/>
      </c>
    </row>
    <row r="195" spans="1:29" x14ac:dyDescent="0.25">
      <c r="A195" s="8" t="str">
        <f t="shared" si="15"/>
        <v/>
      </c>
      <c r="B195" s="9"/>
      <c r="C195" s="8" t="str">
        <f t="shared" si="16"/>
        <v/>
      </c>
      <c r="D195" s="10" t="str">
        <f t="shared" si="17"/>
        <v/>
      </c>
      <c r="E195" s="8" t="str">
        <f t="shared" si="18"/>
        <v/>
      </c>
      <c r="F195" s="8" t="str">
        <f>IF($G195="","",IFERROR(INDEX('MAESTRO DE UNIDADES'!$C$2:$C$208,MATCH($G195,'MAESTRO DE UNIDADES'!$A$2:$A$208,0)),""))</f>
        <v/>
      </c>
      <c r="G195" s="4"/>
      <c r="H195" s="8" t="str">
        <f>IF($G195="","",IFERROR(INDEX('MAESTRO DE UNIDADES'!$F$2:$F$208,MATCH($G195,'MAESTRO DE UNIDADES'!$A$2:$A$208,0)),""))</f>
        <v/>
      </c>
      <c r="I195" s="8" t="str">
        <f>IF($G195="","",IFERROR(INDEX('MAESTRO DE UNIDADES'!$B$2:$B$208,MATCH($G195,'MAESTRO DE UNIDADES'!$A$2:$A$208,0)),""))</f>
        <v/>
      </c>
      <c r="J195" s="4"/>
      <c r="K195" s="4"/>
      <c r="L195" s="4"/>
      <c r="M195" s="8" t="str">
        <f>IF($G195="","",IFERROR(INDEX('MAESTRO DE UNIDADES'!$H$2:$H$208,MATCH($G195,'MAESTRO DE UNIDADES'!$A$2:$A$208,0)),""))</f>
        <v/>
      </c>
      <c r="N195" s="25"/>
      <c r="O195" s="25"/>
      <c r="P195" s="26" t="str">
        <f t="shared" si="19"/>
        <v/>
      </c>
      <c r="Q195" s="27"/>
      <c r="R195" s="27"/>
      <c r="S195" s="28" t="str">
        <f>IF(OR($G195="",$Q195="",COUNTIF($G$2:G194,$G195)=0),"",$Q195-LOOKUP(2,1/($G$2:G194=$G195),$Q$2:Q194))</f>
        <v/>
      </c>
      <c r="T195" s="28" t="str">
        <f>IF(OR($G195="",$R195="",COUNTIF($G$2:G194,$G195)=0),"",$R195-LOOKUP(2,1/($G$2:G194=$G195),$R$2:R194))</f>
        <v/>
      </c>
      <c r="U195" s="11" t="str">
        <f t="shared" si="20"/>
        <v/>
      </c>
      <c r="V195" s="4"/>
      <c r="W195" s="4"/>
      <c r="X195" s="55"/>
      <c r="Y195" s="56" t="str">
        <f>IF($B195="","",IF((IF($G195="","Sin unidad | ","")&amp;IF($J195="","Sin responsable | ","")&amp;IF($K195="","Sin obra | ","")&amp;IF(AND($N195&lt;&gt;"",$G195&lt;&gt;"",$N195&gt;IFERROR(INDEX('MAESTRO DE UNIDADES'!$I$2:$I$208,MATCH($G195,'MAESTRO DE UNIDADES'!$A$2:$A$208,0)),0)),"Litros &gt; tanque | ","")&amp;IF(AND($W195&lt;&gt;"",COUNTIF($W$2:$W195,$W195)&gt;1),"Ticket duplicado | ","")&amp;IF(AND($G195&lt;&gt;"",IFERROR(INDEX('MAESTRO DE UNIDADES'!$L$2:$L$208,MATCH($G195,'MAESTRO DE UNIDADES'!$A$2:$A$208,0)),"")="Inactivo"),"Unidad inactiva | ","")&amp;IF(AND($AA195&lt;&gt;"",$N195=""),"Carga de batán sin litros | ","")&amp;IF(AND($AA195&lt;&gt;"",$AC195&lt;0),"Supera saldo batán | ",""))="","OK",LEFT((IF($G195="","Sin unidad | ","")&amp;IF($J195="","Sin responsable | ","")&amp;IF($K195="","Sin obra | ","")&amp;IF(AND($N195&lt;&gt;"",$G195&lt;&gt;"",$N195&gt;IFERROR(INDEX('MAESTRO DE UNIDADES'!$I$2:$I$208,MATCH($G195,'MAESTRO DE UNIDADES'!$A$2:$A$208,0)),0)),"Litros &gt; tanque | ","")&amp;IF(AND($W195&lt;&gt;"",COUNTIF($W$2:$W195,$W195)&gt;1),"Ticket duplicado | ","")&amp;IF(AND($G195&lt;&gt;"",IFERROR(INDEX('MAESTRO DE UNIDADES'!$L$2:$L$208,MATCH($G195,'MAESTRO DE UNIDADES'!$A$2:$A$208,0)),"")="Inactivo"),"Unidad inactiva | ","")&amp;IF(AND($AA195&lt;&gt;"",$N195=""),"Carga de batán sin litros | ","")&amp;IF(AND($AA195&lt;&gt;"",$AC195&lt;0),"Supera saldo batán | ","")),LEN((IF($G195="","Sin unidad | ","")&amp;IF($J195="","Sin responsable | ","")&amp;IF($K195="","Sin obra | ","")&amp;IF(AND($N195&lt;&gt;"",$G195&lt;&gt;"",$N195&gt;IFERROR(INDEX('MAESTRO DE UNIDADES'!$I$2:$I$208,MATCH($G195,'MAESTRO DE UNIDADES'!$A$2:$A$208,0)),0)),"Litros &gt; tanque | ","")&amp;IF(AND($W195&lt;&gt;"",COUNTIF($W$2:$W195,$W195)&gt;1),"Ticket duplicado | ","")&amp;IF(AND($G195&lt;&gt;"",IFERROR(INDEX('MAESTRO DE UNIDADES'!$L$2:$L$208,MATCH($G195,'MAESTRO DE UNIDADES'!$A$2:$A$208,0)),"")="Inactivo"),"Unidad inactiva | ","")&amp;IF(AND($AA195&lt;&gt;"",$N195=""),"Carga de batán sin litros | ","")&amp;IF(AND($AA195&lt;&gt;"",$AC195&lt;0),"Supera saldo batán | ","")))-3)))</f>
        <v/>
      </c>
      <c r="Z195" s="8" t="str">
        <f t="shared" si="21"/>
        <v/>
      </c>
      <c r="AA195" s="4"/>
      <c r="AB195" s="26" t="str">
        <f>IF($AA195="","",IFERROR(INDEX('CONTROL DE BATAN'!$J$2:$J$301,MATCH($AA195,'CONTROL DE BATAN'!$A$2:$A$301,0)),""))</f>
        <v/>
      </c>
      <c r="AC195" s="28" t="str">
        <f>IF($AA195="","",IFERROR(INDEX('CONTROL DE BATAN'!$I$2:$I$301,MATCH($AA195,'CONTROL DE BATAN'!$A$2:$A$301,0)),0)-SUMIFS($N$2:$N195,$AA$2:$AA195,$AA195))</f>
        <v/>
      </c>
    </row>
    <row r="196" spans="1:29" x14ac:dyDescent="0.25">
      <c r="A196" s="8" t="str">
        <f t="shared" ref="A196:A259" si="22">IF(B196="","","CARGA-"&amp;TEXT(ROW()-1,"0000"))</f>
        <v/>
      </c>
      <c r="B196" s="9"/>
      <c r="C196" s="8" t="str">
        <f t="shared" ref="C196:C259" si="23">IF(B196="","",CHOOSE(MONTH(B196),"Enero","Febrero","Marzo","Abril","Mayo","Junio","Julio","Agosto","Septiembre","Octubre","Noviembre","Diciembre"))</f>
        <v/>
      </c>
      <c r="D196" s="10" t="str">
        <f t="shared" ref="D196:D259" si="24">IF(B196="","",YEAR(B196))</f>
        <v/>
      </c>
      <c r="E196" s="8" t="str">
        <f t="shared" ref="E196:E259" si="25">IF(B196="","",CHOOSE(WEEKDAY(B196,2),"Lunes","Martes","Miércoles","Jueves","Viernes","Sábado","Domingo"))</f>
        <v/>
      </c>
      <c r="F196" s="8" t="str">
        <f>IF($G196="","",IFERROR(INDEX('MAESTRO DE UNIDADES'!$C$2:$C$208,MATCH($G196,'MAESTRO DE UNIDADES'!$A$2:$A$208,0)),""))</f>
        <v/>
      </c>
      <c r="G196" s="4"/>
      <c r="H196" s="8" t="str">
        <f>IF($G196="","",IFERROR(INDEX('MAESTRO DE UNIDADES'!$F$2:$F$208,MATCH($G196,'MAESTRO DE UNIDADES'!$A$2:$A$208,0)),""))</f>
        <v/>
      </c>
      <c r="I196" s="8" t="str">
        <f>IF($G196="","",IFERROR(INDEX('MAESTRO DE UNIDADES'!$B$2:$B$208,MATCH($G196,'MAESTRO DE UNIDADES'!$A$2:$A$208,0)),""))</f>
        <v/>
      </c>
      <c r="J196" s="4"/>
      <c r="K196" s="4"/>
      <c r="L196" s="4"/>
      <c r="M196" s="8" t="str">
        <f>IF($G196="","",IFERROR(INDEX('MAESTRO DE UNIDADES'!$H$2:$H$208,MATCH($G196,'MAESTRO DE UNIDADES'!$A$2:$A$208,0)),""))</f>
        <v/>
      </c>
      <c r="N196" s="25"/>
      <c r="O196" s="25"/>
      <c r="P196" s="26" t="str">
        <f t="shared" ref="P196:P259" si="26">IF($N196="","",IF($AA196&lt;&gt;"",IF($AB196="","",$N196*$AB196),IF($O196="","",$N196*$O196)))</f>
        <v/>
      </c>
      <c r="Q196" s="27"/>
      <c r="R196" s="27"/>
      <c r="S196" s="28" t="str">
        <f>IF(OR($G196="",$Q196="",COUNTIF($G$2:G195,$G196)=0),"",$Q196-LOOKUP(2,1/($G$2:G195=$G196),$Q$2:Q195))</f>
        <v/>
      </c>
      <c r="T196" s="28" t="str">
        <f>IF(OR($G196="",$R196="",COUNTIF($G$2:G195,$G196)=0),"",$R196-LOOKUP(2,1/($G$2:G195=$G196),$R$2:R195))</f>
        <v/>
      </c>
      <c r="U196" s="11" t="str">
        <f t="shared" ref="U196:U259" si="27">IF(N196="","",IF(S196&lt;&gt;"",S196/N196,IF(T196&lt;&gt;"",T196/N196,"")))</f>
        <v/>
      </c>
      <c r="V196" s="4"/>
      <c r="W196" s="4"/>
      <c r="X196" s="55"/>
      <c r="Y196" s="56" t="str">
        <f>IF($B196="","",IF((IF($G196="","Sin unidad | ","")&amp;IF($J196="","Sin responsable | ","")&amp;IF($K196="","Sin obra | ","")&amp;IF(AND($N196&lt;&gt;"",$G196&lt;&gt;"",$N196&gt;IFERROR(INDEX('MAESTRO DE UNIDADES'!$I$2:$I$208,MATCH($G196,'MAESTRO DE UNIDADES'!$A$2:$A$208,0)),0)),"Litros &gt; tanque | ","")&amp;IF(AND($W196&lt;&gt;"",COUNTIF($W$2:$W196,$W196)&gt;1),"Ticket duplicado | ","")&amp;IF(AND($G196&lt;&gt;"",IFERROR(INDEX('MAESTRO DE UNIDADES'!$L$2:$L$208,MATCH($G196,'MAESTRO DE UNIDADES'!$A$2:$A$208,0)),"")="Inactivo"),"Unidad inactiva | ","")&amp;IF(AND($AA196&lt;&gt;"",$N196=""),"Carga de batán sin litros | ","")&amp;IF(AND($AA196&lt;&gt;"",$AC196&lt;0),"Supera saldo batán | ",""))="","OK",LEFT((IF($G196="","Sin unidad | ","")&amp;IF($J196="","Sin responsable | ","")&amp;IF($K196="","Sin obra | ","")&amp;IF(AND($N196&lt;&gt;"",$G196&lt;&gt;"",$N196&gt;IFERROR(INDEX('MAESTRO DE UNIDADES'!$I$2:$I$208,MATCH($G196,'MAESTRO DE UNIDADES'!$A$2:$A$208,0)),0)),"Litros &gt; tanque | ","")&amp;IF(AND($W196&lt;&gt;"",COUNTIF($W$2:$W196,$W196)&gt;1),"Ticket duplicado | ","")&amp;IF(AND($G196&lt;&gt;"",IFERROR(INDEX('MAESTRO DE UNIDADES'!$L$2:$L$208,MATCH($G196,'MAESTRO DE UNIDADES'!$A$2:$A$208,0)),"")="Inactivo"),"Unidad inactiva | ","")&amp;IF(AND($AA196&lt;&gt;"",$N196=""),"Carga de batán sin litros | ","")&amp;IF(AND($AA196&lt;&gt;"",$AC196&lt;0),"Supera saldo batán | ","")),LEN((IF($G196="","Sin unidad | ","")&amp;IF($J196="","Sin responsable | ","")&amp;IF($K196="","Sin obra | ","")&amp;IF(AND($N196&lt;&gt;"",$G196&lt;&gt;"",$N196&gt;IFERROR(INDEX('MAESTRO DE UNIDADES'!$I$2:$I$208,MATCH($G196,'MAESTRO DE UNIDADES'!$A$2:$A$208,0)),0)),"Litros &gt; tanque | ","")&amp;IF(AND($W196&lt;&gt;"",COUNTIF($W$2:$W196,$W196)&gt;1),"Ticket duplicado | ","")&amp;IF(AND($G196&lt;&gt;"",IFERROR(INDEX('MAESTRO DE UNIDADES'!$L$2:$L$208,MATCH($G196,'MAESTRO DE UNIDADES'!$A$2:$A$208,0)),"")="Inactivo"),"Unidad inactiva | ","")&amp;IF(AND($AA196&lt;&gt;"",$N196=""),"Carga de batán sin litros | ","")&amp;IF(AND($AA196&lt;&gt;"",$AC196&lt;0),"Supera saldo batán | ","")))-3)))</f>
        <v/>
      </c>
      <c r="Z196" s="8" t="str">
        <f t="shared" ref="Z196:Z259" si="28">IF($B196="","",IF($AA196&lt;&gt;"","Batán","Estación de servicio"))</f>
        <v/>
      </c>
      <c r="AA196" s="4"/>
      <c r="AB196" s="26" t="str">
        <f>IF($AA196="","",IFERROR(INDEX('CONTROL DE BATAN'!$J$2:$J$301,MATCH($AA196,'CONTROL DE BATAN'!$A$2:$A$301,0)),""))</f>
        <v/>
      </c>
      <c r="AC196" s="28" t="str">
        <f>IF($AA196="","",IFERROR(INDEX('CONTROL DE BATAN'!$I$2:$I$301,MATCH($AA196,'CONTROL DE BATAN'!$A$2:$A$301,0)),0)-SUMIFS($N$2:$N196,$AA$2:$AA196,$AA196))</f>
        <v/>
      </c>
    </row>
    <row r="197" spans="1:29" x14ac:dyDescent="0.25">
      <c r="A197" s="8" t="str">
        <f t="shared" si="22"/>
        <v/>
      </c>
      <c r="B197" s="9"/>
      <c r="C197" s="8" t="str">
        <f t="shared" si="23"/>
        <v/>
      </c>
      <c r="D197" s="10" t="str">
        <f t="shared" si="24"/>
        <v/>
      </c>
      <c r="E197" s="8" t="str">
        <f t="shared" si="25"/>
        <v/>
      </c>
      <c r="F197" s="8" t="str">
        <f>IF($G197="","",IFERROR(INDEX('MAESTRO DE UNIDADES'!$C$2:$C$208,MATCH($G197,'MAESTRO DE UNIDADES'!$A$2:$A$208,0)),""))</f>
        <v/>
      </c>
      <c r="G197" s="4"/>
      <c r="H197" s="8" t="str">
        <f>IF($G197="","",IFERROR(INDEX('MAESTRO DE UNIDADES'!$F$2:$F$208,MATCH($G197,'MAESTRO DE UNIDADES'!$A$2:$A$208,0)),""))</f>
        <v/>
      </c>
      <c r="I197" s="8" t="str">
        <f>IF($G197="","",IFERROR(INDEX('MAESTRO DE UNIDADES'!$B$2:$B$208,MATCH($G197,'MAESTRO DE UNIDADES'!$A$2:$A$208,0)),""))</f>
        <v/>
      </c>
      <c r="J197" s="4"/>
      <c r="K197" s="4"/>
      <c r="L197" s="4"/>
      <c r="M197" s="8" t="str">
        <f>IF($G197="","",IFERROR(INDEX('MAESTRO DE UNIDADES'!$H$2:$H$208,MATCH($G197,'MAESTRO DE UNIDADES'!$A$2:$A$208,0)),""))</f>
        <v/>
      </c>
      <c r="N197" s="25"/>
      <c r="O197" s="25"/>
      <c r="P197" s="26" t="str">
        <f t="shared" si="26"/>
        <v/>
      </c>
      <c r="Q197" s="27"/>
      <c r="R197" s="27"/>
      <c r="S197" s="28" t="str">
        <f>IF(OR($G197="",$Q197="",COUNTIF($G$2:G196,$G197)=0),"",$Q197-LOOKUP(2,1/($G$2:G196=$G197),$Q$2:Q196))</f>
        <v/>
      </c>
      <c r="T197" s="28" t="str">
        <f>IF(OR($G197="",$R197="",COUNTIF($G$2:G196,$G197)=0),"",$R197-LOOKUP(2,1/($G$2:G196=$G197),$R$2:R196))</f>
        <v/>
      </c>
      <c r="U197" s="11" t="str">
        <f t="shared" si="27"/>
        <v/>
      </c>
      <c r="V197" s="4"/>
      <c r="W197" s="4"/>
      <c r="X197" s="55"/>
      <c r="Y197" s="56" t="str">
        <f>IF($B197="","",IF((IF($G197="","Sin unidad | ","")&amp;IF($J197="","Sin responsable | ","")&amp;IF($K197="","Sin obra | ","")&amp;IF(AND($N197&lt;&gt;"",$G197&lt;&gt;"",$N197&gt;IFERROR(INDEX('MAESTRO DE UNIDADES'!$I$2:$I$208,MATCH($G197,'MAESTRO DE UNIDADES'!$A$2:$A$208,0)),0)),"Litros &gt; tanque | ","")&amp;IF(AND($W197&lt;&gt;"",COUNTIF($W$2:$W197,$W197)&gt;1),"Ticket duplicado | ","")&amp;IF(AND($G197&lt;&gt;"",IFERROR(INDEX('MAESTRO DE UNIDADES'!$L$2:$L$208,MATCH($G197,'MAESTRO DE UNIDADES'!$A$2:$A$208,0)),"")="Inactivo"),"Unidad inactiva | ","")&amp;IF(AND($AA197&lt;&gt;"",$N197=""),"Carga de batán sin litros | ","")&amp;IF(AND($AA197&lt;&gt;"",$AC197&lt;0),"Supera saldo batán | ",""))="","OK",LEFT((IF($G197="","Sin unidad | ","")&amp;IF($J197="","Sin responsable | ","")&amp;IF($K197="","Sin obra | ","")&amp;IF(AND($N197&lt;&gt;"",$G197&lt;&gt;"",$N197&gt;IFERROR(INDEX('MAESTRO DE UNIDADES'!$I$2:$I$208,MATCH($G197,'MAESTRO DE UNIDADES'!$A$2:$A$208,0)),0)),"Litros &gt; tanque | ","")&amp;IF(AND($W197&lt;&gt;"",COUNTIF($W$2:$W197,$W197)&gt;1),"Ticket duplicado | ","")&amp;IF(AND($G197&lt;&gt;"",IFERROR(INDEX('MAESTRO DE UNIDADES'!$L$2:$L$208,MATCH($G197,'MAESTRO DE UNIDADES'!$A$2:$A$208,0)),"")="Inactivo"),"Unidad inactiva | ","")&amp;IF(AND($AA197&lt;&gt;"",$N197=""),"Carga de batán sin litros | ","")&amp;IF(AND($AA197&lt;&gt;"",$AC197&lt;0),"Supera saldo batán | ","")),LEN((IF($G197="","Sin unidad | ","")&amp;IF($J197="","Sin responsable | ","")&amp;IF($K197="","Sin obra | ","")&amp;IF(AND($N197&lt;&gt;"",$G197&lt;&gt;"",$N197&gt;IFERROR(INDEX('MAESTRO DE UNIDADES'!$I$2:$I$208,MATCH($G197,'MAESTRO DE UNIDADES'!$A$2:$A$208,0)),0)),"Litros &gt; tanque | ","")&amp;IF(AND($W197&lt;&gt;"",COUNTIF($W$2:$W197,$W197)&gt;1),"Ticket duplicado | ","")&amp;IF(AND($G197&lt;&gt;"",IFERROR(INDEX('MAESTRO DE UNIDADES'!$L$2:$L$208,MATCH($G197,'MAESTRO DE UNIDADES'!$A$2:$A$208,0)),"")="Inactivo"),"Unidad inactiva | ","")&amp;IF(AND($AA197&lt;&gt;"",$N197=""),"Carga de batán sin litros | ","")&amp;IF(AND($AA197&lt;&gt;"",$AC197&lt;0),"Supera saldo batán | ","")))-3)))</f>
        <v/>
      </c>
      <c r="Z197" s="8" t="str">
        <f t="shared" si="28"/>
        <v/>
      </c>
      <c r="AA197" s="4"/>
      <c r="AB197" s="26" t="str">
        <f>IF($AA197="","",IFERROR(INDEX('CONTROL DE BATAN'!$J$2:$J$301,MATCH($AA197,'CONTROL DE BATAN'!$A$2:$A$301,0)),""))</f>
        <v/>
      </c>
      <c r="AC197" s="28" t="str">
        <f>IF($AA197="","",IFERROR(INDEX('CONTROL DE BATAN'!$I$2:$I$301,MATCH($AA197,'CONTROL DE BATAN'!$A$2:$A$301,0)),0)-SUMIFS($N$2:$N197,$AA$2:$AA197,$AA197))</f>
        <v/>
      </c>
    </row>
    <row r="198" spans="1:29" x14ac:dyDescent="0.25">
      <c r="A198" s="8" t="str">
        <f t="shared" si="22"/>
        <v/>
      </c>
      <c r="B198" s="9"/>
      <c r="C198" s="8" t="str">
        <f t="shared" si="23"/>
        <v/>
      </c>
      <c r="D198" s="10" t="str">
        <f t="shared" si="24"/>
        <v/>
      </c>
      <c r="E198" s="8" t="str">
        <f t="shared" si="25"/>
        <v/>
      </c>
      <c r="F198" s="8" t="str">
        <f>IF($G198="","",IFERROR(INDEX('MAESTRO DE UNIDADES'!$C$2:$C$208,MATCH($G198,'MAESTRO DE UNIDADES'!$A$2:$A$208,0)),""))</f>
        <v/>
      </c>
      <c r="G198" s="4"/>
      <c r="H198" s="8" t="str">
        <f>IF($G198="","",IFERROR(INDEX('MAESTRO DE UNIDADES'!$F$2:$F$208,MATCH($G198,'MAESTRO DE UNIDADES'!$A$2:$A$208,0)),""))</f>
        <v/>
      </c>
      <c r="I198" s="8" t="str">
        <f>IF($G198="","",IFERROR(INDEX('MAESTRO DE UNIDADES'!$B$2:$B$208,MATCH($G198,'MAESTRO DE UNIDADES'!$A$2:$A$208,0)),""))</f>
        <v/>
      </c>
      <c r="J198" s="4"/>
      <c r="K198" s="4"/>
      <c r="L198" s="4"/>
      <c r="M198" s="8" t="str">
        <f>IF($G198="","",IFERROR(INDEX('MAESTRO DE UNIDADES'!$H$2:$H$208,MATCH($G198,'MAESTRO DE UNIDADES'!$A$2:$A$208,0)),""))</f>
        <v/>
      </c>
      <c r="N198" s="25"/>
      <c r="O198" s="25"/>
      <c r="P198" s="26" t="str">
        <f t="shared" si="26"/>
        <v/>
      </c>
      <c r="Q198" s="27"/>
      <c r="R198" s="27"/>
      <c r="S198" s="28" t="str">
        <f>IF(OR($G198="",$Q198="",COUNTIF($G$2:G197,$G198)=0),"",$Q198-LOOKUP(2,1/($G$2:G197=$G198),$Q$2:Q197))</f>
        <v/>
      </c>
      <c r="T198" s="28" t="str">
        <f>IF(OR($G198="",$R198="",COUNTIF($G$2:G197,$G198)=0),"",$R198-LOOKUP(2,1/($G$2:G197=$G198),$R$2:R197))</f>
        <v/>
      </c>
      <c r="U198" s="11" t="str">
        <f t="shared" si="27"/>
        <v/>
      </c>
      <c r="V198" s="4"/>
      <c r="W198" s="4"/>
      <c r="X198" s="55"/>
      <c r="Y198" s="56" t="str">
        <f>IF($B198="","",IF((IF($G198="","Sin unidad | ","")&amp;IF($J198="","Sin responsable | ","")&amp;IF($K198="","Sin obra | ","")&amp;IF(AND($N198&lt;&gt;"",$G198&lt;&gt;"",$N198&gt;IFERROR(INDEX('MAESTRO DE UNIDADES'!$I$2:$I$208,MATCH($G198,'MAESTRO DE UNIDADES'!$A$2:$A$208,0)),0)),"Litros &gt; tanque | ","")&amp;IF(AND($W198&lt;&gt;"",COUNTIF($W$2:$W198,$W198)&gt;1),"Ticket duplicado | ","")&amp;IF(AND($G198&lt;&gt;"",IFERROR(INDEX('MAESTRO DE UNIDADES'!$L$2:$L$208,MATCH($G198,'MAESTRO DE UNIDADES'!$A$2:$A$208,0)),"")="Inactivo"),"Unidad inactiva | ","")&amp;IF(AND($AA198&lt;&gt;"",$N198=""),"Carga de batán sin litros | ","")&amp;IF(AND($AA198&lt;&gt;"",$AC198&lt;0),"Supera saldo batán | ",""))="","OK",LEFT((IF($G198="","Sin unidad | ","")&amp;IF($J198="","Sin responsable | ","")&amp;IF($K198="","Sin obra | ","")&amp;IF(AND($N198&lt;&gt;"",$G198&lt;&gt;"",$N198&gt;IFERROR(INDEX('MAESTRO DE UNIDADES'!$I$2:$I$208,MATCH($G198,'MAESTRO DE UNIDADES'!$A$2:$A$208,0)),0)),"Litros &gt; tanque | ","")&amp;IF(AND($W198&lt;&gt;"",COUNTIF($W$2:$W198,$W198)&gt;1),"Ticket duplicado | ","")&amp;IF(AND($G198&lt;&gt;"",IFERROR(INDEX('MAESTRO DE UNIDADES'!$L$2:$L$208,MATCH($G198,'MAESTRO DE UNIDADES'!$A$2:$A$208,0)),"")="Inactivo"),"Unidad inactiva | ","")&amp;IF(AND($AA198&lt;&gt;"",$N198=""),"Carga de batán sin litros | ","")&amp;IF(AND($AA198&lt;&gt;"",$AC198&lt;0),"Supera saldo batán | ","")),LEN((IF($G198="","Sin unidad | ","")&amp;IF($J198="","Sin responsable | ","")&amp;IF($K198="","Sin obra | ","")&amp;IF(AND($N198&lt;&gt;"",$G198&lt;&gt;"",$N198&gt;IFERROR(INDEX('MAESTRO DE UNIDADES'!$I$2:$I$208,MATCH($G198,'MAESTRO DE UNIDADES'!$A$2:$A$208,0)),0)),"Litros &gt; tanque | ","")&amp;IF(AND($W198&lt;&gt;"",COUNTIF($W$2:$W198,$W198)&gt;1),"Ticket duplicado | ","")&amp;IF(AND($G198&lt;&gt;"",IFERROR(INDEX('MAESTRO DE UNIDADES'!$L$2:$L$208,MATCH($G198,'MAESTRO DE UNIDADES'!$A$2:$A$208,0)),"")="Inactivo"),"Unidad inactiva | ","")&amp;IF(AND($AA198&lt;&gt;"",$N198=""),"Carga de batán sin litros | ","")&amp;IF(AND($AA198&lt;&gt;"",$AC198&lt;0),"Supera saldo batán | ","")))-3)))</f>
        <v/>
      </c>
      <c r="Z198" s="8" t="str">
        <f t="shared" si="28"/>
        <v/>
      </c>
      <c r="AA198" s="4"/>
      <c r="AB198" s="26" t="str">
        <f>IF($AA198="","",IFERROR(INDEX('CONTROL DE BATAN'!$J$2:$J$301,MATCH($AA198,'CONTROL DE BATAN'!$A$2:$A$301,0)),""))</f>
        <v/>
      </c>
      <c r="AC198" s="28" t="str">
        <f>IF($AA198="","",IFERROR(INDEX('CONTROL DE BATAN'!$I$2:$I$301,MATCH($AA198,'CONTROL DE BATAN'!$A$2:$A$301,0)),0)-SUMIFS($N$2:$N198,$AA$2:$AA198,$AA198))</f>
        <v/>
      </c>
    </row>
    <row r="199" spans="1:29" x14ac:dyDescent="0.25">
      <c r="A199" s="8" t="str">
        <f t="shared" si="22"/>
        <v/>
      </c>
      <c r="B199" s="9"/>
      <c r="C199" s="8" t="str">
        <f t="shared" si="23"/>
        <v/>
      </c>
      <c r="D199" s="10" t="str">
        <f t="shared" si="24"/>
        <v/>
      </c>
      <c r="E199" s="8" t="str">
        <f t="shared" si="25"/>
        <v/>
      </c>
      <c r="F199" s="8" t="str">
        <f>IF($G199="","",IFERROR(INDEX('MAESTRO DE UNIDADES'!$C$2:$C$208,MATCH($G199,'MAESTRO DE UNIDADES'!$A$2:$A$208,0)),""))</f>
        <v/>
      </c>
      <c r="G199" s="4"/>
      <c r="H199" s="8" t="str">
        <f>IF($G199="","",IFERROR(INDEX('MAESTRO DE UNIDADES'!$F$2:$F$208,MATCH($G199,'MAESTRO DE UNIDADES'!$A$2:$A$208,0)),""))</f>
        <v/>
      </c>
      <c r="I199" s="8" t="str">
        <f>IF($G199="","",IFERROR(INDEX('MAESTRO DE UNIDADES'!$B$2:$B$208,MATCH($G199,'MAESTRO DE UNIDADES'!$A$2:$A$208,0)),""))</f>
        <v/>
      </c>
      <c r="J199" s="4"/>
      <c r="K199" s="4"/>
      <c r="L199" s="4"/>
      <c r="M199" s="8" t="str">
        <f>IF($G199="","",IFERROR(INDEX('MAESTRO DE UNIDADES'!$H$2:$H$208,MATCH($G199,'MAESTRO DE UNIDADES'!$A$2:$A$208,0)),""))</f>
        <v/>
      </c>
      <c r="N199" s="25"/>
      <c r="O199" s="25"/>
      <c r="P199" s="26" t="str">
        <f t="shared" si="26"/>
        <v/>
      </c>
      <c r="Q199" s="27"/>
      <c r="R199" s="27"/>
      <c r="S199" s="28" t="str">
        <f>IF(OR($G199="",$Q199="",COUNTIF($G$2:G198,$G199)=0),"",$Q199-LOOKUP(2,1/($G$2:G198=$G199),$Q$2:Q198))</f>
        <v/>
      </c>
      <c r="T199" s="28" t="str">
        <f>IF(OR($G199="",$R199="",COUNTIF($G$2:G198,$G199)=0),"",$R199-LOOKUP(2,1/($G$2:G198=$G199),$R$2:R198))</f>
        <v/>
      </c>
      <c r="U199" s="11" t="str">
        <f t="shared" si="27"/>
        <v/>
      </c>
      <c r="V199" s="4"/>
      <c r="W199" s="4"/>
      <c r="X199" s="55"/>
      <c r="Y199" s="56" t="str">
        <f>IF($B199="","",IF((IF($G199="","Sin unidad | ","")&amp;IF($J199="","Sin responsable | ","")&amp;IF($K199="","Sin obra | ","")&amp;IF(AND($N199&lt;&gt;"",$G199&lt;&gt;"",$N199&gt;IFERROR(INDEX('MAESTRO DE UNIDADES'!$I$2:$I$208,MATCH($G199,'MAESTRO DE UNIDADES'!$A$2:$A$208,0)),0)),"Litros &gt; tanque | ","")&amp;IF(AND($W199&lt;&gt;"",COUNTIF($W$2:$W199,$W199)&gt;1),"Ticket duplicado | ","")&amp;IF(AND($G199&lt;&gt;"",IFERROR(INDEX('MAESTRO DE UNIDADES'!$L$2:$L$208,MATCH($G199,'MAESTRO DE UNIDADES'!$A$2:$A$208,0)),"")="Inactivo"),"Unidad inactiva | ","")&amp;IF(AND($AA199&lt;&gt;"",$N199=""),"Carga de batán sin litros | ","")&amp;IF(AND($AA199&lt;&gt;"",$AC199&lt;0),"Supera saldo batán | ",""))="","OK",LEFT((IF($G199="","Sin unidad | ","")&amp;IF($J199="","Sin responsable | ","")&amp;IF($K199="","Sin obra | ","")&amp;IF(AND($N199&lt;&gt;"",$G199&lt;&gt;"",$N199&gt;IFERROR(INDEX('MAESTRO DE UNIDADES'!$I$2:$I$208,MATCH($G199,'MAESTRO DE UNIDADES'!$A$2:$A$208,0)),0)),"Litros &gt; tanque | ","")&amp;IF(AND($W199&lt;&gt;"",COUNTIF($W$2:$W199,$W199)&gt;1),"Ticket duplicado | ","")&amp;IF(AND($G199&lt;&gt;"",IFERROR(INDEX('MAESTRO DE UNIDADES'!$L$2:$L$208,MATCH($G199,'MAESTRO DE UNIDADES'!$A$2:$A$208,0)),"")="Inactivo"),"Unidad inactiva | ","")&amp;IF(AND($AA199&lt;&gt;"",$N199=""),"Carga de batán sin litros | ","")&amp;IF(AND($AA199&lt;&gt;"",$AC199&lt;0),"Supera saldo batán | ","")),LEN((IF($G199="","Sin unidad | ","")&amp;IF($J199="","Sin responsable | ","")&amp;IF($K199="","Sin obra | ","")&amp;IF(AND($N199&lt;&gt;"",$G199&lt;&gt;"",$N199&gt;IFERROR(INDEX('MAESTRO DE UNIDADES'!$I$2:$I$208,MATCH($G199,'MAESTRO DE UNIDADES'!$A$2:$A$208,0)),0)),"Litros &gt; tanque | ","")&amp;IF(AND($W199&lt;&gt;"",COUNTIF($W$2:$W199,$W199)&gt;1),"Ticket duplicado | ","")&amp;IF(AND($G199&lt;&gt;"",IFERROR(INDEX('MAESTRO DE UNIDADES'!$L$2:$L$208,MATCH($G199,'MAESTRO DE UNIDADES'!$A$2:$A$208,0)),"")="Inactivo"),"Unidad inactiva | ","")&amp;IF(AND($AA199&lt;&gt;"",$N199=""),"Carga de batán sin litros | ","")&amp;IF(AND($AA199&lt;&gt;"",$AC199&lt;0),"Supera saldo batán | ","")))-3)))</f>
        <v/>
      </c>
      <c r="Z199" s="8" t="str">
        <f t="shared" si="28"/>
        <v/>
      </c>
      <c r="AA199" s="4"/>
      <c r="AB199" s="26" t="str">
        <f>IF($AA199="","",IFERROR(INDEX('CONTROL DE BATAN'!$J$2:$J$301,MATCH($AA199,'CONTROL DE BATAN'!$A$2:$A$301,0)),""))</f>
        <v/>
      </c>
      <c r="AC199" s="28" t="str">
        <f>IF($AA199="","",IFERROR(INDEX('CONTROL DE BATAN'!$I$2:$I$301,MATCH($AA199,'CONTROL DE BATAN'!$A$2:$A$301,0)),0)-SUMIFS($N$2:$N199,$AA$2:$AA199,$AA199))</f>
        <v/>
      </c>
    </row>
    <row r="200" spans="1:29" x14ac:dyDescent="0.25">
      <c r="A200" s="8" t="str">
        <f t="shared" si="22"/>
        <v/>
      </c>
      <c r="B200" s="9"/>
      <c r="C200" s="8" t="str">
        <f t="shared" si="23"/>
        <v/>
      </c>
      <c r="D200" s="10" t="str">
        <f t="shared" si="24"/>
        <v/>
      </c>
      <c r="E200" s="8" t="str">
        <f t="shared" si="25"/>
        <v/>
      </c>
      <c r="F200" s="8" t="str">
        <f>IF($G200="","",IFERROR(INDEX('MAESTRO DE UNIDADES'!$C$2:$C$208,MATCH($G200,'MAESTRO DE UNIDADES'!$A$2:$A$208,0)),""))</f>
        <v/>
      </c>
      <c r="G200" s="4"/>
      <c r="H200" s="8" t="str">
        <f>IF($G200="","",IFERROR(INDEX('MAESTRO DE UNIDADES'!$F$2:$F$208,MATCH($G200,'MAESTRO DE UNIDADES'!$A$2:$A$208,0)),""))</f>
        <v/>
      </c>
      <c r="I200" s="8" t="str">
        <f>IF($G200="","",IFERROR(INDEX('MAESTRO DE UNIDADES'!$B$2:$B$208,MATCH($G200,'MAESTRO DE UNIDADES'!$A$2:$A$208,0)),""))</f>
        <v/>
      </c>
      <c r="J200" s="4"/>
      <c r="K200" s="4"/>
      <c r="L200" s="4"/>
      <c r="M200" s="8" t="str">
        <f>IF($G200="","",IFERROR(INDEX('MAESTRO DE UNIDADES'!$H$2:$H$208,MATCH($G200,'MAESTRO DE UNIDADES'!$A$2:$A$208,0)),""))</f>
        <v/>
      </c>
      <c r="N200" s="25"/>
      <c r="O200" s="25"/>
      <c r="P200" s="26" t="str">
        <f t="shared" si="26"/>
        <v/>
      </c>
      <c r="Q200" s="27"/>
      <c r="R200" s="27"/>
      <c r="S200" s="28" t="str">
        <f>IF(OR($G200="",$Q200="",COUNTIF($G$2:G199,$G200)=0),"",$Q200-LOOKUP(2,1/($G$2:G199=$G200),$Q$2:Q199))</f>
        <v/>
      </c>
      <c r="T200" s="28" t="str">
        <f>IF(OR($G200="",$R200="",COUNTIF($G$2:G199,$G200)=0),"",$R200-LOOKUP(2,1/($G$2:G199=$G200),$R$2:R199))</f>
        <v/>
      </c>
      <c r="U200" s="11" t="str">
        <f t="shared" si="27"/>
        <v/>
      </c>
      <c r="V200" s="4"/>
      <c r="W200" s="4"/>
      <c r="X200" s="55"/>
      <c r="Y200" s="56" t="str">
        <f>IF($B200="","",IF((IF($G200="","Sin unidad | ","")&amp;IF($J200="","Sin responsable | ","")&amp;IF($K200="","Sin obra | ","")&amp;IF(AND($N200&lt;&gt;"",$G200&lt;&gt;"",$N200&gt;IFERROR(INDEX('MAESTRO DE UNIDADES'!$I$2:$I$208,MATCH($G200,'MAESTRO DE UNIDADES'!$A$2:$A$208,0)),0)),"Litros &gt; tanque | ","")&amp;IF(AND($W200&lt;&gt;"",COUNTIF($W$2:$W200,$W200)&gt;1),"Ticket duplicado | ","")&amp;IF(AND($G200&lt;&gt;"",IFERROR(INDEX('MAESTRO DE UNIDADES'!$L$2:$L$208,MATCH($G200,'MAESTRO DE UNIDADES'!$A$2:$A$208,0)),"")="Inactivo"),"Unidad inactiva | ","")&amp;IF(AND($AA200&lt;&gt;"",$N200=""),"Carga de batán sin litros | ","")&amp;IF(AND($AA200&lt;&gt;"",$AC200&lt;0),"Supera saldo batán | ",""))="","OK",LEFT((IF($G200="","Sin unidad | ","")&amp;IF($J200="","Sin responsable | ","")&amp;IF($K200="","Sin obra | ","")&amp;IF(AND($N200&lt;&gt;"",$G200&lt;&gt;"",$N200&gt;IFERROR(INDEX('MAESTRO DE UNIDADES'!$I$2:$I$208,MATCH($G200,'MAESTRO DE UNIDADES'!$A$2:$A$208,0)),0)),"Litros &gt; tanque | ","")&amp;IF(AND($W200&lt;&gt;"",COUNTIF($W$2:$W200,$W200)&gt;1),"Ticket duplicado | ","")&amp;IF(AND($G200&lt;&gt;"",IFERROR(INDEX('MAESTRO DE UNIDADES'!$L$2:$L$208,MATCH($G200,'MAESTRO DE UNIDADES'!$A$2:$A$208,0)),"")="Inactivo"),"Unidad inactiva | ","")&amp;IF(AND($AA200&lt;&gt;"",$N200=""),"Carga de batán sin litros | ","")&amp;IF(AND($AA200&lt;&gt;"",$AC200&lt;0),"Supera saldo batán | ","")),LEN((IF($G200="","Sin unidad | ","")&amp;IF($J200="","Sin responsable | ","")&amp;IF($K200="","Sin obra | ","")&amp;IF(AND($N200&lt;&gt;"",$G200&lt;&gt;"",$N200&gt;IFERROR(INDEX('MAESTRO DE UNIDADES'!$I$2:$I$208,MATCH($G200,'MAESTRO DE UNIDADES'!$A$2:$A$208,0)),0)),"Litros &gt; tanque | ","")&amp;IF(AND($W200&lt;&gt;"",COUNTIF($W$2:$W200,$W200)&gt;1),"Ticket duplicado | ","")&amp;IF(AND($G200&lt;&gt;"",IFERROR(INDEX('MAESTRO DE UNIDADES'!$L$2:$L$208,MATCH($G200,'MAESTRO DE UNIDADES'!$A$2:$A$208,0)),"")="Inactivo"),"Unidad inactiva | ","")&amp;IF(AND($AA200&lt;&gt;"",$N200=""),"Carga de batán sin litros | ","")&amp;IF(AND($AA200&lt;&gt;"",$AC200&lt;0),"Supera saldo batán | ","")))-3)))</f>
        <v/>
      </c>
      <c r="Z200" s="8" t="str">
        <f t="shared" si="28"/>
        <v/>
      </c>
      <c r="AA200" s="4"/>
      <c r="AB200" s="26" t="str">
        <f>IF($AA200="","",IFERROR(INDEX('CONTROL DE BATAN'!$J$2:$J$301,MATCH($AA200,'CONTROL DE BATAN'!$A$2:$A$301,0)),""))</f>
        <v/>
      </c>
      <c r="AC200" s="28" t="str">
        <f>IF($AA200="","",IFERROR(INDEX('CONTROL DE BATAN'!$I$2:$I$301,MATCH($AA200,'CONTROL DE BATAN'!$A$2:$A$301,0)),0)-SUMIFS($N$2:$N200,$AA$2:$AA200,$AA200))</f>
        <v/>
      </c>
    </row>
    <row r="201" spans="1:29" x14ac:dyDescent="0.25">
      <c r="A201" s="8" t="str">
        <f t="shared" si="22"/>
        <v/>
      </c>
      <c r="B201" s="9"/>
      <c r="C201" s="8" t="str">
        <f t="shared" si="23"/>
        <v/>
      </c>
      <c r="D201" s="10" t="str">
        <f t="shared" si="24"/>
        <v/>
      </c>
      <c r="E201" s="8" t="str">
        <f t="shared" si="25"/>
        <v/>
      </c>
      <c r="F201" s="8" t="str">
        <f>IF($G201="","",IFERROR(INDEX('MAESTRO DE UNIDADES'!$C$2:$C$208,MATCH($G201,'MAESTRO DE UNIDADES'!$A$2:$A$208,0)),""))</f>
        <v/>
      </c>
      <c r="G201" s="4"/>
      <c r="H201" s="8" t="str">
        <f>IF($G201="","",IFERROR(INDEX('MAESTRO DE UNIDADES'!$F$2:$F$208,MATCH($G201,'MAESTRO DE UNIDADES'!$A$2:$A$208,0)),""))</f>
        <v/>
      </c>
      <c r="I201" s="8" t="str">
        <f>IF($G201="","",IFERROR(INDEX('MAESTRO DE UNIDADES'!$B$2:$B$208,MATCH($G201,'MAESTRO DE UNIDADES'!$A$2:$A$208,0)),""))</f>
        <v/>
      </c>
      <c r="J201" s="4"/>
      <c r="K201" s="4"/>
      <c r="L201" s="4"/>
      <c r="M201" s="8" t="str">
        <f>IF($G201="","",IFERROR(INDEX('MAESTRO DE UNIDADES'!$H$2:$H$208,MATCH($G201,'MAESTRO DE UNIDADES'!$A$2:$A$208,0)),""))</f>
        <v/>
      </c>
      <c r="N201" s="25"/>
      <c r="O201" s="25"/>
      <c r="P201" s="26" t="str">
        <f t="shared" si="26"/>
        <v/>
      </c>
      <c r="Q201" s="27"/>
      <c r="R201" s="27"/>
      <c r="S201" s="28" t="str">
        <f>IF(OR($G201="",$Q201="",COUNTIF($G$2:G200,$G201)=0),"",$Q201-LOOKUP(2,1/($G$2:G200=$G201),$Q$2:Q200))</f>
        <v/>
      </c>
      <c r="T201" s="28" t="str">
        <f>IF(OR($G201="",$R201="",COUNTIF($G$2:G200,$G201)=0),"",$R201-LOOKUP(2,1/($G$2:G200=$G201),$R$2:R200))</f>
        <v/>
      </c>
      <c r="U201" s="11" t="str">
        <f t="shared" si="27"/>
        <v/>
      </c>
      <c r="V201" s="4"/>
      <c r="W201" s="4"/>
      <c r="X201" s="55"/>
      <c r="Y201" s="56" t="str">
        <f>IF($B201="","",IF((IF($G201="","Sin unidad | ","")&amp;IF($J201="","Sin responsable | ","")&amp;IF($K201="","Sin obra | ","")&amp;IF(AND($N201&lt;&gt;"",$G201&lt;&gt;"",$N201&gt;IFERROR(INDEX('MAESTRO DE UNIDADES'!$I$2:$I$208,MATCH($G201,'MAESTRO DE UNIDADES'!$A$2:$A$208,0)),0)),"Litros &gt; tanque | ","")&amp;IF(AND($W201&lt;&gt;"",COUNTIF($W$2:$W201,$W201)&gt;1),"Ticket duplicado | ","")&amp;IF(AND($G201&lt;&gt;"",IFERROR(INDEX('MAESTRO DE UNIDADES'!$L$2:$L$208,MATCH($G201,'MAESTRO DE UNIDADES'!$A$2:$A$208,0)),"")="Inactivo"),"Unidad inactiva | ","")&amp;IF(AND($AA201&lt;&gt;"",$N201=""),"Carga de batán sin litros | ","")&amp;IF(AND($AA201&lt;&gt;"",$AC201&lt;0),"Supera saldo batán | ",""))="","OK",LEFT((IF($G201="","Sin unidad | ","")&amp;IF($J201="","Sin responsable | ","")&amp;IF($K201="","Sin obra | ","")&amp;IF(AND($N201&lt;&gt;"",$G201&lt;&gt;"",$N201&gt;IFERROR(INDEX('MAESTRO DE UNIDADES'!$I$2:$I$208,MATCH($G201,'MAESTRO DE UNIDADES'!$A$2:$A$208,0)),0)),"Litros &gt; tanque | ","")&amp;IF(AND($W201&lt;&gt;"",COUNTIF($W$2:$W201,$W201)&gt;1),"Ticket duplicado | ","")&amp;IF(AND($G201&lt;&gt;"",IFERROR(INDEX('MAESTRO DE UNIDADES'!$L$2:$L$208,MATCH($G201,'MAESTRO DE UNIDADES'!$A$2:$A$208,0)),"")="Inactivo"),"Unidad inactiva | ","")&amp;IF(AND($AA201&lt;&gt;"",$N201=""),"Carga de batán sin litros | ","")&amp;IF(AND($AA201&lt;&gt;"",$AC201&lt;0),"Supera saldo batán | ","")),LEN((IF($G201="","Sin unidad | ","")&amp;IF($J201="","Sin responsable | ","")&amp;IF($K201="","Sin obra | ","")&amp;IF(AND($N201&lt;&gt;"",$G201&lt;&gt;"",$N201&gt;IFERROR(INDEX('MAESTRO DE UNIDADES'!$I$2:$I$208,MATCH($G201,'MAESTRO DE UNIDADES'!$A$2:$A$208,0)),0)),"Litros &gt; tanque | ","")&amp;IF(AND($W201&lt;&gt;"",COUNTIF($W$2:$W201,$W201)&gt;1),"Ticket duplicado | ","")&amp;IF(AND($G201&lt;&gt;"",IFERROR(INDEX('MAESTRO DE UNIDADES'!$L$2:$L$208,MATCH($G201,'MAESTRO DE UNIDADES'!$A$2:$A$208,0)),"")="Inactivo"),"Unidad inactiva | ","")&amp;IF(AND($AA201&lt;&gt;"",$N201=""),"Carga de batán sin litros | ","")&amp;IF(AND($AA201&lt;&gt;"",$AC201&lt;0),"Supera saldo batán | ","")))-3)))</f>
        <v/>
      </c>
      <c r="Z201" s="8" t="str">
        <f t="shared" si="28"/>
        <v/>
      </c>
      <c r="AA201" s="4"/>
      <c r="AB201" s="26" t="str">
        <f>IF($AA201="","",IFERROR(INDEX('CONTROL DE BATAN'!$J$2:$J$301,MATCH($AA201,'CONTROL DE BATAN'!$A$2:$A$301,0)),""))</f>
        <v/>
      </c>
      <c r="AC201" s="28" t="str">
        <f>IF($AA201="","",IFERROR(INDEX('CONTROL DE BATAN'!$I$2:$I$301,MATCH($AA201,'CONTROL DE BATAN'!$A$2:$A$301,0)),0)-SUMIFS($N$2:$N201,$AA$2:$AA201,$AA201))</f>
        <v/>
      </c>
    </row>
    <row r="202" spans="1:29" x14ac:dyDescent="0.25">
      <c r="A202" s="8" t="str">
        <f t="shared" si="22"/>
        <v/>
      </c>
      <c r="B202" s="9"/>
      <c r="C202" s="8" t="str">
        <f t="shared" si="23"/>
        <v/>
      </c>
      <c r="D202" s="10" t="str">
        <f t="shared" si="24"/>
        <v/>
      </c>
      <c r="E202" s="8" t="str">
        <f t="shared" si="25"/>
        <v/>
      </c>
      <c r="F202" s="8" t="str">
        <f>IF($G202="","",IFERROR(INDEX('MAESTRO DE UNIDADES'!$C$2:$C$208,MATCH($G202,'MAESTRO DE UNIDADES'!$A$2:$A$208,0)),""))</f>
        <v/>
      </c>
      <c r="G202" s="4"/>
      <c r="H202" s="8" t="str">
        <f>IF($G202="","",IFERROR(INDEX('MAESTRO DE UNIDADES'!$F$2:$F$208,MATCH($G202,'MAESTRO DE UNIDADES'!$A$2:$A$208,0)),""))</f>
        <v/>
      </c>
      <c r="I202" s="8" t="str">
        <f>IF($G202="","",IFERROR(INDEX('MAESTRO DE UNIDADES'!$B$2:$B$208,MATCH($G202,'MAESTRO DE UNIDADES'!$A$2:$A$208,0)),""))</f>
        <v/>
      </c>
      <c r="J202" s="4"/>
      <c r="K202" s="4"/>
      <c r="L202" s="4"/>
      <c r="M202" s="8" t="str">
        <f>IF($G202="","",IFERROR(INDEX('MAESTRO DE UNIDADES'!$H$2:$H$208,MATCH($G202,'MAESTRO DE UNIDADES'!$A$2:$A$208,0)),""))</f>
        <v/>
      </c>
      <c r="N202" s="25"/>
      <c r="O202" s="25"/>
      <c r="P202" s="26" t="str">
        <f t="shared" si="26"/>
        <v/>
      </c>
      <c r="Q202" s="27"/>
      <c r="R202" s="27"/>
      <c r="S202" s="28" t="str">
        <f>IF(OR($G202="",$Q202="",COUNTIF($G$2:G201,$G202)=0),"",$Q202-LOOKUP(2,1/($G$2:G201=$G202),$Q$2:Q201))</f>
        <v/>
      </c>
      <c r="T202" s="28" t="str">
        <f>IF(OR($G202="",$R202="",COUNTIF($G$2:G201,$G202)=0),"",$R202-LOOKUP(2,1/($G$2:G201=$G202),$R$2:R201))</f>
        <v/>
      </c>
      <c r="U202" s="11" t="str">
        <f t="shared" si="27"/>
        <v/>
      </c>
      <c r="V202" s="4"/>
      <c r="W202" s="4"/>
      <c r="X202" s="55"/>
      <c r="Y202" s="56" t="str">
        <f>IF($B202="","",IF((IF($G202="","Sin unidad | ","")&amp;IF($J202="","Sin responsable | ","")&amp;IF($K202="","Sin obra | ","")&amp;IF(AND($N202&lt;&gt;"",$G202&lt;&gt;"",$N202&gt;IFERROR(INDEX('MAESTRO DE UNIDADES'!$I$2:$I$208,MATCH($G202,'MAESTRO DE UNIDADES'!$A$2:$A$208,0)),0)),"Litros &gt; tanque | ","")&amp;IF(AND($W202&lt;&gt;"",COUNTIF($W$2:$W202,$W202)&gt;1),"Ticket duplicado | ","")&amp;IF(AND($G202&lt;&gt;"",IFERROR(INDEX('MAESTRO DE UNIDADES'!$L$2:$L$208,MATCH($G202,'MAESTRO DE UNIDADES'!$A$2:$A$208,0)),"")="Inactivo"),"Unidad inactiva | ","")&amp;IF(AND($AA202&lt;&gt;"",$N202=""),"Carga de batán sin litros | ","")&amp;IF(AND($AA202&lt;&gt;"",$AC202&lt;0),"Supera saldo batán | ",""))="","OK",LEFT((IF($G202="","Sin unidad | ","")&amp;IF($J202="","Sin responsable | ","")&amp;IF($K202="","Sin obra | ","")&amp;IF(AND($N202&lt;&gt;"",$G202&lt;&gt;"",$N202&gt;IFERROR(INDEX('MAESTRO DE UNIDADES'!$I$2:$I$208,MATCH($G202,'MAESTRO DE UNIDADES'!$A$2:$A$208,0)),0)),"Litros &gt; tanque | ","")&amp;IF(AND($W202&lt;&gt;"",COUNTIF($W$2:$W202,$W202)&gt;1),"Ticket duplicado | ","")&amp;IF(AND($G202&lt;&gt;"",IFERROR(INDEX('MAESTRO DE UNIDADES'!$L$2:$L$208,MATCH($G202,'MAESTRO DE UNIDADES'!$A$2:$A$208,0)),"")="Inactivo"),"Unidad inactiva | ","")&amp;IF(AND($AA202&lt;&gt;"",$N202=""),"Carga de batán sin litros | ","")&amp;IF(AND($AA202&lt;&gt;"",$AC202&lt;0),"Supera saldo batán | ","")),LEN((IF($G202="","Sin unidad | ","")&amp;IF($J202="","Sin responsable | ","")&amp;IF($K202="","Sin obra | ","")&amp;IF(AND($N202&lt;&gt;"",$G202&lt;&gt;"",$N202&gt;IFERROR(INDEX('MAESTRO DE UNIDADES'!$I$2:$I$208,MATCH($G202,'MAESTRO DE UNIDADES'!$A$2:$A$208,0)),0)),"Litros &gt; tanque | ","")&amp;IF(AND($W202&lt;&gt;"",COUNTIF($W$2:$W202,$W202)&gt;1),"Ticket duplicado | ","")&amp;IF(AND($G202&lt;&gt;"",IFERROR(INDEX('MAESTRO DE UNIDADES'!$L$2:$L$208,MATCH($G202,'MAESTRO DE UNIDADES'!$A$2:$A$208,0)),"")="Inactivo"),"Unidad inactiva | ","")&amp;IF(AND($AA202&lt;&gt;"",$N202=""),"Carga de batán sin litros | ","")&amp;IF(AND($AA202&lt;&gt;"",$AC202&lt;0),"Supera saldo batán | ","")))-3)))</f>
        <v/>
      </c>
      <c r="Z202" s="8" t="str">
        <f t="shared" si="28"/>
        <v/>
      </c>
      <c r="AA202" s="4"/>
      <c r="AB202" s="26" t="str">
        <f>IF($AA202="","",IFERROR(INDEX('CONTROL DE BATAN'!$J$2:$J$301,MATCH($AA202,'CONTROL DE BATAN'!$A$2:$A$301,0)),""))</f>
        <v/>
      </c>
      <c r="AC202" s="28" t="str">
        <f>IF($AA202="","",IFERROR(INDEX('CONTROL DE BATAN'!$I$2:$I$301,MATCH($AA202,'CONTROL DE BATAN'!$A$2:$A$301,0)),0)-SUMIFS($N$2:$N202,$AA$2:$AA202,$AA202))</f>
        <v/>
      </c>
    </row>
    <row r="203" spans="1:29" x14ac:dyDescent="0.25">
      <c r="A203" s="8" t="str">
        <f t="shared" si="22"/>
        <v/>
      </c>
      <c r="B203" s="9"/>
      <c r="C203" s="8" t="str">
        <f t="shared" si="23"/>
        <v/>
      </c>
      <c r="D203" s="10" t="str">
        <f t="shared" si="24"/>
        <v/>
      </c>
      <c r="E203" s="8" t="str">
        <f t="shared" si="25"/>
        <v/>
      </c>
      <c r="F203" s="8" t="str">
        <f>IF($G203="","",IFERROR(INDEX('MAESTRO DE UNIDADES'!$C$2:$C$208,MATCH($G203,'MAESTRO DE UNIDADES'!$A$2:$A$208,0)),""))</f>
        <v/>
      </c>
      <c r="G203" s="4"/>
      <c r="H203" s="8" t="str">
        <f>IF($G203="","",IFERROR(INDEX('MAESTRO DE UNIDADES'!$F$2:$F$208,MATCH($G203,'MAESTRO DE UNIDADES'!$A$2:$A$208,0)),""))</f>
        <v/>
      </c>
      <c r="I203" s="8" t="str">
        <f>IF($G203="","",IFERROR(INDEX('MAESTRO DE UNIDADES'!$B$2:$B$208,MATCH($G203,'MAESTRO DE UNIDADES'!$A$2:$A$208,0)),""))</f>
        <v/>
      </c>
      <c r="J203" s="4"/>
      <c r="K203" s="4"/>
      <c r="L203" s="4"/>
      <c r="M203" s="8" t="str">
        <f>IF($G203="","",IFERROR(INDEX('MAESTRO DE UNIDADES'!$H$2:$H$208,MATCH($G203,'MAESTRO DE UNIDADES'!$A$2:$A$208,0)),""))</f>
        <v/>
      </c>
      <c r="N203" s="25"/>
      <c r="O203" s="25"/>
      <c r="P203" s="26" t="str">
        <f t="shared" si="26"/>
        <v/>
      </c>
      <c r="Q203" s="27"/>
      <c r="R203" s="27"/>
      <c r="S203" s="28" t="str">
        <f>IF(OR($G203="",$Q203="",COUNTIF($G$2:G202,$G203)=0),"",$Q203-LOOKUP(2,1/($G$2:G202=$G203),$Q$2:Q202))</f>
        <v/>
      </c>
      <c r="T203" s="28" t="str">
        <f>IF(OR($G203="",$R203="",COUNTIF($G$2:G202,$G203)=0),"",$R203-LOOKUP(2,1/($G$2:G202=$G203),$R$2:R202))</f>
        <v/>
      </c>
      <c r="U203" s="11" t="str">
        <f t="shared" si="27"/>
        <v/>
      </c>
      <c r="V203" s="4"/>
      <c r="W203" s="4"/>
      <c r="X203" s="55"/>
      <c r="Y203" s="56" t="str">
        <f>IF($B203="","",IF((IF($G203="","Sin unidad | ","")&amp;IF($J203="","Sin responsable | ","")&amp;IF($K203="","Sin obra | ","")&amp;IF(AND($N203&lt;&gt;"",$G203&lt;&gt;"",$N203&gt;IFERROR(INDEX('MAESTRO DE UNIDADES'!$I$2:$I$208,MATCH($G203,'MAESTRO DE UNIDADES'!$A$2:$A$208,0)),0)),"Litros &gt; tanque | ","")&amp;IF(AND($W203&lt;&gt;"",COUNTIF($W$2:$W203,$W203)&gt;1),"Ticket duplicado | ","")&amp;IF(AND($G203&lt;&gt;"",IFERROR(INDEX('MAESTRO DE UNIDADES'!$L$2:$L$208,MATCH($G203,'MAESTRO DE UNIDADES'!$A$2:$A$208,0)),"")="Inactivo"),"Unidad inactiva | ","")&amp;IF(AND($AA203&lt;&gt;"",$N203=""),"Carga de batán sin litros | ","")&amp;IF(AND($AA203&lt;&gt;"",$AC203&lt;0),"Supera saldo batán | ",""))="","OK",LEFT((IF($G203="","Sin unidad | ","")&amp;IF($J203="","Sin responsable | ","")&amp;IF($K203="","Sin obra | ","")&amp;IF(AND($N203&lt;&gt;"",$G203&lt;&gt;"",$N203&gt;IFERROR(INDEX('MAESTRO DE UNIDADES'!$I$2:$I$208,MATCH($G203,'MAESTRO DE UNIDADES'!$A$2:$A$208,0)),0)),"Litros &gt; tanque | ","")&amp;IF(AND($W203&lt;&gt;"",COUNTIF($W$2:$W203,$W203)&gt;1),"Ticket duplicado | ","")&amp;IF(AND($G203&lt;&gt;"",IFERROR(INDEX('MAESTRO DE UNIDADES'!$L$2:$L$208,MATCH($G203,'MAESTRO DE UNIDADES'!$A$2:$A$208,0)),"")="Inactivo"),"Unidad inactiva | ","")&amp;IF(AND($AA203&lt;&gt;"",$N203=""),"Carga de batán sin litros | ","")&amp;IF(AND($AA203&lt;&gt;"",$AC203&lt;0),"Supera saldo batán | ","")),LEN((IF($G203="","Sin unidad | ","")&amp;IF($J203="","Sin responsable | ","")&amp;IF($K203="","Sin obra | ","")&amp;IF(AND($N203&lt;&gt;"",$G203&lt;&gt;"",$N203&gt;IFERROR(INDEX('MAESTRO DE UNIDADES'!$I$2:$I$208,MATCH($G203,'MAESTRO DE UNIDADES'!$A$2:$A$208,0)),0)),"Litros &gt; tanque | ","")&amp;IF(AND($W203&lt;&gt;"",COUNTIF($W$2:$W203,$W203)&gt;1),"Ticket duplicado | ","")&amp;IF(AND($G203&lt;&gt;"",IFERROR(INDEX('MAESTRO DE UNIDADES'!$L$2:$L$208,MATCH($G203,'MAESTRO DE UNIDADES'!$A$2:$A$208,0)),"")="Inactivo"),"Unidad inactiva | ","")&amp;IF(AND($AA203&lt;&gt;"",$N203=""),"Carga de batán sin litros | ","")&amp;IF(AND($AA203&lt;&gt;"",$AC203&lt;0),"Supera saldo batán | ","")))-3)))</f>
        <v/>
      </c>
      <c r="Z203" s="8" t="str">
        <f t="shared" si="28"/>
        <v/>
      </c>
      <c r="AA203" s="4"/>
      <c r="AB203" s="26" t="str">
        <f>IF($AA203="","",IFERROR(INDEX('CONTROL DE BATAN'!$J$2:$J$301,MATCH($AA203,'CONTROL DE BATAN'!$A$2:$A$301,0)),""))</f>
        <v/>
      </c>
      <c r="AC203" s="28" t="str">
        <f>IF($AA203="","",IFERROR(INDEX('CONTROL DE BATAN'!$I$2:$I$301,MATCH($AA203,'CONTROL DE BATAN'!$A$2:$A$301,0)),0)-SUMIFS($N$2:$N203,$AA$2:$AA203,$AA203))</f>
        <v/>
      </c>
    </row>
    <row r="204" spans="1:29" x14ac:dyDescent="0.25">
      <c r="A204" s="8" t="str">
        <f t="shared" si="22"/>
        <v/>
      </c>
      <c r="B204" s="9"/>
      <c r="C204" s="8" t="str">
        <f t="shared" si="23"/>
        <v/>
      </c>
      <c r="D204" s="10" t="str">
        <f t="shared" si="24"/>
        <v/>
      </c>
      <c r="E204" s="8" t="str">
        <f t="shared" si="25"/>
        <v/>
      </c>
      <c r="F204" s="8" t="str">
        <f>IF($G204="","",IFERROR(INDEX('MAESTRO DE UNIDADES'!$C$2:$C$208,MATCH($G204,'MAESTRO DE UNIDADES'!$A$2:$A$208,0)),""))</f>
        <v/>
      </c>
      <c r="G204" s="4"/>
      <c r="H204" s="8" t="str">
        <f>IF($G204="","",IFERROR(INDEX('MAESTRO DE UNIDADES'!$F$2:$F$208,MATCH($G204,'MAESTRO DE UNIDADES'!$A$2:$A$208,0)),""))</f>
        <v/>
      </c>
      <c r="I204" s="8" t="str">
        <f>IF($G204="","",IFERROR(INDEX('MAESTRO DE UNIDADES'!$B$2:$B$208,MATCH($G204,'MAESTRO DE UNIDADES'!$A$2:$A$208,0)),""))</f>
        <v/>
      </c>
      <c r="J204" s="4"/>
      <c r="K204" s="4"/>
      <c r="L204" s="4"/>
      <c r="M204" s="8" t="str">
        <f>IF($G204="","",IFERROR(INDEX('MAESTRO DE UNIDADES'!$H$2:$H$208,MATCH($G204,'MAESTRO DE UNIDADES'!$A$2:$A$208,0)),""))</f>
        <v/>
      </c>
      <c r="N204" s="25"/>
      <c r="O204" s="25"/>
      <c r="P204" s="26" t="str">
        <f t="shared" si="26"/>
        <v/>
      </c>
      <c r="Q204" s="27"/>
      <c r="R204" s="27"/>
      <c r="S204" s="28" t="str">
        <f>IF(OR($G204="",$Q204="",COUNTIF($G$2:G203,$G204)=0),"",$Q204-LOOKUP(2,1/($G$2:G203=$G204),$Q$2:Q203))</f>
        <v/>
      </c>
      <c r="T204" s="28" t="str">
        <f>IF(OR($G204="",$R204="",COUNTIF($G$2:G203,$G204)=0),"",$R204-LOOKUP(2,1/($G$2:G203=$G204),$R$2:R203))</f>
        <v/>
      </c>
      <c r="U204" s="11" t="str">
        <f t="shared" si="27"/>
        <v/>
      </c>
      <c r="V204" s="4"/>
      <c r="W204" s="4"/>
      <c r="X204" s="55"/>
      <c r="Y204" s="56" t="str">
        <f>IF($B204="","",IF((IF($G204="","Sin unidad | ","")&amp;IF($J204="","Sin responsable | ","")&amp;IF($K204="","Sin obra | ","")&amp;IF(AND($N204&lt;&gt;"",$G204&lt;&gt;"",$N204&gt;IFERROR(INDEX('MAESTRO DE UNIDADES'!$I$2:$I$208,MATCH($G204,'MAESTRO DE UNIDADES'!$A$2:$A$208,0)),0)),"Litros &gt; tanque | ","")&amp;IF(AND($W204&lt;&gt;"",COUNTIF($W$2:$W204,$W204)&gt;1),"Ticket duplicado | ","")&amp;IF(AND($G204&lt;&gt;"",IFERROR(INDEX('MAESTRO DE UNIDADES'!$L$2:$L$208,MATCH($G204,'MAESTRO DE UNIDADES'!$A$2:$A$208,0)),"")="Inactivo"),"Unidad inactiva | ","")&amp;IF(AND($AA204&lt;&gt;"",$N204=""),"Carga de batán sin litros | ","")&amp;IF(AND($AA204&lt;&gt;"",$AC204&lt;0),"Supera saldo batán | ",""))="","OK",LEFT((IF($G204="","Sin unidad | ","")&amp;IF($J204="","Sin responsable | ","")&amp;IF($K204="","Sin obra | ","")&amp;IF(AND($N204&lt;&gt;"",$G204&lt;&gt;"",$N204&gt;IFERROR(INDEX('MAESTRO DE UNIDADES'!$I$2:$I$208,MATCH($G204,'MAESTRO DE UNIDADES'!$A$2:$A$208,0)),0)),"Litros &gt; tanque | ","")&amp;IF(AND($W204&lt;&gt;"",COUNTIF($W$2:$W204,$W204)&gt;1),"Ticket duplicado | ","")&amp;IF(AND($G204&lt;&gt;"",IFERROR(INDEX('MAESTRO DE UNIDADES'!$L$2:$L$208,MATCH($G204,'MAESTRO DE UNIDADES'!$A$2:$A$208,0)),"")="Inactivo"),"Unidad inactiva | ","")&amp;IF(AND($AA204&lt;&gt;"",$N204=""),"Carga de batán sin litros | ","")&amp;IF(AND($AA204&lt;&gt;"",$AC204&lt;0),"Supera saldo batán | ","")),LEN((IF($G204="","Sin unidad | ","")&amp;IF($J204="","Sin responsable | ","")&amp;IF($K204="","Sin obra | ","")&amp;IF(AND($N204&lt;&gt;"",$G204&lt;&gt;"",$N204&gt;IFERROR(INDEX('MAESTRO DE UNIDADES'!$I$2:$I$208,MATCH($G204,'MAESTRO DE UNIDADES'!$A$2:$A$208,0)),0)),"Litros &gt; tanque | ","")&amp;IF(AND($W204&lt;&gt;"",COUNTIF($W$2:$W204,$W204)&gt;1),"Ticket duplicado | ","")&amp;IF(AND($G204&lt;&gt;"",IFERROR(INDEX('MAESTRO DE UNIDADES'!$L$2:$L$208,MATCH($G204,'MAESTRO DE UNIDADES'!$A$2:$A$208,0)),"")="Inactivo"),"Unidad inactiva | ","")&amp;IF(AND($AA204&lt;&gt;"",$N204=""),"Carga de batán sin litros | ","")&amp;IF(AND($AA204&lt;&gt;"",$AC204&lt;0),"Supera saldo batán | ","")))-3)))</f>
        <v/>
      </c>
      <c r="Z204" s="8" t="str">
        <f t="shared" si="28"/>
        <v/>
      </c>
      <c r="AA204" s="4"/>
      <c r="AB204" s="26" t="str">
        <f>IF($AA204="","",IFERROR(INDEX('CONTROL DE BATAN'!$J$2:$J$301,MATCH($AA204,'CONTROL DE BATAN'!$A$2:$A$301,0)),""))</f>
        <v/>
      </c>
      <c r="AC204" s="28" t="str">
        <f>IF($AA204="","",IFERROR(INDEX('CONTROL DE BATAN'!$I$2:$I$301,MATCH($AA204,'CONTROL DE BATAN'!$A$2:$A$301,0)),0)-SUMIFS($N$2:$N204,$AA$2:$AA204,$AA204))</f>
        <v/>
      </c>
    </row>
    <row r="205" spans="1:29" x14ac:dyDescent="0.25">
      <c r="A205" s="8" t="str">
        <f t="shared" si="22"/>
        <v/>
      </c>
      <c r="B205" s="9"/>
      <c r="C205" s="8" t="str">
        <f t="shared" si="23"/>
        <v/>
      </c>
      <c r="D205" s="10" t="str">
        <f t="shared" si="24"/>
        <v/>
      </c>
      <c r="E205" s="8" t="str">
        <f t="shared" si="25"/>
        <v/>
      </c>
      <c r="F205" s="8" t="str">
        <f>IF($G205="","",IFERROR(INDEX('MAESTRO DE UNIDADES'!$C$2:$C$208,MATCH($G205,'MAESTRO DE UNIDADES'!$A$2:$A$208,0)),""))</f>
        <v/>
      </c>
      <c r="G205" s="4"/>
      <c r="H205" s="8" t="str">
        <f>IF($G205="","",IFERROR(INDEX('MAESTRO DE UNIDADES'!$F$2:$F$208,MATCH($G205,'MAESTRO DE UNIDADES'!$A$2:$A$208,0)),""))</f>
        <v/>
      </c>
      <c r="I205" s="8" t="str">
        <f>IF($G205="","",IFERROR(INDEX('MAESTRO DE UNIDADES'!$B$2:$B$208,MATCH($G205,'MAESTRO DE UNIDADES'!$A$2:$A$208,0)),""))</f>
        <v/>
      </c>
      <c r="J205" s="4"/>
      <c r="K205" s="4"/>
      <c r="L205" s="4"/>
      <c r="M205" s="8" t="str">
        <f>IF($G205="","",IFERROR(INDEX('MAESTRO DE UNIDADES'!$H$2:$H$208,MATCH($G205,'MAESTRO DE UNIDADES'!$A$2:$A$208,0)),""))</f>
        <v/>
      </c>
      <c r="N205" s="25"/>
      <c r="O205" s="25"/>
      <c r="P205" s="26" t="str">
        <f t="shared" si="26"/>
        <v/>
      </c>
      <c r="Q205" s="27"/>
      <c r="R205" s="27"/>
      <c r="S205" s="28" t="str">
        <f>IF(OR($G205="",$Q205="",COUNTIF($G$2:G204,$G205)=0),"",$Q205-LOOKUP(2,1/($G$2:G204=$G205),$Q$2:Q204))</f>
        <v/>
      </c>
      <c r="T205" s="28" t="str">
        <f>IF(OR($G205="",$R205="",COUNTIF($G$2:G204,$G205)=0),"",$R205-LOOKUP(2,1/($G$2:G204=$G205),$R$2:R204))</f>
        <v/>
      </c>
      <c r="U205" s="11" t="str">
        <f t="shared" si="27"/>
        <v/>
      </c>
      <c r="V205" s="4"/>
      <c r="W205" s="4"/>
      <c r="X205" s="55"/>
      <c r="Y205" s="56" t="str">
        <f>IF($B205="","",IF((IF($G205="","Sin unidad | ","")&amp;IF($J205="","Sin responsable | ","")&amp;IF($K205="","Sin obra | ","")&amp;IF(AND($N205&lt;&gt;"",$G205&lt;&gt;"",$N205&gt;IFERROR(INDEX('MAESTRO DE UNIDADES'!$I$2:$I$208,MATCH($G205,'MAESTRO DE UNIDADES'!$A$2:$A$208,0)),0)),"Litros &gt; tanque | ","")&amp;IF(AND($W205&lt;&gt;"",COUNTIF($W$2:$W205,$W205)&gt;1),"Ticket duplicado | ","")&amp;IF(AND($G205&lt;&gt;"",IFERROR(INDEX('MAESTRO DE UNIDADES'!$L$2:$L$208,MATCH($G205,'MAESTRO DE UNIDADES'!$A$2:$A$208,0)),"")="Inactivo"),"Unidad inactiva | ","")&amp;IF(AND($AA205&lt;&gt;"",$N205=""),"Carga de batán sin litros | ","")&amp;IF(AND($AA205&lt;&gt;"",$AC205&lt;0),"Supera saldo batán | ",""))="","OK",LEFT((IF($G205="","Sin unidad | ","")&amp;IF($J205="","Sin responsable | ","")&amp;IF($K205="","Sin obra | ","")&amp;IF(AND($N205&lt;&gt;"",$G205&lt;&gt;"",$N205&gt;IFERROR(INDEX('MAESTRO DE UNIDADES'!$I$2:$I$208,MATCH($G205,'MAESTRO DE UNIDADES'!$A$2:$A$208,0)),0)),"Litros &gt; tanque | ","")&amp;IF(AND($W205&lt;&gt;"",COUNTIF($W$2:$W205,$W205)&gt;1),"Ticket duplicado | ","")&amp;IF(AND($G205&lt;&gt;"",IFERROR(INDEX('MAESTRO DE UNIDADES'!$L$2:$L$208,MATCH($G205,'MAESTRO DE UNIDADES'!$A$2:$A$208,0)),"")="Inactivo"),"Unidad inactiva | ","")&amp;IF(AND($AA205&lt;&gt;"",$N205=""),"Carga de batán sin litros | ","")&amp;IF(AND($AA205&lt;&gt;"",$AC205&lt;0),"Supera saldo batán | ","")),LEN((IF($G205="","Sin unidad | ","")&amp;IF($J205="","Sin responsable | ","")&amp;IF($K205="","Sin obra | ","")&amp;IF(AND($N205&lt;&gt;"",$G205&lt;&gt;"",$N205&gt;IFERROR(INDEX('MAESTRO DE UNIDADES'!$I$2:$I$208,MATCH($G205,'MAESTRO DE UNIDADES'!$A$2:$A$208,0)),0)),"Litros &gt; tanque | ","")&amp;IF(AND($W205&lt;&gt;"",COUNTIF($W$2:$W205,$W205)&gt;1),"Ticket duplicado | ","")&amp;IF(AND($G205&lt;&gt;"",IFERROR(INDEX('MAESTRO DE UNIDADES'!$L$2:$L$208,MATCH($G205,'MAESTRO DE UNIDADES'!$A$2:$A$208,0)),"")="Inactivo"),"Unidad inactiva | ","")&amp;IF(AND($AA205&lt;&gt;"",$N205=""),"Carga de batán sin litros | ","")&amp;IF(AND($AA205&lt;&gt;"",$AC205&lt;0),"Supera saldo batán | ","")))-3)))</f>
        <v/>
      </c>
      <c r="Z205" s="8" t="str">
        <f t="shared" si="28"/>
        <v/>
      </c>
      <c r="AA205" s="4"/>
      <c r="AB205" s="26" t="str">
        <f>IF($AA205="","",IFERROR(INDEX('CONTROL DE BATAN'!$J$2:$J$301,MATCH($AA205,'CONTROL DE BATAN'!$A$2:$A$301,0)),""))</f>
        <v/>
      </c>
      <c r="AC205" s="28" t="str">
        <f>IF($AA205="","",IFERROR(INDEX('CONTROL DE BATAN'!$I$2:$I$301,MATCH($AA205,'CONTROL DE BATAN'!$A$2:$A$301,0)),0)-SUMIFS($N$2:$N205,$AA$2:$AA205,$AA205))</f>
        <v/>
      </c>
    </row>
    <row r="206" spans="1:29" x14ac:dyDescent="0.25">
      <c r="A206" s="8" t="str">
        <f t="shared" si="22"/>
        <v/>
      </c>
      <c r="B206" s="9"/>
      <c r="C206" s="8" t="str">
        <f t="shared" si="23"/>
        <v/>
      </c>
      <c r="D206" s="10" t="str">
        <f t="shared" si="24"/>
        <v/>
      </c>
      <c r="E206" s="8" t="str">
        <f t="shared" si="25"/>
        <v/>
      </c>
      <c r="F206" s="8" t="str">
        <f>IF($G206="","",IFERROR(INDEX('MAESTRO DE UNIDADES'!$C$2:$C$208,MATCH($G206,'MAESTRO DE UNIDADES'!$A$2:$A$208,0)),""))</f>
        <v/>
      </c>
      <c r="G206" s="4"/>
      <c r="H206" s="8" t="str">
        <f>IF($G206="","",IFERROR(INDEX('MAESTRO DE UNIDADES'!$F$2:$F$208,MATCH($G206,'MAESTRO DE UNIDADES'!$A$2:$A$208,0)),""))</f>
        <v/>
      </c>
      <c r="I206" s="8" t="str">
        <f>IF($G206="","",IFERROR(INDEX('MAESTRO DE UNIDADES'!$B$2:$B$208,MATCH($G206,'MAESTRO DE UNIDADES'!$A$2:$A$208,0)),""))</f>
        <v/>
      </c>
      <c r="J206" s="4"/>
      <c r="K206" s="4"/>
      <c r="L206" s="4"/>
      <c r="M206" s="8" t="str">
        <f>IF($G206="","",IFERROR(INDEX('MAESTRO DE UNIDADES'!$H$2:$H$208,MATCH($G206,'MAESTRO DE UNIDADES'!$A$2:$A$208,0)),""))</f>
        <v/>
      </c>
      <c r="N206" s="25"/>
      <c r="O206" s="25"/>
      <c r="P206" s="26" t="str">
        <f t="shared" si="26"/>
        <v/>
      </c>
      <c r="Q206" s="27"/>
      <c r="R206" s="27"/>
      <c r="S206" s="28" t="str">
        <f>IF(OR($G206="",$Q206="",COUNTIF($G$2:G205,$G206)=0),"",$Q206-LOOKUP(2,1/($G$2:G205=$G206),$Q$2:Q205))</f>
        <v/>
      </c>
      <c r="T206" s="28" t="str">
        <f>IF(OR($G206="",$R206="",COUNTIF($G$2:G205,$G206)=0),"",$R206-LOOKUP(2,1/($G$2:G205=$G206),$R$2:R205))</f>
        <v/>
      </c>
      <c r="U206" s="11" t="str">
        <f t="shared" si="27"/>
        <v/>
      </c>
      <c r="V206" s="4"/>
      <c r="W206" s="4"/>
      <c r="X206" s="55"/>
      <c r="Y206" s="56" t="str">
        <f>IF($B206="","",IF((IF($G206="","Sin unidad | ","")&amp;IF($J206="","Sin responsable | ","")&amp;IF($K206="","Sin obra | ","")&amp;IF(AND($N206&lt;&gt;"",$G206&lt;&gt;"",$N206&gt;IFERROR(INDEX('MAESTRO DE UNIDADES'!$I$2:$I$208,MATCH($G206,'MAESTRO DE UNIDADES'!$A$2:$A$208,0)),0)),"Litros &gt; tanque | ","")&amp;IF(AND($W206&lt;&gt;"",COUNTIF($W$2:$W206,$W206)&gt;1),"Ticket duplicado | ","")&amp;IF(AND($G206&lt;&gt;"",IFERROR(INDEX('MAESTRO DE UNIDADES'!$L$2:$L$208,MATCH($G206,'MAESTRO DE UNIDADES'!$A$2:$A$208,0)),"")="Inactivo"),"Unidad inactiva | ","")&amp;IF(AND($AA206&lt;&gt;"",$N206=""),"Carga de batán sin litros | ","")&amp;IF(AND($AA206&lt;&gt;"",$AC206&lt;0),"Supera saldo batán | ",""))="","OK",LEFT((IF($G206="","Sin unidad | ","")&amp;IF($J206="","Sin responsable | ","")&amp;IF($K206="","Sin obra | ","")&amp;IF(AND($N206&lt;&gt;"",$G206&lt;&gt;"",$N206&gt;IFERROR(INDEX('MAESTRO DE UNIDADES'!$I$2:$I$208,MATCH($G206,'MAESTRO DE UNIDADES'!$A$2:$A$208,0)),0)),"Litros &gt; tanque | ","")&amp;IF(AND($W206&lt;&gt;"",COUNTIF($W$2:$W206,$W206)&gt;1),"Ticket duplicado | ","")&amp;IF(AND($G206&lt;&gt;"",IFERROR(INDEX('MAESTRO DE UNIDADES'!$L$2:$L$208,MATCH($G206,'MAESTRO DE UNIDADES'!$A$2:$A$208,0)),"")="Inactivo"),"Unidad inactiva | ","")&amp;IF(AND($AA206&lt;&gt;"",$N206=""),"Carga de batán sin litros | ","")&amp;IF(AND($AA206&lt;&gt;"",$AC206&lt;0),"Supera saldo batán | ","")),LEN((IF($G206="","Sin unidad | ","")&amp;IF($J206="","Sin responsable | ","")&amp;IF($K206="","Sin obra | ","")&amp;IF(AND($N206&lt;&gt;"",$G206&lt;&gt;"",$N206&gt;IFERROR(INDEX('MAESTRO DE UNIDADES'!$I$2:$I$208,MATCH($G206,'MAESTRO DE UNIDADES'!$A$2:$A$208,0)),0)),"Litros &gt; tanque | ","")&amp;IF(AND($W206&lt;&gt;"",COUNTIF($W$2:$W206,$W206)&gt;1),"Ticket duplicado | ","")&amp;IF(AND($G206&lt;&gt;"",IFERROR(INDEX('MAESTRO DE UNIDADES'!$L$2:$L$208,MATCH($G206,'MAESTRO DE UNIDADES'!$A$2:$A$208,0)),"")="Inactivo"),"Unidad inactiva | ","")&amp;IF(AND($AA206&lt;&gt;"",$N206=""),"Carga de batán sin litros | ","")&amp;IF(AND($AA206&lt;&gt;"",$AC206&lt;0),"Supera saldo batán | ","")))-3)))</f>
        <v/>
      </c>
      <c r="Z206" s="8" t="str">
        <f t="shared" si="28"/>
        <v/>
      </c>
      <c r="AA206" s="4"/>
      <c r="AB206" s="26" t="str">
        <f>IF($AA206="","",IFERROR(INDEX('CONTROL DE BATAN'!$J$2:$J$301,MATCH($AA206,'CONTROL DE BATAN'!$A$2:$A$301,0)),""))</f>
        <v/>
      </c>
      <c r="AC206" s="28" t="str">
        <f>IF($AA206="","",IFERROR(INDEX('CONTROL DE BATAN'!$I$2:$I$301,MATCH($AA206,'CONTROL DE BATAN'!$A$2:$A$301,0)),0)-SUMIFS($N$2:$N206,$AA$2:$AA206,$AA206))</f>
        <v/>
      </c>
    </row>
    <row r="207" spans="1:29" x14ac:dyDescent="0.25">
      <c r="A207" s="8" t="str">
        <f t="shared" si="22"/>
        <v/>
      </c>
      <c r="B207" s="9"/>
      <c r="C207" s="8" t="str">
        <f t="shared" si="23"/>
        <v/>
      </c>
      <c r="D207" s="10" t="str">
        <f t="shared" si="24"/>
        <v/>
      </c>
      <c r="E207" s="8" t="str">
        <f t="shared" si="25"/>
        <v/>
      </c>
      <c r="F207" s="8" t="str">
        <f>IF($G207="","",IFERROR(INDEX('MAESTRO DE UNIDADES'!$C$2:$C$208,MATCH($G207,'MAESTRO DE UNIDADES'!$A$2:$A$208,0)),""))</f>
        <v/>
      </c>
      <c r="G207" s="4"/>
      <c r="H207" s="8" t="str">
        <f>IF($G207="","",IFERROR(INDEX('MAESTRO DE UNIDADES'!$F$2:$F$208,MATCH($G207,'MAESTRO DE UNIDADES'!$A$2:$A$208,0)),""))</f>
        <v/>
      </c>
      <c r="I207" s="8" t="str">
        <f>IF($G207="","",IFERROR(INDEX('MAESTRO DE UNIDADES'!$B$2:$B$208,MATCH($G207,'MAESTRO DE UNIDADES'!$A$2:$A$208,0)),""))</f>
        <v/>
      </c>
      <c r="J207" s="4"/>
      <c r="K207" s="4"/>
      <c r="L207" s="4"/>
      <c r="M207" s="8" t="str">
        <f>IF($G207="","",IFERROR(INDEX('MAESTRO DE UNIDADES'!$H$2:$H$208,MATCH($G207,'MAESTRO DE UNIDADES'!$A$2:$A$208,0)),""))</f>
        <v/>
      </c>
      <c r="N207" s="25"/>
      <c r="O207" s="25"/>
      <c r="P207" s="26" t="str">
        <f t="shared" si="26"/>
        <v/>
      </c>
      <c r="Q207" s="27"/>
      <c r="R207" s="27"/>
      <c r="S207" s="28" t="str">
        <f>IF(OR($G207="",$Q207="",COUNTIF($G$2:G206,$G207)=0),"",$Q207-LOOKUP(2,1/($G$2:G206=$G207),$Q$2:Q206))</f>
        <v/>
      </c>
      <c r="T207" s="28" t="str">
        <f>IF(OR($G207="",$R207="",COUNTIF($G$2:G206,$G207)=0),"",$R207-LOOKUP(2,1/($G$2:G206=$G207),$R$2:R206))</f>
        <v/>
      </c>
      <c r="U207" s="11" t="str">
        <f t="shared" si="27"/>
        <v/>
      </c>
      <c r="V207" s="4"/>
      <c r="W207" s="4"/>
      <c r="X207" s="55"/>
      <c r="Y207" s="56" t="str">
        <f>IF($B207="","",IF((IF($G207="","Sin unidad | ","")&amp;IF($J207="","Sin responsable | ","")&amp;IF($K207="","Sin obra | ","")&amp;IF(AND($N207&lt;&gt;"",$G207&lt;&gt;"",$N207&gt;IFERROR(INDEX('MAESTRO DE UNIDADES'!$I$2:$I$208,MATCH($G207,'MAESTRO DE UNIDADES'!$A$2:$A$208,0)),0)),"Litros &gt; tanque | ","")&amp;IF(AND($W207&lt;&gt;"",COUNTIF($W$2:$W207,$W207)&gt;1),"Ticket duplicado | ","")&amp;IF(AND($G207&lt;&gt;"",IFERROR(INDEX('MAESTRO DE UNIDADES'!$L$2:$L$208,MATCH($G207,'MAESTRO DE UNIDADES'!$A$2:$A$208,0)),"")="Inactivo"),"Unidad inactiva | ","")&amp;IF(AND($AA207&lt;&gt;"",$N207=""),"Carga de batán sin litros | ","")&amp;IF(AND($AA207&lt;&gt;"",$AC207&lt;0),"Supera saldo batán | ",""))="","OK",LEFT((IF($G207="","Sin unidad | ","")&amp;IF($J207="","Sin responsable | ","")&amp;IF($K207="","Sin obra | ","")&amp;IF(AND($N207&lt;&gt;"",$G207&lt;&gt;"",$N207&gt;IFERROR(INDEX('MAESTRO DE UNIDADES'!$I$2:$I$208,MATCH($G207,'MAESTRO DE UNIDADES'!$A$2:$A$208,0)),0)),"Litros &gt; tanque | ","")&amp;IF(AND($W207&lt;&gt;"",COUNTIF($W$2:$W207,$W207)&gt;1),"Ticket duplicado | ","")&amp;IF(AND($G207&lt;&gt;"",IFERROR(INDEX('MAESTRO DE UNIDADES'!$L$2:$L$208,MATCH($G207,'MAESTRO DE UNIDADES'!$A$2:$A$208,0)),"")="Inactivo"),"Unidad inactiva | ","")&amp;IF(AND($AA207&lt;&gt;"",$N207=""),"Carga de batán sin litros | ","")&amp;IF(AND($AA207&lt;&gt;"",$AC207&lt;0),"Supera saldo batán | ","")),LEN((IF($G207="","Sin unidad | ","")&amp;IF($J207="","Sin responsable | ","")&amp;IF($K207="","Sin obra | ","")&amp;IF(AND($N207&lt;&gt;"",$G207&lt;&gt;"",$N207&gt;IFERROR(INDEX('MAESTRO DE UNIDADES'!$I$2:$I$208,MATCH($G207,'MAESTRO DE UNIDADES'!$A$2:$A$208,0)),0)),"Litros &gt; tanque | ","")&amp;IF(AND($W207&lt;&gt;"",COUNTIF($W$2:$W207,$W207)&gt;1),"Ticket duplicado | ","")&amp;IF(AND($G207&lt;&gt;"",IFERROR(INDEX('MAESTRO DE UNIDADES'!$L$2:$L$208,MATCH($G207,'MAESTRO DE UNIDADES'!$A$2:$A$208,0)),"")="Inactivo"),"Unidad inactiva | ","")&amp;IF(AND($AA207&lt;&gt;"",$N207=""),"Carga de batán sin litros | ","")&amp;IF(AND($AA207&lt;&gt;"",$AC207&lt;0),"Supera saldo batán | ","")))-3)))</f>
        <v/>
      </c>
      <c r="Z207" s="8" t="str">
        <f t="shared" si="28"/>
        <v/>
      </c>
      <c r="AA207" s="4"/>
      <c r="AB207" s="26" t="str">
        <f>IF($AA207="","",IFERROR(INDEX('CONTROL DE BATAN'!$J$2:$J$301,MATCH($AA207,'CONTROL DE BATAN'!$A$2:$A$301,0)),""))</f>
        <v/>
      </c>
      <c r="AC207" s="28" t="str">
        <f>IF($AA207="","",IFERROR(INDEX('CONTROL DE BATAN'!$I$2:$I$301,MATCH($AA207,'CONTROL DE BATAN'!$A$2:$A$301,0)),0)-SUMIFS($N$2:$N207,$AA$2:$AA207,$AA207))</f>
        <v/>
      </c>
    </row>
    <row r="208" spans="1:29" x14ac:dyDescent="0.25">
      <c r="A208" s="8" t="str">
        <f t="shared" si="22"/>
        <v/>
      </c>
      <c r="B208" s="9"/>
      <c r="C208" s="8" t="str">
        <f t="shared" si="23"/>
        <v/>
      </c>
      <c r="D208" s="10" t="str">
        <f t="shared" si="24"/>
        <v/>
      </c>
      <c r="E208" s="8" t="str">
        <f t="shared" si="25"/>
        <v/>
      </c>
      <c r="F208" s="8" t="str">
        <f>IF($G208="","",IFERROR(INDEX('MAESTRO DE UNIDADES'!$C$2:$C$208,MATCH($G208,'MAESTRO DE UNIDADES'!$A$2:$A$208,0)),""))</f>
        <v/>
      </c>
      <c r="G208" s="4"/>
      <c r="H208" s="8" t="str">
        <f>IF($G208="","",IFERROR(INDEX('MAESTRO DE UNIDADES'!$F$2:$F$208,MATCH($G208,'MAESTRO DE UNIDADES'!$A$2:$A$208,0)),""))</f>
        <v/>
      </c>
      <c r="I208" s="8" t="str">
        <f>IF($G208="","",IFERROR(INDEX('MAESTRO DE UNIDADES'!$B$2:$B$208,MATCH($G208,'MAESTRO DE UNIDADES'!$A$2:$A$208,0)),""))</f>
        <v/>
      </c>
      <c r="J208" s="4"/>
      <c r="K208" s="4"/>
      <c r="L208" s="4"/>
      <c r="M208" s="8" t="str">
        <f>IF($G208="","",IFERROR(INDEX('MAESTRO DE UNIDADES'!$H$2:$H$208,MATCH($G208,'MAESTRO DE UNIDADES'!$A$2:$A$208,0)),""))</f>
        <v/>
      </c>
      <c r="N208" s="25"/>
      <c r="O208" s="25"/>
      <c r="P208" s="26" t="str">
        <f t="shared" si="26"/>
        <v/>
      </c>
      <c r="Q208" s="27"/>
      <c r="R208" s="27"/>
      <c r="S208" s="28" t="str">
        <f>IF(OR($G208="",$Q208="",COUNTIF($G$2:G207,$G208)=0),"",$Q208-LOOKUP(2,1/($G$2:G207=$G208),$Q$2:Q207))</f>
        <v/>
      </c>
      <c r="T208" s="28" t="str">
        <f>IF(OR($G208="",$R208="",COUNTIF($G$2:G207,$G208)=0),"",$R208-LOOKUP(2,1/($G$2:G207=$G208),$R$2:R207))</f>
        <v/>
      </c>
      <c r="U208" s="11" t="str">
        <f t="shared" si="27"/>
        <v/>
      </c>
      <c r="V208" s="4"/>
      <c r="W208" s="4"/>
      <c r="X208" s="55"/>
      <c r="Y208" s="56" t="str">
        <f>IF($B208="","",IF((IF($G208="","Sin unidad | ","")&amp;IF($J208="","Sin responsable | ","")&amp;IF($K208="","Sin obra | ","")&amp;IF(AND($N208&lt;&gt;"",$G208&lt;&gt;"",$N208&gt;IFERROR(INDEX('MAESTRO DE UNIDADES'!$I$2:$I$208,MATCH($G208,'MAESTRO DE UNIDADES'!$A$2:$A$208,0)),0)),"Litros &gt; tanque | ","")&amp;IF(AND($W208&lt;&gt;"",COUNTIF($W$2:$W208,$W208)&gt;1),"Ticket duplicado | ","")&amp;IF(AND($G208&lt;&gt;"",IFERROR(INDEX('MAESTRO DE UNIDADES'!$L$2:$L$208,MATCH($G208,'MAESTRO DE UNIDADES'!$A$2:$A$208,0)),"")="Inactivo"),"Unidad inactiva | ","")&amp;IF(AND($AA208&lt;&gt;"",$N208=""),"Carga de batán sin litros | ","")&amp;IF(AND($AA208&lt;&gt;"",$AC208&lt;0),"Supera saldo batán | ",""))="","OK",LEFT((IF($G208="","Sin unidad | ","")&amp;IF($J208="","Sin responsable | ","")&amp;IF($K208="","Sin obra | ","")&amp;IF(AND($N208&lt;&gt;"",$G208&lt;&gt;"",$N208&gt;IFERROR(INDEX('MAESTRO DE UNIDADES'!$I$2:$I$208,MATCH($G208,'MAESTRO DE UNIDADES'!$A$2:$A$208,0)),0)),"Litros &gt; tanque | ","")&amp;IF(AND($W208&lt;&gt;"",COUNTIF($W$2:$W208,$W208)&gt;1),"Ticket duplicado | ","")&amp;IF(AND($G208&lt;&gt;"",IFERROR(INDEX('MAESTRO DE UNIDADES'!$L$2:$L$208,MATCH($G208,'MAESTRO DE UNIDADES'!$A$2:$A$208,0)),"")="Inactivo"),"Unidad inactiva | ","")&amp;IF(AND($AA208&lt;&gt;"",$N208=""),"Carga de batán sin litros | ","")&amp;IF(AND($AA208&lt;&gt;"",$AC208&lt;0),"Supera saldo batán | ","")),LEN((IF($G208="","Sin unidad | ","")&amp;IF($J208="","Sin responsable | ","")&amp;IF($K208="","Sin obra | ","")&amp;IF(AND($N208&lt;&gt;"",$G208&lt;&gt;"",$N208&gt;IFERROR(INDEX('MAESTRO DE UNIDADES'!$I$2:$I$208,MATCH($G208,'MAESTRO DE UNIDADES'!$A$2:$A$208,0)),0)),"Litros &gt; tanque | ","")&amp;IF(AND($W208&lt;&gt;"",COUNTIF($W$2:$W208,$W208)&gt;1),"Ticket duplicado | ","")&amp;IF(AND($G208&lt;&gt;"",IFERROR(INDEX('MAESTRO DE UNIDADES'!$L$2:$L$208,MATCH($G208,'MAESTRO DE UNIDADES'!$A$2:$A$208,0)),"")="Inactivo"),"Unidad inactiva | ","")&amp;IF(AND($AA208&lt;&gt;"",$N208=""),"Carga de batán sin litros | ","")&amp;IF(AND($AA208&lt;&gt;"",$AC208&lt;0),"Supera saldo batán | ","")))-3)))</f>
        <v/>
      </c>
      <c r="Z208" s="8" t="str">
        <f t="shared" si="28"/>
        <v/>
      </c>
      <c r="AA208" s="4"/>
      <c r="AB208" s="26" t="str">
        <f>IF($AA208="","",IFERROR(INDEX('CONTROL DE BATAN'!$J$2:$J$301,MATCH($AA208,'CONTROL DE BATAN'!$A$2:$A$301,0)),""))</f>
        <v/>
      </c>
      <c r="AC208" s="28" t="str">
        <f>IF($AA208="","",IFERROR(INDEX('CONTROL DE BATAN'!$I$2:$I$301,MATCH($AA208,'CONTROL DE BATAN'!$A$2:$A$301,0)),0)-SUMIFS($N$2:$N208,$AA$2:$AA208,$AA208))</f>
        <v/>
      </c>
    </row>
    <row r="209" spans="1:29" x14ac:dyDescent="0.25">
      <c r="A209" s="8" t="str">
        <f t="shared" si="22"/>
        <v/>
      </c>
      <c r="B209" s="9"/>
      <c r="C209" s="8" t="str">
        <f t="shared" si="23"/>
        <v/>
      </c>
      <c r="D209" s="10" t="str">
        <f t="shared" si="24"/>
        <v/>
      </c>
      <c r="E209" s="8" t="str">
        <f t="shared" si="25"/>
        <v/>
      </c>
      <c r="F209" s="8" t="str">
        <f>IF($G209="","",IFERROR(INDEX('MAESTRO DE UNIDADES'!$C$2:$C$208,MATCH($G209,'MAESTRO DE UNIDADES'!$A$2:$A$208,0)),""))</f>
        <v/>
      </c>
      <c r="G209" s="4"/>
      <c r="H209" s="8" t="str">
        <f>IF($G209="","",IFERROR(INDEX('MAESTRO DE UNIDADES'!$F$2:$F$208,MATCH($G209,'MAESTRO DE UNIDADES'!$A$2:$A$208,0)),""))</f>
        <v/>
      </c>
      <c r="I209" s="8" t="str">
        <f>IF($G209="","",IFERROR(INDEX('MAESTRO DE UNIDADES'!$B$2:$B$208,MATCH($G209,'MAESTRO DE UNIDADES'!$A$2:$A$208,0)),""))</f>
        <v/>
      </c>
      <c r="J209" s="4"/>
      <c r="K209" s="4"/>
      <c r="L209" s="4"/>
      <c r="M209" s="8" t="str">
        <f>IF($G209="","",IFERROR(INDEX('MAESTRO DE UNIDADES'!$H$2:$H$208,MATCH($G209,'MAESTRO DE UNIDADES'!$A$2:$A$208,0)),""))</f>
        <v/>
      </c>
      <c r="N209" s="25"/>
      <c r="O209" s="25"/>
      <c r="P209" s="26" t="str">
        <f t="shared" si="26"/>
        <v/>
      </c>
      <c r="Q209" s="27"/>
      <c r="R209" s="27"/>
      <c r="S209" s="28" t="str">
        <f>IF(OR($G209="",$Q209="",COUNTIF($G$2:G208,$G209)=0),"",$Q209-LOOKUP(2,1/($G$2:G208=$G209),$Q$2:Q208))</f>
        <v/>
      </c>
      <c r="T209" s="28" t="str">
        <f>IF(OR($G209="",$R209="",COUNTIF($G$2:G208,$G209)=0),"",$R209-LOOKUP(2,1/($G$2:G208=$G209),$R$2:R208))</f>
        <v/>
      </c>
      <c r="U209" s="11" t="str">
        <f t="shared" si="27"/>
        <v/>
      </c>
      <c r="V209" s="4"/>
      <c r="W209" s="4"/>
      <c r="X209" s="55"/>
      <c r="Y209" s="56" t="str">
        <f>IF($B209="","",IF((IF($G209="","Sin unidad | ","")&amp;IF($J209="","Sin responsable | ","")&amp;IF($K209="","Sin obra | ","")&amp;IF(AND($N209&lt;&gt;"",$G209&lt;&gt;"",$N209&gt;IFERROR(INDEX('MAESTRO DE UNIDADES'!$I$2:$I$208,MATCH($G209,'MAESTRO DE UNIDADES'!$A$2:$A$208,0)),0)),"Litros &gt; tanque | ","")&amp;IF(AND($W209&lt;&gt;"",COUNTIF($W$2:$W209,$W209)&gt;1),"Ticket duplicado | ","")&amp;IF(AND($G209&lt;&gt;"",IFERROR(INDEX('MAESTRO DE UNIDADES'!$L$2:$L$208,MATCH($G209,'MAESTRO DE UNIDADES'!$A$2:$A$208,0)),"")="Inactivo"),"Unidad inactiva | ","")&amp;IF(AND($AA209&lt;&gt;"",$N209=""),"Carga de batán sin litros | ","")&amp;IF(AND($AA209&lt;&gt;"",$AC209&lt;0),"Supera saldo batán | ",""))="","OK",LEFT((IF($G209="","Sin unidad | ","")&amp;IF($J209="","Sin responsable | ","")&amp;IF($K209="","Sin obra | ","")&amp;IF(AND($N209&lt;&gt;"",$G209&lt;&gt;"",$N209&gt;IFERROR(INDEX('MAESTRO DE UNIDADES'!$I$2:$I$208,MATCH($G209,'MAESTRO DE UNIDADES'!$A$2:$A$208,0)),0)),"Litros &gt; tanque | ","")&amp;IF(AND($W209&lt;&gt;"",COUNTIF($W$2:$W209,$W209)&gt;1),"Ticket duplicado | ","")&amp;IF(AND($G209&lt;&gt;"",IFERROR(INDEX('MAESTRO DE UNIDADES'!$L$2:$L$208,MATCH($G209,'MAESTRO DE UNIDADES'!$A$2:$A$208,0)),"")="Inactivo"),"Unidad inactiva | ","")&amp;IF(AND($AA209&lt;&gt;"",$N209=""),"Carga de batán sin litros | ","")&amp;IF(AND($AA209&lt;&gt;"",$AC209&lt;0),"Supera saldo batán | ","")),LEN((IF($G209="","Sin unidad | ","")&amp;IF($J209="","Sin responsable | ","")&amp;IF($K209="","Sin obra | ","")&amp;IF(AND($N209&lt;&gt;"",$G209&lt;&gt;"",$N209&gt;IFERROR(INDEX('MAESTRO DE UNIDADES'!$I$2:$I$208,MATCH($G209,'MAESTRO DE UNIDADES'!$A$2:$A$208,0)),0)),"Litros &gt; tanque | ","")&amp;IF(AND($W209&lt;&gt;"",COUNTIF($W$2:$W209,$W209)&gt;1),"Ticket duplicado | ","")&amp;IF(AND($G209&lt;&gt;"",IFERROR(INDEX('MAESTRO DE UNIDADES'!$L$2:$L$208,MATCH($G209,'MAESTRO DE UNIDADES'!$A$2:$A$208,0)),"")="Inactivo"),"Unidad inactiva | ","")&amp;IF(AND($AA209&lt;&gt;"",$N209=""),"Carga de batán sin litros | ","")&amp;IF(AND($AA209&lt;&gt;"",$AC209&lt;0),"Supera saldo batán | ","")))-3)))</f>
        <v/>
      </c>
      <c r="Z209" s="8" t="str">
        <f t="shared" si="28"/>
        <v/>
      </c>
      <c r="AA209" s="4"/>
      <c r="AB209" s="26" t="str">
        <f>IF($AA209="","",IFERROR(INDEX('CONTROL DE BATAN'!$J$2:$J$301,MATCH($AA209,'CONTROL DE BATAN'!$A$2:$A$301,0)),""))</f>
        <v/>
      </c>
      <c r="AC209" s="28" t="str">
        <f>IF($AA209="","",IFERROR(INDEX('CONTROL DE BATAN'!$I$2:$I$301,MATCH($AA209,'CONTROL DE BATAN'!$A$2:$A$301,0)),0)-SUMIFS($N$2:$N209,$AA$2:$AA209,$AA209))</f>
        <v/>
      </c>
    </row>
    <row r="210" spans="1:29" x14ac:dyDescent="0.25">
      <c r="A210" s="8" t="str">
        <f t="shared" si="22"/>
        <v/>
      </c>
      <c r="B210" s="9"/>
      <c r="C210" s="8" t="str">
        <f t="shared" si="23"/>
        <v/>
      </c>
      <c r="D210" s="10" t="str">
        <f t="shared" si="24"/>
        <v/>
      </c>
      <c r="E210" s="8" t="str">
        <f t="shared" si="25"/>
        <v/>
      </c>
      <c r="F210" s="8" t="str">
        <f>IF($G210="","",IFERROR(INDEX('MAESTRO DE UNIDADES'!$C$2:$C$208,MATCH($G210,'MAESTRO DE UNIDADES'!$A$2:$A$208,0)),""))</f>
        <v/>
      </c>
      <c r="G210" s="4"/>
      <c r="H210" s="8" t="str">
        <f>IF($G210="","",IFERROR(INDEX('MAESTRO DE UNIDADES'!$F$2:$F$208,MATCH($G210,'MAESTRO DE UNIDADES'!$A$2:$A$208,0)),""))</f>
        <v/>
      </c>
      <c r="I210" s="8" t="str">
        <f>IF($G210="","",IFERROR(INDEX('MAESTRO DE UNIDADES'!$B$2:$B$208,MATCH($G210,'MAESTRO DE UNIDADES'!$A$2:$A$208,0)),""))</f>
        <v/>
      </c>
      <c r="J210" s="4"/>
      <c r="K210" s="4"/>
      <c r="L210" s="4"/>
      <c r="M210" s="8" t="str">
        <f>IF($G210="","",IFERROR(INDEX('MAESTRO DE UNIDADES'!$H$2:$H$208,MATCH($G210,'MAESTRO DE UNIDADES'!$A$2:$A$208,0)),""))</f>
        <v/>
      </c>
      <c r="N210" s="25"/>
      <c r="O210" s="25"/>
      <c r="P210" s="26" t="str">
        <f t="shared" si="26"/>
        <v/>
      </c>
      <c r="Q210" s="27"/>
      <c r="R210" s="27"/>
      <c r="S210" s="28" t="str">
        <f>IF(OR($G210="",$Q210="",COUNTIF($G$2:G209,$G210)=0),"",$Q210-LOOKUP(2,1/($G$2:G209=$G210),$Q$2:Q209))</f>
        <v/>
      </c>
      <c r="T210" s="28" t="str">
        <f>IF(OR($G210="",$R210="",COUNTIF($G$2:G209,$G210)=0),"",$R210-LOOKUP(2,1/($G$2:G209=$G210),$R$2:R209))</f>
        <v/>
      </c>
      <c r="U210" s="11" t="str">
        <f t="shared" si="27"/>
        <v/>
      </c>
      <c r="V210" s="4"/>
      <c r="W210" s="4"/>
      <c r="X210" s="55"/>
      <c r="Y210" s="56" t="str">
        <f>IF($B210="","",IF((IF($G210="","Sin unidad | ","")&amp;IF($J210="","Sin responsable | ","")&amp;IF($K210="","Sin obra | ","")&amp;IF(AND($N210&lt;&gt;"",$G210&lt;&gt;"",$N210&gt;IFERROR(INDEX('MAESTRO DE UNIDADES'!$I$2:$I$208,MATCH($G210,'MAESTRO DE UNIDADES'!$A$2:$A$208,0)),0)),"Litros &gt; tanque | ","")&amp;IF(AND($W210&lt;&gt;"",COUNTIF($W$2:$W210,$W210)&gt;1),"Ticket duplicado | ","")&amp;IF(AND($G210&lt;&gt;"",IFERROR(INDEX('MAESTRO DE UNIDADES'!$L$2:$L$208,MATCH($G210,'MAESTRO DE UNIDADES'!$A$2:$A$208,0)),"")="Inactivo"),"Unidad inactiva | ","")&amp;IF(AND($AA210&lt;&gt;"",$N210=""),"Carga de batán sin litros | ","")&amp;IF(AND($AA210&lt;&gt;"",$AC210&lt;0),"Supera saldo batán | ",""))="","OK",LEFT((IF($G210="","Sin unidad | ","")&amp;IF($J210="","Sin responsable | ","")&amp;IF($K210="","Sin obra | ","")&amp;IF(AND($N210&lt;&gt;"",$G210&lt;&gt;"",$N210&gt;IFERROR(INDEX('MAESTRO DE UNIDADES'!$I$2:$I$208,MATCH($G210,'MAESTRO DE UNIDADES'!$A$2:$A$208,0)),0)),"Litros &gt; tanque | ","")&amp;IF(AND($W210&lt;&gt;"",COUNTIF($W$2:$W210,$W210)&gt;1),"Ticket duplicado | ","")&amp;IF(AND($G210&lt;&gt;"",IFERROR(INDEX('MAESTRO DE UNIDADES'!$L$2:$L$208,MATCH($G210,'MAESTRO DE UNIDADES'!$A$2:$A$208,0)),"")="Inactivo"),"Unidad inactiva | ","")&amp;IF(AND($AA210&lt;&gt;"",$N210=""),"Carga de batán sin litros | ","")&amp;IF(AND($AA210&lt;&gt;"",$AC210&lt;0),"Supera saldo batán | ","")),LEN((IF($G210="","Sin unidad | ","")&amp;IF($J210="","Sin responsable | ","")&amp;IF($K210="","Sin obra | ","")&amp;IF(AND($N210&lt;&gt;"",$G210&lt;&gt;"",$N210&gt;IFERROR(INDEX('MAESTRO DE UNIDADES'!$I$2:$I$208,MATCH($G210,'MAESTRO DE UNIDADES'!$A$2:$A$208,0)),0)),"Litros &gt; tanque | ","")&amp;IF(AND($W210&lt;&gt;"",COUNTIF($W$2:$W210,$W210)&gt;1),"Ticket duplicado | ","")&amp;IF(AND($G210&lt;&gt;"",IFERROR(INDEX('MAESTRO DE UNIDADES'!$L$2:$L$208,MATCH($G210,'MAESTRO DE UNIDADES'!$A$2:$A$208,0)),"")="Inactivo"),"Unidad inactiva | ","")&amp;IF(AND($AA210&lt;&gt;"",$N210=""),"Carga de batán sin litros | ","")&amp;IF(AND($AA210&lt;&gt;"",$AC210&lt;0),"Supera saldo batán | ","")))-3)))</f>
        <v/>
      </c>
      <c r="Z210" s="8" t="str">
        <f t="shared" si="28"/>
        <v/>
      </c>
      <c r="AA210" s="4"/>
      <c r="AB210" s="26" t="str">
        <f>IF($AA210="","",IFERROR(INDEX('CONTROL DE BATAN'!$J$2:$J$301,MATCH($AA210,'CONTROL DE BATAN'!$A$2:$A$301,0)),""))</f>
        <v/>
      </c>
      <c r="AC210" s="28" t="str">
        <f>IF($AA210="","",IFERROR(INDEX('CONTROL DE BATAN'!$I$2:$I$301,MATCH($AA210,'CONTROL DE BATAN'!$A$2:$A$301,0)),0)-SUMIFS($N$2:$N210,$AA$2:$AA210,$AA210))</f>
        <v/>
      </c>
    </row>
    <row r="211" spans="1:29" x14ac:dyDescent="0.25">
      <c r="A211" s="8" t="str">
        <f t="shared" si="22"/>
        <v/>
      </c>
      <c r="B211" s="9"/>
      <c r="C211" s="8" t="str">
        <f t="shared" si="23"/>
        <v/>
      </c>
      <c r="D211" s="10" t="str">
        <f t="shared" si="24"/>
        <v/>
      </c>
      <c r="E211" s="8" t="str">
        <f t="shared" si="25"/>
        <v/>
      </c>
      <c r="F211" s="8" t="str">
        <f>IF($G211="","",IFERROR(INDEX('MAESTRO DE UNIDADES'!$C$2:$C$208,MATCH($G211,'MAESTRO DE UNIDADES'!$A$2:$A$208,0)),""))</f>
        <v/>
      </c>
      <c r="G211" s="4"/>
      <c r="H211" s="8" t="str">
        <f>IF($G211="","",IFERROR(INDEX('MAESTRO DE UNIDADES'!$F$2:$F$208,MATCH($G211,'MAESTRO DE UNIDADES'!$A$2:$A$208,0)),""))</f>
        <v/>
      </c>
      <c r="I211" s="8" t="str">
        <f>IF($G211="","",IFERROR(INDEX('MAESTRO DE UNIDADES'!$B$2:$B$208,MATCH($G211,'MAESTRO DE UNIDADES'!$A$2:$A$208,0)),""))</f>
        <v/>
      </c>
      <c r="J211" s="4"/>
      <c r="K211" s="4"/>
      <c r="L211" s="4"/>
      <c r="M211" s="8" t="str">
        <f>IF($G211="","",IFERROR(INDEX('MAESTRO DE UNIDADES'!$H$2:$H$208,MATCH($G211,'MAESTRO DE UNIDADES'!$A$2:$A$208,0)),""))</f>
        <v/>
      </c>
      <c r="N211" s="25"/>
      <c r="O211" s="25"/>
      <c r="P211" s="26" t="str">
        <f t="shared" si="26"/>
        <v/>
      </c>
      <c r="Q211" s="27"/>
      <c r="R211" s="27"/>
      <c r="S211" s="28" t="str">
        <f>IF(OR($G211="",$Q211="",COUNTIF($G$2:G210,$G211)=0),"",$Q211-LOOKUP(2,1/($G$2:G210=$G211),$Q$2:Q210))</f>
        <v/>
      </c>
      <c r="T211" s="28" t="str">
        <f>IF(OR($G211="",$R211="",COUNTIF($G$2:G210,$G211)=0),"",$R211-LOOKUP(2,1/($G$2:G210=$G211),$R$2:R210))</f>
        <v/>
      </c>
      <c r="U211" s="11" t="str">
        <f t="shared" si="27"/>
        <v/>
      </c>
      <c r="V211" s="4"/>
      <c r="W211" s="4"/>
      <c r="X211" s="55"/>
      <c r="Y211" s="56" t="str">
        <f>IF($B211="","",IF((IF($G211="","Sin unidad | ","")&amp;IF($J211="","Sin responsable | ","")&amp;IF($K211="","Sin obra | ","")&amp;IF(AND($N211&lt;&gt;"",$G211&lt;&gt;"",$N211&gt;IFERROR(INDEX('MAESTRO DE UNIDADES'!$I$2:$I$208,MATCH($G211,'MAESTRO DE UNIDADES'!$A$2:$A$208,0)),0)),"Litros &gt; tanque | ","")&amp;IF(AND($W211&lt;&gt;"",COUNTIF($W$2:$W211,$W211)&gt;1),"Ticket duplicado | ","")&amp;IF(AND($G211&lt;&gt;"",IFERROR(INDEX('MAESTRO DE UNIDADES'!$L$2:$L$208,MATCH($G211,'MAESTRO DE UNIDADES'!$A$2:$A$208,0)),"")="Inactivo"),"Unidad inactiva | ","")&amp;IF(AND($AA211&lt;&gt;"",$N211=""),"Carga de batán sin litros | ","")&amp;IF(AND($AA211&lt;&gt;"",$AC211&lt;0),"Supera saldo batán | ",""))="","OK",LEFT((IF($G211="","Sin unidad | ","")&amp;IF($J211="","Sin responsable | ","")&amp;IF($K211="","Sin obra | ","")&amp;IF(AND($N211&lt;&gt;"",$G211&lt;&gt;"",$N211&gt;IFERROR(INDEX('MAESTRO DE UNIDADES'!$I$2:$I$208,MATCH($G211,'MAESTRO DE UNIDADES'!$A$2:$A$208,0)),0)),"Litros &gt; tanque | ","")&amp;IF(AND($W211&lt;&gt;"",COUNTIF($W$2:$W211,$W211)&gt;1),"Ticket duplicado | ","")&amp;IF(AND($G211&lt;&gt;"",IFERROR(INDEX('MAESTRO DE UNIDADES'!$L$2:$L$208,MATCH($G211,'MAESTRO DE UNIDADES'!$A$2:$A$208,0)),"")="Inactivo"),"Unidad inactiva | ","")&amp;IF(AND($AA211&lt;&gt;"",$N211=""),"Carga de batán sin litros | ","")&amp;IF(AND($AA211&lt;&gt;"",$AC211&lt;0),"Supera saldo batán | ","")),LEN((IF($G211="","Sin unidad | ","")&amp;IF($J211="","Sin responsable | ","")&amp;IF($K211="","Sin obra | ","")&amp;IF(AND($N211&lt;&gt;"",$G211&lt;&gt;"",$N211&gt;IFERROR(INDEX('MAESTRO DE UNIDADES'!$I$2:$I$208,MATCH($G211,'MAESTRO DE UNIDADES'!$A$2:$A$208,0)),0)),"Litros &gt; tanque | ","")&amp;IF(AND($W211&lt;&gt;"",COUNTIF($W$2:$W211,$W211)&gt;1),"Ticket duplicado | ","")&amp;IF(AND($G211&lt;&gt;"",IFERROR(INDEX('MAESTRO DE UNIDADES'!$L$2:$L$208,MATCH($G211,'MAESTRO DE UNIDADES'!$A$2:$A$208,0)),"")="Inactivo"),"Unidad inactiva | ","")&amp;IF(AND($AA211&lt;&gt;"",$N211=""),"Carga de batán sin litros | ","")&amp;IF(AND($AA211&lt;&gt;"",$AC211&lt;0),"Supera saldo batán | ","")))-3)))</f>
        <v/>
      </c>
      <c r="Z211" s="8" t="str">
        <f t="shared" si="28"/>
        <v/>
      </c>
      <c r="AA211" s="4"/>
      <c r="AB211" s="26" t="str">
        <f>IF($AA211="","",IFERROR(INDEX('CONTROL DE BATAN'!$J$2:$J$301,MATCH($AA211,'CONTROL DE BATAN'!$A$2:$A$301,0)),""))</f>
        <v/>
      </c>
      <c r="AC211" s="28" t="str">
        <f>IF($AA211="","",IFERROR(INDEX('CONTROL DE BATAN'!$I$2:$I$301,MATCH($AA211,'CONTROL DE BATAN'!$A$2:$A$301,0)),0)-SUMIFS($N$2:$N211,$AA$2:$AA211,$AA211))</f>
        <v/>
      </c>
    </row>
    <row r="212" spans="1:29" x14ac:dyDescent="0.25">
      <c r="A212" s="8" t="str">
        <f t="shared" si="22"/>
        <v/>
      </c>
      <c r="B212" s="9"/>
      <c r="C212" s="8" t="str">
        <f t="shared" si="23"/>
        <v/>
      </c>
      <c r="D212" s="10" t="str">
        <f t="shared" si="24"/>
        <v/>
      </c>
      <c r="E212" s="8" t="str">
        <f t="shared" si="25"/>
        <v/>
      </c>
      <c r="F212" s="8" t="str">
        <f>IF($G212="","",IFERROR(INDEX('MAESTRO DE UNIDADES'!$C$2:$C$208,MATCH($G212,'MAESTRO DE UNIDADES'!$A$2:$A$208,0)),""))</f>
        <v/>
      </c>
      <c r="G212" s="4"/>
      <c r="H212" s="8" t="str">
        <f>IF($G212="","",IFERROR(INDEX('MAESTRO DE UNIDADES'!$F$2:$F$208,MATCH($G212,'MAESTRO DE UNIDADES'!$A$2:$A$208,0)),""))</f>
        <v/>
      </c>
      <c r="I212" s="8" t="str">
        <f>IF($G212="","",IFERROR(INDEX('MAESTRO DE UNIDADES'!$B$2:$B$208,MATCH($G212,'MAESTRO DE UNIDADES'!$A$2:$A$208,0)),""))</f>
        <v/>
      </c>
      <c r="J212" s="4"/>
      <c r="K212" s="4"/>
      <c r="L212" s="4"/>
      <c r="M212" s="8" t="str">
        <f>IF($G212="","",IFERROR(INDEX('MAESTRO DE UNIDADES'!$H$2:$H$208,MATCH($G212,'MAESTRO DE UNIDADES'!$A$2:$A$208,0)),""))</f>
        <v/>
      </c>
      <c r="N212" s="25"/>
      <c r="O212" s="25"/>
      <c r="P212" s="26" t="str">
        <f t="shared" si="26"/>
        <v/>
      </c>
      <c r="Q212" s="27"/>
      <c r="R212" s="27"/>
      <c r="S212" s="28" t="str">
        <f>IF(OR($G212="",$Q212="",COUNTIF($G$2:G211,$G212)=0),"",$Q212-LOOKUP(2,1/($G$2:G211=$G212),$Q$2:Q211))</f>
        <v/>
      </c>
      <c r="T212" s="28" t="str">
        <f>IF(OR($G212="",$R212="",COUNTIF($G$2:G211,$G212)=0),"",$R212-LOOKUP(2,1/($G$2:G211=$G212),$R$2:R211))</f>
        <v/>
      </c>
      <c r="U212" s="11" t="str">
        <f t="shared" si="27"/>
        <v/>
      </c>
      <c r="V212" s="4"/>
      <c r="W212" s="4"/>
      <c r="X212" s="55"/>
      <c r="Y212" s="56" t="str">
        <f>IF($B212="","",IF((IF($G212="","Sin unidad | ","")&amp;IF($J212="","Sin responsable | ","")&amp;IF($K212="","Sin obra | ","")&amp;IF(AND($N212&lt;&gt;"",$G212&lt;&gt;"",$N212&gt;IFERROR(INDEX('MAESTRO DE UNIDADES'!$I$2:$I$208,MATCH($G212,'MAESTRO DE UNIDADES'!$A$2:$A$208,0)),0)),"Litros &gt; tanque | ","")&amp;IF(AND($W212&lt;&gt;"",COUNTIF($W$2:$W212,$W212)&gt;1),"Ticket duplicado | ","")&amp;IF(AND($G212&lt;&gt;"",IFERROR(INDEX('MAESTRO DE UNIDADES'!$L$2:$L$208,MATCH($G212,'MAESTRO DE UNIDADES'!$A$2:$A$208,0)),"")="Inactivo"),"Unidad inactiva | ","")&amp;IF(AND($AA212&lt;&gt;"",$N212=""),"Carga de batán sin litros | ","")&amp;IF(AND($AA212&lt;&gt;"",$AC212&lt;0),"Supera saldo batán | ",""))="","OK",LEFT((IF($G212="","Sin unidad | ","")&amp;IF($J212="","Sin responsable | ","")&amp;IF($K212="","Sin obra | ","")&amp;IF(AND($N212&lt;&gt;"",$G212&lt;&gt;"",$N212&gt;IFERROR(INDEX('MAESTRO DE UNIDADES'!$I$2:$I$208,MATCH($G212,'MAESTRO DE UNIDADES'!$A$2:$A$208,0)),0)),"Litros &gt; tanque | ","")&amp;IF(AND($W212&lt;&gt;"",COUNTIF($W$2:$W212,$W212)&gt;1),"Ticket duplicado | ","")&amp;IF(AND($G212&lt;&gt;"",IFERROR(INDEX('MAESTRO DE UNIDADES'!$L$2:$L$208,MATCH($G212,'MAESTRO DE UNIDADES'!$A$2:$A$208,0)),"")="Inactivo"),"Unidad inactiva | ","")&amp;IF(AND($AA212&lt;&gt;"",$N212=""),"Carga de batán sin litros | ","")&amp;IF(AND($AA212&lt;&gt;"",$AC212&lt;0),"Supera saldo batán | ","")),LEN((IF($G212="","Sin unidad | ","")&amp;IF($J212="","Sin responsable | ","")&amp;IF($K212="","Sin obra | ","")&amp;IF(AND($N212&lt;&gt;"",$G212&lt;&gt;"",$N212&gt;IFERROR(INDEX('MAESTRO DE UNIDADES'!$I$2:$I$208,MATCH($G212,'MAESTRO DE UNIDADES'!$A$2:$A$208,0)),0)),"Litros &gt; tanque | ","")&amp;IF(AND($W212&lt;&gt;"",COUNTIF($W$2:$W212,$W212)&gt;1),"Ticket duplicado | ","")&amp;IF(AND($G212&lt;&gt;"",IFERROR(INDEX('MAESTRO DE UNIDADES'!$L$2:$L$208,MATCH($G212,'MAESTRO DE UNIDADES'!$A$2:$A$208,0)),"")="Inactivo"),"Unidad inactiva | ","")&amp;IF(AND($AA212&lt;&gt;"",$N212=""),"Carga de batán sin litros | ","")&amp;IF(AND($AA212&lt;&gt;"",$AC212&lt;0),"Supera saldo batán | ","")))-3)))</f>
        <v/>
      </c>
      <c r="Z212" s="8" t="str">
        <f t="shared" si="28"/>
        <v/>
      </c>
      <c r="AA212" s="4"/>
      <c r="AB212" s="26" t="str">
        <f>IF($AA212="","",IFERROR(INDEX('CONTROL DE BATAN'!$J$2:$J$301,MATCH($AA212,'CONTROL DE BATAN'!$A$2:$A$301,0)),""))</f>
        <v/>
      </c>
      <c r="AC212" s="28" t="str">
        <f>IF($AA212="","",IFERROR(INDEX('CONTROL DE BATAN'!$I$2:$I$301,MATCH($AA212,'CONTROL DE BATAN'!$A$2:$A$301,0)),0)-SUMIFS($N$2:$N212,$AA$2:$AA212,$AA212))</f>
        <v/>
      </c>
    </row>
    <row r="213" spans="1:29" x14ac:dyDescent="0.25">
      <c r="A213" s="8" t="str">
        <f t="shared" si="22"/>
        <v/>
      </c>
      <c r="B213" s="9"/>
      <c r="C213" s="8" t="str">
        <f t="shared" si="23"/>
        <v/>
      </c>
      <c r="D213" s="10" t="str">
        <f t="shared" si="24"/>
        <v/>
      </c>
      <c r="E213" s="8" t="str">
        <f t="shared" si="25"/>
        <v/>
      </c>
      <c r="F213" s="8" t="str">
        <f>IF($G213="","",IFERROR(INDEX('MAESTRO DE UNIDADES'!$C$2:$C$208,MATCH($G213,'MAESTRO DE UNIDADES'!$A$2:$A$208,0)),""))</f>
        <v/>
      </c>
      <c r="G213" s="4"/>
      <c r="H213" s="8" t="str">
        <f>IF($G213="","",IFERROR(INDEX('MAESTRO DE UNIDADES'!$F$2:$F$208,MATCH($G213,'MAESTRO DE UNIDADES'!$A$2:$A$208,0)),""))</f>
        <v/>
      </c>
      <c r="I213" s="8" t="str">
        <f>IF($G213="","",IFERROR(INDEX('MAESTRO DE UNIDADES'!$B$2:$B$208,MATCH($G213,'MAESTRO DE UNIDADES'!$A$2:$A$208,0)),""))</f>
        <v/>
      </c>
      <c r="J213" s="4"/>
      <c r="K213" s="4"/>
      <c r="L213" s="4"/>
      <c r="M213" s="8" t="str">
        <f>IF($G213="","",IFERROR(INDEX('MAESTRO DE UNIDADES'!$H$2:$H$208,MATCH($G213,'MAESTRO DE UNIDADES'!$A$2:$A$208,0)),""))</f>
        <v/>
      </c>
      <c r="N213" s="25"/>
      <c r="O213" s="25"/>
      <c r="P213" s="26" t="str">
        <f t="shared" si="26"/>
        <v/>
      </c>
      <c r="Q213" s="27"/>
      <c r="R213" s="27"/>
      <c r="S213" s="28" t="str">
        <f>IF(OR($G213="",$Q213="",COUNTIF($G$2:G212,$G213)=0),"",$Q213-LOOKUP(2,1/($G$2:G212=$G213),$Q$2:Q212))</f>
        <v/>
      </c>
      <c r="T213" s="28" t="str">
        <f>IF(OR($G213="",$R213="",COUNTIF($G$2:G212,$G213)=0),"",$R213-LOOKUP(2,1/($G$2:G212=$G213),$R$2:R212))</f>
        <v/>
      </c>
      <c r="U213" s="11" t="str">
        <f t="shared" si="27"/>
        <v/>
      </c>
      <c r="V213" s="4"/>
      <c r="W213" s="4"/>
      <c r="X213" s="55"/>
      <c r="Y213" s="56" t="str">
        <f>IF($B213="","",IF((IF($G213="","Sin unidad | ","")&amp;IF($J213="","Sin responsable | ","")&amp;IF($K213="","Sin obra | ","")&amp;IF(AND($N213&lt;&gt;"",$G213&lt;&gt;"",$N213&gt;IFERROR(INDEX('MAESTRO DE UNIDADES'!$I$2:$I$208,MATCH($G213,'MAESTRO DE UNIDADES'!$A$2:$A$208,0)),0)),"Litros &gt; tanque | ","")&amp;IF(AND($W213&lt;&gt;"",COUNTIF($W$2:$W213,$W213)&gt;1),"Ticket duplicado | ","")&amp;IF(AND($G213&lt;&gt;"",IFERROR(INDEX('MAESTRO DE UNIDADES'!$L$2:$L$208,MATCH($G213,'MAESTRO DE UNIDADES'!$A$2:$A$208,0)),"")="Inactivo"),"Unidad inactiva | ","")&amp;IF(AND($AA213&lt;&gt;"",$N213=""),"Carga de batán sin litros | ","")&amp;IF(AND($AA213&lt;&gt;"",$AC213&lt;0),"Supera saldo batán | ",""))="","OK",LEFT((IF($G213="","Sin unidad | ","")&amp;IF($J213="","Sin responsable | ","")&amp;IF($K213="","Sin obra | ","")&amp;IF(AND($N213&lt;&gt;"",$G213&lt;&gt;"",$N213&gt;IFERROR(INDEX('MAESTRO DE UNIDADES'!$I$2:$I$208,MATCH($G213,'MAESTRO DE UNIDADES'!$A$2:$A$208,0)),0)),"Litros &gt; tanque | ","")&amp;IF(AND($W213&lt;&gt;"",COUNTIF($W$2:$W213,$W213)&gt;1),"Ticket duplicado | ","")&amp;IF(AND($G213&lt;&gt;"",IFERROR(INDEX('MAESTRO DE UNIDADES'!$L$2:$L$208,MATCH($G213,'MAESTRO DE UNIDADES'!$A$2:$A$208,0)),"")="Inactivo"),"Unidad inactiva | ","")&amp;IF(AND($AA213&lt;&gt;"",$N213=""),"Carga de batán sin litros | ","")&amp;IF(AND($AA213&lt;&gt;"",$AC213&lt;0),"Supera saldo batán | ","")),LEN((IF($G213="","Sin unidad | ","")&amp;IF($J213="","Sin responsable | ","")&amp;IF($K213="","Sin obra | ","")&amp;IF(AND($N213&lt;&gt;"",$G213&lt;&gt;"",$N213&gt;IFERROR(INDEX('MAESTRO DE UNIDADES'!$I$2:$I$208,MATCH($G213,'MAESTRO DE UNIDADES'!$A$2:$A$208,0)),0)),"Litros &gt; tanque | ","")&amp;IF(AND($W213&lt;&gt;"",COUNTIF($W$2:$W213,$W213)&gt;1),"Ticket duplicado | ","")&amp;IF(AND($G213&lt;&gt;"",IFERROR(INDEX('MAESTRO DE UNIDADES'!$L$2:$L$208,MATCH($G213,'MAESTRO DE UNIDADES'!$A$2:$A$208,0)),"")="Inactivo"),"Unidad inactiva | ","")&amp;IF(AND($AA213&lt;&gt;"",$N213=""),"Carga de batán sin litros | ","")&amp;IF(AND($AA213&lt;&gt;"",$AC213&lt;0),"Supera saldo batán | ","")))-3)))</f>
        <v/>
      </c>
      <c r="Z213" s="8" t="str">
        <f t="shared" si="28"/>
        <v/>
      </c>
      <c r="AA213" s="4"/>
      <c r="AB213" s="26" t="str">
        <f>IF($AA213="","",IFERROR(INDEX('CONTROL DE BATAN'!$J$2:$J$301,MATCH($AA213,'CONTROL DE BATAN'!$A$2:$A$301,0)),""))</f>
        <v/>
      </c>
      <c r="AC213" s="28" t="str">
        <f>IF($AA213="","",IFERROR(INDEX('CONTROL DE BATAN'!$I$2:$I$301,MATCH($AA213,'CONTROL DE BATAN'!$A$2:$A$301,0)),0)-SUMIFS($N$2:$N213,$AA$2:$AA213,$AA213))</f>
        <v/>
      </c>
    </row>
    <row r="214" spans="1:29" x14ac:dyDescent="0.25">
      <c r="A214" s="8" t="str">
        <f t="shared" si="22"/>
        <v/>
      </c>
      <c r="B214" s="9"/>
      <c r="C214" s="8" t="str">
        <f t="shared" si="23"/>
        <v/>
      </c>
      <c r="D214" s="10" t="str">
        <f t="shared" si="24"/>
        <v/>
      </c>
      <c r="E214" s="8" t="str">
        <f t="shared" si="25"/>
        <v/>
      </c>
      <c r="F214" s="8" t="str">
        <f>IF($G214="","",IFERROR(INDEX('MAESTRO DE UNIDADES'!$C$2:$C$208,MATCH($G214,'MAESTRO DE UNIDADES'!$A$2:$A$208,0)),""))</f>
        <v/>
      </c>
      <c r="G214" s="4"/>
      <c r="H214" s="8" t="str">
        <f>IF($G214="","",IFERROR(INDEX('MAESTRO DE UNIDADES'!$F$2:$F$208,MATCH($G214,'MAESTRO DE UNIDADES'!$A$2:$A$208,0)),""))</f>
        <v/>
      </c>
      <c r="I214" s="8" t="str">
        <f>IF($G214="","",IFERROR(INDEX('MAESTRO DE UNIDADES'!$B$2:$B$208,MATCH($G214,'MAESTRO DE UNIDADES'!$A$2:$A$208,0)),""))</f>
        <v/>
      </c>
      <c r="J214" s="4"/>
      <c r="K214" s="4"/>
      <c r="L214" s="4"/>
      <c r="M214" s="8" t="str">
        <f>IF($G214="","",IFERROR(INDEX('MAESTRO DE UNIDADES'!$H$2:$H$208,MATCH($G214,'MAESTRO DE UNIDADES'!$A$2:$A$208,0)),""))</f>
        <v/>
      </c>
      <c r="N214" s="25"/>
      <c r="O214" s="25"/>
      <c r="P214" s="26" t="str">
        <f t="shared" si="26"/>
        <v/>
      </c>
      <c r="Q214" s="27"/>
      <c r="R214" s="27"/>
      <c r="S214" s="28" t="str">
        <f>IF(OR($G214="",$Q214="",COUNTIF($G$2:G213,$G214)=0),"",$Q214-LOOKUP(2,1/($G$2:G213=$G214),$Q$2:Q213))</f>
        <v/>
      </c>
      <c r="T214" s="28" t="str">
        <f>IF(OR($G214="",$R214="",COUNTIF($G$2:G213,$G214)=0),"",$R214-LOOKUP(2,1/($G$2:G213=$G214),$R$2:R213))</f>
        <v/>
      </c>
      <c r="U214" s="11" t="str">
        <f t="shared" si="27"/>
        <v/>
      </c>
      <c r="V214" s="4"/>
      <c r="W214" s="4"/>
      <c r="X214" s="55"/>
      <c r="Y214" s="56" t="str">
        <f>IF($B214="","",IF((IF($G214="","Sin unidad | ","")&amp;IF($J214="","Sin responsable | ","")&amp;IF($K214="","Sin obra | ","")&amp;IF(AND($N214&lt;&gt;"",$G214&lt;&gt;"",$N214&gt;IFERROR(INDEX('MAESTRO DE UNIDADES'!$I$2:$I$208,MATCH($G214,'MAESTRO DE UNIDADES'!$A$2:$A$208,0)),0)),"Litros &gt; tanque | ","")&amp;IF(AND($W214&lt;&gt;"",COUNTIF($W$2:$W214,$W214)&gt;1),"Ticket duplicado | ","")&amp;IF(AND($G214&lt;&gt;"",IFERROR(INDEX('MAESTRO DE UNIDADES'!$L$2:$L$208,MATCH($G214,'MAESTRO DE UNIDADES'!$A$2:$A$208,0)),"")="Inactivo"),"Unidad inactiva | ","")&amp;IF(AND($AA214&lt;&gt;"",$N214=""),"Carga de batán sin litros | ","")&amp;IF(AND($AA214&lt;&gt;"",$AC214&lt;0),"Supera saldo batán | ",""))="","OK",LEFT((IF($G214="","Sin unidad | ","")&amp;IF($J214="","Sin responsable | ","")&amp;IF($K214="","Sin obra | ","")&amp;IF(AND($N214&lt;&gt;"",$G214&lt;&gt;"",$N214&gt;IFERROR(INDEX('MAESTRO DE UNIDADES'!$I$2:$I$208,MATCH($G214,'MAESTRO DE UNIDADES'!$A$2:$A$208,0)),0)),"Litros &gt; tanque | ","")&amp;IF(AND($W214&lt;&gt;"",COUNTIF($W$2:$W214,$W214)&gt;1),"Ticket duplicado | ","")&amp;IF(AND($G214&lt;&gt;"",IFERROR(INDEX('MAESTRO DE UNIDADES'!$L$2:$L$208,MATCH($G214,'MAESTRO DE UNIDADES'!$A$2:$A$208,0)),"")="Inactivo"),"Unidad inactiva | ","")&amp;IF(AND($AA214&lt;&gt;"",$N214=""),"Carga de batán sin litros | ","")&amp;IF(AND($AA214&lt;&gt;"",$AC214&lt;0),"Supera saldo batán | ","")),LEN((IF($G214="","Sin unidad | ","")&amp;IF($J214="","Sin responsable | ","")&amp;IF($K214="","Sin obra | ","")&amp;IF(AND($N214&lt;&gt;"",$G214&lt;&gt;"",$N214&gt;IFERROR(INDEX('MAESTRO DE UNIDADES'!$I$2:$I$208,MATCH($G214,'MAESTRO DE UNIDADES'!$A$2:$A$208,0)),0)),"Litros &gt; tanque | ","")&amp;IF(AND($W214&lt;&gt;"",COUNTIF($W$2:$W214,$W214)&gt;1),"Ticket duplicado | ","")&amp;IF(AND($G214&lt;&gt;"",IFERROR(INDEX('MAESTRO DE UNIDADES'!$L$2:$L$208,MATCH($G214,'MAESTRO DE UNIDADES'!$A$2:$A$208,0)),"")="Inactivo"),"Unidad inactiva | ","")&amp;IF(AND($AA214&lt;&gt;"",$N214=""),"Carga de batán sin litros | ","")&amp;IF(AND($AA214&lt;&gt;"",$AC214&lt;0),"Supera saldo batán | ","")))-3)))</f>
        <v/>
      </c>
      <c r="Z214" s="8" t="str">
        <f t="shared" si="28"/>
        <v/>
      </c>
      <c r="AA214" s="4"/>
      <c r="AB214" s="26" t="str">
        <f>IF($AA214="","",IFERROR(INDEX('CONTROL DE BATAN'!$J$2:$J$301,MATCH($AA214,'CONTROL DE BATAN'!$A$2:$A$301,0)),""))</f>
        <v/>
      </c>
      <c r="AC214" s="28" t="str">
        <f>IF($AA214="","",IFERROR(INDEX('CONTROL DE BATAN'!$I$2:$I$301,MATCH($AA214,'CONTROL DE BATAN'!$A$2:$A$301,0)),0)-SUMIFS($N$2:$N214,$AA$2:$AA214,$AA214))</f>
        <v/>
      </c>
    </row>
    <row r="215" spans="1:29" x14ac:dyDescent="0.25">
      <c r="A215" s="8" t="str">
        <f t="shared" si="22"/>
        <v/>
      </c>
      <c r="B215" s="9"/>
      <c r="C215" s="8" t="str">
        <f t="shared" si="23"/>
        <v/>
      </c>
      <c r="D215" s="10" t="str">
        <f t="shared" si="24"/>
        <v/>
      </c>
      <c r="E215" s="8" t="str">
        <f t="shared" si="25"/>
        <v/>
      </c>
      <c r="F215" s="8" t="str">
        <f>IF($G215="","",IFERROR(INDEX('MAESTRO DE UNIDADES'!$C$2:$C$208,MATCH($G215,'MAESTRO DE UNIDADES'!$A$2:$A$208,0)),""))</f>
        <v/>
      </c>
      <c r="G215" s="4"/>
      <c r="H215" s="8" t="str">
        <f>IF($G215="","",IFERROR(INDEX('MAESTRO DE UNIDADES'!$F$2:$F$208,MATCH($G215,'MAESTRO DE UNIDADES'!$A$2:$A$208,0)),""))</f>
        <v/>
      </c>
      <c r="I215" s="8" t="str">
        <f>IF($G215="","",IFERROR(INDEX('MAESTRO DE UNIDADES'!$B$2:$B$208,MATCH($G215,'MAESTRO DE UNIDADES'!$A$2:$A$208,0)),""))</f>
        <v/>
      </c>
      <c r="J215" s="4"/>
      <c r="K215" s="4"/>
      <c r="L215" s="4"/>
      <c r="M215" s="8" t="str">
        <f>IF($G215="","",IFERROR(INDEX('MAESTRO DE UNIDADES'!$H$2:$H$208,MATCH($G215,'MAESTRO DE UNIDADES'!$A$2:$A$208,0)),""))</f>
        <v/>
      </c>
      <c r="N215" s="25"/>
      <c r="O215" s="25"/>
      <c r="P215" s="26" t="str">
        <f t="shared" si="26"/>
        <v/>
      </c>
      <c r="Q215" s="27"/>
      <c r="R215" s="27"/>
      <c r="S215" s="28" t="str">
        <f>IF(OR($G215="",$Q215="",COUNTIF($G$2:G214,$G215)=0),"",$Q215-LOOKUP(2,1/($G$2:G214=$G215),$Q$2:Q214))</f>
        <v/>
      </c>
      <c r="T215" s="28" t="str">
        <f>IF(OR($G215="",$R215="",COUNTIF($G$2:G214,$G215)=0),"",$R215-LOOKUP(2,1/($G$2:G214=$G215),$R$2:R214))</f>
        <v/>
      </c>
      <c r="U215" s="11" t="str">
        <f t="shared" si="27"/>
        <v/>
      </c>
      <c r="V215" s="4"/>
      <c r="W215" s="4"/>
      <c r="X215" s="55"/>
      <c r="Y215" s="56" t="str">
        <f>IF($B215="","",IF((IF($G215="","Sin unidad | ","")&amp;IF($J215="","Sin responsable | ","")&amp;IF($K215="","Sin obra | ","")&amp;IF(AND($N215&lt;&gt;"",$G215&lt;&gt;"",$N215&gt;IFERROR(INDEX('MAESTRO DE UNIDADES'!$I$2:$I$208,MATCH($G215,'MAESTRO DE UNIDADES'!$A$2:$A$208,0)),0)),"Litros &gt; tanque | ","")&amp;IF(AND($W215&lt;&gt;"",COUNTIF($W$2:$W215,$W215)&gt;1),"Ticket duplicado | ","")&amp;IF(AND($G215&lt;&gt;"",IFERROR(INDEX('MAESTRO DE UNIDADES'!$L$2:$L$208,MATCH($G215,'MAESTRO DE UNIDADES'!$A$2:$A$208,0)),"")="Inactivo"),"Unidad inactiva | ","")&amp;IF(AND($AA215&lt;&gt;"",$N215=""),"Carga de batán sin litros | ","")&amp;IF(AND($AA215&lt;&gt;"",$AC215&lt;0),"Supera saldo batán | ",""))="","OK",LEFT((IF($G215="","Sin unidad | ","")&amp;IF($J215="","Sin responsable | ","")&amp;IF($K215="","Sin obra | ","")&amp;IF(AND($N215&lt;&gt;"",$G215&lt;&gt;"",$N215&gt;IFERROR(INDEX('MAESTRO DE UNIDADES'!$I$2:$I$208,MATCH($G215,'MAESTRO DE UNIDADES'!$A$2:$A$208,0)),0)),"Litros &gt; tanque | ","")&amp;IF(AND($W215&lt;&gt;"",COUNTIF($W$2:$W215,$W215)&gt;1),"Ticket duplicado | ","")&amp;IF(AND($G215&lt;&gt;"",IFERROR(INDEX('MAESTRO DE UNIDADES'!$L$2:$L$208,MATCH($G215,'MAESTRO DE UNIDADES'!$A$2:$A$208,0)),"")="Inactivo"),"Unidad inactiva | ","")&amp;IF(AND($AA215&lt;&gt;"",$N215=""),"Carga de batán sin litros | ","")&amp;IF(AND($AA215&lt;&gt;"",$AC215&lt;0),"Supera saldo batán | ","")),LEN((IF($G215="","Sin unidad | ","")&amp;IF($J215="","Sin responsable | ","")&amp;IF($K215="","Sin obra | ","")&amp;IF(AND($N215&lt;&gt;"",$G215&lt;&gt;"",$N215&gt;IFERROR(INDEX('MAESTRO DE UNIDADES'!$I$2:$I$208,MATCH($G215,'MAESTRO DE UNIDADES'!$A$2:$A$208,0)),0)),"Litros &gt; tanque | ","")&amp;IF(AND($W215&lt;&gt;"",COUNTIF($W$2:$W215,$W215)&gt;1),"Ticket duplicado | ","")&amp;IF(AND($G215&lt;&gt;"",IFERROR(INDEX('MAESTRO DE UNIDADES'!$L$2:$L$208,MATCH($G215,'MAESTRO DE UNIDADES'!$A$2:$A$208,0)),"")="Inactivo"),"Unidad inactiva | ","")&amp;IF(AND($AA215&lt;&gt;"",$N215=""),"Carga de batán sin litros | ","")&amp;IF(AND($AA215&lt;&gt;"",$AC215&lt;0),"Supera saldo batán | ","")))-3)))</f>
        <v/>
      </c>
      <c r="Z215" s="8" t="str">
        <f t="shared" si="28"/>
        <v/>
      </c>
      <c r="AA215" s="4"/>
      <c r="AB215" s="26" t="str">
        <f>IF($AA215="","",IFERROR(INDEX('CONTROL DE BATAN'!$J$2:$J$301,MATCH($AA215,'CONTROL DE BATAN'!$A$2:$A$301,0)),""))</f>
        <v/>
      </c>
      <c r="AC215" s="28" t="str">
        <f>IF($AA215="","",IFERROR(INDEX('CONTROL DE BATAN'!$I$2:$I$301,MATCH($AA215,'CONTROL DE BATAN'!$A$2:$A$301,0)),0)-SUMIFS($N$2:$N215,$AA$2:$AA215,$AA215))</f>
        <v/>
      </c>
    </row>
    <row r="216" spans="1:29" x14ac:dyDescent="0.25">
      <c r="A216" s="8" t="str">
        <f t="shared" si="22"/>
        <v/>
      </c>
      <c r="B216" s="9"/>
      <c r="C216" s="8" t="str">
        <f t="shared" si="23"/>
        <v/>
      </c>
      <c r="D216" s="10" t="str">
        <f t="shared" si="24"/>
        <v/>
      </c>
      <c r="E216" s="8" t="str">
        <f t="shared" si="25"/>
        <v/>
      </c>
      <c r="F216" s="8" t="str">
        <f>IF($G216="","",IFERROR(INDEX('MAESTRO DE UNIDADES'!$C$2:$C$208,MATCH($G216,'MAESTRO DE UNIDADES'!$A$2:$A$208,0)),""))</f>
        <v/>
      </c>
      <c r="G216" s="4"/>
      <c r="H216" s="8" t="str">
        <f>IF($G216="","",IFERROR(INDEX('MAESTRO DE UNIDADES'!$F$2:$F$208,MATCH($G216,'MAESTRO DE UNIDADES'!$A$2:$A$208,0)),""))</f>
        <v/>
      </c>
      <c r="I216" s="8" t="str">
        <f>IF($G216="","",IFERROR(INDEX('MAESTRO DE UNIDADES'!$B$2:$B$208,MATCH($G216,'MAESTRO DE UNIDADES'!$A$2:$A$208,0)),""))</f>
        <v/>
      </c>
      <c r="J216" s="4"/>
      <c r="K216" s="4"/>
      <c r="L216" s="4"/>
      <c r="M216" s="8" t="str">
        <f>IF($G216="","",IFERROR(INDEX('MAESTRO DE UNIDADES'!$H$2:$H$208,MATCH($G216,'MAESTRO DE UNIDADES'!$A$2:$A$208,0)),""))</f>
        <v/>
      </c>
      <c r="N216" s="25"/>
      <c r="O216" s="25"/>
      <c r="P216" s="26" t="str">
        <f t="shared" si="26"/>
        <v/>
      </c>
      <c r="Q216" s="27"/>
      <c r="R216" s="27"/>
      <c r="S216" s="28" t="str">
        <f>IF(OR($G216="",$Q216="",COUNTIF($G$2:G215,$G216)=0),"",$Q216-LOOKUP(2,1/($G$2:G215=$G216),$Q$2:Q215))</f>
        <v/>
      </c>
      <c r="T216" s="28" t="str">
        <f>IF(OR($G216="",$R216="",COUNTIF($G$2:G215,$G216)=0),"",$R216-LOOKUP(2,1/($G$2:G215=$G216),$R$2:R215))</f>
        <v/>
      </c>
      <c r="U216" s="11" t="str">
        <f t="shared" si="27"/>
        <v/>
      </c>
      <c r="V216" s="4"/>
      <c r="W216" s="4"/>
      <c r="X216" s="55"/>
      <c r="Y216" s="56" t="str">
        <f>IF($B216="","",IF((IF($G216="","Sin unidad | ","")&amp;IF($J216="","Sin responsable | ","")&amp;IF($K216="","Sin obra | ","")&amp;IF(AND($N216&lt;&gt;"",$G216&lt;&gt;"",$N216&gt;IFERROR(INDEX('MAESTRO DE UNIDADES'!$I$2:$I$208,MATCH($G216,'MAESTRO DE UNIDADES'!$A$2:$A$208,0)),0)),"Litros &gt; tanque | ","")&amp;IF(AND($W216&lt;&gt;"",COUNTIF($W$2:$W216,$W216)&gt;1),"Ticket duplicado | ","")&amp;IF(AND($G216&lt;&gt;"",IFERROR(INDEX('MAESTRO DE UNIDADES'!$L$2:$L$208,MATCH($G216,'MAESTRO DE UNIDADES'!$A$2:$A$208,0)),"")="Inactivo"),"Unidad inactiva | ","")&amp;IF(AND($AA216&lt;&gt;"",$N216=""),"Carga de batán sin litros | ","")&amp;IF(AND($AA216&lt;&gt;"",$AC216&lt;0),"Supera saldo batán | ",""))="","OK",LEFT((IF($G216="","Sin unidad | ","")&amp;IF($J216="","Sin responsable | ","")&amp;IF($K216="","Sin obra | ","")&amp;IF(AND($N216&lt;&gt;"",$G216&lt;&gt;"",$N216&gt;IFERROR(INDEX('MAESTRO DE UNIDADES'!$I$2:$I$208,MATCH($G216,'MAESTRO DE UNIDADES'!$A$2:$A$208,0)),0)),"Litros &gt; tanque | ","")&amp;IF(AND($W216&lt;&gt;"",COUNTIF($W$2:$W216,$W216)&gt;1),"Ticket duplicado | ","")&amp;IF(AND($G216&lt;&gt;"",IFERROR(INDEX('MAESTRO DE UNIDADES'!$L$2:$L$208,MATCH($G216,'MAESTRO DE UNIDADES'!$A$2:$A$208,0)),"")="Inactivo"),"Unidad inactiva | ","")&amp;IF(AND($AA216&lt;&gt;"",$N216=""),"Carga de batán sin litros | ","")&amp;IF(AND($AA216&lt;&gt;"",$AC216&lt;0),"Supera saldo batán | ","")),LEN((IF($G216="","Sin unidad | ","")&amp;IF($J216="","Sin responsable | ","")&amp;IF($K216="","Sin obra | ","")&amp;IF(AND($N216&lt;&gt;"",$G216&lt;&gt;"",$N216&gt;IFERROR(INDEX('MAESTRO DE UNIDADES'!$I$2:$I$208,MATCH($G216,'MAESTRO DE UNIDADES'!$A$2:$A$208,0)),0)),"Litros &gt; tanque | ","")&amp;IF(AND($W216&lt;&gt;"",COUNTIF($W$2:$W216,$W216)&gt;1),"Ticket duplicado | ","")&amp;IF(AND($G216&lt;&gt;"",IFERROR(INDEX('MAESTRO DE UNIDADES'!$L$2:$L$208,MATCH($G216,'MAESTRO DE UNIDADES'!$A$2:$A$208,0)),"")="Inactivo"),"Unidad inactiva | ","")&amp;IF(AND($AA216&lt;&gt;"",$N216=""),"Carga de batán sin litros | ","")&amp;IF(AND($AA216&lt;&gt;"",$AC216&lt;0),"Supera saldo batán | ","")))-3)))</f>
        <v/>
      </c>
      <c r="Z216" s="8" t="str">
        <f t="shared" si="28"/>
        <v/>
      </c>
      <c r="AA216" s="4"/>
      <c r="AB216" s="26" t="str">
        <f>IF($AA216="","",IFERROR(INDEX('CONTROL DE BATAN'!$J$2:$J$301,MATCH($AA216,'CONTROL DE BATAN'!$A$2:$A$301,0)),""))</f>
        <v/>
      </c>
      <c r="AC216" s="28" t="str">
        <f>IF($AA216="","",IFERROR(INDEX('CONTROL DE BATAN'!$I$2:$I$301,MATCH($AA216,'CONTROL DE BATAN'!$A$2:$A$301,0)),0)-SUMIFS($N$2:$N216,$AA$2:$AA216,$AA216))</f>
        <v/>
      </c>
    </row>
    <row r="217" spans="1:29" x14ac:dyDescent="0.25">
      <c r="A217" s="8" t="str">
        <f t="shared" si="22"/>
        <v/>
      </c>
      <c r="B217" s="9"/>
      <c r="C217" s="8" t="str">
        <f t="shared" si="23"/>
        <v/>
      </c>
      <c r="D217" s="10" t="str">
        <f t="shared" si="24"/>
        <v/>
      </c>
      <c r="E217" s="8" t="str">
        <f t="shared" si="25"/>
        <v/>
      </c>
      <c r="F217" s="8" t="str">
        <f>IF($G217="","",IFERROR(INDEX('MAESTRO DE UNIDADES'!$C$2:$C$208,MATCH($G217,'MAESTRO DE UNIDADES'!$A$2:$A$208,0)),""))</f>
        <v/>
      </c>
      <c r="G217" s="4"/>
      <c r="H217" s="8" t="str">
        <f>IF($G217="","",IFERROR(INDEX('MAESTRO DE UNIDADES'!$F$2:$F$208,MATCH($G217,'MAESTRO DE UNIDADES'!$A$2:$A$208,0)),""))</f>
        <v/>
      </c>
      <c r="I217" s="8" t="str">
        <f>IF($G217="","",IFERROR(INDEX('MAESTRO DE UNIDADES'!$B$2:$B$208,MATCH($G217,'MAESTRO DE UNIDADES'!$A$2:$A$208,0)),""))</f>
        <v/>
      </c>
      <c r="J217" s="4"/>
      <c r="K217" s="4"/>
      <c r="L217" s="4"/>
      <c r="M217" s="8" t="str">
        <f>IF($G217="","",IFERROR(INDEX('MAESTRO DE UNIDADES'!$H$2:$H$208,MATCH($G217,'MAESTRO DE UNIDADES'!$A$2:$A$208,0)),""))</f>
        <v/>
      </c>
      <c r="N217" s="25"/>
      <c r="O217" s="25"/>
      <c r="P217" s="26" t="str">
        <f t="shared" si="26"/>
        <v/>
      </c>
      <c r="Q217" s="27"/>
      <c r="R217" s="27"/>
      <c r="S217" s="28" t="str">
        <f>IF(OR($G217="",$Q217="",COUNTIF($G$2:G216,$G217)=0),"",$Q217-LOOKUP(2,1/($G$2:G216=$G217),$Q$2:Q216))</f>
        <v/>
      </c>
      <c r="T217" s="28" t="str">
        <f>IF(OR($G217="",$R217="",COUNTIF($G$2:G216,$G217)=0),"",$R217-LOOKUP(2,1/($G$2:G216=$G217),$R$2:R216))</f>
        <v/>
      </c>
      <c r="U217" s="11" t="str">
        <f t="shared" si="27"/>
        <v/>
      </c>
      <c r="V217" s="4"/>
      <c r="W217" s="4"/>
      <c r="X217" s="55"/>
      <c r="Y217" s="56" t="str">
        <f>IF($B217="","",IF((IF($G217="","Sin unidad | ","")&amp;IF($J217="","Sin responsable | ","")&amp;IF($K217="","Sin obra | ","")&amp;IF(AND($N217&lt;&gt;"",$G217&lt;&gt;"",$N217&gt;IFERROR(INDEX('MAESTRO DE UNIDADES'!$I$2:$I$208,MATCH($G217,'MAESTRO DE UNIDADES'!$A$2:$A$208,0)),0)),"Litros &gt; tanque | ","")&amp;IF(AND($W217&lt;&gt;"",COUNTIF($W$2:$W217,$W217)&gt;1),"Ticket duplicado | ","")&amp;IF(AND($G217&lt;&gt;"",IFERROR(INDEX('MAESTRO DE UNIDADES'!$L$2:$L$208,MATCH($G217,'MAESTRO DE UNIDADES'!$A$2:$A$208,0)),"")="Inactivo"),"Unidad inactiva | ","")&amp;IF(AND($AA217&lt;&gt;"",$N217=""),"Carga de batán sin litros | ","")&amp;IF(AND($AA217&lt;&gt;"",$AC217&lt;0),"Supera saldo batán | ",""))="","OK",LEFT((IF($G217="","Sin unidad | ","")&amp;IF($J217="","Sin responsable | ","")&amp;IF($K217="","Sin obra | ","")&amp;IF(AND($N217&lt;&gt;"",$G217&lt;&gt;"",$N217&gt;IFERROR(INDEX('MAESTRO DE UNIDADES'!$I$2:$I$208,MATCH($G217,'MAESTRO DE UNIDADES'!$A$2:$A$208,0)),0)),"Litros &gt; tanque | ","")&amp;IF(AND($W217&lt;&gt;"",COUNTIF($W$2:$W217,$W217)&gt;1),"Ticket duplicado | ","")&amp;IF(AND($G217&lt;&gt;"",IFERROR(INDEX('MAESTRO DE UNIDADES'!$L$2:$L$208,MATCH($G217,'MAESTRO DE UNIDADES'!$A$2:$A$208,0)),"")="Inactivo"),"Unidad inactiva | ","")&amp;IF(AND($AA217&lt;&gt;"",$N217=""),"Carga de batán sin litros | ","")&amp;IF(AND($AA217&lt;&gt;"",$AC217&lt;0),"Supera saldo batán | ","")),LEN((IF($G217="","Sin unidad | ","")&amp;IF($J217="","Sin responsable | ","")&amp;IF($K217="","Sin obra | ","")&amp;IF(AND($N217&lt;&gt;"",$G217&lt;&gt;"",$N217&gt;IFERROR(INDEX('MAESTRO DE UNIDADES'!$I$2:$I$208,MATCH($G217,'MAESTRO DE UNIDADES'!$A$2:$A$208,0)),0)),"Litros &gt; tanque | ","")&amp;IF(AND($W217&lt;&gt;"",COUNTIF($W$2:$W217,$W217)&gt;1),"Ticket duplicado | ","")&amp;IF(AND($G217&lt;&gt;"",IFERROR(INDEX('MAESTRO DE UNIDADES'!$L$2:$L$208,MATCH($G217,'MAESTRO DE UNIDADES'!$A$2:$A$208,0)),"")="Inactivo"),"Unidad inactiva | ","")&amp;IF(AND($AA217&lt;&gt;"",$N217=""),"Carga de batán sin litros | ","")&amp;IF(AND($AA217&lt;&gt;"",$AC217&lt;0),"Supera saldo batán | ","")))-3)))</f>
        <v/>
      </c>
      <c r="Z217" s="8" t="str">
        <f t="shared" si="28"/>
        <v/>
      </c>
      <c r="AA217" s="4"/>
      <c r="AB217" s="26" t="str">
        <f>IF($AA217="","",IFERROR(INDEX('CONTROL DE BATAN'!$J$2:$J$301,MATCH($AA217,'CONTROL DE BATAN'!$A$2:$A$301,0)),""))</f>
        <v/>
      </c>
      <c r="AC217" s="28" t="str">
        <f>IF($AA217="","",IFERROR(INDEX('CONTROL DE BATAN'!$I$2:$I$301,MATCH($AA217,'CONTROL DE BATAN'!$A$2:$A$301,0)),0)-SUMIFS($N$2:$N217,$AA$2:$AA217,$AA217))</f>
        <v/>
      </c>
    </row>
    <row r="218" spans="1:29" x14ac:dyDescent="0.25">
      <c r="A218" s="8" t="str">
        <f t="shared" si="22"/>
        <v/>
      </c>
      <c r="B218" s="9"/>
      <c r="C218" s="8" t="str">
        <f t="shared" si="23"/>
        <v/>
      </c>
      <c r="D218" s="10" t="str">
        <f t="shared" si="24"/>
        <v/>
      </c>
      <c r="E218" s="8" t="str">
        <f t="shared" si="25"/>
        <v/>
      </c>
      <c r="F218" s="8" t="str">
        <f>IF($G218="","",IFERROR(INDEX('MAESTRO DE UNIDADES'!$C$2:$C$208,MATCH($G218,'MAESTRO DE UNIDADES'!$A$2:$A$208,0)),""))</f>
        <v/>
      </c>
      <c r="G218" s="4"/>
      <c r="H218" s="8" t="str">
        <f>IF($G218="","",IFERROR(INDEX('MAESTRO DE UNIDADES'!$F$2:$F$208,MATCH($G218,'MAESTRO DE UNIDADES'!$A$2:$A$208,0)),""))</f>
        <v/>
      </c>
      <c r="I218" s="8" t="str">
        <f>IF($G218="","",IFERROR(INDEX('MAESTRO DE UNIDADES'!$B$2:$B$208,MATCH($G218,'MAESTRO DE UNIDADES'!$A$2:$A$208,0)),""))</f>
        <v/>
      </c>
      <c r="J218" s="4"/>
      <c r="K218" s="4"/>
      <c r="L218" s="4"/>
      <c r="M218" s="8" t="str">
        <f>IF($G218="","",IFERROR(INDEX('MAESTRO DE UNIDADES'!$H$2:$H$208,MATCH($G218,'MAESTRO DE UNIDADES'!$A$2:$A$208,0)),""))</f>
        <v/>
      </c>
      <c r="N218" s="25"/>
      <c r="O218" s="25"/>
      <c r="P218" s="26" t="str">
        <f t="shared" si="26"/>
        <v/>
      </c>
      <c r="Q218" s="27"/>
      <c r="R218" s="27"/>
      <c r="S218" s="28" t="str">
        <f>IF(OR($G218="",$Q218="",COUNTIF($G$2:G217,$G218)=0),"",$Q218-LOOKUP(2,1/($G$2:G217=$G218),$Q$2:Q217))</f>
        <v/>
      </c>
      <c r="T218" s="28" t="str">
        <f>IF(OR($G218="",$R218="",COUNTIF($G$2:G217,$G218)=0),"",$R218-LOOKUP(2,1/($G$2:G217=$G218),$R$2:R217))</f>
        <v/>
      </c>
      <c r="U218" s="11" t="str">
        <f t="shared" si="27"/>
        <v/>
      </c>
      <c r="V218" s="4"/>
      <c r="W218" s="4"/>
      <c r="X218" s="55"/>
      <c r="Y218" s="56" t="str">
        <f>IF($B218="","",IF((IF($G218="","Sin unidad | ","")&amp;IF($J218="","Sin responsable | ","")&amp;IF($K218="","Sin obra | ","")&amp;IF(AND($N218&lt;&gt;"",$G218&lt;&gt;"",$N218&gt;IFERROR(INDEX('MAESTRO DE UNIDADES'!$I$2:$I$208,MATCH($G218,'MAESTRO DE UNIDADES'!$A$2:$A$208,0)),0)),"Litros &gt; tanque | ","")&amp;IF(AND($W218&lt;&gt;"",COUNTIF($W$2:$W218,$W218)&gt;1),"Ticket duplicado | ","")&amp;IF(AND($G218&lt;&gt;"",IFERROR(INDEX('MAESTRO DE UNIDADES'!$L$2:$L$208,MATCH($G218,'MAESTRO DE UNIDADES'!$A$2:$A$208,0)),"")="Inactivo"),"Unidad inactiva | ","")&amp;IF(AND($AA218&lt;&gt;"",$N218=""),"Carga de batán sin litros | ","")&amp;IF(AND($AA218&lt;&gt;"",$AC218&lt;0),"Supera saldo batán | ",""))="","OK",LEFT((IF($G218="","Sin unidad | ","")&amp;IF($J218="","Sin responsable | ","")&amp;IF($K218="","Sin obra | ","")&amp;IF(AND($N218&lt;&gt;"",$G218&lt;&gt;"",$N218&gt;IFERROR(INDEX('MAESTRO DE UNIDADES'!$I$2:$I$208,MATCH($G218,'MAESTRO DE UNIDADES'!$A$2:$A$208,0)),0)),"Litros &gt; tanque | ","")&amp;IF(AND($W218&lt;&gt;"",COUNTIF($W$2:$W218,$W218)&gt;1),"Ticket duplicado | ","")&amp;IF(AND($G218&lt;&gt;"",IFERROR(INDEX('MAESTRO DE UNIDADES'!$L$2:$L$208,MATCH($G218,'MAESTRO DE UNIDADES'!$A$2:$A$208,0)),"")="Inactivo"),"Unidad inactiva | ","")&amp;IF(AND($AA218&lt;&gt;"",$N218=""),"Carga de batán sin litros | ","")&amp;IF(AND($AA218&lt;&gt;"",$AC218&lt;0),"Supera saldo batán | ","")),LEN((IF($G218="","Sin unidad | ","")&amp;IF($J218="","Sin responsable | ","")&amp;IF($K218="","Sin obra | ","")&amp;IF(AND($N218&lt;&gt;"",$G218&lt;&gt;"",$N218&gt;IFERROR(INDEX('MAESTRO DE UNIDADES'!$I$2:$I$208,MATCH($G218,'MAESTRO DE UNIDADES'!$A$2:$A$208,0)),0)),"Litros &gt; tanque | ","")&amp;IF(AND($W218&lt;&gt;"",COUNTIF($W$2:$W218,$W218)&gt;1),"Ticket duplicado | ","")&amp;IF(AND($G218&lt;&gt;"",IFERROR(INDEX('MAESTRO DE UNIDADES'!$L$2:$L$208,MATCH($G218,'MAESTRO DE UNIDADES'!$A$2:$A$208,0)),"")="Inactivo"),"Unidad inactiva | ","")&amp;IF(AND($AA218&lt;&gt;"",$N218=""),"Carga de batán sin litros | ","")&amp;IF(AND($AA218&lt;&gt;"",$AC218&lt;0),"Supera saldo batán | ","")))-3)))</f>
        <v/>
      </c>
      <c r="Z218" s="8" t="str">
        <f t="shared" si="28"/>
        <v/>
      </c>
      <c r="AA218" s="4"/>
      <c r="AB218" s="26" t="str">
        <f>IF($AA218="","",IFERROR(INDEX('CONTROL DE BATAN'!$J$2:$J$301,MATCH($AA218,'CONTROL DE BATAN'!$A$2:$A$301,0)),""))</f>
        <v/>
      </c>
      <c r="AC218" s="28" t="str">
        <f>IF($AA218="","",IFERROR(INDEX('CONTROL DE BATAN'!$I$2:$I$301,MATCH($AA218,'CONTROL DE BATAN'!$A$2:$A$301,0)),0)-SUMIFS($N$2:$N218,$AA$2:$AA218,$AA218))</f>
        <v/>
      </c>
    </row>
    <row r="219" spans="1:29" x14ac:dyDescent="0.25">
      <c r="A219" s="8" t="str">
        <f t="shared" si="22"/>
        <v/>
      </c>
      <c r="B219" s="9"/>
      <c r="C219" s="8" t="str">
        <f t="shared" si="23"/>
        <v/>
      </c>
      <c r="D219" s="10" t="str">
        <f t="shared" si="24"/>
        <v/>
      </c>
      <c r="E219" s="8" t="str">
        <f t="shared" si="25"/>
        <v/>
      </c>
      <c r="F219" s="8" t="str">
        <f>IF($G219="","",IFERROR(INDEX('MAESTRO DE UNIDADES'!$C$2:$C$208,MATCH($G219,'MAESTRO DE UNIDADES'!$A$2:$A$208,0)),""))</f>
        <v/>
      </c>
      <c r="G219" s="4"/>
      <c r="H219" s="8" t="str">
        <f>IF($G219="","",IFERROR(INDEX('MAESTRO DE UNIDADES'!$F$2:$F$208,MATCH($G219,'MAESTRO DE UNIDADES'!$A$2:$A$208,0)),""))</f>
        <v/>
      </c>
      <c r="I219" s="8" t="str">
        <f>IF($G219="","",IFERROR(INDEX('MAESTRO DE UNIDADES'!$B$2:$B$208,MATCH($G219,'MAESTRO DE UNIDADES'!$A$2:$A$208,0)),""))</f>
        <v/>
      </c>
      <c r="J219" s="4"/>
      <c r="K219" s="4"/>
      <c r="L219" s="4"/>
      <c r="M219" s="8" t="str">
        <f>IF($G219="","",IFERROR(INDEX('MAESTRO DE UNIDADES'!$H$2:$H$208,MATCH($G219,'MAESTRO DE UNIDADES'!$A$2:$A$208,0)),""))</f>
        <v/>
      </c>
      <c r="N219" s="25"/>
      <c r="O219" s="25"/>
      <c r="P219" s="26" t="str">
        <f t="shared" si="26"/>
        <v/>
      </c>
      <c r="Q219" s="27"/>
      <c r="R219" s="27"/>
      <c r="S219" s="28" t="str">
        <f>IF(OR($G219="",$Q219="",COUNTIF($G$2:G218,$G219)=0),"",$Q219-LOOKUP(2,1/($G$2:G218=$G219),$Q$2:Q218))</f>
        <v/>
      </c>
      <c r="T219" s="28" t="str">
        <f>IF(OR($G219="",$R219="",COUNTIF($G$2:G218,$G219)=0),"",$R219-LOOKUP(2,1/($G$2:G218=$G219),$R$2:R218))</f>
        <v/>
      </c>
      <c r="U219" s="11" t="str">
        <f t="shared" si="27"/>
        <v/>
      </c>
      <c r="V219" s="4"/>
      <c r="W219" s="4"/>
      <c r="X219" s="55"/>
      <c r="Y219" s="56" t="str">
        <f>IF($B219="","",IF((IF($G219="","Sin unidad | ","")&amp;IF($J219="","Sin responsable | ","")&amp;IF($K219="","Sin obra | ","")&amp;IF(AND($N219&lt;&gt;"",$G219&lt;&gt;"",$N219&gt;IFERROR(INDEX('MAESTRO DE UNIDADES'!$I$2:$I$208,MATCH($G219,'MAESTRO DE UNIDADES'!$A$2:$A$208,0)),0)),"Litros &gt; tanque | ","")&amp;IF(AND($W219&lt;&gt;"",COUNTIF($W$2:$W219,$W219)&gt;1),"Ticket duplicado | ","")&amp;IF(AND($G219&lt;&gt;"",IFERROR(INDEX('MAESTRO DE UNIDADES'!$L$2:$L$208,MATCH($G219,'MAESTRO DE UNIDADES'!$A$2:$A$208,0)),"")="Inactivo"),"Unidad inactiva | ","")&amp;IF(AND($AA219&lt;&gt;"",$N219=""),"Carga de batán sin litros | ","")&amp;IF(AND($AA219&lt;&gt;"",$AC219&lt;0),"Supera saldo batán | ",""))="","OK",LEFT((IF($G219="","Sin unidad | ","")&amp;IF($J219="","Sin responsable | ","")&amp;IF($K219="","Sin obra | ","")&amp;IF(AND($N219&lt;&gt;"",$G219&lt;&gt;"",$N219&gt;IFERROR(INDEX('MAESTRO DE UNIDADES'!$I$2:$I$208,MATCH($G219,'MAESTRO DE UNIDADES'!$A$2:$A$208,0)),0)),"Litros &gt; tanque | ","")&amp;IF(AND($W219&lt;&gt;"",COUNTIF($W$2:$W219,$W219)&gt;1),"Ticket duplicado | ","")&amp;IF(AND($G219&lt;&gt;"",IFERROR(INDEX('MAESTRO DE UNIDADES'!$L$2:$L$208,MATCH($G219,'MAESTRO DE UNIDADES'!$A$2:$A$208,0)),"")="Inactivo"),"Unidad inactiva | ","")&amp;IF(AND($AA219&lt;&gt;"",$N219=""),"Carga de batán sin litros | ","")&amp;IF(AND($AA219&lt;&gt;"",$AC219&lt;0),"Supera saldo batán | ","")),LEN((IF($G219="","Sin unidad | ","")&amp;IF($J219="","Sin responsable | ","")&amp;IF($K219="","Sin obra | ","")&amp;IF(AND($N219&lt;&gt;"",$G219&lt;&gt;"",$N219&gt;IFERROR(INDEX('MAESTRO DE UNIDADES'!$I$2:$I$208,MATCH($G219,'MAESTRO DE UNIDADES'!$A$2:$A$208,0)),0)),"Litros &gt; tanque | ","")&amp;IF(AND($W219&lt;&gt;"",COUNTIF($W$2:$W219,$W219)&gt;1),"Ticket duplicado | ","")&amp;IF(AND($G219&lt;&gt;"",IFERROR(INDEX('MAESTRO DE UNIDADES'!$L$2:$L$208,MATCH($G219,'MAESTRO DE UNIDADES'!$A$2:$A$208,0)),"")="Inactivo"),"Unidad inactiva | ","")&amp;IF(AND($AA219&lt;&gt;"",$N219=""),"Carga de batán sin litros | ","")&amp;IF(AND($AA219&lt;&gt;"",$AC219&lt;0),"Supera saldo batán | ","")))-3)))</f>
        <v/>
      </c>
      <c r="Z219" s="8" t="str">
        <f t="shared" si="28"/>
        <v/>
      </c>
      <c r="AA219" s="4"/>
      <c r="AB219" s="26" t="str">
        <f>IF($AA219="","",IFERROR(INDEX('CONTROL DE BATAN'!$J$2:$J$301,MATCH($AA219,'CONTROL DE BATAN'!$A$2:$A$301,0)),""))</f>
        <v/>
      </c>
      <c r="AC219" s="28" t="str">
        <f>IF($AA219="","",IFERROR(INDEX('CONTROL DE BATAN'!$I$2:$I$301,MATCH($AA219,'CONTROL DE BATAN'!$A$2:$A$301,0)),0)-SUMIFS($N$2:$N219,$AA$2:$AA219,$AA219))</f>
        <v/>
      </c>
    </row>
    <row r="220" spans="1:29" x14ac:dyDescent="0.25">
      <c r="A220" s="8" t="str">
        <f t="shared" si="22"/>
        <v/>
      </c>
      <c r="B220" s="9"/>
      <c r="C220" s="8" t="str">
        <f t="shared" si="23"/>
        <v/>
      </c>
      <c r="D220" s="10" t="str">
        <f t="shared" si="24"/>
        <v/>
      </c>
      <c r="E220" s="8" t="str">
        <f t="shared" si="25"/>
        <v/>
      </c>
      <c r="F220" s="8" t="str">
        <f>IF($G220="","",IFERROR(INDEX('MAESTRO DE UNIDADES'!$C$2:$C$208,MATCH($G220,'MAESTRO DE UNIDADES'!$A$2:$A$208,0)),""))</f>
        <v/>
      </c>
      <c r="G220" s="4"/>
      <c r="H220" s="8" t="str">
        <f>IF($G220="","",IFERROR(INDEX('MAESTRO DE UNIDADES'!$F$2:$F$208,MATCH($G220,'MAESTRO DE UNIDADES'!$A$2:$A$208,0)),""))</f>
        <v/>
      </c>
      <c r="I220" s="8" t="str">
        <f>IF($G220="","",IFERROR(INDEX('MAESTRO DE UNIDADES'!$B$2:$B$208,MATCH($G220,'MAESTRO DE UNIDADES'!$A$2:$A$208,0)),""))</f>
        <v/>
      </c>
      <c r="J220" s="4"/>
      <c r="K220" s="4"/>
      <c r="L220" s="4"/>
      <c r="M220" s="8" t="str">
        <f>IF($G220="","",IFERROR(INDEX('MAESTRO DE UNIDADES'!$H$2:$H$208,MATCH($G220,'MAESTRO DE UNIDADES'!$A$2:$A$208,0)),""))</f>
        <v/>
      </c>
      <c r="N220" s="25"/>
      <c r="O220" s="25"/>
      <c r="P220" s="26" t="str">
        <f t="shared" si="26"/>
        <v/>
      </c>
      <c r="Q220" s="27"/>
      <c r="R220" s="27"/>
      <c r="S220" s="28" t="str">
        <f>IF(OR($G220="",$Q220="",COUNTIF($G$2:G219,$G220)=0),"",$Q220-LOOKUP(2,1/($G$2:G219=$G220),$Q$2:Q219))</f>
        <v/>
      </c>
      <c r="T220" s="28" t="str">
        <f>IF(OR($G220="",$R220="",COUNTIF($G$2:G219,$G220)=0),"",$R220-LOOKUP(2,1/($G$2:G219=$G220),$R$2:R219))</f>
        <v/>
      </c>
      <c r="U220" s="11" t="str">
        <f t="shared" si="27"/>
        <v/>
      </c>
      <c r="V220" s="4"/>
      <c r="W220" s="4"/>
      <c r="X220" s="55"/>
      <c r="Y220" s="56" t="str">
        <f>IF($B220="","",IF((IF($G220="","Sin unidad | ","")&amp;IF($J220="","Sin responsable | ","")&amp;IF($K220="","Sin obra | ","")&amp;IF(AND($N220&lt;&gt;"",$G220&lt;&gt;"",$N220&gt;IFERROR(INDEX('MAESTRO DE UNIDADES'!$I$2:$I$208,MATCH($G220,'MAESTRO DE UNIDADES'!$A$2:$A$208,0)),0)),"Litros &gt; tanque | ","")&amp;IF(AND($W220&lt;&gt;"",COUNTIF($W$2:$W220,$W220)&gt;1),"Ticket duplicado | ","")&amp;IF(AND($G220&lt;&gt;"",IFERROR(INDEX('MAESTRO DE UNIDADES'!$L$2:$L$208,MATCH($G220,'MAESTRO DE UNIDADES'!$A$2:$A$208,0)),"")="Inactivo"),"Unidad inactiva | ","")&amp;IF(AND($AA220&lt;&gt;"",$N220=""),"Carga de batán sin litros | ","")&amp;IF(AND($AA220&lt;&gt;"",$AC220&lt;0),"Supera saldo batán | ",""))="","OK",LEFT((IF($G220="","Sin unidad | ","")&amp;IF($J220="","Sin responsable | ","")&amp;IF($K220="","Sin obra | ","")&amp;IF(AND($N220&lt;&gt;"",$G220&lt;&gt;"",$N220&gt;IFERROR(INDEX('MAESTRO DE UNIDADES'!$I$2:$I$208,MATCH($G220,'MAESTRO DE UNIDADES'!$A$2:$A$208,0)),0)),"Litros &gt; tanque | ","")&amp;IF(AND($W220&lt;&gt;"",COUNTIF($W$2:$W220,$W220)&gt;1),"Ticket duplicado | ","")&amp;IF(AND($G220&lt;&gt;"",IFERROR(INDEX('MAESTRO DE UNIDADES'!$L$2:$L$208,MATCH($G220,'MAESTRO DE UNIDADES'!$A$2:$A$208,0)),"")="Inactivo"),"Unidad inactiva | ","")&amp;IF(AND($AA220&lt;&gt;"",$N220=""),"Carga de batán sin litros | ","")&amp;IF(AND($AA220&lt;&gt;"",$AC220&lt;0),"Supera saldo batán | ","")),LEN((IF($G220="","Sin unidad | ","")&amp;IF($J220="","Sin responsable | ","")&amp;IF($K220="","Sin obra | ","")&amp;IF(AND($N220&lt;&gt;"",$G220&lt;&gt;"",$N220&gt;IFERROR(INDEX('MAESTRO DE UNIDADES'!$I$2:$I$208,MATCH($G220,'MAESTRO DE UNIDADES'!$A$2:$A$208,0)),0)),"Litros &gt; tanque | ","")&amp;IF(AND($W220&lt;&gt;"",COUNTIF($W$2:$W220,$W220)&gt;1),"Ticket duplicado | ","")&amp;IF(AND($G220&lt;&gt;"",IFERROR(INDEX('MAESTRO DE UNIDADES'!$L$2:$L$208,MATCH($G220,'MAESTRO DE UNIDADES'!$A$2:$A$208,0)),"")="Inactivo"),"Unidad inactiva | ","")&amp;IF(AND($AA220&lt;&gt;"",$N220=""),"Carga de batán sin litros | ","")&amp;IF(AND($AA220&lt;&gt;"",$AC220&lt;0),"Supera saldo batán | ","")))-3)))</f>
        <v/>
      </c>
      <c r="Z220" s="8" t="str">
        <f t="shared" si="28"/>
        <v/>
      </c>
      <c r="AA220" s="4"/>
      <c r="AB220" s="26" t="str">
        <f>IF($AA220="","",IFERROR(INDEX('CONTROL DE BATAN'!$J$2:$J$301,MATCH($AA220,'CONTROL DE BATAN'!$A$2:$A$301,0)),""))</f>
        <v/>
      </c>
      <c r="AC220" s="28" t="str">
        <f>IF($AA220="","",IFERROR(INDEX('CONTROL DE BATAN'!$I$2:$I$301,MATCH($AA220,'CONTROL DE BATAN'!$A$2:$A$301,0)),0)-SUMIFS($N$2:$N220,$AA$2:$AA220,$AA220))</f>
        <v/>
      </c>
    </row>
    <row r="221" spans="1:29" x14ac:dyDescent="0.25">
      <c r="A221" s="8" t="str">
        <f t="shared" si="22"/>
        <v/>
      </c>
      <c r="B221" s="9"/>
      <c r="C221" s="8" t="str">
        <f t="shared" si="23"/>
        <v/>
      </c>
      <c r="D221" s="10" t="str">
        <f t="shared" si="24"/>
        <v/>
      </c>
      <c r="E221" s="8" t="str">
        <f t="shared" si="25"/>
        <v/>
      </c>
      <c r="F221" s="8" t="str">
        <f>IF($G221="","",IFERROR(INDEX('MAESTRO DE UNIDADES'!$C$2:$C$208,MATCH($G221,'MAESTRO DE UNIDADES'!$A$2:$A$208,0)),""))</f>
        <v/>
      </c>
      <c r="G221" s="4"/>
      <c r="H221" s="8" t="str">
        <f>IF($G221="","",IFERROR(INDEX('MAESTRO DE UNIDADES'!$F$2:$F$208,MATCH($G221,'MAESTRO DE UNIDADES'!$A$2:$A$208,0)),""))</f>
        <v/>
      </c>
      <c r="I221" s="8" t="str">
        <f>IF($G221="","",IFERROR(INDEX('MAESTRO DE UNIDADES'!$B$2:$B$208,MATCH($G221,'MAESTRO DE UNIDADES'!$A$2:$A$208,0)),""))</f>
        <v/>
      </c>
      <c r="J221" s="4"/>
      <c r="K221" s="4"/>
      <c r="L221" s="4"/>
      <c r="M221" s="8" t="str">
        <f>IF($G221="","",IFERROR(INDEX('MAESTRO DE UNIDADES'!$H$2:$H$208,MATCH($G221,'MAESTRO DE UNIDADES'!$A$2:$A$208,0)),""))</f>
        <v/>
      </c>
      <c r="N221" s="25"/>
      <c r="O221" s="25"/>
      <c r="P221" s="26" t="str">
        <f t="shared" si="26"/>
        <v/>
      </c>
      <c r="Q221" s="27"/>
      <c r="R221" s="27"/>
      <c r="S221" s="28" t="str">
        <f>IF(OR($G221="",$Q221="",COUNTIF($G$2:G220,$G221)=0),"",$Q221-LOOKUP(2,1/($G$2:G220=$G221),$Q$2:Q220))</f>
        <v/>
      </c>
      <c r="T221" s="28" t="str">
        <f>IF(OR($G221="",$R221="",COUNTIF($G$2:G220,$G221)=0),"",$R221-LOOKUP(2,1/($G$2:G220=$G221),$R$2:R220))</f>
        <v/>
      </c>
      <c r="U221" s="11" t="str">
        <f t="shared" si="27"/>
        <v/>
      </c>
      <c r="V221" s="4"/>
      <c r="W221" s="4"/>
      <c r="X221" s="55"/>
      <c r="Y221" s="56" t="str">
        <f>IF($B221="","",IF((IF($G221="","Sin unidad | ","")&amp;IF($J221="","Sin responsable | ","")&amp;IF($K221="","Sin obra | ","")&amp;IF(AND($N221&lt;&gt;"",$G221&lt;&gt;"",$N221&gt;IFERROR(INDEX('MAESTRO DE UNIDADES'!$I$2:$I$208,MATCH($G221,'MAESTRO DE UNIDADES'!$A$2:$A$208,0)),0)),"Litros &gt; tanque | ","")&amp;IF(AND($W221&lt;&gt;"",COUNTIF($W$2:$W221,$W221)&gt;1),"Ticket duplicado | ","")&amp;IF(AND($G221&lt;&gt;"",IFERROR(INDEX('MAESTRO DE UNIDADES'!$L$2:$L$208,MATCH($G221,'MAESTRO DE UNIDADES'!$A$2:$A$208,0)),"")="Inactivo"),"Unidad inactiva | ","")&amp;IF(AND($AA221&lt;&gt;"",$N221=""),"Carga de batán sin litros | ","")&amp;IF(AND($AA221&lt;&gt;"",$AC221&lt;0),"Supera saldo batán | ",""))="","OK",LEFT((IF($G221="","Sin unidad | ","")&amp;IF($J221="","Sin responsable | ","")&amp;IF($K221="","Sin obra | ","")&amp;IF(AND($N221&lt;&gt;"",$G221&lt;&gt;"",$N221&gt;IFERROR(INDEX('MAESTRO DE UNIDADES'!$I$2:$I$208,MATCH($G221,'MAESTRO DE UNIDADES'!$A$2:$A$208,0)),0)),"Litros &gt; tanque | ","")&amp;IF(AND($W221&lt;&gt;"",COUNTIF($W$2:$W221,$W221)&gt;1),"Ticket duplicado | ","")&amp;IF(AND($G221&lt;&gt;"",IFERROR(INDEX('MAESTRO DE UNIDADES'!$L$2:$L$208,MATCH($G221,'MAESTRO DE UNIDADES'!$A$2:$A$208,0)),"")="Inactivo"),"Unidad inactiva | ","")&amp;IF(AND($AA221&lt;&gt;"",$N221=""),"Carga de batán sin litros | ","")&amp;IF(AND($AA221&lt;&gt;"",$AC221&lt;0),"Supera saldo batán | ","")),LEN((IF($G221="","Sin unidad | ","")&amp;IF($J221="","Sin responsable | ","")&amp;IF($K221="","Sin obra | ","")&amp;IF(AND($N221&lt;&gt;"",$G221&lt;&gt;"",$N221&gt;IFERROR(INDEX('MAESTRO DE UNIDADES'!$I$2:$I$208,MATCH($G221,'MAESTRO DE UNIDADES'!$A$2:$A$208,0)),0)),"Litros &gt; tanque | ","")&amp;IF(AND($W221&lt;&gt;"",COUNTIF($W$2:$W221,$W221)&gt;1),"Ticket duplicado | ","")&amp;IF(AND($G221&lt;&gt;"",IFERROR(INDEX('MAESTRO DE UNIDADES'!$L$2:$L$208,MATCH($G221,'MAESTRO DE UNIDADES'!$A$2:$A$208,0)),"")="Inactivo"),"Unidad inactiva | ","")&amp;IF(AND($AA221&lt;&gt;"",$N221=""),"Carga de batán sin litros | ","")&amp;IF(AND($AA221&lt;&gt;"",$AC221&lt;0),"Supera saldo batán | ","")))-3)))</f>
        <v/>
      </c>
      <c r="Z221" s="8" t="str">
        <f t="shared" si="28"/>
        <v/>
      </c>
      <c r="AA221" s="4"/>
      <c r="AB221" s="26" t="str">
        <f>IF($AA221="","",IFERROR(INDEX('CONTROL DE BATAN'!$J$2:$J$301,MATCH($AA221,'CONTROL DE BATAN'!$A$2:$A$301,0)),""))</f>
        <v/>
      </c>
      <c r="AC221" s="28" t="str">
        <f>IF($AA221="","",IFERROR(INDEX('CONTROL DE BATAN'!$I$2:$I$301,MATCH($AA221,'CONTROL DE BATAN'!$A$2:$A$301,0)),0)-SUMIFS($N$2:$N221,$AA$2:$AA221,$AA221))</f>
        <v/>
      </c>
    </row>
    <row r="222" spans="1:29" x14ac:dyDescent="0.25">
      <c r="A222" s="8" t="str">
        <f t="shared" si="22"/>
        <v/>
      </c>
      <c r="B222" s="9"/>
      <c r="C222" s="8" t="str">
        <f t="shared" si="23"/>
        <v/>
      </c>
      <c r="D222" s="10" t="str">
        <f t="shared" si="24"/>
        <v/>
      </c>
      <c r="E222" s="8" t="str">
        <f t="shared" si="25"/>
        <v/>
      </c>
      <c r="F222" s="8" t="str">
        <f>IF($G222="","",IFERROR(INDEX('MAESTRO DE UNIDADES'!$C$2:$C$208,MATCH($G222,'MAESTRO DE UNIDADES'!$A$2:$A$208,0)),""))</f>
        <v/>
      </c>
      <c r="G222" s="4"/>
      <c r="H222" s="8" t="str">
        <f>IF($G222="","",IFERROR(INDEX('MAESTRO DE UNIDADES'!$F$2:$F$208,MATCH($G222,'MAESTRO DE UNIDADES'!$A$2:$A$208,0)),""))</f>
        <v/>
      </c>
      <c r="I222" s="8" t="str">
        <f>IF($G222="","",IFERROR(INDEX('MAESTRO DE UNIDADES'!$B$2:$B$208,MATCH($G222,'MAESTRO DE UNIDADES'!$A$2:$A$208,0)),""))</f>
        <v/>
      </c>
      <c r="J222" s="4"/>
      <c r="K222" s="4"/>
      <c r="L222" s="4"/>
      <c r="M222" s="8" t="str">
        <f>IF($G222="","",IFERROR(INDEX('MAESTRO DE UNIDADES'!$H$2:$H$208,MATCH($G222,'MAESTRO DE UNIDADES'!$A$2:$A$208,0)),""))</f>
        <v/>
      </c>
      <c r="N222" s="25"/>
      <c r="O222" s="25"/>
      <c r="P222" s="26" t="str">
        <f t="shared" si="26"/>
        <v/>
      </c>
      <c r="Q222" s="27"/>
      <c r="R222" s="27"/>
      <c r="S222" s="28" t="str">
        <f>IF(OR($G222="",$Q222="",COUNTIF($G$2:G221,$G222)=0),"",$Q222-LOOKUP(2,1/($G$2:G221=$G222),$Q$2:Q221))</f>
        <v/>
      </c>
      <c r="T222" s="28" t="str">
        <f>IF(OR($G222="",$R222="",COUNTIF($G$2:G221,$G222)=0),"",$R222-LOOKUP(2,1/($G$2:G221=$G222),$R$2:R221))</f>
        <v/>
      </c>
      <c r="U222" s="11" t="str">
        <f t="shared" si="27"/>
        <v/>
      </c>
      <c r="V222" s="4"/>
      <c r="W222" s="4"/>
      <c r="X222" s="55"/>
      <c r="Y222" s="56" t="str">
        <f>IF($B222="","",IF((IF($G222="","Sin unidad | ","")&amp;IF($J222="","Sin responsable | ","")&amp;IF($K222="","Sin obra | ","")&amp;IF(AND($N222&lt;&gt;"",$G222&lt;&gt;"",$N222&gt;IFERROR(INDEX('MAESTRO DE UNIDADES'!$I$2:$I$208,MATCH($G222,'MAESTRO DE UNIDADES'!$A$2:$A$208,0)),0)),"Litros &gt; tanque | ","")&amp;IF(AND($W222&lt;&gt;"",COUNTIF($W$2:$W222,$W222)&gt;1),"Ticket duplicado | ","")&amp;IF(AND($G222&lt;&gt;"",IFERROR(INDEX('MAESTRO DE UNIDADES'!$L$2:$L$208,MATCH($G222,'MAESTRO DE UNIDADES'!$A$2:$A$208,0)),"")="Inactivo"),"Unidad inactiva | ","")&amp;IF(AND($AA222&lt;&gt;"",$N222=""),"Carga de batán sin litros | ","")&amp;IF(AND($AA222&lt;&gt;"",$AC222&lt;0),"Supera saldo batán | ",""))="","OK",LEFT((IF($G222="","Sin unidad | ","")&amp;IF($J222="","Sin responsable | ","")&amp;IF($K222="","Sin obra | ","")&amp;IF(AND($N222&lt;&gt;"",$G222&lt;&gt;"",$N222&gt;IFERROR(INDEX('MAESTRO DE UNIDADES'!$I$2:$I$208,MATCH($G222,'MAESTRO DE UNIDADES'!$A$2:$A$208,0)),0)),"Litros &gt; tanque | ","")&amp;IF(AND($W222&lt;&gt;"",COUNTIF($W$2:$W222,$W222)&gt;1),"Ticket duplicado | ","")&amp;IF(AND($G222&lt;&gt;"",IFERROR(INDEX('MAESTRO DE UNIDADES'!$L$2:$L$208,MATCH($G222,'MAESTRO DE UNIDADES'!$A$2:$A$208,0)),"")="Inactivo"),"Unidad inactiva | ","")&amp;IF(AND($AA222&lt;&gt;"",$N222=""),"Carga de batán sin litros | ","")&amp;IF(AND($AA222&lt;&gt;"",$AC222&lt;0),"Supera saldo batán | ","")),LEN((IF($G222="","Sin unidad | ","")&amp;IF($J222="","Sin responsable | ","")&amp;IF($K222="","Sin obra | ","")&amp;IF(AND($N222&lt;&gt;"",$G222&lt;&gt;"",$N222&gt;IFERROR(INDEX('MAESTRO DE UNIDADES'!$I$2:$I$208,MATCH($G222,'MAESTRO DE UNIDADES'!$A$2:$A$208,0)),0)),"Litros &gt; tanque | ","")&amp;IF(AND($W222&lt;&gt;"",COUNTIF($W$2:$W222,$W222)&gt;1),"Ticket duplicado | ","")&amp;IF(AND($G222&lt;&gt;"",IFERROR(INDEX('MAESTRO DE UNIDADES'!$L$2:$L$208,MATCH($G222,'MAESTRO DE UNIDADES'!$A$2:$A$208,0)),"")="Inactivo"),"Unidad inactiva | ","")&amp;IF(AND($AA222&lt;&gt;"",$N222=""),"Carga de batán sin litros | ","")&amp;IF(AND($AA222&lt;&gt;"",$AC222&lt;0),"Supera saldo batán | ","")))-3)))</f>
        <v/>
      </c>
      <c r="Z222" s="8" t="str">
        <f t="shared" si="28"/>
        <v/>
      </c>
      <c r="AA222" s="4"/>
      <c r="AB222" s="26" t="str">
        <f>IF($AA222="","",IFERROR(INDEX('CONTROL DE BATAN'!$J$2:$J$301,MATCH($AA222,'CONTROL DE BATAN'!$A$2:$A$301,0)),""))</f>
        <v/>
      </c>
      <c r="AC222" s="28" t="str">
        <f>IF($AA222="","",IFERROR(INDEX('CONTROL DE BATAN'!$I$2:$I$301,MATCH($AA222,'CONTROL DE BATAN'!$A$2:$A$301,0)),0)-SUMIFS($N$2:$N222,$AA$2:$AA222,$AA222))</f>
        <v/>
      </c>
    </row>
    <row r="223" spans="1:29" x14ac:dyDescent="0.25">
      <c r="A223" s="8" t="str">
        <f t="shared" si="22"/>
        <v/>
      </c>
      <c r="B223" s="9"/>
      <c r="C223" s="8" t="str">
        <f t="shared" si="23"/>
        <v/>
      </c>
      <c r="D223" s="10" t="str">
        <f t="shared" si="24"/>
        <v/>
      </c>
      <c r="E223" s="8" t="str">
        <f t="shared" si="25"/>
        <v/>
      </c>
      <c r="F223" s="8" t="str">
        <f>IF($G223="","",IFERROR(INDEX('MAESTRO DE UNIDADES'!$C$2:$C$208,MATCH($G223,'MAESTRO DE UNIDADES'!$A$2:$A$208,0)),""))</f>
        <v/>
      </c>
      <c r="G223" s="4"/>
      <c r="H223" s="8" t="str">
        <f>IF($G223="","",IFERROR(INDEX('MAESTRO DE UNIDADES'!$F$2:$F$208,MATCH($G223,'MAESTRO DE UNIDADES'!$A$2:$A$208,0)),""))</f>
        <v/>
      </c>
      <c r="I223" s="8" t="str">
        <f>IF($G223="","",IFERROR(INDEX('MAESTRO DE UNIDADES'!$B$2:$B$208,MATCH($G223,'MAESTRO DE UNIDADES'!$A$2:$A$208,0)),""))</f>
        <v/>
      </c>
      <c r="J223" s="4"/>
      <c r="K223" s="4"/>
      <c r="L223" s="4"/>
      <c r="M223" s="8" t="str">
        <f>IF($G223="","",IFERROR(INDEX('MAESTRO DE UNIDADES'!$H$2:$H$208,MATCH($G223,'MAESTRO DE UNIDADES'!$A$2:$A$208,0)),""))</f>
        <v/>
      </c>
      <c r="N223" s="25"/>
      <c r="O223" s="25"/>
      <c r="P223" s="26" t="str">
        <f t="shared" si="26"/>
        <v/>
      </c>
      <c r="Q223" s="27"/>
      <c r="R223" s="27"/>
      <c r="S223" s="28" t="str">
        <f>IF(OR($G223="",$Q223="",COUNTIF($G$2:G222,$G223)=0),"",$Q223-LOOKUP(2,1/($G$2:G222=$G223),$Q$2:Q222))</f>
        <v/>
      </c>
      <c r="T223" s="28" t="str">
        <f>IF(OR($G223="",$R223="",COUNTIF($G$2:G222,$G223)=0),"",$R223-LOOKUP(2,1/($G$2:G222=$G223),$R$2:R222))</f>
        <v/>
      </c>
      <c r="U223" s="11" t="str">
        <f t="shared" si="27"/>
        <v/>
      </c>
      <c r="V223" s="4"/>
      <c r="W223" s="4"/>
      <c r="X223" s="55"/>
      <c r="Y223" s="56" t="str">
        <f>IF($B223="","",IF((IF($G223="","Sin unidad | ","")&amp;IF($J223="","Sin responsable | ","")&amp;IF($K223="","Sin obra | ","")&amp;IF(AND($N223&lt;&gt;"",$G223&lt;&gt;"",$N223&gt;IFERROR(INDEX('MAESTRO DE UNIDADES'!$I$2:$I$208,MATCH($G223,'MAESTRO DE UNIDADES'!$A$2:$A$208,0)),0)),"Litros &gt; tanque | ","")&amp;IF(AND($W223&lt;&gt;"",COUNTIF($W$2:$W223,$W223)&gt;1),"Ticket duplicado | ","")&amp;IF(AND($G223&lt;&gt;"",IFERROR(INDEX('MAESTRO DE UNIDADES'!$L$2:$L$208,MATCH($G223,'MAESTRO DE UNIDADES'!$A$2:$A$208,0)),"")="Inactivo"),"Unidad inactiva | ","")&amp;IF(AND($AA223&lt;&gt;"",$N223=""),"Carga de batán sin litros | ","")&amp;IF(AND($AA223&lt;&gt;"",$AC223&lt;0),"Supera saldo batán | ",""))="","OK",LEFT((IF($G223="","Sin unidad | ","")&amp;IF($J223="","Sin responsable | ","")&amp;IF($K223="","Sin obra | ","")&amp;IF(AND($N223&lt;&gt;"",$G223&lt;&gt;"",$N223&gt;IFERROR(INDEX('MAESTRO DE UNIDADES'!$I$2:$I$208,MATCH($G223,'MAESTRO DE UNIDADES'!$A$2:$A$208,0)),0)),"Litros &gt; tanque | ","")&amp;IF(AND($W223&lt;&gt;"",COUNTIF($W$2:$W223,$W223)&gt;1),"Ticket duplicado | ","")&amp;IF(AND($G223&lt;&gt;"",IFERROR(INDEX('MAESTRO DE UNIDADES'!$L$2:$L$208,MATCH($G223,'MAESTRO DE UNIDADES'!$A$2:$A$208,0)),"")="Inactivo"),"Unidad inactiva | ","")&amp;IF(AND($AA223&lt;&gt;"",$N223=""),"Carga de batán sin litros | ","")&amp;IF(AND($AA223&lt;&gt;"",$AC223&lt;0),"Supera saldo batán | ","")),LEN((IF($G223="","Sin unidad | ","")&amp;IF($J223="","Sin responsable | ","")&amp;IF($K223="","Sin obra | ","")&amp;IF(AND($N223&lt;&gt;"",$G223&lt;&gt;"",$N223&gt;IFERROR(INDEX('MAESTRO DE UNIDADES'!$I$2:$I$208,MATCH($G223,'MAESTRO DE UNIDADES'!$A$2:$A$208,0)),0)),"Litros &gt; tanque | ","")&amp;IF(AND($W223&lt;&gt;"",COUNTIF($W$2:$W223,$W223)&gt;1),"Ticket duplicado | ","")&amp;IF(AND($G223&lt;&gt;"",IFERROR(INDEX('MAESTRO DE UNIDADES'!$L$2:$L$208,MATCH($G223,'MAESTRO DE UNIDADES'!$A$2:$A$208,0)),"")="Inactivo"),"Unidad inactiva | ","")&amp;IF(AND($AA223&lt;&gt;"",$N223=""),"Carga de batán sin litros | ","")&amp;IF(AND($AA223&lt;&gt;"",$AC223&lt;0),"Supera saldo batán | ","")))-3)))</f>
        <v/>
      </c>
      <c r="Z223" s="8" t="str">
        <f t="shared" si="28"/>
        <v/>
      </c>
      <c r="AA223" s="4"/>
      <c r="AB223" s="26" t="str">
        <f>IF($AA223="","",IFERROR(INDEX('CONTROL DE BATAN'!$J$2:$J$301,MATCH($AA223,'CONTROL DE BATAN'!$A$2:$A$301,0)),""))</f>
        <v/>
      </c>
      <c r="AC223" s="28" t="str">
        <f>IF($AA223="","",IFERROR(INDEX('CONTROL DE BATAN'!$I$2:$I$301,MATCH($AA223,'CONTROL DE BATAN'!$A$2:$A$301,0)),0)-SUMIFS($N$2:$N223,$AA$2:$AA223,$AA223))</f>
        <v/>
      </c>
    </row>
    <row r="224" spans="1:29" x14ac:dyDescent="0.25">
      <c r="A224" s="8" t="str">
        <f t="shared" si="22"/>
        <v/>
      </c>
      <c r="B224" s="9"/>
      <c r="C224" s="8" t="str">
        <f t="shared" si="23"/>
        <v/>
      </c>
      <c r="D224" s="10" t="str">
        <f t="shared" si="24"/>
        <v/>
      </c>
      <c r="E224" s="8" t="str">
        <f t="shared" si="25"/>
        <v/>
      </c>
      <c r="F224" s="8" t="str">
        <f>IF($G224="","",IFERROR(INDEX('MAESTRO DE UNIDADES'!$C$2:$C$208,MATCH($G224,'MAESTRO DE UNIDADES'!$A$2:$A$208,0)),""))</f>
        <v/>
      </c>
      <c r="G224" s="4"/>
      <c r="H224" s="8" t="str">
        <f>IF($G224="","",IFERROR(INDEX('MAESTRO DE UNIDADES'!$F$2:$F$208,MATCH($G224,'MAESTRO DE UNIDADES'!$A$2:$A$208,0)),""))</f>
        <v/>
      </c>
      <c r="I224" s="8" t="str">
        <f>IF($G224="","",IFERROR(INDEX('MAESTRO DE UNIDADES'!$B$2:$B$208,MATCH($G224,'MAESTRO DE UNIDADES'!$A$2:$A$208,0)),""))</f>
        <v/>
      </c>
      <c r="J224" s="4"/>
      <c r="K224" s="4"/>
      <c r="L224" s="4"/>
      <c r="M224" s="8" t="str">
        <f>IF($G224="","",IFERROR(INDEX('MAESTRO DE UNIDADES'!$H$2:$H$208,MATCH($G224,'MAESTRO DE UNIDADES'!$A$2:$A$208,0)),""))</f>
        <v/>
      </c>
      <c r="N224" s="25"/>
      <c r="O224" s="25"/>
      <c r="P224" s="26" t="str">
        <f t="shared" si="26"/>
        <v/>
      </c>
      <c r="Q224" s="27"/>
      <c r="R224" s="27"/>
      <c r="S224" s="28" t="str">
        <f>IF(OR($G224="",$Q224="",COUNTIF($G$2:G223,$G224)=0),"",$Q224-LOOKUP(2,1/($G$2:G223=$G224),$Q$2:Q223))</f>
        <v/>
      </c>
      <c r="T224" s="28" t="str">
        <f>IF(OR($G224="",$R224="",COUNTIF($G$2:G223,$G224)=0),"",$R224-LOOKUP(2,1/($G$2:G223=$G224),$R$2:R223))</f>
        <v/>
      </c>
      <c r="U224" s="11" t="str">
        <f t="shared" si="27"/>
        <v/>
      </c>
      <c r="V224" s="4"/>
      <c r="W224" s="4"/>
      <c r="X224" s="55"/>
      <c r="Y224" s="56" t="str">
        <f>IF($B224="","",IF((IF($G224="","Sin unidad | ","")&amp;IF($J224="","Sin responsable | ","")&amp;IF($K224="","Sin obra | ","")&amp;IF(AND($N224&lt;&gt;"",$G224&lt;&gt;"",$N224&gt;IFERROR(INDEX('MAESTRO DE UNIDADES'!$I$2:$I$208,MATCH($G224,'MAESTRO DE UNIDADES'!$A$2:$A$208,0)),0)),"Litros &gt; tanque | ","")&amp;IF(AND($W224&lt;&gt;"",COUNTIF($W$2:$W224,$W224)&gt;1),"Ticket duplicado | ","")&amp;IF(AND($G224&lt;&gt;"",IFERROR(INDEX('MAESTRO DE UNIDADES'!$L$2:$L$208,MATCH($G224,'MAESTRO DE UNIDADES'!$A$2:$A$208,0)),"")="Inactivo"),"Unidad inactiva | ","")&amp;IF(AND($AA224&lt;&gt;"",$N224=""),"Carga de batán sin litros | ","")&amp;IF(AND($AA224&lt;&gt;"",$AC224&lt;0),"Supera saldo batán | ",""))="","OK",LEFT((IF($G224="","Sin unidad | ","")&amp;IF($J224="","Sin responsable | ","")&amp;IF($K224="","Sin obra | ","")&amp;IF(AND($N224&lt;&gt;"",$G224&lt;&gt;"",$N224&gt;IFERROR(INDEX('MAESTRO DE UNIDADES'!$I$2:$I$208,MATCH($G224,'MAESTRO DE UNIDADES'!$A$2:$A$208,0)),0)),"Litros &gt; tanque | ","")&amp;IF(AND($W224&lt;&gt;"",COUNTIF($W$2:$W224,$W224)&gt;1),"Ticket duplicado | ","")&amp;IF(AND($G224&lt;&gt;"",IFERROR(INDEX('MAESTRO DE UNIDADES'!$L$2:$L$208,MATCH($G224,'MAESTRO DE UNIDADES'!$A$2:$A$208,0)),"")="Inactivo"),"Unidad inactiva | ","")&amp;IF(AND($AA224&lt;&gt;"",$N224=""),"Carga de batán sin litros | ","")&amp;IF(AND($AA224&lt;&gt;"",$AC224&lt;0),"Supera saldo batán | ","")),LEN((IF($G224="","Sin unidad | ","")&amp;IF($J224="","Sin responsable | ","")&amp;IF($K224="","Sin obra | ","")&amp;IF(AND($N224&lt;&gt;"",$G224&lt;&gt;"",$N224&gt;IFERROR(INDEX('MAESTRO DE UNIDADES'!$I$2:$I$208,MATCH($G224,'MAESTRO DE UNIDADES'!$A$2:$A$208,0)),0)),"Litros &gt; tanque | ","")&amp;IF(AND($W224&lt;&gt;"",COUNTIF($W$2:$W224,$W224)&gt;1),"Ticket duplicado | ","")&amp;IF(AND($G224&lt;&gt;"",IFERROR(INDEX('MAESTRO DE UNIDADES'!$L$2:$L$208,MATCH($G224,'MAESTRO DE UNIDADES'!$A$2:$A$208,0)),"")="Inactivo"),"Unidad inactiva | ","")&amp;IF(AND($AA224&lt;&gt;"",$N224=""),"Carga de batán sin litros | ","")&amp;IF(AND($AA224&lt;&gt;"",$AC224&lt;0),"Supera saldo batán | ","")))-3)))</f>
        <v/>
      </c>
      <c r="Z224" s="8" t="str">
        <f t="shared" si="28"/>
        <v/>
      </c>
      <c r="AA224" s="4"/>
      <c r="AB224" s="26" t="str">
        <f>IF($AA224="","",IFERROR(INDEX('CONTROL DE BATAN'!$J$2:$J$301,MATCH($AA224,'CONTROL DE BATAN'!$A$2:$A$301,0)),""))</f>
        <v/>
      </c>
      <c r="AC224" s="28" t="str">
        <f>IF($AA224="","",IFERROR(INDEX('CONTROL DE BATAN'!$I$2:$I$301,MATCH($AA224,'CONTROL DE BATAN'!$A$2:$A$301,0)),0)-SUMIFS($N$2:$N224,$AA$2:$AA224,$AA224))</f>
        <v/>
      </c>
    </row>
    <row r="225" spans="1:29" x14ac:dyDescent="0.25">
      <c r="A225" s="8" t="str">
        <f t="shared" si="22"/>
        <v/>
      </c>
      <c r="B225" s="9"/>
      <c r="C225" s="8" t="str">
        <f t="shared" si="23"/>
        <v/>
      </c>
      <c r="D225" s="10" t="str">
        <f t="shared" si="24"/>
        <v/>
      </c>
      <c r="E225" s="8" t="str">
        <f t="shared" si="25"/>
        <v/>
      </c>
      <c r="F225" s="8" t="str">
        <f>IF($G225="","",IFERROR(INDEX('MAESTRO DE UNIDADES'!$C$2:$C$208,MATCH($G225,'MAESTRO DE UNIDADES'!$A$2:$A$208,0)),""))</f>
        <v/>
      </c>
      <c r="G225" s="4"/>
      <c r="H225" s="8" t="str">
        <f>IF($G225="","",IFERROR(INDEX('MAESTRO DE UNIDADES'!$F$2:$F$208,MATCH($G225,'MAESTRO DE UNIDADES'!$A$2:$A$208,0)),""))</f>
        <v/>
      </c>
      <c r="I225" s="8" t="str">
        <f>IF($G225="","",IFERROR(INDEX('MAESTRO DE UNIDADES'!$B$2:$B$208,MATCH($G225,'MAESTRO DE UNIDADES'!$A$2:$A$208,0)),""))</f>
        <v/>
      </c>
      <c r="J225" s="4"/>
      <c r="K225" s="4"/>
      <c r="L225" s="4"/>
      <c r="M225" s="8" t="str">
        <f>IF($G225="","",IFERROR(INDEX('MAESTRO DE UNIDADES'!$H$2:$H$208,MATCH($G225,'MAESTRO DE UNIDADES'!$A$2:$A$208,0)),""))</f>
        <v/>
      </c>
      <c r="N225" s="25"/>
      <c r="O225" s="25"/>
      <c r="P225" s="26" t="str">
        <f t="shared" si="26"/>
        <v/>
      </c>
      <c r="Q225" s="27"/>
      <c r="R225" s="27"/>
      <c r="S225" s="28" t="str">
        <f>IF(OR($G225="",$Q225="",COUNTIF($G$2:G224,$G225)=0),"",$Q225-LOOKUP(2,1/($G$2:G224=$G225),$Q$2:Q224))</f>
        <v/>
      </c>
      <c r="T225" s="28" t="str">
        <f>IF(OR($G225="",$R225="",COUNTIF($G$2:G224,$G225)=0),"",$R225-LOOKUP(2,1/($G$2:G224=$G225),$R$2:R224))</f>
        <v/>
      </c>
      <c r="U225" s="11" t="str">
        <f t="shared" si="27"/>
        <v/>
      </c>
      <c r="V225" s="4"/>
      <c r="W225" s="4"/>
      <c r="X225" s="55"/>
      <c r="Y225" s="56" t="str">
        <f>IF($B225="","",IF((IF($G225="","Sin unidad | ","")&amp;IF($J225="","Sin responsable | ","")&amp;IF($K225="","Sin obra | ","")&amp;IF(AND($N225&lt;&gt;"",$G225&lt;&gt;"",$N225&gt;IFERROR(INDEX('MAESTRO DE UNIDADES'!$I$2:$I$208,MATCH($G225,'MAESTRO DE UNIDADES'!$A$2:$A$208,0)),0)),"Litros &gt; tanque | ","")&amp;IF(AND($W225&lt;&gt;"",COUNTIF($W$2:$W225,$W225)&gt;1),"Ticket duplicado | ","")&amp;IF(AND($G225&lt;&gt;"",IFERROR(INDEX('MAESTRO DE UNIDADES'!$L$2:$L$208,MATCH($G225,'MAESTRO DE UNIDADES'!$A$2:$A$208,0)),"")="Inactivo"),"Unidad inactiva | ","")&amp;IF(AND($AA225&lt;&gt;"",$N225=""),"Carga de batán sin litros | ","")&amp;IF(AND($AA225&lt;&gt;"",$AC225&lt;0),"Supera saldo batán | ",""))="","OK",LEFT((IF($G225="","Sin unidad | ","")&amp;IF($J225="","Sin responsable | ","")&amp;IF($K225="","Sin obra | ","")&amp;IF(AND($N225&lt;&gt;"",$G225&lt;&gt;"",$N225&gt;IFERROR(INDEX('MAESTRO DE UNIDADES'!$I$2:$I$208,MATCH($G225,'MAESTRO DE UNIDADES'!$A$2:$A$208,0)),0)),"Litros &gt; tanque | ","")&amp;IF(AND($W225&lt;&gt;"",COUNTIF($W$2:$W225,$W225)&gt;1),"Ticket duplicado | ","")&amp;IF(AND($G225&lt;&gt;"",IFERROR(INDEX('MAESTRO DE UNIDADES'!$L$2:$L$208,MATCH($G225,'MAESTRO DE UNIDADES'!$A$2:$A$208,0)),"")="Inactivo"),"Unidad inactiva | ","")&amp;IF(AND($AA225&lt;&gt;"",$N225=""),"Carga de batán sin litros | ","")&amp;IF(AND($AA225&lt;&gt;"",$AC225&lt;0),"Supera saldo batán | ","")),LEN((IF($G225="","Sin unidad | ","")&amp;IF($J225="","Sin responsable | ","")&amp;IF($K225="","Sin obra | ","")&amp;IF(AND($N225&lt;&gt;"",$G225&lt;&gt;"",$N225&gt;IFERROR(INDEX('MAESTRO DE UNIDADES'!$I$2:$I$208,MATCH($G225,'MAESTRO DE UNIDADES'!$A$2:$A$208,0)),0)),"Litros &gt; tanque | ","")&amp;IF(AND($W225&lt;&gt;"",COUNTIF($W$2:$W225,$W225)&gt;1),"Ticket duplicado | ","")&amp;IF(AND($G225&lt;&gt;"",IFERROR(INDEX('MAESTRO DE UNIDADES'!$L$2:$L$208,MATCH($G225,'MAESTRO DE UNIDADES'!$A$2:$A$208,0)),"")="Inactivo"),"Unidad inactiva | ","")&amp;IF(AND($AA225&lt;&gt;"",$N225=""),"Carga de batán sin litros | ","")&amp;IF(AND($AA225&lt;&gt;"",$AC225&lt;0),"Supera saldo batán | ","")))-3)))</f>
        <v/>
      </c>
      <c r="Z225" s="8" t="str">
        <f t="shared" si="28"/>
        <v/>
      </c>
      <c r="AA225" s="4"/>
      <c r="AB225" s="26" t="str">
        <f>IF($AA225="","",IFERROR(INDEX('CONTROL DE BATAN'!$J$2:$J$301,MATCH($AA225,'CONTROL DE BATAN'!$A$2:$A$301,0)),""))</f>
        <v/>
      </c>
      <c r="AC225" s="28" t="str">
        <f>IF($AA225="","",IFERROR(INDEX('CONTROL DE BATAN'!$I$2:$I$301,MATCH($AA225,'CONTROL DE BATAN'!$A$2:$A$301,0)),0)-SUMIFS($N$2:$N225,$AA$2:$AA225,$AA225))</f>
        <v/>
      </c>
    </row>
    <row r="226" spans="1:29" x14ac:dyDescent="0.25">
      <c r="A226" s="8" t="str">
        <f t="shared" si="22"/>
        <v/>
      </c>
      <c r="B226" s="9"/>
      <c r="C226" s="8" t="str">
        <f t="shared" si="23"/>
        <v/>
      </c>
      <c r="D226" s="10" t="str">
        <f t="shared" si="24"/>
        <v/>
      </c>
      <c r="E226" s="8" t="str">
        <f t="shared" si="25"/>
        <v/>
      </c>
      <c r="F226" s="8" t="str">
        <f>IF($G226="","",IFERROR(INDEX('MAESTRO DE UNIDADES'!$C$2:$C$208,MATCH($G226,'MAESTRO DE UNIDADES'!$A$2:$A$208,0)),""))</f>
        <v/>
      </c>
      <c r="G226" s="4"/>
      <c r="H226" s="8" t="str">
        <f>IF($G226="","",IFERROR(INDEX('MAESTRO DE UNIDADES'!$F$2:$F$208,MATCH($G226,'MAESTRO DE UNIDADES'!$A$2:$A$208,0)),""))</f>
        <v/>
      </c>
      <c r="I226" s="8" t="str">
        <f>IF($G226="","",IFERROR(INDEX('MAESTRO DE UNIDADES'!$B$2:$B$208,MATCH($G226,'MAESTRO DE UNIDADES'!$A$2:$A$208,0)),""))</f>
        <v/>
      </c>
      <c r="J226" s="4"/>
      <c r="K226" s="4"/>
      <c r="L226" s="4"/>
      <c r="M226" s="8" t="str">
        <f>IF($G226="","",IFERROR(INDEX('MAESTRO DE UNIDADES'!$H$2:$H$208,MATCH($G226,'MAESTRO DE UNIDADES'!$A$2:$A$208,0)),""))</f>
        <v/>
      </c>
      <c r="N226" s="25"/>
      <c r="O226" s="25"/>
      <c r="P226" s="26" t="str">
        <f t="shared" si="26"/>
        <v/>
      </c>
      <c r="Q226" s="27"/>
      <c r="R226" s="27"/>
      <c r="S226" s="28" t="str">
        <f>IF(OR($G226="",$Q226="",COUNTIF($G$2:G225,$G226)=0),"",$Q226-LOOKUP(2,1/($G$2:G225=$G226),$Q$2:Q225))</f>
        <v/>
      </c>
      <c r="T226" s="28" t="str">
        <f>IF(OR($G226="",$R226="",COUNTIF($G$2:G225,$G226)=0),"",$R226-LOOKUP(2,1/($G$2:G225=$G226),$R$2:R225))</f>
        <v/>
      </c>
      <c r="U226" s="11" t="str">
        <f t="shared" si="27"/>
        <v/>
      </c>
      <c r="V226" s="4"/>
      <c r="W226" s="4"/>
      <c r="X226" s="55"/>
      <c r="Y226" s="56" t="str">
        <f>IF($B226="","",IF((IF($G226="","Sin unidad | ","")&amp;IF($J226="","Sin responsable | ","")&amp;IF($K226="","Sin obra | ","")&amp;IF(AND($N226&lt;&gt;"",$G226&lt;&gt;"",$N226&gt;IFERROR(INDEX('MAESTRO DE UNIDADES'!$I$2:$I$208,MATCH($G226,'MAESTRO DE UNIDADES'!$A$2:$A$208,0)),0)),"Litros &gt; tanque | ","")&amp;IF(AND($W226&lt;&gt;"",COUNTIF($W$2:$W226,$W226)&gt;1),"Ticket duplicado | ","")&amp;IF(AND($G226&lt;&gt;"",IFERROR(INDEX('MAESTRO DE UNIDADES'!$L$2:$L$208,MATCH($G226,'MAESTRO DE UNIDADES'!$A$2:$A$208,0)),"")="Inactivo"),"Unidad inactiva | ","")&amp;IF(AND($AA226&lt;&gt;"",$N226=""),"Carga de batán sin litros | ","")&amp;IF(AND($AA226&lt;&gt;"",$AC226&lt;0),"Supera saldo batán | ",""))="","OK",LEFT((IF($G226="","Sin unidad | ","")&amp;IF($J226="","Sin responsable | ","")&amp;IF($K226="","Sin obra | ","")&amp;IF(AND($N226&lt;&gt;"",$G226&lt;&gt;"",$N226&gt;IFERROR(INDEX('MAESTRO DE UNIDADES'!$I$2:$I$208,MATCH($G226,'MAESTRO DE UNIDADES'!$A$2:$A$208,0)),0)),"Litros &gt; tanque | ","")&amp;IF(AND($W226&lt;&gt;"",COUNTIF($W$2:$W226,$W226)&gt;1),"Ticket duplicado | ","")&amp;IF(AND($G226&lt;&gt;"",IFERROR(INDEX('MAESTRO DE UNIDADES'!$L$2:$L$208,MATCH($G226,'MAESTRO DE UNIDADES'!$A$2:$A$208,0)),"")="Inactivo"),"Unidad inactiva | ","")&amp;IF(AND($AA226&lt;&gt;"",$N226=""),"Carga de batán sin litros | ","")&amp;IF(AND($AA226&lt;&gt;"",$AC226&lt;0),"Supera saldo batán | ","")),LEN((IF($G226="","Sin unidad | ","")&amp;IF($J226="","Sin responsable | ","")&amp;IF($K226="","Sin obra | ","")&amp;IF(AND($N226&lt;&gt;"",$G226&lt;&gt;"",$N226&gt;IFERROR(INDEX('MAESTRO DE UNIDADES'!$I$2:$I$208,MATCH($G226,'MAESTRO DE UNIDADES'!$A$2:$A$208,0)),0)),"Litros &gt; tanque | ","")&amp;IF(AND($W226&lt;&gt;"",COUNTIF($W$2:$W226,$W226)&gt;1),"Ticket duplicado | ","")&amp;IF(AND($G226&lt;&gt;"",IFERROR(INDEX('MAESTRO DE UNIDADES'!$L$2:$L$208,MATCH($G226,'MAESTRO DE UNIDADES'!$A$2:$A$208,0)),"")="Inactivo"),"Unidad inactiva | ","")&amp;IF(AND($AA226&lt;&gt;"",$N226=""),"Carga de batán sin litros | ","")&amp;IF(AND($AA226&lt;&gt;"",$AC226&lt;0),"Supera saldo batán | ","")))-3)))</f>
        <v/>
      </c>
      <c r="Z226" s="8" t="str">
        <f t="shared" si="28"/>
        <v/>
      </c>
      <c r="AA226" s="4"/>
      <c r="AB226" s="26" t="str">
        <f>IF($AA226="","",IFERROR(INDEX('CONTROL DE BATAN'!$J$2:$J$301,MATCH($AA226,'CONTROL DE BATAN'!$A$2:$A$301,0)),""))</f>
        <v/>
      </c>
      <c r="AC226" s="28" t="str">
        <f>IF($AA226="","",IFERROR(INDEX('CONTROL DE BATAN'!$I$2:$I$301,MATCH($AA226,'CONTROL DE BATAN'!$A$2:$A$301,0)),0)-SUMIFS($N$2:$N226,$AA$2:$AA226,$AA226))</f>
        <v/>
      </c>
    </row>
    <row r="227" spans="1:29" x14ac:dyDescent="0.25">
      <c r="A227" s="8" t="str">
        <f t="shared" si="22"/>
        <v/>
      </c>
      <c r="B227" s="9"/>
      <c r="C227" s="8" t="str">
        <f t="shared" si="23"/>
        <v/>
      </c>
      <c r="D227" s="10" t="str">
        <f t="shared" si="24"/>
        <v/>
      </c>
      <c r="E227" s="8" t="str">
        <f t="shared" si="25"/>
        <v/>
      </c>
      <c r="F227" s="8" t="str">
        <f>IF($G227="","",IFERROR(INDEX('MAESTRO DE UNIDADES'!$C$2:$C$208,MATCH($G227,'MAESTRO DE UNIDADES'!$A$2:$A$208,0)),""))</f>
        <v/>
      </c>
      <c r="G227" s="4"/>
      <c r="H227" s="8" t="str">
        <f>IF($G227="","",IFERROR(INDEX('MAESTRO DE UNIDADES'!$F$2:$F$208,MATCH($G227,'MAESTRO DE UNIDADES'!$A$2:$A$208,0)),""))</f>
        <v/>
      </c>
      <c r="I227" s="8" t="str">
        <f>IF($G227="","",IFERROR(INDEX('MAESTRO DE UNIDADES'!$B$2:$B$208,MATCH($G227,'MAESTRO DE UNIDADES'!$A$2:$A$208,0)),""))</f>
        <v/>
      </c>
      <c r="J227" s="4"/>
      <c r="K227" s="4"/>
      <c r="L227" s="4"/>
      <c r="M227" s="8" t="str">
        <f>IF($G227="","",IFERROR(INDEX('MAESTRO DE UNIDADES'!$H$2:$H$208,MATCH($G227,'MAESTRO DE UNIDADES'!$A$2:$A$208,0)),""))</f>
        <v/>
      </c>
      <c r="N227" s="25"/>
      <c r="O227" s="25"/>
      <c r="P227" s="26" t="str">
        <f t="shared" si="26"/>
        <v/>
      </c>
      <c r="Q227" s="27"/>
      <c r="R227" s="27"/>
      <c r="S227" s="28" t="str">
        <f>IF(OR($G227="",$Q227="",COUNTIF($G$2:G226,$G227)=0),"",$Q227-LOOKUP(2,1/($G$2:G226=$G227),$Q$2:Q226))</f>
        <v/>
      </c>
      <c r="T227" s="28" t="str">
        <f>IF(OR($G227="",$R227="",COUNTIF($G$2:G226,$G227)=0),"",$R227-LOOKUP(2,1/($G$2:G226=$G227),$R$2:R226))</f>
        <v/>
      </c>
      <c r="U227" s="11" t="str">
        <f t="shared" si="27"/>
        <v/>
      </c>
      <c r="V227" s="4"/>
      <c r="W227" s="4"/>
      <c r="X227" s="55"/>
      <c r="Y227" s="56" t="str">
        <f>IF($B227="","",IF((IF($G227="","Sin unidad | ","")&amp;IF($J227="","Sin responsable | ","")&amp;IF($K227="","Sin obra | ","")&amp;IF(AND($N227&lt;&gt;"",$G227&lt;&gt;"",$N227&gt;IFERROR(INDEX('MAESTRO DE UNIDADES'!$I$2:$I$208,MATCH($G227,'MAESTRO DE UNIDADES'!$A$2:$A$208,0)),0)),"Litros &gt; tanque | ","")&amp;IF(AND($W227&lt;&gt;"",COUNTIF($W$2:$W227,$W227)&gt;1),"Ticket duplicado | ","")&amp;IF(AND($G227&lt;&gt;"",IFERROR(INDEX('MAESTRO DE UNIDADES'!$L$2:$L$208,MATCH($G227,'MAESTRO DE UNIDADES'!$A$2:$A$208,0)),"")="Inactivo"),"Unidad inactiva | ","")&amp;IF(AND($AA227&lt;&gt;"",$N227=""),"Carga de batán sin litros | ","")&amp;IF(AND($AA227&lt;&gt;"",$AC227&lt;0),"Supera saldo batán | ",""))="","OK",LEFT((IF($G227="","Sin unidad | ","")&amp;IF($J227="","Sin responsable | ","")&amp;IF($K227="","Sin obra | ","")&amp;IF(AND($N227&lt;&gt;"",$G227&lt;&gt;"",$N227&gt;IFERROR(INDEX('MAESTRO DE UNIDADES'!$I$2:$I$208,MATCH($G227,'MAESTRO DE UNIDADES'!$A$2:$A$208,0)),0)),"Litros &gt; tanque | ","")&amp;IF(AND($W227&lt;&gt;"",COUNTIF($W$2:$W227,$W227)&gt;1),"Ticket duplicado | ","")&amp;IF(AND($G227&lt;&gt;"",IFERROR(INDEX('MAESTRO DE UNIDADES'!$L$2:$L$208,MATCH($G227,'MAESTRO DE UNIDADES'!$A$2:$A$208,0)),"")="Inactivo"),"Unidad inactiva | ","")&amp;IF(AND($AA227&lt;&gt;"",$N227=""),"Carga de batán sin litros | ","")&amp;IF(AND($AA227&lt;&gt;"",$AC227&lt;0),"Supera saldo batán | ","")),LEN((IF($G227="","Sin unidad | ","")&amp;IF($J227="","Sin responsable | ","")&amp;IF($K227="","Sin obra | ","")&amp;IF(AND($N227&lt;&gt;"",$G227&lt;&gt;"",$N227&gt;IFERROR(INDEX('MAESTRO DE UNIDADES'!$I$2:$I$208,MATCH($G227,'MAESTRO DE UNIDADES'!$A$2:$A$208,0)),0)),"Litros &gt; tanque | ","")&amp;IF(AND($W227&lt;&gt;"",COUNTIF($W$2:$W227,$W227)&gt;1),"Ticket duplicado | ","")&amp;IF(AND($G227&lt;&gt;"",IFERROR(INDEX('MAESTRO DE UNIDADES'!$L$2:$L$208,MATCH($G227,'MAESTRO DE UNIDADES'!$A$2:$A$208,0)),"")="Inactivo"),"Unidad inactiva | ","")&amp;IF(AND($AA227&lt;&gt;"",$N227=""),"Carga de batán sin litros | ","")&amp;IF(AND($AA227&lt;&gt;"",$AC227&lt;0),"Supera saldo batán | ","")))-3)))</f>
        <v/>
      </c>
      <c r="Z227" s="8" t="str">
        <f t="shared" si="28"/>
        <v/>
      </c>
      <c r="AA227" s="4"/>
      <c r="AB227" s="26" t="str">
        <f>IF($AA227="","",IFERROR(INDEX('CONTROL DE BATAN'!$J$2:$J$301,MATCH($AA227,'CONTROL DE BATAN'!$A$2:$A$301,0)),""))</f>
        <v/>
      </c>
      <c r="AC227" s="28" t="str">
        <f>IF($AA227="","",IFERROR(INDEX('CONTROL DE BATAN'!$I$2:$I$301,MATCH($AA227,'CONTROL DE BATAN'!$A$2:$A$301,0)),0)-SUMIFS($N$2:$N227,$AA$2:$AA227,$AA227))</f>
        <v/>
      </c>
    </row>
    <row r="228" spans="1:29" x14ac:dyDescent="0.25">
      <c r="A228" s="8" t="str">
        <f t="shared" si="22"/>
        <v/>
      </c>
      <c r="B228" s="9"/>
      <c r="C228" s="8" t="str">
        <f t="shared" si="23"/>
        <v/>
      </c>
      <c r="D228" s="10" t="str">
        <f t="shared" si="24"/>
        <v/>
      </c>
      <c r="E228" s="8" t="str">
        <f t="shared" si="25"/>
        <v/>
      </c>
      <c r="F228" s="8" t="str">
        <f>IF($G228="","",IFERROR(INDEX('MAESTRO DE UNIDADES'!$C$2:$C$208,MATCH($G228,'MAESTRO DE UNIDADES'!$A$2:$A$208,0)),""))</f>
        <v/>
      </c>
      <c r="G228" s="4"/>
      <c r="H228" s="8" t="str">
        <f>IF($G228="","",IFERROR(INDEX('MAESTRO DE UNIDADES'!$F$2:$F$208,MATCH($G228,'MAESTRO DE UNIDADES'!$A$2:$A$208,0)),""))</f>
        <v/>
      </c>
      <c r="I228" s="8" t="str">
        <f>IF($G228="","",IFERROR(INDEX('MAESTRO DE UNIDADES'!$B$2:$B$208,MATCH($G228,'MAESTRO DE UNIDADES'!$A$2:$A$208,0)),""))</f>
        <v/>
      </c>
      <c r="J228" s="4"/>
      <c r="K228" s="4"/>
      <c r="L228" s="4"/>
      <c r="M228" s="8" t="str">
        <f>IF($G228="","",IFERROR(INDEX('MAESTRO DE UNIDADES'!$H$2:$H$208,MATCH($G228,'MAESTRO DE UNIDADES'!$A$2:$A$208,0)),""))</f>
        <v/>
      </c>
      <c r="N228" s="25"/>
      <c r="O228" s="25"/>
      <c r="P228" s="26" t="str">
        <f t="shared" si="26"/>
        <v/>
      </c>
      <c r="Q228" s="27"/>
      <c r="R228" s="27"/>
      <c r="S228" s="28" t="str">
        <f>IF(OR($G228="",$Q228="",COUNTIF($G$2:G227,$G228)=0),"",$Q228-LOOKUP(2,1/($G$2:G227=$G228),$Q$2:Q227))</f>
        <v/>
      </c>
      <c r="T228" s="28" t="str">
        <f>IF(OR($G228="",$R228="",COUNTIF($G$2:G227,$G228)=0),"",$R228-LOOKUP(2,1/($G$2:G227=$G228),$R$2:R227))</f>
        <v/>
      </c>
      <c r="U228" s="11" t="str">
        <f t="shared" si="27"/>
        <v/>
      </c>
      <c r="V228" s="4"/>
      <c r="W228" s="4"/>
      <c r="X228" s="55"/>
      <c r="Y228" s="56" t="str">
        <f>IF($B228="","",IF((IF($G228="","Sin unidad | ","")&amp;IF($J228="","Sin responsable | ","")&amp;IF($K228="","Sin obra | ","")&amp;IF(AND($N228&lt;&gt;"",$G228&lt;&gt;"",$N228&gt;IFERROR(INDEX('MAESTRO DE UNIDADES'!$I$2:$I$208,MATCH($G228,'MAESTRO DE UNIDADES'!$A$2:$A$208,0)),0)),"Litros &gt; tanque | ","")&amp;IF(AND($W228&lt;&gt;"",COUNTIF($W$2:$W228,$W228)&gt;1),"Ticket duplicado | ","")&amp;IF(AND($G228&lt;&gt;"",IFERROR(INDEX('MAESTRO DE UNIDADES'!$L$2:$L$208,MATCH($G228,'MAESTRO DE UNIDADES'!$A$2:$A$208,0)),"")="Inactivo"),"Unidad inactiva | ","")&amp;IF(AND($AA228&lt;&gt;"",$N228=""),"Carga de batán sin litros | ","")&amp;IF(AND($AA228&lt;&gt;"",$AC228&lt;0),"Supera saldo batán | ",""))="","OK",LEFT((IF($G228="","Sin unidad | ","")&amp;IF($J228="","Sin responsable | ","")&amp;IF($K228="","Sin obra | ","")&amp;IF(AND($N228&lt;&gt;"",$G228&lt;&gt;"",$N228&gt;IFERROR(INDEX('MAESTRO DE UNIDADES'!$I$2:$I$208,MATCH($G228,'MAESTRO DE UNIDADES'!$A$2:$A$208,0)),0)),"Litros &gt; tanque | ","")&amp;IF(AND($W228&lt;&gt;"",COUNTIF($W$2:$W228,$W228)&gt;1),"Ticket duplicado | ","")&amp;IF(AND($G228&lt;&gt;"",IFERROR(INDEX('MAESTRO DE UNIDADES'!$L$2:$L$208,MATCH($G228,'MAESTRO DE UNIDADES'!$A$2:$A$208,0)),"")="Inactivo"),"Unidad inactiva | ","")&amp;IF(AND($AA228&lt;&gt;"",$N228=""),"Carga de batán sin litros | ","")&amp;IF(AND($AA228&lt;&gt;"",$AC228&lt;0),"Supera saldo batán | ","")),LEN((IF($G228="","Sin unidad | ","")&amp;IF($J228="","Sin responsable | ","")&amp;IF($K228="","Sin obra | ","")&amp;IF(AND($N228&lt;&gt;"",$G228&lt;&gt;"",$N228&gt;IFERROR(INDEX('MAESTRO DE UNIDADES'!$I$2:$I$208,MATCH($G228,'MAESTRO DE UNIDADES'!$A$2:$A$208,0)),0)),"Litros &gt; tanque | ","")&amp;IF(AND($W228&lt;&gt;"",COUNTIF($W$2:$W228,$W228)&gt;1),"Ticket duplicado | ","")&amp;IF(AND($G228&lt;&gt;"",IFERROR(INDEX('MAESTRO DE UNIDADES'!$L$2:$L$208,MATCH($G228,'MAESTRO DE UNIDADES'!$A$2:$A$208,0)),"")="Inactivo"),"Unidad inactiva | ","")&amp;IF(AND($AA228&lt;&gt;"",$N228=""),"Carga de batán sin litros | ","")&amp;IF(AND($AA228&lt;&gt;"",$AC228&lt;0),"Supera saldo batán | ","")))-3)))</f>
        <v/>
      </c>
      <c r="Z228" s="8" t="str">
        <f t="shared" si="28"/>
        <v/>
      </c>
      <c r="AA228" s="4"/>
      <c r="AB228" s="26" t="str">
        <f>IF($AA228="","",IFERROR(INDEX('CONTROL DE BATAN'!$J$2:$J$301,MATCH($AA228,'CONTROL DE BATAN'!$A$2:$A$301,0)),""))</f>
        <v/>
      </c>
      <c r="AC228" s="28" t="str">
        <f>IF($AA228="","",IFERROR(INDEX('CONTROL DE BATAN'!$I$2:$I$301,MATCH($AA228,'CONTROL DE BATAN'!$A$2:$A$301,0)),0)-SUMIFS($N$2:$N228,$AA$2:$AA228,$AA228))</f>
        <v/>
      </c>
    </row>
    <row r="229" spans="1:29" x14ac:dyDescent="0.25">
      <c r="A229" s="8" t="str">
        <f t="shared" si="22"/>
        <v/>
      </c>
      <c r="B229" s="9"/>
      <c r="C229" s="8" t="str">
        <f t="shared" si="23"/>
        <v/>
      </c>
      <c r="D229" s="10" t="str">
        <f t="shared" si="24"/>
        <v/>
      </c>
      <c r="E229" s="8" t="str">
        <f t="shared" si="25"/>
        <v/>
      </c>
      <c r="F229" s="8" t="str">
        <f>IF($G229="","",IFERROR(INDEX('MAESTRO DE UNIDADES'!$C$2:$C$208,MATCH($G229,'MAESTRO DE UNIDADES'!$A$2:$A$208,0)),""))</f>
        <v/>
      </c>
      <c r="G229" s="4"/>
      <c r="H229" s="8" t="str">
        <f>IF($G229="","",IFERROR(INDEX('MAESTRO DE UNIDADES'!$F$2:$F$208,MATCH($G229,'MAESTRO DE UNIDADES'!$A$2:$A$208,0)),""))</f>
        <v/>
      </c>
      <c r="I229" s="8" t="str">
        <f>IF($G229="","",IFERROR(INDEX('MAESTRO DE UNIDADES'!$B$2:$B$208,MATCH($G229,'MAESTRO DE UNIDADES'!$A$2:$A$208,0)),""))</f>
        <v/>
      </c>
      <c r="J229" s="4"/>
      <c r="K229" s="4"/>
      <c r="L229" s="4"/>
      <c r="M229" s="8" t="str">
        <f>IF($G229="","",IFERROR(INDEX('MAESTRO DE UNIDADES'!$H$2:$H$208,MATCH($G229,'MAESTRO DE UNIDADES'!$A$2:$A$208,0)),""))</f>
        <v/>
      </c>
      <c r="N229" s="25"/>
      <c r="O229" s="25"/>
      <c r="P229" s="26" t="str">
        <f t="shared" si="26"/>
        <v/>
      </c>
      <c r="Q229" s="27"/>
      <c r="R229" s="27"/>
      <c r="S229" s="28" t="str">
        <f>IF(OR($G229="",$Q229="",COUNTIF($G$2:G228,$G229)=0),"",$Q229-LOOKUP(2,1/($G$2:G228=$G229),$Q$2:Q228))</f>
        <v/>
      </c>
      <c r="T229" s="28" t="str">
        <f>IF(OR($G229="",$R229="",COUNTIF($G$2:G228,$G229)=0),"",$R229-LOOKUP(2,1/($G$2:G228=$G229),$R$2:R228))</f>
        <v/>
      </c>
      <c r="U229" s="11" t="str">
        <f t="shared" si="27"/>
        <v/>
      </c>
      <c r="V229" s="4"/>
      <c r="W229" s="4"/>
      <c r="X229" s="55"/>
      <c r="Y229" s="56" t="str">
        <f>IF($B229="","",IF((IF($G229="","Sin unidad | ","")&amp;IF($J229="","Sin responsable | ","")&amp;IF($K229="","Sin obra | ","")&amp;IF(AND($N229&lt;&gt;"",$G229&lt;&gt;"",$N229&gt;IFERROR(INDEX('MAESTRO DE UNIDADES'!$I$2:$I$208,MATCH($G229,'MAESTRO DE UNIDADES'!$A$2:$A$208,0)),0)),"Litros &gt; tanque | ","")&amp;IF(AND($W229&lt;&gt;"",COUNTIF($W$2:$W229,$W229)&gt;1),"Ticket duplicado | ","")&amp;IF(AND($G229&lt;&gt;"",IFERROR(INDEX('MAESTRO DE UNIDADES'!$L$2:$L$208,MATCH($G229,'MAESTRO DE UNIDADES'!$A$2:$A$208,0)),"")="Inactivo"),"Unidad inactiva | ","")&amp;IF(AND($AA229&lt;&gt;"",$N229=""),"Carga de batán sin litros | ","")&amp;IF(AND($AA229&lt;&gt;"",$AC229&lt;0),"Supera saldo batán | ",""))="","OK",LEFT((IF($G229="","Sin unidad | ","")&amp;IF($J229="","Sin responsable | ","")&amp;IF($K229="","Sin obra | ","")&amp;IF(AND($N229&lt;&gt;"",$G229&lt;&gt;"",$N229&gt;IFERROR(INDEX('MAESTRO DE UNIDADES'!$I$2:$I$208,MATCH($G229,'MAESTRO DE UNIDADES'!$A$2:$A$208,0)),0)),"Litros &gt; tanque | ","")&amp;IF(AND($W229&lt;&gt;"",COUNTIF($W$2:$W229,$W229)&gt;1),"Ticket duplicado | ","")&amp;IF(AND($G229&lt;&gt;"",IFERROR(INDEX('MAESTRO DE UNIDADES'!$L$2:$L$208,MATCH($G229,'MAESTRO DE UNIDADES'!$A$2:$A$208,0)),"")="Inactivo"),"Unidad inactiva | ","")&amp;IF(AND($AA229&lt;&gt;"",$N229=""),"Carga de batán sin litros | ","")&amp;IF(AND($AA229&lt;&gt;"",$AC229&lt;0),"Supera saldo batán | ","")),LEN((IF($G229="","Sin unidad | ","")&amp;IF($J229="","Sin responsable | ","")&amp;IF($K229="","Sin obra | ","")&amp;IF(AND($N229&lt;&gt;"",$G229&lt;&gt;"",$N229&gt;IFERROR(INDEX('MAESTRO DE UNIDADES'!$I$2:$I$208,MATCH($G229,'MAESTRO DE UNIDADES'!$A$2:$A$208,0)),0)),"Litros &gt; tanque | ","")&amp;IF(AND($W229&lt;&gt;"",COUNTIF($W$2:$W229,$W229)&gt;1),"Ticket duplicado | ","")&amp;IF(AND($G229&lt;&gt;"",IFERROR(INDEX('MAESTRO DE UNIDADES'!$L$2:$L$208,MATCH($G229,'MAESTRO DE UNIDADES'!$A$2:$A$208,0)),"")="Inactivo"),"Unidad inactiva | ","")&amp;IF(AND($AA229&lt;&gt;"",$N229=""),"Carga de batán sin litros | ","")&amp;IF(AND($AA229&lt;&gt;"",$AC229&lt;0),"Supera saldo batán | ","")))-3)))</f>
        <v/>
      </c>
      <c r="Z229" s="8" t="str">
        <f t="shared" si="28"/>
        <v/>
      </c>
      <c r="AA229" s="4"/>
      <c r="AB229" s="26" t="str">
        <f>IF($AA229="","",IFERROR(INDEX('CONTROL DE BATAN'!$J$2:$J$301,MATCH($AA229,'CONTROL DE BATAN'!$A$2:$A$301,0)),""))</f>
        <v/>
      </c>
      <c r="AC229" s="28" t="str">
        <f>IF($AA229="","",IFERROR(INDEX('CONTROL DE BATAN'!$I$2:$I$301,MATCH($AA229,'CONTROL DE BATAN'!$A$2:$A$301,0)),0)-SUMIFS($N$2:$N229,$AA$2:$AA229,$AA229))</f>
        <v/>
      </c>
    </row>
    <row r="230" spans="1:29" x14ac:dyDescent="0.25">
      <c r="A230" s="8" t="str">
        <f t="shared" si="22"/>
        <v/>
      </c>
      <c r="B230" s="9"/>
      <c r="C230" s="8" t="str">
        <f t="shared" si="23"/>
        <v/>
      </c>
      <c r="D230" s="10" t="str">
        <f t="shared" si="24"/>
        <v/>
      </c>
      <c r="E230" s="8" t="str">
        <f t="shared" si="25"/>
        <v/>
      </c>
      <c r="F230" s="8" t="str">
        <f>IF($G230="","",IFERROR(INDEX('MAESTRO DE UNIDADES'!$C$2:$C$208,MATCH($G230,'MAESTRO DE UNIDADES'!$A$2:$A$208,0)),""))</f>
        <v/>
      </c>
      <c r="G230" s="4"/>
      <c r="H230" s="8" t="str">
        <f>IF($G230="","",IFERROR(INDEX('MAESTRO DE UNIDADES'!$F$2:$F$208,MATCH($G230,'MAESTRO DE UNIDADES'!$A$2:$A$208,0)),""))</f>
        <v/>
      </c>
      <c r="I230" s="8" t="str">
        <f>IF($G230="","",IFERROR(INDEX('MAESTRO DE UNIDADES'!$B$2:$B$208,MATCH($G230,'MAESTRO DE UNIDADES'!$A$2:$A$208,0)),""))</f>
        <v/>
      </c>
      <c r="J230" s="4"/>
      <c r="K230" s="4"/>
      <c r="L230" s="4"/>
      <c r="M230" s="8" t="str">
        <f>IF($G230="","",IFERROR(INDEX('MAESTRO DE UNIDADES'!$H$2:$H$208,MATCH($G230,'MAESTRO DE UNIDADES'!$A$2:$A$208,0)),""))</f>
        <v/>
      </c>
      <c r="N230" s="25"/>
      <c r="O230" s="25"/>
      <c r="P230" s="26" t="str">
        <f t="shared" si="26"/>
        <v/>
      </c>
      <c r="Q230" s="27"/>
      <c r="R230" s="27"/>
      <c r="S230" s="28" t="str">
        <f>IF(OR($G230="",$Q230="",COUNTIF($G$2:G229,$G230)=0),"",$Q230-LOOKUP(2,1/($G$2:G229=$G230),$Q$2:Q229))</f>
        <v/>
      </c>
      <c r="T230" s="28" t="str">
        <f>IF(OR($G230="",$R230="",COUNTIF($G$2:G229,$G230)=0),"",$R230-LOOKUP(2,1/($G$2:G229=$G230),$R$2:R229))</f>
        <v/>
      </c>
      <c r="U230" s="11" t="str">
        <f t="shared" si="27"/>
        <v/>
      </c>
      <c r="V230" s="4"/>
      <c r="W230" s="4"/>
      <c r="X230" s="55"/>
      <c r="Y230" s="56" t="str">
        <f>IF($B230="","",IF((IF($G230="","Sin unidad | ","")&amp;IF($J230="","Sin responsable | ","")&amp;IF($K230="","Sin obra | ","")&amp;IF(AND($N230&lt;&gt;"",$G230&lt;&gt;"",$N230&gt;IFERROR(INDEX('MAESTRO DE UNIDADES'!$I$2:$I$208,MATCH($G230,'MAESTRO DE UNIDADES'!$A$2:$A$208,0)),0)),"Litros &gt; tanque | ","")&amp;IF(AND($W230&lt;&gt;"",COUNTIF($W$2:$W230,$W230)&gt;1),"Ticket duplicado | ","")&amp;IF(AND($G230&lt;&gt;"",IFERROR(INDEX('MAESTRO DE UNIDADES'!$L$2:$L$208,MATCH($G230,'MAESTRO DE UNIDADES'!$A$2:$A$208,0)),"")="Inactivo"),"Unidad inactiva | ","")&amp;IF(AND($AA230&lt;&gt;"",$N230=""),"Carga de batán sin litros | ","")&amp;IF(AND($AA230&lt;&gt;"",$AC230&lt;0),"Supera saldo batán | ",""))="","OK",LEFT((IF($G230="","Sin unidad | ","")&amp;IF($J230="","Sin responsable | ","")&amp;IF($K230="","Sin obra | ","")&amp;IF(AND($N230&lt;&gt;"",$G230&lt;&gt;"",$N230&gt;IFERROR(INDEX('MAESTRO DE UNIDADES'!$I$2:$I$208,MATCH($G230,'MAESTRO DE UNIDADES'!$A$2:$A$208,0)),0)),"Litros &gt; tanque | ","")&amp;IF(AND($W230&lt;&gt;"",COUNTIF($W$2:$W230,$W230)&gt;1),"Ticket duplicado | ","")&amp;IF(AND($G230&lt;&gt;"",IFERROR(INDEX('MAESTRO DE UNIDADES'!$L$2:$L$208,MATCH($G230,'MAESTRO DE UNIDADES'!$A$2:$A$208,0)),"")="Inactivo"),"Unidad inactiva | ","")&amp;IF(AND($AA230&lt;&gt;"",$N230=""),"Carga de batán sin litros | ","")&amp;IF(AND($AA230&lt;&gt;"",$AC230&lt;0),"Supera saldo batán | ","")),LEN((IF($G230="","Sin unidad | ","")&amp;IF($J230="","Sin responsable | ","")&amp;IF($K230="","Sin obra | ","")&amp;IF(AND($N230&lt;&gt;"",$G230&lt;&gt;"",$N230&gt;IFERROR(INDEX('MAESTRO DE UNIDADES'!$I$2:$I$208,MATCH($G230,'MAESTRO DE UNIDADES'!$A$2:$A$208,0)),0)),"Litros &gt; tanque | ","")&amp;IF(AND($W230&lt;&gt;"",COUNTIF($W$2:$W230,$W230)&gt;1),"Ticket duplicado | ","")&amp;IF(AND($G230&lt;&gt;"",IFERROR(INDEX('MAESTRO DE UNIDADES'!$L$2:$L$208,MATCH($G230,'MAESTRO DE UNIDADES'!$A$2:$A$208,0)),"")="Inactivo"),"Unidad inactiva | ","")&amp;IF(AND($AA230&lt;&gt;"",$N230=""),"Carga de batán sin litros | ","")&amp;IF(AND($AA230&lt;&gt;"",$AC230&lt;0),"Supera saldo batán | ","")))-3)))</f>
        <v/>
      </c>
      <c r="Z230" s="8" t="str">
        <f t="shared" si="28"/>
        <v/>
      </c>
      <c r="AA230" s="4"/>
      <c r="AB230" s="26" t="str">
        <f>IF($AA230="","",IFERROR(INDEX('CONTROL DE BATAN'!$J$2:$J$301,MATCH($AA230,'CONTROL DE BATAN'!$A$2:$A$301,0)),""))</f>
        <v/>
      </c>
      <c r="AC230" s="28" t="str">
        <f>IF($AA230="","",IFERROR(INDEX('CONTROL DE BATAN'!$I$2:$I$301,MATCH($AA230,'CONTROL DE BATAN'!$A$2:$A$301,0)),0)-SUMIFS($N$2:$N230,$AA$2:$AA230,$AA230))</f>
        <v/>
      </c>
    </row>
    <row r="231" spans="1:29" x14ac:dyDescent="0.25">
      <c r="A231" s="8" t="str">
        <f t="shared" si="22"/>
        <v/>
      </c>
      <c r="B231" s="9"/>
      <c r="C231" s="8" t="str">
        <f t="shared" si="23"/>
        <v/>
      </c>
      <c r="D231" s="10" t="str">
        <f t="shared" si="24"/>
        <v/>
      </c>
      <c r="E231" s="8" t="str">
        <f t="shared" si="25"/>
        <v/>
      </c>
      <c r="F231" s="8" t="str">
        <f>IF($G231="","",IFERROR(INDEX('MAESTRO DE UNIDADES'!$C$2:$C$208,MATCH($G231,'MAESTRO DE UNIDADES'!$A$2:$A$208,0)),""))</f>
        <v/>
      </c>
      <c r="G231" s="4"/>
      <c r="H231" s="8" t="str">
        <f>IF($G231="","",IFERROR(INDEX('MAESTRO DE UNIDADES'!$F$2:$F$208,MATCH($G231,'MAESTRO DE UNIDADES'!$A$2:$A$208,0)),""))</f>
        <v/>
      </c>
      <c r="I231" s="8" t="str">
        <f>IF($G231="","",IFERROR(INDEX('MAESTRO DE UNIDADES'!$B$2:$B$208,MATCH($G231,'MAESTRO DE UNIDADES'!$A$2:$A$208,0)),""))</f>
        <v/>
      </c>
      <c r="J231" s="4"/>
      <c r="K231" s="4"/>
      <c r="L231" s="4"/>
      <c r="M231" s="8" t="str">
        <f>IF($G231="","",IFERROR(INDEX('MAESTRO DE UNIDADES'!$H$2:$H$208,MATCH($G231,'MAESTRO DE UNIDADES'!$A$2:$A$208,0)),""))</f>
        <v/>
      </c>
      <c r="N231" s="25"/>
      <c r="O231" s="25"/>
      <c r="P231" s="26" t="str">
        <f t="shared" si="26"/>
        <v/>
      </c>
      <c r="Q231" s="27"/>
      <c r="R231" s="27"/>
      <c r="S231" s="28" t="str">
        <f>IF(OR($G231="",$Q231="",COUNTIF($G$2:G230,$G231)=0),"",$Q231-LOOKUP(2,1/($G$2:G230=$G231),$Q$2:Q230))</f>
        <v/>
      </c>
      <c r="T231" s="28" t="str">
        <f>IF(OR($G231="",$R231="",COUNTIF($G$2:G230,$G231)=0),"",$R231-LOOKUP(2,1/($G$2:G230=$G231),$R$2:R230))</f>
        <v/>
      </c>
      <c r="U231" s="11" t="str">
        <f t="shared" si="27"/>
        <v/>
      </c>
      <c r="V231" s="4"/>
      <c r="W231" s="4"/>
      <c r="X231" s="55"/>
      <c r="Y231" s="56" t="str">
        <f>IF($B231="","",IF((IF($G231="","Sin unidad | ","")&amp;IF($J231="","Sin responsable | ","")&amp;IF($K231="","Sin obra | ","")&amp;IF(AND($N231&lt;&gt;"",$G231&lt;&gt;"",$N231&gt;IFERROR(INDEX('MAESTRO DE UNIDADES'!$I$2:$I$208,MATCH($G231,'MAESTRO DE UNIDADES'!$A$2:$A$208,0)),0)),"Litros &gt; tanque | ","")&amp;IF(AND($W231&lt;&gt;"",COUNTIF($W$2:$W231,$W231)&gt;1),"Ticket duplicado | ","")&amp;IF(AND($G231&lt;&gt;"",IFERROR(INDEX('MAESTRO DE UNIDADES'!$L$2:$L$208,MATCH($G231,'MAESTRO DE UNIDADES'!$A$2:$A$208,0)),"")="Inactivo"),"Unidad inactiva | ","")&amp;IF(AND($AA231&lt;&gt;"",$N231=""),"Carga de batán sin litros | ","")&amp;IF(AND($AA231&lt;&gt;"",$AC231&lt;0),"Supera saldo batán | ",""))="","OK",LEFT((IF($G231="","Sin unidad | ","")&amp;IF($J231="","Sin responsable | ","")&amp;IF($K231="","Sin obra | ","")&amp;IF(AND($N231&lt;&gt;"",$G231&lt;&gt;"",$N231&gt;IFERROR(INDEX('MAESTRO DE UNIDADES'!$I$2:$I$208,MATCH($G231,'MAESTRO DE UNIDADES'!$A$2:$A$208,0)),0)),"Litros &gt; tanque | ","")&amp;IF(AND($W231&lt;&gt;"",COUNTIF($W$2:$W231,$W231)&gt;1),"Ticket duplicado | ","")&amp;IF(AND($G231&lt;&gt;"",IFERROR(INDEX('MAESTRO DE UNIDADES'!$L$2:$L$208,MATCH($G231,'MAESTRO DE UNIDADES'!$A$2:$A$208,0)),"")="Inactivo"),"Unidad inactiva | ","")&amp;IF(AND($AA231&lt;&gt;"",$N231=""),"Carga de batán sin litros | ","")&amp;IF(AND($AA231&lt;&gt;"",$AC231&lt;0),"Supera saldo batán | ","")),LEN((IF($G231="","Sin unidad | ","")&amp;IF($J231="","Sin responsable | ","")&amp;IF($K231="","Sin obra | ","")&amp;IF(AND($N231&lt;&gt;"",$G231&lt;&gt;"",$N231&gt;IFERROR(INDEX('MAESTRO DE UNIDADES'!$I$2:$I$208,MATCH($G231,'MAESTRO DE UNIDADES'!$A$2:$A$208,0)),0)),"Litros &gt; tanque | ","")&amp;IF(AND($W231&lt;&gt;"",COUNTIF($W$2:$W231,$W231)&gt;1),"Ticket duplicado | ","")&amp;IF(AND($G231&lt;&gt;"",IFERROR(INDEX('MAESTRO DE UNIDADES'!$L$2:$L$208,MATCH($G231,'MAESTRO DE UNIDADES'!$A$2:$A$208,0)),"")="Inactivo"),"Unidad inactiva | ","")&amp;IF(AND($AA231&lt;&gt;"",$N231=""),"Carga de batán sin litros | ","")&amp;IF(AND($AA231&lt;&gt;"",$AC231&lt;0),"Supera saldo batán | ","")))-3)))</f>
        <v/>
      </c>
      <c r="Z231" s="8" t="str">
        <f t="shared" si="28"/>
        <v/>
      </c>
      <c r="AA231" s="4"/>
      <c r="AB231" s="26" t="str">
        <f>IF($AA231="","",IFERROR(INDEX('CONTROL DE BATAN'!$J$2:$J$301,MATCH($AA231,'CONTROL DE BATAN'!$A$2:$A$301,0)),""))</f>
        <v/>
      </c>
      <c r="AC231" s="28" t="str">
        <f>IF($AA231="","",IFERROR(INDEX('CONTROL DE BATAN'!$I$2:$I$301,MATCH($AA231,'CONTROL DE BATAN'!$A$2:$A$301,0)),0)-SUMIFS($N$2:$N231,$AA$2:$AA231,$AA231))</f>
        <v/>
      </c>
    </row>
    <row r="232" spans="1:29" x14ac:dyDescent="0.25">
      <c r="A232" s="8" t="str">
        <f t="shared" si="22"/>
        <v/>
      </c>
      <c r="B232" s="9"/>
      <c r="C232" s="8" t="str">
        <f t="shared" si="23"/>
        <v/>
      </c>
      <c r="D232" s="10" t="str">
        <f t="shared" si="24"/>
        <v/>
      </c>
      <c r="E232" s="8" t="str">
        <f t="shared" si="25"/>
        <v/>
      </c>
      <c r="F232" s="8" t="str">
        <f>IF($G232="","",IFERROR(INDEX('MAESTRO DE UNIDADES'!$C$2:$C$208,MATCH($G232,'MAESTRO DE UNIDADES'!$A$2:$A$208,0)),""))</f>
        <v/>
      </c>
      <c r="G232" s="4"/>
      <c r="H232" s="8" t="str">
        <f>IF($G232="","",IFERROR(INDEX('MAESTRO DE UNIDADES'!$F$2:$F$208,MATCH($G232,'MAESTRO DE UNIDADES'!$A$2:$A$208,0)),""))</f>
        <v/>
      </c>
      <c r="I232" s="8" t="str">
        <f>IF($G232="","",IFERROR(INDEX('MAESTRO DE UNIDADES'!$B$2:$B$208,MATCH($G232,'MAESTRO DE UNIDADES'!$A$2:$A$208,0)),""))</f>
        <v/>
      </c>
      <c r="J232" s="4"/>
      <c r="K232" s="4"/>
      <c r="L232" s="4"/>
      <c r="M232" s="8" t="str">
        <f>IF($G232="","",IFERROR(INDEX('MAESTRO DE UNIDADES'!$H$2:$H$208,MATCH($G232,'MAESTRO DE UNIDADES'!$A$2:$A$208,0)),""))</f>
        <v/>
      </c>
      <c r="N232" s="25"/>
      <c r="O232" s="25"/>
      <c r="P232" s="26" t="str">
        <f t="shared" si="26"/>
        <v/>
      </c>
      <c r="Q232" s="27"/>
      <c r="R232" s="27"/>
      <c r="S232" s="28" t="str">
        <f>IF(OR($G232="",$Q232="",COUNTIF($G$2:G231,$G232)=0),"",$Q232-LOOKUP(2,1/($G$2:G231=$G232),$Q$2:Q231))</f>
        <v/>
      </c>
      <c r="T232" s="28" t="str">
        <f>IF(OR($G232="",$R232="",COUNTIF($G$2:G231,$G232)=0),"",$R232-LOOKUP(2,1/($G$2:G231=$G232),$R$2:R231))</f>
        <v/>
      </c>
      <c r="U232" s="11" t="str">
        <f t="shared" si="27"/>
        <v/>
      </c>
      <c r="V232" s="4"/>
      <c r="W232" s="4"/>
      <c r="X232" s="55"/>
      <c r="Y232" s="56" t="str">
        <f>IF($B232="","",IF((IF($G232="","Sin unidad | ","")&amp;IF($J232="","Sin responsable | ","")&amp;IF($K232="","Sin obra | ","")&amp;IF(AND($N232&lt;&gt;"",$G232&lt;&gt;"",$N232&gt;IFERROR(INDEX('MAESTRO DE UNIDADES'!$I$2:$I$208,MATCH($G232,'MAESTRO DE UNIDADES'!$A$2:$A$208,0)),0)),"Litros &gt; tanque | ","")&amp;IF(AND($W232&lt;&gt;"",COUNTIF($W$2:$W232,$W232)&gt;1),"Ticket duplicado | ","")&amp;IF(AND($G232&lt;&gt;"",IFERROR(INDEX('MAESTRO DE UNIDADES'!$L$2:$L$208,MATCH($G232,'MAESTRO DE UNIDADES'!$A$2:$A$208,0)),"")="Inactivo"),"Unidad inactiva | ","")&amp;IF(AND($AA232&lt;&gt;"",$N232=""),"Carga de batán sin litros | ","")&amp;IF(AND($AA232&lt;&gt;"",$AC232&lt;0),"Supera saldo batán | ",""))="","OK",LEFT((IF($G232="","Sin unidad | ","")&amp;IF($J232="","Sin responsable | ","")&amp;IF($K232="","Sin obra | ","")&amp;IF(AND($N232&lt;&gt;"",$G232&lt;&gt;"",$N232&gt;IFERROR(INDEX('MAESTRO DE UNIDADES'!$I$2:$I$208,MATCH($G232,'MAESTRO DE UNIDADES'!$A$2:$A$208,0)),0)),"Litros &gt; tanque | ","")&amp;IF(AND($W232&lt;&gt;"",COUNTIF($W$2:$W232,$W232)&gt;1),"Ticket duplicado | ","")&amp;IF(AND($G232&lt;&gt;"",IFERROR(INDEX('MAESTRO DE UNIDADES'!$L$2:$L$208,MATCH($G232,'MAESTRO DE UNIDADES'!$A$2:$A$208,0)),"")="Inactivo"),"Unidad inactiva | ","")&amp;IF(AND($AA232&lt;&gt;"",$N232=""),"Carga de batán sin litros | ","")&amp;IF(AND($AA232&lt;&gt;"",$AC232&lt;0),"Supera saldo batán | ","")),LEN((IF($G232="","Sin unidad | ","")&amp;IF($J232="","Sin responsable | ","")&amp;IF($K232="","Sin obra | ","")&amp;IF(AND($N232&lt;&gt;"",$G232&lt;&gt;"",$N232&gt;IFERROR(INDEX('MAESTRO DE UNIDADES'!$I$2:$I$208,MATCH($G232,'MAESTRO DE UNIDADES'!$A$2:$A$208,0)),0)),"Litros &gt; tanque | ","")&amp;IF(AND($W232&lt;&gt;"",COUNTIF($W$2:$W232,$W232)&gt;1),"Ticket duplicado | ","")&amp;IF(AND($G232&lt;&gt;"",IFERROR(INDEX('MAESTRO DE UNIDADES'!$L$2:$L$208,MATCH($G232,'MAESTRO DE UNIDADES'!$A$2:$A$208,0)),"")="Inactivo"),"Unidad inactiva | ","")&amp;IF(AND($AA232&lt;&gt;"",$N232=""),"Carga de batán sin litros | ","")&amp;IF(AND($AA232&lt;&gt;"",$AC232&lt;0),"Supera saldo batán | ","")))-3)))</f>
        <v/>
      </c>
      <c r="Z232" s="8" t="str">
        <f t="shared" si="28"/>
        <v/>
      </c>
      <c r="AA232" s="4"/>
      <c r="AB232" s="26" t="str">
        <f>IF($AA232="","",IFERROR(INDEX('CONTROL DE BATAN'!$J$2:$J$301,MATCH($AA232,'CONTROL DE BATAN'!$A$2:$A$301,0)),""))</f>
        <v/>
      </c>
      <c r="AC232" s="28" t="str">
        <f>IF($AA232="","",IFERROR(INDEX('CONTROL DE BATAN'!$I$2:$I$301,MATCH($AA232,'CONTROL DE BATAN'!$A$2:$A$301,0)),0)-SUMIFS($N$2:$N232,$AA$2:$AA232,$AA232))</f>
        <v/>
      </c>
    </row>
    <row r="233" spans="1:29" x14ac:dyDescent="0.25">
      <c r="A233" s="8" t="str">
        <f t="shared" si="22"/>
        <v/>
      </c>
      <c r="B233" s="9"/>
      <c r="C233" s="8" t="str">
        <f t="shared" si="23"/>
        <v/>
      </c>
      <c r="D233" s="10" t="str">
        <f t="shared" si="24"/>
        <v/>
      </c>
      <c r="E233" s="8" t="str">
        <f t="shared" si="25"/>
        <v/>
      </c>
      <c r="F233" s="8" t="str">
        <f>IF($G233="","",IFERROR(INDEX('MAESTRO DE UNIDADES'!$C$2:$C$208,MATCH($G233,'MAESTRO DE UNIDADES'!$A$2:$A$208,0)),""))</f>
        <v/>
      </c>
      <c r="G233" s="4"/>
      <c r="H233" s="8" t="str">
        <f>IF($G233="","",IFERROR(INDEX('MAESTRO DE UNIDADES'!$F$2:$F$208,MATCH($G233,'MAESTRO DE UNIDADES'!$A$2:$A$208,0)),""))</f>
        <v/>
      </c>
      <c r="I233" s="8" t="str">
        <f>IF($G233="","",IFERROR(INDEX('MAESTRO DE UNIDADES'!$B$2:$B$208,MATCH($G233,'MAESTRO DE UNIDADES'!$A$2:$A$208,0)),""))</f>
        <v/>
      </c>
      <c r="J233" s="4"/>
      <c r="K233" s="4"/>
      <c r="L233" s="4"/>
      <c r="M233" s="8" t="str">
        <f>IF($G233="","",IFERROR(INDEX('MAESTRO DE UNIDADES'!$H$2:$H$208,MATCH($G233,'MAESTRO DE UNIDADES'!$A$2:$A$208,0)),""))</f>
        <v/>
      </c>
      <c r="N233" s="25"/>
      <c r="O233" s="25"/>
      <c r="P233" s="26" t="str">
        <f t="shared" si="26"/>
        <v/>
      </c>
      <c r="Q233" s="27"/>
      <c r="R233" s="27"/>
      <c r="S233" s="28" t="str">
        <f>IF(OR($G233="",$Q233="",COUNTIF($G$2:G232,$G233)=0),"",$Q233-LOOKUP(2,1/($G$2:G232=$G233),$Q$2:Q232))</f>
        <v/>
      </c>
      <c r="T233" s="28" t="str">
        <f>IF(OR($G233="",$R233="",COUNTIF($G$2:G232,$G233)=0),"",$R233-LOOKUP(2,1/($G$2:G232=$G233),$R$2:R232))</f>
        <v/>
      </c>
      <c r="U233" s="11" t="str">
        <f t="shared" si="27"/>
        <v/>
      </c>
      <c r="V233" s="4"/>
      <c r="W233" s="4"/>
      <c r="X233" s="55"/>
      <c r="Y233" s="56" t="str">
        <f>IF($B233="","",IF((IF($G233="","Sin unidad | ","")&amp;IF($J233="","Sin responsable | ","")&amp;IF($K233="","Sin obra | ","")&amp;IF(AND($N233&lt;&gt;"",$G233&lt;&gt;"",$N233&gt;IFERROR(INDEX('MAESTRO DE UNIDADES'!$I$2:$I$208,MATCH($G233,'MAESTRO DE UNIDADES'!$A$2:$A$208,0)),0)),"Litros &gt; tanque | ","")&amp;IF(AND($W233&lt;&gt;"",COUNTIF($W$2:$W233,$W233)&gt;1),"Ticket duplicado | ","")&amp;IF(AND($G233&lt;&gt;"",IFERROR(INDEX('MAESTRO DE UNIDADES'!$L$2:$L$208,MATCH($G233,'MAESTRO DE UNIDADES'!$A$2:$A$208,0)),"")="Inactivo"),"Unidad inactiva | ","")&amp;IF(AND($AA233&lt;&gt;"",$N233=""),"Carga de batán sin litros | ","")&amp;IF(AND($AA233&lt;&gt;"",$AC233&lt;0),"Supera saldo batán | ",""))="","OK",LEFT((IF($G233="","Sin unidad | ","")&amp;IF($J233="","Sin responsable | ","")&amp;IF($K233="","Sin obra | ","")&amp;IF(AND($N233&lt;&gt;"",$G233&lt;&gt;"",$N233&gt;IFERROR(INDEX('MAESTRO DE UNIDADES'!$I$2:$I$208,MATCH($G233,'MAESTRO DE UNIDADES'!$A$2:$A$208,0)),0)),"Litros &gt; tanque | ","")&amp;IF(AND($W233&lt;&gt;"",COUNTIF($W$2:$W233,$W233)&gt;1),"Ticket duplicado | ","")&amp;IF(AND($G233&lt;&gt;"",IFERROR(INDEX('MAESTRO DE UNIDADES'!$L$2:$L$208,MATCH($G233,'MAESTRO DE UNIDADES'!$A$2:$A$208,0)),"")="Inactivo"),"Unidad inactiva | ","")&amp;IF(AND($AA233&lt;&gt;"",$N233=""),"Carga de batán sin litros | ","")&amp;IF(AND($AA233&lt;&gt;"",$AC233&lt;0),"Supera saldo batán | ","")),LEN((IF($G233="","Sin unidad | ","")&amp;IF($J233="","Sin responsable | ","")&amp;IF($K233="","Sin obra | ","")&amp;IF(AND($N233&lt;&gt;"",$G233&lt;&gt;"",$N233&gt;IFERROR(INDEX('MAESTRO DE UNIDADES'!$I$2:$I$208,MATCH($G233,'MAESTRO DE UNIDADES'!$A$2:$A$208,0)),0)),"Litros &gt; tanque | ","")&amp;IF(AND($W233&lt;&gt;"",COUNTIF($W$2:$W233,$W233)&gt;1),"Ticket duplicado | ","")&amp;IF(AND($G233&lt;&gt;"",IFERROR(INDEX('MAESTRO DE UNIDADES'!$L$2:$L$208,MATCH($G233,'MAESTRO DE UNIDADES'!$A$2:$A$208,0)),"")="Inactivo"),"Unidad inactiva | ","")&amp;IF(AND($AA233&lt;&gt;"",$N233=""),"Carga de batán sin litros | ","")&amp;IF(AND($AA233&lt;&gt;"",$AC233&lt;0),"Supera saldo batán | ","")))-3)))</f>
        <v/>
      </c>
      <c r="Z233" s="8" t="str">
        <f t="shared" si="28"/>
        <v/>
      </c>
      <c r="AA233" s="4"/>
      <c r="AB233" s="26" t="str">
        <f>IF($AA233="","",IFERROR(INDEX('CONTROL DE BATAN'!$J$2:$J$301,MATCH($AA233,'CONTROL DE BATAN'!$A$2:$A$301,0)),""))</f>
        <v/>
      </c>
      <c r="AC233" s="28" t="str">
        <f>IF($AA233="","",IFERROR(INDEX('CONTROL DE BATAN'!$I$2:$I$301,MATCH($AA233,'CONTROL DE BATAN'!$A$2:$A$301,0)),0)-SUMIFS($N$2:$N233,$AA$2:$AA233,$AA233))</f>
        <v/>
      </c>
    </row>
    <row r="234" spans="1:29" x14ac:dyDescent="0.25">
      <c r="A234" s="8" t="str">
        <f t="shared" si="22"/>
        <v/>
      </c>
      <c r="B234" s="9"/>
      <c r="C234" s="8" t="str">
        <f t="shared" si="23"/>
        <v/>
      </c>
      <c r="D234" s="10" t="str">
        <f t="shared" si="24"/>
        <v/>
      </c>
      <c r="E234" s="8" t="str">
        <f t="shared" si="25"/>
        <v/>
      </c>
      <c r="F234" s="8" t="str">
        <f>IF($G234="","",IFERROR(INDEX('MAESTRO DE UNIDADES'!$C$2:$C$208,MATCH($G234,'MAESTRO DE UNIDADES'!$A$2:$A$208,0)),""))</f>
        <v/>
      </c>
      <c r="G234" s="4"/>
      <c r="H234" s="8" t="str">
        <f>IF($G234="","",IFERROR(INDEX('MAESTRO DE UNIDADES'!$F$2:$F$208,MATCH($G234,'MAESTRO DE UNIDADES'!$A$2:$A$208,0)),""))</f>
        <v/>
      </c>
      <c r="I234" s="8" t="str">
        <f>IF($G234="","",IFERROR(INDEX('MAESTRO DE UNIDADES'!$B$2:$B$208,MATCH($G234,'MAESTRO DE UNIDADES'!$A$2:$A$208,0)),""))</f>
        <v/>
      </c>
      <c r="J234" s="4"/>
      <c r="K234" s="4"/>
      <c r="L234" s="4"/>
      <c r="M234" s="8" t="str">
        <f>IF($G234="","",IFERROR(INDEX('MAESTRO DE UNIDADES'!$H$2:$H$208,MATCH($G234,'MAESTRO DE UNIDADES'!$A$2:$A$208,0)),""))</f>
        <v/>
      </c>
      <c r="N234" s="25"/>
      <c r="O234" s="25"/>
      <c r="P234" s="26" t="str">
        <f t="shared" si="26"/>
        <v/>
      </c>
      <c r="Q234" s="27"/>
      <c r="R234" s="27"/>
      <c r="S234" s="28" t="str">
        <f>IF(OR($G234="",$Q234="",COUNTIF($G$2:G233,$G234)=0),"",$Q234-LOOKUP(2,1/($G$2:G233=$G234),$Q$2:Q233))</f>
        <v/>
      </c>
      <c r="T234" s="28" t="str">
        <f>IF(OR($G234="",$R234="",COUNTIF($G$2:G233,$G234)=0),"",$R234-LOOKUP(2,1/($G$2:G233=$G234),$R$2:R233))</f>
        <v/>
      </c>
      <c r="U234" s="11" t="str">
        <f t="shared" si="27"/>
        <v/>
      </c>
      <c r="V234" s="4"/>
      <c r="W234" s="4"/>
      <c r="X234" s="55"/>
      <c r="Y234" s="56" t="str">
        <f>IF($B234="","",IF((IF($G234="","Sin unidad | ","")&amp;IF($J234="","Sin responsable | ","")&amp;IF($K234="","Sin obra | ","")&amp;IF(AND($N234&lt;&gt;"",$G234&lt;&gt;"",$N234&gt;IFERROR(INDEX('MAESTRO DE UNIDADES'!$I$2:$I$208,MATCH($G234,'MAESTRO DE UNIDADES'!$A$2:$A$208,0)),0)),"Litros &gt; tanque | ","")&amp;IF(AND($W234&lt;&gt;"",COUNTIF($W$2:$W234,$W234)&gt;1),"Ticket duplicado | ","")&amp;IF(AND($G234&lt;&gt;"",IFERROR(INDEX('MAESTRO DE UNIDADES'!$L$2:$L$208,MATCH($G234,'MAESTRO DE UNIDADES'!$A$2:$A$208,0)),"")="Inactivo"),"Unidad inactiva | ","")&amp;IF(AND($AA234&lt;&gt;"",$N234=""),"Carga de batán sin litros | ","")&amp;IF(AND($AA234&lt;&gt;"",$AC234&lt;0),"Supera saldo batán | ",""))="","OK",LEFT((IF($G234="","Sin unidad | ","")&amp;IF($J234="","Sin responsable | ","")&amp;IF($K234="","Sin obra | ","")&amp;IF(AND($N234&lt;&gt;"",$G234&lt;&gt;"",$N234&gt;IFERROR(INDEX('MAESTRO DE UNIDADES'!$I$2:$I$208,MATCH($G234,'MAESTRO DE UNIDADES'!$A$2:$A$208,0)),0)),"Litros &gt; tanque | ","")&amp;IF(AND($W234&lt;&gt;"",COUNTIF($W$2:$W234,$W234)&gt;1),"Ticket duplicado | ","")&amp;IF(AND($G234&lt;&gt;"",IFERROR(INDEX('MAESTRO DE UNIDADES'!$L$2:$L$208,MATCH($G234,'MAESTRO DE UNIDADES'!$A$2:$A$208,0)),"")="Inactivo"),"Unidad inactiva | ","")&amp;IF(AND($AA234&lt;&gt;"",$N234=""),"Carga de batán sin litros | ","")&amp;IF(AND($AA234&lt;&gt;"",$AC234&lt;0),"Supera saldo batán | ","")),LEN((IF($G234="","Sin unidad | ","")&amp;IF($J234="","Sin responsable | ","")&amp;IF($K234="","Sin obra | ","")&amp;IF(AND($N234&lt;&gt;"",$G234&lt;&gt;"",$N234&gt;IFERROR(INDEX('MAESTRO DE UNIDADES'!$I$2:$I$208,MATCH($G234,'MAESTRO DE UNIDADES'!$A$2:$A$208,0)),0)),"Litros &gt; tanque | ","")&amp;IF(AND($W234&lt;&gt;"",COUNTIF($W$2:$W234,$W234)&gt;1),"Ticket duplicado | ","")&amp;IF(AND($G234&lt;&gt;"",IFERROR(INDEX('MAESTRO DE UNIDADES'!$L$2:$L$208,MATCH($G234,'MAESTRO DE UNIDADES'!$A$2:$A$208,0)),"")="Inactivo"),"Unidad inactiva | ","")&amp;IF(AND($AA234&lt;&gt;"",$N234=""),"Carga de batán sin litros | ","")&amp;IF(AND($AA234&lt;&gt;"",$AC234&lt;0),"Supera saldo batán | ","")))-3)))</f>
        <v/>
      </c>
      <c r="Z234" s="8" t="str">
        <f t="shared" si="28"/>
        <v/>
      </c>
      <c r="AA234" s="4"/>
      <c r="AB234" s="26" t="str">
        <f>IF($AA234="","",IFERROR(INDEX('CONTROL DE BATAN'!$J$2:$J$301,MATCH($AA234,'CONTROL DE BATAN'!$A$2:$A$301,0)),""))</f>
        <v/>
      </c>
      <c r="AC234" s="28" t="str">
        <f>IF($AA234="","",IFERROR(INDEX('CONTROL DE BATAN'!$I$2:$I$301,MATCH($AA234,'CONTROL DE BATAN'!$A$2:$A$301,0)),0)-SUMIFS($N$2:$N234,$AA$2:$AA234,$AA234))</f>
        <v/>
      </c>
    </row>
    <row r="235" spans="1:29" x14ac:dyDescent="0.25">
      <c r="A235" s="8" t="str">
        <f t="shared" si="22"/>
        <v/>
      </c>
      <c r="B235" s="9"/>
      <c r="C235" s="8" t="str">
        <f t="shared" si="23"/>
        <v/>
      </c>
      <c r="D235" s="10" t="str">
        <f t="shared" si="24"/>
        <v/>
      </c>
      <c r="E235" s="8" t="str">
        <f t="shared" si="25"/>
        <v/>
      </c>
      <c r="F235" s="8" t="str">
        <f>IF($G235="","",IFERROR(INDEX('MAESTRO DE UNIDADES'!$C$2:$C$208,MATCH($G235,'MAESTRO DE UNIDADES'!$A$2:$A$208,0)),""))</f>
        <v/>
      </c>
      <c r="G235" s="4"/>
      <c r="H235" s="8" t="str">
        <f>IF($G235="","",IFERROR(INDEX('MAESTRO DE UNIDADES'!$F$2:$F$208,MATCH($G235,'MAESTRO DE UNIDADES'!$A$2:$A$208,0)),""))</f>
        <v/>
      </c>
      <c r="I235" s="8" t="str">
        <f>IF($G235="","",IFERROR(INDEX('MAESTRO DE UNIDADES'!$B$2:$B$208,MATCH($G235,'MAESTRO DE UNIDADES'!$A$2:$A$208,0)),""))</f>
        <v/>
      </c>
      <c r="J235" s="4"/>
      <c r="K235" s="4"/>
      <c r="L235" s="4"/>
      <c r="M235" s="8" t="str">
        <f>IF($G235="","",IFERROR(INDEX('MAESTRO DE UNIDADES'!$H$2:$H$208,MATCH($G235,'MAESTRO DE UNIDADES'!$A$2:$A$208,0)),""))</f>
        <v/>
      </c>
      <c r="N235" s="25"/>
      <c r="O235" s="25"/>
      <c r="P235" s="26" t="str">
        <f t="shared" si="26"/>
        <v/>
      </c>
      <c r="Q235" s="27"/>
      <c r="R235" s="27"/>
      <c r="S235" s="28" t="str">
        <f>IF(OR($G235="",$Q235="",COUNTIF($G$2:G234,$G235)=0),"",$Q235-LOOKUP(2,1/($G$2:G234=$G235),$Q$2:Q234))</f>
        <v/>
      </c>
      <c r="T235" s="28" t="str">
        <f>IF(OR($G235="",$R235="",COUNTIF($G$2:G234,$G235)=0),"",$R235-LOOKUP(2,1/($G$2:G234=$G235),$R$2:R234))</f>
        <v/>
      </c>
      <c r="U235" s="11" t="str">
        <f t="shared" si="27"/>
        <v/>
      </c>
      <c r="V235" s="4"/>
      <c r="W235" s="4"/>
      <c r="X235" s="55"/>
      <c r="Y235" s="56" t="str">
        <f>IF($B235="","",IF((IF($G235="","Sin unidad | ","")&amp;IF($J235="","Sin responsable | ","")&amp;IF($K235="","Sin obra | ","")&amp;IF(AND($N235&lt;&gt;"",$G235&lt;&gt;"",$N235&gt;IFERROR(INDEX('MAESTRO DE UNIDADES'!$I$2:$I$208,MATCH($G235,'MAESTRO DE UNIDADES'!$A$2:$A$208,0)),0)),"Litros &gt; tanque | ","")&amp;IF(AND($W235&lt;&gt;"",COUNTIF($W$2:$W235,$W235)&gt;1),"Ticket duplicado | ","")&amp;IF(AND($G235&lt;&gt;"",IFERROR(INDEX('MAESTRO DE UNIDADES'!$L$2:$L$208,MATCH($G235,'MAESTRO DE UNIDADES'!$A$2:$A$208,0)),"")="Inactivo"),"Unidad inactiva | ","")&amp;IF(AND($AA235&lt;&gt;"",$N235=""),"Carga de batán sin litros | ","")&amp;IF(AND($AA235&lt;&gt;"",$AC235&lt;0),"Supera saldo batán | ",""))="","OK",LEFT((IF($G235="","Sin unidad | ","")&amp;IF($J235="","Sin responsable | ","")&amp;IF($K235="","Sin obra | ","")&amp;IF(AND($N235&lt;&gt;"",$G235&lt;&gt;"",$N235&gt;IFERROR(INDEX('MAESTRO DE UNIDADES'!$I$2:$I$208,MATCH($G235,'MAESTRO DE UNIDADES'!$A$2:$A$208,0)),0)),"Litros &gt; tanque | ","")&amp;IF(AND($W235&lt;&gt;"",COUNTIF($W$2:$W235,$W235)&gt;1),"Ticket duplicado | ","")&amp;IF(AND($G235&lt;&gt;"",IFERROR(INDEX('MAESTRO DE UNIDADES'!$L$2:$L$208,MATCH($G235,'MAESTRO DE UNIDADES'!$A$2:$A$208,0)),"")="Inactivo"),"Unidad inactiva | ","")&amp;IF(AND($AA235&lt;&gt;"",$N235=""),"Carga de batán sin litros | ","")&amp;IF(AND($AA235&lt;&gt;"",$AC235&lt;0),"Supera saldo batán | ","")),LEN((IF($G235="","Sin unidad | ","")&amp;IF($J235="","Sin responsable | ","")&amp;IF($K235="","Sin obra | ","")&amp;IF(AND($N235&lt;&gt;"",$G235&lt;&gt;"",$N235&gt;IFERROR(INDEX('MAESTRO DE UNIDADES'!$I$2:$I$208,MATCH($G235,'MAESTRO DE UNIDADES'!$A$2:$A$208,0)),0)),"Litros &gt; tanque | ","")&amp;IF(AND($W235&lt;&gt;"",COUNTIF($W$2:$W235,$W235)&gt;1),"Ticket duplicado | ","")&amp;IF(AND($G235&lt;&gt;"",IFERROR(INDEX('MAESTRO DE UNIDADES'!$L$2:$L$208,MATCH($G235,'MAESTRO DE UNIDADES'!$A$2:$A$208,0)),"")="Inactivo"),"Unidad inactiva | ","")&amp;IF(AND($AA235&lt;&gt;"",$N235=""),"Carga de batán sin litros | ","")&amp;IF(AND($AA235&lt;&gt;"",$AC235&lt;0),"Supera saldo batán | ","")))-3)))</f>
        <v/>
      </c>
      <c r="Z235" s="8" t="str">
        <f t="shared" si="28"/>
        <v/>
      </c>
      <c r="AA235" s="4"/>
      <c r="AB235" s="26" t="str">
        <f>IF($AA235="","",IFERROR(INDEX('CONTROL DE BATAN'!$J$2:$J$301,MATCH($AA235,'CONTROL DE BATAN'!$A$2:$A$301,0)),""))</f>
        <v/>
      </c>
      <c r="AC235" s="28" t="str">
        <f>IF($AA235="","",IFERROR(INDEX('CONTROL DE BATAN'!$I$2:$I$301,MATCH($AA235,'CONTROL DE BATAN'!$A$2:$A$301,0)),0)-SUMIFS($N$2:$N235,$AA$2:$AA235,$AA235))</f>
        <v/>
      </c>
    </row>
    <row r="236" spans="1:29" x14ac:dyDescent="0.25">
      <c r="A236" s="8" t="str">
        <f t="shared" si="22"/>
        <v/>
      </c>
      <c r="B236" s="9"/>
      <c r="C236" s="8" t="str">
        <f t="shared" si="23"/>
        <v/>
      </c>
      <c r="D236" s="10" t="str">
        <f t="shared" si="24"/>
        <v/>
      </c>
      <c r="E236" s="8" t="str">
        <f t="shared" si="25"/>
        <v/>
      </c>
      <c r="F236" s="8" t="str">
        <f>IF($G236="","",IFERROR(INDEX('MAESTRO DE UNIDADES'!$C$2:$C$208,MATCH($G236,'MAESTRO DE UNIDADES'!$A$2:$A$208,0)),""))</f>
        <v/>
      </c>
      <c r="G236" s="4"/>
      <c r="H236" s="8" t="str">
        <f>IF($G236="","",IFERROR(INDEX('MAESTRO DE UNIDADES'!$F$2:$F$208,MATCH($G236,'MAESTRO DE UNIDADES'!$A$2:$A$208,0)),""))</f>
        <v/>
      </c>
      <c r="I236" s="8" t="str">
        <f>IF($G236="","",IFERROR(INDEX('MAESTRO DE UNIDADES'!$B$2:$B$208,MATCH($G236,'MAESTRO DE UNIDADES'!$A$2:$A$208,0)),""))</f>
        <v/>
      </c>
      <c r="J236" s="4"/>
      <c r="K236" s="4"/>
      <c r="L236" s="4"/>
      <c r="M236" s="8" t="str">
        <f>IF($G236="","",IFERROR(INDEX('MAESTRO DE UNIDADES'!$H$2:$H$208,MATCH($G236,'MAESTRO DE UNIDADES'!$A$2:$A$208,0)),""))</f>
        <v/>
      </c>
      <c r="N236" s="25"/>
      <c r="O236" s="25"/>
      <c r="P236" s="26" t="str">
        <f t="shared" si="26"/>
        <v/>
      </c>
      <c r="Q236" s="27"/>
      <c r="R236" s="27"/>
      <c r="S236" s="28" t="str">
        <f>IF(OR($G236="",$Q236="",COUNTIF($G$2:G235,$G236)=0),"",$Q236-LOOKUP(2,1/($G$2:G235=$G236),$Q$2:Q235))</f>
        <v/>
      </c>
      <c r="T236" s="28" t="str">
        <f>IF(OR($G236="",$R236="",COUNTIF($G$2:G235,$G236)=0),"",$R236-LOOKUP(2,1/($G$2:G235=$G236),$R$2:R235))</f>
        <v/>
      </c>
      <c r="U236" s="11" t="str">
        <f t="shared" si="27"/>
        <v/>
      </c>
      <c r="V236" s="4"/>
      <c r="W236" s="4"/>
      <c r="X236" s="55"/>
      <c r="Y236" s="56" t="str">
        <f>IF($B236="","",IF((IF($G236="","Sin unidad | ","")&amp;IF($J236="","Sin responsable | ","")&amp;IF($K236="","Sin obra | ","")&amp;IF(AND($N236&lt;&gt;"",$G236&lt;&gt;"",$N236&gt;IFERROR(INDEX('MAESTRO DE UNIDADES'!$I$2:$I$208,MATCH($G236,'MAESTRO DE UNIDADES'!$A$2:$A$208,0)),0)),"Litros &gt; tanque | ","")&amp;IF(AND($W236&lt;&gt;"",COUNTIF($W$2:$W236,$W236)&gt;1),"Ticket duplicado | ","")&amp;IF(AND($G236&lt;&gt;"",IFERROR(INDEX('MAESTRO DE UNIDADES'!$L$2:$L$208,MATCH($G236,'MAESTRO DE UNIDADES'!$A$2:$A$208,0)),"")="Inactivo"),"Unidad inactiva | ","")&amp;IF(AND($AA236&lt;&gt;"",$N236=""),"Carga de batán sin litros | ","")&amp;IF(AND($AA236&lt;&gt;"",$AC236&lt;0),"Supera saldo batán | ",""))="","OK",LEFT((IF($G236="","Sin unidad | ","")&amp;IF($J236="","Sin responsable | ","")&amp;IF($K236="","Sin obra | ","")&amp;IF(AND($N236&lt;&gt;"",$G236&lt;&gt;"",$N236&gt;IFERROR(INDEX('MAESTRO DE UNIDADES'!$I$2:$I$208,MATCH($G236,'MAESTRO DE UNIDADES'!$A$2:$A$208,0)),0)),"Litros &gt; tanque | ","")&amp;IF(AND($W236&lt;&gt;"",COUNTIF($W$2:$W236,$W236)&gt;1),"Ticket duplicado | ","")&amp;IF(AND($G236&lt;&gt;"",IFERROR(INDEX('MAESTRO DE UNIDADES'!$L$2:$L$208,MATCH($G236,'MAESTRO DE UNIDADES'!$A$2:$A$208,0)),"")="Inactivo"),"Unidad inactiva | ","")&amp;IF(AND($AA236&lt;&gt;"",$N236=""),"Carga de batán sin litros | ","")&amp;IF(AND($AA236&lt;&gt;"",$AC236&lt;0),"Supera saldo batán | ","")),LEN((IF($G236="","Sin unidad | ","")&amp;IF($J236="","Sin responsable | ","")&amp;IF($K236="","Sin obra | ","")&amp;IF(AND($N236&lt;&gt;"",$G236&lt;&gt;"",$N236&gt;IFERROR(INDEX('MAESTRO DE UNIDADES'!$I$2:$I$208,MATCH($G236,'MAESTRO DE UNIDADES'!$A$2:$A$208,0)),0)),"Litros &gt; tanque | ","")&amp;IF(AND($W236&lt;&gt;"",COUNTIF($W$2:$W236,$W236)&gt;1),"Ticket duplicado | ","")&amp;IF(AND($G236&lt;&gt;"",IFERROR(INDEX('MAESTRO DE UNIDADES'!$L$2:$L$208,MATCH($G236,'MAESTRO DE UNIDADES'!$A$2:$A$208,0)),"")="Inactivo"),"Unidad inactiva | ","")&amp;IF(AND($AA236&lt;&gt;"",$N236=""),"Carga de batán sin litros | ","")&amp;IF(AND($AA236&lt;&gt;"",$AC236&lt;0),"Supera saldo batán | ","")))-3)))</f>
        <v/>
      </c>
      <c r="Z236" s="8" t="str">
        <f t="shared" si="28"/>
        <v/>
      </c>
      <c r="AA236" s="4"/>
      <c r="AB236" s="26" t="str">
        <f>IF($AA236="","",IFERROR(INDEX('CONTROL DE BATAN'!$J$2:$J$301,MATCH($AA236,'CONTROL DE BATAN'!$A$2:$A$301,0)),""))</f>
        <v/>
      </c>
      <c r="AC236" s="28" t="str">
        <f>IF($AA236="","",IFERROR(INDEX('CONTROL DE BATAN'!$I$2:$I$301,MATCH($AA236,'CONTROL DE BATAN'!$A$2:$A$301,0)),0)-SUMIFS($N$2:$N236,$AA$2:$AA236,$AA236))</f>
        <v/>
      </c>
    </row>
    <row r="237" spans="1:29" x14ac:dyDescent="0.25">
      <c r="A237" s="8" t="str">
        <f t="shared" si="22"/>
        <v/>
      </c>
      <c r="B237" s="9"/>
      <c r="C237" s="8" t="str">
        <f t="shared" si="23"/>
        <v/>
      </c>
      <c r="D237" s="10" t="str">
        <f t="shared" si="24"/>
        <v/>
      </c>
      <c r="E237" s="8" t="str">
        <f t="shared" si="25"/>
        <v/>
      </c>
      <c r="F237" s="8" t="str">
        <f>IF($G237="","",IFERROR(INDEX('MAESTRO DE UNIDADES'!$C$2:$C$208,MATCH($G237,'MAESTRO DE UNIDADES'!$A$2:$A$208,0)),""))</f>
        <v/>
      </c>
      <c r="G237" s="4"/>
      <c r="H237" s="8" t="str">
        <f>IF($G237="","",IFERROR(INDEX('MAESTRO DE UNIDADES'!$F$2:$F$208,MATCH($G237,'MAESTRO DE UNIDADES'!$A$2:$A$208,0)),""))</f>
        <v/>
      </c>
      <c r="I237" s="8" t="str">
        <f>IF($G237="","",IFERROR(INDEX('MAESTRO DE UNIDADES'!$B$2:$B$208,MATCH($G237,'MAESTRO DE UNIDADES'!$A$2:$A$208,0)),""))</f>
        <v/>
      </c>
      <c r="J237" s="4"/>
      <c r="K237" s="4"/>
      <c r="L237" s="4"/>
      <c r="M237" s="8" t="str">
        <f>IF($G237="","",IFERROR(INDEX('MAESTRO DE UNIDADES'!$H$2:$H$208,MATCH($G237,'MAESTRO DE UNIDADES'!$A$2:$A$208,0)),""))</f>
        <v/>
      </c>
      <c r="N237" s="25"/>
      <c r="O237" s="25"/>
      <c r="P237" s="26" t="str">
        <f t="shared" si="26"/>
        <v/>
      </c>
      <c r="Q237" s="27"/>
      <c r="R237" s="27"/>
      <c r="S237" s="28" t="str">
        <f>IF(OR($G237="",$Q237="",COUNTIF($G$2:G236,$G237)=0),"",$Q237-LOOKUP(2,1/($G$2:G236=$G237),$Q$2:Q236))</f>
        <v/>
      </c>
      <c r="T237" s="28" t="str">
        <f>IF(OR($G237="",$R237="",COUNTIF($G$2:G236,$G237)=0),"",$R237-LOOKUP(2,1/($G$2:G236=$G237),$R$2:R236))</f>
        <v/>
      </c>
      <c r="U237" s="11" t="str">
        <f t="shared" si="27"/>
        <v/>
      </c>
      <c r="V237" s="4"/>
      <c r="W237" s="4"/>
      <c r="X237" s="55"/>
      <c r="Y237" s="56" t="str">
        <f>IF($B237="","",IF((IF($G237="","Sin unidad | ","")&amp;IF($J237="","Sin responsable | ","")&amp;IF($K237="","Sin obra | ","")&amp;IF(AND($N237&lt;&gt;"",$G237&lt;&gt;"",$N237&gt;IFERROR(INDEX('MAESTRO DE UNIDADES'!$I$2:$I$208,MATCH($G237,'MAESTRO DE UNIDADES'!$A$2:$A$208,0)),0)),"Litros &gt; tanque | ","")&amp;IF(AND($W237&lt;&gt;"",COUNTIF($W$2:$W237,$W237)&gt;1),"Ticket duplicado | ","")&amp;IF(AND($G237&lt;&gt;"",IFERROR(INDEX('MAESTRO DE UNIDADES'!$L$2:$L$208,MATCH($G237,'MAESTRO DE UNIDADES'!$A$2:$A$208,0)),"")="Inactivo"),"Unidad inactiva | ","")&amp;IF(AND($AA237&lt;&gt;"",$N237=""),"Carga de batán sin litros | ","")&amp;IF(AND($AA237&lt;&gt;"",$AC237&lt;0),"Supera saldo batán | ",""))="","OK",LEFT((IF($G237="","Sin unidad | ","")&amp;IF($J237="","Sin responsable | ","")&amp;IF($K237="","Sin obra | ","")&amp;IF(AND($N237&lt;&gt;"",$G237&lt;&gt;"",$N237&gt;IFERROR(INDEX('MAESTRO DE UNIDADES'!$I$2:$I$208,MATCH($G237,'MAESTRO DE UNIDADES'!$A$2:$A$208,0)),0)),"Litros &gt; tanque | ","")&amp;IF(AND($W237&lt;&gt;"",COUNTIF($W$2:$W237,$W237)&gt;1),"Ticket duplicado | ","")&amp;IF(AND($G237&lt;&gt;"",IFERROR(INDEX('MAESTRO DE UNIDADES'!$L$2:$L$208,MATCH($G237,'MAESTRO DE UNIDADES'!$A$2:$A$208,0)),"")="Inactivo"),"Unidad inactiva | ","")&amp;IF(AND($AA237&lt;&gt;"",$N237=""),"Carga de batán sin litros | ","")&amp;IF(AND($AA237&lt;&gt;"",$AC237&lt;0),"Supera saldo batán | ","")),LEN((IF($G237="","Sin unidad | ","")&amp;IF($J237="","Sin responsable | ","")&amp;IF($K237="","Sin obra | ","")&amp;IF(AND($N237&lt;&gt;"",$G237&lt;&gt;"",$N237&gt;IFERROR(INDEX('MAESTRO DE UNIDADES'!$I$2:$I$208,MATCH($G237,'MAESTRO DE UNIDADES'!$A$2:$A$208,0)),0)),"Litros &gt; tanque | ","")&amp;IF(AND($W237&lt;&gt;"",COUNTIF($W$2:$W237,$W237)&gt;1),"Ticket duplicado | ","")&amp;IF(AND($G237&lt;&gt;"",IFERROR(INDEX('MAESTRO DE UNIDADES'!$L$2:$L$208,MATCH($G237,'MAESTRO DE UNIDADES'!$A$2:$A$208,0)),"")="Inactivo"),"Unidad inactiva | ","")&amp;IF(AND($AA237&lt;&gt;"",$N237=""),"Carga de batán sin litros | ","")&amp;IF(AND($AA237&lt;&gt;"",$AC237&lt;0),"Supera saldo batán | ","")))-3)))</f>
        <v/>
      </c>
      <c r="Z237" s="8" t="str">
        <f t="shared" si="28"/>
        <v/>
      </c>
      <c r="AA237" s="4"/>
      <c r="AB237" s="26" t="str">
        <f>IF($AA237="","",IFERROR(INDEX('CONTROL DE BATAN'!$J$2:$J$301,MATCH($AA237,'CONTROL DE BATAN'!$A$2:$A$301,0)),""))</f>
        <v/>
      </c>
      <c r="AC237" s="28" t="str">
        <f>IF($AA237="","",IFERROR(INDEX('CONTROL DE BATAN'!$I$2:$I$301,MATCH($AA237,'CONTROL DE BATAN'!$A$2:$A$301,0)),0)-SUMIFS($N$2:$N237,$AA$2:$AA237,$AA237))</f>
        <v/>
      </c>
    </row>
    <row r="238" spans="1:29" x14ac:dyDescent="0.25">
      <c r="A238" s="8" t="str">
        <f t="shared" si="22"/>
        <v/>
      </c>
      <c r="B238" s="9"/>
      <c r="C238" s="8" t="str">
        <f t="shared" si="23"/>
        <v/>
      </c>
      <c r="D238" s="10" t="str">
        <f t="shared" si="24"/>
        <v/>
      </c>
      <c r="E238" s="8" t="str">
        <f t="shared" si="25"/>
        <v/>
      </c>
      <c r="F238" s="8" t="str">
        <f>IF($G238="","",IFERROR(INDEX('MAESTRO DE UNIDADES'!$C$2:$C$208,MATCH($G238,'MAESTRO DE UNIDADES'!$A$2:$A$208,0)),""))</f>
        <v/>
      </c>
      <c r="G238" s="4"/>
      <c r="H238" s="8" t="str">
        <f>IF($G238="","",IFERROR(INDEX('MAESTRO DE UNIDADES'!$F$2:$F$208,MATCH($G238,'MAESTRO DE UNIDADES'!$A$2:$A$208,0)),""))</f>
        <v/>
      </c>
      <c r="I238" s="8" t="str">
        <f>IF($G238="","",IFERROR(INDEX('MAESTRO DE UNIDADES'!$B$2:$B$208,MATCH($G238,'MAESTRO DE UNIDADES'!$A$2:$A$208,0)),""))</f>
        <v/>
      </c>
      <c r="J238" s="4"/>
      <c r="K238" s="4"/>
      <c r="L238" s="4"/>
      <c r="M238" s="8" t="str">
        <f>IF($G238="","",IFERROR(INDEX('MAESTRO DE UNIDADES'!$H$2:$H$208,MATCH($G238,'MAESTRO DE UNIDADES'!$A$2:$A$208,0)),""))</f>
        <v/>
      </c>
      <c r="N238" s="25"/>
      <c r="O238" s="25"/>
      <c r="P238" s="26" t="str">
        <f t="shared" si="26"/>
        <v/>
      </c>
      <c r="Q238" s="27"/>
      <c r="R238" s="27"/>
      <c r="S238" s="28" t="str">
        <f>IF(OR($G238="",$Q238="",COUNTIF($G$2:G237,$G238)=0),"",$Q238-LOOKUP(2,1/($G$2:G237=$G238),$Q$2:Q237))</f>
        <v/>
      </c>
      <c r="T238" s="28" t="str">
        <f>IF(OR($G238="",$R238="",COUNTIF($G$2:G237,$G238)=0),"",$R238-LOOKUP(2,1/($G$2:G237=$G238),$R$2:R237))</f>
        <v/>
      </c>
      <c r="U238" s="11" t="str">
        <f t="shared" si="27"/>
        <v/>
      </c>
      <c r="V238" s="4"/>
      <c r="W238" s="4"/>
      <c r="X238" s="55"/>
      <c r="Y238" s="56" t="str">
        <f>IF($B238="","",IF((IF($G238="","Sin unidad | ","")&amp;IF($J238="","Sin responsable | ","")&amp;IF($K238="","Sin obra | ","")&amp;IF(AND($N238&lt;&gt;"",$G238&lt;&gt;"",$N238&gt;IFERROR(INDEX('MAESTRO DE UNIDADES'!$I$2:$I$208,MATCH($G238,'MAESTRO DE UNIDADES'!$A$2:$A$208,0)),0)),"Litros &gt; tanque | ","")&amp;IF(AND($W238&lt;&gt;"",COUNTIF($W$2:$W238,$W238)&gt;1),"Ticket duplicado | ","")&amp;IF(AND($G238&lt;&gt;"",IFERROR(INDEX('MAESTRO DE UNIDADES'!$L$2:$L$208,MATCH($G238,'MAESTRO DE UNIDADES'!$A$2:$A$208,0)),"")="Inactivo"),"Unidad inactiva | ","")&amp;IF(AND($AA238&lt;&gt;"",$N238=""),"Carga de batán sin litros | ","")&amp;IF(AND($AA238&lt;&gt;"",$AC238&lt;0),"Supera saldo batán | ",""))="","OK",LEFT((IF($G238="","Sin unidad | ","")&amp;IF($J238="","Sin responsable | ","")&amp;IF($K238="","Sin obra | ","")&amp;IF(AND($N238&lt;&gt;"",$G238&lt;&gt;"",$N238&gt;IFERROR(INDEX('MAESTRO DE UNIDADES'!$I$2:$I$208,MATCH($G238,'MAESTRO DE UNIDADES'!$A$2:$A$208,0)),0)),"Litros &gt; tanque | ","")&amp;IF(AND($W238&lt;&gt;"",COUNTIF($W$2:$W238,$W238)&gt;1),"Ticket duplicado | ","")&amp;IF(AND($G238&lt;&gt;"",IFERROR(INDEX('MAESTRO DE UNIDADES'!$L$2:$L$208,MATCH($G238,'MAESTRO DE UNIDADES'!$A$2:$A$208,0)),"")="Inactivo"),"Unidad inactiva | ","")&amp;IF(AND($AA238&lt;&gt;"",$N238=""),"Carga de batán sin litros | ","")&amp;IF(AND($AA238&lt;&gt;"",$AC238&lt;0),"Supera saldo batán | ","")),LEN((IF($G238="","Sin unidad | ","")&amp;IF($J238="","Sin responsable | ","")&amp;IF($K238="","Sin obra | ","")&amp;IF(AND($N238&lt;&gt;"",$G238&lt;&gt;"",$N238&gt;IFERROR(INDEX('MAESTRO DE UNIDADES'!$I$2:$I$208,MATCH($G238,'MAESTRO DE UNIDADES'!$A$2:$A$208,0)),0)),"Litros &gt; tanque | ","")&amp;IF(AND($W238&lt;&gt;"",COUNTIF($W$2:$W238,$W238)&gt;1),"Ticket duplicado | ","")&amp;IF(AND($G238&lt;&gt;"",IFERROR(INDEX('MAESTRO DE UNIDADES'!$L$2:$L$208,MATCH($G238,'MAESTRO DE UNIDADES'!$A$2:$A$208,0)),"")="Inactivo"),"Unidad inactiva | ","")&amp;IF(AND($AA238&lt;&gt;"",$N238=""),"Carga de batán sin litros | ","")&amp;IF(AND($AA238&lt;&gt;"",$AC238&lt;0),"Supera saldo batán | ","")))-3)))</f>
        <v/>
      </c>
      <c r="Z238" s="8" t="str">
        <f t="shared" si="28"/>
        <v/>
      </c>
      <c r="AA238" s="4"/>
      <c r="AB238" s="26" t="str">
        <f>IF($AA238="","",IFERROR(INDEX('CONTROL DE BATAN'!$J$2:$J$301,MATCH($AA238,'CONTROL DE BATAN'!$A$2:$A$301,0)),""))</f>
        <v/>
      </c>
      <c r="AC238" s="28" t="str">
        <f>IF($AA238="","",IFERROR(INDEX('CONTROL DE BATAN'!$I$2:$I$301,MATCH($AA238,'CONTROL DE BATAN'!$A$2:$A$301,0)),0)-SUMIFS($N$2:$N238,$AA$2:$AA238,$AA238))</f>
        <v/>
      </c>
    </row>
    <row r="239" spans="1:29" x14ac:dyDescent="0.25">
      <c r="A239" s="8" t="str">
        <f t="shared" si="22"/>
        <v/>
      </c>
      <c r="B239" s="9"/>
      <c r="C239" s="8" t="str">
        <f t="shared" si="23"/>
        <v/>
      </c>
      <c r="D239" s="10" t="str">
        <f t="shared" si="24"/>
        <v/>
      </c>
      <c r="E239" s="8" t="str">
        <f t="shared" si="25"/>
        <v/>
      </c>
      <c r="F239" s="8" t="str">
        <f>IF($G239="","",IFERROR(INDEX('MAESTRO DE UNIDADES'!$C$2:$C$208,MATCH($G239,'MAESTRO DE UNIDADES'!$A$2:$A$208,0)),""))</f>
        <v/>
      </c>
      <c r="G239" s="4"/>
      <c r="H239" s="8" t="str">
        <f>IF($G239="","",IFERROR(INDEX('MAESTRO DE UNIDADES'!$F$2:$F$208,MATCH($G239,'MAESTRO DE UNIDADES'!$A$2:$A$208,0)),""))</f>
        <v/>
      </c>
      <c r="I239" s="8" t="str">
        <f>IF($G239="","",IFERROR(INDEX('MAESTRO DE UNIDADES'!$B$2:$B$208,MATCH($G239,'MAESTRO DE UNIDADES'!$A$2:$A$208,0)),""))</f>
        <v/>
      </c>
      <c r="J239" s="4"/>
      <c r="K239" s="4"/>
      <c r="L239" s="4"/>
      <c r="M239" s="8" t="str">
        <f>IF($G239="","",IFERROR(INDEX('MAESTRO DE UNIDADES'!$H$2:$H$208,MATCH($G239,'MAESTRO DE UNIDADES'!$A$2:$A$208,0)),""))</f>
        <v/>
      </c>
      <c r="N239" s="25"/>
      <c r="O239" s="25"/>
      <c r="P239" s="26" t="str">
        <f t="shared" si="26"/>
        <v/>
      </c>
      <c r="Q239" s="27"/>
      <c r="R239" s="27"/>
      <c r="S239" s="28" t="str">
        <f>IF(OR($G239="",$Q239="",COUNTIF($G$2:G238,$G239)=0),"",$Q239-LOOKUP(2,1/($G$2:G238=$G239),$Q$2:Q238))</f>
        <v/>
      </c>
      <c r="T239" s="28" t="str">
        <f>IF(OR($G239="",$R239="",COUNTIF($G$2:G238,$G239)=0),"",$R239-LOOKUP(2,1/($G$2:G238=$G239),$R$2:R238))</f>
        <v/>
      </c>
      <c r="U239" s="11" t="str">
        <f t="shared" si="27"/>
        <v/>
      </c>
      <c r="V239" s="4"/>
      <c r="W239" s="4"/>
      <c r="X239" s="55"/>
      <c r="Y239" s="56" t="str">
        <f>IF($B239="","",IF((IF($G239="","Sin unidad | ","")&amp;IF($J239="","Sin responsable | ","")&amp;IF($K239="","Sin obra | ","")&amp;IF(AND($N239&lt;&gt;"",$G239&lt;&gt;"",$N239&gt;IFERROR(INDEX('MAESTRO DE UNIDADES'!$I$2:$I$208,MATCH($G239,'MAESTRO DE UNIDADES'!$A$2:$A$208,0)),0)),"Litros &gt; tanque | ","")&amp;IF(AND($W239&lt;&gt;"",COUNTIF($W$2:$W239,$W239)&gt;1),"Ticket duplicado | ","")&amp;IF(AND($G239&lt;&gt;"",IFERROR(INDEX('MAESTRO DE UNIDADES'!$L$2:$L$208,MATCH($G239,'MAESTRO DE UNIDADES'!$A$2:$A$208,0)),"")="Inactivo"),"Unidad inactiva | ","")&amp;IF(AND($AA239&lt;&gt;"",$N239=""),"Carga de batán sin litros | ","")&amp;IF(AND($AA239&lt;&gt;"",$AC239&lt;0),"Supera saldo batán | ",""))="","OK",LEFT((IF($G239="","Sin unidad | ","")&amp;IF($J239="","Sin responsable | ","")&amp;IF($K239="","Sin obra | ","")&amp;IF(AND($N239&lt;&gt;"",$G239&lt;&gt;"",$N239&gt;IFERROR(INDEX('MAESTRO DE UNIDADES'!$I$2:$I$208,MATCH($G239,'MAESTRO DE UNIDADES'!$A$2:$A$208,0)),0)),"Litros &gt; tanque | ","")&amp;IF(AND($W239&lt;&gt;"",COUNTIF($W$2:$W239,$W239)&gt;1),"Ticket duplicado | ","")&amp;IF(AND($G239&lt;&gt;"",IFERROR(INDEX('MAESTRO DE UNIDADES'!$L$2:$L$208,MATCH($G239,'MAESTRO DE UNIDADES'!$A$2:$A$208,0)),"")="Inactivo"),"Unidad inactiva | ","")&amp;IF(AND($AA239&lt;&gt;"",$N239=""),"Carga de batán sin litros | ","")&amp;IF(AND($AA239&lt;&gt;"",$AC239&lt;0),"Supera saldo batán | ","")),LEN((IF($G239="","Sin unidad | ","")&amp;IF($J239="","Sin responsable | ","")&amp;IF($K239="","Sin obra | ","")&amp;IF(AND($N239&lt;&gt;"",$G239&lt;&gt;"",$N239&gt;IFERROR(INDEX('MAESTRO DE UNIDADES'!$I$2:$I$208,MATCH($G239,'MAESTRO DE UNIDADES'!$A$2:$A$208,0)),0)),"Litros &gt; tanque | ","")&amp;IF(AND($W239&lt;&gt;"",COUNTIF($W$2:$W239,$W239)&gt;1),"Ticket duplicado | ","")&amp;IF(AND($G239&lt;&gt;"",IFERROR(INDEX('MAESTRO DE UNIDADES'!$L$2:$L$208,MATCH($G239,'MAESTRO DE UNIDADES'!$A$2:$A$208,0)),"")="Inactivo"),"Unidad inactiva | ","")&amp;IF(AND($AA239&lt;&gt;"",$N239=""),"Carga de batán sin litros | ","")&amp;IF(AND($AA239&lt;&gt;"",$AC239&lt;0),"Supera saldo batán | ","")))-3)))</f>
        <v/>
      </c>
      <c r="Z239" s="8" t="str">
        <f t="shared" si="28"/>
        <v/>
      </c>
      <c r="AA239" s="4"/>
      <c r="AB239" s="26" t="str">
        <f>IF($AA239="","",IFERROR(INDEX('CONTROL DE BATAN'!$J$2:$J$301,MATCH($AA239,'CONTROL DE BATAN'!$A$2:$A$301,0)),""))</f>
        <v/>
      </c>
      <c r="AC239" s="28" t="str">
        <f>IF($AA239="","",IFERROR(INDEX('CONTROL DE BATAN'!$I$2:$I$301,MATCH($AA239,'CONTROL DE BATAN'!$A$2:$A$301,0)),0)-SUMIFS($N$2:$N239,$AA$2:$AA239,$AA239))</f>
        <v/>
      </c>
    </row>
    <row r="240" spans="1:29" x14ac:dyDescent="0.25">
      <c r="A240" s="8" t="str">
        <f t="shared" si="22"/>
        <v/>
      </c>
      <c r="B240" s="9"/>
      <c r="C240" s="8" t="str">
        <f t="shared" si="23"/>
        <v/>
      </c>
      <c r="D240" s="10" t="str">
        <f t="shared" si="24"/>
        <v/>
      </c>
      <c r="E240" s="8" t="str">
        <f t="shared" si="25"/>
        <v/>
      </c>
      <c r="F240" s="8" t="str">
        <f>IF($G240="","",IFERROR(INDEX('MAESTRO DE UNIDADES'!$C$2:$C$208,MATCH($G240,'MAESTRO DE UNIDADES'!$A$2:$A$208,0)),""))</f>
        <v/>
      </c>
      <c r="G240" s="4"/>
      <c r="H240" s="8" t="str">
        <f>IF($G240="","",IFERROR(INDEX('MAESTRO DE UNIDADES'!$F$2:$F$208,MATCH($G240,'MAESTRO DE UNIDADES'!$A$2:$A$208,0)),""))</f>
        <v/>
      </c>
      <c r="I240" s="8" t="str">
        <f>IF($G240="","",IFERROR(INDEX('MAESTRO DE UNIDADES'!$B$2:$B$208,MATCH($G240,'MAESTRO DE UNIDADES'!$A$2:$A$208,0)),""))</f>
        <v/>
      </c>
      <c r="J240" s="4"/>
      <c r="K240" s="4"/>
      <c r="L240" s="4"/>
      <c r="M240" s="8" t="str">
        <f>IF($G240="","",IFERROR(INDEX('MAESTRO DE UNIDADES'!$H$2:$H$208,MATCH($G240,'MAESTRO DE UNIDADES'!$A$2:$A$208,0)),""))</f>
        <v/>
      </c>
      <c r="N240" s="25"/>
      <c r="O240" s="25"/>
      <c r="P240" s="26" t="str">
        <f t="shared" si="26"/>
        <v/>
      </c>
      <c r="Q240" s="27"/>
      <c r="R240" s="27"/>
      <c r="S240" s="28" t="str">
        <f>IF(OR($G240="",$Q240="",COUNTIF($G$2:G239,$G240)=0),"",$Q240-LOOKUP(2,1/($G$2:G239=$G240),$Q$2:Q239))</f>
        <v/>
      </c>
      <c r="T240" s="28" t="str">
        <f>IF(OR($G240="",$R240="",COUNTIF($G$2:G239,$G240)=0),"",$R240-LOOKUP(2,1/($G$2:G239=$G240),$R$2:R239))</f>
        <v/>
      </c>
      <c r="U240" s="11" t="str">
        <f t="shared" si="27"/>
        <v/>
      </c>
      <c r="V240" s="4"/>
      <c r="W240" s="4"/>
      <c r="X240" s="55"/>
      <c r="Y240" s="56" t="str">
        <f>IF($B240="","",IF((IF($G240="","Sin unidad | ","")&amp;IF($J240="","Sin responsable | ","")&amp;IF($K240="","Sin obra | ","")&amp;IF(AND($N240&lt;&gt;"",$G240&lt;&gt;"",$N240&gt;IFERROR(INDEX('MAESTRO DE UNIDADES'!$I$2:$I$208,MATCH($G240,'MAESTRO DE UNIDADES'!$A$2:$A$208,0)),0)),"Litros &gt; tanque | ","")&amp;IF(AND($W240&lt;&gt;"",COUNTIF($W$2:$W240,$W240)&gt;1),"Ticket duplicado | ","")&amp;IF(AND($G240&lt;&gt;"",IFERROR(INDEX('MAESTRO DE UNIDADES'!$L$2:$L$208,MATCH($G240,'MAESTRO DE UNIDADES'!$A$2:$A$208,0)),"")="Inactivo"),"Unidad inactiva | ","")&amp;IF(AND($AA240&lt;&gt;"",$N240=""),"Carga de batán sin litros | ","")&amp;IF(AND($AA240&lt;&gt;"",$AC240&lt;0),"Supera saldo batán | ",""))="","OK",LEFT((IF($G240="","Sin unidad | ","")&amp;IF($J240="","Sin responsable | ","")&amp;IF($K240="","Sin obra | ","")&amp;IF(AND($N240&lt;&gt;"",$G240&lt;&gt;"",$N240&gt;IFERROR(INDEX('MAESTRO DE UNIDADES'!$I$2:$I$208,MATCH($G240,'MAESTRO DE UNIDADES'!$A$2:$A$208,0)),0)),"Litros &gt; tanque | ","")&amp;IF(AND($W240&lt;&gt;"",COUNTIF($W$2:$W240,$W240)&gt;1),"Ticket duplicado | ","")&amp;IF(AND($G240&lt;&gt;"",IFERROR(INDEX('MAESTRO DE UNIDADES'!$L$2:$L$208,MATCH($G240,'MAESTRO DE UNIDADES'!$A$2:$A$208,0)),"")="Inactivo"),"Unidad inactiva | ","")&amp;IF(AND($AA240&lt;&gt;"",$N240=""),"Carga de batán sin litros | ","")&amp;IF(AND($AA240&lt;&gt;"",$AC240&lt;0),"Supera saldo batán | ","")),LEN((IF($G240="","Sin unidad | ","")&amp;IF($J240="","Sin responsable | ","")&amp;IF($K240="","Sin obra | ","")&amp;IF(AND($N240&lt;&gt;"",$G240&lt;&gt;"",$N240&gt;IFERROR(INDEX('MAESTRO DE UNIDADES'!$I$2:$I$208,MATCH($G240,'MAESTRO DE UNIDADES'!$A$2:$A$208,0)),0)),"Litros &gt; tanque | ","")&amp;IF(AND($W240&lt;&gt;"",COUNTIF($W$2:$W240,$W240)&gt;1),"Ticket duplicado | ","")&amp;IF(AND($G240&lt;&gt;"",IFERROR(INDEX('MAESTRO DE UNIDADES'!$L$2:$L$208,MATCH($G240,'MAESTRO DE UNIDADES'!$A$2:$A$208,0)),"")="Inactivo"),"Unidad inactiva | ","")&amp;IF(AND($AA240&lt;&gt;"",$N240=""),"Carga de batán sin litros | ","")&amp;IF(AND($AA240&lt;&gt;"",$AC240&lt;0),"Supera saldo batán | ","")))-3)))</f>
        <v/>
      </c>
      <c r="Z240" s="8" t="str">
        <f t="shared" si="28"/>
        <v/>
      </c>
      <c r="AA240" s="4"/>
      <c r="AB240" s="26" t="str">
        <f>IF($AA240="","",IFERROR(INDEX('CONTROL DE BATAN'!$J$2:$J$301,MATCH($AA240,'CONTROL DE BATAN'!$A$2:$A$301,0)),""))</f>
        <v/>
      </c>
      <c r="AC240" s="28" t="str">
        <f>IF($AA240="","",IFERROR(INDEX('CONTROL DE BATAN'!$I$2:$I$301,MATCH($AA240,'CONTROL DE BATAN'!$A$2:$A$301,0)),0)-SUMIFS($N$2:$N240,$AA$2:$AA240,$AA240))</f>
        <v/>
      </c>
    </row>
    <row r="241" spans="1:29" x14ac:dyDescent="0.25">
      <c r="A241" s="8" t="str">
        <f t="shared" si="22"/>
        <v/>
      </c>
      <c r="B241" s="9"/>
      <c r="C241" s="8" t="str">
        <f t="shared" si="23"/>
        <v/>
      </c>
      <c r="D241" s="10" t="str">
        <f t="shared" si="24"/>
        <v/>
      </c>
      <c r="E241" s="8" t="str">
        <f t="shared" si="25"/>
        <v/>
      </c>
      <c r="F241" s="8" t="str">
        <f>IF($G241="","",IFERROR(INDEX('MAESTRO DE UNIDADES'!$C$2:$C$208,MATCH($G241,'MAESTRO DE UNIDADES'!$A$2:$A$208,0)),""))</f>
        <v/>
      </c>
      <c r="G241" s="4"/>
      <c r="H241" s="8" t="str">
        <f>IF($G241="","",IFERROR(INDEX('MAESTRO DE UNIDADES'!$F$2:$F$208,MATCH($G241,'MAESTRO DE UNIDADES'!$A$2:$A$208,0)),""))</f>
        <v/>
      </c>
      <c r="I241" s="8" t="str">
        <f>IF($G241="","",IFERROR(INDEX('MAESTRO DE UNIDADES'!$B$2:$B$208,MATCH($G241,'MAESTRO DE UNIDADES'!$A$2:$A$208,0)),""))</f>
        <v/>
      </c>
      <c r="J241" s="4"/>
      <c r="K241" s="4"/>
      <c r="L241" s="4"/>
      <c r="M241" s="8" t="str">
        <f>IF($G241="","",IFERROR(INDEX('MAESTRO DE UNIDADES'!$H$2:$H$208,MATCH($G241,'MAESTRO DE UNIDADES'!$A$2:$A$208,0)),""))</f>
        <v/>
      </c>
      <c r="N241" s="25"/>
      <c r="O241" s="25"/>
      <c r="P241" s="26" t="str">
        <f t="shared" si="26"/>
        <v/>
      </c>
      <c r="Q241" s="27"/>
      <c r="R241" s="27"/>
      <c r="S241" s="28" t="str">
        <f>IF(OR($G241="",$Q241="",COUNTIF($G$2:G240,$G241)=0),"",$Q241-LOOKUP(2,1/($G$2:G240=$G241),$Q$2:Q240))</f>
        <v/>
      </c>
      <c r="T241" s="28" t="str">
        <f>IF(OR($G241="",$R241="",COUNTIF($G$2:G240,$G241)=0),"",$R241-LOOKUP(2,1/($G$2:G240=$G241),$R$2:R240))</f>
        <v/>
      </c>
      <c r="U241" s="11" t="str">
        <f t="shared" si="27"/>
        <v/>
      </c>
      <c r="V241" s="4"/>
      <c r="W241" s="4"/>
      <c r="X241" s="55"/>
      <c r="Y241" s="56" t="str">
        <f>IF($B241="","",IF((IF($G241="","Sin unidad | ","")&amp;IF($J241="","Sin responsable | ","")&amp;IF($K241="","Sin obra | ","")&amp;IF(AND($N241&lt;&gt;"",$G241&lt;&gt;"",$N241&gt;IFERROR(INDEX('MAESTRO DE UNIDADES'!$I$2:$I$208,MATCH($G241,'MAESTRO DE UNIDADES'!$A$2:$A$208,0)),0)),"Litros &gt; tanque | ","")&amp;IF(AND($W241&lt;&gt;"",COUNTIF($W$2:$W241,$W241)&gt;1),"Ticket duplicado | ","")&amp;IF(AND($G241&lt;&gt;"",IFERROR(INDEX('MAESTRO DE UNIDADES'!$L$2:$L$208,MATCH($G241,'MAESTRO DE UNIDADES'!$A$2:$A$208,0)),"")="Inactivo"),"Unidad inactiva | ","")&amp;IF(AND($AA241&lt;&gt;"",$N241=""),"Carga de batán sin litros | ","")&amp;IF(AND($AA241&lt;&gt;"",$AC241&lt;0),"Supera saldo batán | ",""))="","OK",LEFT((IF($G241="","Sin unidad | ","")&amp;IF($J241="","Sin responsable | ","")&amp;IF($K241="","Sin obra | ","")&amp;IF(AND($N241&lt;&gt;"",$G241&lt;&gt;"",$N241&gt;IFERROR(INDEX('MAESTRO DE UNIDADES'!$I$2:$I$208,MATCH($G241,'MAESTRO DE UNIDADES'!$A$2:$A$208,0)),0)),"Litros &gt; tanque | ","")&amp;IF(AND($W241&lt;&gt;"",COUNTIF($W$2:$W241,$W241)&gt;1),"Ticket duplicado | ","")&amp;IF(AND($G241&lt;&gt;"",IFERROR(INDEX('MAESTRO DE UNIDADES'!$L$2:$L$208,MATCH($G241,'MAESTRO DE UNIDADES'!$A$2:$A$208,0)),"")="Inactivo"),"Unidad inactiva | ","")&amp;IF(AND($AA241&lt;&gt;"",$N241=""),"Carga de batán sin litros | ","")&amp;IF(AND($AA241&lt;&gt;"",$AC241&lt;0),"Supera saldo batán | ","")),LEN((IF($G241="","Sin unidad | ","")&amp;IF($J241="","Sin responsable | ","")&amp;IF($K241="","Sin obra | ","")&amp;IF(AND($N241&lt;&gt;"",$G241&lt;&gt;"",$N241&gt;IFERROR(INDEX('MAESTRO DE UNIDADES'!$I$2:$I$208,MATCH($G241,'MAESTRO DE UNIDADES'!$A$2:$A$208,0)),0)),"Litros &gt; tanque | ","")&amp;IF(AND($W241&lt;&gt;"",COUNTIF($W$2:$W241,$W241)&gt;1),"Ticket duplicado | ","")&amp;IF(AND($G241&lt;&gt;"",IFERROR(INDEX('MAESTRO DE UNIDADES'!$L$2:$L$208,MATCH($G241,'MAESTRO DE UNIDADES'!$A$2:$A$208,0)),"")="Inactivo"),"Unidad inactiva | ","")&amp;IF(AND($AA241&lt;&gt;"",$N241=""),"Carga de batán sin litros | ","")&amp;IF(AND($AA241&lt;&gt;"",$AC241&lt;0),"Supera saldo batán | ","")))-3)))</f>
        <v/>
      </c>
      <c r="Z241" s="8" t="str">
        <f t="shared" si="28"/>
        <v/>
      </c>
      <c r="AA241" s="4"/>
      <c r="AB241" s="26" t="str">
        <f>IF($AA241="","",IFERROR(INDEX('CONTROL DE BATAN'!$J$2:$J$301,MATCH($AA241,'CONTROL DE BATAN'!$A$2:$A$301,0)),""))</f>
        <v/>
      </c>
      <c r="AC241" s="28" t="str">
        <f>IF($AA241="","",IFERROR(INDEX('CONTROL DE BATAN'!$I$2:$I$301,MATCH($AA241,'CONTROL DE BATAN'!$A$2:$A$301,0)),0)-SUMIFS($N$2:$N241,$AA$2:$AA241,$AA241))</f>
        <v/>
      </c>
    </row>
    <row r="242" spans="1:29" x14ac:dyDescent="0.25">
      <c r="A242" s="8" t="str">
        <f t="shared" si="22"/>
        <v/>
      </c>
      <c r="B242" s="9"/>
      <c r="C242" s="8" t="str">
        <f t="shared" si="23"/>
        <v/>
      </c>
      <c r="D242" s="10" t="str">
        <f t="shared" si="24"/>
        <v/>
      </c>
      <c r="E242" s="8" t="str">
        <f t="shared" si="25"/>
        <v/>
      </c>
      <c r="F242" s="8" t="str">
        <f>IF($G242="","",IFERROR(INDEX('MAESTRO DE UNIDADES'!$C$2:$C$208,MATCH($G242,'MAESTRO DE UNIDADES'!$A$2:$A$208,0)),""))</f>
        <v/>
      </c>
      <c r="G242" s="4"/>
      <c r="H242" s="8" t="str">
        <f>IF($G242="","",IFERROR(INDEX('MAESTRO DE UNIDADES'!$F$2:$F$208,MATCH($G242,'MAESTRO DE UNIDADES'!$A$2:$A$208,0)),""))</f>
        <v/>
      </c>
      <c r="I242" s="8" t="str">
        <f>IF($G242="","",IFERROR(INDEX('MAESTRO DE UNIDADES'!$B$2:$B$208,MATCH($G242,'MAESTRO DE UNIDADES'!$A$2:$A$208,0)),""))</f>
        <v/>
      </c>
      <c r="J242" s="4"/>
      <c r="K242" s="4"/>
      <c r="L242" s="4"/>
      <c r="M242" s="8" t="str">
        <f>IF($G242="","",IFERROR(INDEX('MAESTRO DE UNIDADES'!$H$2:$H$208,MATCH($G242,'MAESTRO DE UNIDADES'!$A$2:$A$208,0)),""))</f>
        <v/>
      </c>
      <c r="N242" s="25"/>
      <c r="O242" s="25"/>
      <c r="P242" s="26" t="str">
        <f t="shared" si="26"/>
        <v/>
      </c>
      <c r="Q242" s="27"/>
      <c r="R242" s="27"/>
      <c r="S242" s="28" t="str">
        <f>IF(OR($G242="",$Q242="",COUNTIF($G$2:G241,$G242)=0),"",$Q242-LOOKUP(2,1/($G$2:G241=$G242),$Q$2:Q241))</f>
        <v/>
      </c>
      <c r="T242" s="28" t="str">
        <f>IF(OR($G242="",$R242="",COUNTIF($G$2:G241,$G242)=0),"",$R242-LOOKUP(2,1/($G$2:G241=$G242),$R$2:R241))</f>
        <v/>
      </c>
      <c r="U242" s="11" t="str">
        <f t="shared" si="27"/>
        <v/>
      </c>
      <c r="V242" s="4"/>
      <c r="W242" s="4"/>
      <c r="X242" s="55"/>
      <c r="Y242" s="56" t="str">
        <f>IF($B242="","",IF((IF($G242="","Sin unidad | ","")&amp;IF($J242="","Sin responsable | ","")&amp;IF($K242="","Sin obra | ","")&amp;IF(AND($N242&lt;&gt;"",$G242&lt;&gt;"",$N242&gt;IFERROR(INDEX('MAESTRO DE UNIDADES'!$I$2:$I$208,MATCH($G242,'MAESTRO DE UNIDADES'!$A$2:$A$208,0)),0)),"Litros &gt; tanque | ","")&amp;IF(AND($W242&lt;&gt;"",COUNTIF($W$2:$W242,$W242)&gt;1),"Ticket duplicado | ","")&amp;IF(AND($G242&lt;&gt;"",IFERROR(INDEX('MAESTRO DE UNIDADES'!$L$2:$L$208,MATCH($G242,'MAESTRO DE UNIDADES'!$A$2:$A$208,0)),"")="Inactivo"),"Unidad inactiva | ","")&amp;IF(AND($AA242&lt;&gt;"",$N242=""),"Carga de batán sin litros | ","")&amp;IF(AND($AA242&lt;&gt;"",$AC242&lt;0),"Supera saldo batán | ",""))="","OK",LEFT((IF($G242="","Sin unidad | ","")&amp;IF($J242="","Sin responsable | ","")&amp;IF($K242="","Sin obra | ","")&amp;IF(AND($N242&lt;&gt;"",$G242&lt;&gt;"",$N242&gt;IFERROR(INDEX('MAESTRO DE UNIDADES'!$I$2:$I$208,MATCH($G242,'MAESTRO DE UNIDADES'!$A$2:$A$208,0)),0)),"Litros &gt; tanque | ","")&amp;IF(AND($W242&lt;&gt;"",COUNTIF($W$2:$W242,$W242)&gt;1),"Ticket duplicado | ","")&amp;IF(AND($G242&lt;&gt;"",IFERROR(INDEX('MAESTRO DE UNIDADES'!$L$2:$L$208,MATCH($G242,'MAESTRO DE UNIDADES'!$A$2:$A$208,0)),"")="Inactivo"),"Unidad inactiva | ","")&amp;IF(AND($AA242&lt;&gt;"",$N242=""),"Carga de batán sin litros | ","")&amp;IF(AND($AA242&lt;&gt;"",$AC242&lt;0),"Supera saldo batán | ","")),LEN((IF($G242="","Sin unidad | ","")&amp;IF($J242="","Sin responsable | ","")&amp;IF($K242="","Sin obra | ","")&amp;IF(AND($N242&lt;&gt;"",$G242&lt;&gt;"",$N242&gt;IFERROR(INDEX('MAESTRO DE UNIDADES'!$I$2:$I$208,MATCH($G242,'MAESTRO DE UNIDADES'!$A$2:$A$208,0)),0)),"Litros &gt; tanque | ","")&amp;IF(AND($W242&lt;&gt;"",COUNTIF($W$2:$W242,$W242)&gt;1),"Ticket duplicado | ","")&amp;IF(AND($G242&lt;&gt;"",IFERROR(INDEX('MAESTRO DE UNIDADES'!$L$2:$L$208,MATCH($G242,'MAESTRO DE UNIDADES'!$A$2:$A$208,0)),"")="Inactivo"),"Unidad inactiva | ","")&amp;IF(AND($AA242&lt;&gt;"",$N242=""),"Carga de batán sin litros | ","")&amp;IF(AND($AA242&lt;&gt;"",$AC242&lt;0),"Supera saldo batán | ","")))-3)))</f>
        <v/>
      </c>
      <c r="Z242" s="8" t="str">
        <f t="shared" si="28"/>
        <v/>
      </c>
      <c r="AA242" s="4"/>
      <c r="AB242" s="26" t="str">
        <f>IF($AA242="","",IFERROR(INDEX('CONTROL DE BATAN'!$J$2:$J$301,MATCH($AA242,'CONTROL DE BATAN'!$A$2:$A$301,0)),""))</f>
        <v/>
      </c>
      <c r="AC242" s="28" t="str">
        <f>IF($AA242="","",IFERROR(INDEX('CONTROL DE BATAN'!$I$2:$I$301,MATCH($AA242,'CONTROL DE BATAN'!$A$2:$A$301,0)),0)-SUMIFS($N$2:$N242,$AA$2:$AA242,$AA242))</f>
        <v/>
      </c>
    </row>
    <row r="243" spans="1:29" x14ac:dyDescent="0.25">
      <c r="A243" s="8" t="str">
        <f t="shared" si="22"/>
        <v/>
      </c>
      <c r="B243" s="9"/>
      <c r="C243" s="8" t="str">
        <f t="shared" si="23"/>
        <v/>
      </c>
      <c r="D243" s="10" t="str">
        <f t="shared" si="24"/>
        <v/>
      </c>
      <c r="E243" s="8" t="str">
        <f t="shared" si="25"/>
        <v/>
      </c>
      <c r="F243" s="8" t="str">
        <f>IF($G243="","",IFERROR(INDEX('MAESTRO DE UNIDADES'!$C$2:$C$208,MATCH($G243,'MAESTRO DE UNIDADES'!$A$2:$A$208,0)),""))</f>
        <v/>
      </c>
      <c r="G243" s="4"/>
      <c r="H243" s="8" t="str">
        <f>IF($G243="","",IFERROR(INDEX('MAESTRO DE UNIDADES'!$F$2:$F$208,MATCH($G243,'MAESTRO DE UNIDADES'!$A$2:$A$208,0)),""))</f>
        <v/>
      </c>
      <c r="I243" s="8" t="str">
        <f>IF($G243="","",IFERROR(INDEX('MAESTRO DE UNIDADES'!$B$2:$B$208,MATCH($G243,'MAESTRO DE UNIDADES'!$A$2:$A$208,0)),""))</f>
        <v/>
      </c>
      <c r="J243" s="4"/>
      <c r="K243" s="4"/>
      <c r="L243" s="4"/>
      <c r="M243" s="8" t="str">
        <f>IF($G243="","",IFERROR(INDEX('MAESTRO DE UNIDADES'!$H$2:$H$208,MATCH($G243,'MAESTRO DE UNIDADES'!$A$2:$A$208,0)),""))</f>
        <v/>
      </c>
      <c r="N243" s="25"/>
      <c r="O243" s="25"/>
      <c r="P243" s="26" t="str">
        <f t="shared" si="26"/>
        <v/>
      </c>
      <c r="Q243" s="27"/>
      <c r="R243" s="27"/>
      <c r="S243" s="28" t="str">
        <f>IF(OR($G243="",$Q243="",COUNTIF($G$2:G242,$G243)=0),"",$Q243-LOOKUP(2,1/($G$2:G242=$G243),$Q$2:Q242))</f>
        <v/>
      </c>
      <c r="T243" s="28" t="str">
        <f>IF(OR($G243="",$R243="",COUNTIF($G$2:G242,$G243)=0),"",$R243-LOOKUP(2,1/($G$2:G242=$G243),$R$2:R242))</f>
        <v/>
      </c>
      <c r="U243" s="11" t="str">
        <f t="shared" si="27"/>
        <v/>
      </c>
      <c r="V243" s="4"/>
      <c r="W243" s="4"/>
      <c r="X243" s="55"/>
      <c r="Y243" s="56" t="str">
        <f>IF($B243="","",IF((IF($G243="","Sin unidad | ","")&amp;IF($J243="","Sin responsable | ","")&amp;IF($K243="","Sin obra | ","")&amp;IF(AND($N243&lt;&gt;"",$G243&lt;&gt;"",$N243&gt;IFERROR(INDEX('MAESTRO DE UNIDADES'!$I$2:$I$208,MATCH($G243,'MAESTRO DE UNIDADES'!$A$2:$A$208,0)),0)),"Litros &gt; tanque | ","")&amp;IF(AND($W243&lt;&gt;"",COUNTIF($W$2:$W243,$W243)&gt;1),"Ticket duplicado | ","")&amp;IF(AND($G243&lt;&gt;"",IFERROR(INDEX('MAESTRO DE UNIDADES'!$L$2:$L$208,MATCH($G243,'MAESTRO DE UNIDADES'!$A$2:$A$208,0)),"")="Inactivo"),"Unidad inactiva | ","")&amp;IF(AND($AA243&lt;&gt;"",$N243=""),"Carga de batán sin litros | ","")&amp;IF(AND($AA243&lt;&gt;"",$AC243&lt;0),"Supera saldo batán | ",""))="","OK",LEFT((IF($G243="","Sin unidad | ","")&amp;IF($J243="","Sin responsable | ","")&amp;IF($K243="","Sin obra | ","")&amp;IF(AND($N243&lt;&gt;"",$G243&lt;&gt;"",$N243&gt;IFERROR(INDEX('MAESTRO DE UNIDADES'!$I$2:$I$208,MATCH($G243,'MAESTRO DE UNIDADES'!$A$2:$A$208,0)),0)),"Litros &gt; tanque | ","")&amp;IF(AND($W243&lt;&gt;"",COUNTIF($W$2:$W243,$W243)&gt;1),"Ticket duplicado | ","")&amp;IF(AND($G243&lt;&gt;"",IFERROR(INDEX('MAESTRO DE UNIDADES'!$L$2:$L$208,MATCH($G243,'MAESTRO DE UNIDADES'!$A$2:$A$208,0)),"")="Inactivo"),"Unidad inactiva | ","")&amp;IF(AND($AA243&lt;&gt;"",$N243=""),"Carga de batán sin litros | ","")&amp;IF(AND($AA243&lt;&gt;"",$AC243&lt;0),"Supera saldo batán | ","")),LEN((IF($G243="","Sin unidad | ","")&amp;IF($J243="","Sin responsable | ","")&amp;IF($K243="","Sin obra | ","")&amp;IF(AND($N243&lt;&gt;"",$G243&lt;&gt;"",$N243&gt;IFERROR(INDEX('MAESTRO DE UNIDADES'!$I$2:$I$208,MATCH($G243,'MAESTRO DE UNIDADES'!$A$2:$A$208,0)),0)),"Litros &gt; tanque | ","")&amp;IF(AND($W243&lt;&gt;"",COUNTIF($W$2:$W243,$W243)&gt;1),"Ticket duplicado | ","")&amp;IF(AND($G243&lt;&gt;"",IFERROR(INDEX('MAESTRO DE UNIDADES'!$L$2:$L$208,MATCH($G243,'MAESTRO DE UNIDADES'!$A$2:$A$208,0)),"")="Inactivo"),"Unidad inactiva | ","")&amp;IF(AND($AA243&lt;&gt;"",$N243=""),"Carga de batán sin litros | ","")&amp;IF(AND($AA243&lt;&gt;"",$AC243&lt;0),"Supera saldo batán | ","")))-3)))</f>
        <v/>
      </c>
      <c r="Z243" s="8" t="str">
        <f t="shared" si="28"/>
        <v/>
      </c>
      <c r="AA243" s="4"/>
      <c r="AB243" s="26" t="str">
        <f>IF($AA243="","",IFERROR(INDEX('CONTROL DE BATAN'!$J$2:$J$301,MATCH($AA243,'CONTROL DE BATAN'!$A$2:$A$301,0)),""))</f>
        <v/>
      </c>
      <c r="AC243" s="28" t="str">
        <f>IF($AA243="","",IFERROR(INDEX('CONTROL DE BATAN'!$I$2:$I$301,MATCH($AA243,'CONTROL DE BATAN'!$A$2:$A$301,0)),0)-SUMIFS($N$2:$N243,$AA$2:$AA243,$AA243))</f>
        <v/>
      </c>
    </row>
    <row r="244" spans="1:29" x14ac:dyDescent="0.25">
      <c r="A244" s="8" t="str">
        <f t="shared" si="22"/>
        <v/>
      </c>
      <c r="B244" s="9"/>
      <c r="C244" s="8" t="str">
        <f t="shared" si="23"/>
        <v/>
      </c>
      <c r="D244" s="10" t="str">
        <f t="shared" si="24"/>
        <v/>
      </c>
      <c r="E244" s="8" t="str">
        <f t="shared" si="25"/>
        <v/>
      </c>
      <c r="F244" s="8" t="str">
        <f>IF($G244="","",IFERROR(INDEX('MAESTRO DE UNIDADES'!$C$2:$C$208,MATCH($G244,'MAESTRO DE UNIDADES'!$A$2:$A$208,0)),""))</f>
        <v/>
      </c>
      <c r="G244" s="4"/>
      <c r="H244" s="8" t="str">
        <f>IF($G244="","",IFERROR(INDEX('MAESTRO DE UNIDADES'!$F$2:$F$208,MATCH($G244,'MAESTRO DE UNIDADES'!$A$2:$A$208,0)),""))</f>
        <v/>
      </c>
      <c r="I244" s="8" t="str">
        <f>IF($G244="","",IFERROR(INDEX('MAESTRO DE UNIDADES'!$B$2:$B$208,MATCH($G244,'MAESTRO DE UNIDADES'!$A$2:$A$208,0)),""))</f>
        <v/>
      </c>
      <c r="J244" s="4"/>
      <c r="K244" s="4"/>
      <c r="L244" s="4"/>
      <c r="M244" s="8" t="str">
        <f>IF($G244="","",IFERROR(INDEX('MAESTRO DE UNIDADES'!$H$2:$H$208,MATCH($G244,'MAESTRO DE UNIDADES'!$A$2:$A$208,0)),""))</f>
        <v/>
      </c>
      <c r="N244" s="25"/>
      <c r="O244" s="25"/>
      <c r="P244" s="26" t="str">
        <f t="shared" si="26"/>
        <v/>
      </c>
      <c r="Q244" s="27"/>
      <c r="R244" s="27"/>
      <c r="S244" s="28" t="str">
        <f>IF(OR($G244="",$Q244="",COUNTIF($G$2:G243,$G244)=0),"",$Q244-LOOKUP(2,1/($G$2:G243=$G244),$Q$2:Q243))</f>
        <v/>
      </c>
      <c r="T244" s="28" t="str">
        <f>IF(OR($G244="",$R244="",COUNTIF($G$2:G243,$G244)=0),"",$R244-LOOKUP(2,1/($G$2:G243=$G244),$R$2:R243))</f>
        <v/>
      </c>
      <c r="U244" s="11" t="str">
        <f t="shared" si="27"/>
        <v/>
      </c>
      <c r="V244" s="4"/>
      <c r="W244" s="4"/>
      <c r="X244" s="55"/>
      <c r="Y244" s="56" t="str">
        <f>IF($B244="","",IF((IF($G244="","Sin unidad | ","")&amp;IF($J244="","Sin responsable | ","")&amp;IF($K244="","Sin obra | ","")&amp;IF(AND($N244&lt;&gt;"",$G244&lt;&gt;"",$N244&gt;IFERROR(INDEX('MAESTRO DE UNIDADES'!$I$2:$I$208,MATCH($G244,'MAESTRO DE UNIDADES'!$A$2:$A$208,0)),0)),"Litros &gt; tanque | ","")&amp;IF(AND($W244&lt;&gt;"",COUNTIF($W$2:$W244,$W244)&gt;1),"Ticket duplicado | ","")&amp;IF(AND($G244&lt;&gt;"",IFERROR(INDEX('MAESTRO DE UNIDADES'!$L$2:$L$208,MATCH($G244,'MAESTRO DE UNIDADES'!$A$2:$A$208,0)),"")="Inactivo"),"Unidad inactiva | ","")&amp;IF(AND($AA244&lt;&gt;"",$N244=""),"Carga de batán sin litros | ","")&amp;IF(AND($AA244&lt;&gt;"",$AC244&lt;0),"Supera saldo batán | ",""))="","OK",LEFT((IF($G244="","Sin unidad | ","")&amp;IF($J244="","Sin responsable | ","")&amp;IF($K244="","Sin obra | ","")&amp;IF(AND($N244&lt;&gt;"",$G244&lt;&gt;"",$N244&gt;IFERROR(INDEX('MAESTRO DE UNIDADES'!$I$2:$I$208,MATCH($G244,'MAESTRO DE UNIDADES'!$A$2:$A$208,0)),0)),"Litros &gt; tanque | ","")&amp;IF(AND($W244&lt;&gt;"",COUNTIF($W$2:$W244,$W244)&gt;1),"Ticket duplicado | ","")&amp;IF(AND($G244&lt;&gt;"",IFERROR(INDEX('MAESTRO DE UNIDADES'!$L$2:$L$208,MATCH($G244,'MAESTRO DE UNIDADES'!$A$2:$A$208,0)),"")="Inactivo"),"Unidad inactiva | ","")&amp;IF(AND($AA244&lt;&gt;"",$N244=""),"Carga de batán sin litros | ","")&amp;IF(AND($AA244&lt;&gt;"",$AC244&lt;0),"Supera saldo batán | ","")),LEN((IF($G244="","Sin unidad | ","")&amp;IF($J244="","Sin responsable | ","")&amp;IF($K244="","Sin obra | ","")&amp;IF(AND($N244&lt;&gt;"",$G244&lt;&gt;"",$N244&gt;IFERROR(INDEX('MAESTRO DE UNIDADES'!$I$2:$I$208,MATCH($G244,'MAESTRO DE UNIDADES'!$A$2:$A$208,0)),0)),"Litros &gt; tanque | ","")&amp;IF(AND($W244&lt;&gt;"",COUNTIF($W$2:$W244,$W244)&gt;1),"Ticket duplicado | ","")&amp;IF(AND($G244&lt;&gt;"",IFERROR(INDEX('MAESTRO DE UNIDADES'!$L$2:$L$208,MATCH($G244,'MAESTRO DE UNIDADES'!$A$2:$A$208,0)),"")="Inactivo"),"Unidad inactiva | ","")&amp;IF(AND($AA244&lt;&gt;"",$N244=""),"Carga de batán sin litros | ","")&amp;IF(AND($AA244&lt;&gt;"",$AC244&lt;0),"Supera saldo batán | ","")))-3)))</f>
        <v/>
      </c>
      <c r="Z244" s="8" t="str">
        <f t="shared" si="28"/>
        <v/>
      </c>
      <c r="AA244" s="4"/>
      <c r="AB244" s="26" t="str">
        <f>IF($AA244="","",IFERROR(INDEX('CONTROL DE BATAN'!$J$2:$J$301,MATCH($AA244,'CONTROL DE BATAN'!$A$2:$A$301,0)),""))</f>
        <v/>
      </c>
      <c r="AC244" s="28" t="str">
        <f>IF($AA244="","",IFERROR(INDEX('CONTROL DE BATAN'!$I$2:$I$301,MATCH($AA244,'CONTROL DE BATAN'!$A$2:$A$301,0)),0)-SUMIFS($N$2:$N244,$AA$2:$AA244,$AA244))</f>
        <v/>
      </c>
    </row>
    <row r="245" spans="1:29" x14ac:dyDescent="0.25">
      <c r="A245" s="8" t="str">
        <f t="shared" si="22"/>
        <v/>
      </c>
      <c r="B245" s="9"/>
      <c r="C245" s="8" t="str">
        <f t="shared" si="23"/>
        <v/>
      </c>
      <c r="D245" s="10" t="str">
        <f t="shared" si="24"/>
        <v/>
      </c>
      <c r="E245" s="8" t="str">
        <f t="shared" si="25"/>
        <v/>
      </c>
      <c r="F245" s="8" t="str">
        <f>IF($G245="","",IFERROR(INDEX('MAESTRO DE UNIDADES'!$C$2:$C$208,MATCH($G245,'MAESTRO DE UNIDADES'!$A$2:$A$208,0)),""))</f>
        <v/>
      </c>
      <c r="G245" s="4"/>
      <c r="H245" s="8" t="str">
        <f>IF($G245="","",IFERROR(INDEX('MAESTRO DE UNIDADES'!$F$2:$F$208,MATCH($G245,'MAESTRO DE UNIDADES'!$A$2:$A$208,0)),""))</f>
        <v/>
      </c>
      <c r="I245" s="8" t="str">
        <f>IF($G245="","",IFERROR(INDEX('MAESTRO DE UNIDADES'!$B$2:$B$208,MATCH($G245,'MAESTRO DE UNIDADES'!$A$2:$A$208,0)),""))</f>
        <v/>
      </c>
      <c r="J245" s="4"/>
      <c r="K245" s="4"/>
      <c r="L245" s="4"/>
      <c r="M245" s="8" t="str">
        <f>IF($G245="","",IFERROR(INDEX('MAESTRO DE UNIDADES'!$H$2:$H$208,MATCH($G245,'MAESTRO DE UNIDADES'!$A$2:$A$208,0)),""))</f>
        <v/>
      </c>
      <c r="N245" s="25"/>
      <c r="O245" s="25"/>
      <c r="P245" s="26" t="str">
        <f t="shared" si="26"/>
        <v/>
      </c>
      <c r="Q245" s="27"/>
      <c r="R245" s="27"/>
      <c r="S245" s="28" t="str">
        <f>IF(OR($G245="",$Q245="",COUNTIF($G$2:G244,$G245)=0),"",$Q245-LOOKUP(2,1/($G$2:G244=$G245),$Q$2:Q244))</f>
        <v/>
      </c>
      <c r="T245" s="28" t="str">
        <f>IF(OR($G245="",$R245="",COUNTIF($G$2:G244,$G245)=0),"",$R245-LOOKUP(2,1/($G$2:G244=$G245),$R$2:R244))</f>
        <v/>
      </c>
      <c r="U245" s="11" t="str">
        <f t="shared" si="27"/>
        <v/>
      </c>
      <c r="V245" s="4"/>
      <c r="W245" s="4"/>
      <c r="X245" s="55"/>
      <c r="Y245" s="56" t="str">
        <f>IF($B245="","",IF((IF($G245="","Sin unidad | ","")&amp;IF($J245="","Sin responsable | ","")&amp;IF($K245="","Sin obra | ","")&amp;IF(AND($N245&lt;&gt;"",$G245&lt;&gt;"",$N245&gt;IFERROR(INDEX('MAESTRO DE UNIDADES'!$I$2:$I$208,MATCH($G245,'MAESTRO DE UNIDADES'!$A$2:$A$208,0)),0)),"Litros &gt; tanque | ","")&amp;IF(AND($W245&lt;&gt;"",COUNTIF($W$2:$W245,$W245)&gt;1),"Ticket duplicado | ","")&amp;IF(AND($G245&lt;&gt;"",IFERROR(INDEX('MAESTRO DE UNIDADES'!$L$2:$L$208,MATCH($G245,'MAESTRO DE UNIDADES'!$A$2:$A$208,0)),"")="Inactivo"),"Unidad inactiva | ","")&amp;IF(AND($AA245&lt;&gt;"",$N245=""),"Carga de batán sin litros | ","")&amp;IF(AND($AA245&lt;&gt;"",$AC245&lt;0),"Supera saldo batán | ",""))="","OK",LEFT((IF($G245="","Sin unidad | ","")&amp;IF($J245="","Sin responsable | ","")&amp;IF($K245="","Sin obra | ","")&amp;IF(AND($N245&lt;&gt;"",$G245&lt;&gt;"",$N245&gt;IFERROR(INDEX('MAESTRO DE UNIDADES'!$I$2:$I$208,MATCH($G245,'MAESTRO DE UNIDADES'!$A$2:$A$208,0)),0)),"Litros &gt; tanque | ","")&amp;IF(AND($W245&lt;&gt;"",COUNTIF($W$2:$W245,$W245)&gt;1),"Ticket duplicado | ","")&amp;IF(AND($G245&lt;&gt;"",IFERROR(INDEX('MAESTRO DE UNIDADES'!$L$2:$L$208,MATCH($G245,'MAESTRO DE UNIDADES'!$A$2:$A$208,0)),"")="Inactivo"),"Unidad inactiva | ","")&amp;IF(AND($AA245&lt;&gt;"",$N245=""),"Carga de batán sin litros | ","")&amp;IF(AND($AA245&lt;&gt;"",$AC245&lt;0),"Supera saldo batán | ","")),LEN((IF($G245="","Sin unidad | ","")&amp;IF($J245="","Sin responsable | ","")&amp;IF($K245="","Sin obra | ","")&amp;IF(AND($N245&lt;&gt;"",$G245&lt;&gt;"",$N245&gt;IFERROR(INDEX('MAESTRO DE UNIDADES'!$I$2:$I$208,MATCH($G245,'MAESTRO DE UNIDADES'!$A$2:$A$208,0)),0)),"Litros &gt; tanque | ","")&amp;IF(AND($W245&lt;&gt;"",COUNTIF($W$2:$W245,$W245)&gt;1),"Ticket duplicado | ","")&amp;IF(AND($G245&lt;&gt;"",IFERROR(INDEX('MAESTRO DE UNIDADES'!$L$2:$L$208,MATCH($G245,'MAESTRO DE UNIDADES'!$A$2:$A$208,0)),"")="Inactivo"),"Unidad inactiva | ","")&amp;IF(AND($AA245&lt;&gt;"",$N245=""),"Carga de batán sin litros | ","")&amp;IF(AND($AA245&lt;&gt;"",$AC245&lt;0),"Supera saldo batán | ","")))-3)))</f>
        <v/>
      </c>
      <c r="Z245" s="8" t="str">
        <f t="shared" si="28"/>
        <v/>
      </c>
      <c r="AA245" s="4"/>
      <c r="AB245" s="26" t="str">
        <f>IF($AA245="","",IFERROR(INDEX('CONTROL DE BATAN'!$J$2:$J$301,MATCH($AA245,'CONTROL DE BATAN'!$A$2:$A$301,0)),""))</f>
        <v/>
      </c>
      <c r="AC245" s="28" t="str">
        <f>IF($AA245="","",IFERROR(INDEX('CONTROL DE BATAN'!$I$2:$I$301,MATCH($AA245,'CONTROL DE BATAN'!$A$2:$A$301,0)),0)-SUMIFS($N$2:$N245,$AA$2:$AA245,$AA245))</f>
        <v/>
      </c>
    </row>
    <row r="246" spans="1:29" x14ac:dyDescent="0.25">
      <c r="A246" s="8" t="str">
        <f t="shared" si="22"/>
        <v/>
      </c>
      <c r="B246" s="9"/>
      <c r="C246" s="8" t="str">
        <f t="shared" si="23"/>
        <v/>
      </c>
      <c r="D246" s="10" t="str">
        <f t="shared" si="24"/>
        <v/>
      </c>
      <c r="E246" s="8" t="str">
        <f t="shared" si="25"/>
        <v/>
      </c>
      <c r="F246" s="8" t="str">
        <f>IF($G246="","",IFERROR(INDEX('MAESTRO DE UNIDADES'!$C$2:$C$208,MATCH($G246,'MAESTRO DE UNIDADES'!$A$2:$A$208,0)),""))</f>
        <v/>
      </c>
      <c r="G246" s="4"/>
      <c r="H246" s="8" t="str">
        <f>IF($G246="","",IFERROR(INDEX('MAESTRO DE UNIDADES'!$F$2:$F$208,MATCH($G246,'MAESTRO DE UNIDADES'!$A$2:$A$208,0)),""))</f>
        <v/>
      </c>
      <c r="I246" s="8" t="str">
        <f>IF($G246="","",IFERROR(INDEX('MAESTRO DE UNIDADES'!$B$2:$B$208,MATCH($G246,'MAESTRO DE UNIDADES'!$A$2:$A$208,0)),""))</f>
        <v/>
      </c>
      <c r="J246" s="4"/>
      <c r="K246" s="4"/>
      <c r="L246" s="4"/>
      <c r="M246" s="8" t="str">
        <f>IF($G246="","",IFERROR(INDEX('MAESTRO DE UNIDADES'!$H$2:$H$208,MATCH($G246,'MAESTRO DE UNIDADES'!$A$2:$A$208,0)),""))</f>
        <v/>
      </c>
      <c r="N246" s="25"/>
      <c r="O246" s="25"/>
      <c r="P246" s="26" t="str">
        <f t="shared" si="26"/>
        <v/>
      </c>
      <c r="Q246" s="27"/>
      <c r="R246" s="27"/>
      <c r="S246" s="28" t="str">
        <f>IF(OR($G246="",$Q246="",COUNTIF($G$2:G245,$G246)=0),"",$Q246-LOOKUP(2,1/($G$2:G245=$G246),$Q$2:Q245))</f>
        <v/>
      </c>
      <c r="T246" s="28" t="str">
        <f>IF(OR($G246="",$R246="",COUNTIF($G$2:G245,$G246)=0),"",$R246-LOOKUP(2,1/($G$2:G245=$G246),$R$2:R245))</f>
        <v/>
      </c>
      <c r="U246" s="11" t="str">
        <f t="shared" si="27"/>
        <v/>
      </c>
      <c r="V246" s="4"/>
      <c r="W246" s="4"/>
      <c r="X246" s="55"/>
      <c r="Y246" s="56" t="str">
        <f>IF($B246="","",IF((IF($G246="","Sin unidad | ","")&amp;IF($J246="","Sin responsable | ","")&amp;IF($K246="","Sin obra | ","")&amp;IF(AND($N246&lt;&gt;"",$G246&lt;&gt;"",$N246&gt;IFERROR(INDEX('MAESTRO DE UNIDADES'!$I$2:$I$208,MATCH($G246,'MAESTRO DE UNIDADES'!$A$2:$A$208,0)),0)),"Litros &gt; tanque | ","")&amp;IF(AND($W246&lt;&gt;"",COUNTIF($W$2:$W246,$W246)&gt;1),"Ticket duplicado | ","")&amp;IF(AND($G246&lt;&gt;"",IFERROR(INDEX('MAESTRO DE UNIDADES'!$L$2:$L$208,MATCH($G246,'MAESTRO DE UNIDADES'!$A$2:$A$208,0)),"")="Inactivo"),"Unidad inactiva | ","")&amp;IF(AND($AA246&lt;&gt;"",$N246=""),"Carga de batán sin litros | ","")&amp;IF(AND($AA246&lt;&gt;"",$AC246&lt;0),"Supera saldo batán | ",""))="","OK",LEFT((IF($G246="","Sin unidad | ","")&amp;IF($J246="","Sin responsable | ","")&amp;IF($K246="","Sin obra | ","")&amp;IF(AND($N246&lt;&gt;"",$G246&lt;&gt;"",$N246&gt;IFERROR(INDEX('MAESTRO DE UNIDADES'!$I$2:$I$208,MATCH($G246,'MAESTRO DE UNIDADES'!$A$2:$A$208,0)),0)),"Litros &gt; tanque | ","")&amp;IF(AND($W246&lt;&gt;"",COUNTIF($W$2:$W246,$W246)&gt;1),"Ticket duplicado | ","")&amp;IF(AND($G246&lt;&gt;"",IFERROR(INDEX('MAESTRO DE UNIDADES'!$L$2:$L$208,MATCH($G246,'MAESTRO DE UNIDADES'!$A$2:$A$208,0)),"")="Inactivo"),"Unidad inactiva | ","")&amp;IF(AND($AA246&lt;&gt;"",$N246=""),"Carga de batán sin litros | ","")&amp;IF(AND($AA246&lt;&gt;"",$AC246&lt;0),"Supera saldo batán | ","")),LEN((IF($G246="","Sin unidad | ","")&amp;IF($J246="","Sin responsable | ","")&amp;IF($K246="","Sin obra | ","")&amp;IF(AND($N246&lt;&gt;"",$G246&lt;&gt;"",$N246&gt;IFERROR(INDEX('MAESTRO DE UNIDADES'!$I$2:$I$208,MATCH($G246,'MAESTRO DE UNIDADES'!$A$2:$A$208,0)),0)),"Litros &gt; tanque | ","")&amp;IF(AND($W246&lt;&gt;"",COUNTIF($W$2:$W246,$W246)&gt;1),"Ticket duplicado | ","")&amp;IF(AND($G246&lt;&gt;"",IFERROR(INDEX('MAESTRO DE UNIDADES'!$L$2:$L$208,MATCH($G246,'MAESTRO DE UNIDADES'!$A$2:$A$208,0)),"")="Inactivo"),"Unidad inactiva | ","")&amp;IF(AND($AA246&lt;&gt;"",$N246=""),"Carga de batán sin litros | ","")&amp;IF(AND($AA246&lt;&gt;"",$AC246&lt;0),"Supera saldo batán | ","")))-3)))</f>
        <v/>
      </c>
      <c r="Z246" s="8" t="str">
        <f t="shared" si="28"/>
        <v/>
      </c>
      <c r="AA246" s="4"/>
      <c r="AB246" s="26" t="str">
        <f>IF($AA246="","",IFERROR(INDEX('CONTROL DE BATAN'!$J$2:$J$301,MATCH($AA246,'CONTROL DE BATAN'!$A$2:$A$301,0)),""))</f>
        <v/>
      </c>
      <c r="AC246" s="28" t="str">
        <f>IF($AA246="","",IFERROR(INDEX('CONTROL DE BATAN'!$I$2:$I$301,MATCH($AA246,'CONTROL DE BATAN'!$A$2:$A$301,0)),0)-SUMIFS($N$2:$N246,$AA$2:$AA246,$AA246))</f>
        <v/>
      </c>
    </row>
    <row r="247" spans="1:29" x14ac:dyDescent="0.25">
      <c r="A247" s="8" t="str">
        <f t="shared" si="22"/>
        <v/>
      </c>
      <c r="B247" s="9"/>
      <c r="C247" s="8" t="str">
        <f t="shared" si="23"/>
        <v/>
      </c>
      <c r="D247" s="10" t="str">
        <f t="shared" si="24"/>
        <v/>
      </c>
      <c r="E247" s="8" t="str">
        <f t="shared" si="25"/>
        <v/>
      </c>
      <c r="F247" s="8" t="str">
        <f>IF($G247="","",IFERROR(INDEX('MAESTRO DE UNIDADES'!$C$2:$C$208,MATCH($G247,'MAESTRO DE UNIDADES'!$A$2:$A$208,0)),""))</f>
        <v/>
      </c>
      <c r="G247" s="4"/>
      <c r="H247" s="8" t="str">
        <f>IF($G247="","",IFERROR(INDEX('MAESTRO DE UNIDADES'!$F$2:$F$208,MATCH($G247,'MAESTRO DE UNIDADES'!$A$2:$A$208,0)),""))</f>
        <v/>
      </c>
      <c r="I247" s="8" t="str">
        <f>IF($G247="","",IFERROR(INDEX('MAESTRO DE UNIDADES'!$B$2:$B$208,MATCH($G247,'MAESTRO DE UNIDADES'!$A$2:$A$208,0)),""))</f>
        <v/>
      </c>
      <c r="J247" s="4"/>
      <c r="K247" s="4"/>
      <c r="L247" s="4"/>
      <c r="M247" s="8" t="str">
        <f>IF($G247="","",IFERROR(INDEX('MAESTRO DE UNIDADES'!$H$2:$H$208,MATCH($G247,'MAESTRO DE UNIDADES'!$A$2:$A$208,0)),""))</f>
        <v/>
      </c>
      <c r="N247" s="25"/>
      <c r="O247" s="25"/>
      <c r="P247" s="26" t="str">
        <f t="shared" si="26"/>
        <v/>
      </c>
      <c r="Q247" s="27"/>
      <c r="R247" s="27"/>
      <c r="S247" s="28" t="str">
        <f>IF(OR($G247="",$Q247="",COUNTIF($G$2:G246,$G247)=0),"",$Q247-LOOKUP(2,1/($G$2:G246=$G247),$Q$2:Q246))</f>
        <v/>
      </c>
      <c r="T247" s="28" t="str">
        <f>IF(OR($G247="",$R247="",COUNTIF($G$2:G246,$G247)=0),"",$R247-LOOKUP(2,1/($G$2:G246=$G247),$R$2:R246))</f>
        <v/>
      </c>
      <c r="U247" s="11" t="str">
        <f t="shared" si="27"/>
        <v/>
      </c>
      <c r="V247" s="4"/>
      <c r="W247" s="4"/>
      <c r="X247" s="55"/>
      <c r="Y247" s="56" t="str">
        <f>IF($B247="","",IF((IF($G247="","Sin unidad | ","")&amp;IF($J247="","Sin responsable | ","")&amp;IF($K247="","Sin obra | ","")&amp;IF(AND($N247&lt;&gt;"",$G247&lt;&gt;"",$N247&gt;IFERROR(INDEX('MAESTRO DE UNIDADES'!$I$2:$I$208,MATCH($G247,'MAESTRO DE UNIDADES'!$A$2:$A$208,0)),0)),"Litros &gt; tanque | ","")&amp;IF(AND($W247&lt;&gt;"",COUNTIF($W$2:$W247,$W247)&gt;1),"Ticket duplicado | ","")&amp;IF(AND($G247&lt;&gt;"",IFERROR(INDEX('MAESTRO DE UNIDADES'!$L$2:$L$208,MATCH($G247,'MAESTRO DE UNIDADES'!$A$2:$A$208,0)),"")="Inactivo"),"Unidad inactiva | ","")&amp;IF(AND($AA247&lt;&gt;"",$N247=""),"Carga de batán sin litros | ","")&amp;IF(AND($AA247&lt;&gt;"",$AC247&lt;0),"Supera saldo batán | ",""))="","OK",LEFT((IF($G247="","Sin unidad | ","")&amp;IF($J247="","Sin responsable | ","")&amp;IF($K247="","Sin obra | ","")&amp;IF(AND($N247&lt;&gt;"",$G247&lt;&gt;"",$N247&gt;IFERROR(INDEX('MAESTRO DE UNIDADES'!$I$2:$I$208,MATCH($G247,'MAESTRO DE UNIDADES'!$A$2:$A$208,0)),0)),"Litros &gt; tanque | ","")&amp;IF(AND($W247&lt;&gt;"",COUNTIF($W$2:$W247,$W247)&gt;1),"Ticket duplicado | ","")&amp;IF(AND($G247&lt;&gt;"",IFERROR(INDEX('MAESTRO DE UNIDADES'!$L$2:$L$208,MATCH($G247,'MAESTRO DE UNIDADES'!$A$2:$A$208,0)),"")="Inactivo"),"Unidad inactiva | ","")&amp;IF(AND($AA247&lt;&gt;"",$N247=""),"Carga de batán sin litros | ","")&amp;IF(AND($AA247&lt;&gt;"",$AC247&lt;0),"Supera saldo batán | ","")),LEN((IF($G247="","Sin unidad | ","")&amp;IF($J247="","Sin responsable | ","")&amp;IF($K247="","Sin obra | ","")&amp;IF(AND($N247&lt;&gt;"",$G247&lt;&gt;"",$N247&gt;IFERROR(INDEX('MAESTRO DE UNIDADES'!$I$2:$I$208,MATCH($G247,'MAESTRO DE UNIDADES'!$A$2:$A$208,0)),0)),"Litros &gt; tanque | ","")&amp;IF(AND($W247&lt;&gt;"",COUNTIF($W$2:$W247,$W247)&gt;1),"Ticket duplicado | ","")&amp;IF(AND($G247&lt;&gt;"",IFERROR(INDEX('MAESTRO DE UNIDADES'!$L$2:$L$208,MATCH($G247,'MAESTRO DE UNIDADES'!$A$2:$A$208,0)),"")="Inactivo"),"Unidad inactiva | ","")&amp;IF(AND($AA247&lt;&gt;"",$N247=""),"Carga de batán sin litros | ","")&amp;IF(AND($AA247&lt;&gt;"",$AC247&lt;0),"Supera saldo batán | ","")))-3)))</f>
        <v/>
      </c>
      <c r="Z247" s="8" t="str">
        <f t="shared" si="28"/>
        <v/>
      </c>
      <c r="AA247" s="4"/>
      <c r="AB247" s="26" t="str">
        <f>IF($AA247="","",IFERROR(INDEX('CONTROL DE BATAN'!$J$2:$J$301,MATCH($AA247,'CONTROL DE BATAN'!$A$2:$A$301,0)),""))</f>
        <v/>
      </c>
      <c r="AC247" s="28" t="str">
        <f>IF($AA247="","",IFERROR(INDEX('CONTROL DE BATAN'!$I$2:$I$301,MATCH($AA247,'CONTROL DE BATAN'!$A$2:$A$301,0)),0)-SUMIFS($N$2:$N247,$AA$2:$AA247,$AA247))</f>
        <v/>
      </c>
    </row>
    <row r="248" spans="1:29" x14ac:dyDescent="0.25">
      <c r="A248" s="8" t="str">
        <f t="shared" si="22"/>
        <v/>
      </c>
      <c r="B248" s="9"/>
      <c r="C248" s="8" t="str">
        <f t="shared" si="23"/>
        <v/>
      </c>
      <c r="D248" s="10" t="str">
        <f t="shared" si="24"/>
        <v/>
      </c>
      <c r="E248" s="8" t="str">
        <f t="shared" si="25"/>
        <v/>
      </c>
      <c r="F248" s="8" t="str">
        <f>IF($G248="","",IFERROR(INDEX('MAESTRO DE UNIDADES'!$C$2:$C$208,MATCH($G248,'MAESTRO DE UNIDADES'!$A$2:$A$208,0)),""))</f>
        <v/>
      </c>
      <c r="G248" s="4"/>
      <c r="H248" s="8" t="str">
        <f>IF($G248="","",IFERROR(INDEX('MAESTRO DE UNIDADES'!$F$2:$F$208,MATCH($G248,'MAESTRO DE UNIDADES'!$A$2:$A$208,0)),""))</f>
        <v/>
      </c>
      <c r="I248" s="8" t="str">
        <f>IF($G248="","",IFERROR(INDEX('MAESTRO DE UNIDADES'!$B$2:$B$208,MATCH($G248,'MAESTRO DE UNIDADES'!$A$2:$A$208,0)),""))</f>
        <v/>
      </c>
      <c r="J248" s="4"/>
      <c r="K248" s="4"/>
      <c r="L248" s="4"/>
      <c r="M248" s="8" t="str">
        <f>IF($G248="","",IFERROR(INDEX('MAESTRO DE UNIDADES'!$H$2:$H$208,MATCH($G248,'MAESTRO DE UNIDADES'!$A$2:$A$208,0)),""))</f>
        <v/>
      </c>
      <c r="N248" s="25"/>
      <c r="O248" s="25"/>
      <c r="P248" s="26" t="str">
        <f t="shared" si="26"/>
        <v/>
      </c>
      <c r="Q248" s="27"/>
      <c r="R248" s="27"/>
      <c r="S248" s="28" t="str">
        <f>IF(OR($G248="",$Q248="",COUNTIF($G$2:G247,$G248)=0),"",$Q248-LOOKUP(2,1/($G$2:G247=$G248),$Q$2:Q247))</f>
        <v/>
      </c>
      <c r="T248" s="28" t="str">
        <f>IF(OR($G248="",$R248="",COUNTIF($G$2:G247,$G248)=0),"",$R248-LOOKUP(2,1/($G$2:G247=$G248),$R$2:R247))</f>
        <v/>
      </c>
      <c r="U248" s="11" t="str">
        <f t="shared" si="27"/>
        <v/>
      </c>
      <c r="V248" s="4"/>
      <c r="W248" s="4"/>
      <c r="X248" s="55"/>
      <c r="Y248" s="56" t="str">
        <f>IF($B248="","",IF((IF($G248="","Sin unidad | ","")&amp;IF($J248="","Sin responsable | ","")&amp;IF($K248="","Sin obra | ","")&amp;IF(AND($N248&lt;&gt;"",$G248&lt;&gt;"",$N248&gt;IFERROR(INDEX('MAESTRO DE UNIDADES'!$I$2:$I$208,MATCH($G248,'MAESTRO DE UNIDADES'!$A$2:$A$208,0)),0)),"Litros &gt; tanque | ","")&amp;IF(AND($W248&lt;&gt;"",COUNTIF($W$2:$W248,$W248)&gt;1),"Ticket duplicado | ","")&amp;IF(AND($G248&lt;&gt;"",IFERROR(INDEX('MAESTRO DE UNIDADES'!$L$2:$L$208,MATCH($G248,'MAESTRO DE UNIDADES'!$A$2:$A$208,0)),"")="Inactivo"),"Unidad inactiva | ","")&amp;IF(AND($AA248&lt;&gt;"",$N248=""),"Carga de batán sin litros | ","")&amp;IF(AND($AA248&lt;&gt;"",$AC248&lt;0),"Supera saldo batán | ",""))="","OK",LEFT((IF($G248="","Sin unidad | ","")&amp;IF($J248="","Sin responsable | ","")&amp;IF($K248="","Sin obra | ","")&amp;IF(AND($N248&lt;&gt;"",$G248&lt;&gt;"",$N248&gt;IFERROR(INDEX('MAESTRO DE UNIDADES'!$I$2:$I$208,MATCH($G248,'MAESTRO DE UNIDADES'!$A$2:$A$208,0)),0)),"Litros &gt; tanque | ","")&amp;IF(AND($W248&lt;&gt;"",COUNTIF($W$2:$W248,$W248)&gt;1),"Ticket duplicado | ","")&amp;IF(AND($G248&lt;&gt;"",IFERROR(INDEX('MAESTRO DE UNIDADES'!$L$2:$L$208,MATCH($G248,'MAESTRO DE UNIDADES'!$A$2:$A$208,0)),"")="Inactivo"),"Unidad inactiva | ","")&amp;IF(AND($AA248&lt;&gt;"",$N248=""),"Carga de batán sin litros | ","")&amp;IF(AND($AA248&lt;&gt;"",$AC248&lt;0),"Supera saldo batán | ","")),LEN((IF($G248="","Sin unidad | ","")&amp;IF($J248="","Sin responsable | ","")&amp;IF($K248="","Sin obra | ","")&amp;IF(AND($N248&lt;&gt;"",$G248&lt;&gt;"",$N248&gt;IFERROR(INDEX('MAESTRO DE UNIDADES'!$I$2:$I$208,MATCH($G248,'MAESTRO DE UNIDADES'!$A$2:$A$208,0)),0)),"Litros &gt; tanque | ","")&amp;IF(AND($W248&lt;&gt;"",COUNTIF($W$2:$W248,$W248)&gt;1),"Ticket duplicado | ","")&amp;IF(AND($G248&lt;&gt;"",IFERROR(INDEX('MAESTRO DE UNIDADES'!$L$2:$L$208,MATCH($G248,'MAESTRO DE UNIDADES'!$A$2:$A$208,0)),"")="Inactivo"),"Unidad inactiva | ","")&amp;IF(AND($AA248&lt;&gt;"",$N248=""),"Carga de batán sin litros | ","")&amp;IF(AND($AA248&lt;&gt;"",$AC248&lt;0),"Supera saldo batán | ","")))-3)))</f>
        <v/>
      </c>
      <c r="Z248" s="8" t="str">
        <f t="shared" si="28"/>
        <v/>
      </c>
      <c r="AA248" s="4"/>
      <c r="AB248" s="26" t="str">
        <f>IF($AA248="","",IFERROR(INDEX('CONTROL DE BATAN'!$J$2:$J$301,MATCH($AA248,'CONTROL DE BATAN'!$A$2:$A$301,0)),""))</f>
        <v/>
      </c>
      <c r="AC248" s="28" t="str">
        <f>IF($AA248="","",IFERROR(INDEX('CONTROL DE BATAN'!$I$2:$I$301,MATCH($AA248,'CONTROL DE BATAN'!$A$2:$A$301,0)),0)-SUMIFS($N$2:$N248,$AA$2:$AA248,$AA248))</f>
        <v/>
      </c>
    </row>
    <row r="249" spans="1:29" x14ac:dyDescent="0.25">
      <c r="A249" s="8" t="str">
        <f t="shared" si="22"/>
        <v/>
      </c>
      <c r="B249" s="9"/>
      <c r="C249" s="8" t="str">
        <f t="shared" si="23"/>
        <v/>
      </c>
      <c r="D249" s="10" t="str">
        <f t="shared" si="24"/>
        <v/>
      </c>
      <c r="E249" s="8" t="str">
        <f t="shared" si="25"/>
        <v/>
      </c>
      <c r="F249" s="8" t="str">
        <f>IF($G249="","",IFERROR(INDEX('MAESTRO DE UNIDADES'!$C$2:$C$208,MATCH($G249,'MAESTRO DE UNIDADES'!$A$2:$A$208,0)),""))</f>
        <v/>
      </c>
      <c r="G249" s="4"/>
      <c r="H249" s="8" t="str">
        <f>IF($G249="","",IFERROR(INDEX('MAESTRO DE UNIDADES'!$F$2:$F$208,MATCH($G249,'MAESTRO DE UNIDADES'!$A$2:$A$208,0)),""))</f>
        <v/>
      </c>
      <c r="I249" s="8" t="str">
        <f>IF($G249="","",IFERROR(INDEX('MAESTRO DE UNIDADES'!$B$2:$B$208,MATCH($G249,'MAESTRO DE UNIDADES'!$A$2:$A$208,0)),""))</f>
        <v/>
      </c>
      <c r="J249" s="4"/>
      <c r="K249" s="4"/>
      <c r="L249" s="4"/>
      <c r="M249" s="8" t="str">
        <f>IF($G249="","",IFERROR(INDEX('MAESTRO DE UNIDADES'!$H$2:$H$208,MATCH($G249,'MAESTRO DE UNIDADES'!$A$2:$A$208,0)),""))</f>
        <v/>
      </c>
      <c r="N249" s="25"/>
      <c r="O249" s="25"/>
      <c r="P249" s="26" t="str">
        <f t="shared" si="26"/>
        <v/>
      </c>
      <c r="Q249" s="27"/>
      <c r="R249" s="27"/>
      <c r="S249" s="28" t="str">
        <f>IF(OR($G249="",$Q249="",COUNTIF($G$2:G248,$G249)=0),"",$Q249-LOOKUP(2,1/($G$2:G248=$G249),$Q$2:Q248))</f>
        <v/>
      </c>
      <c r="T249" s="28" t="str">
        <f>IF(OR($G249="",$R249="",COUNTIF($G$2:G248,$G249)=0),"",$R249-LOOKUP(2,1/($G$2:G248=$G249),$R$2:R248))</f>
        <v/>
      </c>
      <c r="U249" s="11" t="str">
        <f t="shared" si="27"/>
        <v/>
      </c>
      <c r="V249" s="4"/>
      <c r="W249" s="4"/>
      <c r="X249" s="55"/>
      <c r="Y249" s="56" t="str">
        <f>IF($B249="","",IF((IF($G249="","Sin unidad | ","")&amp;IF($J249="","Sin responsable | ","")&amp;IF($K249="","Sin obra | ","")&amp;IF(AND($N249&lt;&gt;"",$G249&lt;&gt;"",$N249&gt;IFERROR(INDEX('MAESTRO DE UNIDADES'!$I$2:$I$208,MATCH($G249,'MAESTRO DE UNIDADES'!$A$2:$A$208,0)),0)),"Litros &gt; tanque | ","")&amp;IF(AND($W249&lt;&gt;"",COUNTIF($W$2:$W249,$W249)&gt;1),"Ticket duplicado | ","")&amp;IF(AND($G249&lt;&gt;"",IFERROR(INDEX('MAESTRO DE UNIDADES'!$L$2:$L$208,MATCH($G249,'MAESTRO DE UNIDADES'!$A$2:$A$208,0)),"")="Inactivo"),"Unidad inactiva | ","")&amp;IF(AND($AA249&lt;&gt;"",$N249=""),"Carga de batán sin litros | ","")&amp;IF(AND($AA249&lt;&gt;"",$AC249&lt;0),"Supera saldo batán | ",""))="","OK",LEFT((IF($G249="","Sin unidad | ","")&amp;IF($J249="","Sin responsable | ","")&amp;IF($K249="","Sin obra | ","")&amp;IF(AND($N249&lt;&gt;"",$G249&lt;&gt;"",$N249&gt;IFERROR(INDEX('MAESTRO DE UNIDADES'!$I$2:$I$208,MATCH($G249,'MAESTRO DE UNIDADES'!$A$2:$A$208,0)),0)),"Litros &gt; tanque | ","")&amp;IF(AND($W249&lt;&gt;"",COUNTIF($W$2:$W249,$W249)&gt;1),"Ticket duplicado | ","")&amp;IF(AND($G249&lt;&gt;"",IFERROR(INDEX('MAESTRO DE UNIDADES'!$L$2:$L$208,MATCH($G249,'MAESTRO DE UNIDADES'!$A$2:$A$208,0)),"")="Inactivo"),"Unidad inactiva | ","")&amp;IF(AND($AA249&lt;&gt;"",$N249=""),"Carga de batán sin litros | ","")&amp;IF(AND($AA249&lt;&gt;"",$AC249&lt;0),"Supera saldo batán | ","")),LEN((IF($G249="","Sin unidad | ","")&amp;IF($J249="","Sin responsable | ","")&amp;IF($K249="","Sin obra | ","")&amp;IF(AND($N249&lt;&gt;"",$G249&lt;&gt;"",$N249&gt;IFERROR(INDEX('MAESTRO DE UNIDADES'!$I$2:$I$208,MATCH($G249,'MAESTRO DE UNIDADES'!$A$2:$A$208,0)),0)),"Litros &gt; tanque | ","")&amp;IF(AND($W249&lt;&gt;"",COUNTIF($W$2:$W249,$W249)&gt;1),"Ticket duplicado | ","")&amp;IF(AND($G249&lt;&gt;"",IFERROR(INDEX('MAESTRO DE UNIDADES'!$L$2:$L$208,MATCH($G249,'MAESTRO DE UNIDADES'!$A$2:$A$208,0)),"")="Inactivo"),"Unidad inactiva | ","")&amp;IF(AND($AA249&lt;&gt;"",$N249=""),"Carga de batán sin litros | ","")&amp;IF(AND($AA249&lt;&gt;"",$AC249&lt;0),"Supera saldo batán | ","")))-3)))</f>
        <v/>
      </c>
      <c r="Z249" s="8" t="str">
        <f t="shared" si="28"/>
        <v/>
      </c>
      <c r="AA249" s="4"/>
      <c r="AB249" s="26" t="str">
        <f>IF($AA249="","",IFERROR(INDEX('CONTROL DE BATAN'!$J$2:$J$301,MATCH($AA249,'CONTROL DE BATAN'!$A$2:$A$301,0)),""))</f>
        <v/>
      </c>
      <c r="AC249" s="28" t="str">
        <f>IF($AA249="","",IFERROR(INDEX('CONTROL DE BATAN'!$I$2:$I$301,MATCH($AA249,'CONTROL DE BATAN'!$A$2:$A$301,0)),0)-SUMIFS($N$2:$N249,$AA$2:$AA249,$AA249))</f>
        <v/>
      </c>
    </row>
    <row r="250" spans="1:29" x14ac:dyDescent="0.25">
      <c r="A250" s="8" t="str">
        <f t="shared" si="22"/>
        <v/>
      </c>
      <c r="B250" s="9"/>
      <c r="C250" s="8" t="str">
        <f t="shared" si="23"/>
        <v/>
      </c>
      <c r="D250" s="10" t="str">
        <f t="shared" si="24"/>
        <v/>
      </c>
      <c r="E250" s="8" t="str">
        <f t="shared" si="25"/>
        <v/>
      </c>
      <c r="F250" s="8" t="str">
        <f>IF($G250="","",IFERROR(INDEX('MAESTRO DE UNIDADES'!$C$2:$C$208,MATCH($G250,'MAESTRO DE UNIDADES'!$A$2:$A$208,0)),""))</f>
        <v/>
      </c>
      <c r="G250" s="4"/>
      <c r="H250" s="8" t="str">
        <f>IF($G250="","",IFERROR(INDEX('MAESTRO DE UNIDADES'!$F$2:$F$208,MATCH($G250,'MAESTRO DE UNIDADES'!$A$2:$A$208,0)),""))</f>
        <v/>
      </c>
      <c r="I250" s="8" t="str">
        <f>IF($G250="","",IFERROR(INDEX('MAESTRO DE UNIDADES'!$B$2:$B$208,MATCH($G250,'MAESTRO DE UNIDADES'!$A$2:$A$208,0)),""))</f>
        <v/>
      </c>
      <c r="J250" s="4"/>
      <c r="K250" s="4"/>
      <c r="L250" s="4"/>
      <c r="M250" s="8" t="str">
        <f>IF($G250="","",IFERROR(INDEX('MAESTRO DE UNIDADES'!$H$2:$H$208,MATCH($G250,'MAESTRO DE UNIDADES'!$A$2:$A$208,0)),""))</f>
        <v/>
      </c>
      <c r="N250" s="25"/>
      <c r="O250" s="25"/>
      <c r="P250" s="26" t="str">
        <f t="shared" si="26"/>
        <v/>
      </c>
      <c r="Q250" s="27"/>
      <c r="R250" s="27"/>
      <c r="S250" s="28" t="str">
        <f>IF(OR($G250="",$Q250="",COUNTIF($G$2:G249,$G250)=0),"",$Q250-LOOKUP(2,1/($G$2:G249=$G250),$Q$2:Q249))</f>
        <v/>
      </c>
      <c r="T250" s="28" t="str">
        <f>IF(OR($G250="",$R250="",COUNTIF($G$2:G249,$G250)=0),"",$R250-LOOKUP(2,1/($G$2:G249=$G250),$R$2:R249))</f>
        <v/>
      </c>
      <c r="U250" s="11" t="str">
        <f t="shared" si="27"/>
        <v/>
      </c>
      <c r="V250" s="4"/>
      <c r="W250" s="4"/>
      <c r="X250" s="55"/>
      <c r="Y250" s="56" t="str">
        <f>IF($B250="","",IF((IF($G250="","Sin unidad | ","")&amp;IF($J250="","Sin responsable | ","")&amp;IF($K250="","Sin obra | ","")&amp;IF(AND($N250&lt;&gt;"",$G250&lt;&gt;"",$N250&gt;IFERROR(INDEX('MAESTRO DE UNIDADES'!$I$2:$I$208,MATCH($G250,'MAESTRO DE UNIDADES'!$A$2:$A$208,0)),0)),"Litros &gt; tanque | ","")&amp;IF(AND($W250&lt;&gt;"",COUNTIF($W$2:$W250,$W250)&gt;1),"Ticket duplicado | ","")&amp;IF(AND($G250&lt;&gt;"",IFERROR(INDEX('MAESTRO DE UNIDADES'!$L$2:$L$208,MATCH($G250,'MAESTRO DE UNIDADES'!$A$2:$A$208,0)),"")="Inactivo"),"Unidad inactiva | ","")&amp;IF(AND($AA250&lt;&gt;"",$N250=""),"Carga de batán sin litros | ","")&amp;IF(AND($AA250&lt;&gt;"",$AC250&lt;0),"Supera saldo batán | ",""))="","OK",LEFT((IF($G250="","Sin unidad | ","")&amp;IF($J250="","Sin responsable | ","")&amp;IF($K250="","Sin obra | ","")&amp;IF(AND($N250&lt;&gt;"",$G250&lt;&gt;"",$N250&gt;IFERROR(INDEX('MAESTRO DE UNIDADES'!$I$2:$I$208,MATCH($G250,'MAESTRO DE UNIDADES'!$A$2:$A$208,0)),0)),"Litros &gt; tanque | ","")&amp;IF(AND($W250&lt;&gt;"",COUNTIF($W$2:$W250,$W250)&gt;1),"Ticket duplicado | ","")&amp;IF(AND($G250&lt;&gt;"",IFERROR(INDEX('MAESTRO DE UNIDADES'!$L$2:$L$208,MATCH($G250,'MAESTRO DE UNIDADES'!$A$2:$A$208,0)),"")="Inactivo"),"Unidad inactiva | ","")&amp;IF(AND($AA250&lt;&gt;"",$N250=""),"Carga de batán sin litros | ","")&amp;IF(AND($AA250&lt;&gt;"",$AC250&lt;0),"Supera saldo batán | ","")),LEN((IF($G250="","Sin unidad | ","")&amp;IF($J250="","Sin responsable | ","")&amp;IF($K250="","Sin obra | ","")&amp;IF(AND($N250&lt;&gt;"",$G250&lt;&gt;"",$N250&gt;IFERROR(INDEX('MAESTRO DE UNIDADES'!$I$2:$I$208,MATCH($G250,'MAESTRO DE UNIDADES'!$A$2:$A$208,0)),0)),"Litros &gt; tanque | ","")&amp;IF(AND($W250&lt;&gt;"",COUNTIF($W$2:$W250,$W250)&gt;1),"Ticket duplicado | ","")&amp;IF(AND($G250&lt;&gt;"",IFERROR(INDEX('MAESTRO DE UNIDADES'!$L$2:$L$208,MATCH($G250,'MAESTRO DE UNIDADES'!$A$2:$A$208,0)),"")="Inactivo"),"Unidad inactiva | ","")&amp;IF(AND($AA250&lt;&gt;"",$N250=""),"Carga de batán sin litros | ","")&amp;IF(AND($AA250&lt;&gt;"",$AC250&lt;0),"Supera saldo batán | ","")))-3)))</f>
        <v/>
      </c>
      <c r="Z250" s="8" t="str">
        <f t="shared" si="28"/>
        <v/>
      </c>
      <c r="AA250" s="4"/>
      <c r="AB250" s="26" t="str">
        <f>IF($AA250="","",IFERROR(INDEX('CONTROL DE BATAN'!$J$2:$J$301,MATCH($AA250,'CONTROL DE BATAN'!$A$2:$A$301,0)),""))</f>
        <v/>
      </c>
      <c r="AC250" s="28" t="str">
        <f>IF($AA250="","",IFERROR(INDEX('CONTROL DE BATAN'!$I$2:$I$301,MATCH($AA250,'CONTROL DE BATAN'!$A$2:$A$301,0)),0)-SUMIFS($N$2:$N250,$AA$2:$AA250,$AA250))</f>
        <v/>
      </c>
    </row>
    <row r="251" spans="1:29" x14ac:dyDescent="0.25">
      <c r="A251" s="8" t="str">
        <f t="shared" si="22"/>
        <v/>
      </c>
      <c r="B251" s="9"/>
      <c r="C251" s="8" t="str">
        <f t="shared" si="23"/>
        <v/>
      </c>
      <c r="D251" s="10" t="str">
        <f t="shared" si="24"/>
        <v/>
      </c>
      <c r="E251" s="8" t="str">
        <f t="shared" si="25"/>
        <v/>
      </c>
      <c r="F251" s="8" t="str">
        <f>IF($G251="","",IFERROR(INDEX('MAESTRO DE UNIDADES'!$C$2:$C$208,MATCH($G251,'MAESTRO DE UNIDADES'!$A$2:$A$208,0)),""))</f>
        <v/>
      </c>
      <c r="G251" s="4"/>
      <c r="H251" s="8" t="str">
        <f>IF($G251="","",IFERROR(INDEX('MAESTRO DE UNIDADES'!$F$2:$F$208,MATCH($G251,'MAESTRO DE UNIDADES'!$A$2:$A$208,0)),""))</f>
        <v/>
      </c>
      <c r="I251" s="8" t="str">
        <f>IF($G251="","",IFERROR(INDEX('MAESTRO DE UNIDADES'!$B$2:$B$208,MATCH($G251,'MAESTRO DE UNIDADES'!$A$2:$A$208,0)),""))</f>
        <v/>
      </c>
      <c r="J251" s="4"/>
      <c r="K251" s="4"/>
      <c r="L251" s="4"/>
      <c r="M251" s="8" t="str">
        <f>IF($G251="","",IFERROR(INDEX('MAESTRO DE UNIDADES'!$H$2:$H$208,MATCH($G251,'MAESTRO DE UNIDADES'!$A$2:$A$208,0)),""))</f>
        <v/>
      </c>
      <c r="N251" s="25"/>
      <c r="O251" s="25"/>
      <c r="P251" s="26" t="str">
        <f t="shared" si="26"/>
        <v/>
      </c>
      <c r="Q251" s="27"/>
      <c r="R251" s="27"/>
      <c r="S251" s="28" t="str">
        <f>IF(OR($G251="",$Q251="",COUNTIF($G$2:G250,$G251)=0),"",$Q251-LOOKUP(2,1/($G$2:G250=$G251),$Q$2:Q250))</f>
        <v/>
      </c>
      <c r="T251" s="28" t="str">
        <f>IF(OR($G251="",$R251="",COUNTIF($G$2:G250,$G251)=0),"",$R251-LOOKUP(2,1/($G$2:G250=$G251),$R$2:R250))</f>
        <v/>
      </c>
      <c r="U251" s="11" t="str">
        <f t="shared" si="27"/>
        <v/>
      </c>
      <c r="V251" s="4"/>
      <c r="W251" s="4"/>
      <c r="X251" s="55"/>
      <c r="Y251" s="56" t="str">
        <f>IF($B251="","",IF((IF($G251="","Sin unidad | ","")&amp;IF($J251="","Sin responsable | ","")&amp;IF($K251="","Sin obra | ","")&amp;IF(AND($N251&lt;&gt;"",$G251&lt;&gt;"",$N251&gt;IFERROR(INDEX('MAESTRO DE UNIDADES'!$I$2:$I$208,MATCH($G251,'MAESTRO DE UNIDADES'!$A$2:$A$208,0)),0)),"Litros &gt; tanque | ","")&amp;IF(AND($W251&lt;&gt;"",COUNTIF($W$2:$W251,$W251)&gt;1),"Ticket duplicado | ","")&amp;IF(AND($G251&lt;&gt;"",IFERROR(INDEX('MAESTRO DE UNIDADES'!$L$2:$L$208,MATCH($G251,'MAESTRO DE UNIDADES'!$A$2:$A$208,0)),"")="Inactivo"),"Unidad inactiva | ","")&amp;IF(AND($AA251&lt;&gt;"",$N251=""),"Carga de batán sin litros | ","")&amp;IF(AND($AA251&lt;&gt;"",$AC251&lt;0),"Supera saldo batán | ",""))="","OK",LEFT((IF($G251="","Sin unidad | ","")&amp;IF($J251="","Sin responsable | ","")&amp;IF($K251="","Sin obra | ","")&amp;IF(AND($N251&lt;&gt;"",$G251&lt;&gt;"",$N251&gt;IFERROR(INDEX('MAESTRO DE UNIDADES'!$I$2:$I$208,MATCH($G251,'MAESTRO DE UNIDADES'!$A$2:$A$208,0)),0)),"Litros &gt; tanque | ","")&amp;IF(AND($W251&lt;&gt;"",COUNTIF($W$2:$W251,$W251)&gt;1),"Ticket duplicado | ","")&amp;IF(AND($G251&lt;&gt;"",IFERROR(INDEX('MAESTRO DE UNIDADES'!$L$2:$L$208,MATCH($G251,'MAESTRO DE UNIDADES'!$A$2:$A$208,0)),"")="Inactivo"),"Unidad inactiva | ","")&amp;IF(AND($AA251&lt;&gt;"",$N251=""),"Carga de batán sin litros | ","")&amp;IF(AND($AA251&lt;&gt;"",$AC251&lt;0),"Supera saldo batán | ","")),LEN((IF($G251="","Sin unidad | ","")&amp;IF($J251="","Sin responsable | ","")&amp;IF($K251="","Sin obra | ","")&amp;IF(AND($N251&lt;&gt;"",$G251&lt;&gt;"",$N251&gt;IFERROR(INDEX('MAESTRO DE UNIDADES'!$I$2:$I$208,MATCH($G251,'MAESTRO DE UNIDADES'!$A$2:$A$208,0)),0)),"Litros &gt; tanque | ","")&amp;IF(AND($W251&lt;&gt;"",COUNTIF($W$2:$W251,$W251)&gt;1),"Ticket duplicado | ","")&amp;IF(AND($G251&lt;&gt;"",IFERROR(INDEX('MAESTRO DE UNIDADES'!$L$2:$L$208,MATCH($G251,'MAESTRO DE UNIDADES'!$A$2:$A$208,0)),"")="Inactivo"),"Unidad inactiva | ","")&amp;IF(AND($AA251&lt;&gt;"",$N251=""),"Carga de batán sin litros | ","")&amp;IF(AND($AA251&lt;&gt;"",$AC251&lt;0),"Supera saldo batán | ","")))-3)))</f>
        <v/>
      </c>
      <c r="Z251" s="8" t="str">
        <f t="shared" si="28"/>
        <v/>
      </c>
      <c r="AA251" s="4"/>
      <c r="AB251" s="26" t="str">
        <f>IF($AA251="","",IFERROR(INDEX('CONTROL DE BATAN'!$J$2:$J$301,MATCH($AA251,'CONTROL DE BATAN'!$A$2:$A$301,0)),""))</f>
        <v/>
      </c>
      <c r="AC251" s="28" t="str">
        <f>IF($AA251="","",IFERROR(INDEX('CONTROL DE BATAN'!$I$2:$I$301,MATCH($AA251,'CONTROL DE BATAN'!$A$2:$A$301,0)),0)-SUMIFS($N$2:$N251,$AA$2:$AA251,$AA251))</f>
        <v/>
      </c>
    </row>
    <row r="252" spans="1:29" x14ac:dyDescent="0.25">
      <c r="A252" s="8" t="str">
        <f t="shared" si="22"/>
        <v/>
      </c>
      <c r="B252" s="9"/>
      <c r="C252" s="8" t="str">
        <f t="shared" si="23"/>
        <v/>
      </c>
      <c r="D252" s="10" t="str">
        <f t="shared" si="24"/>
        <v/>
      </c>
      <c r="E252" s="8" t="str">
        <f t="shared" si="25"/>
        <v/>
      </c>
      <c r="F252" s="8" t="str">
        <f>IF($G252="","",IFERROR(INDEX('MAESTRO DE UNIDADES'!$C$2:$C$208,MATCH($G252,'MAESTRO DE UNIDADES'!$A$2:$A$208,0)),""))</f>
        <v/>
      </c>
      <c r="G252" s="4"/>
      <c r="H252" s="8" t="str">
        <f>IF($G252="","",IFERROR(INDEX('MAESTRO DE UNIDADES'!$F$2:$F$208,MATCH($G252,'MAESTRO DE UNIDADES'!$A$2:$A$208,0)),""))</f>
        <v/>
      </c>
      <c r="I252" s="8" t="str">
        <f>IF($G252="","",IFERROR(INDEX('MAESTRO DE UNIDADES'!$B$2:$B$208,MATCH($G252,'MAESTRO DE UNIDADES'!$A$2:$A$208,0)),""))</f>
        <v/>
      </c>
      <c r="J252" s="4"/>
      <c r="K252" s="4"/>
      <c r="L252" s="4"/>
      <c r="M252" s="8" t="str">
        <f>IF($G252="","",IFERROR(INDEX('MAESTRO DE UNIDADES'!$H$2:$H$208,MATCH($G252,'MAESTRO DE UNIDADES'!$A$2:$A$208,0)),""))</f>
        <v/>
      </c>
      <c r="N252" s="25"/>
      <c r="O252" s="25"/>
      <c r="P252" s="26" t="str">
        <f t="shared" si="26"/>
        <v/>
      </c>
      <c r="Q252" s="27"/>
      <c r="R252" s="27"/>
      <c r="S252" s="28" t="str">
        <f>IF(OR($G252="",$Q252="",COUNTIF($G$2:G251,$G252)=0),"",$Q252-LOOKUP(2,1/($G$2:G251=$G252),$Q$2:Q251))</f>
        <v/>
      </c>
      <c r="T252" s="28" t="str">
        <f>IF(OR($G252="",$R252="",COUNTIF($G$2:G251,$G252)=0),"",$R252-LOOKUP(2,1/($G$2:G251=$G252),$R$2:R251))</f>
        <v/>
      </c>
      <c r="U252" s="11" t="str">
        <f t="shared" si="27"/>
        <v/>
      </c>
      <c r="V252" s="4"/>
      <c r="W252" s="4"/>
      <c r="X252" s="55"/>
      <c r="Y252" s="56" t="str">
        <f>IF($B252="","",IF((IF($G252="","Sin unidad | ","")&amp;IF($J252="","Sin responsable | ","")&amp;IF($K252="","Sin obra | ","")&amp;IF(AND($N252&lt;&gt;"",$G252&lt;&gt;"",$N252&gt;IFERROR(INDEX('MAESTRO DE UNIDADES'!$I$2:$I$208,MATCH($G252,'MAESTRO DE UNIDADES'!$A$2:$A$208,0)),0)),"Litros &gt; tanque | ","")&amp;IF(AND($W252&lt;&gt;"",COUNTIF($W$2:$W252,$W252)&gt;1),"Ticket duplicado | ","")&amp;IF(AND($G252&lt;&gt;"",IFERROR(INDEX('MAESTRO DE UNIDADES'!$L$2:$L$208,MATCH($G252,'MAESTRO DE UNIDADES'!$A$2:$A$208,0)),"")="Inactivo"),"Unidad inactiva | ","")&amp;IF(AND($AA252&lt;&gt;"",$N252=""),"Carga de batán sin litros | ","")&amp;IF(AND($AA252&lt;&gt;"",$AC252&lt;0),"Supera saldo batán | ",""))="","OK",LEFT((IF($G252="","Sin unidad | ","")&amp;IF($J252="","Sin responsable | ","")&amp;IF($K252="","Sin obra | ","")&amp;IF(AND($N252&lt;&gt;"",$G252&lt;&gt;"",$N252&gt;IFERROR(INDEX('MAESTRO DE UNIDADES'!$I$2:$I$208,MATCH($G252,'MAESTRO DE UNIDADES'!$A$2:$A$208,0)),0)),"Litros &gt; tanque | ","")&amp;IF(AND($W252&lt;&gt;"",COUNTIF($W$2:$W252,$W252)&gt;1),"Ticket duplicado | ","")&amp;IF(AND($G252&lt;&gt;"",IFERROR(INDEX('MAESTRO DE UNIDADES'!$L$2:$L$208,MATCH($G252,'MAESTRO DE UNIDADES'!$A$2:$A$208,0)),"")="Inactivo"),"Unidad inactiva | ","")&amp;IF(AND($AA252&lt;&gt;"",$N252=""),"Carga de batán sin litros | ","")&amp;IF(AND($AA252&lt;&gt;"",$AC252&lt;0),"Supera saldo batán | ","")),LEN((IF($G252="","Sin unidad | ","")&amp;IF($J252="","Sin responsable | ","")&amp;IF($K252="","Sin obra | ","")&amp;IF(AND($N252&lt;&gt;"",$G252&lt;&gt;"",$N252&gt;IFERROR(INDEX('MAESTRO DE UNIDADES'!$I$2:$I$208,MATCH($G252,'MAESTRO DE UNIDADES'!$A$2:$A$208,0)),0)),"Litros &gt; tanque | ","")&amp;IF(AND($W252&lt;&gt;"",COUNTIF($W$2:$W252,$W252)&gt;1),"Ticket duplicado | ","")&amp;IF(AND($G252&lt;&gt;"",IFERROR(INDEX('MAESTRO DE UNIDADES'!$L$2:$L$208,MATCH($G252,'MAESTRO DE UNIDADES'!$A$2:$A$208,0)),"")="Inactivo"),"Unidad inactiva | ","")&amp;IF(AND($AA252&lt;&gt;"",$N252=""),"Carga de batán sin litros | ","")&amp;IF(AND($AA252&lt;&gt;"",$AC252&lt;0),"Supera saldo batán | ","")))-3)))</f>
        <v/>
      </c>
      <c r="Z252" s="8" t="str">
        <f t="shared" si="28"/>
        <v/>
      </c>
      <c r="AA252" s="4"/>
      <c r="AB252" s="26" t="str">
        <f>IF($AA252="","",IFERROR(INDEX('CONTROL DE BATAN'!$J$2:$J$301,MATCH($AA252,'CONTROL DE BATAN'!$A$2:$A$301,0)),""))</f>
        <v/>
      </c>
      <c r="AC252" s="28" t="str">
        <f>IF($AA252="","",IFERROR(INDEX('CONTROL DE BATAN'!$I$2:$I$301,MATCH($AA252,'CONTROL DE BATAN'!$A$2:$A$301,0)),0)-SUMIFS($N$2:$N252,$AA$2:$AA252,$AA252))</f>
        <v/>
      </c>
    </row>
    <row r="253" spans="1:29" x14ac:dyDescent="0.25">
      <c r="A253" s="8" t="str">
        <f t="shared" si="22"/>
        <v/>
      </c>
      <c r="B253" s="9"/>
      <c r="C253" s="8" t="str">
        <f t="shared" si="23"/>
        <v/>
      </c>
      <c r="D253" s="10" t="str">
        <f t="shared" si="24"/>
        <v/>
      </c>
      <c r="E253" s="8" t="str">
        <f t="shared" si="25"/>
        <v/>
      </c>
      <c r="F253" s="8" t="str">
        <f>IF($G253="","",IFERROR(INDEX('MAESTRO DE UNIDADES'!$C$2:$C$208,MATCH($G253,'MAESTRO DE UNIDADES'!$A$2:$A$208,0)),""))</f>
        <v/>
      </c>
      <c r="G253" s="4"/>
      <c r="H253" s="8" t="str">
        <f>IF($G253="","",IFERROR(INDEX('MAESTRO DE UNIDADES'!$F$2:$F$208,MATCH($G253,'MAESTRO DE UNIDADES'!$A$2:$A$208,0)),""))</f>
        <v/>
      </c>
      <c r="I253" s="8" t="str">
        <f>IF($G253="","",IFERROR(INDEX('MAESTRO DE UNIDADES'!$B$2:$B$208,MATCH($G253,'MAESTRO DE UNIDADES'!$A$2:$A$208,0)),""))</f>
        <v/>
      </c>
      <c r="J253" s="4"/>
      <c r="K253" s="4"/>
      <c r="L253" s="4"/>
      <c r="M253" s="8" t="str">
        <f>IF($G253="","",IFERROR(INDEX('MAESTRO DE UNIDADES'!$H$2:$H$208,MATCH($G253,'MAESTRO DE UNIDADES'!$A$2:$A$208,0)),""))</f>
        <v/>
      </c>
      <c r="N253" s="25"/>
      <c r="O253" s="25"/>
      <c r="P253" s="26" t="str">
        <f t="shared" si="26"/>
        <v/>
      </c>
      <c r="Q253" s="27"/>
      <c r="R253" s="27"/>
      <c r="S253" s="28" t="str">
        <f>IF(OR($G253="",$Q253="",COUNTIF($G$2:G252,$G253)=0),"",$Q253-LOOKUP(2,1/($G$2:G252=$G253),$Q$2:Q252))</f>
        <v/>
      </c>
      <c r="T253" s="28" t="str">
        <f>IF(OR($G253="",$R253="",COUNTIF($G$2:G252,$G253)=0),"",$R253-LOOKUP(2,1/($G$2:G252=$G253),$R$2:R252))</f>
        <v/>
      </c>
      <c r="U253" s="11" t="str">
        <f t="shared" si="27"/>
        <v/>
      </c>
      <c r="V253" s="4"/>
      <c r="W253" s="4"/>
      <c r="X253" s="55"/>
      <c r="Y253" s="56" t="str">
        <f>IF($B253="","",IF((IF($G253="","Sin unidad | ","")&amp;IF($J253="","Sin responsable | ","")&amp;IF($K253="","Sin obra | ","")&amp;IF(AND($N253&lt;&gt;"",$G253&lt;&gt;"",$N253&gt;IFERROR(INDEX('MAESTRO DE UNIDADES'!$I$2:$I$208,MATCH($G253,'MAESTRO DE UNIDADES'!$A$2:$A$208,0)),0)),"Litros &gt; tanque | ","")&amp;IF(AND($W253&lt;&gt;"",COUNTIF($W$2:$W253,$W253)&gt;1),"Ticket duplicado | ","")&amp;IF(AND($G253&lt;&gt;"",IFERROR(INDEX('MAESTRO DE UNIDADES'!$L$2:$L$208,MATCH($G253,'MAESTRO DE UNIDADES'!$A$2:$A$208,0)),"")="Inactivo"),"Unidad inactiva | ","")&amp;IF(AND($AA253&lt;&gt;"",$N253=""),"Carga de batán sin litros | ","")&amp;IF(AND($AA253&lt;&gt;"",$AC253&lt;0),"Supera saldo batán | ",""))="","OK",LEFT((IF($G253="","Sin unidad | ","")&amp;IF($J253="","Sin responsable | ","")&amp;IF($K253="","Sin obra | ","")&amp;IF(AND($N253&lt;&gt;"",$G253&lt;&gt;"",$N253&gt;IFERROR(INDEX('MAESTRO DE UNIDADES'!$I$2:$I$208,MATCH($G253,'MAESTRO DE UNIDADES'!$A$2:$A$208,0)),0)),"Litros &gt; tanque | ","")&amp;IF(AND($W253&lt;&gt;"",COUNTIF($W$2:$W253,$W253)&gt;1),"Ticket duplicado | ","")&amp;IF(AND($G253&lt;&gt;"",IFERROR(INDEX('MAESTRO DE UNIDADES'!$L$2:$L$208,MATCH($G253,'MAESTRO DE UNIDADES'!$A$2:$A$208,0)),"")="Inactivo"),"Unidad inactiva | ","")&amp;IF(AND($AA253&lt;&gt;"",$N253=""),"Carga de batán sin litros | ","")&amp;IF(AND($AA253&lt;&gt;"",$AC253&lt;0),"Supera saldo batán | ","")),LEN((IF($G253="","Sin unidad | ","")&amp;IF($J253="","Sin responsable | ","")&amp;IF($K253="","Sin obra | ","")&amp;IF(AND($N253&lt;&gt;"",$G253&lt;&gt;"",$N253&gt;IFERROR(INDEX('MAESTRO DE UNIDADES'!$I$2:$I$208,MATCH($G253,'MAESTRO DE UNIDADES'!$A$2:$A$208,0)),0)),"Litros &gt; tanque | ","")&amp;IF(AND($W253&lt;&gt;"",COUNTIF($W$2:$W253,$W253)&gt;1),"Ticket duplicado | ","")&amp;IF(AND($G253&lt;&gt;"",IFERROR(INDEX('MAESTRO DE UNIDADES'!$L$2:$L$208,MATCH($G253,'MAESTRO DE UNIDADES'!$A$2:$A$208,0)),"")="Inactivo"),"Unidad inactiva | ","")&amp;IF(AND($AA253&lt;&gt;"",$N253=""),"Carga de batán sin litros | ","")&amp;IF(AND($AA253&lt;&gt;"",$AC253&lt;0),"Supera saldo batán | ","")))-3)))</f>
        <v/>
      </c>
      <c r="Z253" s="8" t="str">
        <f t="shared" si="28"/>
        <v/>
      </c>
      <c r="AA253" s="4"/>
      <c r="AB253" s="26" t="str">
        <f>IF($AA253="","",IFERROR(INDEX('CONTROL DE BATAN'!$J$2:$J$301,MATCH($AA253,'CONTROL DE BATAN'!$A$2:$A$301,0)),""))</f>
        <v/>
      </c>
      <c r="AC253" s="28" t="str">
        <f>IF($AA253="","",IFERROR(INDEX('CONTROL DE BATAN'!$I$2:$I$301,MATCH($AA253,'CONTROL DE BATAN'!$A$2:$A$301,0)),0)-SUMIFS($N$2:$N253,$AA$2:$AA253,$AA253))</f>
        <v/>
      </c>
    </row>
    <row r="254" spans="1:29" x14ac:dyDescent="0.25">
      <c r="A254" s="8" t="str">
        <f t="shared" si="22"/>
        <v/>
      </c>
      <c r="B254" s="9"/>
      <c r="C254" s="8" t="str">
        <f t="shared" si="23"/>
        <v/>
      </c>
      <c r="D254" s="10" t="str">
        <f t="shared" si="24"/>
        <v/>
      </c>
      <c r="E254" s="8" t="str">
        <f t="shared" si="25"/>
        <v/>
      </c>
      <c r="F254" s="8" t="str">
        <f>IF($G254="","",IFERROR(INDEX('MAESTRO DE UNIDADES'!$C$2:$C$208,MATCH($G254,'MAESTRO DE UNIDADES'!$A$2:$A$208,0)),""))</f>
        <v/>
      </c>
      <c r="G254" s="4"/>
      <c r="H254" s="8" t="str">
        <f>IF($G254="","",IFERROR(INDEX('MAESTRO DE UNIDADES'!$F$2:$F$208,MATCH($G254,'MAESTRO DE UNIDADES'!$A$2:$A$208,0)),""))</f>
        <v/>
      </c>
      <c r="I254" s="8" t="str">
        <f>IF($G254="","",IFERROR(INDEX('MAESTRO DE UNIDADES'!$B$2:$B$208,MATCH($G254,'MAESTRO DE UNIDADES'!$A$2:$A$208,0)),""))</f>
        <v/>
      </c>
      <c r="J254" s="4"/>
      <c r="K254" s="4"/>
      <c r="L254" s="4"/>
      <c r="M254" s="8" t="str">
        <f>IF($G254="","",IFERROR(INDEX('MAESTRO DE UNIDADES'!$H$2:$H$208,MATCH($G254,'MAESTRO DE UNIDADES'!$A$2:$A$208,0)),""))</f>
        <v/>
      </c>
      <c r="N254" s="25"/>
      <c r="O254" s="25"/>
      <c r="P254" s="26" t="str">
        <f t="shared" si="26"/>
        <v/>
      </c>
      <c r="Q254" s="27"/>
      <c r="R254" s="27"/>
      <c r="S254" s="28" t="str">
        <f>IF(OR($G254="",$Q254="",COUNTIF($G$2:G253,$G254)=0),"",$Q254-LOOKUP(2,1/($G$2:G253=$G254),$Q$2:Q253))</f>
        <v/>
      </c>
      <c r="T254" s="28" t="str">
        <f>IF(OR($G254="",$R254="",COUNTIF($G$2:G253,$G254)=0),"",$R254-LOOKUP(2,1/($G$2:G253=$G254),$R$2:R253))</f>
        <v/>
      </c>
      <c r="U254" s="11" t="str">
        <f t="shared" si="27"/>
        <v/>
      </c>
      <c r="V254" s="4"/>
      <c r="W254" s="4"/>
      <c r="X254" s="55"/>
      <c r="Y254" s="56" t="str">
        <f>IF($B254="","",IF((IF($G254="","Sin unidad | ","")&amp;IF($J254="","Sin responsable | ","")&amp;IF($K254="","Sin obra | ","")&amp;IF(AND($N254&lt;&gt;"",$G254&lt;&gt;"",$N254&gt;IFERROR(INDEX('MAESTRO DE UNIDADES'!$I$2:$I$208,MATCH($G254,'MAESTRO DE UNIDADES'!$A$2:$A$208,0)),0)),"Litros &gt; tanque | ","")&amp;IF(AND($W254&lt;&gt;"",COUNTIF($W$2:$W254,$W254)&gt;1),"Ticket duplicado | ","")&amp;IF(AND($G254&lt;&gt;"",IFERROR(INDEX('MAESTRO DE UNIDADES'!$L$2:$L$208,MATCH($G254,'MAESTRO DE UNIDADES'!$A$2:$A$208,0)),"")="Inactivo"),"Unidad inactiva | ","")&amp;IF(AND($AA254&lt;&gt;"",$N254=""),"Carga de batán sin litros | ","")&amp;IF(AND($AA254&lt;&gt;"",$AC254&lt;0),"Supera saldo batán | ",""))="","OK",LEFT((IF($G254="","Sin unidad | ","")&amp;IF($J254="","Sin responsable | ","")&amp;IF($K254="","Sin obra | ","")&amp;IF(AND($N254&lt;&gt;"",$G254&lt;&gt;"",$N254&gt;IFERROR(INDEX('MAESTRO DE UNIDADES'!$I$2:$I$208,MATCH($G254,'MAESTRO DE UNIDADES'!$A$2:$A$208,0)),0)),"Litros &gt; tanque | ","")&amp;IF(AND($W254&lt;&gt;"",COUNTIF($W$2:$W254,$W254)&gt;1),"Ticket duplicado | ","")&amp;IF(AND($G254&lt;&gt;"",IFERROR(INDEX('MAESTRO DE UNIDADES'!$L$2:$L$208,MATCH($G254,'MAESTRO DE UNIDADES'!$A$2:$A$208,0)),"")="Inactivo"),"Unidad inactiva | ","")&amp;IF(AND($AA254&lt;&gt;"",$N254=""),"Carga de batán sin litros | ","")&amp;IF(AND($AA254&lt;&gt;"",$AC254&lt;0),"Supera saldo batán | ","")),LEN((IF($G254="","Sin unidad | ","")&amp;IF($J254="","Sin responsable | ","")&amp;IF($K254="","Sin obra | ","")&amp;IF(AND($N254&lt;&gt;"",$G254&lt;&gt;"",$N254&gt;IFERROR(INDEX('MAESTRO DE UNIDADES'!$I$2:$I$208,MATCH($G254,'MAESTRO DE UNIDADES'!$A$2:$A$208,0)),0)),"Litros &gt; tanque | ","")&amp;IF(AND($W254&lt;&gt;"",COUNTIF($W$2:$W254,$W254)&gt;1),"Ticket duplicado | ","")&amp;IF(AND($G254&lt;&gt;"",IFERROR(INDEX('MAESTRO DE UNIDADES'!$L$2:$L$208,MATCH($G254,'MAESTRO DE UNIDADES'!$A$2:$A$208,0)),"")="Inactivo"),"Unidad inactiva | ","")&amp;IF(AND($AA254&lt;&gt;"",$N254=""),"Carga de batán sin litros | ","")&amp;IF(AND($AA254&lt;&gt;"",$AC254&lt;0),"Supera saldo batán | ","")))-3)))</f>
        <v/>
      </c>
      <c r="Z254" s="8" t="str">
        <f t="shared" si="28"/>
        <v/>
      </c>
      <c r="AA254" s="4"/>
      <c r="AB254" s="26" t="str">
        <f>IF($AA254="","",IFERROR(INDEX('CONTROL DE BATAN'!$J$2:$J$301,MATCH($AA254,'CONTROL DE BATAN'!$A$2:$A$301,0)),""))</f>
        <v/>
      </c>
      <c r="AC254" s="28" t="str">
        <f>IF($AA254="","",IFERROR(INDEX('CONTROL DE BATAN'!$I$2:$I$301,MATCH($AA254,'CONTROL DE BATAN'!$A$2:$A$301,0)),0)-SUMIFS($N$2:$N254,$AA$2:$AA254,$AA254))</f>
        <v/>
      </c>
    </row>
    <row r="255" spans="1:29" x14ac:dyDescent="0.25">
      <c r="A255" s="8" t="str">
        <f t="shared" si="22"/>
        <v/>
      </c>
      <c r="B255" s="9"/>
      <c r="C255" s="8" t="str">
        <f t="shared" si="23"/>
        <v/>
      </c>
      <c r="D255" s="10" t="str">
        <f t="shared" si="24"/>
        <v/>
      </c>
      <c r="E255" s="8" t="str">
        <f t="shared" si="25"/>
        <v/>
      </c>
      <c r="F255" s="8" t="str">
        <f>IF($G255="","",IFERROR(INDEX('MAESTRO DE UNIDADES'!$C$2:$C$208,MATCH($G255,'MAESTRO DE UNIDADES'!$A$2:$A$208,0)),""))</f>
        <v/>
      </c>
      <c r="G255" s="4"/>
      <c r="H255" s="8" t="str">
        <f>IF($G255="","",IFERROR(INDEX('MAESTRO DE UNIDADES'!$F$2:$F$208,MATCH($G255,'MAESTRO DE UNIDADES'!$A$2:$A$208,0)),""))</f>
        <v/>
      </c>
      <c r="I255" s="8" t="str">
        <f>IF($G255="","",IFERROR(INDEX('MAESTRO DE UNIDADES'!$B$2:$B$208,MATCH($G255,'MAESTRO DE UNIDADES'!$A$2:$A$208,0)),""))</f>
        <v/>
      </c>
      <c r="J255" s="4"/>
      <c r="K255" s="4"/>
      <c r="L255" s="4"/>
      <c r="M255" s="8" t="str">
        <f>IF($G255="","",IFERROR(INDEX('MAESTRO DE UNIDADES'!$H$2:$H$208,MATCH($G255,'MAESTRO DE UNIDADES'!$A$2:$A$208,0)),""))</f>
        <v/>
      </c>
      <c r="N255" s="25"/>
      <c r="O255" s="25"/>
      <c r="P255" s="26" t="str">
        <f t="shared" si="26"/>
        <v/>
      </c>
      <c r="Q255" s="27"/>
      <c r="R255" s="27"/>
      <c r="S255" s="28" t="str">
        <f>IF(OR($G255="",$Q255="",COUNTIF($G$2:G254,$G255)=0),"",$Q255-LOOKUP(2,1/($G$2:G254=$G255),$Q$2:Q254))</f>
        <v/>
      </c>
      <c r="T255" s="28" t="str">
        <f>IF(OR($G255="",$R255="",COUNTIF($G$2:G254,$G255)=0),"",$R255-LOOKUP(2,1/($G$2:G254=$G255),$R$2:R254))</f>
        <v/>
      </c>
      <c r="U255" s="11" t="str">
        <f t="shared" si="27"/>
        <v/>
      </c>
      <c r="V255" s="4"/>
      <c r="W255" s="4"/>
      <c r="X255" s="55"/>
      <c r="Y255" s="56" t="str">
        <f>IF($B255="","",IF((IF($G255="","Sin unidad | ","")&amp;IF($J255="","Sin responsable | ","")&amp;IF($K255="","Sin obra | ","")&amp;IF(AND($N255&lt;&gt;"",$G255&lt;&gt;"",$N255&gt;IFERROR(INDEX('MAESTRO DE UNIDADES'!$I$2:$I$208,MATCH($G255,'MAESTRO DE UNIDADES'!$A$2:$A$208,0)),0)),"Litros &gt; tanque | ","")&amp;IF(AND($W255&lt;&gt;"",COUNTIF($W$2:$W255,$W255)&gt;1),"Ticket duplicado | ","")&amp;IF(AND($G255&lt;&gt;"",IFERROR(INDEX('MAESTRO DE UNIDADES'!$L$2:$L$208,MATCH($G255,'MAESTRO DE UNIDADES'!$A$2:$A$208,0)),"")="Inactivo"),"Unidad inactiva | ","")&amp;IF(AND($AA255&lt;&gt;"",$N255=""),"Carga de batán sin litros | ","")&amp;IF(AND($AA255&lt;&gt;"",$AC255&lt;0),"Supera saldo batán | ",""))="","OK",LEFT((IF($G255="","Sin unidad | ","")&amp;IF($J255="","Sin responsable | ","")&amp;IF($K255="","Sin obra | ","")&amp;IF(AND($N255&lt;&gt;"",$G255&lt;&gt;"",$N255&gt;IFERROR(INDEX('MAESTRO DE UNIDADES'!$I$2:$I$208,MATCH($G255,'MAESTRO DE UNIDADES'!$A$2:$A$208,0)),0)),"Litros &gt; tanque | ","")&amp;IF(AND($W255&lt;&gt;"",COUNTIF($W$2:$W255,$W255)&gt;1),"Ticket duplicado | ","")&amp;IF(AND($G255&lt;&gt;"",IFERROR(INDEX('MAESTRO DE UNIDADES'!$L$2:$L$208,MATCH($G255,'MAESTRO DE UNIDADES'!$A$2:$A$208,0)),"")="Inactivo"),"Unidad inactiva | ","")&amp;IF(AND($AA255&lt;&gt;"",$N255=""),"Carga de batán sin litros | ","")&amp;IF(AND($AA255&lt;&gt;"",$AC255&lt;0),"Supera saldo batán | ","")),LEN((IF($G255="","Sin unidad | ","")&amp;IF($J255="","Sin responsable | ","")&amp;IF($K255="","Sin obra | ","")&amp;IF(AND($N255&lt;&gt;"",$G255&lt;&gt;"",$N255&gt;IFERROR(INDEX('MAESTRO DE UNIDADES'!$I$2:$I$208,MATCH($G255,'MAESTRO DE UNIDADES'!$A$2:$A$208,0)),0)),"Litros &gt; tanque | ","")&amp;IF(AND($W255&lt;&gt;"",COUNTIF($W$2:$W255,$W255)&gt;1),"Ticket duplicado | ","")&amp;IF(AND($G255&lt;&gt;"",IFERROR(INDEX('MAESTRO DE UNIDADES'!$L$2:$L$208,MATCH($G255,'MAESTRO DE UNIDADES'!$A$2:$A$208,0)),"")="Inactivo"),"Unidad inactiva | ","")&amp;IF(AND($AA255&lt;&gt;"",$N255=""),"Carga de batán sin litros | ","")&amp;IF(AND($AA255&lt;&gt;"",$AC255&lt;0),"Supera saldo batán | ","")))-3)))</f>
        <v/>
      </c>
      <c r="Z255" s="8" t="str">
        <f t="shared" si="28"/>
        <v/>
      </c>
      <c r="AA255" s="4"/>
      <c r="AB255" s="26" t="str">
        <f>IF($AA255="","",IFERROR(INDEX('CONTROL DE BATAN'!$J$2:$J$301,MATCH($AA255,'CONTROL DE BATAN'!$A$2:$A$301,0)),""))</f>
        <v/>
      </c>
      <c r="AC255" s="28" t="str">
        <f>IF($AA255="","",IFERROR(INDEX('CONTROL DE BATAN'!$I$2:$I$301,MATCH($AA255,'CONTROL DE BATAN'!$A$2:$A$301,0)),0)-SUMIFS($N$2:$N255,$AA$2:$AA255,$AA255))</f>
        <v/>
      </c>
    </row>
    <row r="256" spans="1:29" x14ac:dyDescent="0.25">
      <c r="A256" s="8" t="str">
        <f t="shared" si="22"/>
        <v/>
      </c>
      <c r="B256" s="9"/>
      <c r="C256" s="8" t="str">
        <f t="shared" si="23"/>
        <v/>
      </c>
      <c r="D256" s="10" t="str">
        <f t="shared" si="24"/>
        <v/>
      </c>
      <c r="E256" s="8" t="str">
        <f t="shared" si="25"/>
        <v/>
      </c>
      <c r="F256" s="8" t="str">
        <f>IF($G256="","",IFERROR(INDEX('MAESTRO DE UNIDADES'!$C$2:$C$208,MATCH($G256,'MAESTRO DE UNIDADES'!$A$2:$A$208,0)),""))</f>
        <v/>
      </c>
      <c r="G256" s="4"/>
      <c r="H256" s="8" t="str">
        <f>IF($G256="","",IFERROR(INDEX('MAESTRO DE UNIDADES'!$F$2:$F$208,MATCH($G256,'MAESTRO DE UNIDADES'!$A$2:$A$208,0)),""))</f>
        <v/>
      </c>
      <c r="I256" s="8" t="str">
        <f>IF($G256="","",IFERROR(INDEX('MAESTRO DE UNIDADES'!$B$2:$B$208,MATCH($G256,'MAESTRO DE UNIDADES'!$A$2:$A$208,0)),""))</f>
        <v/>
      </c>
      <c r="J256" s="4"/>
      <c r="K256" s="4"/>
      <c r="L256" s="4"/>
      <c r="M256" s="8" t="str">
        <f>IF($G256="","",IFERROR(INDEX('MAESTRO DE UNIDADES'!$H$2:$H$208,MATCH($G256,'MAESTRO DE UNIDADES'!$A$2:$A$208,0)),""))</f>
        <v/>
      </c>
      <c r="N256" s="25"/>
      <c r="O256" s="25"/>
      <c r="P256" s="26" t="str">
        <f t="shared" si="26"/>
        <v/>
      </c>
      <c r="Q256" s="27"/>
      <c r="R256" s="27"/>
      <c r="S256" s="28" t="str">
        <f>IF(OR($G256="",$Q256="",COUNTIF($G$2:G255,$G256)=0),"",$Q256-LOOKUP(2,1/($G$2:G255=$G256),$Q$2:Q255))</f>
        <v/>
      </c>
      <c r="T256" s="28" t="str">
        <f>IF(OR($G256="",$R256="",COUNTIF($G$2:G255,$G256)=0),"",$R256-LOOKUP(2,1/($G$2:G255=$G256),$R$2:R255))</f>
        <v/>
      </c>
      <c r="U256" s="11" t="str">
        <f t="shared" si="27"/>
        <v/>
      </c>
      <c r="V256" s="4"/>
      <c r="W256" s="4"/>
      <c r="X256" s="55"/>
      <c r="Y256" s="56" t="str">
        <f>IF($B256="","",IF((IF($G256="","Sin unidad | ","")&amp;IF($J256="","Sin responsable | ","")&amp;IF($K256="","Sin obra | ","")&amp;IF(AND($N256&lt;&gt;"",$G256&lt;&gt;"",$N256&gt;IFERROR(INDEX('MAESTRO DE UNIDADES'!$I$2:$I$208,MATCH($G256,'MAESTRO DE UNIDADES'!$A$2:$A$208,0)),0)),"Litros &gt; tanque | ","")&amp;IF(AND($W256&lt;&gt;"",COUNTIF($W$2:$W256,$W256)&gt;1),"Ticket duplicado | ","")&amp;IF(AND($G256&lt;&gt;"",IFERROR(INDEX('MAESTRO DE UNIDADES'!$L$2:$L$208,MATCH($G256,'MAESTRO DE UNIDADES'!$A$2:$A$208,0)),"")="Inactivo"),"Unidad inactiva | ","")&amp;IF(AND($AA256&lt;&gt;"",$N256=""),"Carga de batán sin litros | ","")&amp;IF(AND($AA256&lt;&gt;"",$AC256&lt;0),"Supera saldo batán | ",""))="","OK",LEFT((IF($G256="","Sin unidad | ","")&amp;IF($J256="","Sin responsable | ","")&amp;IF($K256="","Sin obra | ","")&amp;IF(AND($N256&lt;&gt;"",$G256&lt;&gt;"",$N256&gt;IFERROR(INDEX('MAESTRO DE UNIDADES'!$I$2:$I$208,MATCH($G256,'MAESTRO DE UNIDADES'!$A$2:$A$208,0)),0)),"Litros &gt; tanque | ","")&amp;IF(AND($W256&lt;&gt;"",COUNTIF($W$2:$W256,$W256)&gt;1),"Ticket duplicado | ","")&amp;IF(AND($G256&lt;&gt;"",IFERROR(INDEX('MAESTRO DE UNIDADES'!$L$2:$L$208,MATCH($G256,'MAESTRO DE UNIDADES'!$A$2:$A$208,0)),"")="Inactivo"),"Unidad inactiva | ","")&amp;IF(AND($AA256&lt;&gt;"",$N256=""),"Carga de batán sin litros | ","")&amp;IF(AND($AA256&lt;&gt;"",$AC256&lt;0),"Supera saldo batán | ","")),LEN((IF($G256="","Sin unidad | ","")&amp;IF($J256="","Sin responsable | ","")&amp;IF($K256="","Sin obra | ","")&amp;IF(AND($N256&lt;&gt;"",$G256&lt;&gt;"",$N256&gt;IFERROR(INDEX('MAESTRO DE UNIDADES'!$I$2:$I$208,MATCH($G256,'MAESTRO DE UNIDADES'!$A$2:$A$208,0)),0)),"Litros &gt; tanque | ","")&amp;IF(AND($W256&lt;&gt;"",COUNTIF($W$2:$W256,$W256)&gt;1),"Ticket duplicado | ","")&amp;IF(AND($G256&lt;&gt;"",IFERROR(INDEX('MAESTRO DE UNIDADES'!$L$2:$L$208,MATCH($G256,'MAESTRO DE UNIDADES'!$A$2:$A$208,0)),"")="Inactivo"),"Unidad inactiva | ","")&amp;IF(AND($AA256&lt;&gt;"",$N256=""),"Carga de batán sin litros | ","")&amp;IF(AND($AA256&lt;&gt;"",$AC256&lt;0),"Supera saldo batán | ","")))-3)))</f>
        <v/>
      </c>
      <c r="Z256" s="8" t="str">
        <f t="shared" si="28"/>
        <v/>
      </c>
      <c r="AA256" s="4"/>
      <c r="AB256" s="26" t="str">
        <f>IF($AA256="","",IFERROR(INDEX('CONTROL DE BATAN'!$J$2:$J$301,MATCH($AA256,'CONTROL DE BATAN'!$A$2:$A$301,0)),""))</f>
        <v/>
      </c>
      <c r="AC256" s="28" t="str">
        <f>IF($AA256="","",IFERROR(INDEX('CONTROL DE BATAN'!$I$2:$I$301,MATCH($AA256,'CONTROL DE BATAN'!$A$2:$A$301,0)),0)-SUMIFS($N$2:$N256,$AA$2:$AA256,$AA256))</f>
        <v/>
      </c>
    </row>
    <row r="257" spans="1:29" x14ac:dyDescent="0.25">
      <c r="A257" s="8" t="str">
        <f t="shared" si="22"/>
        <v/>
      </c>
      <c r="B257" s="9"/>
      <c r="C257" s="8" t="str">
        <f t="shared" si="23"/>
        <v/>
      </c>
      <c r="D257" s="10" t="str">
        <f t="shared" si="24"/>
        <v/>
      </c>
      <c r="E257" s="8" t="str">
        <f t="shared" si="25"/>
        <v/>
      </c>
      <c r="F257" s="8" t="str">
        <f>IF($G257="","",IFERROR(INDEX('MAESTRO DE UNIDADES'!$C$2:$C$208,MATCH($G257,'MAESTRO DE UNIDADES'!$A$2:$A$208,0)),""))</f>
        <v/>
      </c>
      <c r="G257" s="4"/>
      <c r="H257" s="8" t="str">
        <f>IF($G257="","",IFERROR(INDEX('MAESTRO DE UNIDADES'!$F$2:$F$208,MATCH($G257,'MAESTRO DE UNIDADES'!$A$2:$A$208,0)),""))</f>
        <v/>
      </c>
      <c r="I257" s="8" t="str">
        <f>IF($G257="","",IFERROR(INDEX('MAESTRO DE UNIDADES'!$B$2:$B$208,MATCH($G257,'MAESTRO DE UNIDADES'!$A$2:$A$208,0)),""))</f>
        <v/>
      </c>
      <c r="J257" s="4"/>
      <c r="K257" s="4"/>
      <c r="L257" s="4"/>
      <c r="M257" s="8" t="str">
        <f>IF($G257="","",IFERROR(INDEX('MAESTRO DE UNIDADES'!$H$2:$H$208,MATCH($G257,'MAESTRO DE UNIDADES'!$A$2:$A$208,0)),""))</f>
        <v/>
      </c>
      <c r="N257" s="25"/>
      <c r="O257" s="25"/>
      <c r="P257" s="26" t="str">
        <f t="shared" si="26"/>
        <v/>
      </c>
      <c r="Q257" s="27"/>
      <c r="R257" s="27"/>
      <c r="S257" s="28" t="str">
        <f>IF(OR($G257="",$Q257="",COUNTIF($G$2:G256,$G257)=0),"",$Q257-LOOKUP(2,1/($G$2:G256=$G257),$Q$2:Q256))</f>
        <v/>
      </c>
      <c r="T257" s="28" t="str">
        <f>IF(OR($G257="",$R257="",COUNTIF($G$2:G256,$G257)=0),"",$R257-LOOKUP(2,1/($G$2:G256=$G257),$R$2:R256))</f>
        <v/>
      </c>
      <c r="U257" s="11" t="str">
        <f t="shared" si="27"/>
        <v/>
      </c>
      <c r="V257" s="4"/>
      <c r="W257" s="4"/>
      <c r="X257" s="55"/>
      <c r="Y257" s="56" t="str">
        <f>IF($B257="","",IF((IF($G257="","Sin unidad | ","")&amp;IF($J257="","Sin responsable | ","")&amp;IF($K257="","Sin obra | ","")&amp;IF(AND($N257&lt;&gt;"",$G257&lt;&gt;"",$N257&gt;IFERROR(INDEX('MAESTRO DE UNIDADES'!$I$2:$I$208,MATCH($G257,'MAESTRO DE UNIDADES'!$A$2:$A$208,0)),0)),"Litros &gt; tanque | ","")&amp;IF(AND($W257&lt;&gt;"",COUNTIF($W$2:$W257,$W257)&gt;1),"Ticket duplicado | ","")&amp;IF(AND($G257&lt;&gt;"",IFERROR(INDEX('MAESTRO DE UNIDADES'!$L$2:$L$208,MATCH($G257,'MAESTRO DE UNIDADES'!$A$2:$A$208,0)),"")="Inactivo"),"Unidad inactiva | ","")&amp;IF(AND($AA257&lt;&gt;"",$N257=""),"Carga de batán sin litros | ","")&amp;IF(AND($AA257&lt;&gt;"",$AC257&lt;0),"Supera saldo batán | ",""))="","OK",LEFT((IF($G257="","Sin unidad | ","")&amp;IF($J257="","Sin responsable | ","")&amp;IF($K257="","Sin obra | ","")&amp;IF(AND($N257&lt;&gt;"",$G257&lt;&gt;"",$N257&gt;IFERROR(INDEX('MAESTRO DE UNIDADES'!$I$2:$I$208,MATCH($G257,'MAESTRO DE UNIDADES'!$A$2:$A$208,0)),0)),"Litros &gt; tanque | ","")&amp;IF(AND($W257&lt;&gt;"",COUNTIF($W$2:$W257,$W257)&gt;1),"Ticket duplicado | ","")&amp;IF(AND($G257&lt;&gt;"",IFERROR(INDEX('MAESTRO DE UNIDADES'!$L$2:$L$208,MATCH($G257,'MAESTRO DE UNIDADES'!$A$2:$A$208,0)),"")="Inactivo"),"Unidad inactiva | ","")&amp;IF(AND($AA257&lt;&gt;"",$N257=""),"Carga de batán sin litros | ","")&amp;IF(AND($AA257&lt;&gt;"",$AC257&lt;0),"Supera saldo batán | ","")),LEN((IF($G257="","Sin unidad | ","")&amp;IF($J257="","Sin responsable | ","")&amp;IF($K257="","Sin obra | ","")&amp;IF(AND($N257&lt;&gt;"",$G257&lt;&gt;"",$N257&gt;IFERROR(INDEX('MAESTRO DE UNIDADES'!$I$2:$I$208,MATCH($G257,'MAESTRO DE UNIDADES'!$A$2:$A$208,0)),0)),"Litros &gt; tanque | ","")&amp;IF(AND($W257&lt;&gt;"",COUNTIF($W$2:$W257,$W257)&gt;1),"Ticket duplicado | ","")&amp;IF(AND($G257&lt;&gt;"",IFERROR(INDEX('MAESTRO DE UNIDADES'!$L$2:$L$208,MATCH($G257,'MAESTRO DE UNIDADES'!$A$2:$A$208,0)),"")="Inactivo"),"Unidad inactiva | ","")&amp;IF(AND($AA257&lt;&gt;"",$N257=""),"Carga de batán sin litros | ","")&amp;IF(AND($AA257&lt;&gt;"",$AC257&lt;0),"Supera saldo batán | ","")))-3)))</f>
        <v/>
      </c>
      <c r="Z257" s="8" t="str">
        <f t="shared" si="28"/>
        <v/>
      </c>
      <c r="AA257" s="4"/>
      <c r="AB257" s="26" t="str">
        <f>IF($AA257="","",IFERROR(INDEX('CONTROL DE BATAN'!$J$2:$J$301,MATCH($AA257,'CONTROL DE BATAN'!$A$2:$A$301,0)),""))</f>
        <v/>
      </c>
      <c r="AC257" s="28" t="str">
        <f>IF($AA257="","",IFERROR(INDEX('CONTROL DE BATAN'!$I$2:$I$301,MATCH($AA257,'CONTROL DE BATAN'!$A$2:$A$301,0)),0)-SUMIFS($N$2:$N257,$AA$2:$AA257,$AA257))</f>
        <v/>
      </c>
    </row>
    <row r="258" spans="1:29" x14ac:dyDescent="0.25">
      <c r="A258" s="8" t="str">
        <f t="shared" si="22"/>
        <v/>
      </c>
      <c r="B258" s="9"/>
      <c r="C258" s="8" t="str">
        <f t="shared" si="23"/>
        <v/>
      </c>
      <c r="D258" s="10" t="str">
        <f t="shared" si="24"/>
        <v/>
      </c>
      <c r="E258" s="8" t="str">
        <f t="shared" si="25"/>
        <v/>
      </c>
      <c r="F258" s="8" t="str">
        <f>IF($G258="","",IFERROR(INDEX('MAESTRO DE UNIDADES'!$C$2:$C$208,MATCH($G258,'MAESTRO DE UNIDADES'!$A$2:$A$208,0)),""))</f>
        <v/>
      </c>
      <c r="G258" s="4"/>
      <c r="H258" s="8" t="str">
        <f>IF($G258="","",IFERROR(INDEX('MAESTRO DE UNIDADES'!$F$2:$F$208,MATCH($G258,'MAESTRO DE UNIDADES'!$A$2:$A$208,0)),""))</f>
        <v/>
      </c>
      <c r="I258" s="8" t="str">
        <f>IF($G258="","",IFERROR(INDEX('MAESTRO DE UNIDADES'!$B$2:$B$208,MATCH($G258,'MAESTRO DE UNIDADES'!$A$2:$A$208,0)),""))</f>
        <v/>
      </c>
      <c r="J258" s="4"/>
      <c r="K258" s="4"/>
      <c r="L258" s="4"/>
      <c r="M258" s="8" t="str">
        <f>IF($G258="","",IFERROR(INDEX('MAESTRO DE UNIDADES'!$H$2:$H$208,MATCH($G258,'MAESTRO DE UNIDADES'!$A$2:$A$208,0)),""))</f>
        <v/>
      </c>
      <c r="N258" s="25"/>
      <c r="O258" s="25"/>
      <c r="P258" s="26" t="str">
        <f t="shared" si="26"/>
        <v/>
      </c>
      <c r="Q258" s="27"/>
      <c r="R258" s="27"/>
      <c r="S258" s="28" t="str">
        <f>IF(OR($G258="",$Q258="",COUNTIF($G$2:G257,$G258)=0),"",$Q258-LOOKUP(2,1/($G$2:G257=$G258),$Q$2:Q257))</f>
        <v/>
      </c>
      <c r="T258" s="28" t="str">
        <f>IF(OR($G258="",$R258="",COUNTIF($G$2:G257,$G258)=0),"",$R258-LOOKUP(2,1/($G$2:G257=$G258),$R$2:R257))</f>
        <v/>
      </c>
      <c r="U258" s="11" t="str">
        <f t="shared" si="27"/>
        <v/>
      </c>
      <c r="V258" s="4"/>
      <c r="W258" s="4"/>
      <c r="X258" s="55"/>
      <c r="Y258" s="56" t="str">
        <f>IF($B258="","",IF((IF($G258="","Sin unidad | ","")&amp;IF($J258="","Sin responsable | ","")&amp;IF($K258="","Sin obra | ","")&amp;IF(AND($N258&lt;&gt;"",$G258&lt;&gt;"",$N258&gt;IFERROR(INDEX('MAESTRO DE UNIDADES'!$I$2:$I$208,MATCH($G258,'MAESTRO DE UNIDADES'!$A$2:$A$208,0)),0)),"Litros &gt; tanque | ","")&amp;IF(AND($W258&lt;&gt;"",COUNTIF($W$2:$W258,$W258)&gt;1),"Ticket duplicado | ","")&amp;IF(AND($G258&lt;&gt;"",IFERROR(INDEX('MAESTRO DE UNIDADES'!$L$2:$L$208,MATCH($G258,'MAESTRO DE UNIDADES'!$A$2:$A$208,0)),"")="Inactivo"),"Unidad inactiva | ","")&amp;IF(AND($AA258&lt;&gt;"",$N258=""),"Carga de batán sin litros | ","")&amp;IF(AND($AA258&lt;&gt;"",$AC258&lt;0),"Supera saldo batán | ",""))="","OK",LEFT((IF($G258="","Sin unidad | ","")&amp;IF($J258="","Sin responsable | ","")&amp;IF($K258="","Sin obra | ","")&amp;IF(AND($N258&lt;&gt;"",$G258&lt;&gt;"",$N258&gt;IFERROR(INDEX('MAESTRO DE UNIDADES'!$I$2:$I$208,MATCH($G258,'MAESTRO DE UNIDADES'!$A$2:$A$208,0)),0)),"Litros &gt; tanque | ","")&amp;IF(AND($W258&lt;&gt;"",COUNTIF($W$2:$W258,$W258)&gt;1),"Ticket duplicado | ","")&amp;IF(AND($G258&lt;&gt;"",IFERROR(INDEX('MAESTRO DE UNIDADES'!$L$2:$L$208,MATCH($G258,'MAESTRO DE UNIDADES'!$A$2:$A$208,0)),"")="Inactivo"),"Unidad inactiva | ","")&amp;IF(AND($AA258&lt;&gt;"",$N258=""),"Carga de batán sin litros | ","")&amp;IF(AND($AA258&lt;&gt;"",$AC258&lt;0),"Supera saldo batán | ","")),LEN((IF($G258="","Sin unidad | ","")&amp;IF($J258="","Sin responsable | ","")&amp;IF($K258="","Sin obra | ","")&amp;IF(AND($N258&lt;&gt;"",$G258&lt;&gt;"",$N258&gt;IFERROR(INDEX('MAESTRO DE UNIDADES'!$I$2:$I$208,MATCH($G258,'MAESTRO DE UNIDADES'!$A$2:$A$208,0)),0)),"Litros &gt; tanque | ","")&amp;IF(AND($W258&lt;&gt;"",COUNTIF($W$2:$W258,$W258)&gt;1),"Ticket duplicado | ","")&amp;IF(AND($G258&lt;&gt;"",IFERROR(INDEX('MAESTRO DE UNIDADES'!$L$2:$L$208,MATCH($G258,'MAESTRO DE UNIDADES'!$A$2:$A$208,0)),"")="Inactivo"),"Unidad inactiva | ","")&amp;IF(AND($AA258&lt;&gt;"",$N258=""),"Carga de batán sin litros | ","")&amp;IF(AND($AA258&lt;&gt;"",$AC258&lt;0),"Supera saldo batán | ","")))-3)))</f>
        <v/>
      </c>
      <c r="Z258" s="8" t="str">
        <f t="shared" si="28"/>
        <v/>
      </c>
      <c r="AA258" s="4"/>
      <c r="AB258" s="26" t="str">
        <f>IF($AA258="","",IFERROR(INDEX('CONTROL DE BATAN'!$J$2:$J$301,MATCH($AA258,'CONTROL DE BATAN'!$A$2:$A$301,0)),""))</f>
        <v/>
      </c>
      <c r="AC258" s="28" t="str">
        <f>IF($AA258="","",IFERROR(INDEX('CONTROL DE BATAN'!$I$2:$I$301,MATCH($AA258,'CONTROL DE BATAN'!$A$2:$A$301,0)),0)-SUMIFS($N$2:$N258,$AA$2:$AA258,$AA258))</f>
        <v/>
      </c>
    </row>
    <row r="259" spans="1:29" x14ac:dyDescent="0.25">
      <c r="A259" s="8" t="str">
        <f t="shared" si="22"/>
        <v/>
      </c>
      <c r="B259" s="9"/>
      <c r="C259" s="8" t="str">
        <f t="shared" si="23"/>
        <v/>
      </c>
      <c r="D259" s="10" t="str">
        <f t="shared" si="24"/>
        <v/>
      </c>
      <c r="E259" s="8" t="str">
        <f t="shared" si="25"/>
        <v/>
      </c>
      <c r="F259" s="8" t="str">
        <f>IF($G259="","",IFERROR(INDEX('MAESTRO DE UNIDADES'!$C$2:$C$208,MATCH($G259,'MAESTRO DE UNIDADES'!$A$2:$A$208,0)),""))</f>
        <v/>
      </c>
      <c r="G259" s="4"/>
      <c r="H259" s="8" t="str">
        <f>IF($G259="","",IFERROR(INDEX('MAESTRO DE UNIDADES'!$F$2:$F$208,MATCH($G259,'MAESTRO DE UNIDADES'!$A$2:$A$208,0)),""))</f>
        <v/>
      </c>
      <c r="I259" s="8" t="str">
        <f>IF($G259="","",IFERROR(INDEX('MAESTRO DE UNIDADES'!$B$2:$B$208,MATCH($G259,'MAESTRO DE UNIDADES'!$A$2:$A$208,0)),""))</f>
        <v/>
      </c>
      <c r="J259" s="4"/>
      <c r="K259" s="4"/>
      <c r="L259" s="4"/>
      <c r="M259" s="8" t="str">
        <f>IF($G259="","",IFERROR(INDEX('MAESTRO DE UNIDADES'!$H$2:$H$208,MATCH($G259,'MAESTRO DE UNIDADES'!$A$2:$A$208,0)),""))</f>
        <v/>
      </c>
      <c r="N259" s="25"/>
      <c r="O259" s="25"/>
      <c r="P259" s="26" t="str">
        <f t="shared" si="26"/>
        <v/>
      </c>
      <c r="Q259" s="27"/>
      <c r="R259" s="27"/>
      <c r="S259" s="28" t="str">
        <f>IF(OR($G259="",$Q259="",COUNTIF($G$2:G258,$G259)=0),"",$Q259-LOOKUP(2,1/($G$2:G258=$G259),$Q$2:Q258))</f>
        <v/>
      </c>
      <c r="T259" s="28" t="str">
        <f>IF(OR($G259="",$R259="",COUNTIF($G$2:G258,$G259)=0),"",$R259-LOOKUP(2,1/($G$2:G258=$G259),$R$2:R258))</f>
        <v/>
      </c>
      <c r="U259" s="11" t="str">
        <f t="shared" si="27"/>
        <v/>
      </c>
      <c r="V259" s="4"/>
      <c r="W259" s="4"/>
      <c r="X259" s="55"/>
      <c r="Y259" s="56" t="str">
        <f>IF($B259="","",IF((IF($G259="","Sin unidad | ","")&amp;IF($J259="","Sin responsable | ","")&amp;IF($K259="","Sin obra | ","")&amp;IF(AND($N259&lt;&gt;"",$G259&lt;&gt;"",$N259&gt;IFERROR(INDEX('MAESTRO DE UNIDADES'!$I$2:$I$208,MATCH($G259,'MAESTRO DE UNIDADES'!$A$2:$A$208,0)),0)),"Litros &gt; tanque | ","")&amp;IF(AND($W259&lt;&gt;"",COUNTIF($W$2:$W259,$W259)&gt;1),"Ticket duplicado | ","")&amp;IF(AND($G259&lt;&gt;"",IFERROR(INDEX('MAESTRO DE UNIDADES'!$L$2:$L$208,MATCH($G259,'MAESTRO DE UNIDADES'!$A$2:$A$208,0)),"")="Inactivo"),"Unidad inactiva | ","")&amp;IF(AND($AA259&lt;&gt;"",$N259=""),"Carga de batán sin litros | ","")&amp;IF(AND($AA259&lt;&gt;"",$AC259&lt;0),"Supera saldo batán | ",""))="","OK",LEFT((IF($G259="","Sin unidad | ","")&amp;IF($J259="","Sin responsable | ","")&amp;IF($K259="","Sin obra | ","")&amp;IF(AND($N259&lt;&gt;"",$G259&lt;&gt;"",$N259&gt;IFERROR(INDEX('MAESTRO DE UNIDADES'!$I$2:$I$208,MATCH($G259,'MAESTRO DE UNIDADES'!$A$2:$A$208,0)),0)),"Litros &gt; tanque | ","")&amp;IF(AND($W259&lt;&gt;"",COUNTIF($W$2:$W259,$W259)&gt;1),"Ticket duplicado | ","")&amp;IF(AND($G259&lt;&gt;"",IFERROR(INDEX('MAESTRO DE UNIDADES'!$L$2:$L$208,MATCH($G259,'MAESTRO DE UNIDADES'!$A$2:$A$208,0)),"")="Inactivo"),"Unidad inactiva | ","")&amp;IF(AND($AA259&lt;&gt;"",$N259=""),"Carga de batán sin litros | ","")&amp;IF(AND($AA259&lt;&gt;"",$AC259&lt;0),"Supera saldo batán | ","")),LEN((IF($G259="","Sin unidad | ","")&amp;IF($J259="","Sin responsable | ","")&amp;IF($K259="","Sin obra | ","")&amp;IF(AND($N259&lt;&gt;"",$G259&lt;&gt;"",$N259&gt;IFERROR(INDEX('MAESTRO DE UNIDADES'!$I$2:$I$208,MATCH($G259,'MAESTRO DE UNIDADES'!$A$2:$A$208,0)),0)),"Litros &gt; tanque | ","")&amp;IF(AND($W259&lt;&gt;"",COUNTIF($W$2:$W259,$W259)&gt;1),"Ticket duplicado | ","")&amp;IF(AND($G259&lt;&gt;"",IFERROR(INDEX('MAESTRO DE UNIDADES'!$L$2:$L$208,MATCH($G259,'MAESTRO DE UNIDADES'!$A$2:$A$208,0)),"")="Inactivo"),"Unidad inactiva | ","")&amp;IF(AND($AA259&lt;&gt;"",$N259=""),"Carga de batán sin litros | ","")&amp;IF(AND($AA259&lt;&gt;"",$AC259&lt;0),"Supera saldo batán | ","")))-3)))</f>
        <v/>
      </c>
      <c r="Z259" s="8" t="str">
        <f t="shared" si="28"/>
        <v/>
      </c>
      <c r="AA259" s="4"/>
      <c r="AB259" s="26" t="str">
        <f>IF($AA259="","",IFERROR(INDEX('CONTROL DE BATAN'!$J$2:$J$301,MATCH($AA259,'CONTROL DE BATAN'!$A$2:$A$301,0)),""))</f>
        <v/>
      </c>
      <c r="AC259" s="28" t="str">
        <f>IF($AA259="","",IFERROR(INDEX('CONTROL DE BATAN'!$I$2:$I$301,MATCH($AA259,'CONTROL DE BATAN'!$A$2:$A$301,0)),0)-SUMIFS($N$2:$N259,$AA$2:$AA259,$AA259))</f>
        <v/>
      </c>
    </row>
    <row r="260" spans="1:29" x14ac:dyDescent="0.25">
      <c r="A260" s="8" t="str">
        <f t="shared" ref="A260:A301" si="29">IF(B260="","","CARGA-"&amp;TEXT(ROW()-1,"0000"))</f>
        <v/>
      </c>
      <c r="B260" s="9"/>
      <c r="C260" s="8" t="str">
        <f t="shared" ref="C260:C301" si="30">IF(B260="","",CHOOSE(MONTH(B260),"Enero","Febrero","Marzo","Abril","Mayo","Junio","Julio","Agosto","Septiembre","Octubre","Noviembre","Diciembre"))</f>
        <v/>
      </c>
      <c r="D260" s="10" t="str">
        <f t="shared" ref="D260:D301" si="31">IF(B260="","",YEAR(B260))</f>
        <v/>
      </c>
      <c r="E260" s="8" t="str">
        <f t="shared" ref="E260:E301" si="32">IF(B260="","",CHOOSE(WEEKDAY(B260,2),"Lunes","Martes","Miércoles","Jueves","Viernes","Sábado","Domingo"))</f>
        <v/>
      </c>
      <c r="F260" s="8" t="str">
        <f>IF($G260="","",IFERROR(INDEX('MAESTRO DE UNIDADES'!$C$2:$C$208,MATCH($G260,'MAESTRO DE UNIDADES'!$A$2:$A$208,0)),""))</f>
        <v/>
      </c>
      <c r="G260" s="4"/>
      <c r="H260" s="8" t="str">
        <f>IF($G260="","",IFERROR(INDEX('MAESTRO DE UNIDADES'!$F$2:$F$208,MATCH($G260,'MAESTRO DE UNIDADES'!$A$2:$A$208,0)),""))</f>
        <v/>
      </c>
      <c r="I260" s="8" t="str">
        <f>IF($G260="","",IFERROR(INDEX('MAESTRO DE UNIDADES'!$B$2:$B$208,MATCH($G260,'MAESTRO DE UNIDADES'!$A$2:$A$208,0)),""))</f>
        <v/>
      </c>
      <c r="J260" s="4"/>
      <c r="K260" s="4"/>
      <c r="L260" s="4"/>
      <c r="M260" s="8" t="str">
        <f>IF($G260="","",IFERROR(INDEX('MAESTRO DE UNIDADES'!$H$2:$H$208,MATCH($G260,'MAESTRO DE UNIDADES'!$A$2:$A$208,0)),""))</f>
        <v/>
      </c>
      <c r="N260" s="25"/>
      <c r="O260" s="25"/>
      <c r="P260" s="26" t="str">
        <f t="shared" ref="P260:P301" si="33">IF($N260="","",IF($AA260&lt;&gt;"",IF($AB260="","",$N260*$AB260),IF($O260="","",$N260*$O260)))</f>
        <v/>
      </c>
      <c r="Q260" s="27"/>
      <c r="R260" s="27"/>
      <c r="S260" s="28" t="str">
        <f>IF(OR($G260="",$Q260="",COUNTIF($G$2:G259,$G260)=0),"",$Q260-LOOKUP(2,1/($G$2:G259=$G260),$Q$2:Q259))</f>
        <v/>
      </c>
      <c r="T260" s="28" t="str">
        <f>IF(OR($G260="",$R260="",COUNTIF($G$2:G259,$G260)=0),"",$R260-LOOKUP(2,1/($G$2:G259=$G260),$R$2:R259))</f>
        <v/>
      </c>
      <c r="U260" s="11" t="str">
        <f t="shared" ref="U260:U301" si="34">IF(N260="","",IF(S260&lt;&gt;"",S260/N260,IF(T260&lt;&gt;"",T260/N260,"")))</f>
        <v/>
      </c>
      <c r="V260" s="4"/>
      <c r="W260" s="4"/>
      <c r="X260" s="55"/>
      <c r="Y260" s="56" t="str">
        <f>IF($B260="","",IF((IF($G260="","Sin unidad | ","")&amp;IF($J260="","Sin responsable | ","")&amp;IF($K260="","Sin obra | ","")&amp;IF(AND($N260&lt;&gt;"",$G260&lt;&gt;"",$N260&gt;IFERROR(INDEX('MAESTRO DE UNIDADES'!$I$2:$I$208,MATCH($G260,'MAESTRO DE UNIDADES'!$A$2:$A$208,0)),0)),"Litros &gt; tanque | ","")&amp;IF(AND($W260&lt;&gt;"",COUNTIF($W$2:$W260,$W260)&gt;1),"Ticket duplicado | ","")&amp;IF(AND($G260&lt;&gt;"",IFERROR(INDEX('MAESTRO DE UNIDADES'!$L$2:$L$208,MATCH($G260,'MAESTRO DE UNIDADES'!$A$2:$A$208,0)),"")="Inactivo"),"Unidad inactiva | ","")&amp;IF(AND($AA260&lt;&gt;"",$N260=""),"Carga de batán sin litros | ","")&amp;IF(AND($AA260&lt;&gt;"",$AC260&lt;0),"Supera saldo batán | ",""))="","OK",LEFT((IF($G260="","Sin unidad | ","")&amp;IF($J260="","Sin responsable | ","")&amp;IF($K260="","Sin obra | ","")&amp;IF(AND($N260&lt;&gt;"",$G260&lt;&gt;"",$N260&gt;IFERROR(INDEX('MAESTRO DE UNIDADES'!$I$2:$I$208,MATCH($G260,'MAESTRO DE UNIDADES'!$A$2:$A$208,0)),0)),"Litros &gt; tanque | ","")&amp;IF(AND($W260&lt;&gt;"",COUNTIF($W$2:$W260,$W260)&gt;1),"Ticket duplicado | ","")&amp;IF(AND($G260&lt;&gt;"",IFERROR(INDEX('MAESTRO DE UNIDADES'!$L$2:$L$208,MATCH($G260,'MAESTRO DE UNIDADES'!$A$2:$A$208,0)),"")="Inactivo"),"Unidad inactiva | ","")&amp;IF(AND($AA260&lt;&gt;"",$N260=""),"Carga de batán sin litros | ","")&amp;IF(AND($AA260&lt;&gt;"",$AC260&lt;0),"Supera saldo batán | ","")),LEN((IF($G260="","Sin unidad | ","")&amp;IF($J260="","Sin responsable | ","")&amp;IF($K260="","Sin obra | ","")&amp;IF(AND($N260&lt;&gt;"",$G260&lt;&gt;"",$N260&gt;IFERROR(INDEX('MAESTRO DE UNIDADES'!$I$2:$I$208,MATCH($G260,'MAESTRO DE UNIDADES'!$A$2:$A$208,0)),0)),"Litros &gt; tanque | ","")&amp;IF(AND($W260&lt;&gt;"",COUNTIF($W$2:$W260,$W260)&gt;1),"Ticket duplicado | ","")&amp;IF(AND($G260&lt;&gt;"",IFERROR(INDEX('MAESTRO DE UNIDADES'!$L$2:$L$208,MATCH($G260,'MAESTRO DE UNIDADES'!$A$2:$A$208,0)),"")="Inactivo"),"Unidad inactiva | ","")&amp;IF(AND($AA260&lt;&gt;"",$N260=""),"Carga de batán sin litros | ","")&amp;IF(AND($AA260&lt;&gt;"",$AC260&lt;0),"Supera saldo batán | ","")))-3)))</f>
        <v/>
      </c>
      <c r="Z260" s="8" t="str">
        <f t="shared" ref="Z260:Z301" si="35">IF($B260="","",IF($AA260&lt;&gt;"","Batán","Estación de servicio"))</f>
        <v/>
      </c>
      <c r="AA260" s="4"/>
      <c r="AB260" s="26" t="str">
        <f>IF($AA260="","",IFERROR(INDEX('CONTROL DE BATAN'!$J$2:$J$301,MATCH($AA260,'CONTROL DE BATAN'!$A$2:$A$301,0)),""))</f>
        <v/>
      </c>
      <c r="AC260" s="28" t="str">
        <f>IF($AA260="","",IFERROR(INDEX('CONTROL DE BATAN'!$I$2:$I$301,MATCH($AA260,'CONTROL DE BATAN'!$A$2:$A$301,0)),0)-SUMIFS($N$2:$N260,$AA$2:$AA260,$AA260))</f>
        <v/>
      </c>
    </row>
    <row r="261" spans="1:29" x14ac:dyDescent="0.25">
      <c r="A261" s="8" t="str">
        <f t="shared" si="29"/>
        <v/>
      </c>
      <c r="B261" s="9"/>
      <c r="C261" s="8" t="str">
        <f t="shared" si="30"/>
        <v/>
      </c>
      <c r="D261" s="10" t="str">
        <f t="shared" si="31"/>
        <v/>
      </c>
      <c r="E261" s="8" t="str">
        <f t="shared" si="32"/>
        <v/>
      </c>
      <c r="F261" s="8" t="str">
        <f>IF($G261="","",IFERROR(INDEX('MAESTRO DE UNIDADES'!$C$2:$C$208,MATCH($G261,'MAESTRO DE UNIDADES'!$A$2:$A$208,0)),""))</f>
        <v/>
      </c>
      <c r="G261" s="4"/>
      <c r="H261" s="8" t="str">
        <f>IF($G261="","",IFERROR(INDEX('MAESTRO DE UNIDADES'!$F$2:$F$208,MATCH($G261,'MAESTRO DE UNIDADES'!$A$2:$A$208,0)),""))</f>
        <v/>
      </c>
      <c r="I261" s="8" t="str">
        <f>IF($G261="","",IFERROR(INDEX('MAESTRO DE UNIDADES'!$B$2:$B$208,MATCH($G261,'MAESTRO DE UNIDADES'!$A$2:$A$208,0)),""))</f>
        <v/>
      </c>
      <c r="J261" s="4"/>
      <c r="K261" s="4"/>
      <c r="L261" s="4"/>
      <c r="M261" s="8" t="str">
        <f>IF($G261="","",IFERROR(INDEX('MAESTRO DE UNIDADES'!$H$2:$H$208,MATCH($G261,'MAESTRO DE UNIDADES'!$A$2:$A$208,0)),""))</f>
        <v/>
      </c>
      <c r="N261" s="25"/>
      <c r="O261" s="25"/>
      <c r="P261" s="26" t="str">
        <f t="shared" si="33"/>
        <v/>
      </c>
      <c r="Q261" s="27"/>
      <c r="R261" s="27"/>
      <c r="S261" s="28" t="str">
        <f>IF(OR($G261="",$Q261="",COUNTIF($G$2:G260,$G261)=0),"",$Q261-LOOKUP(2,1/($G$2:G260=$G261),$Q$2:Q260))</f>
        <v/>
      </c>
      <c r="T261" s="28" t="str">
        <f>IF(OR($G261="",$R261="",COUNTIF($G$2:G260,$G261)=0),"",$R261-LOOKUP(2,1/($G$2:G260=$G261),$R$2:R260))</f>
        <v/>
      </c>
      <c r="U261" s="11" t="str">
        <f t="shared" si="34"/>
        <v/>
      </c>
      <c r="V261" s="4"/>
      <c r="W261" s="4"/>
      <c r="X261" s="55"/>
      <c r="Y261" s="56" t="str">
        <f>IF($B261="","",IF((IF($G261="","Sin unidad | ","")&amp;IF($J261="","Sin responsable | ","")&amp;IF($K261="","Sin obra | ","")&amp;IF(AND($N261&lt;&gt;"",$G261&lt;&gt;"",$N261&gt;IFERROR(INDEX('MAESTRO DE UNIDADES'!$I$2:$I$208,MATCH($G261,'MAESTRO DE UNIDADES'!$A$2:$A$208,0)),0)),"Litros &gt; tanque | ","")&amp;IF(AND($W261&lt;&gt;"",COUNTIF($W$2:$W261,$W261)&gt;1),"Ticket duplicado | ","")&amp;IF(AND($G261&lt;&gt;"",IFERROR(INDEX('MAESTRO DE UNIDADES'!$L$2:$L$208,MATCH($G261,'MAESTRO DE UNIDADES'!$A$2:$A$208,0)),"")="Inactivo"),"Unidad inactiva | ","")&amp;IF(AND($AA261&lt;&gt;"",$N261=""),"Carga de batán sin litros | ","")&amp;IF(AND($AA261&lt;&gt;"",$AC261&lt;0),"Supera saldo batán | ",""))="","OK",LEFT((IF($G261="","Sin unidad | ","")&amp;IF($J261="","Sin responsable | ","")&amp;IF($K261="","Sin obra | ","")&amp;IF(AND($N261&lt;&gt;"",$G261&lt;&gt;"",$N261&gt;IFERROR(INDEX('MAESTRO DE UNIDADES'!$I$2:$I$208,MATCH($G261,'MAESTRO DE UNIDADES'!$A$2:$A$208,0)),0)),"Litros &gt; tanque | ","")&amp;IF(AND($W261&lt;&gt;"",COUNTIF($W$2:$W261,$W261)&gt;1),"Ticket duplicado | ","")&amp;IF(AND($G261&lt;&gt;"",IFERROR(INDEX('MAESTRO DE UNIDADES'!$L$2:$L$208,MATCH($G261,'MAESTRO DE UNIDADES'!$A$2:$A$208,0)),"")="Inactivo"),"Unidad inactiva | ","")&amp;IF(AND($AA261&lt;&gt;"",$N261=""),"Carga de batán sin litros | ","")&amp;IF(AND($AA261&lt;&gt;"",$AC261&lt;0),"Supera saldo batán | ","")),LEN((IF($G261="","Sin unidad | ","")&amp;IF($J261="","Sin responsable | ","")&amp;IF($K261="","Sin obra | ","")&amp;IF(AND($N261&lt;&gt;"",$G261&lt;&gt;"",$N261&gt;IFERROR(INDEX('MAESTRO DE UNIDADES'!$I$2:$I$208,MATCH($G261,'MAESTRO DE UNIDADES'!$A$2:$A$208,0)),0)),"Litros &gt; tanque | ","")&amp;IF(AND($W261&lt;&gt;"",COUNTIF($W$2:$W261,$W261)&gt;1),"Ticket duplicado | ","")&amp;IF(AND($G261&lt;&gt;"",IFERROR(INDEX('MAESTRO DE UNIDADES'!$L$2:$L$208,MATCH($G261,'MAESTRO DE UNIDADES'!$A$2:$A$208,0)),"")="Inactivo"),"Unidad inactiva | ","")&amp;IF(AND($AA261&lt;&gt;"",$N261=""),"Carga de batán sin litros | ","")&amp;IF(AND($AA261&lt;&gt;"",$AC261&lt;0),"Supera saldo batán | ","")))-3)))</f>
        <v/>
      </c>
      <c r="Z261" s="8" t="str">
        <f t="shared" si="35"/>
        <v/>
      </c>
      <c r="AA261" s="4"/>
      <c r="AB261" s="26" t="str">
        <f>IF($AA261="","",IFERROR(INDEX('CONTROL DE BATAN'!$J$2:$J$301,MATCH($AA261,'CONTROL DE BATAN'!$A$2:$A$301,0)),""))</f>
        <v/>
      </c>
      <c r="AC261" s="28" t="str">
        <f>IF($AA261="","",IFERROR(INDEX('CONTROL DE BATAN'!$I$2:$I$301,MATCH($AA261,'CONTROL DE BATAN'!$A$2:$A$301,0)),0)-SUMIFS($N$2:$N261,$AA$2:$AA261,$AA261))</f>
        <v/>
      </c>
    </row>
    <row r="262" spans="1:29" x14ac:dyDescent="0.25">
      <c r="A262" s="8" t="str">
        <f t="shared" si="29"/>
        <v/>
      </c>
      <c r="B262" s="9"/>
      <c r="C262" s="8" t="str">
        <f t="shared" si="30"/>
        <v/>
      </c>
      <c r="D262" s="10" t="str">
        <f t="shared" si="31"/>
        <v/>
      </c>
      <c r="E262" s="8" t="str">
        <f t="shared" si="32"/>
        <v/>
      </c>
      <c r="F262" s="8" t="str">
        <f>IF($G262="","",IFERROR(INDEX('MAESTRO DE UNIDADES'!$C$2:$C$208,MATCH($G262,'MAESTRO DE UNIDADES'!$A$2:$A$208,0)),""))</f>
        <v/>
      </c>
      <c r="G262" s="4"/>
      <c r="H262" s="8" t="str">
        <f>IF($G262="","",IFERROR(INDEX('MAESTRO DE UNIDADES'!$F$2:$F$208,MATCH($G262,'MAESTRO DE UNIDADES'!$A$2:$A$208,0)),""))</f>
        <v/>
      </c>
      <c r="I262" s="8" t="str">
        <f>IF($G262="","",IFERROR(INDEX('MAESTRO DE UNIDADES'!$B$2:$B$208,MATCH($G262,'MAESTRO DE UNIDADES'!$A$2:$A$208,0)),""))</f>
        <v/>
      </c>
      <c r="J262" s="4"/>
      <c r="K262" s="4"/>
      <c r="L262" s="4"/>
      <c r="M262" s="8" t="str">
        <f>IF($G262="","",IFERROR(INDEX('MAESTRO DE UNIDADES'!$H$2:$H$208,MATCH($G262,'MAESTRO DE UNIDADES'!$A$2:$A$208,0)),""))</f>
        <v/>
      </c>
      <c r="N262" s="25"/>
      <c r="O262" s="25"/>
      <c r="P262" s="26" t="str">
        <f t="shared" si="33"/>
        <v/>
      </c>
      <c r="Q262" s="27"/>
      <c r="R262" s="27"/>
      <c r="S262" s="28" t="str">
        <f>IF(OR($G262="",$Q262="",COUNTIF($G$2:G261,$G262)=0),"",$Q262-LOOKUP(2,1/($G$2:G261=$G262),$Q$2:Q261))</f>
        <v/>
      </c>
      <c r="T262" s="28" t="str">
        <f>IF(OR($G262="",$R262="",COUNTIF($G$2:G261,$G262)=0),"",$R262-LOOKUP(2,1/($G$2:G261=$G262),$R$2:R261))</f>
        <v/>
      </c>
      <c r="U262" s="11" t="str">
        <f t="shared" si="34"/>
        <v/>
      </c>
      <c r="V262" s="4"/>
      <c r="W262" s="4"/>
      <c r="X262" s="55"/>
      <c r="Y262" s="56" t="str">
        <f>IF($B262="","",IF((IF($G262="","Sin unidad | ","")&amp;IF($J262="","Sin responsable | ","")&amp;IF($K262="","Sin obra | ","")&amp;IF(AND($N262&lt;&gt;"",$G262&lt;&gt;"",$N262&gt;IFERROR(INDEX('MAESTRO DE UNIDADES'!$I$2:$I$208,MATCH($G262,'MAESTRO DE UNIDADES'!$A$2:$A$208,0)),0)),"Litros &gt; tanque | ","")&amp;IF(AND($W262&lt;&gt;"",COUNTIF($W$2:$W262,$W262)&gt;1),"Ticket duplicado | ","")&amp;IF(AND($G262&lt;&gt;"",IFERROR(INDEX('MAESTRO DE UNIDADES'!$L$2:$L$208,MATCH($G262,'MAESTRO DE UNIDADES'!$A$2:$A$208,0)),"")="Inactivo"),"Unidad inactiva | ","")&amp;IF(AND($AA262&lt;&gt;"",$N262=""),"Carga de batán sin litros | ","")&amp;IF(AND($AA262&lt;&gt;"",$AC262&lt;0),"Supera saldo batán | ",""))="","OK",LEFT((IF($G262="","Sin unidad | ","")&amp;IF($J262="","Sin responsable | ","")&amp;IF($K262="","Sin obra | ","")&amp;IF(AND($N262&lt;&gt;"",$G262&lt;&gt;"",$N262&gt;IFERROR(INDEX('MAESTRO DE UNIDADES'!$I$2:$I$208,MATCH($G262,'MAESTRO DE UNIDADES'!$A$2:$A$208,0)),0)),"Litros &gt; tanque | ","")&amp;IF(AND($W262&lt;&gt;"",COUNTIF($W$2:$W262,$W262)&gt;1),"Ticket duplicado | ","")&amp;IF(AND($G262&lt;&gt;"",IFERROR(INDEX('MAESTRO DE UNIDADES'!$L$2:$L$208,MATCH($G262,'MAESTRO DE UNIDADES'!$A$2:$A$208,0)),"")="Inactivo"),"Unidad inactiva | ","")&amp;IF(AND($AA262&lt;&gt;"",$N262=""),"Carga de batán sin litros | ","")&amp;IF(AND($AA262&lt;&gt;"",$AC262&lt;0),"Supera saldo batán | ","")),LEN((IF($G262="","Sin unidad | ","")&amp;IF($J262="","Sin responsable | ","")&amp;IF($K262="","Sin obra | ","")&amp;IF(AND($N262&lt;&gt;"",$G262&lt;&gt;"",$N262&gt;IFERROR(INDEX('MAESTRO DE UNIDADES'!$I$2:$I$208,MATCH($G262,'MAESTRO DE UNIDADES'!$A$2:$A$208,0)),0)),"Litros &gt; tanque | ","")&amp;IF(AND($W262&lt;&gt;"",COUNTIF($W$2:$W262,$W262)&gt;1),"Ticket duplicado | ","")&amp;IF(AND($G262&lt;&gt;"",IFERROR(INDEX('MAESTRO DE UNIDADES'!$L$2:$L$208,MATCH($G262,'MAESTRO DE UNIDADES'!$A$2:$A$208,0)),"")="Inactivo"),"Unidad inactiva | ","")&amp;IF(AND($AA262&lt;&gt;"",$N262=""),"Carga de batán sin litros | ","")&amp;IF(AND($AA262&lt;&gt;"",$AC262&lt;0),"Supera saldo batán | ","")))-3)))</f>
        <v/>
      </c>
      <c r="Z262" s="8" t="str">
        <f t="shared" si="35"/>
        <v/>
      </c>
      <c r="AA262" s="4"/>
      <c r="AB262" s="26" t="str">
        <f>IF($AA262="","",IFERROR(INDEX('CONTROL DE BATAN'!$J$2:$J$301,MATCH($AA262,'CONTROL DE BATAN'!$A$2:$A$301,0)),""))</f>
        <v/>
      </c>
      <c r="AC262" s="28" t="str">
        <f>IF($AA262="","",IFERROR(INDEX('CONTROL DE BATAN'!$I$2:$I$301,MATCH($AA262,'CONTROL DE BATAN'!$A$2:$A$301,0)),0)-SUMIFS($N$2:$N262,$AA$2:$AA262,$AA262))</f>
        <v/>
      </c>
    </row>
    <row r="263" spans="1:29" x14ac:dyDescent="0.25">
      <c r="A263" s="8" t="str">
        <f t="shared" si="29"/>
        <v/>
      </c>
      <c r="B263" s="9"/>
      <c r="C263" s="8" t="str">
        <f t="shared" si="30"/>
        <v/>
      </c>
      <c r="D263" s="10" t="str">
        <f t="shared" si="31"/>
        <v/>
      </c>
      <c r="E263" s="8" t="str">
        <f t="shared" si="32"/>
        <v/>
      </c>
      <c r="F263" s="8" t="str">
        <f>IF($G263="","",IFERROR(INDEX('MAESTRO DE UNIDADES'!$C$2:$C$208,MATCH($G263,'MAESTRO DE UNIDADES'!$A$2:$A$208,0)),""))</f>
        <v/>
      </c>
      <c r="G263" s="4"/>
      <c r="H263" s="8" t="str">
        <f>IF($G263="","",IFERROR(INDEX('MAESTRO DE UNIDADES'!$F$2:$F$208,MATCH($G263,'MAESTRO DE UNIDADES'!$A$2:$A$208,0)),""))</f>
        <v/>
      </c>
      <c r="I263" s="8" t="str">
        <f>IF($G263="","",IFERROR(INDEX('MAESTRO DE UNIDADES'!$B$2:$B$208,MATCH($G263,'MAESTRO DE UNIDADES'!$A$2:$A$208,0)),""))</f>
        <v/>
      </c>
      <c r="J263" s="4"/>
      <c r="K263" s="4"/>
      <c r="L263" s="4"/>
      <c r="M263" s="8" t="str">
        <f>IF($G263="","",IFERROR(INDEX('MAESTRO DE UNIDADES'!$H$2:$H$208,MATCH($G263,'MAESTRO DE UNIDADES'!$A$2:$A$208,0)),""))</f>
        <v/>
      </c>
      <c r="N263" s="25"/>
      <c r="O263" s="25"/>
      <c r="P263" s="26" t="str">
        <f t="shared" si="33"/>
        <v/>
      </c>
      <c r="Q263" s="27"/>
      <c r="R263" s="27"/>
      <c r="S263" s="28" t="str">
        <f>IF(OR($G263="",$Q263="",COUNTIF($G$2:G262,$G263)=0),"",$Q263-LOOKUP(2,1/($G$2:G262=$G263),$Q$2:Q262))</f>
        <v/>
      </c>
      <c r="T263" s="28" t="str">
        <f>IF(OR($G263="",$R263="",COUNTIF($G$2:G262,$G263)=0),"",$R263-LOOKUP(2,1/($G$2:G262=$G263),$R$2:R262))</f>
        <v/>
      </c>
      <c r="U263" s="11" t="str">
        <f t="shared" si="34"/>
        <v/>
      </c>
      <c r="V263" s="4"/>
      <c r="W263" s="4"/>
      <c r="X263" s="55"/>
      <c r="Y263" s="56" t="str">
        <f>IF($B263="","",IF((IF($G263="","Sin unidad | ","")&amp;IF($J263="","Sin responsable | ","")&amp;IF($K263="","Sin obra | ","")&amp;IF(AND($N263&lt;&gt;"",$G263&lt;&gt;"",$N263&gt;IFERROR(INDEX('MAESTRO DE UNIDADES'!$I$2:$I$208,MATCH($G263,'MAESTRO DE UNIDADES'!$A$2:$A$208,0)),0)),"Litros &gt; tanque | ","")&amp;IF(AND($W263&lt;&gt;"",COUNTIF($W$2:$W263,$W263)&gt;1),"Ticket duplicado | ","")&amp;IF(AND($G263&lt;&gt;"",IFERROR(INDEX('MAESTRO DE UNIDADES'!$L$2:$L$208,MATCH($G263,'MAESTRO DE UNIDADES'!$A$2:$A$208,0)),"")="Inactivo"),"Unidad inactiva | ","")&amp;IF(AND($AA263&lt;&gt;"",$N263=""),"Carga de batán sin litros | ","")&amp;IF(AND($AA263&lt;&gt;"",$AC263&lt;0),"Supera saldo batán | ",""))="","OK",LEFT((IF($G263="","Sin unidad | ","")&amp;IF($J263="","Sin responsable | ","")&amp;IF($K263="","Sin obra | ","")&amp;IF(AND($N263&lt;&gt;"",$G263&lt;&gt;"",$N263&gt;IFERROR(INDEX('MAESTRO DE UNIDADES'!$I$2:$I$208,MATCH($G263,'MAESTRO DE UNIDADES'!$A$2:$A$208,0)),0)),"Litros &gt; tanque | ","")&amp;IF(AND($W263&lt;&gt;"",COUNTIF($W$2:$W263,$W263)&gt;1),"Ticket duplicado | ","")&amp;IF(AND($G263&lt;&gt;"",IFERROR(INDEX('MAESTRO DE UNIDADES'!$L$2:$L$208,MATCH($G263,'MAESTRO DE UNIDADES'!$A$2:$A$208,0)),"")="Inactivo"),"Unidad inactiva | ","")&amp;IF(AND($AA263&lt;&gt;"",$N263=""),"Carga de batán sin litros | ","")&amp;IF(AND($AA263&lt;&gt;"",$AC263&lt;0),"Supera saldo batán | ","")),LEN((IF($G263="","Sin unidad | ","")&amp;IF($J263="","Sin responsable | ","")&amp;IF($K263="","Sin obra | ","")&amp;IF(AND($N263&lt;&gt;"",$G263&lt;&gt;"",$N263&gt;IFERROR(INDEX('MAESTRO DE UNIDADES'!$I$2:$I$208,MATCH($G263,'MAESTRO DE UNIDADES'!$A$2:$A$208,0)),0)),"Litros &gt; tanque | ","")&amp;IF(AND($W263&lt;&gt;"",COUNTIF($W$2:$W263,$W263)&gt;1),"Ticket duplicado | ","")&amp;IF(AND($G263&lt;&gt;"",IFERROR(INDEX('MAESTRO DE UNIDADES'!$L$2:$L$208,MATCH($G263,'MAESTRO DE UNIDADES'!$A$2:$A$208,0)),"")="Inactivo"),"Unidad inactiva | ","")&amp;IF(AND($AA263&lt;&gt;"",$N263=""),"Carga de batán sin litros | ","")&amp;IF(AND($AA263&lt;&gt;"",$AC263&lt;0),"Supera saldo batán | ","")))-3)))</f>
        <v/>
      </c>
      <c r="Z263" s="8" t="str">
        <f t="shared" si="35"/>
        <v/>
      </c>
      <c r="AA263" s="4"/>
      <c r="AB263" s="26" t="str">
        <f>IF($AA263="","",IFERROR(INDEX('CONTROL DE BATAN'!$J$2:$J$301,MATCH($AA263,'CONTROL DE BATAN'!$A$2:$A$301,0)),""))</f>
        <v/>
      </c>
      <c r="AC263" s="28" t="str">
        <f>IF($AA263="","",IFERROR(INDEX('CONTROL DE BATAN'!$I$2:$I$301,MATCH($AA263,'CONTROL DE BATAN'!$A$2:$A$301,0)),0)-SUMIFS($N$2:$N263,$AA$2:$AA263,$AA263))</f>
        <v/>
      </c>
    </row>
    <row r="264" spans="1:29" x14ac:dyDescent="0.25">
      <c r="A264" s="8" t="str">
        <f t="shared" si="29"/>
        <v/>
      </c>
      <c r="B264" s="9"/>
      <c r="C264" s="8" t="str">
        <f t="shared" si="30"/>
        <v/>
      </c>
      <c r="D264" s="10" t="str">
        <f t="shared" si="31"/>
        <v/>
      </c>
      <c r="E264" s="8" t="str">
        <f t="shared" si="32"/>
        <v/>
      </c>
      <c r="F264" s="8" t="str">
        <f>IF($G264="","",IFERROR(INDEX('MAESTRO DE UNIDADES'!$C$2:$C$208,MATCH($G264,'MAESTRO DE UNIDADES'!$A$2:$A$208,0)),""))</f>
        <v/>
      </c>
      <c r="G264" s="4"/>
      <c r="H264" s="8" t="str">
        <f>IF($G264="","",IFERROR(INDEX('MAESTRO DE UNIDADES'!$F$2:$F$208,MATCH($G264,'MAESTRO DE UNIDADES'!$A$2:$A$208,0)),""))</f>
        <v/>
      </c>
      <c r="I264" s="8" t="str">
        <f>IF($G264="","",IFERROR(INDEX('MAESTRO DE UNIDADES'!$B$2:$B$208,MATCH($G264,'MAESTRO DE UNIDADES'!$A$2:$A$208,0)),""))</f>
        <v/>
      </c>
      <c r="J264" s="4"/>
      <c r="K264" s="4"/>
      <c r="L264" s="4"/>
      <c r="M264" s="8" t="str">
        <f>IF($G264="","",IFERROR(INDEX('MAESTRO DE UNIDADES'!$H$2:$H$208,MATCH($G264,'MAESTRO DE UNIDADES'!$A$2:$A$208,0)),""))</f>
        <v/>
      </c>
      <c r="N264" s="25"/>
      <c r="O264" s="25"/>
      <c r="P264" s="26" t="str">
        <f t="shared" si="33"/>
        <v/>
      </c>
      <c r="Q264" s="27"/>
      <c r="R264" s="27"/>
      <c r="S264" s="28" t="str">
        <f>IF(OR($G264="",$Q264="",COUNTIF($G$2:G263,$G264)=0),"",$Q264-LOOKUP(2,1/($G$2:G263=$G264),$Q$2:Q263))</f>
        <v/>
      </c>
      <c r="T264" s="28" t="str">
        <f>IF(OR($G264="",$R264="",COUNTIF($G$2:G263,$G264)=0),"",$R264-LOOKUP(2,1/($G$2:G263=$G264),$R$2:R263))</f>
        <v/>
      </c>
      <c r="U264" s="11" t="str">
        <f t="shared" si="34"/>
        <v/>
      </c>
      <c r="V264" s="4"/>
      <c r="W264" s="4"/>
      <c r="X264" s="55"/>
      <c r="Y264" s="56" t="str">
        <f>IF($B264="","",IF((IF($G264="","Sin unidad | ","")&amp;IF($J264="","Sin responsable | ","")&amp;IF($K264="","Sin obra | ","")&amp;IF(AND($N264&lt;&gt;"",$G264&lt;&gt;"",$N264&gt;IFERROR(INDEX('MAESTRO DE UNIDADES'!$I$2:$I$208,MATCH($G264,'MAESTRO DE UNIDADES'!$A$2:$A$208,0)),0)),"Litros &gt; tanque | ","")&amp;IF(AND($W264&lt;&gt;"",COUNTIF($W$2:$W264,$W264)&gt;1),"Ticket duplicado | ","")&amp;IF(AND($G264&lt;&gt;"",IFERROR(INDEX('MAESTRO DE UNIDADES'!$L$2:$L$208,MATCH($G264,'MAESTRO DE UNIDADES'!$A$2:$A$208,0)),"")="Inactivo"),"Unidad inactiva | ","")&amp;IF(AND($AA264&lt;&gt;"",$N264=""),"Carga de batán sin litros | ","")&amp;IF(AND($AA264&lt;&gt;"",$AC264&lt;0),"Supera saldo batán | ",""))="","OK",LEFT((IF($G264="","Sin unidad | ","")&amp;IF($J264="","Sin responsable | ","")&amp;IF($K264="","Sin obra | ","")&amp;IF(AND($N264&lt;&gt;"",$G264&lt;&gt;"",$N264&gt;IFERROR(INDEX('MAESTRO DE UNIDADES'!$I$2:$I$208,MATCH($G264,'MAESTRO DE UNIDADES'!$A$2:$A$208,0)),0)),"Litros &gt; tanque | ","")&amp;IF(AND($W264&lt;&gt;"",COUNTIF($W$2:$W264,$W264)&gt;1),"Ticket duplicado | ","")&amp;IF(AND($G264&lt;&gt;"",IFERROR(INDEX('MAESTRO DE UNIDADES'!$L$2:$L$208,MATCH($G264,'MAESTRO DE UNIDADES'!$A$2:$A$208,0)),"")="Inactivo"),"Unidad inactiva | ","")&amp;IF(AND($AA264&lt;&gt;"",$N264=""),"Carga de batán sin litros | ","")&amp;IF(AND($AA264&lt;&gt;"",$AC264&lt;0),"Supera saldo batán | ","")),LEN((IF($G264="","Sin unidad | ","")&amp;IF($J264="","Sin responsable | ","")&amp;IF($K264="","Sin obra | ","")&amp;IF(AND($N264&lt;&gt;"",$G264&lt;&gt;"",$N264&gt;IFERROR(INDEX('MAESTRO DE UNIDADES'!$I$2:$I$208,MATCH($G264,'MAESTRO DE UNIDADES'!$A$2:$A$208,0)),0)),"Litros &gt; tanque | ","")&amp;IF(AND($W264&lt;&gt;"",COUNTIF($W$2:$W264,$W264)&gt;1),"Ticket duplicado | ","")&amp;IF(AND($G264&lt;&gt;"",IFERROR(INDEX('MAESTRO DE UNIDADES'!$L$2:$L$208,MATCH($G264,'MAESTRO DE UNIDADES'!$A$2:$A$208,0)),"")="Inactivo"),"Unidad inactiva | ","")&amp;IF(AND($AA264&lt;&gt;"",$N264=""),"Carga de batán sin litros | ","")&amp;IF(AND($AA264&lt;&gt;"",$AC264&lt;0),"Supera saldo batán | ","")))-3)))</f>
        <v/>
      </c>
      <c r="Z264" s="8" t="str">
        <f t="shared" si="35"/>
        <v/>
      </c>
      <c r="AA264" s="4"/>
      <c r="AB264" s="26" t="str">
        <f>IF($AA264="","",IFERROR(INDEX('CONTROL DE BATAN'!$J$2:$J$301,MATCH($AA264,'CONTROL DE BATAN'!$A$2:$A$301,0)),""))</f>
        <v/>
      </c>
      <c r="AC264" s="28" t="str">
        <f>IF($AA264="","",IFERROR(INDEX('CONTROL DE BATAN'!$I$2:$I$301,MATCH($AA264,'CONTROL DE BATAN'!$A$2:$A$301,0)),0)-SUMIFS($N$2:$N264,$AA$2:$AA264,$AA264))</f>
        <v/>
      </c>
    </row>
    <row r="265" spans="1:29" x14ac:dyDescent="0.25">
      <c r="A265" s="8" t="str">
        <f t="shared" si="29"/>
        <v/>
      </c>
      <c r="B265" s="9"/>
      <c r="C265" s="8" t="str">
        <f t="shared" si="30"/>
        <v/>
      </c>
      <c r="D265" s="10" t="str">
        <f t="shared" si="31"/>
        <v/>
      </c>
      <c r="E265" s="8" t="str">
        <f t="shared" si="32"/>
        <v/>
      </c>
      <c r="F265" s="8" t="str">
        <f>IF($G265="","",IFERROR(INDEX('MAESTRO DE UNIDADES'!$C$2:$C$208,MATCH($G265,'MAESTRO DE UNIDADES'!$A$2:$A$208,0)),""))</f>
        <v/>
      </c>
      <c r="G265" s="4"/>
      <c r="H265" s="8" t="str">
        <f>IF($G265="","",IFERROR(INDEX('MAESTRO DE UNIDADES'!$F$2:$F$208,MATCH($G265,'MAESTRO DE UNIDADES'!$A$2:$A$208,0)),""))</f>
        <v/>
      </c>
      <c r="I265" s="8" t="str">
        <f>IF($G265="","",IFERROR(INDEX('MAESTRO DE UNIDADES'!$B$2:$B$208,MATCH($G265,'MAESTRO DE UNIDADES'!$A$2:$A$208,0)),""))</f>
        <v/>
      </c>
      <c r="J265" s="4"/>
      <c r="K265" s="4"/>
      <c r="L265" s="4"/>
      <c r="M265" s="8" t="str">
        <f>IF($G265="","",IFERROR(INDEX('MAESTRO DE UNIDADES'!$H$2:$H$208,MATCH($G265,'MAESTRO DE UNIDADES'!$A$2:$A$208,0)),""))</f>
        <v/>
      </c>
      <c r="N265" s="25"/>
      <c r="O265" s="25"/>
      <c r="P265" s="26" t="str">
        <f t="shared" si="33"/>
        <v/>
      </c>
      <c r="Q265" s="27"/>
      <c r="R265" s="27"/>
      <c r="S265" s="28" t="str">
        <f>IF(OR($G265="",$Q265="",COUNTIF($G$2:G264,$G265)=0),"",$Q265-LOOKUP(2,1/($G$2:G264=$G265),$Q$2:Q264))</f>
        <v/>
      </c>
      <c r="T265" s="28" t="str">
        <f>IF(OR($G265="",$R265="",COUNTIF($G$2:G264,$G265)=0),"",$R265-LOOKUP(2,1/($G$2:G264=$G265),$R$2:R264))</f>
        <v/>
      </c>
      <c r="U265" s="11" t="str">
        <f t="shared" si="34"/>
        <v/>
      </c>
      <c r="V265" s="4"/>
      <c r="W265" s="4"/>
      <c r="X265" s="55"/>
      <c r="Y265" s="56" t="str">
        <f>IF($B265="","",IF((IF($G265="","Sin unidad | ","")&amp;IF($J265="","Sin responsable | ","")&amp;IF($K265="","Sin obra | ","")&amp;IF(AND($N265&lt;&gt;"",$G265&lt;&gt;"",$N265&gt;IFERROR(INDEX('MAESTRO DE UNIDADES'!$I$2:$I$208,MATCH($G265,'MAESTRO DE UNIDADES'!$A$2:$A$208,0)),0)),"Litros &gt; tanque | ","")&amp;IF(AND($W265&lt;&gt;"",COUNTIF($W$2:$W265,$W265)&gt;1),"Ticket duplicado | ","")&amp;IF(AND($G265&lt;&gt;"",IFERROR(INDEX('MAESTRO DE UNIDADES'!$L$2:$L$208,MATCH($G265,'MAESTRO DE UNIDADES'!$A$2:$A$208,0)),"")="Inactivo"),"Unidad inactiva | ","")&amp;IF(AND($AA265&lt;&gt;"",$N265=""),"Carga de batán sin litros | ","")&amp;IF(AND($AA265&lt;&gt;"",$AC265&lt;0),"Supera saldo batán | ",""))="","OK",LEFT((IF($G265="","Sin unidad | ","")&amp;IF($J265="","Sin responsable | ","")&amp;IF($K265="","Sin obra | ","")&amp;IF(AND($N265&lt;&gt;"",$G265&lt;&gt;"",$N265&gt;IFERROR(INDEX('MAESTRO DE UNIDADES'!$I$2:$I$208,MATCH($G265,'MAESTRO DE UNIDADES'!$A$2:$A$208,0)),0)),"Litros &gt; tanque | ","")&amp;IF(AND($W265&lt;&gt;"",COUNTIF($W$2:$W265,$W265)&gt;1),"Ticket duplicado | ","")&amp;IF(AND($G265&lt;&gt;"",IFERROR(INDEX('MAESTRO DE UNIDADES'!$L$2:$L$208,MATCH($G265,'MAESTRO DE UNIDADES'!$A$2:$A$208,0)),"")="Inactivo"),"Unidad inactiva | ","")&amp;IF(AND($AA265&lt;&gt;"",$N265=""),"Carga de batán sin litros | ","")&amp;IF(AND($AA265&lt;&gt;"",$AC265&lt;0),"Supera saldo batán | ","")),LEN((IF($G265="","Sin unidad | ","")&amp;IF($J265="","Sin responsable | ","")&amp;IF($K265="","Sin obra | ","")&amp;IF(AND($N265&lt;&gt;"",$G265&lt;&gt;"",$N265&gt;IFERROR(INDEX('MAESTRO DE UNIDADES'!$I$2:$I$208,MATCH($G265,'MAESTRO DE UNIDADES'!$A$2:$A$208,0)),0)),"Litros &gt; tanque | ","")&amp;IF(AND($W265&lt;&gt;"",COUNTIF($W$2:$W265,$W265)&gt;1),"Ticket duplicado | ","")&amp;IF(AND($G265&lt;&gt;"",IFERROR(INDEX('MAESTRO DE UNIDADES'!$L$2:$L$208,MATCH($G265,'MAESTRO DE UNIDADES'!$A$2:$A$208,0)),"")="Inactivo"),"Unidad inactiva | ","")&amp;IF(AND($AA265&lt;&gt;"",$N265=""),"Carga de batán sin litros | ","")&amp;IF(AND($AA265&lt;&gt;"",$AC265&lt;0),"Supera saldo batán | ","")))-3)))</f>
        <v/>
      </c>
      <c r="Z265" s="8" t="str">
        <f t="shared" si="35"/>
        <v/>
      </c>
      <c r="AA265" s="4"/>
      <c r="AB265" s="26" t="str">
        <f>IF($AA265="","",IFERROR(INDEX('CONTROL DE BATAN'!$J$2:$J$301,MATCH($AA265,'CONTROL DE BATAN'!$A$2:$A$301,0)),""))</f>
        <v/>
      </c>
      <c r="AC265" s="28" t="str">
        <f>IF($AA265="","",IFERROR(INDEX('CONTROL DE BATAN'!$I$2:$I$301,MATCH($AA265,'CONTROL DE BATAN'!$A$2:$A$301,0)),0)-SUMIFS($N$2:$N265,$AA$2:$AA265,$AA265))</f>
        <v/>
      </c>
    </row>
    <row r="266" spans="1:29" x14ac:dyDescent="0.25">
      <c r="A266" s="8" t="str">
        <f t="shared" si="29"/>
        <v/>
      </c>
      <c r="B266" s="9"/>
      <c r="C266" s="8" t="str">
        <f t="shared" si="30"/>
        <v/>
      </c>
      <c r="D266" s="10" t="str">
        <f t="shared" si="31"/>
        <v/>
      </c>
      <c r="E266" s="8" t="str">
        <f t="shared" si="32"/>
        <v/>
      </c>
      <c r="F266" s="8" t="str">
        <f>IF($G266="","",IFERROR(INDEX('MAESTRO DE UNIDADES'!$C$2:$C$208,MATCH($G266,'MAESTRO DE UNIDADES'!$A$2:$A$208,0)),""))</f>
        <v/>
      </c>
      <c r="G266" s="4"/>
      <c r="H266" s="8" t="str">
        <f>IF($G266="","",IFERROR(INDEX('MAESTRO DE UNIDADES'!$F$2:$F$208,MATCH($G266,'MAESTRO DE UNIDADES'!$A$2:$A$208,0)),""))</f>
        <v/>
      </c>
      <c r="I266" s="8" t="str">
        <f>IF($G266="","",IFERROR(INDEX('MAESTRO DE UNIDADES'!$B$2:$B$208,MATCH($G266,'MAESTRO DE UNIDADES'!$A$2:$A$208,0)),""))</f>
        <v/>
      </c>
      <c r="J266" s="4"/>
      <c r="K266" s="4"/>
      <c r="L266" s="4"/>
      <c r="M266" s="8" t="str">
        <f>IF($G266="","",IFERROR(INDEX('MAESTRO DE UNIDADES'!$H$2:$H$208,MATCH($G266,'MAESTRO DE UNIDADES'!$A$2:$A$208,0)),""))</f>
        <v/>
      </c>
      <c r="N266" s="25"/>
      <c r="O266" s="25"/>
      <c r="P266" s="26" t="str">
        <f t="shared" si="33"/>
        <v/>
      </c>
      <c r="Q266" s="27"/>
      <c r="R266" s="27"/>
      <c r="S266" s="28" t="str">
        <f>IF(OR($G266="",$Q266="",COUNTIF($G$2:G265,$G266)=0),"",$Q266-LOOKUP(2,1/($G$2:G265=$G266),$Q$2:Q265))</f>
        <v/>
      </c>
      <c r="T266" s="28" t="str">
        <f>IF(OR($G266="",$R266="",COUNTIF($G$2:G265,$G266)=0),"",$R266-LOOKUP(2,1/($G$2:G265=$G266),$R$2:R265))</f>
        <v/>
      </c>
      <c r="U266" s="11" t="str">
        <f t="shared" si="34"/>
        <v/>
      </c>
      <c r="V266" s="4"/>
      <c r="W266" s="4"/>
      <c r="X266" s="55"/>
      <c r="Y266" s="56" t="str">
        <f>IF($B266="","",IF((IF($G266="","Sin unidad | ","")&amp;IF($J266="","Sin responsable | ","")&amp;IF($K266="","Sin obra | ","")&amp;IF(AND($N266&lt;&gt;"",$G266&lt;&gt;"",$N266&gt;IFERROR(INDEX('MAESTRO DE UNIDADES'!$I$2:$I$208,MATCH($G266,'MAESTRO DE UNIDADES'!$A$2:$A$208,0)),0)),"Litros &gt; tanque | ","")&amp;IF(AND($W266&lt;&gt;"",COUNTIF($W$2:$W266,$W266)&gt;1),"Ticket duplicado | ","")&amp;IF(AND($G266&lt;&gt;"",IFERROR(INDEX('MAESTRO DE UNIDADES'!$L$2:$L$208,MATCH($G266,'MAESTRO DE UNIDADES'!$A$2:$A$208,0)),"")="Inactivo"),"Unidad inactiva | ","")&amp;IF(AND($AA266&lt;&gt;"",$N266=""),"Carga de batán sin litros | ","")&amp;IF(AND($AA266&lt;&gt;"",$AC266&lt;0),"Supera saldo batán | ",""))="","OK",LEFT((IF($G266="","Sin unidad | ","")&amp;IF($J266="","Sin responsable | ","")&amp;IF($K266="","Sin obra | ","")&amp;IF(AND($N266&lt;&gt;"",$G266&lt;&gt;"",$N266&gt;IFERROR(INDEX('MAESTRO DE UNIDADES'!$I$2:$I$208,MATCH($G266,'MAESTRO DE UNIDADES'!$A$2:$A$208,0)),0)),"Litros &gt; tanque | ","")&amp;IF(AND($W266&lt;&gt;"",COUNTIF($W$2:$W266,$W266)&gt;1),"Ticket duplicado | ","")&amp;IF(AND($G266&lt;&gt;"",IFERROR(INDEX('MAESTRO DE UNIDADES'!$L$2:$L$208,MATCH($G266,'MAESTRO DE UNIDADES'!$A$2:$A$208,0)),"")="Inactivo"),"Unidad inactiva | ","")&amp;IF(AND($AA266&lt;&gt;"",$N266=""),"Carga de batán sin litros | ","")&amp;IF(AND($AA266&lt;&gt;"",$AC266&lt;0),"Supera saldo batán | ","")),LEN((IF($G266="","Sin unidad | ","")&amp;IF($J266="","Sin responsable | ","")&amp;IF($K266="","Sin obra | ","")&amp;IF(AND($N266&lt;&gt;"",$G266&lt;&gt;"",$N266&gt;IFERROR(INDEX('MAESTRO DE UNIDADES'!$I$2:$I$208,MATCH($G266,'MAESTRO DE UNIDADES'!$A$2:$A$208,0)),0)),"Litros &gt; tanque | ","")&amp;IF(AND($W266&lt;&gt;"",COUNTIF($W$2:$W266,$W266)&gt;1),"Ticket duplicado | ","")&amp;IF(AND($G266&lt;&gt;"",IFERROR(INDEX('MAESTRO DE UNIDADES'!$L$2:$L$208,MATCH($G266,'MAESTRO DE UNIDADES'!$A$2:$A$208,0)),"")="Inactivo"),"Unidad inactiva | ","")&amp;IF(AND($AA266&lt;&gt;"",$N266=""),"Carga de batán sin litros | ","")&amp;IF(AND($AA266&lt;&gt;"",$AC266&lt;0),"Supera saldo batán | ","")))-3)))</f>
        <v/>
      </c>
      <c r="Z266" s="8" t="str">
        <f t="shared" si="35"/>
        <v/>
      </c>
      <c r="AA266" s="4"/>
      <c r="AB266" s="26" t="str">
        <f>IF($AA266="","",IFERROR(INDEX('CONTROL DE BATAN'!$J$2:$J$301,MATCH($AA266,'CONTROL DE BATAN'!$A$2:$A$301,0)),""))</f>
        <v/>
      </c>
      <c r="AC266" s="28" t="str">
        <f>IF($AA266="","",IFERROR(INDEX('CONTROL DE BATAN'!$I$2:$I$301,MATCH($AA266,'CONTROL DE BATAN'!$A$2:$A$301,0)),0)-SUMIFS($N$2:$N266,$AA$2:$AA266,$AA266))</f>
        <v/>
      </c>
    </row>
    <row r="267" spans="1:29" x14ac:dyDescent="0.25">
      <c r="A267" s="8" t="str">
        <f t="shared" si="29"/>
        <v/>
      </c>
      <c r="B267" s="9"/>
      <c r="C267" s="8" t="str">
        <f t="shared" si="30"/>
        <v/>
      </c>
      <c r="D267" s="10" t="str">
        <f t="shared" si="31"/>
        <v/>
      </c>
      <c r="E267" s="8" t="str">
        <f t="shared" si="32"/>
        <v/>
      </c>
      <c r="F267" s="8" t="str">
        <f>IF($G267="","",IFERROR(INDEX('MAESTRO DE UNIDADES'!$C$2:$C$208,MATCH($G267,'MAESTRO DE UNIDADES'!$A$2:$A$208,0)),""))</f>
        <v/>
      </c>
      <c r="G267" s="4"/>
      <c r="H267" s="8" t="str">
        <f>IF($G267="","",IFERROR(INDEX('MAESTRO DE UNIDADES'!$F$2:$F$208,MATCH($G267,'MAESTRO DE UNIDADES'!$A$2:$A$208,0)),""))</f>
        <v/>
      </c>
      <c r="I267" s="8" t="str">
        <f>IF($G267="","",IFERROR(INDEX('MAESTRO DE UNIDADES'!$B$2:$B$208,MATCH($G267,'MAESTRO DE UNIDADES'!$A$2:$A$208,0)),""))</f>
        <v/>
      </c>
      <c r="J267" s="4"/>
      <c r="K267" s="4"/>
      <c r="L267" s="4"/>
      <c r="M267" s="8" t="str">
        <f>IF($G267="","",IFERROR(INDEX('MAESTRO DE UNIDADES'!$H$2:$H$208,MATCH($G267,'MAESTRO DE UNIDADES'!$A$2:$A$208,0)),""))</f>
        <v/>
      </c>
      <c r="N267" s="25"/>
      <c r="O267" s="25"/>
      <c r="P267" s="26" t="str">
        <f t="shared" si="33"/>
        <v/>
      </c>
      <c r="Q267" s="27"/>
      <c r="R267" s="27"/>
      <c r="S267" s="28" t="str">
        <f>IF(OR($G267="",$Q267="",COUNTIF($G$2:G266,$G267)=0),"",$Q267-LOOKUP(2,1/($G$2:G266=$G267),$Q$2:Q266))</f>
        <v/>
      </c>
      <c r="T267" s="28" t="str">
        <f>IF(OR($G267="",$R267="",COUNTIF($G$2:G266,$G267)=0),"",$R267-LOOKUP(2,1/($G$2:G266=$G267),$R$2:R266))</f>
        <v/>
      </c>
      <c r="U267" s="11" t="str">
        <f t="shared" si="34"/>
        <v/>
      </c>
      <c r="V267" s="4"/>
      <c r="W267" s="4"/>
      <c r="X267" s="55"/>
      <c r="Y267" s="56" t="str">
        <f>IF($B267="","",IF((IF($G267="","Sin unidad | ","")&amp;IF($J267="","Sin responsable | ","")&amp;IF($K267="","Sin obra | ","")&amp;IF(AND($N267&lt;&gt;"",$G267&lt;&gt;"",$N267&gt;IFERROR(INDEX('MAESTRO DE UNIDADES'!$I$2:$I$208,MATCH($G267,'MAESTRO DE UNIDADES'!$A$2:$A$208,0)),0)),"Litros &gt; tanque | ","")&amp;IF(AND($W267&lt;&gt;"",COUNTIF($W$2:$W267,$W267)&gt;1),"Ticket duplicado | ","")&amp;IF(AND($G267&lt;&gt;"",IFERROR(INDEX('MAESTRO DE UNIDADES'!$L$2:$L$208,MATCH($G267,'MAESTRO DE UNIDADES'!$A$2:$A$208,0)),"")="Inactivo"),"Unidad inactiva | ","")&amp;IF(AND($AA267&lt;&gt;"",$N267=""),"Carga de batán sin litros | ","")&amp;IF(AND($AA267&lt;&gt;"",$AC267&lt;0),"Supera saldo batán | ",""))="","OK",LEFT((IF($G267="","Sin unidad | ","")&amp;IF($J267="","Sin responsable | ","")&amp;IF($K267="","Sin obra | ","")&amp;IF(AND($N267&lt;&gt;"",$G267&lt;&gt;"",$N267&gt;IFERROR(INDEX('MAESTRO DE UNIDADES'!$I$2:$I$208,MATCH($G267,'MAESTRO DE UNIDADES'!$A$2:$A$208,0)),0)),"Litros &gt; tanque | ","")&amp;IF(AND($W267&lt;&gt;"",COUNTIF($W$2:$W267,$W267)&gt;1),"Ticket duplicado | ","")&amp;IF(AND($G267&lt;&gt;"",IFERROR(INDEX('MAESTRO DE UNIDADES'!$L$2:$L$208,MATCH($G267,'MAESTRO DE UNIDADES'!$A$2:$A$208,0)),"")="Inactivo"),"Unidad inactiva | ","")&amp;IF(AND($AA267&lt;&gt;"",$N267=""),"Carga de batán sin litros | ","")&amp;IF(AND($AA267&lt;&gt;"",$AC267&lt;0),"Supera saldo batán | ","")),LEN((IF($G267="","Sin unidad | ","")&amp;IF($J267="","Sin responsable | ","")&amp;IF($K267="","Sin obra | ","")&amp;IF(AND($N267&lt;&gt;"",$G267&lt;&gt;"",$N267&gt;IFERROR(INDEX('MAESTRO DE UNIDADES'!$I$2:$I$208,MATCH($G267,'MAESTRO DE UNIDADES'!$A$2:$A$208,0)),0)),"Litros &gt; tanque | ","")&amp;IF(AND($W267&lt;&gt;"",COUNTIF($W$2:$W267,$W267)&gt;1),"Ticket duplicado | ","")&amp;IF(AND($G267&lt;&gt;"",IFERROR(INDEX('MAESTRO DE UNIDADES'!$L$2:$L$208,MATCH($G267,'MAESTRO DE UNIDADES'!$A$2:$A$208,0)),"")="Inactivo"),"Unidad inactiva | ","")&amp;IF(AND($AA267&lt;&gt;"",$N267=""),"Carga de batán sin litros | ","")&amp;IF(AND($AA267&lt;&gt;"",$AC267&lt;0),"Supera saldo batán | ","")))-3)))</f>
        <v/>
      </c>
      <c r="Z267" s="8" t="str">
        <f t="shared" si="35"/>
        <v/>
      </c>
      <c r="AA267" s="4"/>
      <c r="AB267" s="26" t="str">
        <f>IF($AA267="","",IFERROR(INDEX('CONTROL DE BATAN'!$J$2:$J$301,MATCH($AA267,'CONTROL DE BATAN'!$A$2:$A$301,0)),""))</f>
        <v/>
      </c>
      <c r="AC267" s="28" t="str">
        <f>IF($AA267="","",IFERROR(INDEX('CONTROL DE BATAN'!$I$2:$I$301,MATCH($AA267,'CONTROL DE BATAN'!$A$2:$A$301,0)),0)-SUMIFS($N$2:$N267,$AA$2:$AA267,$AA267))</f>
        <v/>
      </c>
    </row>
    <row r="268" spans="1:29" x14ac:dyDescent="0.25">
      <c r="A268" s="8" t="str">
        <f t="shared" si="29"/>
        <v/>
      </c>
      <c r="B268" s="9"/>
      <c r="C268" s="8" t="str">
        <f t="shared" si="30"/>
        <v/>
      </c>
      <c r="D268" s="10" t="str">
        <f t="shared" si="31"/>
        <v/>
      </c>
      <c r="E268" s="8" t="str">
        <f t="shared" si="32"/>
        <v/>
      </c>
      <c r="F268" s="8" t="str">
        <f>IF($G268="","",IFERROR(INDEX('MAESTRO DE UNIDADES'!$C$2:$C$208,MATCH($G268,'MAESTRO DE UNIDADES'!$A$2:$A$208,0)),""))</f>
        <v/>
      </c>
      <c r="G268" s="4"/>
      <c r="H268" s="8" t="str">
        <f>IF($G268="","",IFERROR(INDEX('MAESTRO DE UNIDADES'!$F$2:$F$208,MATCH($G268,'MAESTRO DE UNIDADES'!$A$2:$A$208,0)),""))</f>
        <v/>
      </c>
      <c r="I268" s="8" t="str">
        <f>IF($G268="","",IFERROR(INDEX('MAESTRO DE UNIDADES'!$B$2:$B$208,MATCH($G268,'MAESTRO DE UNIDADES'!$A$2:$A$208,0)),""))</f>
        <v/>
      </c>
      <c r="J268" s="4"/>
      <c r="K268" s="4"/>
      <c r="L268" s="4"/>
      <c r="M268" s="8" t="str">
        <f>IF($G268="","",IFERROR(INDEX('MAESTRO DE UNIDADES'!$H$2:$H$208,MATCH($G268,'MAESTRO DE UNIDADES'!$A$2:$A$208,0)),""))</f>
        <v/>
      </c>
      <c r="N268" s="25"/>
      <c r="O268" s="25"/>
      <c r="P268" s="26" t="str">
        <f t="shared" si="33"/>
        <v/>
      </c>
      <c r="Q268" s="27"/>
      <c r="R268" s="27"/>
      <c r="S268" s="28" t="str">
        <f>IF(OR($G268="",$Q268="",COUNTIF($G$2:G267,$G268)=0),"",$Q268-LOOKUP(2,1/($G$2:G267=$G268),$Q$2:Q267))</f>
        <v/>
      </c>
      <c r="T268" s="28" t="str">
        <f>IF(OR($G268="",$R268="",COUNTIF($G$2:G267,$G268)=0),"",$R268-LOOKUP(2,1/($G$2:G267=$G268),$R$2:R267))</f>
        <v/>
      </c>
      <c r="U268" s="11" t="str">
        <f t="shared" si="34"/>
        <v/>
      </c>
      <c r="V268" s="4"/>
      <c r="W268" s="4"/>
      <c r="X268" s="55"/>
      <c r="Y268" s="56" t="str">
        <f>IF($B268="","",IF((IF($G268="","Sin unidad | ","")&amp;IF($J268="","Sin responsable | ","")&amp;IF($K268="","Sin obra | ","")&amp;IF(AND($N268&lt;&gt;"",$G268&lt;&gt;"",$N268&gt;IFERROR(INDEX('MAESTRO DE UNIDADES'!$I$2:$I$208,MATCH($G268,'MAESTRO DE UNIDADES'!$A$2:$A$208,0)),0)),"Litros &gt; tanque | ","")&amp;IF(AND($W268&lt;&gt;"",COUNTIF($W$2:$W268,$W268)&gt;1),"Ticket duplicado | ","")&amp;IF(AND($G268&lt;&gt;"",IFERROR(INDEX('MAESTRO DE UNIDADES'!$L$2:$L$208,MATCH($G268,'MAESTRO DE UNIDADES'!$A$2:$A$208,0)),"")="Inactivo"),"Unidad inactiva | ","")&amp;IF(AND($AA268&lt;&gt;"",$N268=""),"Carga de batán sin litros | ","")&amp;IF(AND($AA268&lt;&gt;"",$AC268&lt;0),"Supera saldo batán | ",""))="","OK",LEFT((IF($G268="","Sin unidad | ","")&amp;IF($J268="","Sin responsable | ","")&amp;IF($K268="","Sin obra | ","")&amp;IF(AND($N268&lt;&gt;"",$G268&lt;&gt;"",$N268&gt;IFERROR(INDEX('MAESTRO DE UNIDADES'!$I$2:$I$208,MATCH($G268,'MAESTRO DE UNIDADES'!$A$2:$A$208,0)),0)),"Litros &gt; tanque | ","")&amp;IF(AND($W268&lt;&gt;"",COUNTIF($W$2:$W268,$W268)&gt;1),"Ticket duplicado | ","")&amp;IF(AND($G268&lt;&gt;"",IFERROR(INDEX('MAESTRO DE UNIDADES'!$L$2:$L$208,MATCH($G268,'MAESTRO DE UNIDADES'!$A$2:$A$208,0)),"")="Inactivo"),"Unidad inactiva | ","")&amp;IF(AND($AA268&lt;&gt;"",$N268=""),"Carga de batán sin litros | ","")&amp;IF(AND($AA268&lt;&gt;"",$AC268&lt;0),"Supera saldo batán | ","")),LEN((IF($G268="","Sin unidad | ","")&amp;IF($J268="","Sin responsable | ","")&amp;IF($K268="","Sin obra | ","")&amp;IF(AND($N268&lt;&gt;"",$G268&lt;&gt;"",$N268&gt;IFERROR(INDEX('MAESTRO DE UNIDADES'!$I$2:$I$208,MATCH($G268,'MAESTRO DE UNIDADES'!$A$2:$A$208,0)),0)),"Litros &gt; tanque | ","")&amp;IF(AND($W268&lt;&gt;"",COUNTIF($W$2:$W268,$W268)&gt;1),"Ticket duplicado | ","")&amp;IF(AND($G268&lt;&gt;"",IFERROR(INDEX('MAESTRO DE UNIDADES'!$L$2:$L$208,MATCH($G268,'MAESTRO DE UNIDADES'!$A$2:$A$208,0)),"")="Inactivo"),"Unidad inactiva | ","")&amp;IF(AND($AA268&lt;&gt;"",$N268=""),"Carga de batán sin litros | ","")&amp;IF(AND($AA268&lt;&gt;"",$AC268&lt;0),"Supera saldo batán | ","")))-3)))</f>
        <v/>
      </c>
      <c r="Z268" s="8" t="str">
        <f t="shared" si="35"/>
        <v/>
      </c>
      <c r="AA268" s="4"/>
      <c r="AB268" s="26" t="str">
        <f>IF($AA268="","",IFERROR(INDEX('CONTROL DE BATAN'!$J$2:$J$301,MATCH($AA268,'CONTROL DE BATAN'!$A$2:$A$301,0)),""))</f>
        <v/>
      </c>
      <c r="AC268" s="28" t="str">
        <f>IF($AA268="","",IFERROR(INDEX('CONTROL DE BATAN'!$I$2:$I$301,MATCH($AA268,'CONTROL DE BATAN'!$A$2:$A$301,0)),0)-SUMIFS($N$2:$N268,$AA$2:$AA268,$AA268))</f>
        <v/>
      </c>
    </row>
    <row r="269" spans="1:29" x14ac:dyDescent="0.25">
      <c r="A269" s="8" t="str">
        <f t="shared" si="29"/>
        <v/>
      </c>
      <c r="B269" s="9"/>
      <c r="C269" s="8" t="str">
        <f t="shared" si="30"/>
        <v/>
      </c>
      <c r="D269" s="10" t="str">
        <f t="shared" si="31"/>
        <v/>
      </c>
      <c r="E269" s="8" t="str">
        <f t="shared" si="32"/>
        <v/>
      </c>
      <c r="F269" s="8" t="str">
        <f>IF($G269="","",IFERROR(INDEX('MAESTRO DE UNIDADES'!$C$2:$C$208,MATCH($G269,'MAESTRO DE UNIDADES'!$A$2:$A$208,0)),""))</f>
        <v/>
      </c>
      <c r="G269" s="4"/>
      <c r="H269" s="8" t="str">
        <f>IF($G269="","",IFERROR(INDEX('MAESTRO DE UNIDADES'!$F$2:$F$208,MATCH($G269,'MAESTRO DE UNIDADES'!$A$2:$A$208,0)),""))</f>
        <v/>
      </c>
      <c r="I269" s="8" t="str">
        <f>IF($G269="","",IFERROR(INDEX('MAESTRO DE UNIDADES'!$B$2:$B$208,MATCH($G269,'MAESTRO DE UNIDADES'!$A$2:$A$208,0)),""))</f>
        <v/>
      </c>
      <c r="J269" s="4"/>
      <c r="K269" s="4"/>
      <c r="L269" s="4"/>
      <c r="M269" s="8" t="str">
        <f>IF($G269="","",IFERROR(INDEX('MAESTRO DE UNIDADES'!$H$2:$H$208,MATCH($G269,'MAESTRO DE UNIDADES'!$A$2:$A$208,0)),""))</f>
        <v/>
      </c>
      <c r="N269" s="25"/>
      <c r="O269" s="25"/>
      <c r="P269" s="26" t="str">
        <f t="shared" si="33"/>
        <v/>
      </c>
      <c r="Q269" s="27"/>
      <c r="R269" s="27"/>
      <c r="S269" s="28" t="str">
        <f>IF(OR($G269="",$Q269="",COUNTIF($G$2:G268,$G269)=0),"",$Q269-LOOKUP(2,1/($G$2:G268=$G269),$Q$2:Q268))</f>
        <v/>
      </c>
      <c r="T269" s="28" t="str">
        <f>IF(OR($G269="",$R269="",COUNTIF($G$2:G268,$G269)=0),"",$R269-LOOKUP(2,1/($G$2:G268=$G269),$R$2:R268))</f>
        <v/>
      </c>
      <c r="U269" s="11" t="str">
        <f t="shared" si="34"/>
        <v/>
      </c>
      <c r="V269" s="4"/>
      <c r="W269" s="4"/>
      <c r="X269" s="55"/>
      <c r="Y269" s="56" t="str">
        <f>IF($B269="","",IF((IF($G269="","Sin unidad | ","")&amp;IF($J269="","Sin responsable | ","")&amp;IF($K269="","Sin obra | ","")&amp;IF(AND($N269&lt;&gt;"",$G269&lt;&gt;"",$N269&gt;IFERROR(INDEX('MAESTRO DE UNIDADES'!$I$2:$I$208,MATCH($G269,'MAESTRO DE UNIDADES'!$A$2:$A$208,0)),0)),"Litros &gt; tanque | ","")&amp;IF(AND($W269&lt;&gt;"",COUNTIF($W$2:$W269,$W269)&gt;1),"Ticket duplicado | ","")&amp;IF(AND($G269&lt;&gt;"",IFERROR(INDEX('MAESTRO DE UNIDADES'!$L$2:$L$208,MATCH($G269,'MAESTRO DE UNIDADES'!$A$2:$A$208,0)),"")="Inactivo"),"Unidad inactiva | ","")&amp;IF(AND($AA269&lt;&gt;"",$N269=""),"Carga de batán sin litros | ","")&amp;IF(AND($AA269&lt;&gt;"",$AC269&lt;0),"Supera saldo batán | ",""))="","OK",LEFT((IF($G269="","Sin unidad | ","")&amp;IF($J269="","Sin responsable | ","")&amp;IF($K269="","Sin obra | ","")&amp;IF(AND($N269&lt;&gt;"",$G269&lt;&gt;"",$N269&gt;IFERROR(INDEX('MAESTRO DE UNIDADES'!$I$2:$I$208,MATCH($G269,'MAESTRO DE UNIDADES'!$A$2:$A$208,0)),0)),"Litros &gt; tanque | ","")&amp;IF(AND($W269&lt;&gt;"",COUNTIF($W$2:$W269,$W269)&gt;1),"Ticket duplicado | ","")&amp;IF(AND($G269&lt;&gt;"",IFERROR(INDEX('MAESTRO DE UNIDADES'!$L$2:$L$208,MATCH($G269,'MAESTRO DE UNIDADES'!$A$2:$A$208,0)),"")="Inactivo"),"Unidad inactiva | ","")&amp;IF(AND($AA269&lt;&gt;"",$N269=""),"Carga de batán sin litros | ","")&amp;IF(AND($AA269&lt;&gt;"",$AC269&lt;0),"Supera saldo batán | ","")),LEN((IF($G269="","Sin unidad | ","")&amp;IF($J269="","Sin responsable | ","")&amp;IF($K269="","Sin obra | ","")&amp;IF(AND($N269&lt;&gt;"",$G269&lt;&gt;"",$N269&gt;IFERROR(INDEX('MAESTRO DE UNIDADES'!$I$2:$I$208,MATCH($G269,'MAESTRO DE UNIDADES'!$A$2:$A$208,0)),0)),"Litros &gt; tanque | ","")&amp;IF(AND($W269&lt;&gt;"",COUNTIF($W$2:$W269,$W269)&gt;1),"Ticket duplicado | ","")&amp;IF(AND($G269&lt;&gt;"",IFERROR(INDEX('MAESTRO DE UNIDADES'!$L$2:$L$208,MATCH($G269,'MAESTRO DE UNIDADES'!$A$2:$A$208,0)),"")="Inactivo"),"Unidad inactiva | ","")&amp;IF(AND($AA269&lt;&gt;"",$N269=""),"Carga de batán sin litros | ","")&amp;IF(AND($AA269&lt;&gt;"",$AC269&lt;0),"Supera saldo batán | ","")))-3)))</f>
        <v/>
      </c>
      <c r="Z269" s="8" t="str">
        <f t="shared" si="35"/>
        <v/>
      </c>
      <c r="AA269" s="4"/>
      <c r="AB269" s="26" t="str">
        <f>IF($AA269="","",IFERROR(INDEX('CONTROL DE BATAN'!$J$2:$J$301,MATCH($AA269,'CONTROL DE BATAN'!$A$2:$A$301,0)),""))</f>
        <v/>
      </c>
      <c r="AC269" s="28" t="str">
        <f>IF($AA269="","",IFERROR(INDEX('CONTROL DE BATAN'!$I$2:$I$301,MATCH($AA269,'CONTROL DE BATAN'!$A$2:$A$301,0)),0)-SUMIFS($N$2:$N269,$AA$2:$AA269,$AA269))</f>
        <v/>
      </c>
    </row>
    <row r="270" spans="1:29" x14ac:dyDescent="0.25">
      <c r="A270" s="8" t="str">
        <f t="shared" si="29"/>
        <v/>
      </c>
      <c r="B270" s="9"/>
      <c r="C270" s="8" t="str">
        <f t="shared" si="30"/>
        <v/>
      </c>
      <c r="D270" s="10" t="str">
        <f t="shared" si="31"/>
        <v/>
      </c>
      <c r="E270" s="8" t="str">
        <f t="shared" si="32"/>
        <v/>
      </c>
      <c r="F270" s="8" t="str">
        <f>IF($G270="","",IFERROR(INDEX('MAESTRO DE UNIDADES'!$C$2:$C$208,MATCH($G270,'MAESTRO DE UNIDADES'!$A$2:$A$208,0)),""))</f>
        <v/>
      </c>
      <c r="G270" s="4"/>
      <c r="H270" s="8" t="str">
        <f>IF($G270="","",IFERROR(INDEX('MAESTRO DE UNIDADES'!$F$2:$F$208,MATCH($G270,'MAESTRO DE UNIDADES'!$A$2:$A$208,0)),""))</f>
        <v/>
      </c>
      <c r="I270" s="8" t="str">
        <f>IF($G270="","",IFERROR(INDEX('MAESTRO DE UNIDADES'!$B$2:$B$208,MATCH($G270,'MAESTRO DE UNIDADES'!$A$2:$A$208,0)),""))</f>
        <v/>
      </c>
      <c r="J270" s="4"/>
      <c r="K270" s="4"/>
      <c r="L270" s="4"/>
      <c r="M270" s="8" t="str">
        <f>IF($G270="","",IFERROR(INDEX('MAESTRO DE UNIDADES'!$H$2:$H$208,MATCH($G270,'MAESTRO DE UNIDADES'!$A$2:$A$208,0)),""))</f>
        <v/>
      </c>
      <c r="N270" s="25"/>
      <c r="O270" s="25"/>
      <c r="P270" s="26" t="str">
        <f t="shared" si="33"/>
        <v/>
      </c>
      <c r="Q270" s="27"/>
      <c r="R270" s="27"/>
      <c r="S270" s="28" t="str">
        <f>IF(OR($G270="",$Q270="",COUNTIF($G$2:G269,$G270)=0),"",$Q270-LOOKUP(2,1/($G$2:G269=$G270),$Q$2:Q269))</f>
        <v/>
      </c>
      <c r="T270" s="28" t="str">
        <f>IF(OR($G270="",$R270="",COUNTIF($G$2:G269,$G270)=0),"",$R270-LOOKUP(2,1/($G$2:G269=$G270),$R$2:R269))</f>
        <v/>
      </c>
      <c r="U270" s="11" t="str">
        <f t="shared" si="34"/>
        <v/>
      </c>
      <c r="V270" s="4"/>
      <c r="W270" s="4"/>
      <c r="X270" s="55"/>
      <c r="Y270" s="56" t="str">
        <f>IF($B270="","",IF((IF($G270="","Sin unidad | ","")&amp;IF($J270="","Sin responsable | ","")&amp;IF($K270="","Sin obra | ","")&amp;IF(AND($N270&lt;&gt;"",$G270&lt;&gt;"",$N270&gt;IFERROR(INDEX('MAESTRO DE UNIDADES'!$I$2:$I$208,MATCH($G270,'MAESTRO DE UNIDADES'!$A$2:$A$208,0)),0)),"Litros &gt; tanque | ","")&amp;IF(AND($W270&lt;&gt;"",COUNTIF($W$2:$W270,$W270)&gt;1),"Ticket duplicado | ","")&amp;IF(AND($G270&lt;&gt;"",IFERROR(INDEX('MAESTRO DE UNIDADES'!$L$2:$L$208,MATCH($G270,'MAESTRO DE UNIDADES'!$A$2:$A$208,0)),"")="Inactivo"),"Unidad inactiva | ","")&amp;IF(AND($AA270&lt;&gt;"",$N270=""),"Carga de batán sin litros | ","")&amp;IF(AND($AA270&lt;&gt;"",$AC270&lt;0),"Supera saldo batán | ",""))="","OK",LEFT((IF($G270="","Sin unidad | ","")&amp;IF($J270="","Sin responsable | ","")&amp;IF($K270="","Sin obra | ","")&amp;IF(AND($N270&lt;&gt;"",$G270&lt;&gt;"",$N270&gt;IFERROR(INDEX('MAESTRO DE UNIDADES'!$I$2:$I$208,MATCH($G270,'MAESTRO DE UNIDADES'!$A$2:$A$208,0)),0)),"Litros &gt; tanque | ","")&amp;IF(AND($W270&lt;&gt;"",COUNTIF($W$2:$W270,$W270)&gt;1),"Ticket duplicado | ","")&amp;IF(AND($G270&lt;&gt;"",IFERROR(INDEX('MAESTRO DE UNIDADES'!$L$2:$L$208,MATCH($G270,'MAESTRO DE UNIDADES'!$A$2:$A$208,0)),"")="Inactivo"),"Unidad inactiva | ","")&amp;IF(AND($AA270&lt;&gt;"",$N270=""),"Carga de batán sin litros | ","")&amp;IF(AND($AA270&lt;&gt;"",$AC270&lt;0),"Supera saldo batán | ","")),LEN((IF($G270="","Sin unidad | ","")&amp;IF($J270="","Sin responsable | ","")&amp;IF($K270="","Sin obra | ","")&amp;IF(AND($N270&lt;&gt;"",$G270&lt;&gt;"",$N270&gt;IFERROR(INDEX('MAESTRO DE UNIDADES'!$I$2:$I$208,MATCH($G270,'MAESTRO DE UNIDADES'!$A$2:$A$208,0)),0)),"Litros &gt; tanque | ","")&amp;IF(AND($W270&lt;&gt;"",COUNTIF($W$2:$W270,$W270)&gt;1),"Ticket duplicado | ","")&amp;IF(AND($G270&lt;&gt;"",IFERROR(INDEX('MAESTRO DE UNIDADES'!$L$2:$L$208,MATCH($G270,'MAESTRO DE UNIDADES'!$A$2:$A$208,0)),"")="Inactivo"),"Unidad inactiva | ","")&amp;IF(AND($AA270&lt;&gt;"",$N270=""),"Carga de batán sin litros | ","")&amp;IF(AND($AA270&lt;&gt;"",$AC270&lt;0),"Supera saldo batán | ","")))-3)))</f>
        <v/>
      </c>
      <c r="Z270" s="8" t="str">
        <f t="shared" si="35"/>
        <v/>
      </c>
      <c r="AA270" s="4"/>
      <c r="AB270" s="26" t="str">
        <f>IF($AA270="","",IFERROR(INDEX('CONTROL DE BATAN'!$J$2:$J$301,MATCH($AA270,'CONTROL DE BATAN'!$A$2:$A$301,0)),""))</f>
        <v/>
      </c>
      <c r="AC270" s="28" t="str">
        <f>IF($AA270="","",IFERROR(INDEX('CONTROL DE BATAN'!$I$2:$I$301,MATCH($AA270,'CONTROL DE BATAN'!$A$2:$A$301,0)),0)-SUMIFS($N$2:$N270,$AA$2:$AA270,$AA270))</f>
        <v/>
      </c>
    </row>
    <row r="271" spans="1:29" x14ac:dyDescent="0.25">
      <c r="A271" s="8" t="str">
        <f t="shared" si="29"/>
        <v/>
      </c>
      <c r="B271" s="9"/>
      <c r="C271" s="8" t="str">
        <f t="shared" si="30"/>
        <v/>
      </c>
      <c r="D271" s="10" t="str">
        <f t="shared" si="31"/>
        <v/>
      </c>
      <c r="E271" s="8" t="str">
        <f t="shared" si="32"/>
        <v/>
      </c>
      <c r="F271" s="8" t="str">
        <f>IF($G271="","",IFERROR(INDEX('MAESTRO DE UNIDADES'!$C$2:$C$208,MATCH($G271,'MAESTRO DE UNIDADES'!$A$2:$A$208,0)),""))</f>
        <v/>
      </c>
      <c r="G271" s="4"/>
      <c r="H271" s="8" t="str">
        <f>IF($G271="","",IFERROR(INDEX('MAESTRO DE UNIDADES'!$F$2:$F$208,MATCH($G271,'MAESTRO DE UNIDADES'!$A$2:$A$208,0)),""))</f>
        <v/>
      </c>
      <c r="I271" s="8" t="str">
        <f>IF($G271="","",IFERROR(INDEX('MAESTRO DE UNIDADES'!$B$2:$B$208,MATCH($G271,'MAESTRO DE UNIDADES'!$A$2:$A$208,0)),""))</f>
        <v/>
      </c>
      <c r="J271" s="4"/>
      <c r="K271" s="4"/>
      <c r="L271" s="4"/>
      <c r="M271" s="8" t="str">
        <f>IF($G271="","",IFERROR(INDEX('MAESTRO DE UNIDADES'!$H$2:$H$208,MATCH($G271,'MAESTRO DE UNIDADES'!$A$2:$A$208,0)),""))</f>
        <v/>
      </c>
      <c r="N271" s="25"/>
      <c r="O271" s="25"/>
      <c r="P271" s="26" t="str">
        <f t="shared" si="33"/>
        <v/>
      </c>
      <c r="Q271" s="27"/>
      <c r="R271" s="27"/>
      <c r="S271" s="28" t="str">
        <f>IF(OR($G271="",$Q271="",COUNTIF($G$2:G270,$G271)=0),"",$Q271-LOOKUP(2,1/($G$2:G270=$G271),$Q$2:Q270))</f>
        <v/>
      </c>
      <c r="T271" s="28" t="str">
        <f>IF(OR($G271="",$R271="",COUNTIF($G$2:G270,$G271)=0),"",$R271-LOOKUP(2,1/($G$2:G270=$G271),$R$2:R270))</f>
        <v/>
      </c>
      <c r="U271" s="11" t="str">
        <f t="shared" si="34"/>
        <v/>
      </c>
      <c r="V271" s="4"/>
      <c r="W271" s="4"/>
      <c r="X271" s="55"/>
      <c r="Y271" s="56" t="str">
        <f>IF($B271="","",IF((IF($G271="","Sin unidad | ","")&amp;IF($J271="","Sin responsable | ","")&amp;IF($K271="","Sin obra | ","")&amp;IF(AND($N271&lt;&gt;"",$G271&lt;&gt;"",$N271&gt;IFERROR(INDEX('MAESTRO DE UNIDADES'!$I$2:$I$208,MATCH($G271,'MAESTRO DE UNIDADES'!$A$2:$A$208,0)),0)),"Litros &gt; tanque | ","")&amp;IF(AND($W271&lt;&gt;"",COUNTIF($W$2:$W271,$W271)&gt;1),"Ticket duplicado | ","")&amp;IF(AND($G271&lt;&gt;"",IFERROR(INDEX('MAESTRO DE UNIDADES'!$L$2:$L$208,MATCH($G271,'MAESTRO DE UNIDADES'!$A$2:$A$208,0)),"")="Inactivo"),"Unidad inactiva | ","")&amp;IF(AND($AA271&lt;&gt;"",$N271=""),"Carga de batán sin litros | ","")&amp;IF(AND($AA271&lt;&gt;"",$AC271&lt;0),"Supera saldo batán | ",""))="","OK",LEFT((IF($G271="","Sin unidad | ","")&amp;IF($J271="","Sin responsable | ","")&amp;IF($K271="","Sin obra | ","")&amp;IF(AND($N271&lt;&gt;"",$G271&lt;&gt;"",$N271&gt;IFERROR(INDEX('MAESTRO DE UNIDADES'!$I$2:$I$208,MATCH($G271,'MAESTRO DE UNIDADES'!$A$2:$A$208,0)),0)),"Litros &gt; tanque | ","")&amp;IF(AND($W271&lt;&gt;"",COUNTIF($W$2:$W271,$W271)&gt;1),"Ticket duplicado | ","")&amp;IF(AND($G271&lt;&gt;"",IFERROR(INDEX('MAESTRO DE UNIDADES'!$L$2:$L$208,MATCH($G271,'MAESTRO DE UNIDADES'!$A$2:$A$208,0)),"")="Inactivo"),"Unidad inactiva | ","")&amp;IF(AND($AA271&lt;&gt;"",$N271=""),"Carga de batán sin litros | ","")&amp;IF(AND($AA271&lt;&gt;"",$AC271&lt;0),"Supera saldo batán | ","")),LEN((IF($G271="","Sin unidad | ","")&amp;IF($J271="","Sin responsable | ","")&amp;IF($K271="","Sin obra | ","")&amp;IF(AND($N271&lt;&gt;"",$G271&lt;&gt;"",$N271&gt;IFERROR(INDEX('MAESTRO DE UNIDADES'!$I$2:$I$208,MATCH($G271,'MAESTRO DE UNIDADES'!$A$2:$A$208,0)),0)),"Litros &gt; tanque | ","")&amp;IF(AND($W271&lt;&gt;"",COUNTIF($W$2:$W271,$W271)&gt;1),"Ticket duplicado | ","")&amp;IF(AND($G271&lt;&gt;"",IFERROR(INDEX('MAESTRO DE UNIDADES'!$L$2:$L$208,MATCH($G271,'MAESTRO DE UNIDADES'!$A$2:$A$208,0)),"")="Inactivo"),"Unidad inactiva | ","")&amp;IF(AND($AA271&lt;&gt;"",$N271=""),"Carga de batán sin litros | ","")&amp;IF(AND($AA271&lt;&gt;"",$AC271&lt;0),"Supera saldo batán | ","")))-3)))</f>
        <v/>
      </c>
      <c r="Z271" s="8" t="str">
        <f t="shared" si="35"/>
        <v/>
      </c>
      <c r="AA271" s="4"/>
      <c r="AB271" s="26" t="str">
        <f>IF($AA271="","",IFERROR(INDEX('CONTROL DE BATAN'!$J$2:$J$301,MATCH($AA271,'CONTROL DE BATAN'!$A$2:$A$301,0)),""))</f>
        <v/>
      </c>
      <c r="AC271" s="28" t="str">
        <f>IF($AA271="","",IFERROR(INDEX('CONTROL DE BATAN'!$I$2:$I$301,MATCH($AA271,'CONTROL DE BATAN'!$A$2:$A$301,0)),0)-SUMIFS($N$2:$N271,$AA$2:$AA271,$AA271))</f>
        <v/>
      </c>
    </row>
    <row r="272" spans="1:29" x14ac:dyDescent="0.25">
      <c r="A272" s="8" t="str">
        <f t="shared" si="29"/>
        <v/>
      </c>
      <c r="B272" s="9"/>
      <c r="C272" s="8" t="str">
        <f t="shared" si="30"/>
        <v/>
      </c>
      <c r="D272" s="10" t="str">
        <f t="shared" si="31"/>
        <v/>
      </c>
      <c r="E272" s="8" t="str">
        <f t="shared" si="32"/>
        <v/>
      </c>
      <c r="F272" s="8" t="str">
        <f>IF($G272="","",IFERROR(INDEX('MAESTRO DE UNIDADES'!$C$2:$C$208,MATCH($G272,'MAESTRO DE UNIDADES'!$A$2:$A$208,0)),""))</f>
        <v/>
      </c>
      <c r="G272" s="4"/>
      <c r="H272" s="8" t="str">
        <f>IF($G272="","",IFERROR(INDEX('MAESTRO DE UNIDADES'!$F$2:$F$208,MATCH($G272,'MAESTRO DE UNIDADES'!$A$2:$A$208,0)),""))</f>
        <v/>
      </c>
      <c r="I272" s="8" t="str">
        <f>IF($G272="","",IFERROR(INDEX('MAESTRO DE UNIDADES'!$B$2:$B$208,MATCH($G272,'MAESTRO DE UNIDADES'!$A$2:$A$208,0)),""))</f>
        <v/>
      </c>
      <c r="J272" s="4"/>
      <c r="K272" s="4"/>
      <c r="L272" s="4"/>
      <c r="M272" s="8" t="str">
        <f>IF($G272="","",IFERROR(INDEX('MAESTRO DE UNIDADES'!$H$2:$H$208,MATCH($G272,'MAESTRO DE UNIDADES'!$A$2:$A$208,0)),""))</f>
        <v/>
      </c>
      <c r="N272" s="25"/>
      <c r="O272" s="25"/>
      <c r="P272" s="26" t="str">
        <f t="shared" si="33"/>
        <v/>
      </c>
      <c r="Q272" s="27"/>
      <c r="R272" s="27"/>
      <c r="S272" s="28" t="str">
        <f>IF(OR($G272="",$Q272="",COUNTIF($G$2:G271,$G272)=0),"",$Q272-LOOKUP(2,1/($G$2:G271=$G272),$Q$2:Q271))</f>
        <v/>
      </c>
      <c r="T272" s="28" t="str">
        <f>IF(OR($G272="",$R272="",COUNTIF($G$2:G271,$G272)=0),"",$R272-LOOKUP(2,1/($G$2:G271=$G272),$R$2:R271))</f>
        <v/>
      </c>
      <c r="U272" s="11" t="str">
        <f t="shared" si="34"/>
        <v/>
      </c>
      <c r="V272" s="4"/>
      <c r="W272" s="4"/>
      <c r="X272" s="55"/>
      <c r="Y272" s="56" t="str">
        <f>IF($B272="","",IF((IF($G272="","Sin unidad | ","")&amp;IF($J272="","Sin responsable | ","")&amp;IF($K272="","Sin obra | ","")&amp;IF(AND($N272&lt;&gt;"",$G272&lt;&gt;"",$N272&gt;IFERROR(INDEX('MAESTRO DE UNIDADES'!$I$2:$I$208,MATCH($G272,'MAESTRO DE UNIDADES'!$A$2:$A$208,0)),0)),"Litros &gt; tanque | ","")&amp;IF(AND($W272&lt;&gt;"",COUNTIF($W$2:$W272,$W272)&gt;1),"Ticket duplicado | ","")&amp;IF(AND($G272&lt;&gt;"",IFERROR(INDEX('MAESTRO DE UNIDADES'!$L$2:$L$208,MATCH($G272,'MAESTRO DE UNIDADES'!$A$2:$A$208,0)),"")="Inactivo"),"Unidad inactiva | ","")&amp;IF(AND($AA272&lt;&gt;"",$N272=""),"Carga de batán sin litros | ","")&amp;IF(AND($AA272&lt;&gt;"",$AC272&lt;0),"Supera saldo batán | ",""))="","OK",LEFT((IF($G272="","Sin unidad | ","")&amp;IF($J272="","Sin responsable | ","")&amp;IF($K272="","Sin obra | ","")&amp;IF(AND($N272&lt;&gt;"",$G272&lt;&gt;"",$N272&gt;IFERROR(INDEX('MAESTRO DE UNIDADES'!$I$2:$I$208,MATCH($G272,'MAESTRO DE UNIDADES'!$A$2:$A$208,0)),0)),"Litros &gt; tanque | ","")&amp;IF(AND($W272&lt;&gt;"",COUNTIF($W$2:$W272,$W272)&gt;1),"Ticket duplicado | ","")&amp;IF(AND($G272&lt;&gt;"",IFERROR(INDEX('MAESTRO DE UNIDADES'!$L$2:$L$208,MATCH($G272,'MAESTRO DE UNIDADES'!$A$2:$A$208,0)),"")="Inactivo"),"Unidad inactiva | ","")&amp;IF(AND($AA272&lt;&gt;"",$N272=""),"Carga de batán sin litros | ","")&amp;IF(AND($AA272&lt;&gt;"",$AC272&lt;0),"Supera saldo batán | ","")),LEN((IF($G272="","Sin unidad | ","")&amp;IF($J272="","Sin responsable | ","")&amp;IF($K272="","Sin obra | ","")&amp;IF(AND($N272&lt;&gt;"",$G272&lt;&gt;"",$N272&gt;IFERROR(INDEX('MAESTRO DE UNIDADES'!$I$2:$I$208,MATCH($G272,'MAESTRO DE UNIDADES'!$A$2:$A$208,0)),0)),"Litros &gt; tanque | ","")&amp;IF(AND($W272&lt;&gt;"",COUNTIF($W$2:$W272,$W272)&gt;1),"Ticket duplicado | ","")&amp;IF(AND($G272&lt;&gt;"",IFERROR(INDEX('MAESTRO DE UNIDADES'!$L$2:$L$208,MATCH($G272,'MAESTRO DE UNIDADES'!$A$2:$A$208,0)),"")="Inactivo"),"Unidad inactiva | ","")&amp;IF(AND($AA272&lt;&gt;"",$N272=""),"Carga de batán sin litros | ","")&amp;IF(AND($AA272&lt;&gt;"",$AC272&lt;0),"Supera saldo batán | ","")))-3)))</f>
        <v/>
      </c>
      <c r="Z272" s="8" t="str">
        <f t="shared" si="35"/>
        <v/>
      </c>
      <c r="AA272" s="4"/>
      <c r="AB272" s="26" t="str">
        <f>IF($AA272="","",IFERROR(INDEX('CONTROL DE BATAN'!$J$2:$J$301,MATCH($AA272,'CONTROL DE BATAN'!$A$2:$A$301,0)),""))</f>
        <v/>
      </c>
      <c r="AC272" s="28" t="str">
        <f>IF($AA272="","",IFERROR(INDEX('CONTROL DE BATAN'!$I$2:$I$301,MATCH($AA272,'CONTROL DE BATAN'!$A$2:$A$301,0)),0)-SUMIFS($N$2:$N272,$AA$2:$AA272,$AA272))</f>
        <v/>
      </c>
    </row>
    <row r="273" spans="1:29" x14ac:dyDescent="0.25">
      <c r="A273" s="8" t="str">
        <f t="shared" si="29"/>
        <v/>
      </c>
      <c r="B273" s="9"/>
      <c r="C273" s="8" t="str">
        <f t="shared" si="30"/>
        <v/>
      </c>
      <c r="D273" s="10" t="str">
        <f t="shared" si="31"/>
        <v/>
      </c>
      <c r="E273" s="8" t="str">
        <f t="shared" si="32"/>
        <v/>
      </c>
      <c r="F273" s="8" t="str">
        <f>IF($G273="","",IFERROR(INDEX('MAESTRO DE UNIDADES'!$C$2:$C$208,MATCH($G273,'MAESTRO DE UNIDADES'!$A$2:$A$208,0)),""))</f>
        <v/>
      </c>
      <c r="G273" s="4"/>
      <c r="H273" s="8" t="str">
        <f>IF($G273="","",IFERROR(INDEX('MAESTRO DE UNIDADES'!$F$2:$F$208,MATCH($G273,'MAESTRO DE UNIDADES'!$A$2:$A$208,0)),""))</f>
        <v/>
      </c>
      <c r="I273" s="8" t="str">
        <f>IF($G273="","",IFERROR(INDEX('MAESTRO DE UNIDADES'!$B$2:$B$208,MATCH($G273,'MAESTRO DE UNIDADES'!$A$2:$A$208,0)),""))</f>
        <v/>
      </c>
      <c r="J273" s="4"/>
      <c r="K273" s="4"/>
      <c r="L273" s="4"/>
      <c r="M273" s="8" t="str">
        <f>IF($G273="","",IFERROR(INDEX('MAESTRO DE UNIDADES'!$H$2:$H$208,MATCH($G273,'MAESTRO DE UNIDADES'!$A$2:$A$208,0)),""))</f>
        <v/>
      </c>
      <c r="N273" s="25"/>
      <c r="O273" s="25"/>
      <c r="P273" s="26" t="str">
        <f t="shared" si="33"/>
        <v/>
      </c>
      <c r="Q273" s="27"/>
      <c r="R273" s="27"/>
      <c r="S273" s="28" t="str">
        <f>IF(OR($G273="",$Q273="",COUNTIF($G$2:G272,$G273)=0),"",$Q273-LOOKUP(2,1/($G$2:G272=$G273),$Q$2:Q272))</f>
        <v/>
      </c>
      <c r="T273" s="28" t="str">
        <f>IF(OR($G273="",$R273="",COUNTIF($G$2:G272,$G273)=0),"",$R273-LOOKUP(2,1/($G$2:G272=$G273),$R$2:R272))</f>
        <v/>
      </c>
      <c r="U273" s="11" t="str">
        <f t="shared" si="34"/>
        <v/>
      </c>
      <c r="V273" s="4"/>
      <c r="W273" s="4"/>
      <c r="X273" s="55"/>
      <c r="Y273" s="56" t="str">
        <f>IF($B273="","",IF((IF($G273="","Sin unidad | ","")&amp;IF($J273="","Sin responsable | ","")&amp;IF($K273="","Sin obra | ","")&amp;IF(AND($N273&lt;&gt;"",$G273&lt;&gt;"",$N273&gt;IFERROR(INDEX('MAESTRO DE UNIDADES'!$I$2:$I$208,MATCH($G273,'MAESTRO DE UNIDADES'!$A$2:$A$208,0)),0)),"Litros &gt; tanque | ","")&amp;IF(AND($W273&lt;&gt;"",COUNTIF($W$2:$W273,$W273)&gt;1),"Ticket duplicado | ","")&amp;IF(AND($G273&lt;&gt;"",IFERROR(INDEX('MAESTRO DE UNIDADES'!$L$2:$L$208,MATCH($G273,'MAESTRO DE UNIDADES'!$A$2:$A$208,0)),"")="Inactivo"),"Unidad inactiva | ","")&amp;IF(AND($AA273&lt;&gt;"",$N273=""),"Carga de batán sin litros | ","")&amp;IF(AND($AA273&lt;&gt;"",$AC273&lt;0),"Supera saldo batán | ",""))="","OK",LEFT((IF($G273="","Sin unidad | ","")&amp;IF($J273="","Sin responsable | ","")&amp;IF($K273="","Sin obra | ","")&amp;IF(AND($N273&lt;&gt;"",$G273&lt;&gt;"",$N273&gt;IFERROR(INDEX('MAESTRO DE UNIDADES'!$I$2:$I$208,MATCH($G273,'MAESTRO DE UNIDADES'!$A$2:$A$208,0)),0)),"Litros &gt; tanque | ","")&amp;IF(AND($W273&lt;&gt;"",COUNTIF($W$2:$W273,$W273)&gt;1),"Ticket duplicado | ","")&amp;IF(AND($G273&lt;&gt;"",IFERROR(INDEX('MAESTRO DE UNIDADES'!$L$2:$L$208,MATCH($G273,'MAESTRO DE UNIDADES'!$A$2:$A$208,0)),"")="Inactivo"),"Unidad inactiva | ","")&amp;IF(AND($AA273&lt;&gt;"",$N273=""),"Carga de batán sin litros | ","")&amp;IF(AND($AA273&lt;&gt;"",$AC273&lt;0),"Supera saldo batán | ","")),LEN((IF($G273="","Sin unidad | ","")&amp;IF($J273="","Sin responsable | ","")&amp;IF($K273="","Sin obra | ","")&amp;IF(AND($N273&lt;&gt;"",$G273&lt;&gt;"",$N273&gt;IFERROR(INDEX('MAESTRO DE UNIDADES'!$I$2:$I$208,MATCH($G273,'MAESTRO DE UNIDADES'!$A$2:$A$208,0)),0)),"Litros &gt; tanque | ","")&amp;IF(AND($W273&lt;&gt;"",COUNTIF($W$2:$W273,$W273)&gt;1),"Ticket duplicado | ","")&amp;IF(AND($G273&lt;&gt;"",IFERROR(INDEX('MAESTRO DE UNIDADES'!$L$2:$L$208,MATCH($G273,'MAESTRO DE UNIDADES'!$A$2:$A$208,0)),"")="Inactivo"),"Unidad inactiva | ","")&amp;IF(AND($AA273&lt;&gt;"",$N273=""),"Carga de batán sin litros | ","")&amp;IF(AND($AA273&lt;&gt;"",$AC273&lt;0),"Supera saldo batán | ","")))-3)))</f>
        <v/>
      </c>
      <c r="Z273" s="8" t="str">
        <f t="shared" si="35"/>
        <v/>
      </c>
      <c r="AA273" s="4"/>
      <c r="AB273" s="26" t="str">
        <f>IF($AA273="","",IFERROR(INDEX('CONTROL DE BATAN'!$J$2:$J$301,MATCH($AA273,'CONTROL DE BATAN'!$A$2:$A$301,0)),""))</f>
        <v/>
      </c>
      <c r="AC273" s="28" t="str">
        <f>IF($AA273="","",IFERROR(INDEX('CONTROL DE BATAN'!$I$2:$I$301,MATCH($AA273,'CONTROL DE BATAN'!$A$2:$A$301,0)),0)-SUMIFS($N$2:$N273,$AA$2:$AA273,$AA273))</f>
        <v/>
      </c>
    </row>
    <row r="274" spans="1:29" x14ac:dyDescent="0.25">
      <c r="A274" s="8" t="str">
        <f t="shared" si="29"/>
        <v/>
      </c>
      <c r="B274" s="9"/>
      <c r="C274" s="8" t="str">
        <f t="shared" si="30"/>
        <v/>
      </c>
      <c r="D274" s="10" t="str">
        <f t="shared" si="31"/>
        <v/>
      </c>
      <c r="E274" s="8" t="str">
        <f t="shared" si="32"/>
        <v/>
      </c>
      <c r="F274" s="8" t="str">
        <f>IF($G274="","",IFERROR(INDEX('MAESTRO DE UNIDADES'!$C$2:$C$208,MATCH($G274,'MAESTRO DE UNIDADES'!$A$2:$A$208,0)),""))</f>
        <v/>
      </c>
      <c r="G274" s="4"/>
      <c r="H274" s="8" t="str">
        <f>IF($G274="","",IFERROR(INDEX('MAESTRO DE UNIDADES'!$F$2:$F$208,MATCH($G274,'MAESTRO DE UNIDADES'!$A$2:$A$208,0)),""))</f>
        <v/>
      </c>
      <c r="I274" s="8" t="str">
        <f>IF($G274="","",IFERROR(INDEX('MAESTRO DE UNIDADES'!$B$2:$B$208,MATCH($G274,'MAESTRO DE UNIDADES'!$A$2:$A$208,0)),""))</f>
        <v/>
      </c>
      <c r="J274" s="4"/>
      <c r="K274" s="4"/>
      <c r="L274" s="4"/>
      <c r="M274" s="8" t="str">
        <f>IF($G274="","",IFERROR(INDEX('MAESTRO DE UNIDADES'!$H$2:$H$208,MATCH($G274,'MAESTRO DE UNIDADES'!$A$2:$A$208,0)),""))</f>
        <v/>
      </c>
      <c r="N274" s="25"/>
      <c r="O274" s="25"/>
      <c r="P274" s="26" t="str">
        <f t="shared" si="33"/>
        <v/>
      </c>
      <c r="Q274" s="27"/>
      <c r="R274" s="27"/>
      <c r="S274" s="28" t="str">
        <f>IF(OR($G274="",$Q274="",COUNTIF($G$2:G273,$G274)=0),"",$Q274-LOOKUP(2,1/($G$2:G273=$G274),$Q$2:Q273))</f>
        <v/>
      </c>
      <c r="T274" s="28" t="str">
        <f>IF(OR($G274="",$R274="",COUNTIF($G$2:G273,$G274)=0),"",$R274-LOOKUP(2,1/($G$2:G273=$G274),$R$2:R273))</f>
        <v/>
      </c>
      <c r="U274" s="11" t="str">
        <f t="shared" si="34"/>
        <v/>
      </c>
      <c r="V274" s="4"/>
      <c r="W274" s="4"/>
      <c r="X274" s="55"/>
      <c r="Y274" s="56" t="str">
        <f>IF($B274="","",IF((IF($G274="","Sin unidad | ","")&amp;IF($J274="","Sin responsable | ","")&amp;IF($K274="","Sin obra | ","")&amp;IF(AND($N274&lt;&gt;"",$G274&lt;&gt;"",$N274&gt;IFERROR(INDEX('MAESTRO DE UNIDADES'!$I$2:$I$208,MATCH($G274,'MAESTRO DE UNIDADES'!$A$2:$A$208,0)),0)),"Litros &gt; tanque | ","")&amp;IF(AND($W274&lt;&gt;"",COUNTIF($W$2:$W274,$W274)&gt;1),"Ticket duplicado | ","")&amp;IF(AND($G274&lt;&gt;"",IFERROR(INDEX('MAESTRO DE UNIDADES'!$L$2:$L$208,MATCH($G274,'MAESTRO DE UNIDADES'!$A$2:$A$208,0)),"")="Inactivo"),"Unidad inactiva | ","")&amp;IF(AND($AA274&lt;&gt;"",$N274=""),"Carga de batán sin litros | ","")&amp;IF(AND($AA274&lt;&gt;"",$AC274&lt;0),"Supera saldo batán | ",""))="","OK",LEFT((IF($G274="","Sin unidad | ","")&amp;IF($J274="","Sin responsable | ","")&amp;IF($K274="","Sin obra | ","")&amp;IF(AND($N274&lt;&gt;"",$G274&lt;&gt;"",$N274&gt;IFERROR(INDEX('MAESTRO DE UNIDADES'!$I$2:$I$208,MATCH($G274,'MAESTRO DE UNIDADES'!$A$2:$A$208,0)),0)),"Litros &gt; tanque | ","")&amp;IF(AND($W274&lt;&gt;"",COUNTIF($W$2:$W274,$W274)&gt;1),"Ticket duplicado | ","")&amp;IF(AND($G274&lt;&gt;"",IFERROR(INDEX('MAESTRO DE UNIDADES'!$L$2:$L$208,MATCH($G274,'MAESTRO DE UNIDADES'!$A$2:$A$208,0)),"")="Inactivo"),"Unidad inactiva | ","")&amp;IF(AND($AA274&lt;&gt;"",$N274=""),"Carga de batán sin litros | ","")&amp;IF(AND($AA274&lt;&gt;"",$AC274&lt;0),"Supera saldo batán | ","")),LEN((IF($G274="","Sin unidad | ","")&amp;IF($J274="","Sin responsable | ","")&amp;IF($K274="","Sin obra | ","")&amp;IF(AND($N274&lt;&gt;"",$G274&lt;&gt;"",$N274&gt;IFERROR(INDEX('MAESTRO DE UNIDADES'!$I$2:$I$208,MATCH($G274,'MAESTRO DE UNIDADES'!$A$2:$A$208,0)),0)),"Litros &gt; tanque | ","")&amp;IF(AND($W274&lt;&gt;"",COUNTIF($W$2:$W274,$W274)&gt;1),"Ticket duplicado | ","")&amp;IF(AND($G274&lt;&gt;"",IFERROR(INDEX('MAESTRO DE UNIDADES'!$L$2:$L$208,MATCH($G274,'MAESTRO DE UNIDADES'!$A$2:$A$208,0)),"")="Inactivo"),"Unidad inactiva | ","")&amp;IF(AND($AA274&lt;&gt;"",$N274=""),"Carga de batán sin litros | ","")&amp;IF(AND($AA274&lt;&gt;"",$AC274&lt;0),"Supera saldo batán | ","")))-3)))</f>
        <v/>
      </c>
      <c r="Z274" s="8" t="str">
        <f t="shared" si="35"/>
        <v/>
      </c>
      <c r="AA274" s="4"/>
      <c r="AB274" s="26" t="str">
        <f>IF($AA274="","",IFERROR(INDEX('CONTROL DE BATAN'!$J$2:$J$301,MATCH($AA274,'CONTROL DE BATAN'!$A$2:$A$301,0)),""))</f>
        <v/>
      </c>
      <c r="AC274" s="28" t="str">
        <f>IF($AA274="","",IFERROR(INDEX('CONTROL DE BATAN'!$I$2:$I$301,MATCH($AA274,'CONTROL DE BATAN'!$A$2:$A$301,0)),0)-SUMIFS($N$2:$N274,$AA$2:$AA274,$AA274))</f>
        <v/>
      </c>
    </row>
    <row r="275" spans="1:29" x14ac:dyDescent="0.25">
      <c r="A275" s="8" t="str">
        <f t="shared" si="29"/>
        <v/>
      </c>
      <c r="B275" s="9"/>
      <c r="C275" s="8" t="str">
        <f t="shared" si="30"/>
        <v/>
      </c>
      <c r="D275" s="10" t="str">
        <f t="shared" si="31"/>
        <v/>
      </c>
      <c r="E275" s="8" t="str">
        <f t="shared" si="32"/>
        <v/>
      </c>
      <c r="F275" s="8" t="str">
        <f>IF($G275="","",IFERROR(INDEX('MAESTRO DE UNIDADES'!$C$2:$C$208,MATCH($G275,'MAESTRO DE UNIDADES'!$A$2:$A$208,0)),""))</f>
        <v/>
      </c>
      <c r="G275" s="4"/>
      <c r="H275" s="8" t="str">
        <f>IF($G275="","",IFERROR(INDEX('MAESTRO DE UNIDADES'!$F$2:$F$208,MATCH($G275,'MAESTRO DE UNIDADES'!$A$2:$A$208,0)),""))</f>
        <v/>
      </c>
      <c r="I275" s="8" t="str">
        <f>IF($G275="","",IFERROR(INDEX('MAESTRO DE UNIDADES'!$B$2:$B$208,MATCH($G275,'MAESTRO DE UNIDADES'!$A$2:$A$208,0)),""))</f>
        <v/>
      </c>
      <c r="J275" s="4"/>
      <c r="K275" s="4"/>
      <c r="L275" s="4"/>
      <c r="M275" s="8" t="str">
        <f>IF($G275="","",IFERROR(INDEX('MAESTRO DE UNIDADES'!$H$2:$H$208,MATCH($G275,'MAESTRO DE UNIDADES'!$A$2:$A$208,0)),""))</f>
        <v/>
      </c>
      <c r="N275" s="25"/>
      <c r="O275" s="25"/>
      <c r="P275" s="26" t="str">
        <f t="shared" si="33"/>
        <v/>
      </c>
      <c r="Q275" s="27"/>
      <c r="R275" s="27"/>
      <c r="S275" s="28" t="str">
        <f>IF(OR($G275="",$Q275="",COUNTIF($G$2:G274,$G275)=0),"",$Q275-LOOKUP(2,1/($G$2:G274=$G275),$Q$2:Q274))</f>
        <v/>
      </c>
      <c r="T275" s="28" t="str">
        <f>IF(OR($G275="",$R275="",COUNTIF($G$2:G274,$G275)=0),"",$R275-LOOKUP(2,1/($G$2:G274=$G275),$R$2:R274))</f>
        <v/>
      </c>
      <c r="U275" s="11" t="str">
        <f t="shared" si="34"/>
        <v/>
      </c>
      <c r="V275" s="4"/>
      <c r="W275" s="4"/>
      <c r="X275" s="55"/>
      <c r="Y275" s="56" t="str">
        <f>IF($B275="","",IF((IF($G275="","Sin unidad | ","")&amp;IF($J275="","Sin responsable | ","")&amp;IF($K275="","Sin obra | ","")&amp;IF(AND($N275&lt;&gt;"",$G275&lt;&gt;"",$N275&gt;IFERROR(INDEX('MAESTRO DE UNIDADES'!$I$2:$I$208,MATCH($G275,'MAESTRO DE UNIDADES'!$A$2:$A$208,0)),0)),"Litros &gt; tanque | ","")&amp;IF(AND($W275&lt;&gt;"",COUNTIF($W$2:$W275,$W275)&gt;1),"Ticket duplicado | ","")&amp;IF(AND($G275&lt;&gt;"",IFERROR(INDEX('MAESTRO DE UNIDADES'!$L$2:$L$208,MATCH($G275,'MAESTRO DE UNIDADES'!$A$2:$A$208,0)),"")="Inactivo"),"Unidad inactiva | ","")&amp;IF(AND($AA275&lt;&gt;"",$N275=""),"Carga de batán sin litros | ","")&amp;IF(AND($AA275&lt;&gt;"",$AC275&lt;0),"Supera saldo batán | ",""))="","OK",LEFT((IF($G275="","Sin unidad | ","")&amp;IF($J275="","Sin responsable | ","")&amp;IF($K275="","Sin obra | ","")&amp;IF(AND($N275&lt;&gt;"",$G275&lt;&gt;"",$N275&gt;IFERROR(INDEX('MAESTRO DE UNIDADES'!$I$2:$I$208,MATCH($G275,'MAESTRO DE UNIDADES'!$A$2:$A$208,0)),0)),"Litros &gt; tanque | ","")&amp;IF(AND($W275&lt;&gt;"",COUNTIF($W$2:$W275,$W275)&gt;1),"Ticket duplicado | ","")&amp;IF(AND($G275&lt;&gt;"",IFERROR(INDEX('MAESTRO DE UNIDADES'!$L$2:$L$208,MATCH($G275,'MAESTRO DE UNIDADES'!$A$2:$A$208,0)),"")="Inactivo"),"Unidad inactiva | ","")&amp;IF(AND($AA275&lt;&gt;"",$N275=""),"Carga de batán sin litros | ","")&amp;IF(AND($AA275&lt;&gt;"",$AC275&lt;0),"Supera saldo batán | ","")),LEN((IF($G275="","Sin unidad | ","")&amp;IF($J275="","Sin responsable | ","")&amp;IF($K275="","Sin obra | ","")&amp;IF(AND($N275&lt;&gt;"",$G275&lt;&gt;"",$N275&gt;IFERROR(INDEX('MAESTRO DE UNIDADES'!$I$2:$I$208,MATCH($G275,'MAESTRO DE UNIDADES'!$A$2:$A$208,0)),0)),"Litros &gt; tanque | ","")&amp;IF(AND($W275&lt;&gt;"",COUNTIF($W$2:$W275,$W275)&gt;1),"Ticket duplicado | ","")&amp;IF(AND($G275&lt;&gt;"",IFERROR(INDEX('MAESTRO DE UNIDADES'!$L$2:$L$208,MATCH($G275,'MAESTRO DE UNIDADES'!$A$2:$A$208,0)),"")="Inactivo"),"Unidad inactiva | ","")&amp;IF(AND($AA275&lt;&gt;"",$N275=""),"Carga de batán sin litros | ","")&amp;IF(AND($AA275&lt;&gt;"",$AC275&lt;0),"Supera saldo batán | ","")))-3)))</f>
        <v/>
      </c>
      <c r="Z275" s="8" t="str">
        <f t="shared" si="35"/>
        <v/>
      </c>
      <c r="AA275" s="4"/>
      <c r="AB275" s="26" t="str">
        <f>IF($AA275="","",IFERROR(INDEX('CONTROL DE BATAN'!$J$2:$J$301,MATCH($AA275,'CONTROL DE BATAN'!$A$2:$A$301,0)),""))</f>
        <v/>
      </c>
      <c r="AC275" s="28" t="str">
        <f>IF($AA275="","",IFERROR(INDEX('CONTROL DE BATAN'!$I$2:$I$301,MATCH($AA275,'CONTROL DE BATAN'!$A$2:$A$301,0)),0)-SUMIFS($N$2:$N275,$AA$2:$AA275,$AA275))</f>
        <v/>
      </c>
    </row>
    <row r="276" spans="1:29" x14ac:dyDescent="0.25">
      <c r="A276" s="8" t="str">
        <f t="shared" si="29"/>
        <v/>
      </c>
      <c r="B276" s="9"/>
      <c r="C276" s="8" t="str">
        <f t="shared" si="30"/>
        <v/>
      </c>
      <c r="D276" s="10" t="str">
        <f t="shared" si="31"/>
        <v/>
      </c>
      <c r="E276" s="8" t="str">
        <f t="shared" si="32"/>
        <v/>
      </c>
      <c r="F276" s="8" t="str">
        <f>IF($G276="","",IFERROR(INDEX('MAESTRO DE UNIDADES'!$C$2:$C$208,MATCH($G276,'MAESTRO DE UNIDADES'!$A$2:$A$208,0)),""))</f>
        <v/>
      </c>
      <c r="G276" s="4"/>
      <c r="H276" s="8" t="str">
        <f>IF($G276="","",IFERROR(INDEX('MAESTRO DE UNIDADES'!$F$2:$F$208,MATCH($G276,'MAESTRO DE UNIDADES'!$A$2:$A$208,0)),""))</f>
        <v/>
      </c>
      <c r="I276" s="8" t="str">
        <f>IF($G276="","",IFERROR(INDEX('MAESTRO DE UNIDADES'!$B$2:$B$208,MATCH($G276,'MAESTRO DE UNIDADES'!$A$2:$A$208,0)),""))</f>
        <v/>
      </c>
      <c r="J276" s="4"/>
      <c r="K276" s="4"/>
      <c r="L276" s="4"/>
      <c r="M276" s="8" t="str">
        <f>IF($G276="","",IFERROR(INDEX('MAESTRO DE UNIDADES'!$H$2:$H$208,MATCH($G276,'MAESTRO DE UNIDADES'!$A$2:$A$208,0)),""))</f>
        <v/>
      </c>
      <c r="N276" s="25"/>
      <c r="O276" s="25"/>
      <c r="P276" s="26" t="str">
        <f t="shared" si="33"/>
        <v/>
      </c>
      <c r="Q276" s="27"/>
      <c r="R276" s="27"/>
      <c r="S276" s="28" t="str">
        <f>IF(OR($G276="",$Q276="",COUNTIF($G$2:G275,$G276)=0),"",$Q276-LOOKUP(2,1/($G$2:G275=$G276),$Q$2:Q275))</f>
        <v/>
      </c>
      <c r="T276" s="28" t="str">
        <f>IF(OR($G276="",$R276="",COUNTIF($G$2:G275,$G276)=0),"",$R276-LOOKUP(2,1/($G$2:G275=$G276),$R$2:R275))</f>
        <v/>
      </c>
      <c r="U276" s="11" t="str">
        <f t="shared" si="34"/>
        <v/>
      </c>
      <c r="V276" s="4"/>
      <c r="W276" s="4"/>
      <c r="X276" s="55"/>
      <c r="Y276" s="56" t="str">
        <f>IF($B276="","",IF((IF($G276="","Sin unidad | ","")&amp;IF($J276="","Sin responsable | ","")&amp;IF($K276="","Sin obra | ","")&amp;IF(AND($N276&lt;&gt;"",$G276&lt;&gt;"",$N276&gt;IFERROR(INDEX('MAESTRO DE UNIDADES'!$I$2:$I$208,MATCH($G276,'MAESTRO DE UNIDADES'!$A$2:$A$208,0)),0)),"Litros &gt; tanque | ","")&amp;IF(AND($W276&lt;&gt;"",COUNTIF($W$2:$W276,$W276)&gt;1),"Ticket duplicado | ","")&amp;IF(AND($G276&lt;&gt;"",IFERROR(INDEX('MAESTRO DE UNIDADES'!$L$2:$L$208,MATCH($G276,'MAESTRO DE UNIDADES'!$A$2:$A$208,0)),"")="Inactivo"),"Unidad inactiva | ","")&amp;IF(AND($AA276&lt;&gt;"",$N276=""),"Carga de batán sin litros | ","")&amp;IF(AND($AA276&lt;&gt;"",$AC276&lt;0),"Supera saldo batán | ",""))="","OK",LEFT((IF($G276="","Sin unidad | ","")&amp;IF($J276="","Sin responsable | ","")&amp;IF($K276="","Sin obra | ","")&amp;IF(AND($N276&lt;&gt;"",$G276&lt;&gt;"",$N276&gt;IFERROR(INDEX('MAESTRO DE UNIDADES'!$I$2:$I$208,MATCH($G276,'MAESTRO DE UNIDADES'!$A$2:$A$208,0)),0)),"Litros &gt; tanque | ","")&amp;IF(AND($W276&lt;&gt;"",COUNTIF($W$2:$W276,$W276)&gt;1),"Ticket duplicado | ","")&amp;IF(AND($G276&lt;&gt;"",IFERROR(INDEX('MAESTRO DE UNIDADES'!$L$2:$L$208,MATCH($G276,'MAESTRO DE UNIDADES'!$A$2:$A$208,0)),"")="Inactivo"),"Unidad inactiva | ","")&amp;IF(AND($AA276&lt;&gt;"",$N276=""),"Carga de batán sin litros | ","")&amp;IF(AND($AA276&lt;&gt;"",$AC276&lt;0),"Supera saldo batán | ","")),LEN((IF($G276="","Sin unidad | ","")&amp;IF($J276="","Sin responsable | ","")&amp;IF($K276="","Sin obra | ","")&amp;IF(AND($N276&lt;&gt;"",$G276&lt;&gt;"",$N276&gt;IFERROR(INDEX('MAESTRO DE UNIDADES'!$I$2:$I$208,MATCH($G276,'MAESTRO DE UNIDADES'!$A$2:$A$208,0)),0)),"Litros &gt; tanque | ","")&amp;IF(AND($W276&lt;&gt;"",COUNTIF($W$2:$W276,$W276)&gt;1),"Ticket duplicado | ","")&amp;IF(AND($G276&lt;&gt;"",IFERROR(INDEX('MAESTRO DE UNIDADES'!$L$2:$L$208,MATCH($G276,'MAESTRO DE UNIDADES'!$A$2:$A$208,0)),"")="Inactivo"),"Unidad inactiva | ","")&amp;IF(AND($AA276&lt;&gt;"",$N276=""),"Carga de batán sin litros | ","")&amp;IF(AND($AA276&lt;&gt;"",$AC276&lt;0),"Supera saldo batán | ","")))-3)))</f>
        <v/>
      </c>
      <c r="Z276" s="8" t="str">
        <f t="shared" si="35"/>
        <v/>
      </c>
      <c r="AA276" s="4"/>
      <c r="AB276" s="26" t="str">
        <f>IF($AA276="","",IFERROR(INDEX('CONTROL DE BATAN'!$J$2:$J$301,MATCH($AA276,'CONTROL DE BATAN'!$A$2:$A$301,0)),""))</f>
        <v/>
      </c>
      <c r="AC276" s="28" t="str">
        <f>IF($AA276="","",IFERROR(INDEX('CONTROL DE BATAN'!$I$2:$I$301,MATCH($AA276,'CONTROL DE BATAN'!$A$2:$A$301,0)),0)-SUMIFS($N$2:$N276,$AA$2:$AA276,$AA276))</f>
        <v/>
      </c>
    </row>
    <row r="277" spans="1:29" x14ac:dyDescent="0.25">
      <c r="A277" s="8" t="str">
        <f t="shared" si="29"/>
        <v/>
      </c>
      <c r="B277" s="9"/>
      <c r="C277" s="8" t="str">
        <f t="shared" si="30"/>
        <v/>
      </c>
      <c r="D277" s="10" t="str">
        <f t="shared" si="31"/>
        <v/>
      </c>
      <c r="E277" s="8" t="str">
        <f t="shared" si="32"/>
        <v/>
      </c>
      <c r="F277" s="8" t="str">
        <f>IF($G277="","",IFERROR(INDEX('MAESTRO DE UNIDADES'!$C$2:$C$208,MATCH($G277,'MAESTRO DE UNIDADES'!$A$2:$A$208,0)),""))</f>
        <v/>
      </c>
      <c r="G277" s="4"/>
      <c r="H277" s="8" t="str">
        <f>IF($G277="","",IFERROR(INDEX('MAESTRO DE UNIDADES'!$F$2:$F$208,MATCH($G277,'MAESTRO DE UNIDADES'!$A$2:$A$208,0)),""))</f>
        <v/>
      </c>
      <c r="I277" s="8" t="str">
        <f>IF($G277="","",IFERROR(INDEX('MAESTRO DE UNIDADES'!$B$2:$B$208,MATCH($G277,'MAESTRO DE UNIDADES'!$A$2:$A$208,0)),""))</f>
        <v/>
      </c>
      <c r="J277" s="4"/>
      <c r="K277" s="4"/>
      <c r="L277" s="4"/>
      <c r="M277" s="8" t="str">
        <f>IF($G277="","",IFERROR(INDEX('MAESTRO DE UNIDADES'!$H$2:$H$208,MATCH($G277,'MAESTRO DE UNIDADES'!$A$2:$A$208,0)),""))</f>
        <v/>
      </c>
      <c r="N277" s="25"/>
      <c r="O277" s="25"/>
      <c r="P277" s="26" t="str">
        <f t="shared" si="33"/>
        <v/>
      </c>
      <c r="Q277" s="27"/>
      <c r="R277" s="27"/>
      <c r="S277" s="28" t="str">
        <f>IF(OR($G277="",$Q277="",COUNTIF($G$2:G276,$G277)=0),"",$Q277-LOOKUP(2,1/($G$2:G276=$G277),$Q$2:Q276))</f>
        <v/>
      </c>
      <c r="T277" s="28" t="str">
        <f>IF(OR($G277="",$R277="",COUNTIF($G$2:G276,$G277)=0),"",$R277-LOOKUP(2,1/($G$2:G276=$G277),$R$2:R276))</f>
        <v/>
      </c>
      <c r="U277" s="11" t="str">
        <f t="shared" si="34"/>
        <v/>
      </c>
      <c r="V277" s="4"/>
      <c r="W277" s="4"/>
      <c r="X277" s="55"/>
      <c r="Y277" s="56" t="str">
        <f>IF($B277="","",IF((IF($G277="","Sin unidad | ","")&amp;IF($J277="","Sin responsable | ","")&amp;IF($K277="","Sin obra | ","")&amp;IF(AND($N277&lt;&gt;"",$G277&lt;&gt;"",$N277&gt;IFERROR(INDEX('MAESTRO DE UNIDADES'!$I$2:$I$208,MATCH($G277,'MAESTRO DE UNIDADES'!$A$2:$A$208,0)),0)),"Litros &gt; tanque | ","")&amp;IF(AND($W277&lt;&gt;"",COUNTIF($W$2:$W277,$W277)&gt;1),"Ticket duplicado | ","")&amp;IF(AND($G277&lt;&gt;"",IFERROR(INDEX('MAESTRO DE UNIDADES'!$L$2:$L$208,MATCH($G277,'MAESTRO DE UNIDADES'!$A$2:$A$208,0)),"")="Inactivo"),"Unidad inactiva | ","")&amp;IF(AND($AA277&lt;&gt;"",$N277=""),"Carga de batán sin litros | ","")&amp;IF(AND($AA277&lt;&gt;"",$AC277&lt;0),"Supera saldo batán | ",""))="","OK",LEFT((IF($G277="","Sin unidad | ","")&amp;IF($J277="","Sin responsable | ","")&amp;IF($K277="","Sin obra | ","")&amp;IF(AND($N277&lt;&gt;"",$G277&lt;&gt;"",$N277&gt;IFERROR(INDEX('MAESTRO DE UNIDADES'!$I$2:$I$208,MATCH($G277,'MAESTRO DE UNIDADES'!$A$2:$A$208,0)),0)),"Litros &gt; tanque | ","")&amp;IF(AND($W277&lt;&gt;"",COUNTIF($W$2:$W277,$W277)&gt;1),"Ticket duplicado | ","")&amp;IF(AND($G277&lt;&gt;"",IFERROR(INDEX('MAESTRO DE UNIDADES'!$L$2:$L$208,MATCH($G277,'MAESTRO DE UNIDADES'!$A$2:$A$208,0)),"")="Inactivo"),"Unidad inactiva | ","")&amp;IF(AND($AA277&lt;&gt;"",$N277=""),"Carga de batán sin litros | ","")&amp;IF(AND($AA277&lt;&gt;"",$AC277&lt;0),"Supera saldo batán | ","")),LEN((IF($G277="","Sin unidad | ","")&amp;IF($J277="","Sin responsable | ","")&amp;IF($K277="","Sin obra | ","")&amp;IF(AND($N277&lt;&gt;"",$G277&lt;&gt;"",$N277&gt;IFERROR(INDEX('MAESTRO DE UNIDADES'!$I$2:$I$208,MATCH($G277,'MAESTRO DE UNIDADES'!$A$2:$A$208,0)),0)),"Litros &gt; tanque | ","")&amp;IF(AND($W277&lt;&gt;"",COUNTIF($W$2:$W277,$W277)&gt;1),"Ticket duplicado | ","")&amp;IF(AND($G277&lt;&gt;"",IFERROR(INDEX('MAESTRO DE UNIDADES'!$L$2:$L$208,MATCH($G277,'MAESTRO DE UNIDADES'!$A$2:$A$208,0)),"")="Inactivo"),"Unidad inactiva | ","")&amp;IF(AND($AA277&lt;&gt;"",$N277=""),"Carga de batán sin litros | ","")&amp;IF(AND($AA277&lt;&gt;"",$AC277&lt;0),"Supera saldo batán | ","")))-3)))</f>
        <v/>
      </c>
      <c r="Z277" s="8" t="str">
        <f t="shared" si="35"/>
        <v/>
      </c>
      <c r="AA277" s="4"/>
      <c r="AB277" s="26" t="str">
        <f>IF($AA277="","",IFERROR(INDEX('CONTROL DE BATAN'!$J$2:$J$301,MATCH($AA277,'CONTROL DE BATAN'!$A$2:$A$301,0)),""))</f>
        <v/>
      </c>
      <c r="AC277" s="28" t="str">
        <f>IF($AA277="","",IFERROR(INDEX('CONTROL DE BATAN'!$I$2:$I$301,MATCH($AA277,'CONTROL DE BATAN'!$A$2:$A$301,0)),0)-SUMIFS($N$2:$N277,$AA$2:$AA277,$AA277))</f>
        <v/>
      </c>
    </row>
    <row r="278" spans="1:29" x14ac:dyDescent="0.25">
      <c r="A278" s="8" t="str">
        <f t="shared" si="29"/>
        <v/>
      </c>
      <c r="B278" s="9"/>
      <c r="C278" s="8" t="str">
        <f t="shared" si="30"/>
        <v/>
      </c>
      <c r="D278" s="10" t="str">
        <f t="shared" si="31"/>
        <v/>
      </c>
      <c r="E278" s="8" t="str">
        <f t="shared" si="32"/>
        <v/>
      </c>
      <c r="F278" s="8" t="str">
        <f>IF($G278="","",IFERROR(INDEX('MAESTRO DE UNIDADES'!$C$2:$C$208,MATCH($G278,'MAESTRO DE UNIDADES'!$A$2:$A$208,0)),""))</f>
        <v/>
      </c>
      <c r="G278" s="4"/>
      <c r="H278" s="8" t="str">
        <f>IF($G278="","",IFERROR(INDEX('MAESTRO DE UNIDADES'!$F$2:$F$208,MATCH($G278,'MAESTRO DE UNIDADES'!$A$2:$A$208,0)),""))</f>
        <v/>
      </c>
      <c r="I278" s="8" t="str">
        <f>IF($G278="","",IFERROR(INDEX('MAESTRO DE UNIDADES'!$B$2:$B$208,MATCH($G278,'MAESTRO DE UNIDADES'!$A$2:$A$208,0)),""))</f>
        <v/>
      </c>
      <c r="J278" s="4"/>
      <c r="K278" s="4"/>
      <c r="L278" s="4"/>
      <c r="M278" s="8" t="str">
        <f>IF($G278="","",IFERROR(INDEX('MAESTRO DE UNIDADES'!$H$2:$H$208,MATCH($G278,'MAESTRO DE UNIDADES'!$A$2:$A$208,0)),""))</f>
        <v/>
      </c>
      <c r="N278" s="25"/>
      <c r="O278" s="25"/>
      <c r="P278" s="26" t="str">
        <f t="shared" si="33"/>
        <v/>
      </c>
      <c r="Q278" s="27"/>
      <c r="R278" s="27"/>
      <c r="S278" s="28" t="str">
        <f>IF(OR($G278="",$Q278="",COUNTIF($G$2:G277,$G278)=0),"",$Q278-LOOKUP(2,1/($G$2:G277=$G278),$Q$2:Q277))</f>
        <v/>
      </c>
      <c r="T278" s="28" t="str">
        <f>IF(OR($G278="",$R278="",COUNTIF($G$2:G277,$G278)=0),"",$R278-LOOKUP(2,1/($G$2:G277=$G278),$R$2:R277))</f>
        <v/>
      </c>
      <c r="U278" s="11" t="str">
        <f t="shared" si="34"/>
        <v/>
      </c>
      <c r="V278" s="4"/>
      <c r="W278" s="4"/>
      <c r="X278" s="55"/>
      <c r="Y278" s="56" t="str">
        <f>IF($B278="","",IF((IF($G278="","Sin unidad | ","")&amp;IF($J278="","Sin responsable | ","")&amp;IF($K278="","Sin obra | ","")&amp;IF(AND($N278&lt;&gt;"",$G278&lt;&gt;"",$N278&gt;IFERROR(INDEX('MAESTRO DE UNIDADES'!$I$2:$I$208,MATCH($G278,'MAESTRO DE UNIDADES'!$A$2:$A$208,0)),0)),"Litros &gt; tanque | ","")&amp;IF(AND($W278&lt;&gt;"",COUNTIF($W$2:$W278,$W278)&gt;1),"Ticket duplicado | ","")&amp;IF(AND($G278&lt;&gt;"",IFERROR(INDEX('MAESTRO DE UNIDADES'!$L$2:$L$208,MATCH($G278,'MAESTRO DE UNIDADES'!$A$2:$A$208,0)),"")="Inactivo"),"Unidad inactiva | ","")&amp;IF(AND($AA278&lt;&gt;"",$N278=""),"Carga de batán sin litros | ","")&amp;IF(AND($AA278&lt;&gt;"",$AC278&lt;0),"Supera saldo batán | ",""))="","OK",LEFT((IF($G278="","Sin unidad | ","")&amp;IF($J278="","Sin responsable | ","")&amp;IF($K278="","Sin obra | ","")&amp;IF(AND($N278&lt;&gt;"",$G278&lt;&gt;"",$N278&gt;IFERROR(INDEX('MAESTRO DE UNIDADES'!$I$2:$I$208,MATCH($G278,'MAESTRO DE UNIDADES'!$A$2:$A$208,0)),0)),"Litros &gt; tanque | ","")&amp;IF(AND($W278&lt;&gt;"",COUNTIF($W$2:$W278,$W278)&gt;1),"Ticket duplicado | ","")&amp;IF(AND($G278&lt;&gt;"",IFERROR(INDEX('MAESTRO DE UNIDADES'!$L$2:$L$208,MATCH($G278,'MAESTRO DE UNIDADES'!$A$2:$A$208,0)),"")="Inactivo"),"Unidad inactiva | ","")&amp;IF(AND($AA278&lt;&gt;"",$N278=""),"Carga de batán sin litros | ","")&amp;IF(AND($AA278&lt;&gt;"",$AC278&lt;0),"Supera saldo batán | ","")),LEN((IF($G278="","Sin unidad | ","")&amp;IF($J278="","Sin responsable | ","")&amp;IF($K278="","Sin obra | ","")&amp;IF(AND($N278&lt;&gt;"",$G278&lt;&gt;"",$N278&gt;IFERROR(INDEX('MAESTRO DE UNIDADES'!$I$2:$I$208,MATCH($G278,'MAESTRO DE UNIDADES'!$A$2:$A$208,0)),0)),"Litros &gt; tanque | ","")&amp;IF(AND($W278&lt;&gt;"",COUNTIF($W$2:$W278,$W278)&gt;1),"Ticket duplicado | ","")&amp;IF(AND($G278&lt;&gt;"",IFERROR(INDEX('MAESTRO DE UNIDADES'!$L$2:$L$208,MATCH($G278,'MAESTRO DE UNIDADES'!$A$2:$A$208,0)),"")="Inactivo"),"Unidad inactiva | ","")&amp;IF(AND($AA278&lt;&gt;"",$N278=""),"Carga de batán sin litros | ","")&amp;IF(AND($AA278&lt;&gt;"",$AC278&lt;0),"Supera saldo batán | ","")))-3)))</f>
        <v/>
      </c>
      <c r="Z278" s="8" t="str">
        <f t="shared" si="35"/>
        <v/>
      </c>
      <c r="AA278" s="4"/>
      <c r="AB278" s="26" t="str">
        <f>IF($AA278="","",IFERROR(INDEX('CONTROL DE BATAN'!$J$2:$J$301,MATCH($AA278,'CONTROL DE BATAN'!$A$2:$A$301,0)),""))</f>
        <v/>
      </c>
      <c r="AC278" s="28" t="str">
        <f>IF($AA278="","",IFERROR(INDEX('CONTROL DE BATAN'!$I$2:$I$301,MATCH($AA278,'CONTROL DE BATAN'!$A$2:$A$301,0)),0)-SUMIFS($N$2:$N278,$AA$2:$AA278,$AA278))</f>
        <v/>
      </c>
    </row>
    <row r="279" spans="1:29" x14ac:dyDescent="0.25">
      <c r="A279" s="8" t="str">
        <f t="shared" si="29"/>
        <v/>
      </c>
      <c r="B279" s="9"/>
      <c r="C279" s="8" t="str">
        <f t="shared" si="30"/>
        <v/>
      </c>
      <c r="D279" s="10" t="str">
        <f t="shared" si="31"/>
        <v/>
      </c>
      <c r="E279" s="8" t="str">
        <f t="shared" si="32"/>
        <v/>
      </c>
      <c r="F279" s="8" t="str">
        <f>IF($G279="","",IFERROR(INDEX('MAESTRO DE UNIDADES'!$C$2:$C$208,MATCH($G279,'MAESTRO DE UNIDADES'!$A$2:$A$208,0)),""))</f>
        <v/>
      </c>
      <c r="G279" s="4"/>
      <c r="H279" s="8" t="str">
        <f>IF($G279="","",IFERROR(INDEX('MAESTRO DE UNIDADES'!$F$2:$F$208,MATCH($G279,'MAESTRO DE UNIDADES'!$A$2:$A$208,0)),""))</f>
        <v/>
      </c>
      <c r="I279" s="8" t="str">
        <f>IF($G279="","",IFERROR(INDEX('MAESTRO DE UNIDADES'!$B$2:$B$208,MATCH($G279,'MAESTRO DE UNIDADES'!$A$2:$A$208,0)),""))</f>
        <v/>
      </c>
      <c r="J279" s="4"/>
      <c r="K279" s="4"/>
      <c r="L279" s="4"/>
      <c r="M279" s="8" t="str">
        <f>IF($G279="","",IFERROR(INDEX('MAESTRO DE UNIDADES'!$H$2:$H$208,MATCH($G279,'MAESTRO DE UNIDADES'!$A$2:$A$208,0)),""))</f>
        <v/>
      </c>
      <c r="N279" s="25"/>
      <c r="O279" s="25"/>
      <c r="P279" s="26" t="str">
        <f t="shared" si="33"/>
        <v/>
      </c>
      <c r="Q279" s="27"/>
      <c r="R279" s="27"/>
      <c r="S279" s="28" t="str">
        <f>IF(OR($G279="",$Q279="",COUNTIF($G$2:G278,$G279)=0),"",$Q279-LOOKUP(2,1/($G$2:G278=$G279),$Q$2:Q278))</f>
        <v/>
      </c>
      <c r="T279" s="28" t="str">
        <f>IF(OR($G279="",$R279="",COUNTIF($G$2:G278,$G279)=0),"",$R279-LOOKUP(2,1/($G$2:G278=$G279),$R$2:R278))</f>
        <v/>
      </c>
      <c r="U279" s="11" t="str">
        <f t="shared" si="34"/>
        <v/>
      </c>
      <c r="V279" s="4"/>
      <c r="W279" s="4"/>
      <c r="X279" s="55"/>
      <c r="Y279" s="56" t="str">
        <f>IF($B279="","",IF((IF($G279="","Sin unidad | ","")&amp;IF($J279="","Sin responsable | ","")&amp;IF($K279="","Sin obra | ","")&amp;IF(AND($N279&lt;&gt;"",$G279&lt;&gt;"",$N279&gt;IFERROR(INDEX('MAESTRO DE UNIDADES'!$I$2:$I$208,MATCH($G279,'MAESTRO DE UNIDADES'!$A$2:$A$208,0)),0)),"Litros &gt; tanque | ","")&amp;IF(AND($W279&lt;&gt;"",COUNTIF($W$2:$W279,$W279)&gt;1),"Ticket duplicado | ","")&amp;IF(AND($G279&lt;&gt;"",IFERROR(INDEX('MAESTRO DE UNIDADES'!$L$2:$L$208,MATCH($G279,'MAESTRO DE UNIDADES'!$A$2:$A$208,0)),"")="Inactivo"),"Unidad inactiva | ","")&amp;IF(AND($AA279&lt;&gt;"",$N279=""),"Carga de batán sin litros | ","")&amp;IF(AND($AA279&lt;&gt;"",$AC279&lt;0),"Supera saldo batán | ",""))="","OK",LEFT((IF($G279="","Sin unidad | ","")&amp;IF($J279="","Sin responsable | ","")&amp;IF($K279="","Sin obra | ","")&amp;IF(AND($N279&lt;&gt;"",$G279&lt;&gt;"",$N279&gt;IFERROR(INDEX('MAESTRO DE UNIDADES'!$I$2:$I$208,MATCH($G279,'MAESTRO DE UNIDADES'!$A$2:$A$208,0)),0)),"Litros &gt; tanque | ","")&amp;IF(AND($W279&lt;&gt;"",COUNTIF($W$2:$W279,$W279)&gt;1),"Ticket duplicado | ","")&amp;IF(AND($G279&lt;&gt;"",IFERROR(INDEX('MAESTRO DE UNIDADES'!$L$2:$L$208,MATCH($G279,'MAESTRO DE UNIDADES'!$A$2:$A$208,0)),"")="Inactivo"),"Unidad inactiva | ","")&amp;IF(AND($AA279&lt;&gt;"",$N279=""),"Carga de batán sin litros | ","")&amp;IF(AND($AA279&lt;&gt;"",$AC279&lt;0),"Supera saldo batán | ","")),LEN((IF($G279="","Sin unidad | ","")&amp;IF($J279="","Sin responsable | ","")&amp;IF($K279="","Sin obra | ","")&amp;IF(AND($N279&lt;&gt;"",$G279&lt;&gt;"",$N279&gt;IFERROR(INDEX('MAESTRO DE UNIDADES'!$I$2:$I$208,MATCH($G279,'MAESTRO DE UNIDADES'!$A$2:$A$208,0)),0)),"Litros &gt; tanque | ","")&amp;IF(AND($W279&lt;&gt;"",COUNTIF($W$2:$W279,$W279)&gt;1),"Ticket duplicado | ","")&amp;IF(AND($G279&lt;&gt;"",IFERROR(INDEX('MAESTRO DE UNIDADES'!$L$2:$L$208,MATCH($G279,'MAESTRO DE UNIDADES'!$A$2:$A$208,0)),"")="Inactivo"),"Unidad inactiva | ","")&amp;IF(AND($AA279&lt;&gt;"",$N279=""),"Carga de batán sin litros | ","")&amp;IF(AND($AA279&lt;&gt;"",$AC279&lt;0),"Supera saldo batán | ","")))-3)))</f>
        <v/>
      </c>
      <c r="Z279" s="8" t="str">
        <f t="shared" si="35"/>
        <v/>
      </c>
      <c r="AA279" s="4"/>
      <c r="AB279" s="26" t="str">
        <f>IF($AA279="","",IFERROR(INDEX('CONTROL DE BATAN'!$J$2:$J$301,MATCH($AA279,'CONTROL DE BATAN'!$A$2:$A$301,0)),""))</f>
        <v/>
      </c>
      <c r="AC279" s="28" t="str">
        <f>IF($AA279="","",IFERROR(INDEX('CONTROL DE BATAN'!$I$2:$I$301,MATCH($AA279,'CONTROL DE BATAN'!$A$2:$A$301,0)),0)-SUMIFS($N$2:$N279,$AA$2:$AA279,$AA279))</f>
        <v/>
      </c>
    </row>
    <row r="280" spans="1:29" x14ac:dyDescent="0.25">
      <c r="A280" s="8" t="str">
        <f t="shared" si="29"/>
        <v/>
      </c>
      <c r="B280" s="9"/>
      <c r="C280" s="8" t="str">
        <f t="shared" si="30"/>
        <v/>
      </c>
      <c r="D280" s="10" t="str">
        <f t="shared" si="31"/>
        <v/>
      </c>
      <c r="E280" s="8" t="str">
        <f t="shared" si="32"/>
        <v/>
      </c>
      <c r="F280" s="8" t="str">
        <f>IF($G280="","",IFERROR(INDEX('MAESTRO DE UNIDADES'!$C$2:$C$208,MATCH($G280,'MAESTRO DE UNIDADES'!$A$2:$A$208,0)),""))</f>
        <v/>
      </c>
      <c r="G280" s="4"/>
      <c r="H280" s="8" t="str">
        <f>IF($G280="","",IFERROR(INDEX('MAESTRO DE UNIDADES'!$F$2:$F$208,MATCH($G280,'MAESTRO DE UNIDADES'!$A$2:$A$208,0)),""))</f>
        <v/>
      </c>
      <c r="I280" s="8" t="str">
        <f>IF($G280="","",IFERROR(INDEX('MAESTRO DE UNIDADES'!$B$2:$B$208,MATCH($G280,'MAESTRO DE UNIDADES'!$A$2:$A$208,0)),""))</f>
        <v/>
      </c>
      <c r="J280" s="4"/>
      <c r="K280" s="4"/>
      <c r="L280" s="4"/>
      <c r="M280" s="8" t="str">
        <f>IF($G280="","",IFERROR(INDEX('MAESTRO DE UNIDADES'!$H$2:$H$208,MATCH($G280,'MAESTRO DE UNIDADES'!$A$2:$A$208,0)),""))</f>
        <v/>
      </c>
      <c r="N280" s="25"/>
      <c r="O280" s="25"/>
      <c r="P280" s="26" t="str">
        <f t="shared" si="33"/>
        <v/>
      </c>
      <c r="Q280" s="27"/>
      <c r="R280" s="27"/>
      <c r="S280" s="28" t="str">
        <f>IF(OR($G280="",$Q280="",COUNTIF($G$2:G279,$G280)=0),"",$Q280-LOOKUP(2,1/($G$2:G279=$G280),$Q$2:Q279))</f>
        <v/>
      </c>
      <c r="T280" s="28" t="str">
        <f>IF(OR($G280="",$R280="",COUNTIF($G$2:G279,$G280)=0),"",$R280-LOOKUP(2,1/($G$2:G279=$G280),$R$2:R279))</f>
        <v/>
      </c>
      <c r="U280" s="11" t="str">
        <f t="shared" si="34"/>
        <v/>
      </c>
      <c r="V280" s="4"/>
      <c r="W280" s="4"/>
      <c r="X280" s="55"/>
      <c r="Y280" s="56" t="str">
        <f>IF($B280="","",IF((IF($G280="","Sin unidad | ","")&amp;IF($J280="","Sin responsable | ","")&amp;IF($K280="","Sin obra | ","")&amp;IF(AND($N280&lt;&gt;"",$G280&lt;&gt;"",$N280&gt;IFERROR(INDEX('MAESTRO DE UNIDADES'!$I$2:$I$208,MATCH($G280,'MAESTRO DE UNIDADES'!$A$2:$A$208,0)),0)),"Litros &gt; tanque | ","")&amp;IF(AND($W280&lt;&gt;"",COUNTIF($W$2:$W280,$W280)&gt;1),"Ticket duplicado | ","")&amp;IF(AND($G280&lt;&gt;"",IFERROR(INDEX('MAESTRO DE UNIDADES'!$L$2:$L$208,MATCH($G280,'MAESTRO DE UNIDADES'!$A$2:$A$208,0)),"")="Inactivo"),"Unidad inactiva | ","")&amp;IF(AND($AA280&lt;&gt;"",$N280=""),"Carga de batán sin litros | ","")&amp;IF(AND($AA280&lt;&gt;"",$AC280&lt;0),"Supera saldo batán | ",""))="","OK",LEFT((IF($G280="","Sin unidad | ","")&amp;IF($J280="","Sin responsable | ","")&amp;IF($K280="","Sin obra | ","")&amp;IF(AND($N280&lt;&gt;"",$G280&lt;&gt;"",$N280&gt;IFERROR(INDEX('MAESTRO DE UNIDADES'!$I$2:$I$208,MATCH($G280,'MAESTRO DE UNIDADES'!$A$2:$A$208,0)),0)),"Litros &gt; tanque | ","")&amp;IF(AND($W280&lt;&gt;"",COUNTIF($W$2:$W280,$W280)&gt;1),"Ticket duplicado | ","")&amp;IF(AND($G280&lt;&gt;"",IFERROR(INDEX('MAESTRO DE UNIDADES'!$L$2:$L$208,MATCH($G280,'MAESTRO DE UNIDADES'!$A$2:$A$208,0)),"")="Inactivo"),"Unidad inactiva | ","")&amp;IF(AND($AA280&lt;&gt;"",$N280=""),"Carga de batán sin litros | ","")&amp;IF(AND($AA280&lt;&gt;"",$AC280&lt;0),"Supera saldo batán | ","")),LEN((IF($G280="","Sin unidad | ","")&amp;IF($J280="","Sin responsable | ","")&amp;IF($K280="","Sin obra | ","")&amp;IF(AND($N280&lt;&gt;"",$G280&lt;&gt;"",$N280&gt;IFERROR(INDEX('MAESTRO DE UNIDADES'!$I$2:$I$208,MATCH($G280,'MAESTRO DE UNIDADES'!$A$2:$A$208,0)),0)),"Litros &gt; tanque | ","")&amp;IF(AND($W280&lt;&gt;"",COUNTIF($W$2:$W280,$W280)&gt;1),"Ticket duplicado | ","")&amp;IF(AND($G280&lt;&gt;"",IFERROR(INDEX('MAESTRO DE UNIDADES'!$L$2:$L$208,MATCH($G280,'MAESTRO DE UNIDADES'!$A$2:$A$208,0)),"")="Inactivo"),"Unidad inactiva | ","")&amp;IF(AND($AA280&lt;&gt;"",$N280=""),"Carga de batán sin litros | ","")&amp;IF(AND($AA280&lt;&gt;"",$AC280&lt;0),"Supera saldo batán | ","")))-3)))</f>
        <v/>
      </c>
      <c r="Z280" s="8" t="str">
        <f t="shared" si="35"/>
        <v/>
      </c>
      <c r="AA280" s="4"/>
      <c r="AB280" s="26" t="str">
        <f>IF($AA280="","",IFERROR(INDEX('CONTROL DE BATAN'!$J$2:$J$301,MATCH($AA280,'CONTROL DE BATAN'!$A$2:$A$301,0)),""))</f>
        <v/>
      </c>
      <c r="AC280" s="28" t="str">
        <f>IF($AA280="","",IFERROR(INDEX('CONTROL DE BATAN'!$I$2:$I$301,MATCH($AA280,'CONTROL DE BATAN'!$A$2:$A$301,0)),0)-SUMIFS($N$2:$N280,$AA$2:$AA280,$AA280))</f>
        <v/>
      </c>
    </row>
    <row r="281" spans="1:29" x14ac:dyDescent="0.25">
      <c r="A281" s="8" t="str">
        <f t="shared" si="29"/>
        <v/>
      </c>
      <c r="B281" s="9"/>
      <c r="C281" s="8" t="str">
        <f t="shared" si="30"/>
        <v/>
      </c>
      <c r="D281" s="10" t="str">
        <f t="shared" si="31"/>
        <v/>
      </c>
      <c r="E281" s="8" t="str">
        <f t="shared" si="32"/>
        <v/>
      </c>
      <c r="F281" s="8" t="str">
        <f>IF($G281="","",IFERROR(INDEX('MAESTRO DE UNIDADES'!$C$2:$C$208,MATCH($G281,'MAESTRO DE UNIDADES'!$A$2:$A$208,0)),""))</f>
        <v/>
      </c>
      <c r="G281" s="4"/>
      <c r="H281" s="8" t="str">
        <f>IF($G281="","",IFERROR(INDEX('MAESTRO DE UNIDADES'!$F$2:$F$208,MATCH($G281,'MAESTRO DE UNIDADES'!$A$2:$A$208,0)),""))</f>
        <v/>
      </c>
      <c r="I281" s="8" t="str">
        <f>IF($G281="","",IFERROR(INDEX('MAESTRO DE UNIDADES'!$B$2:$B$208,MATCH($G281,'MAESTRO DE UNIDADES'!$A$2:$A$208,0)),""))</f>
        <v/>
      </c>
      <c r="J281" s="4"/>
      <c r="K281" s="4"/>
      <c r="L281" s="4"/>
      <c r="M281" s="8" t="str">
        <f>IF($G281="","",IFERROR(INDEX('MAESTRO DE UNIDADES'!$H$2:$H$208,MATCH($G281,'MAESTRO DE UNIDADES'!$A$2:$A$208,0)),""))</f>
        <v/>
      </c>
      <c r="N281" s="25"/>
      <c r="O281" s="25"/>
      <c r="P281" s="26" t="str">
        <f t="shared" si="33"/>
        <v/>
      </c>
      <c r="Q281" s="27"/>
      <c r="R281" s="27"/>
      <c r="S281" s="28" t="str">
        <f>IF(OR($G281="",$Q281="",COUNTIF($G$2:G280,$G281)=0),"",$Q281-LOOKUP(2,1/($G$2:G280=$G281),$Q$2:Q280))</f>
        <v/>
      </c>
      <c r="T281" s="28" t="str">
        <f>IF(OR($G281="",$R281="",COUNTIF($G$2:G280,$G281)=0),"",$R281-LOOKUP(2,1/($G$2:G280=$G281),$R$2:R280))</f>
        <v/>
      </c>
      <c r="U281" s="11" t="str">
        <f t="shared" si="34"/>
        <v/>
      </c>
      <c r="V281" s="4"/>
      <c r="W281" s="4"/>
      <c r="X281" s="55"/>
      <c r="Y281" s="56" t="str">
        <f>IF($B281="","",IF((IF($G281="","Sin unidad | ","")&amp;IF($J281="","Sin responsable | ","")&amp;IF($K281="","Sin obra | ","")&amp;IF(AND($N281&lt;&gt;"",$G281&lt;&gt;"",$N281&gt;IFERROR(INDEX('MAESTRO DE UNIDADES'!$I$2:$I$208,MATCH($G281,'MAESTRO DE UNIDADES'!$A$2:$A$208,0)),0)),"Litros &gt; tanque | ","")&amp;IF(AND($W281&lt;&gt;"",COUNTIF($W$2:$W281,$W281)&gt;1),"Ticket duplicado | ","")&amp;IF(AND($G281&lt;&gt;"",IFERROR(INDEX('MAESTRO DE UNIDADES'!$L$2:$L$208,MATCH($G281,'MAESTRO DE UNIDADES'!$A$2:$A$208,0)),"")="Inactivo"),"Unidad inactiva | ","")&amp;IF(AND($AA281&lt;&gt;"",$N281=""),"Carga de batán sin litros | ","")&amp;IF(AND($AA281&lt;&gt;"",$AC281&lt;0),"Supera saldo batán | ",""))="","OK",LEFT((IF($G281="","Sin unidad | ","")&amp;IF($J281="","Sin responsable | ","")&amp;IF($K281="","Sin obra | ","")&amp;IF(AND($N281&lt;&gt;"",$G281&lt;&gt;"",$N281&gt;IFERROR(INDEX('MAESTRO DE UNIDADES'!$I$2:$I$208,MATCH($G281,'MAESTRO DE UNIDADES'!$A$2:$A$208,0)),0)),"Litros &gt; tanque | ","")&amp;IF(AND($W281&lt;&gt;"",COUNTIF($W$2:$W281,$W281)&gt;1),"Ticket duplicado | ","")&amp;IF(AND($G281&lt;&gt;"",IFERROR(INDEX('MAESTRO DE UNIDADES'!$L$2:$L$208,MATCH($G281,'MAESTRO DE UNIDADES'!$A$2:$A$208,0)),"")="Inactivo"),"Unidad inactiva | ","")&amp;IF(AND($AA281&lt;&gt;"",$N281=""),"Carga de batán sin litros | ","")&amp;IF(AND($AA281&lt;&gt;"",$AC281&lt;0),"Supera saldo batán | ","")),LEN((IF($G281="","Sin unidad | ","")&amp;IF($J281="","Sin responsable | ","")&amp;IF($K281="","Sin obra | ","")&amp;IF(AND($N281&lt;&gt;"",$G281&lt;&gt;"",$N281&gt;IFERROR(INDEX('MAESTRO DE UNIDADES'!$I$2:$I$208,MATCH($G281,'MAESTRO DE UNIDADES'!$A$2:$A$208,0)),0)),"Litros &gt; tanque | ","")&amp;IF(AND($W281&lt;&gt;"",COUNTIF($W$2:$W281,$W281)&gt;1),"Ticket duplicado | ","")&amp;IF(AND($G281&lt;&gt;"",IFERROR(INDEX('MAESTRO DE UNIDADES'!$L$2:$L$208,MATCH($G281,'MAESTRO DE UNIDADES'!$A$2:$A$208,0)),"")="Inactivo"),"Unidad inactiva | ","")&amp;IF(AND($AA281&lt;&gt;"",$N281=""),"Carga de batán sin litros | ","")&amp;IF(AND($AA281&lt;&gt;"",$AC281&lt;0),"Supera saldo batán | ","")))-3)))</f>
        <v/>
      </c>
      <c r="Z281" s="8" t="str">
        <f t="shared" si="35"/>
        <v/>
      </c>
      <c r="AA281" s="4"/>
      <c r="AB281" s="26" t="str">
        <f>IF($AA281="","",IFERROR(INDEX('CONTROL DE BATAN'!$J$2:$J$301,MATCH($AA281,'CONTROL DE BATAN'!$A$2:$A$301,0)),""))</f>
        <v/>
      </c>
      <c r="AC281" s="28" t="str">
        <f>IF($AA281="","",IFERROR(INDEX('CONTROL DE BATAN'!$I$2:$I$301,MATCH($AA281,'CONTROL DE BATAN'!$A$2:$A$301,0)),0)-SUMIFS($N$2:$N281,$AA$2:$AA281,$AA281))</f>
        <v/>
      </c>
    </row>
    <row r="282" spans="1:29" x14ac:dyDescent="0.25">
      <c r="A282" s="8" t="str">
        <f t="shared" si="29"/>
        <v/>
      </c>
      <c r="B282" s="9"/>
      <c r="C282" s="8" t="str">
        <f t="shared" si="30"/>
        <v/>
      </c>
      <c r="D282" s="10" t="str">
        <f t="shared" si="31"/>
        <v/>
      </c>
      <c r="E282" s="8" t="str">
        <f t="shared" si="32"/>
        <v/>
      </c>
      <c r="F282" s="8" t="str">
        <f>IF($G282="","",IFERROR(INDEX('MAESTRO DE UNIDADES'!$C$2:$C$208,MATCH($G282,'MAESTRO DE UNIDADES'!$A$2:$A$208,0)),""))</f>
        <v/>
      </c>
      <c r="G282" s="4"/>
      <c r="H282" s="8" t="str">
        <f>IF($G282="","",IFERROR(INDEX('MAESTRO DE UNIDADES'!$F$2:$F$208,MATCH($G282,'MAESTRO DE UNIDADES'!$A$2:$A$208,0)),""))</f>
        <v/>
      </c>
      <c r="I282" s="8" t="str">
        <f>IF($G282="","",IFERROR(INDEX('MAESTRO DE UNIDADES'!$B$2:$B$208,MATCH($G282,'MAESTRO DE UNIDADES'!$A$2:$A$208,0)),""))</f>
        <v/>
      </c>
      <c r="J282" s="4"/>
      <c r="K282" s="4"/>
      <c r="L282" s="4"/>
      <c r="M282" s="8" t="str">
        <f>IF($G282="","",IFERROR(INDEX('MAESTRO DE UNIDADES'!$H$2:$H$208,MATCH($G282,'MAESTRO DE UNIDADES'!$A$2:$A$208,0)),""))</f>
        <v/>
      </c>
      <c r="N282" s="25"/>
      <c r="O282" s="25"/>
      <c r="P282" s="26" t="str">
        <f t="shared" si="33"/>
        <v/>
      </c>
      <c r="Q282" s="27"/>
      <c r="R282" s="27"/>
      <c r="S282" s="28" t="str">
        <f>IF(OR($G282="",$Q282="",COUNTIF($G$2:G281,$G282)=0),"",$Q282-LOOKUP(2,1/($G$2:G281=$G282),$Q$2:Q281))</f>
        <v/>
      </c>
      <c r="T282" s="28" t="str">
        <f>IF(OR($G282="",$R282="",COUNTIF($G$2:G281,$G282)=0),"",$R282-LOOKUP(2,1/($G$2:G281=$G282),$R$2:R281))</f>
        <v/>
      </c>
      <c r="U282" s="11" t="str">
        <f t="shared" si="34"/>
        <v/>
      </c>
      <c r="V282" s="4"/>
      <c r="W282" s="4"/>
      <c r="X282" s="55"/>
      <c r="Y282" s="56" t="str">
        <f>IF($B282="","",IF((IF($G282="","Sin unidad | ","")&amp;IF($J282="","Sin responsable | ","")&amp;IF($K282="","Sin obra | ","")&amp;IF(AND($N282&lt;&gt;"",$G282&lt;&gt;"",$N282&gt;IFERROR(INDEX('MAESTRO DE UNIDADES'!$I$2:$I$208,MATCH($G282,'MAESTRO DE UNIDADES'!$A$2:$A$208,0)),0)),"Litros &gt; tanque | ","")&amp;IF(AND($W282&lt;&gt;"",COUNTIF($W$2:$W282,$W282)&gt;1),"Ticket duplicado | ","")&amp;IF(AND($G282&lt;&gt;"",IFERROR(INDEX('MAESTRO DE UNIDADES'!$L$2:$L$208,MATCH($G282,'MAESTRO DE UNIDADES'!$A$2:$A$208,0)),"")="Inactivo"),"Unidad inactiva | ","")&amp;IF(AND($AA282&lt;&gt;"",$N282=""),"Carga de batán sin litros | ","")&amp;IF(AND($AA282&lt;&gt;"",$AC282&lt;0),"Supera saldo batán | ",""))="","OK",LEFT((IF($G282="","Sin unidad | ","")&amp;IF($J282="","Sin responsable | ","")&amp;IF($K282="","Sin obra | ","")&amp;IF(AND($N282&lt;&gt;"",$G282&lt;&gt;"",$N282&gt;IFERROR(INDEX('MAESTRO DE UNIDADES'!$I$2:$I$208,MATCH($G282,'MAESTRO DE UNIDADES'!$A$2:$A$208,0)),0)),"Litros &gt; tanque | ","")&amp;IF(AND($W282&lt;&gt;"",COUNTIF($W$2:$W282,$W282)&gt;1),"Ticket duplicado | ","")&amp;IF(AND($G282&lt;&gt;"",IFERROR(INDEX('MAESTRO DE UNIDADES'!$L$2:$L$208,MATCH($G282,'MAESTRO DE UNIDADES'!$A$2:$A$208,0)),"")="Inactivo"),"Unidad inactiva | ","")&amp;IF(AND($AA282&lt;&gt;"",$N282=""),"Carga de batán sin litros | ","")&amp;IF(AND($AA282&lt;&gt;"",$AC282&lt;0),"Supera saldo batán | ","")),LEN((IF($G282="","Sin unidad | ","")&amp;IF($J282="","Sin responsable | ","")&amp;IF($K282="","Sin obra | ","")&amp;IF(AND($N282&lt;&gt;"",$G282&lt;&gt;"",$N282&gt;IFERROR(INDEX('MAESTRO DE UNIDADES'!$I$2:$I$208,MATCH($G282,'MAESTRO DE UNIDADES'!$A$2:$A$208,0)),0)),"Litros &gt; tanque | ","")&amp;IF(AND($W282&lt;&gt;"",COUNTIF($W$2:$W282,$W282)&gt;1),"Ticket duplicado | ","")&amp;IF(AND($G282&lt;&gt;"",IFERROR(INDEX('MAESTRO DE UNIDADES'!$L$2:$L$208,MATCH($G282,'MAESTRO DE UNIDADES'!$A$2:$A$208,0)),"")="Inactivo"),"Unidad inactiva | ","")&amp;IF(AND($AA282&lt;&gt;"",$N282=""),"Carga de batán sin litros | ","")&amp;IF(AND($AA282&lt;&gt;"",$AC282&lt;0),"Supera saldo batán | ","")))-3)))</f>
        <v/>
      </c>
      <c r="Z282" s="8" t="str">
        <f t="shared" si="35"/>
        <v/>
      </c>
      <c r="AA282" s="4"/>
      <c r="AB282" s="26" t="str">
        <f>IF($AA282="","",IFERROR(INDEX('CONTROL DE BATAN'!$J$2:$J$301,MATCH($AA282,'CONTROL DE BATAN'!$A$2:$A$301,0)),""))</f>
        <v/>
      </c>
      <c r="AC282" s="28" t="str">
        <f>IF($AA282="","",IFERROR(INDEX('CONTROL DE BATAN'!$I$2:$I$301,MATCH($AA282,'CONTROL DE BATAN'!$A$2:$A$301,0)),0)-SUMIFS($N$2:$N282,$AA$2:$AA282,$AA282))</f>
        <v/>
      </c>
    </row>
    <row r="283" spans="1:29" x14ac:dyDescent="0.25">
      <c r="A283" s="8" t="str">
        <f t="shared" si="29"/>
        <v/>
      </c>
      <c r="B283" s="9"/>
      <c r="C283" s="8" t="str">
        <f t="shared" si="30"/>
        <v/>
      </c>
      <c r="D283" s="10" t="str">
        <f t="shared" si="31"/>
        <v/>
      </c>
      <c r="E283" s="8" t="str">
        <f t="shared" si="32"/>
        <v/>
      </c>
      <c r="F283" s="8" t="str">
        <f>IF($G283="","",IFERROR(INDEX('MAESTRO DE UNIDADES'!$C$2:$C$208,MATCH($G283,'MAESTRO DE UNIDADES'!$A$2:$A$208,0)),""))</f>
        <v/>
      </c>
      <c r="G283" s="4"/>
      <c r="H283" s="8" t="str">
        <f>IF($G283="","",IFERROR(INDEX('MAESTRO DE UNIDADES'!$F$2:$F$208,MATCH($G283,'MAESTRO DE UNIDADES'!$A$2:$A$208,0)),""))</f>
        <v/>
      </c>
      <c r="I283" s="8" t="str">
        <f>IF($G283="","",IFERROR(INDEX('MAESTRO DE UNIDADES'!$B$2:$B$208,MATCH($G283,'MAESTRO DE UNIDADES'!$A$2:$A$208,0)),""))</f>
        <v/>
      </c>
      <c r="J283" s="4"/>
      <c r="K283" s="4"/>
      <c r="L283" s="4"/>
      <c r="M283" s="8" t="str">
        <f>IF($G283="","",IFERROR(INDEX('MAESTRO DE UNIDADES'!$H$2:$H$208,MATCH($G283,'MAESTRO DE UNIDADES'!$A$2:$A$208,0)),""))</f>
        <v/>
      </c>
      <c r="N283" s="25"/>
      <c r="O283" s="25"/>
      <c r="P283" s="26" t="str">
        <f t="shared" si="33"/>
        <v/>
      </c>
      <c r="Q283" s="27"/>
      <c r="R283" s="27"/>
      <c r="S283" s="28" t="str">
        <f>IF(OR($G283="",$Q283="",COUNTIF($G$2:G282,$G283)=0),"",$Q283-LOOKUP(2,1/($G$2:G282=$G283),$Q$2:Q282))</f>
        <v/>
      </c>
      <c r="T283" s="28" t="str">
        <f>IF(OR($G283="",$R283="",COUNTIF($G$2:G282,$G283)=0),"",$R283-LOOKUP(2,1/($G$2:G282=$G283),$R$2:R282))</f>
        <v/>
      </c>
      <c r="U283" s="11" t="str">
        <f t="shared" si="34"/>
        <v/>
      </c>
      <c r="V283" s="4"/>
      <c r="W283" s="4"/>
      <c r="X283" s="55"/>
      <c r="Y283" s="56" t="str">
        <f>IF($B283="","",IF((IF($G283="","Sin unidad | ","")&amp;IF($J283="","Sin responsable | ","")&amp;IF($K283="","Sin obra | ","")&amp;IF(AND($N283&lt;&gt;"",$G283&lt;&gt;"",$N283&gt;IFERROR(INDEX('MAESTRO DE UNIDADES'!$I$2:$I$208,MATCH($G283,'MAESTRO DE UNIDADES'!$A$2:$A$208,0)),0)),"Litros &gt; tanque | ","")&amp;IF(AND($W283&lt;&gt;"",COUNTIF($W$2:$W283,$W283)&gt;1),"Ticket duplicado | ","")&amp;IF(AND($G283&lt;&gt;"",IFERROR(INDEX('MAESTRO DE UNIDADES'!$L$2:$L$208,MATCH($G283,'MAESTRO DE UNIDADES'!$A$2:$A$208,0)),"")="Inactivo"),"Unidad inactiva | ","")&amp;IF(AND($AA283&lt;&gt;"",$N283=""),"Carga de batán sin litros | ","")&amp;IF(AND($AA283&lt;&gt;"",$AC283&lt;0),"Supera saldo batán | ",""))="","OK",LEFT((IF($G283="","Sin unidad | ","")&amp;IF($J283="","Sin responsable | ","")&amp;IF($K283="","Sin obra | ","")&amp;IF(AND($N283&lt;&gt;"",$G283&lt;&gt;"",$N283&gt;IFERROR(INDEX('MAESTRO DE UNIDADES'!$I$2:$I$208,MATCH($G283,'MAESTRO DE UNIDADES'!$A$2:$A$208,0)),0)),"Litros &gt; tanque | ","")&amp;IF(AND($W283&lt;&gt;"",COUNTIF($W$2:$W283,$W283)&gt;1),"Ticket duplicado | ","")&amp;IF(AND($G283&lt;&gt;"",IFERROR(INDEX('MAESTRO DE UNIDADES'!$L$2:$L$208,MATCH($G283,'MAESTRO DE UNIDADES'!$A$2:$A$208,0)),"")="Inactivo"),"Unidad inactiva | ","")&amp;IF(AND($AA283&lt;&gt;"",$N283=""),"Carga de batán sin litros | ","")&amp;IF(AND($AA283&lt;&gt;"",$AC283&lt;0),"Supera saldo batán | ","")),LEN((IF($G283="","Sin unidad | ","")&amp;IF($J283="","Sin responsable | ","")&amp;IF($K283="","Sin obra | ","")&amp;IF(AND($N283&lt;&gt;"",$G283&lt;&gt;"",$N283&gt;IFERROR(INDEX('MAESTRO DE UNIDADES'!$I$2:$I$208,MATCH($G283,'MAESTRO DE UNIDADES'!$A$2:$A$208,0)),0)),"Litros &gt; tanque | ","")&amp;IF(AND($W283&lt;&gt;"",COUNTIF($W$2:$W283,$W283)&gt;1),"Ticket duplicado | ","")&amp;IF(AND($G283&lt;&gt;"",IFERROR(INDEX('MAESTRO DE UNIDADES'!$L$2:$L$208,MATCH($G283,'MAESTRO DE UNIDADES'!$A$2:$A$208,0)),"")="Inactivo"),"Unidad inactiva | ","")&amp;IF(AND($AA283&lt;&gt;"",$N283=""),"Carga de batán sin litros | ","")&amp;IF(AND($AA283&lt;&gt;"",$AC283&lt;0),"Supera saldo batán | ","")))-3)))</f>
        <v/>
      </c>
      <c r="Z283" s="8" t="str">
        <f t="shared" si="35"/>
        <v/>
      </c>
      <c r="AA283" s="4"/>
      <c r="AB283" s="26" t="str">
        <f>IF($AA283="","",IFERROR(INDEX('CONTROL DE BATAN'!$J$2:$J$301,MATCH($AA283,'CONTROL DE BATAN'!$A$2:$A$301,0)),""))</f>
        <v/>
      </c>
      <c r="AC283" s="28" t="str">
        <f>IF($AA283="","",IFERROR(INDEX('CONTROL DE BATAN'!$I$2:$I$301,MATCH($AA283,'CONTROL DE BATAN'!$A$2:$A$301,0)),0)-SUMIFS($N$2:$N283,$AA$2:$AA283,$AA283))</f>
        <v/>
      </c>
    </row>
    <row r="284" spans="1:29" x14ac:dyDescent="0.25">
      <c r="A284" s="8" t="str">
        <f t="shared" si="29"/>
        <v/>
      </c>
      <c r="B284" s="9"/>
      <c r="C284" s="8" t="str">
        <f t="shared" si="30"/>
        <v/>
      </c>
      <c r="D284" s="10" t="str">
        <f t="shared" si="31"/>
        <v/>
      </c>
      <c r="E284" s="8" t="str">
        <f t="shared" si="32"/>
        <v/>
      </c>
      <c r="F284" s="8" t="str">
        <f>IF($G284="","",IFERROR(INDEX('MAESTRO DE UNIDADES'!$C$2:$C$208,MATCH($G284,'MAESTRO DE UNIDADES'!$A$2:$A$208,0)),""))</f>
        <v/>
      </c>
      <c r="G284" s="4"/>
      <c r="H284" s="8" t="str">
        <f>IF($G284="","",IFERROR(INDEX('MAESTRO DE UNIDADES'!$F$2:$F$208,MATCH($G284,'MAESTRO DE UNIDADES'!$A$2:$A$208,0)),""))</f>
        <v/>
      </c>
      <c r="I284" s="8" t="str">
        <f>IF($G284="","",IFERROR(INDEX('MAESTRO DE UNIDADES'!$B$2:$B$208,MATCH($G284,'MAESTRO DE UNIDADES'!$A$2:$A$208,0)),""))</f>
        <v/>
      </c>
      <c r="J284" s="4"/>
      <c r="K284" s="4"/>
      <c r="L284" s="4"/>
      <c r="M284" s="8" t="str">
        <f>IF($G284="","",IFERROR(INDEX('MAESTRO DE UNIDADES'!$H$2:$H$208,MATCH($G284,'MAESTRO DE UNIDADES'!$A$2:$A$208,0)),""))</f>
        <v/>
      </c>
      <c r="N284" s="25"/>
      <c r="O284" s="25"/>
      <c r="P284" s="26" t="str">
        <f t="shared" si="33"/>
        <v/>
      </c>
      <c r="Q284" s="27"/>
      <c r="R284" s="27"/>
      <c r="S284" s="28" t="str">
        <f>IF(OR($G284="",$Q284="",COUNTIF($G$2:G283,$G284)=0),"",$Q284-LOOKUP(2,1/($G$2:G283=$G284),$Q$2:Q283))</f>
        <v/>
      </c>
      <c r="T284" s="28" t="str">
        <f>IF(OR($G284="",$R284="",COUNTIF($G$2:G283,$G284)=0),"",$R284-LOOKUP(2,1/($G$2:G283=$G284),$R$2:R283))</f>
        <v/>
      </c>
      <c r="U284" s="11" t="str">
        <f t="shared" si="34"/>
        <v/>
      </c>
      <c r="V284" s="4"/>
      <c r="W284" s="4"/>
      <c r="X284" s="55"/>
      <c r="Y284" s="56" t="str">
        <f>IF($B284="","",IF((IF($G284="","Sin unidad | ","")&amp;IF($J284="","Sin responsable | ","")&amp;IF($K284="","Sin obra | ","")&amp;IF(AND($N284&lt;&gt;"",$G284&lt;&gt;"",$N284&gt;IFERROR(INDEX('MAESTRO DE UNIDADES'!$I$2:$I$208,MATCH($G284,'MAESTRO DE UNIDADES'!$A$2:$A$208,0)),0)),"Litros &gt; tanque | ","")&amp;IF(AND($W284&lt;&gt;"",COUNTIF($W$2:$W284,$W284)&gt;1),"Ticket duplicado | ","")&amp;IF(AND($G284&lt;&gt;"",IFERROR(INDEX('MAESTRO DE UNIDADES'!$L$2:$L$208,MATCH($G284,'MAESTRO DE UNIDADES'!$A$2:$A$208,0)),"")="Inactivo"),"Unidad inactiva | ","")&amp;IF(AND($AA284&lt;&gt;"",$N284=""),"Carga de batán sin litros | ","")&amp;IF(AND($AA284&lt;&gt;"",$AC284&lt;0),"Supera saldo batán | ",""))="","OK",LEFT((IF($G284="","Sin unidad | ","")&amp;IF($J284="","Sin responsable | ","")&amp;IF($K284="","Sin obra | ","")&amp;IF(AND($N284&lt;&gt;"",$G284&lt;&gt;"",$N284&gt;IFERROR(INDEX('MAESTRO DE UNIDADES'!$I$2:$I$208,MATCH($G284,'MAESTRO DE UNIDADES'!$A$2:$A$208,0)),0)),"Litros &gt; tanque | ","")&amp;IF(AND($W284&lt;&gt;"",COUNTIF($W$2:$W284,$W284)&gt;1),"Ticket duplicado | ","")&amp;IF(AND($G284&lt;&gt;"",IFERROR(INDEX('MAESTRO DE UNIDADES'!$L$2:$L$208,MATCH($G284,'MAESTRO DE UNIDADES'!$A$2:$A$208,0)),"")="Inactivo"),"Unidad inactiva | ","")&amp;IF(AND($AA284&lt;&gt;"",$N284=""),"Carga de batán sin litros | ","")&amp;IF(AND($AA284&lt;&gt;"",$AC284&lt;0),"Supera saldo batán | ","")),LEN((IF($G284="","Sin unidad | ","")&amp;IF($J284="","Sin responsable | ","")&amp;IF($K284="","Sin obra | ","")&amp;IF(AND($N284&lt;&gt;"",$G284&lt;&gt;"",$N284&gt;IFERROR(INDEX('MAESTRO DE UNIDADES'!$I$2:$I$208,MATCH($G284,'MAESTRO DE UNIDADES'!$A$2:$A$208,0)),0)),"Litros &gt; tanque | ","")&amp;IF(AND($W284&lt;&gt;"",COUNTIF($W$2:$W284,$W284)&gt;1),"Ticket duplicado | ","")&amp;IF(AND($G284&lt;&gt;"",IFERROR(INDEX('MAESTRO DE UNIDADES'!$L$2:$L$208,MATCH($G284,'MAESTRO DE UNIDADES'!$A$2:$A$208,0)),"")="Inactivo"),"Unidad inactiva | ","")&amp;IF(AND($AA284&lt;&gt;"",$N284=""),"Carga de batán sin litros | ","")&amp;IF(AND($AA284&lt;&gt;"",$AC284&lt;0),"Supera saldo batán | ","")))-3)))</f>
        <v/>
      </c>
      <c r="Z284" s="8" t="str">
        <f t="shared" si="35"/>
        <v/>
      </c>
      <c r="AA284" s="4"/>
      <c r="AB284" s="26" t="str">
        <f>IF($AA284="","",IFERROR(INDEX('CONTROL DE BATAN'!$J$2:$J$301,MATCH($AA284,'CONTROL DE BATAN'!$A$2:$A$301,0)),""))</f>
        <v/>
      </c>
      <c r="AC284" s="28" t="str">
        <f>IF($AA284="","",IFERROR(INDEX('CONTROL DE BATAN'!$I$2:$I$301,MATCH($AA284,'CONTROL DE BATAN'!$A$2:$A$301,0)),0)-SUMIFS($N$2:$N284,$AA$2:$AA284,$AA284))</f>
        <v/>
      </c>
    </row>
    <row r="285" spans="1:29" x14ac:dyDescent="0.25">
      <c r="A285" s="8" t="str">
        <f t="shared" si="29"/>
        <v/>
      </c>
      <c r="B285" s="9"/>
      <c r="C285" s="8" t="str">
        <f t="shared" si="30"/>
        <v/>
      </c>
      <c r="D285" s="10" t="str">
        <f t="shared" si="31"/>
        <v/>
      </c>
      <c r="E285" s="8" t="str">
        <f t="shared" si="32"/>
        <v/>
      </c>
      <c r="F285" s="8" t="str">
        <f>IF($G285="","",IFERROR(INDEX('MAESTRO DE UNIDADES'!$C$2:$C$208,MATCH($G285,'MAESTRO DE UNIDADES'!$A$2:$A$208,0)),""))</f>
        <v/>
      </c>
      <c r="G285" s="4"/>
      <c r="H285" s="8" t="str">
        <f>IF($G285="","",IFERROR(INDEX('MAESTRO DE UNIDADES'!$F$2:$F$208,MATCH($G285,'MAESTRO DE UNIDADES'!$A$2:$A$208,0)),""))</f>
        <v/>
      </c>
      <c r="I285" s="8" t="str">
        <f>IF($G285="","",IFERROR(INDEX('MAESTRO DE UNIDADES'!$B$2:$B$208,MATCH($G285,'MAESTRO DE UNIDADES'!$A$2:$A$208,0)),""))</f>
        <v/>
      </c>
      <c r="J285" s="4"/>
      <c r="K285" s="4"/>
      <c r="L285" s="4"/>
      <c r="M285" s="8" t="str">
        <f>IF($G285="","",IFERROR(INDEX('MAESTRO DE UNIDADES'!$H$2:$H$208,MATCH($G285,'MAESTRO DE UNIDADES'!$A$2:$A$208,0)),""))</f>
        <v/>
      </c>
      <c r="N285" s="25"/>
      <c r="O285" s="25"/>
      <c r="P285" s="26" t="str">
        <f t="shared" si="33"/>
        <v/>
      </c>
      <c r="Q285" s="27"/>
      <c r="R285" s="27"/>
      <c r="S285" s="28" t="str">
        <f>IF(OR($G285="",$Q285="",COUNTIF($G$2:G284,$G285)=0),"",$Q285-LOOKUP(2,1/($G$2:G284=$G285),$Q$2:Q284))</f>
        <v/>
      </c>
      <c r="T285" s="28" t="str">
        <f>IF(OR($G285="",$R285="",COUNTIF($G$2:G284,$G285)=0),"",$R285-LOOKUP(2,1/($G$2:G284=$G285),$R$2:R284))</f>
        <v/>
      </c>
      <c r="U285" s="11" t="str">
        <f t="shared" si="34"/>
        <v/>
      </c>
      <c r="V285" s="4"/>
      <c r="W285" s="4"/>
      <c r="X285" s="55"/>
      <c r="Y285" s="56" t="str">
        <f>IF($B285="","",IF((IF($G285="","Sin unidad | ","")&amp;IF($J285="","Sin responsable | ","")&amp;IF($K285="","Sin obra | ","")&amp;IF(AND($N285&lt;&gt;"",$G285&lt;&gt;"",$N285&gt;IFERROR(INDEX('MAESTRO DE UNIDADES'!$I$2:$I$208,MATCH($G285,'MAESTRO DE UNIDADES'!$A$2:$A$208,0)),0)),"Litros &gt; tanque | ","")&amp;IF(AND($W285&lt;&gt;"",COUNTIF($W$2:$W285,$W285)&gt;1),"Ticket duplicado | ","")&amp;IF(AND($G285&lt;&gt;"",IFERROR(INDEX('MAESTRO DE UNIDADES'!$L$2:$L$208,MATCH($G285,'MAESTRO DE UNIDADES'!$A$2:$A$208,0)),"")="Inactivo"),"Unidad inactiva | ","")&amp;IF(AND($AA285&lt;&gt;"",$N285=""),"Carga de batán sin litros | ","")&amp;IF(AND($AA285&lt;&gt;"",$AC285&lt;0),"Supera saldo batán | ",""))="","OK",LEFT((IF($G285="","Sin unidad | ","")&amp;IF($J285="","Sin responsable | ","")&amp;IF($K285="","Sin obra | ","")&amp;IF(AND($N285&lt;&gt;"",$G285&lt;&gt;"",$N285&gt;IFERROR(INDEX('MAESTRO DE UNIDADES'!$I$2:$I$208,MATCH($G285,'MAESTRO DE UNIDADES'!$A$2:$A$208,0)),0)),"Litros &gt; tanque | ","")&amp;IF(AND($W285&lt;&gt;"",COUNTIF($W$2:$W285,$W285)&gt;1),"Ticket duplicado | ","")&amp;IF(AND($G285&lt;&gt;"",IFERROR(INDEX('MAESTRO DE UNIDADES'!$L$2:$L$208,MATCH($G285,'MAESTRO DE UNIDADES'!$A$2:$A$208,0)),"")="Inactivo"),"Unidad inactiva | ","")&amp;IF(AND($AA285&lt;&gt;"",$N285=""),"Carga de batán sin litros | ","")&amp;IF(AND($AA285&lt;&gt;"",$AC285&lt;0),"Supera saldo batán | ","")),LEN((IF($G285="","Sin unidad | ","")&amp;IF($J285="","Sin responsable | ","")&amp;IF($K285="","Sin obra | ","")&amp;IF(AND($N285&lt;&gt;"",$G285&lt;&gt;"",$N285&gt;IFERROR(INDEX('MAESTRO DE UNIDADES'!$I$2:$I$208,MATCH($G285,'MAESTRO DE UNIDADES'!$A$2:$A$208,0)),0)),"Litros &gt; tanque | ","")&amp;IF(AND($W285&lt;&gt;"",COUNTIF($W$2:$W285,$W285)&gt;1),"Ticket duplicado | ","")&amp;IF(AND($G285&lt;&gt;"",IFERROR(INDEX('MAESTRO DE UNIDADES'!$L$2:$L$208,MATCH($G285,'MAESTRO DE UNIDADES'!$A$2:$A$208,0)),"")="Inactivo"),"Unidad inactiva | ","")&amp;IF(AND($AA285&lt;&gt;"",$N285=""),"Carga de batán sin litros | ","")&amp;IF(AND($AA285&lt;&gt;"",$AC285&lt;0),"Supera saldo batán | ","")))-3)))</f>
        <v/>
      </c>
      <c r="Z285" s="8" t="str">
        <f t="shared" si="35"/>
        <v/>
      </c>
      <c r="AA285" s="4"/>
      <c r="AB285" s="26" t="str">
        <f>IF($AA285="","",IFERROR(INDEX('CONTROL DE BATAN'!$J$2:$J$301,MATCH($AA285,'CONTROL DE BATAN'!$A$2:$A$301,0)),""))</f>
        <v/>
      </c>
      <c r="AC285" s="28" t="str">
        <f>IF($AA285="","",IFERROR(INDEX('CONTROL DE BATAN'!$I$2:$I$301,MATCH($AA285,'CONTROL DE BATAN'!$A$2:$A$301,0)),0)-SUMIFS($N$2:$N285,$AA$2:$AA285,$AA285))</f>
        <v/>
      </c>
    </row>
    <row r="286" spans="1:29" x14ac:dyDescent="0.25">
      <c r="A286" s="8" t="str">
        <f t="shared" si="29"/>
        <v/>
      </c>
      <c r="B286" s="9"/>
      <c r="C286" s="8" t="str">
        <f t="shared" si="30"/>
        <v/>
      </c>
      <c r="D286" s="10" t="str">
        <f t="shared" si="31"/>
        <v/>
      </c>
      <c r="E286" s="8" t="str">
        <f t="shared" si="32"/>
        <v/>
      </c>
      <c r="F286" s="8" t="str">
        <f>IF($G286="","",IFERROR(INDEX('MAESTRO DE UNIDADES'!$C$2:$C$208,MATCH($G286,'MAESTRO DE UNIDADES'!$A$2:$A$208,0)),""))</f>
        <v/>
      </c>
      <c r="G286" s="4"/>
      <c r="H286" s="8" t="str">
        <f>IF($G286="","",IFERROR(INDEX('MAESTRO DE UNIDADES'!$F$2:$F$208,MATCH($G286,'MAESTRO DE UNIDADES'!$A$2:$A$208,0)),""))</f>
        <v/>
      </c>
      <c r="I286" s="8" t="str">
        <f>IF($G286="","",IFERROR(INDEX('MAESTRO DE UNIDADES'!$B$2:$B$208,MATCH($G286,'MAESTRO DE UNIDADES'!$A$2:$A$208,0)),""))</f>
        <v/>
      </c>
      <c r="J286" s="4"/>
      <c r="K286" s="4"/>
      <c r="L286" s="4"/>
      <c r="M286" s="8" t="str">
        <f>IF($G286="","",IFERROR(INDEX('MAESTRO DE UNIDADES'!$H$2:$H$208,MATCH($G286,'MAESTRO DE UNIDADES'!$A$2:$A$208,0)),""))</f>
        <v/>
      </c>
      <c r="N286" s="25"/>
      <c r="O286" s="25"/>
      <c r="P286" s="26" t="str">
        <f t="shared" si="33"/>
        <v/>
      </c>
      <c r="Q286" s="27"/>
      <c r="R286" s="27"/>
      <c r="S286" s="28" t="str">
        <f>IF(OR($G286="",$Q286="",COUNTIF($G$2:G285,$G286)=0),"",$Q286-LOOKUP(2,1/($G$2:G285=$G286),$Q$2:Q285))</f>
        <v/>
      </c>
      <c r="T286" s="28" t="str">
        <f>IF(OR($G286="",$R286="",COUNTIF($G$2:G285,$G286)=0),"",$R286-LOOKUP(2,1/($G$2:G285=$G286),$R$2:R285))</f>
        <v/>
      </c>
      <c r="U286" s="11" t="str">
        <f t="shared" si="34"/>
        <v/>
      </c>
      <c r="V286" s="4"/>
      <c r="W286" s="4"/>
      <c r="X286" s="55"/>
      <c r="Y286" s="56" t="str">
        <f>IF($B286="","",IF((IF($G286="","Sin unidad | ","")&amp;IF($J286="","Sin responsable | ","")&amp;IF($K286="","Sin obra | ","")&amp;IF(AND($N286&lt;&gt;"",$G286&lt;&gt;"",$N286&gt;IFERROR(INDEX('MAESTRO DE UNIDADES'!$I$2:$I$208,MATCH($G286,'MAESTRO DE UNIDADES'!$A$2:$A$208,0)),0)),"Litros &gt; tanque | ","")&amp;IF(AND($W286&lt;&gt;"",COUNTIF($W$2:$W286,$W286)&gt;1),"Ticket duplicado | ","")&amp;IF(AND($G286&lt;&gt;"",IFERROR(INDEX('MAESTRO DE UNIDADES'!$L$2:$L$208,MATCH($G286,'MAESTRO DE UNIDADES'!$A$2:$A$208,0)),"")="Inactivo"),"Unidad inactiva | ","")&amp;IF(AND($AA286&lt;&gt;"",$N286=""),"Carga de batán sin litros | ","")&amp;IF(AND($AA286&lt;&gt;"",$AC286&lt;0),"Supera saldo batán | ",""))="","OK",LEFT((IF($G286="","Sin unidad | ","")&amp;IF($J286="","Sin responsable | ","")&amp;IF($K286="","Sin obra | ","")&amp;IF(AND($N286&lt;&gt;"",$G286&lt;&gt;"",$N286&gt;IFERROR(INDEX('MAESTRO DE UNIDADES'!$I$2:$I$208,MATCH($G286,'MAESTRO DE UNIDADES'!$A$2:$A$208,0)),0)),"Litros &gt; tanque | ","")&amp;IF(AND($W286&lt;&gt;"",COUNTIF($W$2:$W286,$W286)&gt;1),"Ticket duplicado | ","")&amp;IF(AND($G286&lt;&gt;"",IFERROR(INDEX('MAESTRO DE UNIDADES'!$L$2:$L$208,MATCH($G286,'MAESTRO DE UNIDADES'!$A$2:$A$208,0)),"")="Inactivo"),"Unidad inactiva | ","")&amp;IF(AND($AA286&lt;&gt;"",$N286=""),"Carga de batán sin litros | ","")&amp;IF(AND($AA286&lt;&gt;"",$AC286&lt;0),"Supera saldo batán | ","")),LEN((IF($G286="","Sin unidad | ","")&amp;IF($J286="","Sin responsable | ","")&amp;IF($K286="","Sin obra | ","")&amp;IF(AND($N286&lt;&gt;"",$G286&lt;&gt;"",$N286&gt;IFERROR(INDEX('MAESTRO DE UNIDADES'!$I$2:$I$208,MATCH($G286,'MAESTRO DE UNIDADES'!$A$2:$A$208,0)),0)),"Litros &gt; tanque | ","")&amp;IF(AND($W286&lt;&gt;"",COUNTIF($W$2:$W286,$W286)&gt;1),"Ticket duplicado | ","")&amp;IF(AND($G286&lt;&gt;"",IFERROR(INDEX('MAESTRO DE UNIDADES'!$L$2:$L$208,MATCH($G286,'MAESTRO DE UNIDADES'!$A$2:$A$208,0)),"")="Inactivo"),"Unidad inactiva | ","")&amp;IF(AND($AA286&lt;&gt;"",$N286=""),"Carga de batán sin litros | ","")&amp;IF(AND($AA286&lt;&gt;"",$AC286&lt;0),"Supera saldo batán | ","")))-3)))</f>
        <v/>
      </c>
      <c r="Z286" s="8" t="str">
        <f t="shared" si="35"/>
        <v/>
      </c>
      <c r="AA286" s="4"/>
      <c r="AB286" s="26" t="str">
        <f>IF($AA286="","",IFERROR(INDEX('CONTROL DE BATAN'!$J$2:$J$301,MATCH($AA286,'CONTROL DE BATAN'!$A$2:$A$301,0)),""))</f>
        <v/>
      </c>
      <c r="AC286" s="28" t="str">
        <f>IF($AA286="","",IFERROR(INDEX('CONTROL DE BATAN'!$I$2:$I$301,MATCH($AA286,'CONTROL DE BATAN'!$A$2:$A$301,0)),0)-SUMIFS($N$2:$N286,$AA$2:$AA286,$AA286))</f>
        <v/>
      </c>
    </row>
    <row r="287" spans="1:29" x14ac:dyDescent="0.25">
      <c r="A287" s="8" t="str">
        <f t="shared" si="29"/>
        <v/>
      </c>
      <c r="B287" s="9"/>
      <c r="C287" s="8" t="str">
        <f t="shared" si="30"/>
        <v/>
      </c>
      <c r="D287" s="10" t="str">
        <f t="shared" si="31"/>
        <v/>
      </c>
      <c r="E287" s="8" t="str">
        <f t="shared" si="32"/>
        <v/>
      </c>
      <c r="F287" s="8" t="str">
        <f>IF($G287="","",IFERROR(INDEX('MAESTRO DE UNIDADES'!$C$2:$C$208,MATCH($G287,'MAESTRO DE UNIDADES'!$A$2:$A$208,0)),""))</f>
        <v/>
      </c>
      <c r="G287" s="4"/>
      <c r="H287" s="8" t="str">
        <f>IF($G287="","",IFERROR(INDEX('MAESTRO DE UNIDADES'!$F$2:$F$208,MATCH($G287,'MAESTRO DE UNIDADES'!$A$2:$A$208,0)),""))</f>
        <v/>
      </c>
      <c r="I287" s="8" t="str">
        <f>IF($G287="","",IFERROR(INDEX('MAESTRO DE UNIDADES'!$B$2:$B$208,MATCH($G287,'MAESTRO DE UNIDADES'!$A$2:$A$208,0)),""))</f>
        <v/>
      </c>
      <c r="J287" s="4"/>
      <c r="K287" s="4"/>
      <c r="L287" s="4"/>
      <c r="M287" s="8" t="str">
        <f>IF($G287="","",IFERROR(INDEX('MAESTRO DE UNIDADES'!$H$2:$H$208,MATCH($G287,'MAESTRO DE UNIDADES'!$A$2:$A$208,0)),""))</f>
        <v/>
      </c>
      <c r="N287" s="25"/>
      <c r="O287" s="25"/>
      <c r="P287" s="26" t="str">
        <f t="shared" si="33"/>
        <v/>
      </c>
      <c r="Q287" s="27"/>
      <c r="R287" s="27"/>
      <c r="S287" s="28" t="str">
        <f>IF(OR($G287="",$Q287="",COUNTIF($G$2:G286,$G287)=0),"",$Q287-LOOKUP(2,1/($G$2:G286=$G287),$Q$2:Q286))</f>
        <v/>
      </c>
      <c r="T287" s="28" t="str">
        <f>IF(OR($G287="",$R287="",COUNTIF($G$2:G286,$G287)=0),"",$R287-LOOKUP(2,1/($G$2:G286=$G287),$R$2:R286))</f>
        <v/>
      </c>
      <c r="U287" s="11" t="str">
        <f t="shared" si="34"/>
        <v/>
      </c>
      <c r="V287" s="4"/>
      <c r="W287" s="4"/>
      <c r="X287" s="55"/>
      <c r="Y287" s="56" t="str">
        <f>IF($B287="","",IF((IF($G287="","Sin unidad | ","")&amp;IF($J287="","Sin responsable | ","")&amp;IF($K287="","Sin obra | ","")&amp;IF(AND($N287&lt;&gt;"",$G287&lt;&gt;"",$N287&gt;IFERROR(INDEX('MAESTRO DE UNIDADES'!$I$2:$I$208,MATCH($G287,'MAESTRO DE UNIDADES'!$A$2:$A$208,0)),0)),"Litros &gt; tanque | ","")&amp;IF(AND($W287&lt;&gt;"",COUNTIF($W$2:$W287,$W287)&gt;1),"Ticket duplicado | ","")&amp;IF(AND($G287&lt;&gt;"",IFERROR(INDEX('MAESTRO DE UNIDADES'!$L$2:$L$208,MATCH($G287,'MAESTRO DE UNIDADES'!$A$2:$A$208,0)),"")="Inactivo"),"Unidad inactiva | ","")&amp;IF(AND($AA287&lt;&gt;"",$N287=""),"Carga de batán sin litros | ","")&amp;IF(AND($AA287&lt;&gt;"",$AC287&lt;0),"Supera saldo batán | ",""))="","OK",LEFT((IF($G287="","Sin unidad | ","")&amp;IF($J287="","Sin responsable | ","")&amp;IF($K287="","Sin obra | ","")&amp;IF(AND($N287&lt;&gt;"",$G287&lt;&gt;"",$N287&gt;IFERROR(INDEX('MAESTRO DE UNIDADES'!$I$2:$I$208,MATCH($G287,'MAESTRO DE UNIDADES'!$A$2:$A$208,0)),0)),"Litros &gt; tanque | ","")&amp;IF(AND($W287&lt;&gt;"",COUNTIF($W$2:$W287,$W287)&gt;1),"Ticket duplicado | ","")&amp;IF(AND($G287&lt;&gt;"",IFERROR(INDEX('MAESTRO DE UNIDADES'!$L$2:$L$208,MATCH($G287,'MAESTRO DE UNIDADES'!$A$2:$A$208,0)),"")="Inactivo"),"Unidad inactiva | ","")&amp;IF(AND($AA287&lt;&gt;"",$N287=""),"Carga de batán sin litros | ","")&amp;IF(AND($AA287&lt;&gt;"",$AC287&lt;0),"Supera saldo batán | ","")),LEN((IF($G287="","Sin unidad | ","")&amp;IF($J287="","Sin responsable | ","")&amp;IF($K287="","Sin obra | ","")&amp;IF(AND($N287&lt;&gt;"",$G287&lt;&gt;"",$N287&gt;IFERROR(INDEX('MAESTRO DE UNIDADES'!$I$2:$I$208,MATCH($G287,'MAESTRO DE UNIDADES'!$A$2:$A$208,0)),0)),"Litros &gt; tanque | ","")&amp;IF(AND($W287&lt;&gt;"",COUNTIF($W$2:$W287,$W287)&gt;1),"Ticket duplicado | ","")&amp;IF(AND($G287&lt;&gt;"",IFERROR(INDEX('MAESTRO DE UNIDADES'!$L$2:$L$208,MATCH($G287,'MAESTRO DE UNIDADES'!$A$2:$A$208,0)),"")="Inactivo"),"Unidad inactiva | ","")&amp;IF(AND($AA287&lt;&gt;"",$N287=""),"Carga de batán sin litros | ","")&amp;IF(AND($AA287&lt;&gt;"",$AC287&lt;0),"Supera saldo batán | ","")))-3)))</f>
        <v/>
      </c>
      <c r="Z287" s="8" t="str">
        <f t="shared" si="35"/>
        <v/>
      </c>
      <c r="AA287" s="4"/>
      <c r="AB287" s="26" t="str">
        <f>IF($AA287="","",IFERROR(INDEX('CONTROL DE BATAN'!$J$2:$J$301,MATCH($AA287,'CONTROL DE BATAN'!$A$2:$A$301,0)),""))</f>
        <v/>
      </c>
      <c r="AC287" s="28" t="str">
        <f>IF($AA287="","",IFERROR(INDEX('CONTROL DE BATAN'!$I$2:$I$301,MATCH($AA287,'CONTROL DE BATAN'!$A$2:$A$301,0)),0)-SUMIFS($N$2:$N287,$AA$2:$AA287,$AA287))</f>
        <v/>
      </c>
    </row>
    <row r="288" spans="1:29" x14ac:dyDescent="0.25">
      <c r="A288" s="8" t="str">
        <f t="shared" si="29"/>
        <v/>
      </c>
      <c r="B288" s="9"/>
      <c r="C288" s="8" t="str">
        <f t="shared" si="30"/>
        <v/>
      </c>
      <c r="D288" s="10" t="str">
        <f t="shared" si="31"/>
        <v/>
      </c>
      <c r="E288" s="8" t="str">
        <f t="shared" si="32"/>
        <v/>
      </c>
      <c r="F288" s="8" t="str">
        <f>IF($G288="","",IFERROR(INDEX('MAESTRO DE UNIDADES'!$C$2:$C$208,MATCH($G288,'MAESTRO DE UNIDADES'!$A$2:$A$208,0)),""))</f>
        <v/>
      </c>
      <c r="G288" s="4"/>
      <c r="H288" s="8" t="str">
        <f>IF($G288="","",IFERROR(INDEX('MAESTRO DE UNIDADES'!$F$2:$F$208,MATCH($G288,'MAESTRO DE UNIDADES'!$A$2:$A$208,0)),""))</f>
        <v/>
      </c>
      <c r="I288" s="8" t="str">
        <f>IF($G288="","",IFERROR(INDEX('MAESTRO DE UNIDADES'!$B$2:$B$208,MATCH($G288,'MAESTRO DE UNIDADES'!$A$2:$A$208,0)),""))</f>
        <v/>
      </c>
      <c r="J288" s="4"/>
      <c r="K288" s="4"/>
      <c r="L288" s="4"/>
      <c r="M288" s="8" t="str">
        <f>IF($G288="","",IFERROR(INDEX('MAESTRO DE UNIDADES'!$H$2:$H$208,MATCH($G288,'MAESTRO DE UNIDADES'!$A$2:$A$208,0)),""))</f>
        <v/>
      </c>
      <c r="N288" s="25"/>
      <c r="O288" s="25"/>
      <c r="P288" s="26" t="str">
        <f t="shared" si="33"/>
        <v/>
      </c>
      <c r="Q288" s="27"/>
      <c r="R288" s="27"/>
      <c r="S288" s="28" t="str">
        <f>IF(OR($G288="",$Q288="",COUNTIF($G$2:G287,$G288)=0),"",$Q288-LOOKUP(2,1/($G$2:G287=$G288),$Q$2:Q287))</f>
        <v/>
      </c>
      <c r="T288" s="28" t="str">
        <f>IF(OR($G288="",$R288="",COUNTIF($G$2:G287,$G288)=0),"",$R288-LOOKUP(2,1/($G$2:G287=$G288),$R$2:R287))</f>
        <v/>
      </c>
      <c r="U288" s="11" t="str">
        <f t="shared" si="34"/>
        <v/>
      </c>
      <c r="V288" s="4"/>
      <c r="W288" s="4"/>
      <c r="X288" s="55"/>
      <c r="Y288" s="56" t="str">
        <f>IF($B288="","",IF((IF($G288="","Sin unidad | ","")&amp;IF($J288="","Sin responsable | ","")&amp;IF($K288="","Sin obra | ","")&amp;IF(AND($N288&lt;&gt;"",$G288&lt;&gt;"",$N288&gt;IFERROR(INDEX('MAESTRO DE UNIDADES'!$I$2:$I$208,MATCH($G288,'MAESTRO DE UNIDADES'!$A$2:$A$208,0)),0)),"Litros &gt; tanque | ","")&amp;IF(AND($W288&lt;&gt;"",COUNTIF($W$2:$W288,$W288)&gt;1),"Ticket duplicado | ","")&amp;IF(AND($G288&lt;&gt;"",IFERROR(INDEX('MAESTRO DE UNIDADES'!$L$2:$L$208,MATCH($G288,'MAESTRO DE UNIDADES'!$A$2:$A$208,0)),"")="Inactivo"),"Unidad inactiva | ","")&amp;IF(AND($AA288&lt;&gt;"",$N288=""),"Carga de batán sin litros | ","")&amp;IF(AND($AA288&lt;&gt;"",$AC288&lt;0),"Supera saldo batán | ",""))="","OK",LEFT((IF($G288="","Sin unidad | ","")&amp;IF($J288="","Sin responsable | ","")&amp;IF($K288="","Sin obra | ","")&amp;IF(AND($N288&lt;&gt;"",$G288&lt;&gt;"",$N288&gt;IFERROR(INDEX('MAESTRO DE UNIDADES'!$I$2:$I$208,MATCH($G288,'MAESTRO DE UNIDADES'!$A$2:$A$208,0)),0)),"Litros &gt; tanque | ","")&amp;IF(AND($W288&lt;&gt;"",COUNTIF($W$2:$W288,$W288)&gt;1),"Ticket duplicado | ","")&amp;IF(AND($G288&lt;&gt;"",IFERROR(INDEX('MAESTRO DE UNIDADES'!$L$2:$L$208,MATCH($G288,'MAESTRO DE UNIDADES'!$A$2:$A$208,0)),"")="Inactivo"),"Unidad inactiva | ","")&amp;IF(AND($AA288&lt;&gt;"",$N288=""),"Carga de batán sin litros | ","")&amp;IF(AND($AA288&lt;&gt;"",$AC288&lt;0),"Supera saldo batán | ","")),LEN((IF($G288="","Sin unidad | ","")&amp;IF($J288="","Sin responsable | ","")&amp;IF($K288="","Sin obra | ","")&amp;IF(AND($N288&lt;&gt;"",$G288&lt;&gt;"",$N288&gt;IFERROR(INDEX('MAESTRO DE UNIDADES'!$I$2:$I$208,MATCH($G288,'MAESTRO DE UNIDADES'!$A$2:$A$208,0)),0)),"Litros &gt; tanque | ","")&amp;IF(AND($W288&lt;&gt;"",COUNTIF($W$2:$W288,$W288)&gt;1),"Ticket duplicado | ","")&amp;IF(AND($G288&lt;&gt;"",IFERROR(INDEX('MAESTRO DE UNIDADES'!$L$2:$L$208,MATCH($G288,'MAESTRO DE UNIDADES'!$A$2:$A$208,0)),"")="Inactivo"),"Unidad inactiva | ","")&amp;IF(AND($AA288&lt;&gt;"",$N288=""),"Carga de batán sin litros | ","")&amp;IF(AND($AA288&lt;&gt;"",$AC288&lt;0),"Supera saldo batán | ","")))-3)))</f>
        <v/>
      </c>
      <c r="Z288" s="8" t="str">
        <f t="shared" si="35"/>
        <v/>
      </c>
      <c r="AA288" s="4"/>
      <c r="AB288" s="26" t="str">
        <f>IF($AA288="","",IFERROR(INDEX('CONTROL DE BATAN'!$J$2:$J$301,MATCH($AA288,'CONTROL DE BATAN'!$A$2:$A$301,0)),""))</f>
        <v/>
      </c>
      <c r="AC288" s="28" t="str">
        <f>IF($AA288="","",IFERROR(INDEX('CONTROL DE BATAN'!$I$2:$I$301,MATCH($AA288,'CONTROL DE BATAN'!$A$2:$A$301,0)),0)-SUMIFS($N$2:$N288,$AA$2:$AA288,$AA288))</f>
        <v/>
      </c>
    </row>
    <row r="289" spans="1:29" x14ac:dyDescent="0.25">
      <c r="A289" s="8" t="str">
        <f t="shared" si="29"/>
        <v/>
      </c>
      <c r="B289" s="9"/>
      <c r="C289" s="8" t="str">
        <f t="shared" si="30"/>
        <v/>
      </c>
      <c r="D289" s="10" t="str">
        <f t="shared" si="31"/>
        <v/>
      </c>
      <c r="E289" s="8" t="str">
        <f t="shared" si="32"/>
        <v/>
      </c>
      <c r="F289" s="8" t="str">
        <f>IF($G289="","",IFERROR(INDEX('MAESTRO DE UNIDADES'!$C$2:$C$208,MATCH($G289,'MAESTRO DE UNIDADES'!$A$2:$A$208,0)),""))</f>
        <v/>
      </c>
      <c r="G289" s="4"/>
      <c r="H289" s="8" t="str">
        <f>IF($G289="","",IFERROR(INDEX('MAESTRO DE UNIDADES'!$F$2:$F$208,MATCH($G289,'MAESTRO DE UNIDADES'!$A$2:$A$208,0)),""))</f>
        <v/>
      </c>
      <c r="I289" s="8" t="str">
        <f>IF($G289="","",IFERROR(INDEX('MAESTRO DE UNIDADES'!$B$2:$B$208,MATCH($G289,'MAESTRO DE UNIDADES'!$A$2:$A$208,0)),""))</f>
        <v/>
      </c>
      <c r="J289" s="4"/>
      <c r="K289" s="4"/>
      <c r="L289" s="4"/>
      <c r="M289" s="8" t="str">
        <f>IF($G289="","",IFERROR(INDEX('MAESTRO DE UNIDADES'!$H$2:$H$208,MATCH($G289,'MAESTRO DE UNIDADES'!$A$2:$A$208,0)),""))</f>
        <v/>
      </c>
      <c r="N289" s="25"/>
      <c r="O289" s="25"/>
      <c r="P289" s="26" t="str">
        <f t="shared" si="33"/>
        <v/>
      </c>
      <c r="Q289" s="27"/>
      <c r="R289" s="27"/>
      <c r="S289" s="28" t="str">
        <f>IF(OR($G289="",$Q289="",COUNTIF($G$2:G288,$G289)=0),"",$Q289-LOOKUP(2,1/($G$2:G288=$G289),$Q$2:Q288))</f>
        <v/>
      </c>
      <c r="T289" s="28" t="str">
        <f>IF(OR($G289="",$R289="",COUNTIF($G$2:G288,$G289)=0),"",$R289-LOOKUP(2,1/($G$2:G288=$G289),$R$2:R288))</f>
        <v/>
      </c>
      <c r="U289" s="11" t="str">
        <f t="shared" si="34"/>
        <v/>
      </c>
      <c r="V289" s="4"/>
      <c r="W289" s="4"/>
      <c r="X289" s="55"/>
      <c r="Y289" s="56" t="str">
        <f>IF($B289="","",IF((IF($G289="","Sin unidad | ","")&amp;IF($J289="","Sin responsable | ","")&amp;IF($K289="","Sin obra | ","")&amp;IF(AND($N289&lt;&gt;"",$G289&lt;&gt;"",$N289&gt;IFERROR(INDEX('MAESTRO DE UNIDADES'!$I$2:$I$208,MATCH($G289,'MAESTRO DE UNIDADES'!$A$2:$A$208,0)),0)),"Litros &gt; tanque | ","")&amp;IF(AND($W289&lt;&gt;"",COUNTIF($W$2:$W289,$W289)&gt;1),"Ticket duplicado | ","")&amp;IF(AND($G289&lt;&gt;"",IFERROR(INDEX('MAESTRO DE UNIDADES'!$L$2:$L$208,MATCH($G289,'MAESTRO DE UNIDADES'!$A$2:$A$208,0)),"")="Inactivo"),"Unidad inactiva | ","")&amp;IF(AND($AA289&lt;&gt;"",$N289=""),"Carga de batán sin litros | ","")&amp;IF(AND($AA289&lt;&gt;"",$AC289&lt;0),"Supera saldo batán | ",""))="","OK",LEFT((IF($G289="","Sin unidad | ","")&amp;IF($J289="","Sin responsable | ","")&amp;IF($K289="","Sin obra | ","")&amp;IF(AND($N289&lt;&gt;"",$G289&lt;&gt;"",$N289&gt;IFERROR(INDEX('MAESTRO DE UNIDADES'!$I$2:$I$208,MATCH($G289,'MAESTRO DE UNIDADES'!$A$2:$A$208,0)),0)),"Litros &gt; tanque | ","")&amp;IF(AND($W289&lt;&gt;"",COUNTIF($W$2:$W289,$W289)&gt;1),"Ticket duplicado | ","")&amp;IF(AND($G289&lt;&gt;"",IFERROR(INDEX('MAESTRO DE UNIDADES'!$L$2:$L$208,MATCH($G289,'MAESTRO DE UNIDADES'!$A$2:$A$208,0)),"")="Inactivo"),"Unidad inactiva | ","")&amp;IF(AND($AA289&lt;&gt;"",$N289=""),"Carga de batán sin litros | ","")&amp;IF(AND($AA289&lt;&gt;"",$AC289&lt;0),"Supera saldo batán | ","")),LEN((IF($G289="","Sin unidad | ","")&amp;IF($J289="","Sin responsable | ","")&amp;IF($K289="","Sin obra | ","")&amp;IF(AND($N289&lt;&gt;"",$G289&lt;&gt;"",$N289&gt;IFERROR(INDEX('MAESTRO DE UNIDADES'!$I$2:$I$208,MATCH($G289,'MAESTRO DE UNIDADES'!$A$2:$A$208,0)),0)),"Litros &gt; tanque | ","")&amp;IF(AND($W289&lt;&gt;"",COUNTIF($W$2:$W289,$W289)&gt;1),"Ticket duplicado | ","")&amp;IF(AND($G289&lt;&gt;"",IFERROR(INDEX('MAESTRO DE UNIDADES'!$L$2:$L$208,MATCH($G289,'MAESTRO DE UNIDADES'!$A$2:$A$208,0)),"")="Inactivo"),"Unidad inactiva | ","")&amp;IF(AND($AA289&lt;&gt;"",$N289=""),"Carga de batán sin litros | ","")&amp;IF(AND($AA289&lt;&gt;"",$AC289&lt;0),"Supera saldo batán | ","")))-3)))</f>
        <v/>
      </c>
      <c r="Z289" s="8" t="str">
        <f t="shared" si="35"/>
        <v/>
      </c>
      <c r="AA289" s="4"/>
      <c r="AB289" s="26" t="str">
        <f>IF($AA289="","",IFERROR(INDEX('CONTROL DE BATAN'!$J$2:$J$301,MATCH($AA289,'CONTROL DE BATAN'!$A$2:$A$301,0)),""))</f>
        <v/>
      </c>
      <c r="AC289" s="28" t="str">
        <f>IF($AA289="","",IFERROR(INDEX('CONTROL DE BATAN'!$I$2:$I$301,MATCH($AA289,'CONTROL DE BATAN'!$A$2:$A$301,0)),0)-SUMIFS($N$2:$N289,$AA$2:$AA289,$AA289))</f>
        <v/>
      </c>
    </row>
    <row r="290" spans="1:29" x14ac:dyDescent="0.25">
      <c r="A290" s="8" t="str">
        <f t="shared" si="29"/>
        <v/>
      </c>
      <c r="B290" s="9"/>
      <c r="C290" s="8" t="str">
        <f t="shared" si="30"/>
        <v/>
      </c>
      <c r="D290" s="10" t="str">
        <f t="shared" si="31"/>
        <v/>
      </c>
      <c r="E290" s="8" t="str">
        <f t="shared" si="32"/>
        <v/>
      </c>
      <c r="F290" s="8" t="str">
        <f>IF($G290="","",IFERROR(INDEX('MAESTRO DE UNIDADES'!$C$2:$C$208,MATCH($G290,'MAESTRO DE UNIDADES'!$A$2:$A$208,0)),""))</f>
        <v/>
      </c>
      <c r="G290" s="4"/>
      <c r="H290" s="8" t="str">
        <f>IF($G290="","",IFERROR(INDEX('MAESTRO DE UNIDADES'!$F$2:$F$208,MATCH($G290,'MAESTRO DE UNIDADES'!$A$2:$A$208,0)),""))</f>
        <v/>
      </c>
      <c r="I290" s="8" t="str">
        <f>IF($G290="","",IFERROR(INDEX('MAESTRO DE UNIDADES'!$B$2:$B$208,MATCH($G290,'MAESTRO DE UNIDADES'!$A$2:$A$208,0)),""))</f>
        <v/>
      </c>
      <c r="J290" s="4"/>
      <c r="K290" s="4"/>
      <c r="L290" s="4"/>
      <c r="M290" s="8" t="str">
        <f>IF($G290="","",IFERROR(INDEX('MAESTRO DE UNIDADES'!$H$2:$H$208,MATCH($G290,'MAESTRO DE UNIDADES'!$A$2:$A$208,0)),""))</f>
        <v/>
      </c>
      <c r="N290" s="25"/>
      <c r="O290" s="25"/>
      <c r="P290" s="26" t="str">
        <f t="shared" si="33"/>
        <v/>
      </c>
      <c r="Q290" s="27"/>
      <c r="R290" s="27"/>
      <c r="S290" s="28" t="str">
        <f>IF(OR($G290="",$Q290="",COUNTIF($G$2:G289,$G290)=0),"",$Q290-LOOKUP(2,1/($G$2:G289=$G290),$Q$2:Q289))</f>
        <v/>
      </c>
      <c r="T290" s="28" t="str">
        <f>IF(OR($G290="",$R290="",COUNTIF($G$2:G289,$G290)=0),"",$R290-LOOKUP(2,1/($G$2:G289=$G290),$R$2:R289))</f>
        <v/>
      </c>
      <c r="U290" s="11" t="str">
        <f t="shared" si="34"/>
        <v/>
      </c>
      <c r="V290" s="4"/>
      <c r="W290" s="4"/>
      <c r="X290" s="55"/>
      <c r="Y290" s="56" t="str">
        <f>IF($B290="","",IF((IF($G290="","Sin unidad | ","")&amp;IF($J290="","Sin responsable | ","")&amp;IF($K290="","Sin obra | ","")&amp;IF(AND($N290&lt;&gt;"",$G290&lt;&gt;"",$N290&gt;IFERROR(INDEX('MAESTRO DE UNIDADES'!$I$2:$I$208,MATCH($G290,'MAESTRO DE UNIDADES'!$A$2:$A$208,0)),0)),"Litros &gt; tanque | ","")&amp;IF(AND($W290&lt;&gt;"",COUNTIF($W$2:$W290,$W290)&gt;1),"Ticket duplicado | ","")&amp;IF(AND($G290&lt;&gt;"",IFERROR(INDEX('MAESTRO DE UNIDADES'!$L$2:$L$208,MATCH($G290,'MAESTRO DE UNIDADES'!$A$2:$A$208,0)),"")="Inactivo"),"Unidad inactiva | ","")&amp;IF(AND($AA290&lt;&gt;"",$N290=""),"Carga de batán sin litros | ","")&amp;IF(AND($AA290&lt;&gt;"",$AC290&lt;0),"Supera saldo batán | ",""))="","OK",LEFT((IF($G290="","Sin unidad | ","")&amp;IF($J290="","Sin responsable | ","")&amp;IF($K290="","Sin obra | ","")&amp;IF(AND($N290&lt;&gt;"",$G290&lt;&gt;"",$N290&gt;IFERROR(INDEX('MAESTRO DE UNIDADES'!$I$2:$I$208,MATCH($G290,'MAESTRO DE UNIDADES'!$A$2:$A$208,0)),0)),"Litros &gt; tanque | ","")&amp;IF(AND($W290&lt;&gt;"",COUNTIF($W$2:$W290,$W290)&gt;1),"Ticket duplicado | ","")&amp;IF(AND($G290&lt;&gt;"",IFERROR(INDEX('MAESTRO DE UNIDADES'!$L$2:$L$208,MATCH($G290,'MAESTRO DE UNIDADES'!$A$2:$A$208,0)),"")="Inactivo"),"Unidad inactiva | ","")&amp;IF(AND($AA290&lt;&gt;"",$N290=""),"Carga de batán sin litros | ","")&amp;IF(AND($AA290&lt;&gt;"",$AC290&lt;0),"Supera saldo batán | ","")),LEN((IF($G290="","Sin unidad | ","")&amp;IF($J290="","Sin responsable | ","")&amp;IF($K290="","Sin obra | ","")&amp;IF(AND($N290&lt;&gt;"",$G290&lt;&gt;"",$N290&gt;IFERROR(INDEX('MAESTRO DE UNIDADES'!$I$2:$I$208,MATCH($G290,'MAESTRO DE UNIDADES'!$A$2:$A$208,0)),0)),"Litros &gt; tanque | ","")&amp;IF(AND($W290&lt;&gt;"",COUNTIF($W$2:$W290,$W290)&gt;1),"Ticket duplicado | ","")&amp;IF(AND($G290&lt;&gt;"",IFERROR(INDEX('MAESTRO DE UNIDADES'!$L$2:$L$208,MATCH($G290,'MAESTRO DE UNIDADES'!$A$2:$A$208,0)),"")="Inactivo"),"Unidad inactiva | ","")&amp;IF(AND($AA290&lt;&gt;"",$N290=""),"Carga de batán sin litros | ","")&amp;IF(AND($AA290&lt;&gt;"",$AC290&lt;0),"Supera saldo batán | ","")))-3)))</f>
        <v/>
      </c>
      <c r="Z290" s="8" t="str">
        <f t="shared" si="35"/>
        <v/>
      </c>
      <c r="AA290" s="4"/>
      <c r="AB290" s="26" t="str">
        <f>IF($AA290="","",IFERROR(INDEX('CONTROL DE BATAN'!$J$2:$J$301,MATCH($AA290,'CONTROL DE BATAN'!$A$2:$A$301,0)),""))</f>
        <v/>
      </c>
      <c r="AC290" s="28" t="str">
        <f>IF($AA290="","",IFERROR(INDEX('CONTROL DE BATAN'!$I$2:$I$301,MATCH($AA290,'CONTROL DE BATAN'!$A$2:$A$301,0)),0)-SUMIFS($N$2:$N290,$AA$2:$AA290,$AA290))</f>
        <v/>
      </c>
    </row>
    <row r="291" spans="1:29" x14ac:dyDescent="0.25">
      <c r="A291" s="8" t="str">
        <f t="shared" si="29"/>
        <v/>
      </c>
      <c r="B291" s="9"/>
      <c r="C291" s="8" t="str">
        <f t="shared" si="30"/>
        <v/>
      </c>
      <c r="D291" s="10" t="str">
        <f t="shared" si="31"/>
        <v/>
      </c>
      <c r="E291" s="8" t="str">
        <f t="shared" si="32"/>
        <v/>
      </c>
      <c r="F291" s="8" t="str">
        <f>IF($G291="","",IFERROR(INDEX('MAESTRO DE UNIDADES'!$C$2:$C$208,MATCH($G291,'MAESTRO DE UNIDADES'!$A$2:$A$208,0)),""))</f>
        <v/>
      </c>
      <c r="G291" s="4"/>
      <c r="H291" s="8" t="str">
        <f>IF($G291="","",IFERROR(INDEX('MAESTRO DE UNIDADES'!$F$2:$F$208,MATCH($G291,'MAESTRO DE UNIDADES'!$A$2:$A$208,0)),""))</f>
        <v/>
      </c>
      <c r="I291" s="8" t="str">
        <f>IF($G291="","",IFERROR(INDEX('MAESTRO DE UNIDADES'!$B$2:$B$208,MATCH($G291,'MAESTRO DE UNIDADES'!$A$2:$A$208,0)),""))</f>
        <v/>
      </c>
      <c r="J291" s="4"/>
      <c r="K291" s="4"/>
      <c r="L291" s="4"/>
      <c r="M291" s="8" t="str">
        <f>IF($G291="","",IFERROR(INDEX('MAESTRO DE UNIDADES'!$H$2:$H$208,MATCH($G291,'MAESTRO DE UNIDADES'!$A$2:$A$208,0)),""))</f>
        <v/>
      </c>
      <c r="N291" s="25"/>
      <c r="O291" s="25"/>
      <c r="P291" s="26" t="str">
        <f t="shared" si="33"/>
        <v/>
      </c>
      <c r="Q291" s="27"/>
      <c r="R291" s="27"/>
      <c r="S291" s="28" t="str">
        <f>IF(OR($G291="",$Q291="",COUNTIF($G$2:G290,$G291)=0),"",$Q291-LOOKUP(2,1/($G$2:G290=$G291),$Q$2:Q290))</f>
        <v/>
      </c>
      <c r="T291" s="28" t="str">
        <f>IF(OR($G291="",$R291="",COUNTIF($G$2:G290,$G291)=0),"",$R291-LOOKUP(2,1/($G$2:G290=$G291),$R$2:R290))</f>
        <v/>
      </c>
      <c r="U291" s="11" t="str">
        <f t="shared" si="34"/>
        <v/>
      </c>
      <c r="V291" s="4"/>
      <c r="W291" s="4"/>
      <c r="X291" s="55"/>
      <c r="Y291" s="56" t="str">
        <f>IF($B291="","",IF((IF($G291="","Sin unidad | ","")&amp;IF($J291="","Sin responsable | ","")&amp;IF($K291="","Sin obra | ","")&amp;IF(AND($N291&lt;&gt;"",$G291&lt;&gt;"",$N291&gt;IFERROR(INDEX('MAESTRO DE UNIDADES'!$I$2:$I$208,MATCH($G291,'MAESTRO DE UNIDADES'!$A$2:$A$208,0)),0)),"Litros &gt; tanque | ","")&amp;IF(AND($W291&lt;&gt;"",COUNTIF($W$2:$W291,$W291)&gt;1),"Ticket duplicado | ","")&amp;IF(AND($G291&lt;&gt;"",IFERROR(INDEX('MAESTRO DE UNIDADES'!$L$2:$L$208,MATCH($G291,'MAESTRO DE UNIDADES'!$A$2:$A$208,0)),"")="Inactivo"),"Unidad inactiva | ","")&amp;IF(AND($AA291&lt;&gt;"",$N291=""),"Carga de batán sin litros | ","")&amp;IF(AND($AA291&lt;&gt;"",$AC291&lt;0),"Supera saldo batán | ",""))="","OK",LEFT((IF($G291="","Sin unidad | ","")&amp;IF($J291="","Sin responsable | ","")&amp;IF($K291="","Sin obra | ","")&amp;IF(AND($N291&lt;&gt;"",$G291&lt;&gt;"",$N291&gt;IFERROR(INDEX('MAESTRO DE UNIDADES'!$I$2:$I$208,MATCH($G291,'MAESTRO DE UNIDADES'!$A$2:$A$208,0)),0)),"Litros &gt; tanque | ","")&amp;IF(AND($W291&lt;&gt;"",COUNTIF($W$2:$W291,$W291)&gt;1),"Ticket duplicado | ","")&amp;IF(AND($G291&lt;&gt;"",IFERROR(INDEX('MAESTRO DE UNIDADES'!$L$2:$L$208,MATCH($G291,'MAESTRO DE UNIDADES'!$A$2:$A$208,0)),"")="Inactivo"),"Unidad inactiva | ","")&amp;IF(AND($AA291&lt;&gt;"",$N291=""),"Carga de batán sin litros | ","")&amp;IF(AND($AA291&lt;&gt;"",$AC291&lt;0),"Supera saldo batán | ","")),LEN((IF($G291="","Sin unidad | ","")&amp;IF($J291="","Sin responsable | ","")&amp;IF($K291="","Sin obra | ","")&amp;IF(AND($N291&lt;&gt;"",$G291&lt;&gt;"",$N291&gt;IFERROR(INDEX('MAESTRO DE UNIDADES'!$I$2:$I$208,MATCH($G291,'MAESTRO DE UNIDADES'!$A$2:$A$208,0)),0)),"Litros &gt; tanque | ","")&amp;IF(AND($W291&lt;&gt;"",COUNTIF($W$2:$W291,$W291)&gt;1),"Ticket duplicado | ","")&amp;IF(AND($G291&lt;&gt;"",IFERROR(INDEX('MAESTRO DE UNIDADES'!$L$2:$L$208,MATCH($G291,'MAESTRO DE UNIDADES'!$A$2:$A$208,0)),"")="Inactivo"),"Unidad inactiva | ","")&amp;IF(AND($AA291&lt;&gt;"",$N291=""),"Carga de batán sin litros | ","")&amp;IF(AND($AA291&lt;&gt;"",$AC291&lt;0),"Supera saldo batán | ","")))-3)))</f>
        <v/>
      </c>
      <c r="Z291" s="8" t="str">
        <f t="shared" si="35"/>
        <v/>
      </c>
      <c r="AA291" s="4"/>
      <c r="AB291" s="26" t="str">
        <f>IF($AA291="","",IFERROR(INDEX('CONTROL DE BATAN'!$J$2:$J$301,MATCH($AA291,'CONTROL DE BATAN'!$A$2:$A$301,0)),""))</f>
        <v/>
      </c>
      <c r="AC291" s="28" t="str">
        <f>IF($AA291="","",IFERROR(INDEX('CONTROL DE BATAN'!$I$2:$I$301,MATCH($AA291,'CONTROL DE BATAN'!$A$2:$A$301,0)),0)-SUMIFS($N$2:$N291,$AA$2:$AA291,$AA291))</f>
        <v/>
      </c>
    </row>
    <row r="292" spans="1:29" x14ac:dyDescent="0.25">
      <c r="A292" s="8" t="str">
        <f t="shared" si="29"/>
        <v/>
      </c>
      <c r="B292" s="9"/>
      <c r="C292" s="8" t="str">
        <f t="shared" si="30"/>
        <v/>
      </c>
      <c r="D292" s="10" t="str">
        <f t="shared" si="31"/>
        <v/>
      </c>
      <c r="E292" s="8" t="str">
        <f t="shared" si="32"/>
        <v/>
      </c>
      <c r="F292" s="8" t="str">
        <f>IF($G292="","",IFERROR(INDEX('MAESTRO DE UNIDADES'!$C$2:$C$208,MATCH($G292,'MAESTRO DE UNIDADES'!$A$2:$A$208,0)),""))</f>
        <v/>
      </c>
      <c r="G292" s="4"/>
      <c r="H292" s="8" t="str">
        <f>IF($G292="","",IFERROR(INDEX('MAESTRO DE UNIDADES'!$F$2:$F$208,MATCH($G292,'MAESTRO DE UNIDADES'!$A$2:$A$208,0)),""))</f>
        <v/>
      </c>
      <c r="I292" s="8" t="str">
        <f>IF($G292="","",IFERROR(INDEX('MAESTRO DE UNIDADES'!$B$2:$B$208,MATCH($G292,'MAESTRO DE UNIDADES'!$A$2:$A$208,0)),""))</f>
        <v/>
      </c>
      <c r="J292" s="4"/>
      <c r="K292" s="4"/>
      <c r="L292" s="4"/>
      <c r="M292" s="8" t="str">
        <f>IF($G292="","",IFERROR(INDEX('MAESTRO DE UNIDADES'!$H$2:$H$208,MATCH($G292,'MAESTRO DE UNIDADES'!$A$2:$A$208,0)),""))</f>
        <v/>
      </c>
      <c r="N292" s="25"/>
      <c r="O292" s="25"/>
      <c r="P292" s="26" t="str">
        <f t="shared" si="33"/>
        <v/>
      </c>
      <c r="Q292" s="27"/>
      <c r="R292" s="27"/>
      <c r="S292" s="28" t="str">
        <f>IF(OR($G292="",$Q292="",COUNTIF($G$2:G291,$G292)=0),"",$Q292-LOOKUP(2,1/($G$2:G291=$G292),$Q$2:Q291))</f>
        <v/>
      </c>
      <c r="T292" s="28" t="str">
        <f>IF(OR($G292="",$R292="",COUNTIF($G$2:G291,$G292)=0),"",$R292-LOOKUP(2,1/($G$2:G291=$G292),$R$2:R291))</f>
        <v/>
      </c>
      <c r="U292" s="11" t="str">
        <f t="shared" si="34"/>
        <v/>
      </c>
      <c r="V292" s="4"/>
      <c r="W292" s="4"/>
      <c r="X292" s="55"/>
      <c r="Y292" s="56" t="str">
        <f>IF($B292="","",IF((IF($G292="","Sin unidad | ","")&amp;IF($J292="","Sin responsable | ","")&amp;IF($K292="","Sin obra | ","")&amp;IF(AND($N292&lt;&gt;"",$G292&lt;&gt;"",$N292&gt;IFERROR(INDEX('MAESTRO DE UNIDADES'!$I$2:$I$208,MATCH($G292,'MAESTRO DE UNIDADES'!$A$2:$A$208,0)),0)),"Litros &gt; tanque | ","")&amp;IF(AND($W292&lt;&gt;"",COUNTIF($W$2:$W292,$W292)&gt;1),"Ticket duplicado | ","")&amp;IF(AND($G292&lt;&gt;"",IFERROR(INDEX('MAESTRO DE UNIDADES'!$L$2:$L$208,MATCH($G292,'MAESTRO DE UNIDADES'!$A$2:$A$208,0)),"")="Inactivo"),"Unidad inactiva | ","")&amp;IF(AND($AA292&lt;&gt;"",$N292=""),"Carga de batán sin litros | ","")&amp;IF(AND($AA292&lt;&gt;"",$AC292&lt;0),"Supera saldo batán | ",""))="","OK",LEFT((IF($G292="","Sin unidad | ","")&amp;IF($J292="","Sin responsable | ","")&amp;IF($K292="","Sin obra | ","")&amp;IF(AND($N292&lt;&gt;"",$G292&lt;&gt;"",$N292&gt;IFERROR(INDEX('MAESTRO DE UNIDADES'!$I$2:$I$208,MATCH($G292,'MAESTRO DE UNIDADES'!$A$2:$A$208,0)),0)),"Litros &gt; tanque | ","")&amp;IF(AND($W292&lt;&gt;"",COUNTIF($W$2:$W292,$W292)&gt;1),"Ticket duplicado | ","")&amp;IF(AND($G292&lt;&gt;"",IFERROR(INDEX('MAESTRO DE UNIDADES'!$L$2:$L$208,MATCH($G292,'MAESTRO DE UNIDADES'!$A$2:$A$208,0)),"")="Inactivo"),"Unidad inactiva | ","")&amp;IF(AND($AA292&lt;&gt;"",$N292=""),"Carga de batán sin litros | ","")&amp;IF(AND($AA292&lt;&gt;"",$AC292&lt;0),"Supera saldo batán | ","")),LEN((IF($G292="","Sin unidad | ","")&amp;IF($J292="","Sin responsable | ","")&amp;IF($K292="","Sin obra | ","")&amp;IF(AND($N292&lt;&gt;"",$G292&lt;&gt;"",$N292&gt;IFERROR(INDEX('MAESTRO DE UNIDADES'!$I$2:$I$208,MATCH($G292,'MAESTRO DE UNIDADES'!$A$2:$A$208,0)),0)),"Litros &gt; tanque | ","")&amp;IF(AND($W292&lt;&gt;"",COUNTIF($W$2:$W292,$W292)&gt;1),"Ticket duplicado | ","")&amp;IF(AND($G292&lt;&gt;"",IFERROR(INDEX('MAESTRO DE UNIDADES'!$L$2:$L$208,MATCH($G292,'MAESTRO DE UNIDADES'!$A$2:$A$208,0)),"")="Inactivo"),"Unidad inactiva | ","")&amp;IF(AND($AA292&lt;&gt;"",$N292=""),"Carga de batán sin litros | ","")&amp;IF(AND($AA292&lt;&gt;"",$AC292&lt;0),"Supera saldo batán | ","")))-3)))</f>
        <v/>
      </c>
      <c r="Z292" s="8" t="str">
        <f t="shared" si="35"/>
        <v/>
      </c>
      <c r="AA292" s="4"/>
      <c r="AB292" s="26" t="str">
        <f>IF($AA292="","",IFERROR(INDEX('CONTROL DE BATAN'!$J$2:$J$301,MATCH($AA292,'CONTROL DE BATAN'!$A$2:$A$301,0)),""))</f>
        <v/>
      </c>
      <c r="AC292" s="28" t="str">
        <f>IF($AA292="","",IFERROR(INDEX('CONTROL DE BATAN'!$I$2:$I$301,MATCH($AA292,'CONTROL DE BATAN'!$A$2:$A$301,0)),0)-SUMIFS($N$2:$N292,$AA$2:$AA292,$AA292))</f>
        <v/>
      </c>
    </row>
    <row r="293" spans="1:29" x14ac:dyDescent="0.25">
      <c r="A293" s="8" t="str">
        <f t="shared" si="29"/>
        <v/>
      </c>
      <c r="B293" s="9"/>
      <c r="C293" s="8" t="str">
        <f t="shared" si="30"/>
        <v/>
      </c>
      <c r="D293" s="10" t="str">
        <f t="shared" si="31"/>
        <v/>
      </c>
      <c r="E293" s="8" t="str">
        <f t="shared" si="32"/>
        <v/>
      </c>
      <c r="F293" s="8" t="str">
        <f>IF($G293="","",IFERROR(INDEX('MAESTRO DE UNIDADES'!$C$2:$C$208,MATCH($G293,'MAESTRO DE UNIDADES'!$A$2:$A$208,0)),""))</f>
        <v/>
      </c>
      <c r="G293" s="4"/>
      <c r="H293" s="8" t="str">
        <f>IF($G293="","",IFERROR(INDEX('MAESTRO DE UNIDADES'!$F$2:$F$208,MATCH($G293,'MAESTRO DE UNIDADES'!$A$2:$A$208,0)),""))</f>
        <v/>
      </c>
      <c r="I293" s="8" t="str">
        <f>IF($G293="","",IFERROR(INDEX('MAESTRO DE UNIDADES'!$B$2:$B$208,MATCH($G293,'MAESTRO DE UNIDADES'!$A$2:$A$208,0)),""))</f>
        <v/>
      </c>
      <c r="J293" s="4"/>
      <c r="K293" s="4"/>
      <c r="L293" s="4"/>
      <c r="M293" s="8" t="str">
        <f>IF($G293="","",IFERROR(INDEX('MAESTRO DE UNIDADES'!$H$2:$H$208,MATCH($G293,'MAESTRO DE UNIDADES'!$A$2:$A$208,0)),""))</f>
        <v/>
      </c>
      <c r="N293" s="25"/>
      <c r="O293" s="25"/>
      <c r="P293" s="26" t="str">
        <f t="shared" si="33"/>
        <v/>
      </c>
      <c r="Q293" s="27"/>
      <c r="R293" s="27"/>
      <c r="S293" s="28" t="str">
        <f>IF(OR($G293="",$Q293="",COUNTIF($G$2:G292,$G293)=0),"",$Q293-LOOKUP(2,1/($G$2:G292=$G293),$Q$2:Q292))</f>
        <v/>
      </c>
      <c r="T293" s="28" t="str">
        <f>IF(OR($G293="",$R293="",COUNTIF($G$2:G292,$G293)=0),"",$R293-LOOKUP(2,1/($G$2:G292=$G293),$R$2:R292))</f>
        <v/>
      </c>
      <c r="U293" s="11" t="str">
        <f t="shared" si="34"/>
        <v/>
      </c>
      <c r="V293" s="4"/>
      <c r="W293" s="4"/>
      <c r="X293" s="55"/>
      <c r="Y293" s="56" t="str">
        <f>IF($B293="","",IF((IF($G293="","Sin unidad | ","")&amp;IF($J293="","Sin responsable | ","")&amp;IF($K293="","Sin obra | ","")&amp;IF(AND($N293&lt;&gt;"",$G293&lt;&gt;"",$N293&gt;IFERROR(INDEX('MAESTRO DE UNIDADES'!$I$2:$I$208,MATCH($G293,'MAESTRO DE UNIDADES'!$A$2:$A$208,0)),0)),"Litros &gt; tanque | ","")&amp;IF(AND($W293&lt;&gt;"",COUNTIF($W$2:$W293,$W293)&gt;1),"Ticket duplicado | ","")&amp;IF(AND($G293&lt;&gt;"",IFERROR(INDEX('MAESTRO DE UNIDADES'!$L$2:$L$208,MATCH($G293,'MAESTRO DE UNIDADES'!$A$2:$A$208,0)),"")="Inactivo"),"Unidad inactiva | ","")&amp;IF(AND($AA293&lt;&gt;"",$N293=""),"Carga de batán sin litros | ","")&amp;IF(AND($AA293&lt;&gt;"",$AC293&lt;0),"Supera saldo batán | ",""))="","OK",LEFT((IF($G293="","Sin unidad | ","")&amp;IF($J293="","Sin responsable | ","")&amp;IF($K293="","Sin obra | ","")&amp;IF(AND($N293&lt;&gt;"",$G293&lt;&gt;"",$N293&gt;IFERROR(INDEX('MAESTRO DE UNIDADES'!$I$2:$I$208,MATCH($G293,'MAESTRO DE UNIDADES'!$A$2:$A$208,0)),0)),"Litros &gt; tanque | ","")&amp;IF(AND($W293&lt;&gt;"",COUNTIF($W$2:$W293,$W293)&gt;1),"Ticket duplicado | ","")&amp;IF(AND($G293&lt;&gt;"",IFERROR(INDEX('MAESTRO DE UNIDADES'!$L$2:$L$208,MATCH($G293,'MAESTRO DE UNIDADES'!$A$2:$A$208,0)),"")="Inactivo"),"Unidad inactiva | ","")&amp;IF(AND($AA293&lt;&gt;"",$N293=""),"Carga de batán sin litros | ","")&amp;IF(AND($AA293&lt;&gt;"",$AC293&lt;0),"Supera saldo batán | ","")),LEN((IF($G293="","Sin unidad | ","")&amp;IF($J293="","Sin responsable | ","")&amp;IF($K293="","Sin obra | ","")&amp;IF(AND($N293&lt;&gt;"",$G293&lt;&gt;"",$N293&gt;IFERROR(INDEX('MAESTRO DE UNIDADES'!$I$2:$I$208,MATCH($G293,'MAESTRO DE UNIDADES'!$A$2:$A$208,0)),0)),"Litros &gt; tanque | ","")&amp;IF(AND($W293&lt;&gt;"",COUNTIF($W$2:$W293,$W293)&gt;1),"Ticket duplicado | ","")&amp;IF(AND($G293&lt;&gt;"",IFERROR(INDEX('MAESTRO DE UNIDADES'!$L$2:$L$208,MATCH($G293,'MAESTRO DE UNIDADES'!$A$2:$A$208,0)),"")="Inactivo"),"Unidad inactiva | ","")&amp;IF(AND($AA293&lt;&gt;"",$N293=""),"Carga de batán sin litros | ","")&amp;IF(AND($AA293&lt;&gt;"",$AC293&lt;0),"Supera saldo batán | ","")))-3)))</f>
        <v/>
      </c>
      <c r="Z293" s="8" t="str">
        <f t="shared" si="35"/>
        <v/>
      </c>
      <c r="AA293" s="4"/>
      <c r="AB293" s="26" t="str">
        <f>IF($AA293="","",IFERROR(INDEX('CONTROL DE BATAN'!$J$2:$J$301,MATCH($AA293,'CONTROL DE BATAN'!$A$2:$A$301,0)),""))</f>
        <v/>
      </c>
      <c r="AC293" s="28" t="str">
        <f>IF($AA293="","",IFERROR(INDEX('CONTROL DE BATAN'!$I$2:$I$301,MATCH($AA293,'CONTROL DE BATAN'!$A$2:$A$301,0)),0)-SUMIFS($N$2:$N293,$AA$2:$AA293,$AA293))</f>
        <v/>
      </c>
    </row>
    <row r="294" spans="1:29" x14ac:dyDescent="0.25">
      <c r="A294" s="8" t="str">
        <f t="shared" si="29"/>
        <v/>
      </c>
      <c r="B294" s="9"/>
      <c r="C294" s="8" t="str">
        <f t="shared" si="30"/>
        <v/>
      </c>
      <c r="D294" s="10" t="str">
        <f t="shared" si="31"/>
        <v/>
      </c>
      <c r="E294" s="8" t="str">
        <f t="shared" si="32"/>
        <v/>
      </c>
      <c r="F294" s="8" t="str">
        <f>IF($G294="","",IFERROR(INDEX('MAESTRO DE UNIDADES'!$C$2:$C$208,MATCH($G294,'MAESTRO DE UNIDADES'!$A$2:$A$208,0)),""))</f>
        <v/>
      </c>
      <c r="G294" s="4"/>
      <c r="H294" s="8" t="str">
        <f>IF($G294="","",IFERROR(INDEX('MAESTRO DE UNIDADES'!$F$2:$F$208,MATCH($G294,'MAESTRO DE UNIDADES'!$A$2:$A$208,0)),""))</f>
        <v/>
      </c>
      <c r="I294" s="8" t="str">
        <f>IF($G294="","",IFERROR(INDEX('MAESTRO DE UNIDADES'!$B$2:$B$208,MATCH($G294,'MAESTRO DE UNIDADES'!$A$2:$A$208,0)),""))</f>
        <v/>
      </c>
      <c r="J294" s="4"/>
      <c r="K294" s="4"/>
      <c r="L294" s="4"/>
      <c r="M294" s="8" t="str">
        <f>IF($G294="","",IFERROR(INDEX('MAESTRO DE UNIDADES'!$H$2:$H$208,MATCH($G294,'MAESTRO DE UNIDADES'!$A$2:$A$208,0)),""))</f>
        <v/>
      </c>
      <c r="N294" s="25"/>
      <c r="O294" s="25"/>
      <c r="P294" s="26" t="str">
        <f t="shared" si="33"/>
        <v/>
      </c>
      <c r="Q294" s="27"/>
      <c r="R294" s="27"/>
      <c r="S294" s="28" t="str">
        <f>IF(OR($G294="",$Q294="",COUNTIF($G$2:G293,$G294)=0),"",$Q294-LOOKUP(2,1/($G$2:G293=$G294),$Q$2:Q293))</f>
        <v/>
      </c>
      <c r="T294" s="28" t="str">
        <f>IF(OR($G294="",$R294="",COUNTIF($G$2:G293,$G294)=0),"",$R294-LOOKUP(2,1/($G$2:G293=$G294),$R$2:R293))</f>
        <v/>
      </c>
      <c r="U294" s="11" t="str">
        <f t="shared" si="34"/>
        <v/>
      </c>
      <c r="V294" s="4"/>
      <c r="W294" s="4"/>
      <c r="X294" s="55"/>
      <c r="Y294" s="56" t="str">
        <f>IF($B294="","",IF((IF($G294="","Sin unidad | ","")&amp;IF($J294="","Sin responsable | ","")&amp;IF($K294="","Sin obra | ","")&amp;IF(AND($N294&lt;&gt;"",$G294&lt;&gt;"",$N294&gt;IFERROR(INDEX('MAESTRO DE UNIDADES'!$I$2:$I$208,MATCH($G294,'MAESTRO DE UNIDADES'!$A$2:$A$208,0)),0)),"Litros &gt; tanque | ","")&amp;IF(AND($W294&lt;&gt;"",COUNTIF($W$2:$W294,$W294)&gt;1),"Ticket duplicado | ","")&amp;IF(AND($G294&lt;&gt;"",IFERROR(INDEX('MAESTRO DE UNIDADES'!$L$2:$L$208,MATCH($G294,'MAESTRO DE UNIDADES'!$A$2:$A$208,0)),"")="Inactivo"),"Unidad inactiva | ","")&amp;IF(AND($AA294&lt;&gt;"",$N294=""),"Carga de batán sin litros | ","")&amp;IF(AND($AA294&lt;&gt;"",$AC294&lt;0),"Supera saldo batán | ",""))="","OK",LEFT((IF($G294="","Sin unidad | ","")&amp;IF($J294="","Sin responsable | ","")&amp;IF($K294="","Sin obra | ","")&amp;IF(AND($N294&lt;&gt;"",$G294&lt;&gt;"",$N294&gt;IFERROR(INDEX('MAESTRO DE UNIDADES'!$I$2:$I$208,MATCH($G294,'MAESTRO DE UNIDADES'!$A$2:$A$208,0)),0)),"Litros &gt; tanque | ","")&amp;IF(AND($W294&lt;&gt;"",COUNTIF($W$2:$W294,$W294)&gt;1),"Ticket duplicado | ","")&amp;IF(AND($G294&lt;&gt;"",IFERROR(INDEX('MAESTRO DE UNIDADES'!$L$2:$L$208,MATCH($G294,'MAESTRO DE UNIDADES'!$A$2:$A$208,0)),"")="Inactivo"),"Unidad inactiva | ","")&amp;IF(AND($AA294&lt;&gt;"",$N294=""),"Carga de batán sin litros | ","")&amp;IF(AND($AA294&lt;&gt;"",$AC294&lt;0),"Supera saldo batán | ","")),LEN((IF($G294="","Sin unidad | ","")&amp;IF($J294="","Sin responsable | ","")&amp;IF($K294="","Sin obra | ","")&amp;IF(AND($N294&lt;&gt;"",$G294&lt;&gt;"",$N294&gt;IFERROR(INDEX('MAESTRO DE UNIDADES'!$I$2:$I$208,MATCH($G294,'MAESTRO DE UNIDADES'!$A$2:$A$208,0)),0)),"Litros &gt; tanque | ","")&amp;IF(AND($W294&lt;&gt;"",COUNTIF($W$2:$W294,$W294)&gt;1),"Ticket duplicado | ","")&amp;IF(AND($G294&lt;&gt;"",IFERROR(INDEX('MAESTRO DE UNIDADES'!$L$2:$L$208,MATCH($G294,'MAESTRO DE UNIDADES'!$A$2:$A$208,0)),"")="Inactivo"),"Unidad inactiva | ","")&amp;IF(AND($AA294&lt;&gt;"",$N294=""),"Carga de batán sin litros | ","")&amp;IF(AND($AA294&lt;&gt;"",$AC294&lt;0),"Supera saldo batán | ","")))-3)))</f>
        <v/>
      </c>
      <c r="Z294" s="8" t="str">
        <f t="shared" si="35"/>
        <v/>
      </c>
      <c r="AA294" s="4"/>
      <c r="AB294" s="26" t="str">
        <f>IF($AA294="","",IFERROR(INDEX('CONTROL DE BATAN'!$J$2:$J$301,MATCH($AA294,'CONTROL DE BATAN'!$A$2:$A$301,0)),""))</f>
        <v/>
      </c>
      <c r="AC294" s="28" t="str">
        <f>IF($AA294="","",IFERROR(INDEX('CONTROL DE BATAN'!$I$2:$I$301,MATCH($AA294,'CONTROL DE BATAN'!$A$2:$A$301,0)),0)-SUMIFS($N$2:$N294,$AA$2:$AA294,$AA294))</f>
        <v/>
      </c>
    </row>
    <row r="295" spans="1:29" x14ac:dyDescent="0.25">
      <c r="A295" s="8" t="str">
        <f t="shared" si="29"/>
        <v/>
      </c>
      <c r="B295" s="9"/>
      <c r="C295" s="8" t="str">
        <f t="shared" si="30"/>
        <v/>
      </c>
      <c r="D295" s="10" t="str">
        <f t="shared" si="31"/>
        <v/>
      </c>
      <c r="E295" s="8" t="str">
        <f t="shared" si="32"/>
        <v/>
      </c>
      <c r="F295" s="8" t="str">
        <f>IF($G295="","",IFERROR(INDEX('MAESTRO DE UNIDADES'!$C$2:$C$208,MATCH($G295,'MAESTRO DE UNIDADES'!$A$2:$A$208,0)),""))</f>
        <v/>
      </c>
      <c r="G295" s="4"/>
      <c r="H295" s="8" t="str">
        <f>IF($G295="","",IFERROR(INDEX('MAESTRO DE UNIDADES'!$F$2:$F$208,MATCH($G295,'MAESTRO DE UNIDADES'!$A$2:$A$208,0)),""))</f>
        <v/>
      </c>
      <c r="I295" s="8" t="str">
        <f>IF($G295="","",IFERROR(INDEX('MAESTRO DE UNIDADES'!$B$2:$B$208,MATCH($G295,'MAESTRO DE UNIDADES'!$A$2:$A$208,0)),""))</f>
        <v/>
      </c>
      <c r="J295" s="4"/>
      <c r="K295" s="4"/>
      <c r="L295" s="4"/>
      <c r="M295" s="8" t="str">
        <f>IF($G295="","",IFERROR(INDEX('MAESTRO DE UNIDADES'!$H$2:$H$208,MATCH($G295,'MAESTRO DE UNIDADES'!$A$2:$A$208,0)),""))</f>
        <v/>
      </c>
      <c r="N295" s="25"/>
      <c r="O295" s="25"/>
      <c r="P295" s="26" t="str">
        <f t="shared" si="33"/>
        <v/>
      </c>
      <c r="Q295" s="27"/>
      <c r="R295" s="27"/>
      <c r="S295" s="28" t="str">
        <f>IF(OR($G295="",$Q295="",COUNTIF($G$2:G294,$G295)=0),"",$Q295-LOOKUP(2,1/($G$2:G294=$G295),$Q$2:Q294))</f>
        <v/>
      </c>
      <c r="T295" s="28" t="str">
        <f>IF(OR($G295="",$R295="",COUNTIF($G$2:G294,$G295)=0),"",$R295-LOOKUP(2,1/($G$2:G294=$G295),$R$2:R294))</f>
        <v/>
      </c>
      <c r="U295" s="11" t="str">
        <f t="shared" si="34"/>
        <v/>
      </c>
      <c r="V295" s="4"/>
      <c r="W295" s="4"/>
      <c r="X295" s="55"/>
      <c r="Y295" s="56" t="str">
        <f>IF($B295="","",IF((IF($G295="","Sin unidad | ","")&amp;IF($J295="","Sin responsable | ","")&amp;IF($K295="","Sin obra | ","")&amp;IF(AND($N295&lt;&gt;"",$G295&lt;&gt;"",$N295&gt;IFERROR(INDEX('MAESTRO DE UNIDADES'!$I$2:$I$208,MATCH($G295,'MAESTRO DE UNIDADES'!$A$2:$A$208,0)),0)),"Litros &gt; tanque | ","")&amp;IF(AND($W295&lt;&gt;"",COUNTIF($W$2:$W295,$W295)&gt;1),"Ticket duplicado | ","")&amp;IF(AND($G295&lt;&gt;"",IFERROR(INDEX('MAESTRO DE UNIDADES'!$L$2:$L$208,MATCH($G295,'MAESTRO DE UNIDADES'!$A$2:$A$208,0)),"")="Inactivo"),"Unidad inactiva | ","")&amp;IF(AND($AA295&lt;&gt;"",$N295=""),"Carga de batán sin litros | ","")&amp;IF(AND($AA295&lt;&gt;"",$AC295&lt;0),"Supera saldo batán | ",""))="","OK",LEFT((IF($G295="","Sin unidad | ","")&amp;IF($J295="","Sin responsable | ","")&amp;IF($K295="","Sin obra | ","")&amp;IF(AND($N295&lt;&gt;"",$G295&lt;&gt;"",$N295&gt;IFERROR(INDEX('MAESTRO DE UNIDADES'!$I$2:$I$208,MATCH($G295,'MAESTRO DE UNIDADES'!$A$2:$A$208,0)),0)),"Litros &gt; tanque | ","")&amp;IF(AND($W295&lt;&gt;"",COUNTIF($W$2:$W295,$W295)&gt;1),"Ticket duplicado | ","")&amp;IF(AND($G295&lt;&gt;"",IFERROR(INDEX('MAESTRO DE UNIDADES'!$L$2:$L$208,MATCH($G295,'MAESTRO DE UNIDADES'!$A$2:$A$208,0)),"")="Inactivo"),"Unidad inactiva | ","")&amp;IF(AND($AA295&lt;&gt;"",$N295=""),"Carga de batán sin litros | ","")&amp;IF(AND($AA295&lt;&gt;"",$AC295&lt;0),"Supera saldo batán | ","")),LEN((IF($G295="","Sin unidad | ","")&amp;IF($J295="","Sin responsable | ","")&amp;IF($K295="","Sin obra | ","")&amp;IF(AND($N295&lt;&gt;"",$G295&lt;&gt;"",$N295&gt;IFERROR(INDEX('MAESTRO DE UNIDADES'!$I$2:$I$208,MATCH($G295,'MAESTRO DE UNIDADES'!$A$2:$A$208,0)),0)),"Litros &gt; tanque | ","")&amp;IF(AND($W295&lt;&gt;"",COUNTIF($W$2:$W295,$W295)&gt;1),"Ticket duplicado | ","")&amp;IF(AND($G295&lt;&gt;"",IFERROR(INDEX('MAESTRO DE UNIDADES'!$L$2:$L$208,MATCH($G295,'MAESTRO DE UNIDADES'!$A$2:$A$208,0)),"")="Inactivo"),"Unidad inactiva | ","")&amp;IF(AND($AA295&lt;&gt;"",$N295=""),"Carga de batán sin litros | ","")&amp;IF(AND($AA295&lt;&gt;"",$AC295&lt;0),"Supera saldo batán | ","")))-3)))</f>
        <v/>
      </c>
      <c r="Z295" s="8" t="str">
        <f t="shared" si="35"/>
        <v/>
      </c>
      <c r="AA295" s="4"/>
      <c r="AB295" s="26" t="str">
        <f>IF($AA295="","",IFERROR(INDEX('CONTROL DE BATAN'!$J$2:$J$301,MATCH($AA295,'CONTROL DE BATAN'!$A$2:$A$301,0)),""))</f>
        <v/>
      </c>
      <c r="AC295" s="28" t="str">
        <f>IF($AA295="","",IFERROR(INDEX('CONTROL DE BATAN'!$I$2:$I$301,MATCH($AA295,'CONTROL DE BATAN'!$A$2:$A$301,0)),0)-SUMIFS($N$2:$N295,$AA$2:$AA295,$AA295))</f>
        <v/>
      </c>
    </row>
    <row r="296" spans="1:29" x14ac:dyDescent="0.25">
      <c r="A296" s="8" t="str">
        <f t="shared" si="29"/>
        <v/>
      </c>
      <c r="B296" s="9"/>
      <c r="C296" s="8" t="str">
        <f t="shared" si="30"/>
        <v/>
      </c>
      <c r="D296" s="10" t="str">
        <f t="shared" si="31"/>
        <v/>
      </c>
      <c r="E296" s="8" t="str">
        <f t="shared" si="32"/>
        <v/>
      </c>
      <c r="F296" s="8" t="str">
        <f>IF($G296="","",IFERROR(INDEX('MAESTRO DE UNIDADES'!$C$2:$C$208,MATCH($G296,'MAESTRO DE UNIDADES'!$A$2:$A$208,0)),""))</f>
        <v/>
      </c>
      <c r="G296" s="4"/>
      <c r="H296" s="8" t="str">
        <f>IF($G296="","",IFERROR(INDEX('MAESTRO DE UNIDADES'!$F$2:$F$208,MATCH($G296,'MAESTRO DE UNIDADES'!$A$2:$A$208,0)),""))</f>
        <v/>
      </c>
      <c r="I296" s="8" t="str">
        <f>IF($G296="","",IFERROR(INDEX('MAESTRO DE UNIDADES'!$B$2:$B$208,MATCH($G296,'MAESTRO DE UNIDADES'!$A$2:$A$208,0)),""))</f>
        <v/>
      </c>
      <c r="J296" s="4"/>
      <c r="K296" s="4"/>
      <c r="L296" s="4"/>
      <c r="M296" s="8" t="str">
        <f>IF($G296="","",IFERROR(INDEX('MAESTRO DE UNIDADES'!$H$2:$H$208,MATCH($G296,'MAESTRO DE UNIDADES'!$A$2:$A$208,0)),""))</f>
        <v/>
      </c>
      <c r="N296" s="25"/>
      <c r="O296" s="25"/>
      <c r="P296" s="26" t="str">
        <f t="shared" si="33"/>
        <v/>
      </c>
      <c r="Q296" s="27"/>
      <c r="R296" s="27"/>
      <c r="S296" s="28" t="str">
        <f>IF(OR($G296="",$Q296="",COUNTIF($G$2:G295,$G296)=0),"",$Q296-LOOKUP(2,1/($G$2:G295=$G296),$Q$2:Q295))</f>
        <v/>
      </c>
      <c r="T296" s="28" t="str">
        <f>IF(OR($G296="",$R296="",COUNTIF($G$2:G295,$G296)=0),"",$R296-LOOKUP(2,1/($G$2:G295=$G296),$R$2:R295))</f>
        <v/>
      </c>
      <c r="U296" s="11" t="str">
        <f t="shared" si="34"/>
        <v/>
      </c>
      <c r="V296" s="4"/>
      <c r="W296" s="4"/>
      <c r="X296" s="55"/>
      <c r="Y296" s="56" t="str">
        <f>IF($B296="","",IF((IF($G296="","Sin unidad | ","")&amp;IF($J296="","Sin responsable | ","")&amp;IF($K296="","Sin obra | ","")&amp;IF(AND($N296&lt;&gt;"",$G296&lt;&gt;"",$N296&gt;IFERROR(INDEX('MAESTRO DE UNIDADES'!$I$2:$I$208,MATCH($G296,'MAESTRO DE UNIDADES'!$A$2:$A$208,0)),0)),"Litros &gt; tanque | ","")&amp;IF(AND($W296&lt;&gt;"",COUNTIF($W$2:$W296,$W296)&gt;1),"Ticket duplicado | ","")&amp;IF(AND($G296&lt;&gt;"",IFERROR(INDEX('MAESTRO DE UNIDADES'!$L$2:$L$208,MATCH($G296,'MAESTRO DE UNIDADES'!$A$2:$A$208,0)),"")="Inactivo"),"Unidad inactiva | ","")&amp;IF(AND($AA296&lt;&gt;"",$N296=""),"Carga de batán sin litros | ","")&amp;IF(AND($AA296&lt;&gt;"",$AC296&lt;0),"Supera saldo batán | ",""))="","OK",LEFT((IF($G296="","Sin unidad | ","")&amp;IF($J296="","Sin responsable | ","")&amp;IF($K296="","Sin obra | ","")&amp;IF(AND($N296&lt;&gt;"",$G296&lt;&gt;"",$N296&gt;IFERROR(INDEX('MAESTRO DE UNIDADES'!$I$2:$I$208,MATCH($G296,'MAESTRO DE UNIDADES'!$A$2:$A$208,0)),0)),"Litros &gt; tanque | ","")&amp;IF(AND($W296&lt;&gt;"",COUNTIF($W$2:$W296,$W296)&gt;1),"Ticket duplicado | ","")&amp;IF(AND($G296&lt;&gt;"",IFERROR(INDEX('MAESTRO DE UNIDADES'!$L$2:$L$208,MATCH($G296,'MAESTRO DE UNIDADES'!$A$2:$A$208,0)),"")="Inactivo"),"Unidad inactiva | ","")&amp;IF(AND($AA296&lt;&gt;"",$N296=""),"Carga de batán sin litros | ","")&amp;IF(AND($AA296&lt;&gt;"",$AC296&lt;0),"Supera saldo batán | ","")),LEN((IF($G296="","Sin unidad | ","")&amp;IF($J296="","Sin responsable | ","")&amp;IF($K296="","Sin obra | ","")&amp;IF(AND($N296&lt;&gt;"",$G296&lt;&gt;"",$N296&gt;IFERROR(INDEX('MAESTRO DE UNIDADES'!$I$2:$I$208,MATCH($G296,'MAESTRO DE UNIDADES'!$A$2:$A$208,0)),0)),"Litros &gt; tanque | ","")&amp;IF(AND($W296&lt;&gt;"",COUNTIF($W$2:$W296,$W296)&gt;1),"Ticket duplicado | ","")&amp;IF(AND($G296&lt;&gt;"",IFERROR(INDEX('MAESTRO DE UNIDADES'!$L$2:$L$208,MATCH($G296,'MAESTRO DE UNIDADES'!$A$2:$A$208,0)),"")="Inactivo"),"Unidad inactiva | ","")&amp;IF(AND($AA296&lt;&gt;"",$N296=""),"Carga de batán sin litros | ","")&amp;IF(AND($AA296&lt;&gt;"",$AC296&lt;0),"Supera saldo batán | ","")))-3)))</f>
        <v/>
      </c>
      <c r="Z296" s="8" t="str">
        <f t="shared" si="35"/>
        <v/>
      </c>
      <c r="AA296" s="4"/>
      <c r="AB296" s="26" t="str">
        <f>IF($AA296="","",IFERROR(INDEX('CONTROL DE BATAN'!$J$2:$J$301,MATCH($AA296,'CONTROL DE BATAN'!$A$2:$A$301,0)),""))</f>
        <v/>
      </c>
      <c r="AC296" s="28" t="str">
        <f>IF($AA296="","",IFERROR(INDEX('CONTROL DE BATAN'!$I$2:$I$301,MATCH($AA296,'CONTROL DE BATAN'!$A$2:$A$301,0)),0)-SUMIFS($N$2:$N296,$AA$2:$AA296,$AA296))</f>
        <v/>
      </c>
    </row>
    <row r="297" spans="1:29" x14ac:dyDescent="0.25">
      <c r="A297" s="8" t="str">
        <f t="shared" si="29"/>
        <v/>
      </c>
      <c r="B297" s="9"/>
      <c r="C297" s="8" t="str">
        <f t="shared" si="30"/>
        <v/>
      </c>
      <c r="D297" s="10" t="str">
        <f t="shared" si="31"/>
        <v/>
      </c>
      <c r="E297" s="8" t="str">
        <f t="shared" si="32"/>
        <v/>
      </c>
      <c r="F297" s="8" t="str">
        <f>IF($G297="","",IFERROR(INDEX('MAESTRO DE UNIDADES'!$C$2:$C$208,MATCH($G297,'MAESTRO DE UNIDADES'!$A$2:$A$208,0)),""))</f>
        <v/>
      </c>
      <c r="G297" s="4"/>
      <c r="H297" s="8" t="str">
        <f>IF($G297="","",IFERROR(INDEX('MAESTRO DE UNIDADES'!$F$2:$F$208,MATCH($G297,'MAESTRO DE UNIDADES'!$A$2:$A$208,0)),""))</f>
        <v/>
      </c>
      <c r="I297" s="8" t="str">
        <f>IF($G297="","",IFERROR(INDEX('MAESTRO DE UNIDADES'!$B$2:$B$208,MATCH($G297,'MAESTRO DE UNIDADES'!$A$2:$A$208,0)),""))</f>
        <v/>
      </c>
      <c r="J297" s="4"/>
      <c r="K297" s="4"/>
      <c r="L297" s="4"/>
      <c r="M297" s="8" t="str">
        <f>IF($G297="","",IFERROR(INDEX('MAESTRO DE UNIDADES'!$H$2:$H$208,MATCH($G297,'MAESTRO DE UNIDADES'!$A$2:$A$208,0)),""))</f>
        <v/>
      </c>
      <c r="N297" s="25"/>
      <c r="O297" s="25"/>
      <c r="P297" s="26" t="str">
        <f t="shared" si="33"/>
        <v/>
      </c>
      <c r="Q297" s="27"/>
      <c r="R297" s="27"/>
      <c r="S297" s="28" t="str">
        <f>IF(OR($G297="",$Q297="",COUNTIF($G$2:G296,$G297)=0),"",$Q297-LOOKUP(2,1/($G$2:G296=$G297),$Q$2:Q296))</f>
        <v/>
      </c>
      <c r="T297" s="28" t="str">
        <f>IF(OR($G297="",$R297="",COUNTIF($G$2:G296,$G297)=0),"",$R297-LOOKUP(2,1/($G$2:G296=$G297),$R$2:R296))</f>
        <v/>
      </c>
      <c r="U297" s="11" t="str">
        <f t="shared" si="34"/>
        <v/>
      </c>
      <c r="V297" s="4"/>
      <c r="W297" s="4"/>
      <c r="X297" s="55"/>
      <c r="Y297" s="56" t="str">
        <f>IF($B297="","",IF((IF($G297="","Sin unidad | ","")&amp;IF($J297="","Sin responsable | ","")&amp;IF($K297="","Sin obra | ","")&amp;IF(AND($N297&lt;&gt;"",$G297&lt;&gt;"",$N297&gt;IFERROR(INDEX('MAESTRO DE UNIDADES'!$I$2:$I$208,MATCH($G297,'MAESTRO DE UNIDADES'!$A$2:$A$208,0)),0)),"Litros &gt; tanque | ","")&amp;IF(AND($W297&lt;&gt;"",COUNTIF($W$2:$W297,$W297)&gt;1),"Ticket duplicado | ","")&amp;IF(AND($G297&lt;&gt;"",IFERROR(INDEX('MAESTRO DE UNIDADES'!$L$2:$L$208,MATCH($G297,'MAESTRO DE UNIDADES'!$A$2:$A$208,0)),"")="Inactivo"),"Unidad inactiva | ","")&amp;IF(AND($AA297&lt;&gt;"",$N297=""),"Carga de batán sin litros | ","")&amp;IF(AND($AA297&lt;&gt;"",$AC297&lt;0),"Supera saldo batán | ",""))="","OK",LEFT((IF($G297="","Sin unidad | ","")&amp;IF($J297="","Sin responsable | ","")&amp;IF($K297="","Sin obra | ","")&amp;IF(AND($N297&lt;&gt;"",$G297&lt;&gt;"",$N297&gt;IFERROR(INDEX('MAESTRO DE UNIDADES'!$I$2:$I$208,MATCH($G297,'MAESTRO DE UNIDADES'!$A$2:$A$208,0)),0)),"Litros &gt; tanque | ","")&amp;IF(AND($W297&lt;&gt;"",COUNTIF($W$2:$W297,$W297)&gt;1),"Ticket duplicado | ","")&amp;IF(AND($G297&lt;&gt;"",IFERROR(INDEX('MAESTRO DE UNIDADES'!$L$2:$L$208,MATCH($G297,'MAESTRO DE UNIDADES'!$A$2:$A$208,0)),"")="Inactivo"),"Unidad inactiva | ","")&amp;IF(AND($AA297&lt;&gt;"",$N297=""),"Carga de batán sin litros | ","")&amp;IF(AND($AA297&lt;&gt;"",$AC297&lt;0),"Supera saldo batán | ","")),LEN((IF($G297="","Sin unidad | ","")&amp;IF($J297="","Sin responsable | ","")&amp;IF($K297="","Sin obra | ","")&amp;IF(AND($N297&lt;&gt;"",$G297&lt;&gt;"",$N297&gt;IFERROR(INDEX('MAESTRO DE UNIDADES'!$I$2:$I$208,MATCH($G297,'MAESTRO DE UNIDADES'!$A$2:$A$208,0)),0)),"Litros &gt; tanque | ","")&amp;IF(AND($W297&lt;&gt;"",COUNTIF($W$2:$W297,$W297)&gt;1),"Ticket duplicado | ","")&amp;IF(AND($G297&lt;&gt;"",IFERROR(INDEX('MAESTRO DE UNIDADES'!$L$2:$L$208,MATCH($G297,'MAESTRO DE UNIDADES'!$A$2:$A$208,0)),"")="Inactivo"),"Unidad inactiva | ","")&amp;IF(AND($AA297&lt;&gt;"",$N297=""),"Carga de batán sin litros | ","")&amp;IF(AND($AA297&lt;&gt;"",$AC297&lt;0),"Supera saldo batán | ","")))-3)))</f>
        <v/>
      </c>
      <c r="Z297" s="8" t="str">
        <f t="shared" si="35"/>
        <v/>
      </c>
      <c r="AA297" s="4"/>
      <c r="AB297" s="26" t="str">
        <f>IF($AA297="","",IFERROR(INDEX('CONTROL DE BATAN'!$J$2:$J$301,MATCH($AA297,'CONTROL DE BATAN'!$A$2:$A$301,0)),""))</f>
        <v/>
      </c>
      <c r="AC297" s="28" t="str">
        <f>IF($AA297="","",IFERROR(INDEX('CONTROL DE BATAN'!$I$2:$I$301,MATCH($AA297,'CONTROL DE BATAN'!$A$2:$A$301,0)),0)-SUMIFS($N$2:$N297,$AA$2:$AA297,$AA297))</f>
        <v/>
      </c>
    </row>
    <row r="298" spans="1:29" x14ac:dyDescent="0.25">
      <c r="A298" s="8" t="str">
        <f t="shared" si="29"/>
        <v/>
      </c>
      <c r="B298" s="9"/>
      <c r="C298" s="8" t="str">
        <f t="shared" si="30"/>
        <v/>
      </c>
      <c r="D298" s="10" t="str">
        <f t="shared" si="31"/>
        <v/>
      </c>
      <c r="E298" s="8" t="str">
        <f t="shared" si="32"/>
        <v/>
      </c>
      <c r="F298" s="8" t="str">
        <f>IF($G298="","",IFERROR(INDEX('MAESTRO DE UNIDADES'!$C$2:$C$208,MATCH($G298,'MAESTRO DE UNIDADES'!$A$2:$A$208,0)),""))</f>
        <v/>
      </c>
      <c r="G298" s="4"/>
      <c r="H298" s="8" t="str">
        <f>IF($G298="","",IFERROR(INDEX('MAESTRO DE UNIDADES'!$F$2:$F$208,MATCH($G298,'MAESTRO DE UNIDADES'!$A$2:$A$208,0)),""))</f>
        <v/>
      </c>
      <c r="I298" s="8" t="str">
        <f>IF($G298="","",IFERROR(INDEX('MAESTRO DE UNIDADES'!$B$2:$B$208,MATCH($G298,'MAESTRO DE UNIDADES'!$A$2:$A$208,0)),""))</f>
        <v/>
      </c>
      <c r="J298" s="4"/>
      <c r="K298" s="4"/>
      <c r="L298" s="4"/>
      <c r="M298" s="8" t="str">
        <f>IF($G298="","",IFERROR(INDEX('MAESTRO DE UNIDADES'!$H$2:$H$208,MATCH($G298,'MAESTRO DE UNIDADES'!$A$2:$A$208,0)),""))</f>
        <v/>
      </c>
      <c r="N298" s="25"/>
      <c r="O298" s="25"/>
      <c r="P298" s="26" t="str">
        <f t="shared" si="33"/>
        <v/>
      </c>
      <c r="Q298" s="27"/>
      <c r="R298" s="27"/>
      <c r="S298" s="28" t="str">
        <f>IF(OR($G298="",$Q298="",COUNTIF($G$2:G297,$G298)=0),"",$Q298-LOOKUP(2,1/($G$2:G297=$G298),$Q$2:Q297))</f>
        <v/>
      </c>
      <c r="T298" s="28" t="str">
        <f>IF(OR($G298="",$R298="",COUNTIF($G$2:G297,$G298)=0),"",$R298-LOOKUP(2,1/($G$2:G297=$G298),$R$2:R297))</f>
        <v/>
      </c>
      <c r="U298" s="11" t="str">
        <f t="shared" si="34"/>
        <v/>
      </c>
      <c r="V298" s="4"/>
      <c r="W298" s="4"/>
      <c r="X298" s="55"/>
      <c r="Y298" s="56" t="str">
        <f>IF($B298="","",IF((IF($G298="","Sin unidad | ","")&amp;IF($J298="","Sin responsable | ","")&amp;IF($K298="","Sin obra | ","")&amp;IF(AND($N298&lt;&gt;"",$G298&lt;&gt;"",$N298&gt;IFERROR(INDEX('MAESTRO DE UNIDADES'!$I$2:$I$208,MATCH($G298,'MAESTRO DE UNIDADES'!$A$2:$A$208,0)),0)),"Litros &gt; tanque | ","")&amp;IF(AND($W298&lt;&gt;"",COUNTIF($W$2:$W298,$W298)&gt;1),"Ticket duplicado | ","")&amp;IF(AND($G298&lt;&gt;"",IFERROR(INDEX('MAESTRO DE UNIDADES'!$L$2:$L$208,MATCH($G298,'MAESTRO DE UNIDADES'!$A$2:$A$208,0)),"")="Inactivo"),"Unidad inactiva | ","")&amp;IF(AND($AA298&lt;&gt;"",$N298=""),"Carga de batán sin litros | ","")&amp;IF(AND($AA298&lt;&gt;"",$AC298&lt;0),"Supera saldo batán | ",""))="","OK",LEFT((IF($G298="","Sin unidad | ","")&amp;IF($J298="","Sin responsable | ","")&amp;IF($K298="","Sin obra | ","")&amp;IF(AND($N298&lt;&gt;"",$G298&lt;&gt;"",$N298&gt;IFERROR(INDEX('MAESTRO DE UNIDADES'!$I$2:$I$208,MATCH($G298,'MAESTRO DE UNIDADES'!$A$2:$A$208,0)),0)),"Litros &gt; tanque | ","")&amp;IF(AND($W298&lt;&gt;"",COUNTIF($W$2:$W298,$W298)&gt;1),"Ticket duplicado | ","")&amp;IF(AND($G298&lt;&gt;"",IFERROR(INDEX('MAESTRO DE UNIDADES'!$L$2:$L$208,MATCH($G298,'MAESTRO DE UNIDADES'!$A$2:$A$208,0)),"")="Inactivo"),"Unidad inactiva | ","")&amp;IF(AND($AA298&lt;&gt;"",$N298=""),"Carga de batán sin litros | ","")&amp;IF(AND($AA298&lt;&gt;"",$AC298&lt;0),"Supera saldo batán | ","")),LEN((IF($G298="","Sin unidad | ","")&amp;IF($J298="","Sin responsable | ","")&amp;IF($K298="","Sin obra | ","")&amp;IF(AND($N298&lt;&gt;"",$G298&lt;&gt;"",$N298&gt;IFERROR(INDEX('MAESTRO DE UNIDADES'!$I$2:$I$208,MATCH($G298,'MAESTRO DE UNIDADES'!$A$2:$A$208,0)),0)),"Litros &gt; tanque | ","")&amp;IF(AND($W298&lt;&gt;"",COUNTIF($W$2:$W298,$W298)&gt;1),"Ticket duplicado | ","")&amp;IF(AND($G298&lt;&gt;"",IFERROR(INDEX('MAESTRO DE UNIDADES'!$L$2:$L$208,MATCH($G298,'MAESTRO DE UNIDADES'!$A$2:$A$208,0)),"")="Inactivo"),"Unidad inactiva | ","")&amp;IF(AND($AA298&lt;&gt;"",$N298=""),"Carga de batán sin litros | ","")&amp;IF(AND($AA298&lt;&gt;"",$AC298&lt;0),"Supera saldo batán | ","")))-3)))</f>
        <v/>
      </c>
      <c r="Z298" s="8" t="str">
        <f t="shared" si="35"/>
        <v/>
      </c>
      <c r="AA298" s="4"/>
      <c r="AB298" s="26" t="str">
        <f>IF($AA298="","",IFERROR(INDEX('CONTROL DE BATAN'!$J$2:$J$301,MATCH($AA298,'CONTROL DE BATAN'!$A$2:$A$301,0)),""))</f>
        <v/>
      </c>
      <c r="AC298" s="28" t="str">
        <f>IF($AA298="","",IFERROR(INDEX('CONTROL DE BATAN'!$I$2:$I$301,MATCH($AA298,'CONTROL DE BATAN'!$A$2:$A$301,0)),0)-SUMIFS($N$2:$N298,$AA$2:$AA298,$AA298))</f>
        <v/>
      </c>
    </row>
    <row r="299" spans="1:29" x14ac:dyDescent="0.25">
      <c r="A299" s="8" t="str">
        <f t="shared" si="29"/>
        <v/>
      </c>
      <c r="B299" s="9"/>
      <c r="C299" s="8" t="str">
        <f t="shared" si="30"/>
        <v/>
      </c>
      <c r="D299" s="10" t="str">
        <f t="shared" si="31"/>
        <v/>
      </c>
      <c r="E299" s="8" t="str">
        <f t="shared" si="32"/>
        <v/>
      </c>
      <c r="F299" s="8" t="str">
        <f>IF($G299="","",IFERROR(INDEX('MAESTRO DE UNIDADES'!$C$2:$C$208,MATCH($G299,'MAESTRO DE UNIDADES'!$A$2:$A$208,0)),""))</f>
        <v/>
      </c>
      <c r="G299" s="4"/>
      <c r="H299" s="8" t="str">
        <f>IF($G299="","",IFERROR(INDEX('MAESTRO DE UNIDADES'!$F$2:$F$208,MATCH($G299,'MAESTRO DE UNIDADES'!$A$2:$A$208,0)),""))</f>
        <v/>
      </c>
      <c r="I299" s="8" t="str">
        <f>IF($G299="","",IFERROR(INDEX('MAESTRO DE UNIDADES'!$B$2:$B$208,MATCH($G299,'MAESTRO DE UNIDADES'!$A$2:$A$208,0)),""))</f>
        <v/>
      </c>
      <c r="J299" s="4"/>
      <c r="K299" s="4"/>
      <c r="L299" s="4"/>
      <c r="M299" s="8" t="str">
        <f>IF($G299="","",IFERROR(INDEX('MAESTRO DE UNIDADES'!$H$2:$H$208,MATCH($G299,'MAESTRO DE UNIDADES'!$A$2:$A$208,0)),""))</f>
        <v/>
      </c>
      <c r="N299" s="25"/>
      <c r="O299" s="25"/>
      <c r="P299" s="26" t="str">
        <f t="shared" si="33"/>
        <v/>
      </c>
      <c r="Q299" s="27"/>
      <c r="R299" s="27"/>
      <c r="S299" s="28" t="str">
        <f>IF(OR($G299="",$Q299="",COUNTIF($G$2:G298,$G299)=0),"",$Q299-LOOKUP(2,1/($G$2:G298=$G299),$Q$2:Q298))</f>
        <v/>
      </c>
      <c r="T299" s="28" t="str">
        <f>IF(OR($G299="",$R299="",COUNTIF($G$2:G298,$G299)=0),"",$R299-LOOKUP(2,1/($G$2:G298=$G299),$R$2:R298))</f>
        <v/>
      </c>
      <c r="U299" s="11" t="str">
        <f t="shared" si="34"/>
        <v/>
      </c>
      <c r="V299" s="4"/>
      <c r="W299" s="4"/>
      <c r="X299" s="55"/>
      <c r="Y299" s="56" t="str">
        <f>IF($B299="","",IF((IF($G299="","Sin unidad | ","")&amp;IF($J299="","Sin responsable | ","")&amp;IF($K299="","Sin obra | ","")&amp;IF(AND($N299&lt;&gt;"",$G299&lt;&gt;"",$N299&gt;IFERROR(INDEX('MAESTRO DE UNIDADES'!$I$2:$I$208,MATCH($G299,'MAESTRO DE UNIDADES'!$A$2:$A$208,0)),0)),"Litros &gt; tanque | ","")&amp;IF(AND($W299&lt;&gt;"",COUNTIF($W$2:$W299,$W299)&gt;1),"Ticket duplicado | ","")&amp;IF(AND($G299&lt;&gt;"",IFERROR(INDEX('MAESTRO DE UNIDADES'!$L$2:$L$208,MATCH($G299,'MAESTRO DE UNIDADES'!$A$2:$A$208,0)),"")="Inactivo"),"Unidad inactiva | ","")&amp;IF(AND($AA299&lt;&gt;"",$N299=""),"Carga de batán sin litros | ","")&amp;IF(AND($AA299&lt;&gt;"",$AC299&lt;0),"Supera saldo batán | ",""))="","OK",LEFT((IF($G299="","Sin unidad | ","")&amp;IF($J299="","Sin responsable | ","")&amp;IF($K299="","Sin obra | ","")&amp;IF(AND($N299&lt;&gt;"",$G299&lt;&gt;"",$N299&gt;IFERROR(INDEX('MAESTRO DE UNIDADES'!$I$2:$I$208,MATCH($G299,'MAESTRO DE UNIDADES'!$A$2:$A$208,0)),0)),"Litros &gt; tanque | ","")&amp;IF(AND($W299&lt;&gt;"",COUNTIF($W$2:$W299,$W299)&gt;1),"Ticket duplicado | ","")&amp;IF(AND($G299&lt;&gt;"",IFERROR(INDEX('MAESTRO DE UNIDADES'!$L$2:$L$208,MATCH($G299,'MAESTRO DE UNIDADES'!$A$2:$A$208,0)),"")="Inactivo"),"Unidad inactiva | ","")&amp;IF(AND($AA299&lt;&gt;"",$N299=""),"Carga de batán sin litros | ","")&amp;IF(AND($AA299&lt;&gt;"",$AC299&lt;0),"Supera saldo batán | ","")),LEN((IF($G299="","Sin unidad | ","")&amp;IF($J299="","Sin responsable | ","")&amp;IF($K299="","Sin obra | ","")&amp;IF(AND($N299&lt;&gt;"",$G299&lt;&gt;"",$N299&gt;IFERROR(INDEX('MAESTRO DE UNIDADES'!$I$2:$I$208,MATCH($G299,'MAESTRO DE UNIDADES'!$A$2:$A$208,0)),0)),"Litros &gt; tanque | ","")&amp;IF(AND($W299&lt;&gt;"",COUNTIF($W$2:$W299,$W299)&gt;1),"Ticket duplicado | ","")&amp;IF(AND($G299&lt;&gt;"",IFERROR(INDEX('MAESTRO DE UNIDADES'!$L$2:$L$208,MATCH($G299,'MAESTRO DE UNIDADES'!$A$2:$A$208,0)),"")="Inactivo"),"Unidad inactiva | ","")&amp;IF(AND($AA299&lt;&gt;"",$N299=""),"Carga de batán sin litros | ","")&amp;IF(AND($AA299&lt;&gt;"",$AC299&lt;0),"Supera saldo batán | ","")))-3)))</f>
        <v/>
      </c>
      <c r="Z299" s="8" t="str">
        <f t="shared" si="35"/>
        <v/>
      </c>
      <c r="AA299" s="4"/>
      <c r="AB299" s="26" t="str">
        <f>IF($AA299="","",IFERROR(INDEX('CONTROL DE BATAN'!$J$2:$J$301,MATCH($AA299,'CONTROL DE BATAN'!$A$2:$A$301,0)),""))</f>
        <v/>
      </c>
      <c r="AC299" s="28" t="str">
        <f>IF($AA299="","",IFERROR(INDEX('CONTROL DE BATAN'!$I$2:$I$301,MATCH($AA299,'CONTROL DE BATAN'!$A$2:$A$301,0)),0)-SUMIFS($N$2:$N299,$AA$2:$AA299,$AA299))</f>
        <v/>
      </c>
    </row>
    <row r="300" spans="1:29" x14ac:dyDescent="0.25">
      <c r="A300" s="8" t="str">
        <f t="shared" si="29"/>
        <v/>
      </c>
      <c r="B300" s="9"/>
      <c r="C300" s="8" t="str">
        <f t="shared" si="30"/>
        <v/>
      </c>
      <c r="D300" s="10" t="str">
        <f t="shared" si="31"/>
        <v/>
      </c>
      <c r="E300" s="8" t="str">
        <f t="shared" si="32"/>
        <v/>
      </c>
      <c r="F300" s="8" t="str">
        <f>IF($G300="","",IFERROR(INDEX('MAESTRO DE UNIDADES'!$C$2:$C$208,MATCH($G300,'MAESTRO DE UNIDADES'!$A$2:$A$208,0)),""))</f>
        <v/>
      </c>
      <c r="G300" s="4"/>
      <c r="H300" s="8" t="str">
        <f>IF($G300="","",IFERROR(INDEX('MAESTRO DE UNIDADES'!$F$2:$F$208,MATCH($G300,'MAESTRO DE UNIDADES'!$A$2:$A$208,0)),""))</f>
        <v/>
      </c>
      <c r="I300" s="8" t="str">
        <f>IF($G300="","",IFERROR(INDEX('MAESTRO DE UNIDADES'!$B$2:$B$208,MATCH($G300,'MAESTRO DE UNIDADES'!$A$2:$A$208,0)),""))</f>
        <v/>
      </c>
      <c r="J300" s="4"/>
      <c r="K300" s="4"/>
      <c r="L300" s="4"/>
      <c r="M300" s="8" t="str">
        <f>IF($G300="","",IFERROR(INDEX('MAESTRO DE UNIDADES'!$H$2:$H$208,MATCH($G300,'MAESTRO DE UNIDADES'!$A$2:$A$208,0)),""))</f>
        <v/>
      </c>
      <c r="N300" s="25"/>
      <c r="O300" s="25"/>
      <c r="P300" s="26" t="str">
        <f t="shared" si="33"/>
        <v/>
      </c>
      <c r="Q300" s="27"/>
      <c r="R300" s="27"/>
      <c r="S300" s="28" t="str">
        <f>IF(OR($G300="",$Q300="",COUNTIF($G$2:G299,$G300)=0),"",$Q300-LOOKUP(2,1/($G$2:G299=$G300),$Q$2:Q299))</f>
        <v/>
      </c>
      <c r="T300" s="28" t="str">
        <f>IF(OR($G300="",$R300="",COUNTIF($G$2:G299,$G300)=0),"",$R300-LOOKUP(2,1/($G$2:G299=$G300),$R$2:R299))</f>
        <v/>
      </c>
      <c r="U300" s="11" t="str">
        <f t="shared" si="34"/>
        <v/>
      </c>
      <c r="V300" s="4"/>
      <c r="W300" s="4"/>
      <c r="X300" s="55"/>
      <c r="Y300" s="56" t="str">
        <f>IF($B300="","",IF((IF($G300="","Sin unidad | ","")&amp;IF($J300="","Sin responsable | ","")&amp;IF($K300="","Sin obra | ","")&amp;IF(AND($N300&lt;&gt;"",$G300&lt;&gt;"",$N300&gt;IFERROR(INDEX('MAESTRO DE UNIDADES'!$I$2:$I$208,MATCH($G300,'MAESTRO DE UNIDADES'!$A$2:$A$208,0)),0)),"Litros &gt; tanque | ","")&amp;IF(AND($W300&lt;&gt;"",COUNTIF($W$2:$W300,$W300)&gt;1),"Ticket duplicado | ","")&amp;IF(AND($G300&lt;&gt;"",IFERROR(INDEX('MAESTRO DE UNIDADES'!$L$2:$L$208,MATCH($G300,'MAESTRO DE UNIDADES'!$A$2:$A$208,0)),"")="Inactivo"),"Unidad inactiva | ","")&amp;IF(AND($AA300&lt;&gt;"",$N300=""),"Carga de batán sin litros | ","")&amp;IF(AND($AA300&lt;&gt;"",$AC300&lt;0),"Supera saldo batán | ",""))="","OK",LEFT((IF($G300="","Sin unidad | ","")&amp;IF($J300="","Sin responsable | ","")&amp;IF($K300="","Sin obra | ","")&amp;IF(AND($N300&lt;&gt;"",$G300&lt;&gt;"",$N300&gt;IFERROR(INDEX('MAESTRO DE UNIDADES'!$I$2:$I$208,MATCH($G300,'MAESTRO DE UNIDADES'!$A$2:$A$208,0)),0)),"Litros &gt; tanque | ","")&amp;IF(AND($W300&lt;&gt;"",COUNTIF($W$2:$W300,$W300)&gt;1),"Ticket duplicado | ","")&amp;IF(AND($G300&lt;&gt;"",IFERROR(INDEX('MAESTRO DE UNIDADES'!$L$2:$L$208,MATCH($G300,'MAESTRO DE UNIDADES'!$A$2:$A$208,0)),"")="Inactivo"),"Unidad inactiva | ","")&amp;IF(AND($AA300&lt;&gt;"",$N300=""),"Carga de batán sin litros | ","")&amp;IF(AND($AA300&lt;&gt;"",$AC300&lt;0),"Supera saldo batán | ","")),LEN((IF($G300="","Sin unidad | ","")&amp;IF($J300="","Sin responsable | ","")&amp;IF($K300="","Sin obra | ","")&amp;IF(AND($N300&lt;&gt;"",$G300&lt;&gt;"",$N300&gt;IFERROR(INDEX('MAESTRO DE UNIDADES'!$I$2:$I$208,MATCH($G300,'MAESTRO DE UNIDADES'!$A$2:$A$208,0)),0)),"Litros &gt; tanque | ","")&amp;IF(AND($W300&lt;&gt;"",COUNTIF($W$2:$W300,$W300)&gt;1),"Ticket duplicado | ","")&amp;IF(AND($G300&lt;&gt;"",IFERROR(INDEX('MAESTRO DE UNIDADES'!$L$2:$L$208,MATCH($G300,'MAESTRO DE UNIDADES'!$A$2:$A$208,0)),"")="Inactivo"),"Unidad inactiva | ","")&amp;IF(AND($AA300&lt;&gt;"",$N300=""),"Carga de batán sin litros | ","")&amp;IF(AND($AA300&lt;&gt;"",$AC300&lt;0),"Supera saldo batán | ","")))-3)))</f>
        <v/>
      </c>
      <c r="Z300" s="8" t="str">
        <f t="shared" si="35"/>
        <v/>
      </c>
      <c r="AA300" s="4"/>
      <c r="AB300" s="26" t="str">
        <f>IF($AA300="","",IFERROR(INDEX('CONTROL DE BATAN'!$J$2:$J$301,MATCH($AA300,'CONTROL DE BATAN'!$A$2:$A$301,0)),""))</f>
        <v/>
      </c>
      <c r="AC300" s="28" t="str">
        <f>IF($AA300="","",IFERROR(INDEX('CONTROL DE BATAN'!$I$2:$I$301,MATCH($AA300,'CONTROL DE BATAN'!$A$2:$A$301,0)),0)-SUMIFS($N$2:$N300,$AA$2:$AA300,$AA300))</f>
        <v/>
      </c>
    </row>
    <row r="301" spans="1:29" x14ac:dyDescent="0.25">
      <c r="A301" s="8" t="str">
        <f t="shared" si="29"/>
        <v/>
      </c>
      <c r="B301" s="9"/>
      <c r="C301" s="8" t="str">
        <f t="shared" si="30"/>
        <v/>
      </c>
      <c r="D301" s="10" t="str">
        <f t="shared" si="31"/>
        <v/>
      </c>
      <c r="E301" s="8" t="str">
        <f t="shared" si="32"/>
        <v/>
      </c>
      <c r="F301" s="8" t="str">
        <f>IF($G301="","",IFERROR(INDEX('MAESTRO DE UNIDADES'!$C$2:$C$208,MATCH($G301,'MAESTRO DE UNIDADES'!$A$2:$A$208,0)),""))</f>
        <v/>
      </c>
      <c r="G301" s="4"/>
      <c r="H301" s="8" t="str">
        <f>IF($G301="","",IFERROR(INDEX('MAESTRO DE UNIDADES'!$F$2:$F$208,MATCH($G301,'MAESTRO DE UNIDADES'!$A$2:$A$208,0)),""))</f>
        <v/>
      </c>
      <c r="I301" s="8" t="str">
        <f>IF($G301="","",IFERROR(INDEX('MAESTRO DE UNIDADES'!$B$2:$B$208,MATCH($G301,'MAESTRO DE UNIDADES'!$A$2:$A$208,0)),""))</f>
        <v/>
      </c>
      <c r="J301" s="4"/>
      <c r="K301" s="4"/>
      <c r="L301" s="4"/>
      <c r="M301" s="8" t="str">
        <f>IF($G301="","",IFERROR(INDEX('MAESTRO DE UNIDADES'!$H$2:$H$208,MATCH($G301,'MAESTRO DE UNIDADES'!$A$2:$A$208,0)),""))</f>
        <v/>
      </c>
      <c r="N301" s="25"/>
      <c r="O301" s="25"/>
      <c r="P301" s="26" t="str">
        <f t="shared" si="33"/>
        <v/>
      </c>
      <c r="Q301" s="27"/>
      <c r="R301" s="27"/>
      <c r="S301" s="28" t="str">
        <f>IF(OR($G301="",$Q301="",COUNTIF($G$2:G300,$G301)=0),"",$Q301-LOOKUP(2,1/($G$2:G300=$G301),$Q$2:Q300))</f>
        <v/>
      </c>
      <c r="T301" s="28" t="str">
        <f>IF(OR($G301="",$R301="",COUNTIF($G$2:G300,$G301)=0),"",$R301-LOOKUP(2,1/($G$2:G300=$G301),$R$2:R300))</f>
        <v/>
      </c>
      <c r="U301" s="11" t="str">
        <f t="shared" si="34"/>
        <v/>
      </c>
      <c r="V301" s="4"/>
      <c r="W301" s="4"/>
      <c r="X301" s="55"/>
      <c r="Y301" s="56" t="str">
        <f>IF($B301="","",IF((IF($G301="","Sin unidad | ","")&amp;IF($J301="","Sin responsable | ","")&amp;IF($K301="","Sin obra | ","")&amp;IF(AND($N301&lt;&gt;"",$G301&lt;&gt;"",$N301&gt;IFERROR(INDEX('MAESTRO DE UNIDADES'!$I$2:$I$208,MATCH($G301,'MAESTRO DE UNIDADES'!$A$2:$A$208,0)),0)),"Litros &gt; tanque | ","")&amp;IF(AND($W301&lt;&gt;"",COUNTIF($W$2:$W301,$W301)&gt;1),"Ticket duplicado | ","")&amp;IF(AND($G301&lt;&gt;"",IFERROR(INDEX('MAESTRO DE UNIDADES'!$L$2:$L$208,MATCH($G301,'MAESTRO DE UNIDADES'!$A$2:$A$208,0)),"")="Inactivo"),"Unidad inactiva | ","")&amp;IF(AND($AA301&lt;&gt;"",$N301=""),"Carga de batán sin litros | ","")&amp;IF(AND($AA301&lt;&gt;"",$AC301&lt;0),"Supera saldo batán | ",""))="","OK",LEFT((IF($G301="","Sin unidad | ","")&amp;IF($J301="","Sin responsable | ","")&amp;IF($K301="","Sin obra | ","")&amp;IF(AND($N301&lt;&gt;"",$G301&lt;&gt;"",$N301&gt;IFERROR(INDEX('MAESTRO DE UNIDADES'!$I$2:$I$208,MATCH($G301,'MAESTRO DE UNIDADES'!$A$2:$A$208,0)),0)),"Litros &gt; tanque | ","")&amp;IF(AND($W301&lt;&gt;"",COUNTIF($W$2:$W301,$W301)&gt;1),"Ticket duplicado | ","")&amp;IF(AND($G301&lt;&gt;"",IFERROR(INDEX('MAESTRO DE UNIDADES'!$L$2:$L$208,MATCH($G301,'MAESTRO DE UNIDADES'!$A$2:$A$208,0)),"")="Inactivo"),"Unidad inactiva | ","")&amp;IF(AND($AA301&lt;&gt;"",$N301=""),"Carga de batán sin litros | ","")&amp;IF(AND($AA301&lt;&gt;"",$AC301&lt;0),"Supera saldo batán | ","")),LEN((IF($G301="","Sin unidad | ","")&amp;IF($J301="","Sin responsable | ","")&amp;IF($K301="","Sin obra | ","")&amp;IF(AND($N301&lt;&gt;"",$G301&lt;&gt;"",$N301&gt;IFERROR(INDEX('MAESTRO DE UNIDADES'!$I$2:$I$208,MATCH($G301,'MAESTRO DE UNIDADES'!$A$2:$A$208,0)),0)),"Litros &gt; tanque | ","")&amp;IF(AND($W301&lt;&gt;"",COUNTIF($W$2:$W301,$W301)&gt;1),"Ticket duplicado | ","")&amp;IF(AND($G301&lt;&gt;"",IFERROR(INDEX('MAESTRO DE UNIDADES'!$L$2:$L$208,MATCH($G301,'MAESTRO DE UNIDADES'!$A$2:$A$208,0)),"")="Inactivo"),"Unidad inactiva | ","")&amp;IF(AND($AA301&lt;&gt;"",$N301=""),"Carga de batán sin litros | ","")&amp;IF(AND($AA301&lt;&gt;"",$AC301&lt;0),"Supera saldo batán | ","")))-3)))</f>
        <v/>
      </c>
      <c r="Z301" s="8" t="str">
        <f t="shared" si="35"/>
        <v/>
      </c>
      <c r="AA301" s="4"/>
      <c r="AB301" s="26" t="str">
        <f>IF($AA301="","",IFERROR(INDEX('CONTROL DE BATAN'!$J$2:$J$301,MATCH($AA301,'CONTROL DE BATAN'!$A$2:$A$301,0)),""))</f>
        <v/>
      </c>
      <c r="AC301" s="28" t="str">
        <f>IF($AA301="","",IFERROR(INDEX('CONTROL DE BATAN'!$I$2:$I$301,MATCH($AA301,'CONTROL DE BATAN'!$A$2:$A$301,0)),0)-SUMIFS($N$2:$N301,$AA$2:$AA301,$AA301))</f>
        <v/>
      </c>
    </row>
  </sheetData>
  <conditionalFormatting sqref="G2:G301">
    <cfRule type="expression" dxfId="5" priority="2">
      <formula>AND($B2&lt;&gt;"",$G2="")</formula>
    </cfRule>
  </conditionalFormatting>
  <conditionalFormatting sqref="J2:J301">
    <cfRule type="expression" dxfId="4" priority="3">
      <formula>AND($B2&lt;&gt;"",$J2="")</formula>
    </cfRule>
  </conditionalFormatting>
  <conditionalFormatting sqref="K2:K301">
    <cfRule type="expression" dxfId="3" priority="4">
      <formula>AND($B2&lt;&gt;"",$K2="")</formula>
    </cfRule>
  </conditionalFormatting>
  <conditionalFormatting sqref="W2:W301">
    <cfRule type="expression" dxfId="2" priority="6">
      <formula>AND($W2&lt;&gt;"",COUNTIF($W$2:$W2,$W2)&gt;1)</formula>
    </cfRule>
  </conditionalFormatting>
  <conditionalFormatting sqref="Y2:Y301">
    <cfRule type="cellIs" dxfId="1" priority="1" operator="notEqual">
      <formula>"OK"</formula>
    </cfRule>
  </conditionalFormatting>
  <dataValidations count="8">
    <dataValidation type="date" allowBlank="1" sqref="B2:B301" xr:uid="{00000000-0002-0000-0400-000000000000}">
      <formula1>DATE(2024,1,1)</formula1>
      <formula2>DATE(2035,12,31)</formula2>
    </dataValidation>
    <dataValidation type="list" allowBlank="1" sqref="G2:G301" xr:uid="{00000000-0002-0000-0400-000001000000}">
      <formula1>Lista_Codigos</formula1>
    </dataValidation>
    <dataValidation type="list" allowBlank="1" sqref="J2:J301" xr:uid="{00000000-0002-0000-0400-000002000000}">
      <formula1>Lista_Responsables</formula1>
    </dataValidation>
    <dataValidation type="list" allowBlank="1" sqref="K2:K301" xr:uid="{00000000-0002-0000-0400-000003000000}">
      <formula1>Lista_Obras</formula1>
    </dataValidation>
    <dataValidation type="list" allowBlank="1" sqref="L2:L301" xr:uid="{00000000-0002-0000-0400-000004000000}">
      <formula1>Lista_Proveedores</formula1>
    </dataValidation>
    <dataValidation type="list" allowBlank="1" sqref="V2:V301" xr:uid="{00000000-0002-0000-0400-000005000000}">
      <formula1>Lista_MetodoPago</formula1>
    </dataValidation>
    <dataValidation type="decimal" operator="greaterThanOrEqual" allowBlank="1" sqref="N2:O301 Q2:R301" xr:uid="{00000000-0002-0000-0400-000006000000}">
      <formula1>0</formula1>
    </dataValidation>
    <dataValidation type="list" allowBlank="1" sqref="AA2:AA301" xr:uid="{00000000-0002-0000-0400-000007000000}">
      <formula1>Lista_Cargas_Batan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01"/>
  <sheetViews>
    <sheetView workbookViewId="0">
      <selection activeCell="C35" sqref="C35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13" customWidth="1"/>
    <col min="4" max="4" width="8" customWidth="1"/>
    <col min="5" max="5" width="18" customWidth="1"/>
    <col min="6" max="6" width="12" customWidth="1"/>
    <col min="7" max="7" width="18" customWidth="1"/>
    <col min="8" max="9" width="16" customWidth="1"/>
    <col min="10" max="11" width="14" customWidth="1"/>
    <col min="12" max="14" width="18" customWidth="1"/>
    <col min="15" max="15" width="24" customWidth="1"/>
    <col min="16" max="16" width="18" customWidth="1"/>
    <col min="17" max="17" width="14" customWidth="1"/>
    <col min="18" max="18" width="18" customWidth="1"/>
    <col min="19" max="19" width="35.5703125" customWidth="1"/>
  </cols>
  <sheetData>
    <row r="1" spans="1:19" ht="43.15" customHeight="1" x14ac:dyDescent="0.25">
      <c r="A1" s="7" t="s">
        <v>159</v>
      </c>
      <c r="B1" s="7" t="s">
        <v>134</v>
      </c>
      <c r="C1" s="7" t="s">
        <v>135</v>
      </c>
      <c r="D1" s="7" t="s">
        <v>19</v>
      </c>
      <c r="E1" s="7" t="s">
        <v>160</v>
      </c>
      <c r="F1" s="7" t="s">
        <v>161</v>
      </c>
      <c r="G1" s="7" t="s">
        <v>140</v>
      </c>
      <c r="H1" s="7" t="s">
        <v>20</v>
      </c>
      <c r="I1" s="7" t="s">
        <v>162</v>
      </c>
      <c r="J1" s="7" t="s">
        <v>142</v>
      </c>
      <c r="K1" s="7" t="s">
        <v>143</v>
      </c>
      <c r="L1" s="7" t="s">
        <v>163</v>
      </c>
      <c r="M1" s="7" t="s">
        <v>164</v>
      </c>
      <c r="N1" s="7" t="s">
        <v>138</v>
      </c>
      <c r="O1" s="7" t="s">
        <v>139</v>
      </c>
      <c r="P1" s="7" t="s">
        <v>165</v>
      </c>
      <c r="Q1" s="7" t="s">
        <v>166</v>
      </c>
      <c r="R1" s="7" t="s">
        <v>167</v>
      </c>
      <c r="S1" s="7" t="s">
        <v>96</v>
      </c>
    </row>
    <row r="2" spans="1:19" x14ac:dyDescent="0.25">
      <c r="A2" s="8" t="str">
        <f t="shared" ref="A2:A65" si="0">IF(B2="","","BATAN-"&amp;TEXT(ROW()-1,"0000"))</f>
        <v>BATAN-0001</v>
      </c>
      <c r="B2" s="9">
        <v>46146</v>
      </c>
      <c r="C2" s="8" t="str">
        <f t="shared" ref="C2:C65" si="1">IF(B2="","",CHOOSE(MONTH(B2),"Enero","Febrero","Marzo","Abril","Mayo","Junio","Julio","Agosto","Septiembre","Octubre","Noviembre","Diciembre"))</f>
        <v>Mayo</v>
      </c>
      <c r="D2" s="10">
        <f t="shared" ref="D2:D65" si="2">IF(B2="","",YEAR(B2))</f>
        <v>2026</v>
      </c>
      <c r="E2" s="8" t="str">
        <f t="shared" ref="E2:E65" si="3">IF(B2="","","Batán 200 L")</f>
        <v>Batán 200 L</v>
      </c>
      <c r="F2" s="28">
        <f t="shared" ref="F2:F65" si="4">IF(B2="","",200)</f>
        <v>200</v>
      </c>
      <c r="G2" s="4" t="s">
        <v>156</v>
      </c>
      <c r="H2" s="8" t="s">
        <v>168</v>
      </c>
      <c r="I2" s="50">
        <v>200</v>
      </c>
      <c r="J2" s="25"/>
      <c r="K2" s="26"/>
      <c r="L2" s="51"/>
      <c r="M2" s="51"/>
      <c r="N2" s="4"/>
      <c r="O2" s="4"/>
      <c r="P2" s="28">
        <f>IF(A2="","",SUMIFS('CARGAS DE COMBUSTIBLE'!$N$2:$N$301,'CARGAS DE COMBUSTIBLE'!$AA$2:$AA$301,A2))</f>
        <v>0</v>
      </c>
      <c r="Q2" s="28">
        <f t="shared" ref="Q2:Q65" si="5">IF(A2="","",IF(I2="","",I2-P2))</f>
        <v>200</v>
      </c>
      <c r="R2" s="56" t="str">
        <f t="shared" ref="R2:R65" si="6">IF(A2="","",IF(Q2&lt;0,"Excedido",IF(Q2=0,"Consumido","Disponible")))</f>
        <v>Disponible</v>
      </c>
      <c r="S2" s="52"/>
    </row>
    <row r="3" spans="1:19" x14ac:dyDescent="0.25">
      <c r="A3" s="8" t="str">
        <f t="shared" si="0"/>
        <v>BATAN-0002</v>
      </c>
      <c r="B3" s="9">
        <v>46154</v>
      </c>
      <c r="C3" s="8" t="str">
        <f t="shared" si="1"/>
        <v>Mayo</v>
      </c>
      <c r="D3" s="10">
        <f t="shared" si="2"/>
        <v>2026</v>
      </c>
      <c r="E3" s="8" t="str">
        <f t="shared" si="3"/>
        <v>Batán 200 L</v>
      </c>
      <c r="F3" s="28">
        <f t="shared" si="4"/>
        <v>200</v>
      </c>
      <c r="G3" s="4" t="s">
        <v>156</v>
      </c>
      <c r="H3" s="8" t="s">
        <v>168</v>
      </c>
      <c r="I3" s="50">
        <v>200</v>
      </c>
      <c r="J3" s="25"/>
      <c r="K3" s="26"/>
      <c r="L3" s="51"/>
      <c r="M3" s="51"/>
      <c r="N3" s="4"/>
      <c r="O3" s="4"/>
      <c r="P3" s="28">
        <f>IF(A3="","",SUMIFS('CARGAS DE COMBUSTIBLE'!$N$2:$N$301,'CARGAS DE COMBUSTIBLE'!$AA$2:$AA$301,A3))</f>
        <v>0</v>
      </c>
      <c r="Q3" s="28">
        <f t="shared" si="5"/>
        <v>200</v>
      </c>
      <c r="R3" s="56" t="str">
        <f t="shared" si="6"/>
        <v>Disponible</v>
      </c>
      <c r="S3" s="4"/>
    </row>
    <row r="4" spans="1:19" x14ac:dyDescent="0.25">
      <c r="A4" s="8" t="str">
        <f t="shared" si="0"/>
        <v/>
      </c>
      <c r="B4" s="9"/>
      <c r="C4" s="8" t="str">
        <f t="shared" si="1"/>
        <v/>
      </c>
      <c r="D4" s="10" t="str">
        <f t="shared" si="2"/>
        <v/>
      </c>
      <c r="E4" s="8" t="str">
        <f t="shared" si="3"/>
        <v/>
      </c>
      <c r="F4" s="28" t="str">
        <f t="shared" si="4"/>
        <v/>
      </c>
      <c r="G4" s="4"/>
      <c r="H4" s="8"/>
      <c r="I4" s="50"/>
      <c r="J4" s="25"/>
      <c r="K4" s="26"/>
      <c r="L4" s="51"/>
      <c r="M4" s="51"/>
      <c r="N4" s="4"/>
      <c r="O4" s="4"/>
      <c r="P4" s="28" t="str">
        <f>IF(A4="","",SUMIFS('CARGAS DE COMBUSTIBLE'!$N$2:$N$301,'CARGAS DE COMBUSTIBLE'!$AA$2:$AA$301,A4))</f>
        <v/>
      </c>
      <c r="Q4" s="28" t="str">
        <f t="shared" si="5"/>
        <v/>
      </c>
      <c r="R4" s="56" t="str">
        <f t="shared" si="6"/>
        <v/>
      </c>
      <c r="S4" s="4"/>
    </row>
    <row r="5" spans="1:19" x14ac:dyDescent="0.25">
      <c r="A5" s="8" t="str">
        <f t="shared" si="0"/>
        <v/>
      </c>
      <c r="B5" s="9"/>
      <c r="C5" s="8" t="str">
        <f t="shared" si="1"/>
        <v/>
      </c>
      <c r="D5" s="10" t="str">
        <f t="shared" si="2"/>
        <v/>
      </c>
      <c r="E5" s="8" t="str">
        <f t="shared" si="3"/>
        <v/>
      </c>
      <c r="F5" s="28" t="str">
        <f t="shared" si="4"/>
        <v/>
      </c>
      <c r="G5" s="4"/>
      <c r="H5" s="8"/>
      <c r="I5" s="50"/>
      <c r="J5" s="25"/>
      <c r="K5" s="26"/>
      <c r="L5" s="51"/>
      <c r="M5" s="51"/>
      <c r="N5" s="4"/>
      <c r="O5" s="4"/>
      <c r="P5" s="28" t="str">
        <f>IF(A5="","",SUMIFS('CARGAS DE COMBUSTIBLE'!$N$2:$N$301,'CARGAS DE COMBUSTIBLE'!$AA$2:$AA$301,A5))</f>
        <v/>
      </c>
      <c r="Q5" s="28" t="str">
        <f t="shared" si="5"/>
        <v/>
      </c>
      <c r="R5" s="56" t="str">
        <f t="shared" si="6"/>
        <v/>
      </c>
      <c r="S5" s="4"/>
    </row>
    <row r="6" spans="1:19" x14ac:dyDescent="0.25">
      <c r="A6" s="8" t="str">
        <f t="shared" si="0"/>
        <v/>
      </c>
      <c r="B6" s="9"/>
      <c r="C6" s="8" t="str">
        <f t="shared" si="1"/>
        <v/>
      </c>
      <c r="D6" s="10" t="str">
        <f t="shared" si="2"/>
        <v/>
      </c>
      <c r="E6" s="8" t="str">
        <f t="shared" si="3"/>
        <v/>
      </c>
      <c r="F6" s="28" t="str">
        <f t="shared" si="4"/>
        <v/>
      </c>
      <c r="G6" s="4"/>
      <c r="H6" s="8"/>
      <c r="I6" s="50"/>
      <c r="J6" s="25"/>
      <c r="K6" s="26"/>
      <c r="L6" s="51"/>
      <c r="M6" s="51"/>
      <c r="N6" s="4"/>
      <c r="O6" s="4"/>
      <c r="P6" s="28" t="str">
        <f>IF(A6="","",SUMIFS('CARGAS DE COMBUSTIBLE'!$N$2:$N$301,'CARGAS DE COMBUSTIBLE'!$AA$2:$AA$301,A6))</f>
        <v/>
      </c>
      <c r="Q6" s="28" t="str">
        <f t="shared" si="5"/>
        <v/>
      </c>
      <c r="R6" s="56" t="str">
        <f t="shared" si="6"/>
        <v/>
      </c>
      <c r="S6" s="4"/>
    </row>
    <row r="7" spans="1:19" x14ac:dyDescent="0.25">
      <c r="A7" s="8" t="str">
        <f t="shared" si="0"/>
        <v/>
      </c>
      <c r="B7" s="9"/>
      <c r="C7" s="8" t="str">
        <f t="shared" si="1"/>
        <v/>
      </c>
      <c r="D7" s="10" t="str">
        <f t="shared" si="2"/>
        <v/>
      </c>
      <c r="E7" s="8" t="str">
        <f t="shared" si="3"/>
        <v/>
      </c>
      <c r="F7" s="28" t="str">
        <f t="shared" si="4"/>
        <v/>
      </c>
      <c r="G7" s="4"/>
      <c r="H7" s="8"/>
      <c r="I7" s="50"/>
      <c r="J7" s="25"/>
      <c r="K7" s="26" t="str">
        <f t="shared" ref="K7:K65" si="7">IF(OR(I7="",J7=""),"",I7*J7)</f>
        <v/>
      </c>
      <c r="L7" s="51"/>
      <c r="M7" s="51"/>
      <c r="N7" s="4"/>
      <c r="O7" s="4"/>
      <c r="P7" s="28" t="str">
        <f>IF(A7="","",SUMIFS('CARGAS DE COMBUSTIBLE'!$N$2:$N$301,'CARGAS DE COMBUSTIBLE'!$AA$2:$AA$301,A7))</f>
        <v/>
      </c>
      <c r="Q7" s="28" t="str">
        <f t="shared" si="5"/>
        <v/>
      </c>
      <c r="R7" s="56" t="str">
        <f t="shared" si="6"/>
        <v/>
      </c>
      <c r="S7" s="4"/>
    </row>
    <row r="8" spans="1:19" x14ac:dyDescent="0.25">
      <c r="A8" s="8" t="str">
        <f t="shared" si="0"/>
        <v/>
      </c>
      <c r="B8" s="9"/>
      <c r="C8" s="8" t="str">
        <f t="shared" si="1"/>
        <v/>
      </c>
      <c r="D8" s="10" t="str">
        <f t="shared" si="2"/>
        <v/>
      </c>
      <c r="E8" s="8" t="str">
        <f t="shared" si="3"/>
        <v/>
      </c>
      <c r="F8" s="28" t="str">
        <f t="shared" si="4"/>
        <v/>
      </c>
      <c r="G8" s="4"/>
      <c r="H8" s="8"/>
      <c r="I8" s="50"/>
      <c r="J8" s="25"/>
      <c r="K8" s="26" t="str">
        <f t="shared" si="7"/>
        <v/>
      </c>
      <c r="L8" s="51"/>
      <c r="M8" s="51"/>
      <c r="N8" s="4"/>
      <c r="O8" s="4"/>
      <c r="P8" s="28" t="str">
        <f>IF(A8="","",SUMIFS('CARGAS DE COMBUSTIBLE'!$N$2:$N$301,'CARGAS DE COMBUSTIBLE'!$AA$2:$AA$301,A8))</f>
        <v/>
      </c>
      <c r="Q8" s="28" t="str">
        <f t="shared" si="5"/>
        <v/>
      </c>
      <c r="R8" s="56" t="str">
        <f t="shared" si="6"/>
        <v/>
      </c>
      <c r="S8" s="4"/>
    </row>
    <row r="9" spans="1:19" x14ac:dyDescent="0.25">
      <c r="A9" s="8" t="str">
        <f t="shared" si="0"/>
        <v/>
      </c>
      <c r="B9" s="9"/>
      <c r="C9" s="8" t="str">
        <f t="shared" si="1"/>
        <v/>
      </c>
      <c r="D9" s="10" t="str">
        <f t="shared" si="2"/>
        <v/>
      </c>
      <c r="E9" s="8" t="str">
        <f t="shared" si="3"/>
        <v/>
      </c>
      <c r="F9" s="28" t="str">
        <f t="shared" si="4"/>
        <v/>
      </c>
      <c r="G9" s="4"/>
      <c r="H9" s="8"/>
      <c r="I9" s="50"/>
      <c r="J9" s="25"/>
      <c r="K9" s="26" t="str">
        <f t="shared" si="7"/>
        <v/>
      </c>
      <c r="L9" s="51"/>
      <c r="M9" s="51"/>
      <c r="N9" s="4"/>
      <c r="O9" s="4"/>
      <c r="P9" s="28" t="str">
        <f>IF(A9="","",SUMIFS('CARGAS DE COMBUSTIBLE'!$N$2:$N$301,'CARGAS DE COMBUSTIBLE'!$AA$2:$AA$301,A9))</f>
        <v/>
      </c>
      <c r="Q9" s="28" t="str">
        <f t="shared" si="5"/>
        <v/>
      </c>
      <c r="R9" s="56" t="str">
        <f t="shared" si="6"/>
        <v/>
      </c>
      <c r="S9" s="4"/>
    </row>
    <row r="10" spans="1:19" x14ac:dyDescent="0.25">
      <c r="A10" s="8" t="str">
        <f t="shared" si="0"/>
        <v/>
      </c>
      <c r="B10" s="9"/>
      <c r="C10" s="8" t="str">
        <f t="shared" si="1"/>
        <v/>
      </c>
      <c r="D10" s="10" t="str">
        <f t="shared" si="2"/>
        <v/>
      </c>
      <c r="E10" s="8" t="str">
        <f t="shared" si="3"/>
        <v/>
      </c>
      <c r="F10" s="28" t="str">
        <f t="shared" si="4"/>
        <v/>
      </c>
      <c r="G10" s="4"/>
      <c r="H10" s="8"/>
      <c r="I10" s="50"/>
      <c r="J10" s="25"/>
      <c r="K10" s="26" t="str">
        <f t="shared" si="7"/>
        <v/>
      </c>
      <c r="L10" s="51"/>
      <c r="M10" s="51"/>
      <c r="N10" s="4"/>
      <c r="O10" s="4"/>
      <c r="P10" s="28" t="str">
        <f>IF(A10="","",SUMIFS('CARGAS DE COMBUSTIBLE'!$N$2:$N$301,'CARGAS DE COMBUSTIBLE'!$AA$2:$AA$301,A10))</f>
        <v/>
      </c>
      <c r="Q10" s="28" t="str">
        <f t="shared" si="5"/>
        <v/>
      </c>
      <c r="R10" s="56" t="str">
        <f t="shared" si="6"/>
        <v/>
      </c>
      <c r="S10" s="4"/>
    </row>
    <row r="11" spans="1:19" x14ac:dyDescent="0.25">
      <c r="A11" s="8" t="str">
        <f t="shared" si="0"/>
        <v/>
      </c>
      <c r="B11" s="9"/>
      <c r="C11" s="8" t="str">
        <f t="shared" si="1"/>
        <v/>
      </c>
      <c r="D11" s="10" t="str">
        <f t="shared" si="2"/>
        <v/>
      </c>
      <c r="E11" s="8" t="str">
        <f t="shared" si="3"/>
        <v/>
      </c>
      <c r="F11" s="28" t="str">
        <f t="shared" si="4"/>
        <v/>
      </c>
      <c r="G11" s="4"/>
      <c r="H11" s="8"/>
      <c r="I11" s="50"/>
      <c r="J11" s="25"/>
      <c r="K11" s="26" t="str">
        <f t="shared" si="7"/>
        <v/>
      </c>
      <c r="L11" s="51"/>
      <c r="M11" s="51"/>
      <c r="N11" s="4"/>
      <c r="O11" s="4"/>
      <c r="P11" s="28" t="str">
        <f>IF(A11="","",SUMIFS('CARGAS DE COMBUSTIBLE'!$N$2:$N$301,'CARGAS DE COMBUSTIBLE'!$AA$2:$AA$301,A11))</f>
        <v/>
      </c>
      <c r="Q11" s="28" t="str">
        <f t="shared" si="5"/>
        <v/>
      </c>
      <c r="R11" s="56" t="str">
        <f t="shared" si="6"/>
        <v/>
      </c>
      <c r="S11" s="4"/>
    </row>
    <row r="12" spans="1:19" x14ac:dyDescent="0.25">
      <c r="A12" s="8" t="str">
        <f t="shared" si="0"/>
        <v/>
      </c>
      <c r="B12" s="9"/>
      <c r="C12" s="8" t="str">
        <f t="shared" si="1"/>
        <v/>
      </c>
      <c r="D12" s="10" t="str">
        <f t="shared" si="2"/>
        <v/>
      </c>
      <c r="E12" s="8" t="str">
        <f t="shared" si="3"/>
        <v/>
      </c>
      <c r="F12" s="28" t="str">
        <f t="shared" si="4"/>
        <v/>
      </c>
      <c r="G12" s="4"/>
      <c r="H12" s="8"/>
      <c r="I12" s="50"/>
      <c r="J12" s="25"/>
      <c r="K12" s="26" t="str">
        <f t="shared" si="7"/>
        <v/>
      </c>
      <c r="L12" s="51"/>
      <c r="M12" s="51"/>
      <c r="N12" s="4"/>
      <c r="O12" s="4"/>
      <c r="P12" s="28" t="str">
        <f>IF(A12="","",SUMIFS('CARGAS DE COMBUSTIBLE'!$N$2:$N$301,'CARGAS DE COMBUSTIBLE'!$AA$2:$AA$301,A12))</f>
        <v/>
      </c>
      <c r="Q12" s="28" t="str">
        <f t="shared" si="5"/>
        <v/>
      </c>
      <c r="R12" s="56" t="str">
        <f t="shared" si="6"/>
        <v/>
      </c>
      <c r="S12" s="4"/>
    </row>
    <row r="13" spans="1:19" x14ac:dyDescent="0.25">
      <c r="A13" s="8" t="str">
        <f t="shared" si="0"/>
        <v/>
      </c>
      <c r="B13" s="9"/>
      <c r="C13" s="8" t="str">
        <f t="shared" si="1"/>
        <v/>
      </c>
      <c r="D13" s="10" t="str">
        <f t="shared" si="2"/>
        <v/>
      </c>
      <c r="E13" s="8" t="str">
        <f t="shared" si="3"/>
        <v/>
      </c>
      <c r="F13" s="28" t="str">
        <f t="shared" si="4"/>
        <v/>
      </c>
      <c r="G13" s="4"/>
      <c r="H13" s="8"/>
      <c r="I13" s="50"/>
      <c r="J13" s="25"/>
      <c r="K13" s="26" t="str">
        <f t="shared" si="7"/>
        <v/>
      </c>
      <c r="L13" s="51"/>
      <c r="M13" s="51"/>
      <c r="N13" s="4"/>
      <c r="O13" s="4"/>
      <c r="P13" s="28" t="str">
        <f>IF(A13="","",SUMIFS('CARGAS DE COMBUSTIBLE'!$N$2:$N$301,'CARGAS DE COMBUSTIBLE'!$AA$2:$AA$301,A13))</f>
        <v/>
      </c>
      <c r="Q13" s="28" t="str">
        <f t="shared" si="5"/>
        <v/>
      </c>
      <c r="R13" s="56" t="str">
        <f t="shared" si="6"/>
        <v/>
      </c>
      <c r="S13" s="4"/>
    </row>
    <row r="14" spans="1:19" x14ac:dyDescent="0.25">
      <c r="A14" s="8" t="str">
        <f t="shared" si="0"/>
        <v/>
      </c>
      <c r="B14" s="9"/>
      <c r="C14" s="8" t="str">
        <f t="shared" si="1"/>
        <v/>
      </c>
      <c r="D14" s="10" t="str">
        <f t="shared" si="2"/>
        <v/>
      </c>
      <c r="E14" s="8" t="str">
        <f t="shared" si="3"/>
        <v/>
      </c>
      <c r="F14" s="28" t="str">
        <f t="shared" si="4"/>
        <v/>
      </c>
      <c r="G14" s="4"/>
      <c r="H14" s="8"/>
      <c r="I14" s="50"/>
      <c r="J14" s="25"/>
      <c r="K14" s="26" t="str">
        <f t="shared" si="7"/>
        <v/>
      </c>
      <c r="L14" s="51"/>
      <c r="M14" s="51"/>
      <c r="N14" s="4"/>
      <c r="O14" s="4"/>
      <c r="P14" s="28" t="str">
        <f>IF(A14="","",SUMIFS('CARGAS DE COMBUSTIBLE'!$N$2:$N$301,'CARGAS DE COMBUSTIBLE'!$AA$2:$AA$301,A14))</f>
        <v/>
      </c>
      <c r="Q14" s="28" t="str">
        <f t="shared" si="5"/>
        <v/>
      </c>
      <c r="R14" s="56" t="str">
        <f t="shared" si="6"/>
        <v/>
      </c>
      <c r="S14" s="4"/>
    </row>
    <row r="15" spans="1:19" x14ac:dyDescent="0.25">
      <c r="A15" s="8" t="str">
        <f t="shared" si="0"/>
        <v/>
      </c>
      <c r="B15" s="9"/>
      <c r="C15" s="8" t="str">
        <f t="shared" si="1"/>
        <v/>
      </c>
      <c r="D15" s="10" t="str">
        <f t="shared" si="2"/>
        <v/>
      </c>
      <c r="E15" s="8" t="str">
        <f t="shared" si="3"/>
        <v/>
      </c>
      <c r="F15" s="28" t="str">
        <f t="shared" si="4"/>
        <v/>
      </c>
      <c r="G15" s="4"/>
      <c r="H15" s="8"/>
      <c r="I15" s="50"/>
      <c r="J15" s="25"/>
      <c r="K15" s="26" t="str">
        <f t="shared" si="7"/>
        <v/>
      </c>
      <c r="L15" s="51"/>
      <c r="M15" s="51"/>
      <c r="N15" s="4"/>
      <c r="O15" s="4"/>
      <c r="P15" s="28" t="str">
        <f>IF(A15="","",SUMIFS('CARGAS DE COMBUSTIBLE'!$N$2:$N$301,'CARGAS DE COMBUSTIBLE'!$AA$2:$AA$301,A15))</f>
        <v/>
      </c>
      <c r="Q15" s="28" t="str">
        <f t="shared" si="5"/>
        <v/>
      </c>
      <c r="R15" s="56" t="str">
        <f t="shared" si="6"/>
        <v/>
      </c>
      <c r="S15" s="4"/>
    </row>
    <row r="16" spans="1:19" x14ac:dyDescent="0.25">
      <c r="A16" s="8" t="str">
        <f t="shared" si="0"/>
        <v/>
      </c>
      <c r="B16" s="9"/>
      <c r="C16" s="8" t="str">
        <f t="shared" si="1"/>
        <v/>
      </c>
      <c r="D16" s="10" t="str">
        <f t="shared" si="2"/>
        <v/>
      </c>
      <c r="E16" s="8" t="str">
        <f t="shared" si="3"/>
        <v/>
      </c>
      <c r="F16" s="28" t="str">
        <f t="shared" si="4"/>
        <v/>
      </c>
      <c r="G16" s="4"/>
      <c r="H16" s="8"/>
      <c r="I16" s="50"/>
      <c r="J16" s="25"/>
      <c r="K16" s="26" t="str">
        <f t="shared" si="7"/>
        <v/>
      </c>
      <c r="L16" s="51"/>
      <c r="M16" s="51"/>
      <c r="N16" s="4"/>
      <c r="O16" s="4"/>
      <c r="P16" s="28" t="str">
        <f>IF(A16="","",SUMIFS('CARGAS DE COMBUSTIBLE'!$N$2:$N$301,'CARGAS DE COMBUSTIBLE'!$AA$2:$AA$301,A16))</f>
        <v/>
      </c>
      <c r="Q16" s="28" t="str">
        <f t="shared" si="5"/>
        <v/>
      </c>
      <c r="R16" s="56" t="str">
        <f t="shared" si="6"/>
        <v/>
      </c>
      <c r="S16" s="4"/>
    </row>
    <row r="17" spans="1:19" x14ac:dyDescent="0.25">
      <c r="A17" s="8" t="str">
        <f t="shared" si="0"/>
        <v/>
      </c>
      <c r="B17" s="9"/>
      <c r="C17" s="8" t="str">
        <f t="shared" si="1"/>
        <v/>
      </c>
      <c r="D17" s="10" t="str">
        <f t="shared" si="2"/>
        <v/>
      </c>
      <c r="E17" s="8" t="str">
        <f t="shared" si="3"/>
        <v/>
      </c>
      <c r="F17" s="28" t="str">
        <f t="shared" si="4"/>
        <v/>
      </c>
      <c r="G17" s="4"/>
      <c r="H17" s="8"/>
      <c r="I17" s="50"/>
      <c r="J17" s="25"/>
      <c r="K17" s="26" t="str">
        <f t="shared" si="7"/>
        <v/>
      </c>
      <c r="L17" s="51"/>
      <c r="M17" s="51"/>
      <c r="N17" s="4"/>
      <c r="O17" s="4"/>
      <c r="P17" s="28" t="str">
        <f>IF(A17="","",SUMIFS('CARGAS DE COMBUSTIBLE'!$N$2:$N$301,'CARGAS DE COMBUSTIBLE'!$AA$2:$AA$301,A17))</f>
        <v/>
      </c>
      <c r="Q17" s="28" t="str">
        <f t="shared" si="5"/>
        <v/>
      </c>
      <c r="R17" s="56" t="str">
        <f t="shared" si="6"/>
        <v/>
      </c>
      <c r="S17" s="4"/>
    </row>
    <row r="18" spans="1:19" x14ac:dyDescent="0.25">
      <c r="A18" s="8" t="str">
        <f t="shared" si="0"/>
        <v/>
      </c>
      <c r="B18" s="9"/>
      <c r="C18" s="8" t="str">
        <f t="shared" si="1"/>
        <v/>
      </c>
      <c r="D18" s="10" t="str">
        <f t="shared" si="2"/>
        <v/>
      </c>
      <c r="E18" s="8" t="str">
        <f t="shared" si="3"/>
        <v/>
      </c>
      <c r="F18" s="28" t="str">
        <f t="shared" si="4"/>
        <v/>
      </c>
      <c r="G18" s="4"/>
      <c r="H18" s="8"/>
      <c r="I18" s="50"/>
      <c r="J18" s="25"/>
      <c r="K18" s="26" t="str">
        <f t="shared" si="7"/>
        <v/>
      </c>
      <c r="L18" s="51"/>
      <c r="M18" s="51"/>
      <c r="N18" s="4"/>
      <c r="O18" s="4"/>
      <c r="P18" s="28" t="str">
        <f>IF(A18="","",SUMIFS('CARGAS DE COMBUSTIBLE'!$N$2:$N$301,'CARGAS DE COMBUSTIBLE'!$AA$2:$AA$301,A18))</f>
        <v/>
      </c>
      <c r="Q18" s="28" t="str">
        <f t="shared" si="5"/>
        <v/>
      </c>
      <c r="R18" s="56" t="str">
        <f t="shared" si="6"/>
        <v/>
      </c>
      <c r="S18" s="4"/>
    </row>
    <row r="19" spans="1:19" x14ac:dyDescent="0.25">
      <c r="A19" s="8" t="str">
        <f t="shared" si="0"/>
        <v/>
      </c>
      <c r="B19" s="9"/>
      <c r="C19" s="8" t="str">
        <f t="shared" si="1"/>
        <v/>
      </c>
      <c r="D19" s="10" t="str">
        <f t="shared" si="2"/>
        <v/>
      </c>
      <c r="E19" s="8" t="str">
        <f t="shared" si="3"/>
        <v/>
      </c>
      <c r="F19" s="28" t="str">
        <f t="shared" si="4"/>
        <v/>
      </c>
      <c r="G19" s="4"/>
      <c r="H19" s="8"/>
      <c r="I19" s="50"/>
      <c r="J19" s="25"/>
      <c r="K19" s="26" t="str">
        <f t="shared" si="7"/>
        <v/>
      </c>
      <c r="L19" s="51"/>
      <c r="M19" s="51"/>
      <c r="N19" s="4"/>
      <c r="O19" s="4"/>
      <c r="P19" s="28" t="str">
        <f>IF(A19="","",SUMIFS('CARGAS DE COMBUSTIBLE'!$N$2:$N$301,'CARGAS DE COMBUSTIBLE'!$AA$2:$AA$301,A19))</f>
        <v/>
      </c>
      <c r="Q19" s="28" t="str">
        <f t="shared" si="5"/>
        <v/>
      </c>
      <c r="R19" s="56" t="str">
        <f t="shared" si="6"/>
        <v/>
      </c>
      <c r="S19" s="4"/>
    </row>
    <row r="20" spans="1:19" x14ac:dyDescent="0.25">
      <c r="A20" s="8" t="str">
        <f t="shared" si="0"/>
        <v/>
      </c>
      <c r="B20" s="9"/>
      <c r="C20" s="8" t="str">
        <f t="shared" si="1"/>
        <v/>
      </c>
      <c r="D20" s="10" t="str">
        <f t="shared" si="2"/>
        <v/>
      </c>
      <c r="E20" s="8" t="str">
        <f t="shared" si="3"/>
        <v/>
      </c>
      <c r="F20" s="28" t="str">
        <f t="shared" si="4"/>
        <v/>
      </c>
      <c r="G20" s="4"/>
      <c r="H20" s="8"/>
      <c r="I20" s="50"/>
      <c r="J20" s="25"/>
      <c r="K20" s="26" t="str">
        <f t="shared" si="7"/>
        <v/>
      </c>
      <c r="L20" s="51"/>
      <c r="M20" s="51"/>
      <c r="N20" s="4"/>
      <c r="O20" s="4"/>
      <c r="P20" s="28" t="str">
        <f>IF(A20="","",SUMIFS('CARGAS DE COMBUSTIBLE'!$N$2:$N$301,'CARGAS DE COMBUSTIBLE'!$AA$2:$AA$301,A20))</f>
        <v/>
      </c>
      <c r="Q20" s="28" t="str">
        <f t="shared" si="5"/>
        <v/>
      </c>
      <c r="R20" s="56" t="str">
        <f t="shared" si="6"/>
        <v/>
      </c>
      <c r="S20" s="4"/>
    </row>
    <row r="21" spans="1:19" x14ac:dyDescent="0.25">
      <c r="A21" s="8" t="str">
        <f t="shared" si="0"/>
        <v/>
      </c>
      <c r="B21" s="9"/>
      <c r="C21" s="8" t="str">
        <f t="shared" si="1"/>
        <v/>
      </c>
      <c r="D21" s="10" t="str">
        <f t="shared" si="2"/>
        <v/>
      </c>
      <c r="E21" s="8" t="str">
        <f t="shared" si="3"/>
        <v/>
      </c>
      <c r="F21" s="28" t="str">
        <f t="shared" si="4"/>
        <v/>
      </c>
      <c r="G21" s="4"/>
      <c r="H21" s="8"/>
      <c r="I21" s="50"/>
      <c r="J21" s="25"/>
      <c r="K21" s="26" t="str">
        <f t="shared" si="7"/>
        <v/>
      </c>
      <c r="L21" s="51"/>
      <c r="M21" s="51"/>
      <c r="N21" s="4"/>
      <c r="O21" s="4"/>
      <c r="P21" s="28" t="str">
        <f>IF(A21="","",SUMIFS('CARGAS DE COMBUSTIBLE'!$N$2:$N$301,'CARGAS DE COMBUSTIBLE'!$AA$2:$AA$301,A21))</f>
        <v/>
      </c>
      <c r="Q21" s="28" t="str">
        <f t="shared" si="5"/>
        <v/>
      </c>
      <c r="R21" s="56" t="str">
        <f t="shared" si="6"/>
        <v/>
      </c>
      <c r="S21" s="4"/>
    </row>
    <row r="22" spans="1:19" x14ac:dyDescent="0.25">
      <c r="A22" s="8" t="str">
        <f t="shared" si="0"/>
        <v/>
      </c>
      <c r="B22" s="9"/>
      <c r="C22" s="8" t="str">
        <f t="shared" si="1"/>
        <v/>
      </c>
      <c r="D22" s="10" t="str">
        <f t="shared" si="2"/>
        <v/>
      </c>
      <c r="E22" s="8" t="str">
        <f t="shared" si="3"/>
        <v/>
      </c>
      <c r="F22" s="28" t="str">
        <f t="shared" si="4"/>
        <v/>
      </c>
      <c r="G22" s="4"/>
      <c r="H22" s="8"/>
      <c r="I22" s="50"/>
      <c r="J22" s="25"/>
      <c r="K22" s="26" t="str">
        <f t="shared" si="7"/>
        <v/>
      </c>
      <c r="L22" s="51"/>
      <c r="M22" s="51"/>
      <c r="N22" s="4"/>
      <c r="O22" s="4"/>
      <c r="P22" s="28" t="str">
        <f>IF(A22="","",SUMIFS('CARGAS DE COMBUSTIBLE'!$N$2:$N$301,'CARGAS DE COMBUSTIBLE'!$AA$2:$AA$301,A22))</f>
        <v/>
      </c>
      <c r="Q22" s="28" t="str">
        <f t="shared" si="5"/>
        <v/>
      </c>
      <c r="R22" s="56" t="str">
        <f t="shared" si="6"/>
        <v/>
      </c>
      <c r="S22" s="4"/>
    </row>
    <row r="23" spans="1:19" x14ac:dyDescent="0.25">
      <c r="A23" s="8" t="str">
        <f t="shared" si="0"/>
        <v/>
      </c>
      <c r="B23" s="9"/>
      <c r="C23" s="8" t="str">
        <f t="shared" si="1"/>
        <v/>
      </c>
      <c r="D23" s="10" t="str">
        <f t="shared" si="2"/>
        <v/>
      </c>
      <c r="E23" s="8" t="str">
        <f t="shared" si="3"/>
        <v/>
      </c>
      <c r="F23" s="28" t="str">
        <f t="shared" si="4"/>
        <v/>
      </c>
      <c r="G23" s="4"/>
      <c r="H23" s="8"/>
      <c r="I23" s="50"/>
      <c r="J23" s="25"/>
      <c r="K23" s="26" t="str">
        <f t="shared" si="7"/>
        <v/>
      </c>
      <c r="L23" s="51"/>
      <c r="M23" s="51"/>
      <c r="N23" s="4"/>
      <c r="O23" s="4"/>
      <c r="P23" s="28" t="str">
        <f>IF(A23="","",SUMIFS('CARGAS DE COMBUSTIBLE'!$N$2:$N$301,'CARGAS DE COMBUSTIBLE'!$AA$2:$AA$301,A23))</f>
        <v/>
      </c>
      <c r="Q23" s="28" t="str">
        <f t="shared" si="5"/>
        <v/>
      </c>
      <c r="R23" s="56" t="str">
        <f t="shared" si="6"/>
        <v/>
      </c>
      <c r="S23" s="4"/>
    </row>
    <row r="24" spans="1:19" x14ac:dyDescent="0.25">
      <c r="A24" s="8" t="str">
        <f t="shared" si="0"/>
        <v/>
      </c>
      <c r="B24" s="9"/>
      <c r="C24" s="8" t="str">
        <f t="shared" si="1"/>
        <v/>
      </c>
      <c r="D24" s="10" t="str">
        <f t="shared" si="2"/>
        <v/>
      </c>
      <c r="E24" s="8" t="str">
        <f t="shared" si="3"/>
        <v/>
      </c>
      <c r="F24" s="28" t="str">
        <f t="shared" si="4"/>
        <v/>
      </c>
      <c r="G24" s="4"/>
      <c r="H24" s="8"/>
      <c r="I24" s="50"/>
      <c r="J24" s="25"/>
      <c r="K24" s="26" t="str">
        <f t="shared" si="7"/>
        <v/>
      </c>
      <c r="L24" s="51"/>
      <c r="M24" s="51"/>
      <c r="N24" s="4"/>
      <c r="O24" s="4"/>
      <c r="P24" s="28" t="str">
        <f>IF(A24="","",SUMIFS('CARGAS DE COMBUSTIBLE'!$N$2:$N$301,'CARGAS DE COMBUSTIBLE'!$AA$2:$AA$301,A24))</f>
        <v/>
      </c>
      <c r="Q24" s="28" t="str">
        <f t="shared" si="5"/>
        <v/>
      </c>
      <c r="R24" s="56" t="str">
        <f t="shared" si="6"/>
        <v/>
      </c>
      <c r="S24" s="4"/>
    </row>
    <row r="25" spans="1:19" x14ac:dyDescent="0.25">
      <c r="A25" s="8" t="str">
        <f t="shared" si="0"/>
        <v/>
      </c>
      <c r="B25" s="9"/>
      <c r="C25" s="8" t="str">
        <f t="shared" si="1"/>
        <v/>
      </c>
      <c r="D25" s="10" t="str">
        <f t="shared" si="2"/>
        <v/>
      </c>
      <c r="E25" s="8" t="str">
        <f t="shared" si="3"/>
        <v/>
      </c>
      <c r="F25" s="28" t="str">
        <f t="shared" si="4"/>
        <v/>
      </c>
      <c r="G25" s="4"/>
      <c r="H25" s="8"/>
      <c r="I25" s="50"/>
      <c r="J25" s="25"/>
      <c r="K25" s="26" t="str">
        <f t="shared" si="7"/>
        <v/>
      </c>
      <c r="L25" s="51"/>
      <c r="M25" s="51"/>
      <c r="N25" s="4"/>
      <c r="O25" s="4"/>
      <c r="P25" s="28" t="str">
        <f>IF(A25="","",SUMIFS('CARGAS DE COMBUSTIBLE'!$N$2:$N$301,'CARGAS DE COMBUSTIBLE'!$AA$2:$AA$301,A25))</f>
        <v/>
      </c>
      <c r="Q25" s="28" t="str">
        <f t="shared" si="5"/>
        <v/>
      </c>
      <c r="R25" s="56" t="str">
        <f t="shared" si="6"/>
        <v/>
      </c>
      <c r="S25" s="4"/>
    </row>
    <row r="26" spans="1:19" x14ac:dyDescent="0.25">
      <c r="A26" s="8" t="str">
        <f t="shared" si="0"/>
        <v/>
      </c>
      <c r="B26" s="9"/>
      <c r="C26" s="8" t="str">
        <f t="shared" si="1"/>
        <v/>
      </c>
      <c r="D26" s="10" t="str">
        <f t="shared" si="2"/>
        <v/>
      </c>
      <c r="E26" s="8" t="str">
        <f t="shared" si="3"/>
        <v/>
      </c>
      <c r="F26" s="28" t="str">
        <f t="shared" si="4"/>
        <v/>
      </c>
      <c r="G26" s="4"/>
      <c r="H26" s="8"/>
      <c r="I26" s="50"/>
      <c r="J26" s="25"/>
      <c r="K26" s="26" t="str">
        <f t="shared" si="7"/>
        <v/>
      </c>
      <c r="L26" s="51"/>
      <c r="M26" s="51"/>
      <c r="N26" s="4"/>
      <c r="O26" s="4"/>
      <c r="P26" s="28" t="str">
        <f>IF(A26="","",SUMIFS('CARGAS DE COMBUSTIBLE'!$N$2:$N$301,'CARGAS DE COMBUSTIBLE'!$AA$2:$AA$301,A26))</f>
        <v/>
      </c>
      <c r="Q26" s="28" t="str">
        <f t="shared" si="5"/>
        <v/>
      </c>
      <c r="R26" s="56" t="str">
        <f t="shared" si="6"/>
        <v/>
      </c>
      <c r="S26" s="4"/>
    </row>
    <row r="27" spans="1:19" x14ac:dyDescent="0.25">
      <c r="A27" s="8" t="str">
        <f t="shared" si="0"/>
        <v/>
      </c>
      <c r="B27" s="9"/>
      <c r="C27" s="8" t="str">
        <f t="shared" si="1"/>
        <v/>
      </c>
      <c r="D27" s="10" t="str">
        <f t="shared" si="2"/>
        <v/>
      </c>
      <c r="E27" s="8" t="str">
        <f t="shared" si="3"/>
        <v/>
      </c>
      <c r="F27" s="28" t="str">
        <f t="shared" si="4"/>
        <v/>
      </c>
      <c r="G27" s="4"/>
      <c r="H27" s="8"/>
      <c r="I27" s="50"/>
      <c r="J27" s="25"/>
      <c r="K27" s="26" t="str">
        <f t="shared" si="7"/>
        <v/>
      </c>
      <c r="L27" s="51"/>
      <c r="M27" s="51"/>
      <c r="N27" s="4"/>
      <c r="O27" s="4"/>
      <c r="P27" s="28" t="str">
        <f>IF(A27="","",SUMIFS('CARGAS DE COMBUSTIBLE'!$N$2:$N$301,'CARGAS DE COMBUSTIBLE'!$AA$2:$AA$301,A27))</f>
        <v/>
      </c>
      <c r="Q27" s="28" t="str">
        <f t="shared" si="5"/>
        <v/>
      </c>
      <c r="R27" s="56" t="str">
        <f t="shared" si="6"/>
        <v/>
      </c>
      <c r="S27" s="4"/>
    </row>
    <row r="28" spans="1:19" x14ac:dyDescent="0.25">
      <c r="A28" s="8" t="str">
        <f t="shared" si="0"/>
        <v/>
      </c>
      <c r="B28" s="9"/>
      <c r="C28" s="8" t="str">
        <f t="shared" si="1"/>
        <v/>
      </c>
      <c r="D28" s="10" t="str">
        <f t="shared" si="2"/>
        <v/>
      </c>
      <c r="E28" s="8" t="str">
        <f t="shared" si="3"/>
        <v/>
      </c>
      <c r="F28" s="28" t="str">
        <f t="shared" si="4"/>
        <v/>
      </c>
      <c r="G28" s="4"/>
      <c r="H28" s="8"/>
      <c r="I28" s="50"/>
      <c r="J28" s="25"/>
      <c r="K28" s="26" t="str">
        <f t="shared" si="7"/>
        <v/>
      </c>
      <c r="L28" s="51"/>
      <c r="M28" s="51"/>
      <c r="N28" s="4"/>
      <c r="O28" s="4"/>
      <c r="P28" s="28" t="str">
        <f>IF(A28="","",SUMIFS('CARGAS DE COMBUSTIBLE'!$N$2:$N$301,'CARGAS DE COMBUSTIBLE'!$AA$2:$AA$301,A28))</f>
        <v/>
      </c>
      <c r="Q28" s="28" t="str">
        <f t="shared" si="5"/>
        <v/>
      </c>
      <c r="R28" s="56" t="str">
        <f t="shared" si="6"/>
        <v/>
      </c>
      <c r="S28" s="4"/>
    </row>
    <row r="29" spans="1:19" x14ac:dyDescent="0.25">
      <c r="A29" s="8" t="str">
        <f t="shared" si="0"/>
        <v/>
      </c>
      <c r="B29" s="9"/>
      <c r="C29" s="8" t="str">
        <f t="shared" si="1"/>
        <v/>
      </c>
      <c r="D29" s="10" t="str">
        <f t="shared" si="2"/>
        <v/>
      </c>
      <c r="E29" s="8" t="str">
        <f t="shared" si="3"/>
        <v/>
      </c>
      <c r="F29" s="28" t="str">
        <f t="shared" si="4"/>
        <v/>
      </c>
      <c r="G29" s="4"/>
      <c r="H29" s="8"/>
      <c r="I29" s="50"/>
      <c r="J29" s="25"/>
      <c r="K29" s="26" t="str">
        <f t="shared" si="7"/>
        <v/>
      </c>
      <c r="L29" s="51"/>
      <c r="M29" s="51"/>
      <c r="N29" s="4"/>
      <c r="O29" s="4"/>
      <c r="P29" s="28" t="str">
        <f>IF(A29="","",SUMIFS('CARGAS DE COMBUSTIBLE'!$N$2:$N$301,'CARGAS DE COMBUSTIBLE'!$AA$2:$AA$301,A29))</f>
        <v/>
      </c>
      <c r="Q29" s="28" t="str">
        <f t="shared" si="5"/>
        <v/>
      </c>
      <c r="R29" s="56" t="str">
        <f t="shared" si="6"/>
        <v/>
      </c>
      <c r="S29" s="4"/>
    </row>
    <row r="30" spans="1:19" x14ac:dyDescent="0.25">
      <c r="A30" s="8" t="str">
        <f t="shared" si="0"/>
        <v/>
      </c>
      <c r="B30" s="9"/>
      <c r="C30" s="8" t="str">
        <f t="shared" si="1"/>
        <v/>
      </c>
      <c r="D30" s="10" t="str">
        <f t="shared" si="2"/>
        <v/>
      </c>
      <c r="E30" s="8" t="str">
        <f t="shared" si="3"/>
        <v/>
      </c>
      <c r="F30" s="28" t="str">
        <f t="shared" si="4"/>
        <v/>
      </c>
      <c r="G30" s="4"/>
      <c r="H30" s="8"/>
      <c r="I30" s="50"/>
      <c r="J30" s="25"/>
      <c r="K30" s="26" t="str">
        <f t="shared" si="7"/>
        <v/>
      </c>
      <c r="L30" s="51"/>
      <c r="M30" s="51"/>
      <c r="N30" s="4"/>
      <c r="O30" s="4"/>
      <c r="P30" s="28" t="str">
        <f>IF(A30="","",SUMIFS('CARGAS DE COMBUSTIBLE'!$N$2:$N$301,'CARGAS DE COMBUSTIBLE'!$AA$2:$AA$301,A30))</f>
        <v/>
      </c>
      <c r="Q30" s="28" t="str">
        <f t="shared" si="5"/>
        <v/>
      </c>
      <c r="R30" s="56" t="str">
        <f t="shared" si="6"/>
        <v/>
      </c>
      <c r="S30" s="4"/>
    </row>
    <row r="31" spans="1:19" x14ac:dyDescent="0.25">
      <c r="A31" s="8" t="str">
        <f t="shared" si="0"/>
        <v/>
      </c>
      <c r="B31" s="9"/>
      <c r="C31" s="8" t="str">
        <f t="shared" si="1"/>
        <v/>
      </c>
      <c r="D31" s="10" t="str">
        <f t="shared" si="2"/>
        <v/>
      </c>
      <c r="E31" s="8" t="str">
        <f t="shared" si="3"/>
        <v/>
      </c>
      <c r="F31" s="28" t="str">
        <f t="shared" si="4"/>
        <v/>
      </c>
      <c r="G31" s="4"/>
      <c r="H31" s="8"/>
      <c r="I31" s="50"/>
      <c r="J31" s="25"/>
      <c r="K31" s="26" t="str">
        <f t="shared" si="7"/>
        <v/>
      </c>
      <c r="L31" s="51"/>
      <c r="M31" s="51"/>
      <c r="N31" s="4"/>
      <c r="O31" s="4"/>
      <c r="P31" s="28" t="str">
        <f>IF(A31="","",SUMIFS('CARGAS DE COMBUSTIBLE'!$N$2:$N$301,'CARGAS DE COMBUSTIBLE'!$AA$2:$AA$301,A31))</f>
        <v/>
      </c>
      <c r="Q31" s="28" t="str">
        <f t="shared" si="5"/>
        <v/>
      </c>
      <c r="R31" s="56" t="str">
        <f t="shared" si="6"/>
        <v/>
      </c>
      <c r="S31" s="4"/>
    </row>
    <row r="32" spans="1:19" x14ac:dyDescent="0.25">
      <c r="A32" s="8" t="str">
        <f t="shared" si="0"/>
        <v/>
      </c>
      <c r="B32" s="9"/>
      <c r="C32" s="8" t="str">
        <f t="shared" si="1"/>
        <v/>
      </c>
      <c r="D32" s="10" t="str">
        <f t="shared" si="2"/>
        <v/>
      </c>
      <c r="E32" s="8" t="str">
        <f t="shared" si="3"/>
        <v/>
      </c>
      <c r="F32" s="28" t="str">
        <f t="shared" si="4"/>
        <v/>
      </c>
      <c r="G32" s="4"/>
      <c r="H32" s="8"/>
      <c r="I32" s="50"/>
      <c r="J32" s="25"/>
      <c r="K32" s="26" t="str">
        <f t="shared" si="7"/>
        <v/>
      </c>
      <c r="L32" s="51"/>
      <c r="M32" s="51"/>
      <c r="N32" s="4"/>
      <c r="O32" s="4"/>
      <c r="P32" s="28" t="str">
        <f>IF(A32="","",SUMIFS('CARGAS DE COMBUSTIBLE'!$N$2:$N$301,'CARGAS DE COMBUSTIBLE'!$AA$2:$AA$301,A32))</f>
        <v/>
      </c>
      <c r="Q32" s="28" t="str">
        <f t="shared" si="5"/>
        <v/>
      </c>
      <c r="R32" s="56" t="str">
        <f t="shared" si="6"/>
        <v/>
      </c>
      <c r="S32" s="4"/>
    </row>
    <row r="33" spans="1:19" x14ac:dyDescent="0.25">
      <c r="A33" s="8" t="str">
        <f t="shared" si="0"/>
        <v/>
      </c>
      <c r="B33" s="9"/>
      <c r="C33" s="8" t="str">
        <f t="shared" si="1"/>
        <v/>
      </c>
      <c r="D33" s="10" t="str">
        <f t="shared" si="2"/>
        <v/>
      </c>
      <c r="E33" s="8" t="str">
        <f t="shared" si="3"/>
        <v/>
      </c>
      <c r="F33" s="28" t="str">
        <f t="shared" si="4"/>
        <v/>
      </c>
      <c r="G33" s="4"/>
      <c r="H33" s="8"/>
      <c r="I33" s="50"/>
      <c r="J33" s="25"/>
      <c r="K33" s="26" t="str">
        <f t="shared" si="7"/>
        <v/>
      </c>
      <c r="L33" s="51"/>
      <c r="M33" s="51"/>
      <c r="N33" s="4"/>
      <c r="O33" s="4"/>
      <c r="P33" s="28" t="str">
        <f>IF(A33="","",SUMIFS('CARGAS DE COMBUSTIBLE'!$N$2:$N$301,'CARGAS DE COMBUSTIBLE'!$AA$2:$AA$301,A33))</f>
        <v/>
      </c>
      <c r="Q33" s="28" t="str">
        <f t="shared" si="5"/>
        <v/>
      </c>
      <c r="R33" s="56" t="str">
        <f t="shared" si="6"/>
        <v/>
      </c>
      <c r="S33" s="4"/>
    </row>
    <row r="34" spans="1:19" x14ac:dyDescent="0.25">
      <c r="A34" s="8" t="str">
        <f t="shared" si="0"/>
        <v/>
      </c>
      <c r="B34" s="9"/>
      <c r="C34" s="8" t="str">
        <f t="shared" si="1"/>
        <v/>
      </c>
      <c r="D34" s="10" t="str">
        <f t="shared" si="2"/>
        <v/>
      </c>
      <c r="E34" s="8" t="str">
        <f t="shared" si="3"/>
        <v/>
      </c>
      <c r="F34" s="28" t="str">
        <f t="shared" si="4"/>
        <v/>
      </c>
      <c r="G34" s="4"/>
      <c r="H34" s="8"/>
      <c r="I34" s="50"/>
      <c r="J34" s="25"/>
      <c r="K34" s="26" t="str">
        <f t="shared" si="7"/>
        <v/>
      </c>
      <c r="L34" s="51"/>
      <c r="M34" s="51"/>
      <c r="N34" s="4"/>
      <c r="O34" s="4"/>
      <c r="P34" s="28" t="str">
        <f>IF(A34="","",SUMIFS('CARGAS DE COMBUSTIBLE'!$N$2:$N$301,'CARGAS DE COMBUSTIBLE'!$AA$2:$AA$301,A34))</f>
        <v/>
      </c>
      <c r="Q34" s="28" t="str">
        <f t="shared" si="5"/>
        <v/>
      </c>
      <c r="R34" s="56" t="str">
        <f t="shared" si="6"/>
        <v/>
      </c>
      <c r="S34" s="4"/>
    </row>
    <row r="35" spans="1:19" x14ac:dyDescent="0.25">
      <c r="A35" s="8" t="str">
        <f t="shared" si="0"/>
        <v/>
      </c>
      <c r="B35" s="9"/>
      <c r="C35" s="8" t="str">
        <f t="shared" si="1"/>
        <v/>
      </c>
      <c r="D35" s="10" t="str">
        <f t="shared" si="2"/>
        <v/>
      </c>
      <c r="E35" s="8" t="str">
        <f t="shared" si="3"/>
        <v/>
      </c>
      <c r="F35" s="28" t="str">
        <f t="shared" si="4"/>
        <v/>
      </c>
      <c r="G35" s="4"/>
      <c r="H35" s="8"/>
      <c r="I35" s="50"/>
      <c r="J35" s="25"/>
      <c r="K35" s="26" t="str">
        <f t="shared" si="7"/>
        <v/>
      </c>
      <c r="L35" s="51"/>
      <c r="M35" s="51"/>
      <c r="N35" s="4"/>
      <c r="O35" s="4"/>
      <c r="P35" s="28" t="str">
        <f>IF(A35="","",SUMIFS('CARGAS DE COMBUSTIBLE'!$N$2:$N$301,'CARGAS DE COMBUSTIBLE'!$AA$2:$AA$301,A35))</f>
        <v/>
      </c>
      <c r="Q35" s="28" t="str">
        <f t="shared" si="5"/>
        <v/>
      </c>
      <c r="R35" s="56" t="str">
        <f t="shared" si="6"/>
        <v/>
      </c>
      <c r="S35" s="4"/>
    </row>
    <row r="36" spans="1:19" x14ac:dyDescent="0.25">
      <c r="A36" s="8" t="str">
        <f t="shared" si="0"/>
        <v/>
      </c>
      <c r="B36" s="9"/>
      <c r="C36" s="8" t="str">
        <f t="shared" si="1"/>
        <v/>
      </c>
      <c r="D36" s="10" t="str">
        <f t="shared" si="2"/>
        <v/>
      </c>
      <c r="E36" s="8" t="str">
        <f t="shared" si="3"/>
        <v/>
      </c>
      <c r="F36" s="28" t="str">
        <f t="shared" si="4"/>
        <v/>
      </c>
      <c r="G36" s="4"/>
      <c r="H36" s="8"/>
      <c r="I36" s="50"/>
      <c r="J36" s="25"/>
      <c r="K36" s="26" t="str">
        <f t="shared" si="7"/>
        <v/>
      </c>
      <c r="L36" s="51"/>
      <c r="M36" s="51"/>
      <c r="N36" s="4"/>
      <c r="O36" s="4"/>
      <c r="P36" s="28" t="str">
        <f>IF(A36="","",SUMIFS('CARGAS DE COMBUSTIBLE'!$N$2:$N$301,'CARGAS DE COMBUSTIBLE'!$AA$2:$AA$301,A36))</f>
        <v/>
      </c>
      <c r="Q36" s="28" t="str">
        <f t="shared" si="5"/>
        <v/>
      </c>
      <c r="R36" s="56" t="str">
        <f t="shared" si="6"/>
        <v/>
      </c>
      <c r="S36" s="4"/>
    </row>
    <row r="37" spans="1:19" x14ac:dyDescent="0.25">
      <c r="A37" s="8" t="str">
        <f t="shared" si="0"/>
        <v/>
      </c>
      <c r="B37" s="9"/>
      <c r="C37" s="8" t="str">
        <f t="shared" si="1"/>
        <v/>
      </c>
      <c r="D37" s="10" t="str">
        <f t="shared" si="2"/>
        <v/>
      </c>
      <c r="E37" s="8" t="str">
        <f t="shared" si="3"/>
        <v/>
      </c>
      <c r="F37" s="28" t="str">
        <f t="shared" si="4"/>
        <v/>
      </c>
      <c r="G37" s="4"/>
      <c r="H37" s="8"/>
      <c r="I37" s="50"/>
      <c r="J37" s="25"/>
      <c r="K37" s="26" t="str">
        <f t="shared" si="7"/>
        <v/>
      </c>
      <c r="L37" s="51"/>
      <c r="M37" s="51"/>
      <c r="N37" s="4"/>
      <c r="O37" s="4"/>
      <c r="P37" s="28" t="str">
        <f>IF(A37="","",SUMIFS('CARGAS DE COMBUSTIBLE'!$N$2:$N$301,'CARGAS DE COMBUSTIBLE'!$AA$2:$AA$301,A37))</f>
        <v/>
      </c>
      <c r="Q37" s="28" t="str">
        <f t="shared" si="5"/>
        <v/>
      </c>
      <c r="R37" s="56" t="str">
        <f t="shared" si="6"/>
        <v/>
      </c>
      <c r="S37" s="4"/>
    </row>
    <row r="38" spans="1:19" x14ac:dyDescent="0.25">
      <c r="A38" s="8" t="str">
        <f t="shared" si="0"/>
        <v/>
      </c>
      <c r="B38" s="9"/>
      <c r="C38" s="8" t="str">
        <f t="shared" si="1"/>
        <v/>
      </c>
      <c r="D38" s="10" t="str">
        <f t="shared" si="2"/>
        <v/>
      </c>
      <c r="E38" s="8" t="str">
        <f t="shared" si="3"/>
        <v/>
      </c>
      <c r="F38" s="28" t="str">
        <f t="shared" si="4"/>
        <v/>
      </c>
      <c r="G38" s="4"/>
      <c r="H38" s="8"/>
      <c r="I38" s="50"/>
      <c r="J38" s="25"/>
      <c r="K38" s="26" t="str">
        <f t="shared" si="7"/>
        <v/>
      </c>
      <c r="L38" s="51"/>
      <c r="M38" s="51"/>
      <c r="N38" s="4"/>
      <c r="O38" s="4"/>
      <c r="P38" s="28" t="str">
        <f>IF(A38="","",SUMIFS('CARGAS DE COMBUSTIBLE'!$N$2:$N$301,'CARGAS DE COMBUSTIBLE'!$AA$2:$AA$301,A38))</f>
        <v/>
      </c>
      <c r="Q38" s="28" t="str">
        <f t="shared" si="5"/>
        <v/>
      </c>
      <c r="R38" s="56" t="str">
        <f t="shared" si="6"/>
        <v/>
      </c>
      <c r="S38" s="4"/>
    </row>
    <row r="39" spans="1:19" x14ac:dyDescent="0.25">
      <c r="A39" s="8" t="str">
        <f t="shared" si="0"/>
        <v/>
      </c>
      <c r="B39" s="9"/>
      <c r="C39" s="8" t="str">
        <f t="shared" si="1"/>
        <v/>
      </c>
      <c r="D39" s="10" t="str">
        <f t="shared" si="2"/>
        <v/>
      </c>
      <c r="E39" s="8" t="str">
        <f t="shared" si="3"/>
        <v/>
      </c>
      <c r="F39" s="28" t="str">
        <f t="shared" si="4"/>
        <v/>
      </c>
      <c r="G39" s="4"/>
      <c r="H39" s="8"/>
      <c r="I39" s="50"/>
      <c r="J39" s="25"/>
      <c r="K39" s="26" t="str">
        <f t="shared" si="7"/>
        <v/>
      </c>
      <c r="L39" s="51"/>
      <c r="M39" s="51"/>
      <c r="N39" s="4"/>
      <c r="O39" s="4"/>
      <c r="P39" s="28" t="str">
        <f>IF(A39="","",SUMIFS('CARGAS DE COMBUSTIBLE'!$N$2:$N$301,'CARGAS DE COMBUSTIBLE'!$AA$2:$AA$301,A39))</f>
        <v/>
      </c>
      <c r="Q39" s="28" t="str">
        <f t="shared" si="5"/>
        <v/>
      </c>
      <c r="R39" s="56" t="str">
        <f t="shared" si="6"/>
        <v/>
      </c>
      <c r="S39" s="4"/>
    </row>
    <row r="40" spans="1:19" x14ac:dyDescent="0.25">
      <c r="A40" s="8" t="str">
        <f t="shared" si="0"/>
        <v/>
      </c>
      <c r="B40" s="9"/>
      <c r="C40" s="8" t="str">
        <f t="shared" si="1"/>
        <v/>
      </c>
      <c r="D40" s="10" t="str">
        <f t="shared" si="2"/>
        <v/>
      </c>
      <c r="E40" s="8" t="str">
        <f t="shared" si="3"/>
        <v/>
      </c>
      <c r="F40" s="28" t="str">
        <f t="shared" si="4"/>
        <v/>
      </c>
      <c r="G40" s="4"/>
      <c r="H40" s="8"/>
      <c r="I40" s="50"/>
      <c r="J40" s="25"/>
      <c r="K40" s="26" t="str">
        <f t="shared" si="7"/>
        <v/>
      </c>
      <c r="L40" s="51"/>
      <c r="M40" s="51"/>
      <c r="N40" s="4"/>
      <c r="O40" s="4"/>
      <c r="P40" s="28" t="str">
        <f>IF(A40="","",SUMIFS('CARGAS DE COMBUSTIBLE'!$N$2:$N$301,'CARGAS DE COMBUSTIBLE'!$AA$2:$AA$301,A40))</f>
        <v/>
      </c>
      <c r="Q40" s="28" t="str">
        <f t="shared" si="5"/>
        <v/>
      </c>
      <c r="R40" s="56" t="str">
        <f t="shared" si="6"/>
        <v/>
      </c>
      <c r="S40" s="4"/>
    </row>
    <row r="41" spans="1:19" x14ac:dyDescent="0.25">
      <c r="A41" s="8" t="str">
        <f t="shared" si="0"/>
        <v/>
      </c>
      <c r="B41" s="9"/>
      <c r="C41" s="8" t="str">
        <f t="shared" si="1"/>
        <v/>
      </c>
      <c r="D41" s="10" t="str">
        <f t="shared" si="2"/>
        <v/>
      </c>
      <c r="E41" s="8" t="str">
        <f t="shared" si="3"/>
        <v/>
      </c>
      <c r="F41" s="28" t="str">
        <f t="shared" si="4"/>
        <v/>
      </c>
      <c r="G41" s="4"/>
      <c r="H41" s="8"/>
      <c r="I41" s="50"/>
      <c r="J41" s="25"/>
      <c r="K41" s="26" t="str">
        <f t="shared" si="7"/>
        <v/>
      </c>
      <c r="L41" s="51"/>
      <c r="M41" s="51"/>
      <c r="N41" s="4"/>
      <c r="O41" s="4"/>
      <c r="P41" s="28" t="str">
        <f>IF(A41="","",SUMIFS('CARGAS DE COMBUSTIBLE'!$N$2:$N$301,'CARGAS DE COMBUSTIBLE'!$AA$2:$AA$301,A41))</f>
        <v/>
      </c>
      <c r="Q41" s="28" t="str">
        <f t="shared" si="5"/>
        <v/>
      </c>
      <c r="R41" s="56" t="str">
        <f t="shared" si="6"/>
        <v/>
      </c>
      <c r="S41" s="4"/>
    </row>
    <row r="42" spans="1:19" x14ac:dyDescent="0.25">
      <c r="A42" s="8" t="str">
        <f t="shared" si="0"/>
        <v/>
      </c>
      <c r="B42" s="9"/>
      <c r="C42" s="8" t="str">
        <f t="shared" si="1"/>
        <v/>
      </c>
      <c r="D42" s="10" t="str">
        <f t="shared" si="2"/>
        <v/>
      </c>
      <c r="E42" s="8" t="str">
        <f t="shared" si="3"/>
        <v/>
      </c>
      <c r="F42" s="28" t="str">
        <f t="shared" si="4"/>
        <v/>
      </c>
      <c r="G42" s="4"/>
      <c r="H42" s="8"/>
      <c r="I42" s="50"/>
      <c r="J42" s="25"/>
      <c r="K42" s="26" t="str">
        <f t="shared" si="7"/>
        <v/>
      </c>
      <c r="L42" s="51"/>
      <c r="M42" s="51"/>
      <c r="N42" s="4"/>
      <c r="O42" s="4"/>
      <c r="P42" s="28" t="str">
        <f>IF(A42="","",SUMIFS('CARGAS DE COMBUSTIBLE'!$N$2:$N$301,'CARGAS DE COMBUSTIBLE'!$AA$2:$AA$301,A42))</f>
        <v/>
      </c>
      <c r="Q42" s="28" t="str">
        <f t="shared" si="5"/>
        <v/>
      </c>
      <c r="R42" s="56" t="str">
        <f t="shared" si="6"/>
        <v/>
      </c>
      <c r="S42" s="4"/>
    </row>
    <row r="43" spans="1:19" x14ac:dyDescent="0.25">
      <c r="A43" s="8" t="str">
        <f t="shared" si="0"/>
        <v/>
      </c>
      <c r="B43" s="9"/>
      <c r="C43" s="8" t="str">
        <f t="shared" si="1"/>
        <v/>
      </c>
      <c r="D43" s="10" t="str">
        <f t="shared" si="2"/>
        <v/>
      </c>
      <c r="E43" s="8" t="str">
        <f t="shared" si="3"/>
        <v/>
      </c>
      <c r="F43" s="28" t="str">
        <f t="shared" si="4"/>
        <v/>
      </c>
      <c r="G43" s="4"/>
      <c r="H43" s="8"/>
      <c r="I43" s="50"/>
      <c r="J43" s="25"/>
      <c r="K43" s="26" t="str">
        <f t="shared" si="7"/>
        <v/>
      </c>
      <c r="L43" s="51"/>
      <c r="M43" s="51"/>
      <c r="N43" s="4"/>
      <c r="O43" s="4"/>
      <c r="P43" s="28" t="str">
        <f>IF(A43="","",SUMIFS('CARGAS DE COMBUSTIBLE'!$N$2:$N$301,'CARGAS DE COMBUSTIBLE'!$AA$2:$AA$301,A43))</f>
        <v/>
      </c>
      <c r="Q43" s="28" t="str">
        <f t="shared" si="5"/>
        <v/>
      </c>
      <c r="R43" s="56" t="str">
        <f t="shared" si="6"/>
        <v/>
      </c>
      <c r="S43" s="4"/>
    </row>
    <row r="44" spans="1:19" x14ac:dyDescent="0.25">
      <c r="A44" s="8" t="str">
        <f t="shared" si="0"/>
        <v/>
      </c>
      <c r="B44" s="9"/>
      <c r="C44" s="8" t="str">
        <f t="shared" si="1"/>
        <v/>
      </c>
      <c r="D44" s="10" t="str">
        <f t="shared" si="2"/>
        <v/>
      </c>
      <c r="E44" s="8" t="str">
        <f t="shared" si="3"/>
        <v/>
      </c>
      <c r="F44" s="28" t="str">
        <f t="shared" si="4"/>
        <v/>
      </c>
      <c r="G44" s="4"/>
      <c r="H44" s="8"/>
      <c r="I44" s="50"/>
      <c r="J44" s="25"/>
      <c r="K44" s="26" t="str">
        <f t="shared" si="7"/>
        <v/>
      </c>
      <c r="L44" s="51"/>
      <c r="M44" s="51"/>
      <c r="N44" s="4"/>
      <c r="O44" s="4"/>
      <c r="P44" s="28" t="str">
        <f>IF(A44="","",SUMIFS('CARGAS DE COMBUSTIBLE'!$N$2:$N$301,'CARGAS DE COMBUSTIBLE'!$AA$2:$AA$301,A44))</f>
        <v/>
      </c>
      <c r="Q44" s="28" t="str">
        <f t="shared" si="5"/>
        <v/>
      </c>
      <c r="R44" s="56" t="str">
        <f t="shared" si="6"/>
        <v/>
      </c>
      <c r="S44" s="4"/>
    </row>
    <row r="45" spans="1:19" x14ac:dyDescent="0.25">
      <c r="A45" s="8" t="str">
        <f t="shared" si="0"/>
        <v/>
      </c>
      <c r="B45" s="9"/>
      <c r="C45" s="8" t="str">
        <f t="shared" si="1"/>
        <v/>
      </c>
      <c r="D45" s="10" t="str">
        <f t="shared" si="2"/>
        <v/>
      </c>
      <c r="E45" s="8" t="str">
        <f t="shared" si="3"/>
        <v/>
      </c>
      <c r="F45" s="28" t="str">
        <f t="shared" si="4"/>
        <v/>
      </c>
      <c r="G45" s="4"/>
      <c r="H45" s="8"/>
      <c r="I45" s="50"/>
      <c r="J45" s="25"/>
      <c r="K45" s="26" t="str">
        <f t="shared" si="7"/>
        <v/>
      </c>
      <c r="L45" s="51"/>
      <c r="M45" s="51"/>
      <c r="N45" s="4"/>
      <c r="O45" s="4"/>
      <c r="P45" s="28" t="str">
        <f>IF(A45="","",SUMIFS('CARGAS DE COMBUSTIBLE'!$N$2:$N$301,'CARGAS DE COMBUSTIBLE'!$AA$2:$AA$301,A45))</f>
        <v/>
      </c>
      <c r="Q45" s="28" t="str">
        <f t="shared" si="5"/>
        <v/>
      </c>
      <c r="R45" s="56" t="str">
        <f t="shared" si="6"/>
        <v/>
      </c>
      <c r="S45" s="4"/>
    </row>
    <row r="46" spans="1:19" x14ac:dyDescent="0.25">
      <c r="A46" s="8" t="str">
        <f t="shared" si="0"/>
        <v/>
      </c>
      <c r="B46" s="9"/>
      <c r="C46" s="8" t="str">
        <f t="shared" si="1"/>
        <v/>
      </c>
      <c r="D46" s="10" t="str">
        <f t="shared" si="2"/>
        <v/>
      </c>
      <c r="E46" s="8" t="str">
        <f t="shared" si="3"/>
        <v/>
      </c>
      <c r="F46" s="28" t="str">
        <f t="shared" si="4"/>
        <v/>
      </c>
      <c r="G46" s="4"/>
      <c r="H46" s="8"/>
      <c r="I46" s="50"/>
      <c r="J46" s="25"/>
      <c r="K46" s="26" t="str">
        <f t="shared" si="7"/>
        <v/>
      </c>
      <c r="L46" s="51"/>
      <c r="M46" s="51"/>
      <c r="N46" s="4"/>
      <c r="O46" s="4"/>
      <c r="P46" s="28" t="str">
        <f>IF(A46="","",SUMIFS('CARGAS DE COMBUSTIBLE'!$N$2:$N$301,'CARGAS DE COMBUSTIBLE'!$AA$2:$AA$301,A46))</f>
        <v/>
      </c>
      <c r="Q46" s="28" t="str">
        <f t="shared" si="5"/>
        <v/>
      </c>
      <c r="R46" s="56" t="str">
        <f t="shared" si="6"/>
        <v/>
      </c>
      <c r="S46" s="4"/>
    </row>
    <row r="47" spans="1:19" x14ac:dyDescent="0.25">
      <c r="A47" s="8" t="str">
        <f t="shared" si="0"/>
        <v/>
      </c>
      <c r="B47" s="9"/>
      <c r="C47" s="8" t="str">
        <f t="shared" si="1"/>
        <v/>
      </c>
      <c r="D47" s="10" t="str">
        <f t="shared" si="2"/>
        <v/>
      </c>
      <c r="E47" s="8" t="str">
        <f t="shared" si="3"/>
        <v/>
      </c>
      <c r="F47" s="28" t="str">
        <f t="shared" si="4"/>
        <v/>
      </c>
      <c r="G47" s="4"/>
      <c r="H47" s="8"/>
      <c r="I47" s="50"/>
      <c r="J47" s="25"/>
      <c r="K47" s="26" t="str">
        <f t="shared" si="7"/>
        <v/>
      </c>
      <c r="L47" s="51"/>
      <c r="M47" s="51"/>
      <c r="N47" s="4"/>
      <c r="O47" s="4"/>
      <c r="P47" s="28" t="str">
        <f>IF(A47="","",SUMIFS('CARGAS DE COMBUSTIBLE'!$N$2:$N$301,'CARGAS DE COMBUSTIBLE'!$AA$2:$AA$301,A47))</f>
        <v/>
      </c>
      <c r="Q47" s="28" t="str">
        <f t="shared" si="5"/>
        <v/>
      </c>
      <c r="R47" s="56" t="str">
        <f t="shared" si="6"/>
        <v/>
      </c>
      <c r="S47" s="4"/>
    </row>
    <row r="48" spans="1:19" x14ac:dyDescent="0.25">
      <c r="A48" s="8" t="str">
        <f t="shared" si="0"/>
        <v/>
      </c>
      <c r="B48" s="9"/>
      <c r="C48" s="8" t="str">
        <f t="shared" si="1"/>
        <v/>
      </c>
      <c r="D48" s="10" t="str">
        <f t="shared" si="2"/>
        <v/>
      </c>
      <c r="E48" s="8" t="str">
        <f t="shared" si="3"/>
        <v/>
      </c>
      <c r="F48" s="28" t="str">
        <f t="shared" si="4"/>
        <v/>
      </c>
      <c r="G48" s="4"/>
      <c r="H48" s="8"/>
      <c r="I48" s="50"/>
      <c r="J48" s="25"/>
      <c r="K48" s="26" t="str">
        <f t="shared" si="7"/>
        <v/>
      </c>
      <c r="L48" s="51"/>
      <c r="M48" s="51"/>
      <c r="N48" s="4"/>
      <c r="O48" s="4"/>
      <c r="P48" s="28" t="str">
        <f>IF(A48="","",SUMIFS('CARGAS DE COMBUSTIBLE'!$N$2:$N$301,'CARGAS DE COMBUSTIBLE'!$AA$2:$AA$301,A48))</f>
        <v/>
      </c>
      <c r="Q48" s="28" t="str">
        <f t="shared" si="5"/>
        <v/>
      </c>
      <c r="R48" s="56" t="str">
        <f t="shared" si="6"/>
        <v/>
      </c>
      <c r="S48" s="4"/>
    </row>
    <row r="49" spans="1:19" x14ac:dyDescent="0.25">
      <c r="A49" s="8" t="str">
        <f t="shared" si="0"/>
        <v/>
      </c>
      <c r="B49" s="9"/>
      <c r="C49" s="8" t="str">
        <f t="shared" si="1"/>
        <v/>
      </c>
      <c r="D49" s="10" t="str">
        <f t="shared" si="2"/>
        <v/>
      </c>
      <c r="E49" s="8" t="str">
        <f t="shared" si="3"/>
        <v/>
      </c>
      <c r="F49" s="28" t="str">
        <f t="shared" si="4"/>
        <v/>
      </c>
      <c r="G49" s="4"/>
      <c r="H49" s="8"/>
      <c r="I49" s="50"/>
      <c r="J49" s="25"/>
      <c r="K49" s="26" t="str">
        <f t="shared" si="7"/>
        <v/>
      </c>
      <c r="L49" s="51"/>
      <c r="M49" s="51"/>
      <c r="N49" s="4"/>
      <c r="O49" s="4"/>
      <c r="P49" s="28" t="str">
        <f>IF(A49="","",SUMIFS('CARGAS DE COMBUSTIBLE'!$N$2:$N$301,'CARGAS DE COMBUSTIBLE'!$AA$2:$AA$301,A49))</f>
        <v/>
      </c>
      <c r="Q49" s="28" t="str">
        <f t="shared" si="5"/>
        <v/>
      </c>
      <c r="R49" s="56" t="str">
        <f t="shared" si="6"/>
        <v/>
      </c>
      <c r="S49" s="4"/>
    </row>
    <row r="50" spans="1:19" x14ac:dyDescent="0.25">
      <c r="A50" s="8" t="str">
        <f t="shared" si="0"/>
        <v/>
      </c>
      <c r="B50" s="9"/>
      <c r="C50" s="8" t="str">
        <f t="shared" si="1"/>
        <v/>
      </c>
      <c r="D50" s="10" t="str">
        <f t="shared" si="2"/>
        <v/>
      </c>
      <c r="E50" s="8" t="str">
        <f t="shared" si="3"/>
        <v/>
      </c>
      <c r="F50" s="28" t="str">
        <f t="shared" si="4"/>
        <v/>
      </c>
      <c r="G50" s="4"/>
      <c r="H50" s="8"/>
      <c r="I50" s="50"/>
      <c r="J50" s="25"/>
      <c r="K50" s="26" t="str">
        <f t="shared" si="7"/>
        <v/>
      </c>
      <c r="L50" s="51"/>
      <c r="M50" s="51"/>
      <c r="N50" s="4"/>
      <c r="O50" s="4"/>
      <c r="P50" s="28" t="str">
        <f>IF(A50="","",SUMIFS('CARGAS DE COMBUSTIBLE'!$N$2:$N$301,'CARGAS DE COMBUSTIBLE'!$AA$2:$AA$301,A50))</f>
        <v/>
      </c>
      <c r="Q50" s="28" t="str">
        <f t="shared" si="5"/>
        <v/>
      </c>
      <c r="R50" s="56" t="str">
        <f t="shared" si="6"/>
        <v/>
      </c>
      <c r="S50" s="4"/>
    </row>
    <row r="51" spans="1:19" x14ac:dyDescent="0.25">
      <c r="A51" s="8" t="str">
        <f t="shared" si="0"/>
        <v/>
      </c>
      <c r="B51" s="9"/>
      <c r="C51" s="8" t="str">
        <f t="shared" si="1"/>
        <v/>
      </c>
      <c r="D51" s="10" t="str">
        <f t="shared" si="2"/>
        <v/>
      </c>
      <c r="E51" s="8" t="str">
        <f t="shared" si="3"/>
        <v/>
      </c>
      <c r="F51" s="28" t="str">
        <f t="shared" si="4"/>
        <v/>
      </c>
      <c r="G51" s="4"/>
      <c r="H51" s="8"/>
      <c r="I51" s="50"/>
      <c r="J51" s="25"/>
      <c r="K51" s="26" t="str">
        <f t="shared" si="7"/>
        <v/>
      </c>
      <c r="L51" s="51"/>
      <c r="M51" s="51"/>
      <c r="N51" s="4"/>
      <c r="O51" s="4"/>
      <c r="P51" s="28" t="str">
        <f>IF(A51="","",SUMIFS('CARGAS DE COMBUSTIBLE'!$N$2:$N$301,'CARGAS DE COMBUSTIBLE'!$AA$2:$AA$301,A51))</f>
        <v/>
      </c>
      <c r="Q51" s="28" t="str">
        <f t="shared" si="5"/>
        <v/>
      </c>
      <c r="R51" s="56" t="str">
        <f t="shared" si="6"/>
        <v/>
      </c>
      <c r="S51" s="4"/>
    </row>
    <row r="52" spans="1:19" x14ac:dyDescent="0.25">
      <c r="A52" s="8" t="str">
        <f t="shared" si="0"/>
        <v/>
      </c>
      <c r="B52" s="9"/>
      <c r="C52" s="8" t="str">
        <f t="shared" si="1"/>
        <v/>
      </c>
      <c r="D52" s="10" t="str">
        <f t="shared" si="2"/>
        <v/>
      </c>
      <c r="E52" s="8" t="str">
        <f t="shared" si="3"/>
        <v/>
      </c>
      <c r="F52" s="28" t="str">
        <f t="shared" si="4"/>
        <v/>
      </c>
      <c r="G52" s="4"/>
      <c r="H52" s="8"/>
      <c r="I52" s="50"/>
      <c r="J52" s="25"/>
      <c r="K52" s="26" t="str">
        <f t="shared" si="7"/>
        <v/>
      </c>
      <c r="L52" s="51"/>
      <c r="M52" s="51"/>
      <c r="N52" s="4"/>
      <c r="O52" s="4"/>
      <c r="P52" s="28" t="str">
        <f>IF(A52="","",SUMIFS('CARGAS DE COMBUSTIBLE'!$N$2:$N$301,'CARGAS DE COMBUSTIBLE'!$AA$2:$AA$301,A52))</f>
        <v/>
      </c>
      <c r="Q52" s="28" t="str">
        <f t="shared" si="5"/>
        <v/>
      </c>
      <c r="R52" s="56" t="str">
        <f t="shared" si="6"/>
        <v/>
      </c>
      <c r="S52" s="4"/>
    </row>
    <row r="53" spans="1:19" x14ac:dyDescent="0.25">
      <c r="A53" s="8" t="str">
        <f t="shared" si="0"/>
        <v/>
      </c>
      <c r="B53" s="9"/>
      <c r="C53" s="8" t="str">
        <f t="shared" si="1"/>
        <v/>
      </c>
      <c r="D53" s="10" t="str">
        <f t="shared" si="2"/>
        <v/>
      </c>
      <c r="E53" s="8" t="str">
        <f t="shared" si="3"/>
        <v/>
      </c>
      <c r="F53" s="28" t="str">
        <f t="shared" si="4"/>
        <v/>
      </c>
      <c r="G53" s="4"/>
      <c r="H53" s="8"/>
      <c r="I53" s="50"/>
      <c r="J53" s="25"/>
      <c r="K53" s="26" t="str">
        <f t="shared" si="7"/>
        <v/>
      </c>
      <c r="L53" s="51"/>
      <c r="M53" s="51"/>
      <c r="N53" s="4"/>
      <c r="O53" s="4"/>
      <c r="P53" s="28" t="str">
        <f>IF(A53="","",SUMIFS('CARGAS DE COMBUSTIBLE'!$N$2:$N$301,'CARGAS DE COMBUSTIBLE'!$AA$2:$AA$301,A53))</f>
        <v/>
      </c>
      <c r="Q53" s="28" t="str">
        <f t="shared" si="5"/>
        <v/>
      </c>
      <c r="R53" s="56" t="str">
        <f t="shared" si="6"/>
        <v/>
      </c>
      <c r="S53" s="4"/>
    </row>
    <row r="54" spans="1:19" x14ac:dyDescent="0.25">
      <c r="A54" s="8" t="str">
        <f t="shared" si="0"/>
        <v/>
      </c>
      <c r="B54" s="9"/>
      <c r="C54" s="8" t="str">
        <f t="shared" si="1"/>
        <v/>
      </c>
      <c r="D54" s="10" t="str">
        <f t="shared" si="2"/>
        <v/>
      </c>
      <c r="E54" s="8" t="str">
        <f t="shared" si="3"/>
        <v/>
      </c>
      <c r="F54" s="28" t="str">
        <f t="shared" si="4"/>
        <v/>
      </c>
      <c r="G54" s="4"/>
      <c r="H54" s="8"/>
      <c r="I54" s="50"/>
      <c r="J54" s="25"/>
      <c r="K54" s="26" t="str">
        <f t="shared" si="7"/>
        <v/>
      </c>
      <c r="L54" s="51"/>
      <c r="M54" s="51"/>
      <c r="N54" s="4"/>
      <c r="O54" s="4"/>
      <c r="P54" s="28" t="str">
        <f>IF(A54="","",SUMIFS('CARGAS DE COMBUSTIBLE'!$N$2:$N$301,'CARGAS DE COMBUSTIBLE'!$AA$2:$AA$301,A54))</f>
        <v/>
      </c>
      <c r="Q54" s="28" t="str">
        <f t="shared" si="5"/>
        <v/>
      </c>
      <c r="R54" s="56" t="str">
        <f t="shared" si="6"/>
        <v/>
      </c>
      <c r="S54" s="4"/>
    </row>
    <row r="55" spans="1:19" x14ac:dyDescent="0.25">
      <c r="A55" s="8" t="str">
        <f t="shared" si="0"/>
        <v/>
      </c>
      <c r="B55" s="9"/>
      <c r="C55" s="8" t="str">
        <f t="shared" si="1"/>
        <v/>
      </c>
      <c r="D55" s="10" t="str">
        <f t="shared" si="2"/>
        <v/>
      </c>
      <c r="E55" s="8" t="str">
        <f t="shared" si="3"/>
        <v/>
      </c>
      <c r="F55" s="28" t="str">
        <f t="shared" si="4"/>
        <v/>
      </c>
      <c r="G55" s="4"/>
      <c r="H55" s="8"/>
      <c r="I55" s="50"/>
      <c r="J55" s="25"/>
      <c r="K55" s="26" t="str">
        <f t="shared" si="7"/>
        <v/>
      </c>
      <c r="L55" s="51"/>
      <c r="M55" s="51"/>
      <c r="N55" s="4"/>
      <c r="O55" s="4"/>
      <c r="P55" s="28" t="str">
        <f>IF(A55="","",SUMIFS('CARGAS DE COMBUSTIBLE'!$N$2:$N$301,'CARGAS DE COMBUSTIBLE'!$AA$2:$AA$301,A55))</f>
        <v/>
      </c>
      <c r="Q55" s="28" t="str">
        <f t="shared" si="5"/>
        <v/>
      </c>
      <c r="R55" s="56" t="str">
        <f t="shared" si="6"/>
        <v/>
      </c>
      <c r="S55" s="4"/>
    </row>
    <row r="56" spans="1:19" x14ac:dyDescent="0.25">
      <c r="A56" s="8" t="str">
        <f t="shared" si="0"/>
        <v/>
      </c>
      <c r="B56" s="9"/>
      <c r="C56" s="8" t="str">
        <f t="shared" si="1"/>
        <v/>
      </c>
      <c r="D56" s="10" t="str">
        <f t="shared" si="2"/>
        <v/>
      </c>
      <c r="E56" s="8" t="str">
        <f t="shared" si="3"/>
        <v/>
      </c>
      <c r="F56" s="28" t="str">
        <f t="shared" si="4"/>
        <v/>
      </c>
      <c r="G56" s="4"/>
      <c r="H56" s="8"/>
      <c r="I56" s="50"/>
      <c r="J56" s="25"/>
      <c r="K56" s="26" t="str">
        <f t="shared" si="7"/>
        <v/>
      </c>
      <c r="L56" s="51"/>
      <c r="M56" s="51"/>
      <c r="N56" s="4"/>
      <c r="O56" s="4"/>
      <c r="P56" s="28" t="str">
        <f>IF(A56="","",SUMIFS('CARGAS DE COMBUSTIBLE'!$N$2:$N$301,'CARGAS DE COMBUSTIBLE'!$AA$2:$AA$301,A56))</f>
        <v/>
      </c>
      <c r="Q56" s="28" t="str">
        <f t="shared" si="5"/>
        <v/>
      </c>
      <c r="R56" s="56" t="str">
        <f t="shared" si="6"/>
        <v/>
      </c>
      <c r="S56" s="4"/>
    </row>
    <row r="57" spans="1:19" x14ac:dyDescent="0.25">
      <c r="A57" s="8" t="str">
        <f t="shared" si="0"/>
        <v/>
      </c>
      <c r="B57" s="9"/>
      <c r="C57" s="8" t="str">
        <f t="shared" si="1"/>
        <v/>
      </c>
      <c r="D57" s="10" t="str">
        <f t="shared" si="2"/>
        <v/>
      </c>
      <c r="E57" s="8" t="str">
        <f t="shared" si="3"/>
        <v/>
      </c>
      <c r="F57" s="28" t="str">
        <f t="shared" si="4"/>
        <v/>
      </c>
      <c r="G57" s="4"/>
      <c r="H57" s="8"/>
      <c r="I57" s="50"/>
      <c r="J57" s="25"/>
      <c r="K57" s="26" t="str">
        <f t="shared" si="7"/>
        <v/>
      </c>
      <c r="L57" s="51"/>
      <c r="M57" s="51"/>
      <c r="N57" s="4"/>
      <c r="O57" s="4"/>
      <c r="P57" s="28" t="str">
        <f>IF(A57="","",SUMIFS('CARGAS DE COMBUSTIBLE'!$N$2:$N$301,'CARGAS DE COMBUSTIBLE'!$AA$2:$AA$301,A57))</f>
        <v/>
      </c>
      <c r="Q57" s="28" t="str">
        <f t="shared" si="5"/>
        <v/>
      </c>
      <c r="R57" s="56" t="str">
        <f t="shared" si="6"/>
        <v/>
      </c>
      <c r="S57" s="4"/>
    </row>
    <row r="58" spans="1:19" x14ac:dyDescent="0.25">
      <c r="A58" s="8" t="str">
        <f t="shared" si="0"/>
        <v/>
      </c>
      <c r="B58" s="9"/>
      <c r="C58" s="8" t="str">
        <f t="shared" si="1"/>
        <v/>
      </c>
      <c r="D58" s="10" t="str">
        <f t="shared" si="2"/>
        <v/>
      </c>
      <c r="E58" s="8" t="str">
        <f t="shared" si="3"/>
        <v/>
      </c>
      <c r="F58" s="28" t="str">
        <f t="shared" si="4"/>
        <v/>
      </c>
      <c r="G58" s="4"/>
      <c r="H58" s="8"/>
      <c r="I58" s="50"/>
      <c r="J58" s="25"/>
      <c r="K58" s="26" t="str">
        <f t="shared" si="7"/>
        <v/>
      </c>
      <c r="L58" s="51"/>
      <c r="M58" s="51"/>
      <c r="N58" s="4"/>
      <c r="O58" s="4"/>
      <c r="P58" s="28" t="str">
        <f>IF(A58="","",SUMIFS('CARGAS DE COMBUSTIBLE'!$N$2:$N$301,'CARGAS DE COMBUSTIBLE'!$AA$2:$AA$301,A58))</f>
        <v/>
      </c>
      <c r="Q58" s="28" t="str">
        <f t="shared" si="5"/>
        <v/>
      </c>
      <c r="R58" s="56" t="str">
        <f t="shared" si="6"/>
        <v/>
      </c>
      <c r="S58" s="4"/>
    </row>
    <row r="59" spans="1:19" x14ac:dyDescent="0.25">
      <c r="A59" s="8" t="str">
        <f t="shared" si="0"/>
        <v/>
      </c>
      <c r="B59" s="9"/>
      <c r="C59" s="8" t="str">
        <f t="shared" si="1"/>
        <v/>
      </c>
      <c r="D59" s="10" t="str">
        <f t="shared" si="2"/>
        <v/>
      </c>
      <c r="E59" s="8" t="str">
        <f t="shared" si="3"/>
        <v/>
      </c>
      <c r="F59" s="28" t="str">
        <f t="shared" si="4"/>
        <v/>
      </c>
      <c r="G59" s="4"/>
      <c r="H59" s="8"/>
      <c r="I59" s="50"/>
      <c r="J59" s="25"/>
      <c r="K59" s="26" t="str">
        <f t="shared" si="7"/>
        <v/>
      </c>
      <c r="L59" s="51"/>
      <c r="M59" s="51"/>
      <c r="N59" s="4"/>
      <c r="O59" s="4"/>
      <c r="P59" s="28" t="str">
        <f>IF(A59="","",SUMIFS('CARGAS DE COMBUSTIBLE'!$N$2:$N$301,'CARGAS DE COMBUSTIBLE'!$AA$2:$AA$301,A59))</f>
        <v/>
      </c>
      <c r="Q59" s="28" t="str">
        <f t="shared" si="5"/>
        <v/>
      </c>
      <c r="R59" s="56" t="str">
        <f t="shared" si="6"/>
        <v/>
      </c>
      <c r="S59" s="4"/>
    </row>
    <row r="60" spans="1:19" x14ac:dyDescent="0.25">
      <c r="A60" s="8" t="str">
        <f t="shared" si="0"/>
        <v/>
      </c>
      <c r="B60" s="9"/>
      <c r="C60" s="8" t="str">
        <f t="shared" si="1"/>
        <v/>
      </c>
      <c r="D60" s="10" t="str">
        <f t="shared" si="2"/>
        <v/>
      </c>
      <c r="E60" s="8" t="str">
        <f t="shared" si="3"/>
        <v/>
      </c>
      <c r="F60" s="28" t="str">
        <f t="shared" si="4"/>
        <v/>
      </c>
      <c r="G60" s="4"/>
      <c r="H60" s="8"/>
      <c r="I60" s="50"/>
      <c r="J60" s="25"/>
      <c r="K60" s="26" t="str">
        <f t="shared" si="7"/>
        <v/>
      </c>
      <c r="L60" s="51"/>
      <c r="M60" s="51"/>
      <c r="N60" s="4"/>
      <c r="O60" s="4"/>
      <c r="P60" s="28" t="str">
        <f>IF(A60="","",SUMIFS('CARGAS DE COMBUSTIBLE'!$N$2:$N$301,'CARGAS DE COMBUSTIBLE'!$AA$2:$AA$301,A60))</f>
        <v/>
      </c>
      <c r="Q60" s="28" t="str">
        <f t="shared" si="5"/>
        <v/>
      </c>
      <c r="R60" s="56" t="str">
        <f t="shared" si="6"/>
        <v/>
      </c>
      <c r="S60" s="4"/>
    </row>
    <row r="61" spans="1:19" x14ac:dyDescent="0.25">
      <c r="A61" s="8" t="str">
        <f t="shared" si="0"/>
        <v/>
      </c>
      <c r="B61" s="9"/>
      <c r="C61" s="8" t="str">
        <f t="shared" si="1"/>
        <v/>
      </c>
      <c r="D61" s="10" t="str">
        <f t="shared" si="2"/>
        <v/>
      </c>
      <c r="E61" s="8" t="str">
        <f t="shared" si="3"/>
        <v/>
      </c>
      <c r="F61" s="28" t="str">
        <f t="shared" si="4"/>
        <v/>
      </c>
      <c r="G61" s="4"/>
      <c r="H61" s="8"/>
      <c r="I61" s="50"/>
      <c r="J61" s="25"/>
      <c r="K61" s="26" t="str">
        <f t="shared" si="7"/>
        <v/>
      </c>
      <c r="L61" s="51"/>
      <c r="M61" s="51"/>
      <c r="N61" s="4"/>
      <c r="O61" s="4"/>
      <c r="P61" s="28" t="str">
        <f>IF(A61="","",SUMIFS('CARGAS DE COMBUSTIBLE'!$N$2:$N$301,'CARGAS DE COMBUSTIBLE'!$AA$2:$AA$301,A61))</f>
        <v/>
      </c>
      <c r="Q61" s="28" t="str">
        <f t="shared" si="5"/>
        <v/>
      </c>
      <c r="R61" s="56" t="str">
        <f t="shared" si="6"/>
        <v/>
      </c>
      <c r="S61" s="4"/>
    </row>
    <row r="62" spans="1:19" x14ac:dyDescent="0.25">
      <c r="A62" s="8" t="str">
        <f t="shared" si="0"/>
        <v/>
      </c>
      <c r="B62" s="9"/>
      <c r="C62" s="8" t="str">
        <f t="shared" si="1"/>
        <v/>
      </c>
      <c r="D62" s="10" t="str">
        <f t="shared" si="2"/>
        <v/>
      </c>
      <c r="E62" s="8" t="str">
        <f t="shared" si="3"/>
        <v/>
      </c>
      <c r="F62" s="28" t="str">
        <f t="shared" si="4"/>
        <v/>
      </c>
      <c r="G62" s="4"/>
      <c r="H62" s="8"/>
      <c r="I62" s="50"/>
      <c r="J62" s="25"/>
      <c r="K62" s="26" t="str">
        <f t="shared" si="7"/>
        <v/>
      </c>
      <c r="L62" s="51"/>
      <c r="M62" s="51"/>
      <c r="N62" s="4"/>
      <c r="O62" s="4"/>
      <c r="P62" s="28" t="str">
        <f>IF(A62="","",SUMIFS('CARGAS DE COMBUSTIBLE'!$N$2:$N$301,'CARGAS DE COMBUSTIBLE'!$AA$2:$AA$301,A62))</f>
        <v/>
      </c>
      <c r="Q62" s="28" t="str">
        <f t="shared" si="5"/>
        <v/>
      </c>
      <c r="R62" s="56" t="str">
        <f t="shared" si="6"/>
        <v/>
      </c>
      <c r="S62" s="4"/>
    </row>
    <row r="63" spans="1:19" x14ac:dyDescent="0.25">
      <c r="A63" s="8" t="str">
        <f t="shared" si="0"/>
        <v/>
      </c>
      <c r="B63" s="9"/>
      <c r="C63" s="8" t="str">
        <f t="shared" si="1"/>
        <v/>
      </c>
      <c r="D63" s="10" t="str">
        <f t="shared" si="2"/>
        <v/>
      </c>
      <c r="E63" s="8" t="str">
        <f t="shared" si="3"/>
        <v/>
      </c>
      <c r="F63" s="28" t="str">
        <f t="shared" si="4"/>
        <v/>
      </c>
      <c r="G63" s="4"/>
      <c r="H63" s="8"/>
      <c r="I63" s="50"/>
      <c r="J63" s="25"/>
      <c r="K63" s="26" t="str">
        <f t="shared" si="7"/>
        <v/>
      </c>
      <c r="L63" s="51"/>
      <c r="M63" s="51"/>
      <c r="N63" s="4"/>
      <c r="O63" s="4"/>
      <c r="P63" s="28" t="str">
        <f>IF(A63="","",SUMIFS('CARGAS DE COMBUSTIBLE'!$N$2:$N$301,'CARGAS DE COMBUSTIBLE'!$AA$2:$AA$301,A63))</f>
        <v/>
      </c>
      <c r="Q63" s="28" t="str">
        <f t="shared" si="5"/>
        <v/>
      </c>
      <c r="R63" s="56" t="str">
        <f t="shared" si="6"/>
        <v/>
      </c>
      <c r="S63" s="4"/>
    </row>
    <row r="64" spans="1:19" x14ac:dyDescent="0.25">
      <c r="A64" s="8" t="str">
        <f t="shared" si="0"/>
        <v/>
      </c>
      <c r="B64" s="9"/>
      <c r="C64" s="8" t="str">
        <f t="shared" si="1"/>
        <v/>
      </c>
      <c r="D64" s="10" t="str">
        <f t="shared" si="2"/>
        <v/>
      </c>
      <c r="E64" s="8" t="str">
        <f t="shared" si="3"/>
        <v/>
      </c>
      <c r="F64" s="28" t="str">
        <f t="shared" si="4"/>
        <v/>
      </c>
      <c r="G64" s="4"/>
      <c r="H64" s="8"/>
      <c r="I64" s="50"/>
      <c r="J64" s="25"/>
      <c r="K64" s="26" t="str">
        <f t="shared" si="7"/>
        <v/>
      </c>
      <c r="L64" s="51"/>
      <c r="M64" s="51"/>
      <c r="N64" s="4"/>
      <c r="O64" s="4"/>
      <c r="P64" s="28" t="str">
        <f>IF(A64="","",SUMIFS('CARGAS DE COMBUSTIBLE'!$N$2:$N$301,'CARGAS DE COMBUSTIBLE'!$AA$2:$AA$301,A64))</f>
        <v/>
      </c>
      <c r="Q64" s="28" t="str">
        <f t="shared" si="5"/>
        <v/>
      </c>
      <c r="R64" s="56" t="str">
        <f t="shared" si="6"/>
        <v/>
      </c>
      <c r="S64" s="4"/>
    </row>
    <row r="65" spans="1:19" x14ac:dyDescent="0.25">
      <c r="A65" s="8" t="str">
        <f t="shared" si="0"/>
        <v/>
      </c>
      <c r="B65" s="9"/>
      <c r="C65" s="8" t="str">
        <f t="shared" si="1"/>
        <v/>
      </c>
      <c r="D65" s="10" t="str">
        <f t="shared" si="2"/>
        <v/>
      </c>
      <c r="E65" s="8" t="str">
        <f t="shared" si="3"/>
        <v/>
      </c>
      <c r="F65" s="28" t="str">
        <f t="shared" si="4"/>
        <v/>
      </c>
      <c r="G65" s="4"/>
      <c r="H65" s="8"/>
      <c r="I65" s="50"/>
      <c r="J65" s="25"/>
      <c r="K65" s="26" t="str">
        <f t="shared" si="7"/>
        <v/>
      </c>
      <c r="L65" s="51"/>
      <c r="M65" s="51"/>
      <c r="N65" s="4"/>
      <c r="O65" s="4"/>
      <c r="P65" s="28" t="str">
        <f>IF(A65="","",SUMIFS('CARGAS DE COMBUSTIBLE'!$N$2:$N$301,'CARGAS DE COMBUSTIBLE'!$AA$2:$AA$301,A65))</f>
        <v/>
      </c>
      <c r="Q65" s="28" t="str">
        <f t="shared" si="5"/>
        <v/>
      </c>
      <c r="R65" s="56" t="str">
        <f t="shared" si="6"/>
        <v/>
      </c>
      <c r="S65" s="4"/>
    </row>
    <row r="66" spans="1:19" x14ac:dyDescent="0.25">
      <c r="A66" s="8" t="str">
        <f t="shared" ref="A66:A129" si="8">IF(B66="","","BATAN-"&amp;TEXT(ROW()-1,"0000"))</f>
        <v/>
      </c>
      <c r="B66" s="9"/>
      <c r="C66" s="8" t="str">
        <f t="shared" ref="C66:C129" si="9">IF(B66="","",CHOOSE(MONTH(B66),"Enero","Febrero","Marzo","Abril","Mayo","Junio","Julio","Agosto","Septiembre","Octubre","Noviembre","Diciembre"))</f>
        <v/>
      </c>
      <c r="D66" s="10" t="str">
        <f t="shared" ref="D66:D129" si="10">IF(B66="","",YEAR(B66))</f>
        <v/>
      </c>
      <c r="E66" s="8" t="str">
        <f t="shared" ref="E66:E129" si="11">IF(B66="","","Batán 200 L")</f>
        <v/>
      </c>
      <c r="F66" s="28" t="str">
        <f t="shared" ref="F66:F129" si="12">IF(B66="","",200)</f>
        <v/>
      </c>
      <c r="G66" s="4"/>
      <c r="H66" s="8"/>
      <c r="I66" s="50"/>
      <c r="J66" s="25"/>
      <c r="K66" s="26" t="str">
        <f t="shared" ref="K66:K129" si="13">IF(OR(I66="",J66=""),"",I66*J66)</f>
        <v/>
      </c>
      <c r="L66" s="51"/>
      <c r="M66" s="51"/>
      <c r="N66" s="4"/>
      <c r="O66" s="4"/>
      <c r="P66" s="28" t="str">
        <f>IF(A66="","",SUMIFS('CARGAS DE COMBUSTIBLE'!$N$2:$N$301,'CARGAS DE COMBUSTIBLE'!$AA$2:$AA$301,A66))</f>
        <v/>
      </c>
      <c r="Q66" s="28" t="str">
        <f t="shared" ref="Q66:Q129" si="14">IF(A66="","",IF(I66="","",I66-P66))</f>
        <v/>
      </c>
      <c r="R66" s="56" t="str">
        <f t="shared" ref="R66:R129" si="15">IF(A66="","",IF(Q66&lt;0,"Excedido",IF(Q66=0,"Consumido","Disponible")))</f>
        <v/>
      </c>
      <c r="S66" s="4"/>
    </row>
    <row r="67" spans="1:19" x14ac:dyDescent="0.25">
      <c r="A67" s="8" t="str">
        <f t="shared" si="8"/>
        <v/>
      </c>
      <c r="B67" s="9"/>
      <c r="C67" s="8" t="str">
        <f t="shared" si="9"/>
        <v/>
      </c>
      <c r="D67" s="10" t="str">
        <f t="shared" si="10"/>
        <v/>
      </c>
      <c r="E67" s="8" t="str">
        <f t="shared" si="11"/>
        <v/>
      </c>
      <c r="F67" s="28" t="str">
        <f t="shared" si="12"/>
        <v/>
      </c>
      <c r="G67" s="4"/>
      <c r="H67" s="8"/>
      <c r="I67" s="50"/>
      <c r="J67" s="25"/>
      <c r="K67" s="26" t="str">
        <f t="shared" si="13"/>
        <v/>
      </c>
      <c r="L67" s="51"/>
      <c r="M67" s="51"/>
      <c r="N67" s="4"/>
      <c r="O67" s="4"/>
      <c r="P67" s="28" t="str">
        <f>IF(A67="","",SUMIFS('CARGAS DE COMBUSTIBLE'!$N$2:$N$301,'CARGAS DE COMBUSTIBLE'!$AA$2:$AA$301,A67))</f>
        <v/>
      </c>
      <c r="Q67" s="28" t="str">
        <f t="shared" si="14"/>
        <v/>
      </c>
      <c r="R67" s="56" t="str">
        <f t="shared" si="15"/>
        <v/>
      </c>
      <c r="S67" s="4"/>
    </row>
    <row r="68" spans="1:19" x14ac:dyDescent="0.25">
      <c r="A68" s="8" t="str">
        <f t="shared" si="8"/>
        <v/>
      </c>
      <c r="B68" s="9"/>
      <c r="C68" s="8" t="str">
        <f t="shared" si="9"/>
        <v/>
      </c>
      <c r="D68" s="10" t="str">
        <f t="shared" si="10"/>
        <v/>
      </c>
      <c r="E68" s="8" t="str">
        <f t="shared" si="11"/>
        <v/>
      </c>
      <c r="F68" s="28" t="str">
        <f t="shared" si="12"/>
        <v/>
      </c>
      <c r="G68" s="4"/>
      <c r="H68" s="8"/>
      <c r="I68" s="50"/>
      <c r="J68" s="25"/>
      <c r="K68" s="26" t="str">
        <f t="shared" si="13"/>
        <v/>
      </c>
      <c r="L68" s="51"/>
      <c r="M68" s="51"/>
      <c r="N68" s="4"/>
      <c r="O68" s="4"/>
      <c r="P68" s="28" t="str">
        <f>IF(A68="","",SUMIFS('CARGAS DE COMBUSTIBLE'!$N$2:$N$301,'CARGAS DE COMBUSTIBLE'!$AA$2:$AA$301,A68))</f>
        <v/>
      </c>
      <c r="Q68" s="28" t="str">
        <f t="shared" si="14"/>
        <v/>
      </c>
      <c r="R68" s="56" t="str">
        <f t="shared" si="15"/>
        <v/>
      </c>
      <c r="S68" s="4"/>
    </row>
    <row r="69" spans="1:19" x14ac:dyDescent="0.25">
      <c r="A69" s="8" t="str">
        <f t="shared" si="8"/>
        <v/>
      </c>
      <c r="B69" s="9"/>
      <c r="C69" s="8" t="str">
        <f t="shared" si="9"/>
        <v/>
      </c>
      <c r="D69" s="10" t="str">
        <f t="shared" si="10"/>
        <v/>
      </c>
      <c r="E69" s="8" t="str">
        <f t="shared" si="11"/>
        <v/>
      </c>
      <c r="F69" s="28" t="str">
        <f t="shared" si="12"/>
        <v/>
      </c>
      <c r="G69" s="4"/>
      <c r="H69" s="8"/>
      <c r="I69" s="50"/>
      <c r="J69" s="25"/>
      <c r="K69" s="26" t="str">
        <f t="shared" si="13"/>
        <v/>
      </c>
      <c r="L69" s="51"/>
      <c r="M69" s="51"/>
      <c r="N69" s="4"/>
      <c r="O69" s="4"/>
      <c r="P69" s="28" t="str">
        <f>IF(A69="","",SUMIFS('CARGAS DE COMBUSTIBLE'!$N$2:$N$301,'CARGAS DE COMBUSTIBLE'!$AA$2:$AA$301,A69))</f>
        <v/>
      </c>
      <c r="Q69" s="28" t="str">
        <f t="shared" si="14"/>
        <v/>
      </c>
      <c r="R69" s="56" t="str">
        <f t="shared" si="15"/>
        <v/>
      </c>
      <c r="S69" s="4"/>
    </row>
    <row r="70" spans="1:19" x14ac:dyDescent="0.25">
      <c r="A70" s="8" t="str">
        <f t="shared" si="8"/>
        <v/>
      </c>
      <c r="B70" s="9"/>
      <c r="C70" s="8" t="str">
        <f t="shared" si="9"/>
        <v/>
      </c>
      <c r="D70" s="10" t="str">
        <f t="shared" si="10"/>
        <v/>
      </c>
      <c r="E70" s="8" t="str">
        <f t="shared" si="11"/>
        <v/>
      </c>
      <c r="F70" s="28" t="str">
        <f t="shared" si="12"/>
        <v/>
      </c>
      <c r="G70" s="4"/>
      <c r="H70" s="8"/>
      <c r="I70" s="50"/>
      <c r="J70" s="25"/>
      <c r="K70" s="26" t="str">
        <f t="shared" si="13"/>
        <v/>
      </c>
      <c r="L70" s="51"/>
      <c r="M70" s="51"/>
      <c r="N70" s="4"/>
      <c r="O70" s="4"/>
      <c r="P70" s="28" t="str">
        <f>IF(A70="","",SUMIFS('CARGAS DE COMBUSTIBLE'!$N$2:$N$301,'CARGAS DE COMBUSTIBLE'!$AA$2:$AA$301,A70))</f>
        <v/>
      </c>
      <c r="Q70" s="28" t="str">
        <f t="shared" si="14"/>
        <v/>
      </c>
      <c r="R70" s="56" t="str">
        <f t="shared" si="15"/>
        <v/>
      </c>
      <c r="S70" s="4"/>
    </row>
    <row r="71" spans="1:19" x14ac:dyDescent="0.25">
      <c r="A71" s="8" t="str">
        <f t="shared" si="8"/>
        <v/>
      </c>
      <c r="B71" s="9"/>
      <c r="C71" s="8" t="str">
        <f t="shared" si="9"/>
        <v/>
      </c>
      <c r="D71" s="10" t="str">
        <f t="shared" si="10"/>
        <v/>
      </c>
      <c r="E71" s="8" t="str">
        <f t="shared" si="11"/>
        <v/>
      </c>
      <c r="F71" s="28" t="str">
        <f t="shared" si="12"/>
        <v/>
      </c>
      <c r="G71" s="4"/>
      <c r="H71" s="8"/>
      <c r="I71" s="50"/>
      <c r="J71" s="25"/>
      <c r="K71" s="26" t="str">
        <f t="shared" si="13"/>
        <v/>
      </c>
      <c r="L71" s="51"/>
      <c r="M71" s="51"/>
      <c r="N71" s="4"/>
      <c r="O71" s="4"/>
      <c r="P71" s="28" t="str">
        <f>IF(A71="","",SUMIFS('CARGAS DE COMBUSTIBLE'!$N$2:$N$301,'CARGAS DE COMBUSTIBLE'!$AA$2:$AA$301,A71))</f>
        <v/>
      </c>
      <c r="Q71" s="28" t="str">
        <f t="shared" si="14"/>
        <v/>
      </c>
      <c r="R71" s="56" t="str">
        <f t="shared" si="15"/>
        <v/>
      </c>
      <c r="S71" s="4"/>
    </row>
    <row r="72" spans="1:19" x14ac:dyDescent="0.25">
      <c r="A72" s="8" t="str">
        <f t="shared" si="8"/>
        <v/>
      </c>
      <c r="B72" s="9"/>
      <c r="C72" s="8" t="str">
        <f t="shared" si="9"/>
        <v/>
      </c>
      <c r="D72" s="10" t="str">
        <f t="shared" si="10"/>
        <v/>
      </c>
      <c r="E72" s="8" t="str">
        <f t="shared" si="11"/>
        <v/>
      </c>
      <c r="F72" s="28" t="str">
        <f t="shared" si="12"/>
        <v/>
      </c>
      <c r="G72" s="4"/>
      <c r="H72" s="8"/>
      <c r="I72" s="50"/>
      <c r="J72" s="25"/>
      <c r="K72" s="26" t="str">
        <f t="shared" si="13"/>
        <v/>
      </c>
      <c r="L72" s="51"/>
      <c r="M72" s="51"/>
      <c r="N72" s="4"/>
      <c r="O72" s="4"/>
      <c r="P72" s="28" t="str">
        <f>IF(A72="","",SUMIFS('CARGAS DE COMBUSTIBLE'!$N$2:$N$301,'CARGAS DE COMBUSTIBLE'!$AA$2:$AA$301,A72))</f>
        <v/>
      </c>
      <c r="Q72" s="28" t="str">
        <f t="shared" si="14"/>
        <v/>
      </c>
      <c r="R72" s="56" t="str">
        <f t="shared" si="15"/>
        <v/>
      </c>
      <c r="S72" s="4"/>
    </row>
    <row r="73" spans="1:19" x14ac:dyDescent="0.25">
      <c r="A73" s="8" t="str">
        <f t="shared" si="8"/>
        <v/>
      </c>
      <c r="B73" s="9"/>
      <c r="C73" s="8" t="str">
        <f t="shared" si="9"/>
        <v/>
      </c>
      <c r="D73" s="10" t="str">
        <f t="shared" si="10"/>
        <v/>
      </c>
      <c r="E73" s="8" t="str">
        <f t="shared" si="11"/>
        <v/>
      </c>
      <c r="F73" s="28" t="str">
        <f t="shared" si="12"/>
        <v/>
      </c>
      <c r="G73" s="4"/>
      <c r="H73" s="8"/>
      <c r="I73" s="50"/>
      <c r="J73" s="25"/>
      <c r="K73" s="26" t="str">
        <f t="shared" si="13"/>
        <v/>
      </c>
      <c r="L73" s="51"/>
      <c r="M73" s="51"/>
      <c r="N73" s="4"/>
      <c r="O73" s="4"/>
      <c r="P73" s="28" t="str">
        <f>IF(A73="","",SUMIFS('CARGAS DE COMBUSTIBLE'!$N$2:$N$301,'CARGAS DE COMBUSTIBLE'!$AA$2:$AA$301,A73))</f>
        <v/>
      </c>
      <c r="Q73" s="28" t="str">
        <f t="shared" si="14"/>
        <v/>
      </c>
      <c r="R73" s="56" t="str">
        <f t="shared" si="15"/>
        <v/>
      </c>
      <c r="S73" s="4"/>
    </row>
    <row r="74" spans="1:19" x14ac:dyDescent="0.25">
      <c r="A74" s="8" t="str">
        <f t="shared" si="8"/>
        <v/>
      </c>
      <c r="B74" s="9"/>
      <c r="C74" s="8" t="str">
        <f t="shared" si="9"/>
        <v/>
      </c>
      <c r="D74" s="10" t="str">
        <f t="shared" si="10"/>
        <v/>
      </c>
      <c r="E74" s="8" t="str">
        <f t="shared" si="11"/>
        <v/>
      </c>
      <c r="F74" s="28" t="str">
        <f t="shared" si="12"/>
        <v/>
      </c>
      <c r="G74" s="4"/>
      <c r="H74" s="8"/>
      <c r="I74" s="50"/>
      <c r="J74" s="25"/>
      <c r="K74" s="26" t="str">
        <f t="shared" si="13"/>
        <v/>
      </c>
      <c r="L74" s="51"/>
      <c r="M74" s="51"/>
      <c r="N74" s="4"/>
      <c r="O74" s="4"/>
      <c r="P74" s="28" t="str">
        <f>IF(A74="","",SUMIFS('CARGAS DE COMBUSTIBLE'!$N$2:$N$301,'CARGAS DE COMBUSTIBLE'!$AA$2:$AA$301,A74))</f>
        <v/>
      </c>
      <c r="Q74" s="28" t="str">
        <f t="shared" si="14"/>
        <v/>
      </c>
      <c r="R74" s="56" t="str">
        <f t="shared" si="15"/>
        <v/>
      </c>
      <c r="S74" s="4"/>
    </row>
    <row r="75" spans="1:19" x14ac:dyDescent="0.25">
      <c r="A75" s="8" t="str">
        <f t="shared" si="8"/>
        <v/>
      </c>
      <c r="B75" s="9"/>
      <c r="C75" s="8" t="str">
        <f t="shared" si="9"/>
        <v/>
      </c>
      <c r="D75" s="10" t="str">
        <f t="shared" si="10"/>
        <v/>
      </c>
      <c r="E75" s="8" t="str">
        <f t="shared" si="11"/>
        <v/>
      </c>
      <c r="F75" s="28" t="str">
        <f t="shared" si="12"/>
        <v/>
      </c>
      <c r="G75" s="4"/>
      <c r="H75" s="8"/>
      <c r="I75" s="50"/>
      <c r="J75" s="25"/>
      <c r="K75" s="26" t="str">
        <f t="shared" si="13"/>
        <v/>
      </c>
      <c r="L75" s="51"/>
      <c r="M75" s="51"/>
      <c r="N75" s="4"/>
      <c r="O75" s="4"/>
      <c r="P75" s="28" t="str">
        <f>IF(A75="","",SUMIFS('CARGAS DE COMBUSTIBLE'!$N$2:$N$301,'CARGAS DE COMBUSTIBLE'!$AA$2:$AA$301,A75))</f>
        <v/>
      </c>
      <c r="Q75" s="28" t="str">
        <f t="shared" si="14"/>
        <v/>
      </c>
      <c r="R75" s="56" t="str">
        <f t="shared" si="15"/>
        <v/>
      </c>
      <c r="S75" s="4"/>
    </row>
    <row r="76" spans="1:19" x14ac:dyDescent="0.25">
      <c r="A76" s="8" t="str">
        <f t="shared" si="8"/>
        <v/>
      </c>
      <c r="B76" s="9"/>
      <c r="C76" s="8" t="str">
        <f t="shared" si="9"/>
        <v/>
      </c>
      <c r="D76" s="10" t="str">
        <f t="shared" si="10"/>
        <v/>
      </c>
      <c r="E76" s="8" t="str">
        <f t="shared" si="11"/>
        <v/>
      </c>
      <c r="F76" s="28" t="str">
        <f t="shared" si="12"/>
        <v/>
      </c>
      <c r="G76" s="4"/>
      <c r="H76" s="8"/>
      <c r="I76" s="50"/>
      <c r="J76" s="25"/>
      <c r="K76" s="26" t="str">
        <f t="shared" si="13"/>
        <v/>
      </c>
      <c r="L76" s="51"/>
      <c r="M76" s="51"/>
      <c r="N76" s="4"/>
      <c r="O76" s="4"/>
      <c r="P76" s="28" t="str">
        <f>IF(A76="","",SUMIFS('CARGAS DE COMBUSTIBLE'!$N$2:$N$301,'CARGAS DE COMBUSTIBLE'!$AA$2:$AA$301,A76))</f>
        <v/>
      </c>
      <c r="Q76" s="28" t="str">
        <f t="shared" si="14"/>
        <v/>
      </c>
      <c r="R76" s="56" t="str">
        <f t="shared" si="15"/>
        <v/>
      </c>
      <c r="S76" s="4"/>
    </row>
    <row r="77" spans="1:19" x14ac:dyDescent="0.25">
      <c r="A77" s="8" t="str">
        <f t="shared" si="8"/>
        <v/>
      </c>
      <c r="B77" s="9"/>
      <c r="C77" s="8" t="str">
        <f t="shared" si="9"/>
        <v/>
      </c>
      <c r="D77" s="10" t="str">
        <f t="shared" si="10"/>
        <v/>
      </c>
      <c r="E77" s="8" t="str">
        <f t="shared" si="11"/>
        <v/>
      </c>
      <c r="F77" s="28" t="str">
        <f t="shared" si="12"/>
        <v/>
      </c>
      <c r="G77" s="4"/>
      <c r="H77" s="8"/>
      <c r="I77" s="50"/>
      <c r="J77" s="25"/>
      <c r="K77" s="26" t="str">
        <f t="shared" si="13"/>
        <v/>
      </c>
      <c r="L77" s="51"/>
      <c r="M77" s="51"/>
      <c r="N77" s="4"/>
      <c r="O77" s="4"/>
      <c r="P77" s="28" t="str">
        <f>IF(A77="","",SUMIFS('CARGAS DE COMBUSTIBLE'!$N$2:$N$301,'CARGAS DE COMBUSTIBLE'!$AA$2:$AA$301,A77))</f>
        <v/>
      </c>
      <c r="Q77" s="28" t="str">
        <f t="shared" si="14"/>
        <v/>
      </c>
      <c r="R77" s="56" t="str">
        <f t="shared" si="15"/>
        <v/>
      </c>
      <c r="S77" s="4"/>
    </row>
    <row r="78" spans="1:19" x14ac:dyDescent="0.25">
      <c r="A78" s="8" t="str">
        <f t="shared" si="8"/>
        <v/>
      </c>
      <c r="B78" s="9"/>
      <c r="C78" s="8" t="str">
        <f t="shared" si="9"/>
        <v/>
      </c>
      <c r="D78" s="10" t="str">
        <f t="shared" si="10"/>
        <v/>
      </c>
      <c r="E78" s="8" t="str">
        <f t="shared" si="11"/>
        <v/>
      </c>
      <c r="F78" s="28" t="str">
        <f t="shared" si="12"/>
        <v/>
      </c>
      <c r="G78" s="4"/>
      <c r="H78" s="8"/>
      <c r="I78" s="50"/>
      <c r="J78" s="25"/>
      <c r="K78" s="26" t="str">
        <f t="shared" si="13"/>
        <v/>
      </c>
      <c r="L78" s="51"/>
      <c r="M78" s="51"/>
      <c r="N78" s="4"/>
      <c r="O78" s="4"/>
      <c r="P78" s="28" t="str">
        <f>IF(A78="","",SUMIFS('CARGAS DE COMBUSTIBLE'!$N$2:$N$301,'CARGAS DE COMBUSTIBLE'!$AA$2:$AA$301,A78))</f>
        <v/>
      </c>
      <c r="Q78" s="28" t="str">
        <f t="shared" si="14"/>
        <v/>
      </c>
      <c r="R78" s="56" t="str">
        <f t="shared" si="15"/>
        <v/>
      </c>
      <c r="S78" s="4"/>
    </row>
    <row r="79" spans="1:19" x14ac:dyDescent="0.25">
      <c r="A79" s="8" t="str">
        <f t="shared" si="8"/>
        <v/>
      </c>
      <c r="B79" s="9"/>
      <c r="C79" s="8" t="str">
        <f t="shared" si="9"/>
        <v/>
      </c>
      <c r="D79" s="10" t="str">
        <f t="shared" si="10"/>
        <v/>
      </c>
      <c r="E79" s="8" t="str">
        <f t="shared" si="11"/>
        <v/>
      </c>
      <c r="F79" s="28" t="str">
        <f t="shared" si="12"/>
        <v/>
      </c>
      <c r="G79" s="4"/>
      <c r="H79" s="8"/>
      <c r="I79" s="50"/>
      <c r="J79" s="25"/>
      <c r="K79" s="26" t="str">
        <f t="shared" si="13"/>
        <v/>
      </c>
      <c r="L79" s="51"/>
      <c r="M79" s="51"/>
      <c r="N79" s="4"/>
      <c r="O79" s="4"/>
      <c r="P79" s="28" t="str">
        <f>IF(A79="","",SUMIFS('CARGAS DE COMBUSTIBLE'!$N$2:$N$301,'CARGAS DE COMBUSTIBLE'!$AA$2:$AA$301,A79))</f>
        <v/>
      </c>
      <c r="Q79" s="28" t="str">
        <f t="shared" si="14"/>
        <v/>
      </c>
      <c r="R79" s="56" t="str">
        <f t="shared" si="15"/>
        <v/>
      </c>
      <c r="S79" s="4"/>
    </row>
    <row r="80" spans="1:19" x14ac:dyDescent="0.25">
      <c r="A80" s="8" t="str">
        <f t="shared" si="8"/>
        <v/>
      </c>
      <c r="B80" s="9"/>
      <c r="C80" s="8" t="str">
        <f t="shared" si="9"/>
        <v/>
      </c>
      <c r="D80" s="10" t="str">
        <f t="shared" si="10"/>
        <v/>
      </c>
      <c r="E80" s="8" t="str">
        <f t="shared" si="11"/>
        <v/>
      </c>
      <c r="F80" s="28" t="str">
        <f t="shared" si="12"/>
        <v/>
      </c>
      <c r="G80" s="4"/>
      <c r="H80" s="8"/>
      <c r="I80" s="50"/>
      <c r="J80" s="25"/>
      <c r="K80" s="26" t="str">
        <f t="shared" si="13"/>
        <v/>
      </c>
      <c r="L80" s="51"/>
      <c r="M80" s="51"/>
      <c r="N80" s="4"/>
      <c r="O80" s="4"/>
      <c r="P80" s="28" t="str">
        <f>IF(A80="","",SUMIFS('CARGAS DE COMBUSTIBLE'!$N$2:$N$301,'CARGAS DE COMBUSTIBLE'!$AA$2:$AA$301,A80))</f>
        <v/>
      </c>
      <c r="Q80" s="28" t="str">
        <f t="shared" si="14"/>
        <v/>
      </c>
      <c r="R80" s="56" t="str">
        <f t="shared" si="15"/>
        <v/>
      </c>
      <c r="S80" s="4"/>
    </row>
    <row r="81" spans="1:19" x14ac:dyDescent="0.25">
      <c r="A81" s="8" t="str">
        <f t="shared" si="8"/>
        <v/>
      </c>
      <c r="B81" s="9"/>
      <c r="C81" s="8" t="str">
        <f t="shared" si="9"/>
        <v/>
      </c>
      <c r="D81" s="10" t="str">
        <f t="shared" si="10"/>
        <v/>
      </c>
      <c r="E81" s="8" t="str">
        <f t="shared" si="11"/>
        <v/>
      </c>
      <c r="F81" s="28" t="str">
        <f t="shared" si="12"/>
        <v/>
      </c>
      <c r="G81" s="4"/>
      <c r="H81" s="8"/>
      <c r="I81" s="50"/>
      <c r="J81" s="25"/>
      <c r="K81" s="26" t="str">
        <f t="shared" si="13"/>
        <v/>
      </c>
      <c r="L81" s="51"/>
      <c r="M81" s="51"/>
      <c r="N81" s="4"/>
      <c r="O81" s="4"/>
      <c r="P81" s="28" t="str">
        <f>IF(A81="","",SUMIFS('CARGAS DE COMBUSTIBLE'!$N$2:$N$301,'CARGAS DE COMBUSTIBLE'!$AA$2:$AA$301,A81))</f>
        <v/>
      </c>
      <c r="Q81" s="28" t="str">
        <f t="shared" si="14"/>
        <v/>
      </c>
      <c r="R81" s="56" t="str">
        <f t="shared" si="15"/>
        <v/>
      </c>
      <c r="S81" s="4"/>
    </row>
    <row r="82" spans="1:19" x14ac:dyDescent="0.25">
      <c r="A82" s="8" t="str">
        <f t="shared" si="8"/>
        <v/>
      </c>
      <c r="B82" s="9"/>
      <c r="C82" s="8" t="str">
        <f t="shared" si="9"/>
        <v/>
      </c>
      <c r="D82" s="10" t="str">
        <f t="shared" si="10"/>
        <v/>
      </c>
      <c r="E82" s="8" t="str">
        <f t="shared" si="11"/>
        <v/>
      </c>
      <c r="F82" s="28" t="str">
        <f t="shared" si="12"/>
        <v/>
      </c>
      <c r="G82" s="4"/>
      <c r="H82" s="8"/>
      <c r="I82" s="50"/>
      <c r="J82" s="25"/>
      <c r="K82" s="26" t="str">
        <f t="shared" si="13"/>
        <v/>
      </c>
      <c r="L82" s="51"/>
      <c r="M82" s="51"/>
      <c r="N82" s="4"/>
      <c r="O82" s="4"/>
      <c r="P82" s="28" t="str">
        <f>IF(A82="","",SUMIFS('CARGAS DE COMBUSTIBLE'!$N$2:$N$301,'CARGAS DE COMBUSTIBLE'!$AA$2:$AA$301,A82))</f>
        <v/>
      </c>
      <c r="Q82" s="28" t="str">
        <f t="shared" si="14"/>
        <v/>
      </c>
      <c r="R82" s="56" t="str">
        <f t="shared" si="15"/>
        <v/>
      </c>
      <c r="S82" s="4"/>
    </row>
    <row r="83" spans="1:19" x14ac:dyDescent="0.25">
      <c r="A83" s="8" t="str">
        <f t="shared" si="8"/>
        <v/>
      </c>
      <c r="B83" s="9"/>
      <c r="C83" s="8" t="str">
        <f t="shared" si="9"/>
        <v/>
      </c>
      <c r="D83" s="10" t="str">
        <f t="shared" si="10"/>
        <v/>
      </c>
      <c r="E83" s="8" t="str">
        <f t="shared" si="11"/>
        <v/>
      </c>
      <c r="F83" s="28" t="str">
        <f t="shared" si="12"/>
        <v/>
      </c>
      <c r="G83" s="4"/>
      <c r="H83" s="8"/>
      <c r="I83" s="50"/>
      <c r="J83" s="25"/>
      <c r="K83" s="26" t="str">
        <f t="shared" si="13"/>
        <v/>
      </c>
      <c r="L83" s="51"/>
      <c r="M83" s="51"/>
      <c r="N83" s="4"/>
      <c r="O83" s="4"/>
      <c r="P83" s="28" t="str">
        <f>IF(A83="","",SUMIFS('CARGAS DE COMBUSTIBLE'!$N$2:$N$301,'CARGAS DE COMBUSTIBLE'!$AA$2:$AA$301,A83))</f>
        <v/>
      </c>
      <c r="Q83" s="28" t="str">
        <f t="shared" si="14"/>
        <v/>
      </c>
      <c r="R83" s="56" t="str">
        <f t="shared" si="15"/>
        <v/>
      </c>
      <c r="S83" s="4"/>
    </row>
    <row r="84" spans="1:19" x14ac:dyDescent="0.25">
      <c r="A84" s="8" t="str">
        <f t="shared" si="8"/>
        <v/>
      </c>
      <c r="B84" s="9"/>
      <c r="C84" s="8" t="str">
        <f t="shared" si="9"/>
        <v/>
      </c>
      <c r="D84" s="10" t="str">
        <f t="shared" si="10"/>
        <v/>
      </c>
      <c r="E84" s="8" t="str">
        <f t="shared" si="11"/>
        <v/>
      </c>
      <c r="F84" s="28" t="str">
        <f t="shared" si="12"/>
        <v/>
      </c>
      <c r="G84" s="4"/>
      <c r="H84" s="8"/>
      <c r="I84" s="50"/>
      <c r="J84" s="25"/>
      <c r="K84" s="26" t="str">
        <f t="shared" si="13"/>
        <v/>
      </c>
      <c r="L84" s="51"/>
      <c r="M84" s="51"/>
      <c r="N84" s="4"/>
      <c r="O84" s="4"/>
      <c r="P84" s="28" t="str">
        <f>IF(A84="","",SUMIFS('CARGAS DE COMBUSTIBLE'!$N$2:$N$301,'CARGAS DE COMBUSTIBLE'!$AA$2:$AA$301,A84))</f>
        <v/>
      </c>
      <c r="Q84" s="28" t="str">
        <f t="shared" si="14"/>
        <v/>
      </c>
      <c r="R84" s="56" t="str">
        <f t="shared" si="15"/>
        <v/>
      </c>
      <c r="S84" s="4"/>
    </row>
    <row r="85" spans="1:19" x14ac:dyDescent="0.25">
      <c r="A85" s="8" t="str">
        <f t="shared" si="8"/>
        <v/>
      </c>
      <c r="B85" s="9"/>
      <c r="C85" s="8" t="str">
        <f t="shared" si="9"/>
        <v/>
      </c>
      <c r="D85" s="10" t="str">
        <f t="shared" si="10"/>
        <v/>
      </c>
      <c r="E85" s="8" t="str">
        <f t="shared" si="11"/>
        <v/>
      </c>
      <c r="F85" s="28" t="str">
        <f t="shared" si="12"/>
        <v/>
      </c>
      <c r="G85" s="4"/>
      <c r="H85" s="8"/>
      <c r="I85" s="50"/>
      <c r="J85" s="25"/>
      <c r="K85" s="26" t="str">
        <f t="shared" si="13"/>
        <v/>
      </c>
      <c r="L85" s="51"/>
      <c r="M85" s="51"/>
      <c r="N85" s="4"/>
      <c r="O85" s="4"/>
      <c r="P85" s="28" t="str">
        <f>IF(A85="","",SUMIFS('CARGAS DE COMBUSTIBLE'!$N$2:$N$301,'CARGAS DE COMBUSTIBLE'!$AA$2:$AA$301,A85))</f>
        <v/>
      </c>
      <c r="Q85" s="28" t="str">
        <f t="shared" si="14"/>
        <v/>
      </c>
      <c r="R85" s="56" t="str">
        <f t="shared" si="15"/>
        <v/>
      </c>
      <c r="S85" s="4"/>
    </row>
    <row r="86" spans="1:19" x14ac:dyDescent="0.25">
      <c r="A86" s="8" t="str">
        <f t="shared" si="8"/>
        <v/>
      </c>
      <c r="B86" s="9"/>
      <c r="C86" s="8" t="str">
        <f t="shared" si="9"/>
        <v/>
      </c>
      <c r="D86" s="10" t="str">
        <f t="shared" si="10"/>
        <v/>
      </c>
      <c r="E86" s="8" t="str">
        <f t="shared" si="11"/>
        <v/>
      </c>
      <c r="F86" s="28" t="str">
        <f t="shared" si="12"/>
        <v/>
      </c>
      <c r="G86" s="4"/>
      <c r="H86" s="8"/>
      <c r="I86" s="50"/>
      <c r="J86" s="25"/>
      <c r="K86" s="26" t="str">
        <f t="shared" si="13"/>
        <v/>
      </c>
      <c r="L86" s="51"/>
      <c r="M86" s="51"/>
      <c r="N86" s="4"/>
      <c r="O86" s="4"/>
      <c r="P86" s="28" t="str">
        <f>IF(A86="","",SUMIFS('CARGAS DE COMBUSTIBLE'!$N$2:$N$301,'CARGAS DE COMBUSTIBLE'!$AA$2:$AA$301,A86))</f>
        <v/>
      </c>
      <c r="Q86" s="28" t="str">
        <f t="shared" si="14"/>
        <v/>
      </c>
      <c r="R86" s="56" t="str">
        <f t="shared" si="15"/>
        <v/>
      </c>
      <c r="S86" s="4"/>
    </row>
    <row r="87" spans="1:19" x14ac:dyDescent="0.25">
      <c r="A87" s="8" t="str">
        <f t="shared" si="8"/>
        <v/>
      </c>
      <c r="B87" s="9"/>
      <c r="C87" s="8" t="str">
        <f t="shared" si="9"/>
        <v/>
      </c>
      <c r="D87" s="10" t="str">
        <f t="shared" si="10"/>
        <v/>
      </c>
      <c r="E87" s="8" t="str">
        <f t="shared" si="11"/>
        <v/>
      </c>
      <c r="F87" s="28" t="str">
        <f t="shared" si="12"/>
        <v/>
      </c>
      <c r="G87" s="4"/>
      <c r="H87" s="8"/>
      <c r="I87" s="50"/>
      <c r="J87" s="25"/>
      <c r="K87" s="26" t="str">
        <f t="shared" si="13"/>
        <v/>
      </c>
      <c r="L87" s="51"/>
      <c r="M87" s="51"/>
      <c r="N87" s="4"/>
      <c r="O87" s="4"/>
      <c r="P87" s="28" t="str">
        <f>IF(A87="","",SUMIFS('CARGAS DE COMBUSTIBLE'!$N$2:$N$301,'CARGAS DE COMBUSTIBLE'!$AA$2:$AA$301,A87))</f>
        <v/>
      </c>
      <c r="Q87" s="28" t="str">
        <f t="shared" si="14"/>
        <v/>
      </c>
      <c r="R87" s="56" t="str">
        <f t="shared" si="15"/>
        <v/>
      </c>
      <c r="S87" s="4"/>
    </row>
    <row r="88" spans="1:19" x14ac:dyDescent="0.25">
      <c r="A88" s="8" t="str">
        <f t="shared" si="8"/>
        <v/>
      </c>
      <c r="B88" s="9"/>
      <c r="C88" s="8" t="str">
        <f t="shared" si="9"/>
        <v/>
      </c>
      <c r="D88" s="10" t="str">
        <f t="shared" si="10"/>
        <v/>
      </c>
      <c r="E88" s="8" t="str">
        <f t="shared" si="11"/>
        <v/>
      </c>
      <c r="F88" s="28" t="str">
        <f t="shared" si="12"/>
        <v/>
      </c>
      <c r="G88" s="4"/>
      <c r="H88" s="8"/>
      <c r="I88" s="50"/>
      <c r="J88" s="25"/>
      <c r="K88" s="26" t="str">
        <f t="shared" si="13"/>
        <v/>
      </c>
      <c r="L88" s="51"/>
      <c r="M88" s="51"/>
      <c r="N88" s="4"/>
      <c r="O88" s="4"/>
      <c r="P88" s="28" t="str">
        <f>IF(A88="","",SUMIFS('CARGAS DE COMBUSTIBLE'!$N$2:$N$301,'CARGAS DE COMBUSTIBLE'!$AA$2:$AA$301,A88))</f>
        <v/>
      </c>
      <c r="Q88" s="28" t="str">
        <f t="shared" si="14"/>
        <v/>
      </c>
      <c r="R88" s="56" t="str">
        <f t="shared" si="15"/>
        <v/>
      </c>
      <c r="S88" s="4"/>
    </row>
    <row r="89" spans="1:19" x14ac:dyDescent="0.25">
      <c r="A89" s="8" t="str">
        <f t="shared" si="8"/>
        <v/>
      </c>
      <c r="B89" s="9"/>
      <c r="C89" s="8" t="str">
        <f t="shared" si="9"/>
        <v/>
      </c>
      <c r="D89" s="10" t="str">
        <f t="shared" si="10"/>
        <v/>
      </c>
      <c r="E89" s="8" t="str">
        <f t="shared" si="11"/>
        <v/>
      </c>
      <c r="F89" s="28" t="str">
        <f t="shared" si="12"/>
        <v/>
      </c>
      <c r="G89" s="4"/>
      <c r="H89" s="8"/>
      <c r="I89" s="50"/>
      <c r="J89" s="25"/>
      <c r="K89" s="26" t="str">
        <f t="shared" si="13"/>
        <v/>
      </c>
      <c r="L89" s="51"/>
      <c r="M89" s="51"/>
      <c r="N89" s="4"/>
      <c r="O89" s="4"/>
      <c r="P89" s="28" t="str">
        <f>IF(A89="","",SUMIFS('CARGAS DE COMBUSTIBLE'!$N$2:$N$301,'CARGAS DE COMBUSTIBLE'!$AA$2:$AA$301,A89))</f>
        <v/>
      </c>
      <c r="Q89" s="28" t="str">
        <f t="shared" si="14"/>
        <v/>
      </c>
      <c r="R89" s="56" t="str">
        <f t="shared" si="15"/>
        <v/>
      </c>
      <c r="S89" s="4"/>
    </row>
    <row r="90" spans="1:19" x14ac:dyDescent="0.25">
      <c r="A90" s="8" t="str">
        <f t="shared" si="8"/>
        <v/>
      </c>
      <c r="B90" s="9"/>
      <c r="C90" s="8" t="str">
        <f t="shared" si="9"/>
        <v/>
      </c>
      <c r="D90" s="10" t="str">
        <f t="shared" si="10"/>
        <v/>
      </c>
      <c r="E90" s="8" t="str">
        <f t="shared" si="11"/>
        <v/>
      </c>
      <c r="F90" s="28" t="str">
        <f t="shared" si="12"/>
        <v/>
      </c>
      <c r="G90" s="4"/>
      <c r="H90" s="8"/>
      <c r="I90" s="50"/>
      <c r="J90" s="25"/>
      <c r="K90" s="26" t="str">
        <f t="shared" si="13"/>
        <v/>
      </c>
      <c r="L90" s="51"/>
      <c r="M90" s="51"/>
      <c r="N90" s="4"/>
      <c r="O90" s="4"/>
      <c r="P90" s="28" t="str">
        <f>IF(A90="","",SUMIFS('CARGAS DE COMBUSTIBLE'!$N$2:$N$301,'CARGAS DE COMBUSTIBLE'!$AA$2:$AA$301,A90))</f>
        <v/>
      </c>
      <c r="Q90" s="28" t="str">
        <f t="shared" si="14"/>
        <v/>
      </c>
      <c r="R90" s="56" t="str">
        <f t="shared" si="15"/>
        <v/>
      </c>
      <c r="S90" s="4"/>
    </row>
    <row r="91" spans="1:19" x14ac:dyDescent="0.25">
      <c r="A91" s="8" t="str">
        <f t="shared" si="8"/>
        <v/>
      </c>
      <c r="B91" s="9"/>
      <c r="C91" s="8" t="str">
        <f t="shared" si="9"/>
        <v/>
      </c>
      <c r="D91" s="10" t="str">
        <f t="shared" si="10"/>
        <v/>
      </c>
      <c r="E91" s="8" t="str">
        <f t="shared" si="11"/>
        <v/>
      </c>
      <c r="F91" s="28" t="str">
        <f t="shared" si="12"/>
        <v/>
      </c>
      <c r="G91" s="4"/>
      <c r="H91" s="8"/>
      <c r="I91" s="50"/>
      <c r="J91" s="25"/>
      <c r="K91" s="26" t="str">
        <f t="shared" si="13"/>
        <v/>
      </c>
      <c r="L91" s="51"/>
      <c r="M91" s="51"/>
      <c r="N91" s="4"/>
      <c r="O91" s="4"/>
      <c r="P91" s="28" t="str">
        <f>IF(A91="","",SUMIFS('CARGAS DE COMBUSTIBLE'!$N$2:$N$301,'CARGAS DE COMBUSTIBLE'!$AA$2:$AA$301,A91))</f>
        <v/>
      </c>
      <c r="Q91" s="28" t="str">
        <f t="shared" si="14"/>
        <v/>
      </c>
      <c r="R91" s="56" t="str">
        <f t="shared" si="15"/>
        <v/>
      </c>
      <c r="S91" s="4"/>
    </row>
    <row r="92" spans="1:19" x14ac:dyDescent="0.25">
      <c r="A92" s="8" t="str">
        <f t="shared" si="8"/>
        <v/>
      </c>
      <c r="B92" s="9"/>
      <c r="C92" s="8" t="str">
        <f t="shared" si="9"/>
        <v/>
      </c>
      <c r="D92" s="10" t="str">
        <f t="shared" si="10"/>
        <v/>
      </c>
      <c r="E92" s="8" t="str">
        <f t="shared" si="11"/>
        <v/>
      </c>
      <c r="F92" s="28" t="str">
        <f t="shared" si="12"/>
        <v/>
      </c>
      <c r="G92" s="4"/>
      <c r="H92" s="8"/>
      <c r="I92" s="50"/>
      <c r="J92" s="25"/>
      <c r="K92" s="26" t="str">
        <f t="shared" si="13"/>
        <v/>
      </c>
      <c r="L92" s="51"/>
      <c r="M92" s="51"/>
      <c r="N92" s="4"/>
      <c r="O92" s="4"/>
      <c r="P92" s="28" t="str">
        <f>IF(A92="","",SUMIFS('CARGAS DE COMBUSTIBLE'!$N$2:$N$301,'CARGAS DE COMBUSTIBLE'!$AA$2:$AA$301,A92))</f>
        <v/>
      </c>
      <c r="Q92" s="28" t="str">
        <f t="shared" si="14"/>
        <v/>
      </c>
      <c r="R92" s="56" t="str">
        <f t="shared" si="15"/>
        <v/>
      </c>
      <c r="S92" s="4"/>
    </row>
    <row r="93" spans="1:19" x14ac:dyDescent="0.25">
      <c r="A93" s="8" t="str">
        <f t="shared" si="8"/>
        <v/>
      </c>
      <c r="B93" s="9"/>
      <c r="C93" s="8" t="str">
        <f t="shared" si="9"/>
        <v/>
      </c>
      <c r="D93" s="10" t="str">
        <f t="shared" si="10"/>
        <v/>
      </c>
      <c r="E93" s="8" t="str">
        <f t="shared" si="11"/>
        <v/>
      </c>
      <c r="F93" s="28" t="str">
        <f t="shared" si="12"/>
        <v/>
      </c>
      <c r="G93" s="4"/>
      <c r="H93" s="8"/>
      <c r="I93" s="50"/>
      <c r="J93" s="25"/>
      <c r="K93" s="26" t="str">
        <f t="shared" si="13"/>
        <v/>
      </c>
      <c r="L93" s="51"/>
      <c r="M93" s="51"/>
      <c r="N93" s="4"/>
      <c r="O93" s="4"/>
      <c r="P93" s="28" t="str">
        <f>IF(A93="","",SUMIFS('CARGAS DE COMBUSTIBLE'!$N$2:$N$301,'CARGAS DE COMBUSTIBLE'!$AA$2:$AA$301,A93))</f>
        <v/>
      </c>
      <c r="Q93" s="28" t="str">
        <f t="shared" si="14"/>
        <v/>
      </c>
      <c r="R93" s="56" t="str">
        <f t="shared" si="15"/>
        <v/>
      </c>
      <c r="S93" s="4"/>
    </row>
    <row r="94" spans="1:19" x14ac:dyDescent="0.25">
      <c r="A94" s="8" t="str">
        <f t="shared" si="8"/>
        <v/>
      </c>
      <c r="B94" s="9"/>
      <c r="C94" s="8" t="str">
        <f t="shared" si="9"/>
        <v/>
      </c>
      <c r="D94" s="10" t="str">
        <f t="shared" si="10"/>
        <v/>
      </c>
      <c r="E94" s="8" t="str">
        <f t="shared" si="11"/>
        <v/>
      </c>
      <c r="F94" s="28" t="str">
        <f t="shared" si="12"/>
        <v/>
      </c>
      <c r="G94" s="4"/>
      <c r="H94" s="8"/>
      <c r="I94" s="50"/>
      <c r="J94" s="25"/>
      <c r="K94" s="26" t="str">
        <f t="shared" si="13"/>
        <v/>
      </c>
      <c r="L94" s="51"/>
      <c r="M94" s="51"/>
      <c r="N94" s="4"/>
      <c r="O94" s="4"/>
      <c r="P94" s="28" t="str">
        <f>IF(A94="","",SUMIFS('CARGAS DE COMBUSTIBLE'!$N$2:$N$301,'CARGAS DE COMBUSTIBLE'!$AA$2:$AA$301,A94))</f>
        <v/>
      </c>
      <c r="Q94" s="28" t="str">
        <f t="shared" si="14"/>
        <v/>
      </c>
      <c r="R94" s="56" t="str">
        <f t="shared" si="15"/>
        <v/>
      </c>
      <c r="S94" s="4"/>
    </row>
    <row r="95" spans="1:19" x14ac:dyDescent="0.25">
      <c r="A95" s="8" t="str">
        <f t="shared" si="8"/>
        <v/>
      </c>
      <c r="B95" s="9"/>
      <c r="C95" s="8" t="str">
        <f t="shared" si="9"/>
        <v/>
      </c>
      <c r="D95" s="10" t="str">
        <f t="shared" si="10"/>
        <v/>
      </c>
      <c r="E95" s="8" t="str">
        <f t="shared" si="11"/>
        <v/>
      </c>
      <c r="F95" s="28" t="str">
        <f t="shared" si="12"/>
        <v/>
      </c>
      <c r="G95" s="4"/>
      <c r="H95" s="8"/>
      <c r="I95" s="50"/>
      <c r="J95" s="25"/>
      <c r="K95" s="26" t="str">
        <f t="shared" si="13"/>
        <v/>
      </c>
      <c r="L95" s="51"/>
      <c r="M95" s="51"/>
      <c r="N95" s="4"/>
      <c r="O95" s="4"/>
      <c r="P95" s="28" t="str">
        <f>IF(A95="","",SUMIFS('CARGAS DE COMBUSTIBLE'!$N$2:$N$301,'CARGAS DE COMBUSTIBLE'!$AA$2:$AA$301,A95))</f>
        <v/>
      </c>
      <c r="Q95" s="28" t="str">
        <f t="shared" si="14"/>
        <v/>
      </c>
      <c r="R95" s="56" t="str">
        <f t="shared" si="15"/>
        <v/>
      </c>
      <c r="S95" s="4"/>
    </row>
    <row r="96" spans="1:19" x14ac:dyDescent="0.25">
      <c r="A96" s="8" t="str">
        <f t="shared" si="8"/>
        <v/>
      </c>
      <c r="B96" s="9"/>
      <c r="C96" s="8" t="str">
        <f t="shared" si="9"/>
        <v/>
      </c>
      <c r="D96" s="10" t="str">
        <f t="shared" si="10"/>
        <v/>
      </c>
      <c r="E96" s="8" t="str">
        <f t="shared" si="11"/>
        <v/>
      </c>
      <c r="F96" s="28" t="str">
        <f t="shared" si="12"/>
        <v/>
      </c>
      <c r="G96" s="4"/>
      <c r="H96" s="8"/>
      <c r="I96" s="50"/>
      <c r="J96" s="25"/>
      <c r="K96" s="26" t="str">
        <f t="shared" si="13"/>
        <v/>
      </c>
      <c r="L96" s="51"/>
      <c r="M96" s="51"/>
      <c r="N96" s="4"/>
      <c r="O96" s="4"/>
      <c r="P96" s="28" t="str">
        <f>IF(A96="","",SUMIFS('CARGAS DE COMBUSTIBLE'!$N$2:$N$301,'CARGAS DE COMBUSTIBLE'!$AA$2:$AA$301,A96))</f>
        <v/>
      </c>
      <c r="Q96" s="28" t="str">
        <f t="shared" si="14"/>
        <v/>
      </c>
      <c r="R96" s="56" t="str">
        <f t="shared" si="15"/>
        <v/>
      </c>
      <c r="S96" s="4"/>
    </row>
    <row r="97" spans="1:19" x14ac:dyDescent="0.25">
      <c r="A97" s="8" t="str">
        <f t="shared" si="8"/>
        <v/>
      </c>
      <c r="B97" s="9"/>
      <c r="C97" s="8" t="str">
        <f t="shared" si="9"/>
        <v/>
      </c>
      <c r="D97" s="10" t="str">
        <f t="shared" si="10"/>
        <v/>
      </c>
      <c r="E97" s="8" t="str">
        <f t="shared" si="11"/>
        <v/>
      </c>
      <c r="F97" s="28" t="str">
        <f t="shared" si="12"/>
        <v/>
      </c>
      <c r="G97" s="4"/>
      <c r="H97" s="8"/>
      <c r="I97" s="50"/>
      <c r="J97" s="25"/>
      <c r="K97" s="26" t="str">
        <f t="shared" si="13"/>
        <v/>
      </c>
      <c r="L97" s="51"/>
      <c r="M97" s="51"/>
      <c r="N97" s="4"/>
      <c r="O97" s="4"/>
      <c r="P97" s="28" t="str">
        <f>IF(A97="","",SUMIFS('CARGAS DE COMBUSTIBLE'!$N$2:$N$301,'CARGAS DE COMBUSTIBLE'!$AA$2:$AA$301,A97))</f>
        <v/>
      </c>
      <c r="Q97" s="28" t="str">
        <f t="shared" si="14"/>
        <v/>
      </c>
      <c r="R97" s="56" t="str">
        <f t="shared" si="15"/>
        <v/>
      </c>
      <c r="S97" s="4"/>
    </row>
    <row r="98" spans="1:19" x14ac:dyDescent="0.25">
      <c r="A98" s="8" t="str">
        <f t="shared" si="8"/>
        <v/>
      </c>
      <c r="B98" s="9"/>
      <c r="C98" s="8" t="str">
        <f t="shared" si="9"/>
        <v/>
      </c>
      <c r="D98" s="10" t="str">
        <f t="shared" si="10"/>
        <v/>
      </c>
      <c r="E98" s="8" t="str">
        <f t="shared" si="11"/>
        <v/>
      </c>
      <c r="F98" s="28" t="str">
        <f t="shared" si="12"/>
        <v/>
      </c>
      <c r="G98" s="4"/>
      <c r="H98" s="8"/>
      <c r="I98" s="50"/>
      <c r="J98" s="25"/>
      <c r="K98" s="26" t="str">
        <f t="shared" si="13"/>
        <v/>
      </c>
      <c r="L98" s="51"/>
      <c r="M98" s="51"/>
      <c r="N98" s="4"/>
      <c r="O98" s="4"/>
      <c r="P98" s="28" t="str">
        <f>IF(A98="","",SUMIFS('CARGAS DE COMBUSTIBLE'!$N$2:$N$301,'CARGAS DE COMBUSTIBLE'!$AA$2:$AA$301,A98))</f>
        <v/>
      </c>
      <c r="Q98" s="28" t="str">
        <f t="shared" si="14"/>
        <v/>
      </c>
      <c r="R98" s="56" t="str">
        <f t="shared" si="15"/>
        <v/>
      </c>
      <c r="S98" s="4"/>
    </row>
    <row r="99" spans="1:19" x14ac:dyDescent="0.25">
      <c r="A99" s="8" t="str">
        <f t="shared" si="8"/>
        <v/>
      </c>
      <c r="B99" s="9"/>
      <c r="C99" s="8" t="str">
        <f t="shared" si="9"/>
        <v/>
      </c>
      <c r="D99" s="10" t="str">
        <f t="shared" si="10"/>
        <v/>
      </c>
      <c r="E99" s="8" t="str">
        <f t="shared" si="11"/>
        <v/>
      </c>
      <c r="F99" s="28" t="str">
        <f t="shared" si="12"/>
        <v/>
      </c>
      <c r="G99" s="4"/>
      <c r="H99" s="8"/>
      <c r="I99" s="50"/>
      <c r="J99" s="25"/>
      <c r="K99" s="26" t="str">
        <f t="shared" si="13"/>
        <v/>
      </c>
      <c r="L99" s="51"/>
      <c r="M99" s="51"/>
      <c r="N99" s="4"/>
      <c r="O99" s="4"/>
      <c r="P99" s="28" t="str">
        <f>IF(A99="","",SUMIFS('CARGAS DE COMBUSTIBLE'!$N$2:$N$301,'CARGAS DE COMBUSTIBLE'!$AA$2:$AA$301,A99))</f>
        <v/>
      </c>
      <c r="Q99" s="28" t="str">
        <f t="shared" si="14"/>
        <v/>
      </c>
      <c r="R99" s="56" t="str">
        <f t="shared" si="15"/>
        <v/>
      </c>
      <c r="S99" s="4"/>
    </row>
    <row r="100" spans="1:19" x14ac:dyDescent="0.25">
      <c r="A100" s="8" t="str">
        <f t="shared" si="8"/>
        <v/>
      </c>
      <c r="B100" s="9"/>
      <c r="C100" s="8" t="str">
        <f t="shared" si="9"/>
        <v/>
      </c>
      <c r="D100" s="10" t="str">
        <f t="shared" si="10"/>
        <v/>
      </c>
      <c r="E100" s="8" t="str">
        <f t="shared" si="11"/>
        <v/>
      </c>
      <c r="F100" s="28" t="str">
        <f t="shared" si="12"/>
        <v/>
      </c>
      <c r="G100" s="4"/>
      <c r="H100" s="8"/>
      <c r="I100" s="50"/>
      <c r="J100" s="25"/>
      <c r="K100" s="26" t="str">
        <f t="shared" si="13"/>
        <v/>
      </c>
      <c r="L100" s="51"/>
      <c r="M100" s="51"/>
      <c r="N100" s="4"/>
      <c r="O100" s="4"/>
      <c r="P100" s="28" t="str">
        <f>IF(A100="","",SUMIFS('CARGAS DE COMBUSTIBLE'!$N$2:$N$301,'CARGAS DE COMBUSTIBLE'!$AA$2:$AA$301,A100))</f>
        <v/>
      </c>
      <c r="Q100" s="28" t="str">
        <f t="shared" si="14"/>
        <v/>
      </c>
      <c r="R100" s="56" t="str">
        <f t="shared" si="15"/>
        <v/>
      </c>
      <c r="S100" s="4"/>
    </row>
    <row r="101" spans="1:19" x14ac:dyDescent="0.25">
      <c r="A101" s="8" t="str">
        <f t="shared" si="8"/>
        <v/>
      </c>
      <c r="B101" s="9"/>
      <c r="C101" s="8" t="str">
        <f t="shared" si="9"/>
        <v/>
      </c>
      <c r="D101" s="10" t="str">
        <f t="shared" si="10"/>
        <v/>
      </c>
      <c r="E101" s="8" t="str">
        <f t="shared" si="11"/>
        <v/>
      </c>
      <c r="F101" s="28" t="str">
        <f t="shared" si="12"/>
        <v/>
      </c>
      <c r="G101" s="4"/>
      <c r="H101" s="8"/>
      <c r="I101" s="50"/>
      <c r="J101" s="25"/>
      <c r="K101" s="26" t="str">
        <f t="shared" si="13"/>
        <v/>
      </c>
      <c r="L101" s="51"/>
      <c r="M101" s="51"/>
      <c r="N101" s="4"/>
      <c r="O101" s="4"/>
      <c r="P101" s="28" t="str">
        <f>IF(A101="","",SUMIFS('CARGAS DE COMBUSTIBLE'!$N$2:$N$301,'CARGAS DE COMBUSTIBLE'!$AA$2:$AA$301,A101))</f>
        <v/>
      </c>
      <c r="Q101" s="28" t="str">
        <f t="shared" si="14"/>
        <v/>
      </c>
      <c r="R101" s="56" t="str">
        <f t="shared" si="15"/>
        <v/>
      </c>
      <c r="S101" s="4"/>
    </row>
    <row r="102" spans="1:19" x14ac:dyDescent="0.25">
      <c r="A102" s="8" t="str">
        <f t="shared" si="8"/>
        <v/>
      </c>
      <c r="B102" s="9"/>
      <c r="C102" s="8" t="str">
        <f t="shared" si="9"/>
        <v/>
      </c>
      <c r="D102" s="10" t="str">
        <f t="shared" si="10"/>
        <v/>
      </c>
      <c r="E102" s="8" t="str">
        <f t="shared" si="11"/>
        <v/>
      </c>
      <c r="F102" s="28" t="str">
        <f t="shared" si="12"/>
        <v/>
      </c>
      <c r="G102" s="4"/>
      <c r="H102" s="8"/>
      <c r="I102" s="50"/>
      <c r="J102" s="25"/>
      <c r="K102" s="26" t="str">
        <f t="shared" si="13"/>
        <v/>
      </c>
      <c r="L102" s="51"/>
      <c r="M102" s="51"/>
      <c r="N102" s="4"/>
      <c r="O102" s="4"/>
      <c r="P102" s="28" t="str">
        <f>IF(A102="","",SUMIFS('CARGAS DE COMBUSTIBLE'!$N$2:$N$301,'CARGAS DE COMBUSTIBLE'!$AA$2:$AA$301,A102))</f>
        <v/>
      </c>
      <c r="Q102" s="28" t="str">
        <f t="shared" si="14"/>
        <v/>
      </c>
      <c r="R102" s="56" t="str">
        <f t="shared" si="15"/>
        <v/>
      </c>
      <c r="S102" s="4"/>
    </row>
    <row r="103" spans="1:19" x14ac:dyDescent="0.25">
      <c r="A103" s="8" t="str">
        <f t="shared" si="8"/>
        <v/>
      </c>
      <c r="B103" s="9"/>
      <c r="C103" s="8" t="str">
        <f t="shared" si="9"/>
        <v/>
      </c>
      <c r="D103" s="10" t="str">
        <f t="shared" si="10"/>
        <v/>
      </c>
      <c r="E103" s="8" t="str">
        <f t="shared" si="11"/>
        <v/>
      </c>
      <c r="F103" s="28" t="str">
        <f t="shared" si="12"/>
        <v/>
      </c>
      <c r="G103" s="4"/>
      <c r="H103" s="8"/>
      <c r="I103" s="50"/>
      <c r="J103" s="25"/>
      <c r="K103" s="26" t="str">
        <f t="shared" si="13"/>
        <v/>
      </c>
      <c r="L103" s="51"/>
      <c r="M103" s="51"/>
      <c r="N103" s="4"/>
      <c r="O103" s="4"/>
      <c r="P103" s="28" t="str">
        <f>IF(A103="","",SUMIFS('CARGAS DE COMBUSTIBLE'!$N$2:$N$301,'CARGAS DE COMBUSTIBLE'!$AA$2:$AA$301,A103))</f>
        <v/>
      </c>
      <c r="Q103" s="28" t="str">
        <f t="shared" si="14"/>
        <v/>
      </c>
      <c r="R103" s="56" t="str">
        <f t="shared" si="15"/>
        <v/>
      </c>
      <c r="S103" s="4"/>
    </row>
    <row r="104" spans="1:19" x14ac:dyDescent="0.25">
      <c r="A104" s="8" t="str">
        <f t="shared" si="8"/>
        <v/>
      </c>
      <c r="B104" s="9"/>
      <c r="C104" s="8" t="str">
        <f t="shared" si="9"/>
        <v/>
      </c>
      <c r="D104" s="10" t="str">
        <f t="shared" si="10"/>
        <v/>
      </c>
      <c r="E104" s="8" t="str">
        <f t="shared" si="11"/>
        <v/>
      </c>
      <c r="F104" s="28" t="str">
        <f t="shared" si="12"/>
        <v/>
      </c>
      <c r="G104" s="4"/>
      <c r="H104" s="8"/>
      <c r="I104" s="50"/>
      <c r="J104" s="25"/>
      <c r="K104" s="26" t="str">
        <f t="shared" si="13"/>
        <v/>
      </c>
      <c r="L104" s="51"/>
      <c r="M104" s="51"/>
      <c r="N104" s="4"/>
      <c r="O104" s="4"/>
      <c r="P104" s="28" t="str">
        <f>IF(A104="","",SUMIFS('CARGAS DE COMBUSTIBLE'!$N$2:$N$301,'CARGAS DE COMBUSTIBLE'!$AA$2:$AA$301,A104))</f>
        <v/>
      </c>
      <c r="Q104" s="28" t="str">
        <f t="shared" si="14"/>
        <v/>
      </c>
      <c r="R104" s="56" t="str">
        <f t="shared" si="15"/>
        <v/>
      </c>
      <c r="S104" s="4"/>
    </row>
    <row r="105" spans="1:19" x14ac:dyDescent="0.25">
      <c r="A105" s="8" t="str">
        <f t="shared" si="8"/>
        <v/>
      </c>
      <c r="B105" s="9"/>
      <c r="C105" s="8" t="str">
        <f t="shared" si="9"/>
        <v/>
      </c>
      <c r="D105" s="10" t="str">
        <f t="shared" si="10"/>
        <v/>
      </c>
      <c r="E105" s="8" t="str">
        <f t="shared" si="11"/>
        <v/>
      </c>
      <c r="F105" s="28" t="str">
        <f t="shared" si="12"/>
        <v/>
      </c>
      <c r="G105" s="4"/>
      <c r="H105" s="8"/>
      <c r="I105" s="50"/>
      <c r="J105" s="25"/>
      <c r="K105" s="26" t="str">
        <f t="shared" si="13"/>
        <v/>
      </c>
      <c r="L105" s="51"/>
      <c r="M105" s="51"/>
      <c r="N105" s="4"/>
      <c r="O105" s="4"/>
      <c r="P105" s="28" t="str">
        <f>IF(A105="","",SUMIFS('CARGAS DE COMBUSTIBLE'!$N$2:$N$301,'CARGAS DE COMBUSTIBLE'!$AA$2:$AA$301,A105))</f>
        <v/>
      </c>
      <c r="Q105" s="28" t="str">
        <f t="shared" si="14"/>
        <v/>
      </c>
      <c r="R105" s="56" t="str">
        <f t="shared" si="15"/>
        <v/>
      </c>
      <c r="S105" s="4"/>
    </row>
    <row r="106" spans="1:19" x14ac:dyDescent="0.25">
      <c r="A106" s="8" t="str">
        <f t="shared" si="8"/>
        <v/>
      </c>
      <c r="B106" s="9"/>
      <c r="C106" s="8" t="str">
        <f t="shared" si="9"/>
        <v/>
      </c>
      <c r="D106" s="10" t="str">
        <f t="shared" si="10"/>
        <v/>
      </c>
      <c r="E106" s="8" t="str">
        <f t="shared" si="11"/>
        <v/>
      </c>
      <c r="F106" s="28" t="str">
        <f t="shared" si="12"/>
        <v/>
      </c>
      <c r="G106" s="4"/>
      <c r="H106" s="8"/>
      <c r="I106" s="50"/>
      <c r="J106" s="25"/>
      <c r="K106" s="26" t="str">
        <f t="shared" si="13"/>
        <v/>
      </c>
      <c r="L106" s="51"/>
      <c r="M106" s="51"/>
      <c r="N106" s="4"/>
      <c r="O106" s="4"/>
      <c r="P106" s="28" t="str">
        <f>IF(A106="","",SUMIFS('CARGAS DE COMBUSTIBLE'!$N$2:$N$301,'CARGAS DE COMBUSTIBLE'!$AA$2:$AA$301,A106))</f>
        <v/>
      </c>
      <c r="Q106" s="28" t="str">
        <f t="shared" si="14"/>
        <v/>
      </c>
      <c r="R106" s="56" t="str">
        <f t="shared" si="15"/>
        <v/>
      </c>
      <c r="S106" s="4"/>
    </row>
    <row r="107" spans="1:19" x14ac:dyDescent="0.25">
      <c r="A107" s="8" t="str">
        <f t="shared" si="8"/>
        <v/>
      </c>
      <c r="B107" s="9"/>
      <c r="C107" s="8" t="str">
        <f t="shared" si="9"/>
        <v/>
      </c>
      <c r="D107" s="10" t="str">
        <f t="shared" si="10"/>
        <v/>
      </c>
      <c r="E107" s="8" t="str">
        <f t="shared" si="11"/>
        <v/>
      </c>
      <c r="F107" s="28" t="str">
        <f t="shared" si="12"/>
        <v/>
      </c>
      <c r="G107" s="4"/>
      <c r="H107" s="8"/>
      <c r="I107" s="50"/>
      <c r="J107" s="25"/>
      <c r="K107" s="26" t="str">
        <f t="shared" si="13"/>
        <v/>
      </c>
      <c r="L107" s="51"/>
      <c r="M107" s="51"/>
      <c r="N107" s="4"/>
      <c r="O107" s="4"/>
      <c r="P107" s="28" t="str">
        <f>IF(A107="","",SUMIFS('CARGAS DE COMBUSTIBLE'!$N$2:$N$301,'CARGAS DE COMBUSTIBLE'!$AA$2:$AA$301,A107))</f>
        <v/>
      </c>
      <c r="Q107" s="28" t="str">
        <f t="shared" si="14"/>
        <v/>
      </c>
      <c r="R107" s="56" t="str">
        <f t="shared" si="15"/>
        <v/>
      </c>
      <c r="S107" s="4"/>
    </row>
    <row r="108" spans="1:19" x14ac:dyDescent="0.25">
      <c r="A108" s="8" t="str">
        <f t="shared" si="8"/>
        <v/>
      </c>
      <c r="B108" s="9"/>
      <c r="C108" s="8" t="str">
        <f t="shared" si="9"/>
        <v/>
      </c>
      <c r="D108" s="10" t="str">
        <f t="shared" si="10"/>
        <v/>
      </c>
      <c r="E108" s="8" t="str">
        <f t="shared" si="11"/>
        <v/>
      </c>
      <c r="F108" s="28" t="str">
        <f t="shared" si="12"/>
        <v/>
      </c>
      <c r="G108" s="4"/>
      <c r="H108" s="8"/>
      <c r="I108" s="50"/>
      <c r="J108" s="25"/>
      <c r="K108" s="26" t="str">
        <f t="shared" si="13"/>
        <v/>
      </c>
      <c r="L108" s="51"/>
      <c r="M108" s="51"/>
      <c r="N108" s="4"/>
      <c r="O108" s="4"/>
      <c r="P108" s="28" t="str">
        <f>IF(A108="","",SUMIFS('CARGAS DE COMBUSTIBLE'!$N$2:$N$301,'CARGAS DE COMBUSTIBLE'!$AA$2:$AA$301,A108))</f>
        <v/>
      </c>
      <c r="Q108" s="28" t="str">
        <f t="shared" si="14"/>
        <v/>
      </c>
      <c r="R108" s="56" t="str">
        <f t="shared" si="15"/>
        <v/>
      </c>
      <c r="S108" s="4"/>
    </row>
    <row r="109" spans="1:19" x14ac:dyDescent="0.25">
      <c r="A109" s="8" t="str">
        <f t="shared" si="8"/>
        <v/>
      </c>
      <c r="B109" s="9"/>
      <c r="C109" s="8" t="str">
        <f t="shared" si="9"/>
        <v/>
      </c>
      <c r="D109" s="10" t="str">
        <f t="shared" si="10"/>
        <v/>
      </c>
      <c r="E109" s="8" t="str">
        <f t="shared" si="11"/>
        <v/>
      </c>
      <c r="F109" s="28" t="str">
        <f t="shared" si="12"/>
        <v/>
      </c>
      <c r="G109" s="4"/>
      <c r="H109" s="8"/>
      <c r="I109" s="50"/>
      <c r="J109" s="25"/>
      <c r="K109" s="26" t="str">
        <f t="shared" si="13"/>
        <v/>
      </c>
      <c r="L109" s="51"/>
      <c r="M109" s="51"/>
      <c r="N109" s="4"/>
      <c r="O109" s="4"/>
      <c r="P109" s="28" t="str">
        <f>IF(A109="","",SUMIFS('CARGAS DE COMBUSTIBLE'!$N$2:$N$301,'CARGAS DE COMBUSTIBLE'!$AA$2:$AA$301,A109))</f>
        <v/>
      </c>
      <c r="Q109" s="28" t="str">
        <f t="shared" si="14"/>
        <v/>
      </c>
      <c r="R109" s="56" t="str">
        <f t="shared" si="15"/>
        <v/>
      </c>
      <c r="S109" s="4"/>
    </row>
    <row r="110" spans="1:19" x14ac:dyDescent="0.25">
      <c r="A110" s="8" t="str">
        <f t="shared" si="8"/>
        <v/>
      </c>
      <c r="B110" s="9"/>
      <c r="C110" s="8" t="str">
        <f t="shared" si="9"/>
        <v/>
      </c>
      <c r="D110" s="10" t="str">
        <f t="shared" si="10"/>
        <v/>
      </c>
      <c r="E110" s="8" t="str">
        <f t="shared" si="11"/>
        <v/>
      </c>
      <c r="F110" s="28" t="str">
        <f t="shared" si="12"/>
        <v/>
      </c>
      <c r="G110" s="4"/>
      <c r="H110" s="8"/>
      <c r="I110" s="50"/>
      <c r="J110" s="25"/>
      <c r="K110" s="26" t="str">
        <f t="shared" si="13"/>
        <v/>
      </c>
      <c r="L110" s="51"/>
      <c r="M110" s="51"/>
      <c r="N110" s="4"/>
      <c r="O110" s="4"/>
      <c r="P110" s="28" t="str">
        <f>IF(A110="","",SUMIFS('CARGAS DE COMBUSTIBLE'!$N$2:$N$301,'CARGAS DE COMBUSTIBLE'!$AA$2:$AA$301,A110))</f>
        <v/>
      </c>
      <c r="Q110" s="28" t="str">
        <f t="shared" si="14"/>
        <v/>
      </c>
      <c r="R110" s="56" t="str">
        <f t="shared" si="15"/>
        <v/>
      </c>
      <c r="S110" s="4"/>
    </row>
    <row r="111" spans="1:19" x14ac:dyDescent="0.25">
      <c r="A111" s="8" t="str">
        <f t="shared" si="8"/>
        <v/>
      </c>
      <c r="B111" s="9"/>
      <c r="C111" s="8" t="str">
        <f t="shared" si="9"/>
        <v/>
      </c>
      <c r="D111" s="10" t="str">
        <f t="shared" si="10"/>
        <v/>
      </c>
      <c r="E111" s="8" t="str">
        <f t="shared" si="11"/>
        <v/>
      </c>
      <c r="F111" s="28" t="str">
        <f t="shared" si="12"/>
        <v/>
      </c>
      <c r="G111" s="4"/>
      <c r="H111" s="8"/>
      <c r="I111" s="50"/>
      <c r="J111" s="25"/>
      <c r="K111" s="26" t="str">
        <f t="shared" si="13"/>
        <v/>
      </c>
      <c r="L111" s="51"/>
      <c r="M111" s="51"/>
      <c r="N111" s="4"/>
      <c r="O111" s="4"/>
      <c r="P111" s="28" t="str">
        <f>IF(A111="","",SUMIFS('CARGAS DE COMBUSTIBLE'!$N$2:$N$301,'CARGAS DE COMBUSTIBLE'!$AA$2:$AA$301,A111))</f>
        <v/>
      </c>
      <c r="Q111" s="28" t="str">
        <f t="shared" si="14"/>
        <v/>
      </c>
      <c r="R111" s="56" t="str">
        <f t="shared" si="15"/>
        <v/>
      </c>
      <c r="S111" s="4"/>
    </row>
    <row r="112" spans="1:19" x14ac:dyDescent="0.25">
      <c r="A112" s="8" t="str">
        <f t="shared" si="8"/>
        <v/>
      </c>
      <c r="B112" s="9"/>
      <c r="C112" s="8" t="str">
        <f t="shared" si="9"/>
        <v/>
      </c>
      <c r="D112" s="10" t="str">
        <f t="shared" si="10"/>
        <v/>
      </c>
      <c r="E112" s="8" t="str">
        <f t="shared" si="11"/>
        <v/>
      </c>
      <c r="F112" s="28" t="str">
        <f t="shared" si="12"/>
        <v/>
      </c>
      <c r="G112" s="4"/>
      <c r="H112" s="8"/>
      <c r="I112" s="50"/>
      <c r="J112" s="25"/>
      <c r="K112" s="26" t="str">
        <f t="shared" si="13"/>
        <v/>
      </c>
      <c r="L112" s="51"/>
      <c r="M112" s="51"/>
      <c r="N112" s="4"/>
      <c r="O112" s="4"/>
      <c r="P112" s="28" t="str">
        <f>IF(A112="","",SUMIFS('CARGAS DE COMBUSTIBLE'!$N$2:$N$301,'CARGAS DE COMBUSTIBLE'!$AA$2:$AA$301,A112))</f>
        <v/>
      </c>
      <c r="Q112" s="28" t="str">
        <f t="shared" si="14"/>
        <v/>
      </c>
      <c r="R112" s="56" t="str">
        <f t="shared" si="15"/>
        <v/>
      </c>
      <c r="S112" s="4"/>
    </row>
    <row r="113" spans="1:19" x14ac:dyDescent="0.25">
      <c r="A113" s="8" t="str">
        <f t="shared" si="8"/>
        <v/>
      </c>
      <c r="B113" s="9"/>
      <c r="C113" s="8" t="str">
        <f t="shared" si="9"/>
        <v/>
      </c>
      <c r="D113" s="10" t="str">
        <f t="shared" si="10"/>
        <v/>
      </c>
      <c r="E113" s="8" t="str">
        <f t="shared" si="11"/>
        <v/>
      </c>
      <c r="F113" s="28" t="str">
        <f t="shared" si="12"/>
        <v/>
      </c>
      <c r="G113" s="4"/>
      <c r="H113" s="8"/>
      <c r="I113" s="50"/>
      <c r="J113" s="25"/>
      <c r="K113" s="26" t="str">
        <f t="shared" si="13"/>
        <v/>
      </c>
      <c r="L113" s="51"/>
      <c r="M113" s="51"/>
      <c r="N113" s="4"/>
      <c r="O113" s="4"/>
      <c r="P113" s="28" t="str">
        <f>IF(A113="","",SUMIFS('CARGAS DE COMBUSTIBLE'!$N$2:$N$301,'CARGAS DE COMBUSTIBLE'!$AA$2:$AA$301,A113))</f>
        <v/>
      </c>
      <c r="Q113" s="28" t="str">
        <f t="shared" si="14"/>
        <v/>
      </c>
      <c r="R113" s="56" t="str">
        <f t="shared" si="15"/>
        <v/>
      </c>
      <c r="S113" s="4"/>
    </row>
    <row r="114" spans="1:19" x14ac:dyDescent="0.25">
      <c r="A114" s="8" t="str">
        <f t="shared" si="8"/>
        <v/>
      </c>
      <c r="B114" s="9"/>
      <c r="C114" s="8" t="str">
        <f t="shared" si="9"/>
        <v/>
      </c>
      <c r="D114" s="10" t="str">
        <f t="shared" si="10"/>
        <v/>
      </c>
      <c r="E114" s="8" t="str">
        <f t="shared" si="11"/>
        <v/>
      </c>
      <c r="F114" s="28" t="str">
        <f t="shared" si="12"/>
        <v/>
      </c>
      <c r="G114" s="4"/>
      <c r="H114" s="8"/>
      <c r="I114" s="50"/>
      <c r="J114" s="25"/>
      <c r="K114" s="26" t="str">
        <f t="shared" si="13"/>
        <v/>
      </c>
      <c r="L114" s="51"/>
      <c r="M114" s="51"/>
      <c r="N114" s="4"/>
      <c r="O114" s="4"/>
      <c r="P114" s="28" t="str">
        <f>IF(A114="","",SUMIFS('CARGAS DE COMBUSTIBLE'!$N$2:$N$301,'CARGAS DE COMBUSTIBLE'!$AA$2:$AA$301,A114))</f>
        <v/>
      </c>
      <c r="Q114" s="28" t="str">
        <f t="shared" si="14"/>
        <v/>
      </c>
      <c r="R114" s="56" t="str">
        <f t="shared" si="15"/>
        <v/>
      </c>
      <c r="S114" s="4"/>
    </row>
    <row r="115" spans="1:19" x14ac:dyDescent="0.25">
      <c r="A115" s="8" t="str">
        <f t="shared" si="8"/>
        <v/>
      </c>
      <c r="B115" s="9"/>
      <c r="C115" s="8" t="str">
        <f t="shared" si="9"/>
        <v/>
      </c>
      <c r="D115" s="10" t="str">
        <f t="shared" si="10"/>
        <v/>
      </c>
      <c r="E115" s="8" t="str">
        <f t="shared" si="11"/>
        <v/>
      </c>
      <c r="F115" s="28" t="str">
        <f t="shared" si="12"/>
        <v/>
      </c>
      <c r="G115" s="4"/>
      <c r="H115" s="8"/>
      <c r="I115" s="50"/>
      <c r="J115" s="25"/>
      <c r="K115" s="26" t="str">
        <f t="shared" si="13"/>
        <v/>
      </c>
      <c r="L115" s="51"/>
      <c r="M115" s="51"/>
      <c r="N115" s="4"/>
      <c r="O115" s="4"/>
      <c r="P115" s="28" t="str">
        <f>IF(A115="","",SUMIFS('CARGAS DE COMBUSTIBLE'!$N$2:$N$301,'CARGAS DE COMBUSTIBLE'!$AA$2:$AA$301,A115))</f>
        <v/>
      </c>
      <c r="Q115" s="28" t="str">
        <f t="shared" si="14"/>
        <v/>
      </c>
      <c r="R115" s="56" t="str">
        <f t="shared" si="15"/>
        <v/>
      </c>
      <c r="S115" s="4"/>
    </row>
    <row r="116" spans="1:19" x14ac:dyDescent="0.25">
      <c r="A116" s="8" t="str">
        <f t="shared" si="8"/>
        <v/>
      </c>
      <c r="B116" s="9"/>
      <c r="C116" s="8" t="str">
        <f t="shared" si="9"/>
        <v/>
      </c>
      <c r="D116" s="10" t="str">
        <f t="shared" si="10"/>
        <v/>
      </c>
      <c r="E116" s="8" t="str">
        <f t="shared" si="11"/>
        <v/>
      </c>
      <c r="F116" s="28" t="str">
        <f t="shared" si="12"/>
        <v/>
      </c>
      <c r="G116" s="4"/>
      <c r="H116" s="8"/>
      <c r="I116" s="50"/>
      <c r="J116" s="25"/>
      <c r="K116" s="26" t="str">
        <f t="shared" si="13"/>
        <v/>
      </c>
      <c r="L116" s="51"/>
      <c r="M116" s="51"/>
      <c r="N116" s="4"/>
      <c r="O116" s="4"/>
      <c r="P116" s="28" t="str">
        <f>IF(A116="","",SUMIFS('CARGAS DE COMBUSTIBLE'!$N$2:$N$301,'CARGAS DE COMBUSTIBLE'!$AA$2:$AA$301,A116))</f>
        <v/>
      </c>
      <c r="Q116" s="28" t="str">
        <f t="shared" si="14"/>
        <v/>
      </c>
      <c r="R116" s="56" t="str">
        <f t="shared" si="15"/>
        <v/>
      </c>
      <c r="S116" s="4"/>
    </row>
    <row r="117" spans="1:19" x14ac:dyDescent="0.25">
      <c r="A117" s="8" t="str">
        <f t="shared" si="8"/>
        <v/>
      </c>
      <c r="B117" s="9"/>
      <c r="C117" s="8" t="str">
        <f t="shared" si="9"/>
        <v/>
      </c>
      <c r="D117" s="10" t="str">
        <f t="shared" si="10"/>
        <v/>
      </c>
      <c r="E117" s="8" t="str">
        <f t="shared" si="11"/>
        <v/>
      </c>
      <c r="F117" s="28" t="str">
        <f t="shared" si="12"/>
        <v/>
      </c>
      <c r="G117" s="4"/>
      <c r="H117" s="8"/>
      <c r="I117" s="50"/>
      <c r="J117" s="25"/>
      <c r="K117" s="26" t="str">
        <f t="shared" si="13"/>
        <v/>
      </c>
      <c r="L117" s="51"/>
      <c r="M117" s="51"/>
      <c r="N117" s="4"/>
      <c r="O117" s="4"/>
      <c r="P117" s="28" t="str">
        <f>IF(A117="","",SUMIFS('CARGAS DE COMBUSTIBLE'!$N$2:$N$301,'CARGAS DE COMBUSTIBLE'!$AA$2:$AA$301,A117))</f>
        <v/>
      </c>
      <c r="Q117" s="28" t="str">
        <f t="shared" si="14"/>
        <v/>
      </c>
      <c r="R117" s="56" t="str">
        <f t="shared" si="15"/>
        <v/>
      </c>
      <c r="S117" s="4"/>
    </row>
    <row r="118" spans="1:19" x14ac:dyDescent="0.25">
      <c r="A118" s="8" t="str">
        <f t="shared" si="8"/>
        <v/>
      </c>
      <c r="B118" s="9"/>
      <c r="C118" s="8" t="str">
        <f t="shared" si="9"/>
        <v/>
      </c>
      <c r="D118" s="10" t="str">
        <f t="shared" si="10"/>
        <v/>
      </c>
      <c r="E118" s="8" t="str">
        <f t="shared" si="11"/>
        <v/>
      </c>
      <c r="F118" s="28" t="str">
        <f t="shared" si="12"/>
        <v/>
      </c>
      <c r="G118" s="4"/>
      <c r="H118" s="8"/>
      <c r="I118" s="50"/>
      <c r="J118" s="25"/>
      <c r="K118" s="26" t="str">
        <f t="shared" si="13"/>
        <v/>
      </c>
      <c r="L118" s="51"/>
      <c r="M118" s="51"/>
      <c r="N118" s="4"/>
      <c r="O118" s="4"/>
      <c r="P118" s="28" t="str">
        <f>IF(A118="","",SUMIFS('CARGAS DE COMBUSTIBLE'!$N$2:$N$301,'CARGAS DE COMBUSTIBLE'!$AA$2:$AA$301,A118))</f>
        <v/>
      </c>
      <c r="Q118" s="28" t="str">
        <f t="shared" si="14"/>
        <v/>
      </c>
      <c r="R118" s="56" t="str">
        <f t="shared" si="15"/>
        <v/>
      </c>
      <c r="S118" s="4"/>
    </row>
    <row r="119" spans="1:19" x14ac:dyDescent="0.25">
      <c r="A119" s="8" t="str">
        <f t="shared" si="8"/>
        <v/>
      </c>
      <c r="B119" s="9"/>
      <c r="C119" s="8" t="str">
        <f t="shared" si="9"/>
        <v/>
      </c>
      <c r="D119" s="10" t="str">
        <f t="shared" si="10"/>
        <v/>
      </c>
      <c r="E119" s="8" t="str">
        <f t="shared" si="11"/>
        <v/>
      </c>
      <c r="F119" s="28" t="str">
        <f t="shared" si="12"/>
        <v/>
      </c>
      <c r="G119" s="4"/>
      <c r="H119" s="8"/>
      <c r="I119" s="50"/>
      <c r="J119" s="25"/>
      <c r="K119" s="26" t="str">
        <f t="shared" si="13"/>
        <v/>
      </c>
      <c r="L119" s="51"/>
      <c r="M119" s="51"/>
      <c r="N119" s="4"/>
      <c r="O119" s="4"/>
      <c r="P119" s="28" t="str">
        <f>IF(A119="","",SUMIFS('CARGAS DE COMBUSTIBLE'!$N$2:$N$301,'CARGAS DE COMBUSTIBLE'!$AA$2:$AA$301,A119))</f>
        <v/>
      </c>
      <c r="Q119" s="28" t="str">
        <f t="shared" si="14"/>
        <v/>
      </c>
      <c r="R119" s="56" t="str">
        <f t="shared" si="15"/>
        <v/>
      </c>
      <c r="S119" s="4"/>
    </row>
    <row r="120" spans="1:19" x14ac:dyDescent="0.25">
      <c r="A120" s="8" t="str">
        <f t="shared" si="8"/>
        <v/>
      </c>
      <c r="B120" s="9"/>
      <c r="C120" s="8" t="str">
        <f t="shared" si="9"/>
        <v/>
      </c>
      <c r="D120" s="10" t="str">
        <f t="shared" si="10"/>
        <v/>
      </c>
      <c r="E120" s="8" t="str">
        <f t="shared" si="11"/>
        <v/>
      </c>
      <c r="F120" s="28" t="str">
        <f t="shared" si="12"/>
        <v/>
      </c>
      <c r="G120" s="4"/>
      <c r="H120" s="8"/>
      <c r="I120" s="50"/>
      <c r="J120" s="25"/>
      <c r="K120" s="26" t="str">
        <f t="shared" si="13"/>
        <v/>
      </c>
      <c r="L120" s="51"/>
      <c r="M120" s="51"/>
      <c r="N120" s="4"/>
      <c r="O120" s="4"/>
      <c r="P120" s="28" t="str">
        <f>IF(A120="","",SUMIFS('CARGAS DE COMBUSTIBLE'!$N$2:$N$301,'CARGAS DE COMBUSTIBLE'!$AA$2:$AA$301,A120))</f>
        <v/>
      </c>
      <c r="Q120" s="28" t="str">
        <f t="shared" si="14"/>
        <v/>
      </c>
      <c r="R120" s="56" t="str">
        <f t="shared" si="15"/>
        <v/>
      </c>
      <c r="S120" s="4"/>
    </row>
    <row r="121" spans="1:19" x14ac:dyDescent="0.25">
      <c r="A121" s="8" t="str">
        <f t="shared" si="8"/>
        <v/>
      </c>
      <c r="B121" s="9"/>
      <c r="C121" s="8" t="str">
        <f t="shared" si="9"/>
        <v/>
      </c>
      <c r="D121" s="10" t="str">
        <f t="shared" si="10"/>
        <v/>
      </c>
      <c r="E121" s="8" t="str">
        <f t="shared" si="11"/>
        <v/>
      </c>
      <c r="F121" s="28" t="str">
        <f t="shared" si="12"/>
        <v/>
      </c>
      <c r="G121" s="4"/>
      <c r="H121" s="8"/>
      <c r="I121" s="50"/>
      <c r="J121" s="25"/>
      <c r="K121" s="26" t="str">
        <f t="shared" si="13"/>
        <v/>
      </c>
      <c r="L121" s="51"/>
      <c r="M121" s="51"/>
      <c r="N121" s="4"/>
      <c r="O121" s="4"/>
      <c r="P121" s="28" t="str">
        <f>IF(A121="","",SUMIFS('CARGAS DE COMBUSTIBLE'!$N$2:$N$301,'CARGAS DE COMBUSTIBLE'!$AA$2:$AA$301,A121))</f>
        <v/>
      </c>
      <c r="Q121" s="28" t="str">
        <f t="shared" si="14"/>
        <v/>
      </c>
      <c r="R121" s="56" t="str">
        <f t="shared" si="15"/>
        <v/>
      </c>
      <c r="S121" s="4"/>
    </row>
    <row r="122" spans="1:19" x14ac:dyDescent="0.25">
      <c r="A122" s="8" t="str">
        <f t="shared" si="8"/>
        <v/>
      </c>
      <c r="B122" s="9"/>
      <c r="C122" s="8" t="str">
        <f t="shared" si="9"/>
        <v/>
      </c>
      <c r="D122" s="10" t="str">
        <f t="shared" si="10"/>
        <v/>
      </c>
      <c r="E122" s="8" t="str">
        <f t="shared" si="11"/>
        <v/>
      </c>
      <c r="F122" s="28" t="str">
        <f t="shared" si="12"/>
        <v/>
      </c>
      <c r="G122" s="4"/>
      <c r="H122" s="8"/>
      <c r="I122" s="50"/>
      <c r="J122" s="25"/>
      <c r="K122" s="26" t="str">
        <f t="shared" si="13"/>
        <v/>
      </c>
      <c r="L122" s="51"/>
      <c r="M122" s="51"/>
      <c r="N122" s="4"/>
      <c r="O122" s="4"/>
      <c r="P122" s="28" t="str">
        <f>IF(A122="","",SUMIFS('CARGAS DE COMBUSTIBLE'!$N$2:$N$301,'CARGAS DE COMBUSTIBLE'!$AA$2:$AA$301,A122))</f>
        <v/>
      </c>
      <c r="Q122" s="28" t="str">
        <f t="shared" si="14"/>
        <v/>
      </c>
      <c r="R122" s="56" t="str">
        <f t="shared" si="15"/>
        <v/>
      </c>
      <c r="S122" s="4"/>
    </row>
    <row r="123" spans="1:19" x14ac:dyDescent="0.25">
      <c r="A123" s="8" t="str">
        <f t="shared" si="8"/>
        <v/>
      </c>
      <c r="B123" s="9"/>
      <c r="C123" s="8" t="str">
        <f t="shared" si="9"/>
        <v/>
      </c>
      <c r="D123" s="10" t="str">
        <f t="shared" si="10"/>
        <v/>
      </c>
      <c r="E123" s="8" t="str">
        <f t="shared" si="11"/>
        <v/>
      </c>
      <c r="F123" s="28" t="str">
        <f t="shared" si="12"/>
        <v/>
      </c>
      <c r="G123" s="4"/>
      <c r="H123" s="8"/>
      <c r="I123" s="50"/>
      <c r="J123" s="25"/>
      <c r="K123" s="26" t="str">
        <f t="shared" si="13"/>
        <v/>
      </c>
      <c r="L123" s="51"/>
      <c r="M123" s="51"/>
      <c r="N123" s="4"/>
      <c r="O123" s="4"/>
      <c r="P123" s="28" t="str">
        <f>IF(A123="","",SUMIFS('CARGAS DE COMBUSTIBLE'!$N$2:$N$301,'CARGAS DE COMBUSTIBLE'!$AA$2:$AA$301,A123))</f>
        <v/>
      </c>
      <c r="Q123" s="28" t="str">
        <f t="shared" si="14"/>
        <v/>
      </c>
      <c r="R123" s="56" t="str">
        <f t="shared" si="15"/>
        <v/>
      </c>
      <c r="S123" s="4"/>
    </row>
    <row r="124" spans="1:19" x14ac:dyDescent="0.25">
      <c r="A124" s="8" t="str">
        <f t="shared" si="8"/>
        <v/>
      </c>
      <c r="B124" s="9"/>
      <c r="C124" s="8" t="str">
        <f t="shared" si="9"/>
        <v/>
      </c>
      <c r="D124" s="10" t="str">
        <f t="shared" si="10"/>
        <v/>
      </c>
      <c r="E124" s="8" t="str">
        <f t="shared" si="11"/>
        <v/>
      </c>
      <c r="F124" s="28" t="str">
        <f t="shared" si="12"/>
        <v/>
      </c>
      <c r="G124" s="4"/>
      <c r="H124" s="8"/>
      <c r="I124" s="50"/>
      <c r="J124" s="25"/>
      <c r="K124" s="26" t="str">
        <f t="shared" si="13"/>
        <v/>
      </c>
      <c r="L124" s="51"/>
      <c r="M124" s="51"/>
      <c r="N124" s="4"/>
      <c r="O124" s="4"/>
      <c r="P124" s="28" t="str">
        <f>IF(A124="","",SUMIFS('CARGAS DE COMBUSTIBLE'!$N$2:$N$301,'CARGAS DE COMBUSTIBLE'!$AA$2:$AA$301,A124))</f>
        <v/>
      </c>
      <c r="Q124" s="28" t="str">
        <f t="shared" si="14"/>
        <v/>
      </c>
      <c r="R124" s="56" t="str">
        <f t="shared" si="15"/>
        <v/>
      </c>
      <c r="S124" s="4"/>
    </row>
    <row r="125" spans="1:19" x14ac:dyDescent="0.25">
      <c r="A125" s="8" t="str">
        <f t="shared" si="8"/>
        <v/>
      </c>
      <c r="B125" s="9"/>
      <c r="C125" s="8" t="str">
        <f t="shared" si="9"/>
        <v/>
      </c>
      <c r="D125" s="10" t="str">
        <f t="shared" si="10"/>
        <v/>
      </c>
      <c r="E125" s="8" t="str">
        <f t="shared" si="11"/>
        <v/>
      </c>
      <c r="F125" s="28" t="str">
        <f t="shared" si="12"/>
        <v/>
      </c>
      <c r="G125" s="4"/>
      <c r="H125" s="8"/>
      <c r="I125" s="50"/>
      <c r="J125" s="25"/>
      <c r="K125" s="26" t="str">
        <f t="shared" si="13"/>
        <v/>
      </c>
      <c r="L125" s="51"/>
      <c r="M125" s="51"/>
      <c r="N125" s="4"/>
      <c r="O125" s="4"/>
      <c r="P125" s="28" t="str">
        <f>IF(A125="","",SUMIFS('CARGAS DE COMBUSTIBLE'!$N$2:$N$301,'CARGAS DE COMBUSTIBLE'!$AA$2:$AA$301,A125))</f>
        <v/>
      </c>
      <c r="Q125" s="28" t="str">
        <f t="shared" si="14"/>
        <v/>
      </c>
      <c r="R125" s="56" t="str">
        <f t="shared" si="15"/>
        <v/>
      </c>
      <c r="S125" s="4"/>
    </row>
    <row r="126" spans="1:19" x14ac:dyDescent="0.25">
      <c r="A126" s="8" t="str">
        <f t="shared" si="8"/>
        <v/>
      </c>
      <c r="B126" s="9"/>
      <c r="C126" s="8" t="str">
        <f t="shared" si="9"/>
        <v/>
      </c>
      <c r="D126" s="10" t="str">
        <f t="shared" si="10"/>
        <v/>
      </c>
      <c r="E126" s="8" t="str">
        <f t="shared" si="11"/>
        <v/>
      </c>
      <c r="F126" s="28" t="str">
        <f t="shared" si="12"/>
        <v/>
      </c>
      <c r="G126" s="4"/>
      <c r="H126" s="8"/>
      <c r="I126" s="50"/>
      <c r="J126" s="25"/>
      <c r="K126" s="26" t="str">
        <f t="shared" si="13"/>
        <v/>
      </c>
      <c r="L126" s="51"/>
      <c r="M126" s="51"/>
      <c r="N126" s="4"/>
      <c r="O126" s="4"/>
      <c r="P126" s="28" t="str">
        <f>IF(A126="","",SUMIFS('CARGAS DE COMBUSTIBLE'!$N$2:$N$301,'CARGAS DE COMBUSTIBLE'!$AA$2:$AA$301,A126))</f>
        <v/>
      </c>
      <c r="Q126" s="28" t="str">
        <f t="shared" si="14"/>
        <v/>
      </c>
      <c r="R126" s="56" t="str">
        <f t="shared" si="15"/>
        <v/>
      </c>
      <c r="S126" s="4"/>
    </row>
    <row r="127" spans="1:19" x14ac:dyDescent="0.25">
      <c r="A127" s="8" t="str">
        <f t="shared" si="8"/>
        <v/>
      </c>
      <c r="B127" s="9"/>
      <c r="C127" s="8" t="str">
        <f t="shared" si="9"/>
        <v/>
      </c>
      <c r="D127" s="10" t="str">
        <f t="shared" si="10"/>
        <v/>
      </c>
      <c r="E127" s="8" t="str">
        <f t="shared" si="11"/>
        <v/>
      </c>
      <c r="F127" s="28" t="str">
        <f t="shared" si="12"/>
        <v/>
      </c>
      <c r="G127" s="4"/>
      <c r="H127" s="8"/>
      <c r="I127" s="50"/>
      <c r="J127" s="25"/>
      <c r="K127" s="26" t="str">
        <f t="shared" si="13"/>
        <v/>
      </c>
      <c r="L127" s="51"/>
      <c r="M127" s="51"/>
      <c r="N127" s="4"/>
      <c r="O127" s="4"/>
      <c r="P127" s="28" t="str">
        <f>IF(A127="","",SUMIFS('CARGAS DE COMBUSTIBLE'!$N$2:$N$301,'CARGAS DE COMBUSTIBLE'!$AA$2:$AA$301,A127))</f>
        <v/>
      </c>
      <c r="Q127" s="28" t="str">
        <f t="shared" si="14"/>
        <v/>
      </c>
      <c r="R127" s="56" t="str">
        <f t="shared" si="15"/>
        <v/>
      </c>
      <c r="S127" s="4"/>
    </row>
    <row r="128" spans="1:19" x14ac:dyDescent="0.25">
      <c r="A128" s="8" t="str">
        <f t="shared" si="8"/>
        <v/>
      </c>
      <c r="B128" s="9"/>
      <c r="C128" s="8" t="str">
        <f t="shared" si="9"/>
        <v/>
      </c>
      <c r="D128" s="10" t="str">
        <f t="shared" si="10"/>
        <v/>
      </c>
      <c r="E128" s="8" t="str">
        <f t="shared" si="11"/>
        <v/>
      </c>
      <c r="F128" s="28" t="str">
        <f t="shared" si="12"/>
        <v/>
      </c>
      <c r="G128" s="4"/>
      <c r="H128" s="8"/>
      <c r="I128" s="50"/>
      <c r="J128" s="25"/>
      <c r="K128" s="26" t="str">
        <f t="shared" si="13"/>
        <v/>
      </c>
      <c r="L128" s="51"/>
      <c r="M128" s="51"/>
      <c r="N128" s="4"/>
      <c r="O128" s="4"/>
      <c r="P128" s="28" t="str">
        <f>IF(A128="","",SUMIFS('CARGAS DE COMBUSTIBLE'!$N$2:$N$301,'CARGAS DE COMBUSTIBLE'!$AA$2:$AA$301,A128))</f>
        <v/>
      </c>
      <c r="Q128" s="28" t="str">
        <f t="shared" si="14"/>
        <v/>
      </c>
      <c r="R128" s="56" t="str">
        <f t="shared" si="15"/>
        <v/>
      </c>
      <c r="S128" s="4"/>
    </row>
    <row r="129" spans="1:19" x14ac:dyDescent="0.25">
      <c r="A129" s="8" t="str">
        <f t="shared" si="8"/>
        <v/>
      </c>
      <c r="B129" s="9"/>
      <c r="C129" s="8" t="str">
        <f t="shared" si="9"/>
        <v/>
      </c>
      <c r="D129" s="10" t="str">
        <f t="shared" si="10"/>
        <v/>
      </c>
      <c r="E129" s="8" t="str">
        <f t="shared" si="11"/>
        <v/>
      </c>
      <c r="F129" s="28" t="str">
        <f t="shared" si="12"/>
        <v/>
      </c>
      <c r="G129" s="4"/>
      <c r="H129" s="8"/>
      <c r="I129" s="50"/>
      <c r="J129" s="25"/>
      <c r="K129" s="26" t="str">
        <f t="shared" si="13"/>
        <v/>
      </c>
      <c r="L129" s="51"/>
      <c r="M129" s="51"/>
      <c r="N129" s="4"/>
      <c r="O129" s="4"/>
      <c r="P129" s="28" t="str">
        <f>IF(A129="","",SUMIFS('CARGAS DE COMBUSTIBLE'!$N$2:$N$301,'CARGAS DE COMBUSTIBLE'!$AA$2:$AA$301,A129))</f>
        <v/>
      </c>
      <c r="Q129" s="28" t="str">
        <f t="shared" si="14"/>
        <v/>
      </c>
      <c r="R129" s="56" t="str">
        <f t="shared" si="15"/>
        <v/>
      </c>
      <c r="S129" s="4"/>
    </row>
    <row r="130" spans="1:19" x14ac:dyDescent="0.25">
      <c r="A130" s="8" t="str">
        <f t="shared" ref="A130:A193" si="16">IF(B130="","","BATAN-"&amp;TEXT(ROW()-1,"0000"))</f>
        <v/>
      </c>
      <c r="B130" s="9"/>
      <c r="C130" s="8" t="str">
        <f t="shared" ref="C130:C193" si="17">IF(B130="","",CHOOSE(MONTH(B130),"Enero","Febrero","Marzo","Abril","Mayo","Junio","Julio","Agosto","Septiembre","Octubre","Noviembre","Diciembre"))</f>
        <v/>
      </c>
      <c r="D130" s="10" t="str">
        <f t="shared" ref="D130:D193" si="18">IF(B130="","",YEAR(B130))</f>
        <v/>
      </c>
      <c r="E130" s="8" t="str">
        <f t="shared" ref="E130:E193" si="19">IF(B130="","","Batán 200 L")</f>
        <v/>
      </c>
      <c r="F130" s="28" t="str">
        <f t="shared" ref="F130:F193" si="20">IF(B130="","",200)</f>
        <v/>
      </c>
      <c r="G130" s="4"/>
      <c r="H130" s="8"/>
      <c r="I130" s="50"/>
      <c r="J130" s="25"/>
      <c r="K130" s="26" t="str">
        <f t="shared" ref="K130:K193" si="21">IF(OR(I130="",J130=""),"",I130*J130)</f>
        <v/>
      </c>
      <c r="L130" s="51"/>
      <c r="M130" s="51"/>
      <c r="N130" s="4"/>
      <c r="O130" s="4"/>
      <c r="P130" s="28" t="str">
        <f>IF(A130="","",SUMIFS('CARGAS DE COMBUSTIBLE'!$N$2:$N$301,'CARGAS DE COMBUSTIBLE'!$AA$2:$AA$301,A130))</f>
        <v/>
      </c>
      <c r="Q130" s="28" t="str">
        <f t="shared" ref="Q130:Q193" si="22">IF(A130="","",IF(I130="","",I130-P130))</f>
        <v/>
      </c>
      <c r="R130" s="56" t="str">
        <f t="shared" ref="R130:R193" si="23">IF(A130="","",IF(Q130&lt;0,"Excedido",IF(Q130=0,"Consumido","Disponible")))</f>
        <v/>
      </c>
      <c r="S130" s="4"/>
    </row>
    <row r="131" spans="1:19" x14ac:dyDescent="0.25">
      <c r="A131" s="8" t="str">
        <f t="shared" si="16"/>
        <v/>
      </c>
      <c r="B131" s="9"/>
      <c r="C131" s="8" t="str">
        <f t="shared" si="17"/>
        <v/>
      </c>
      <c r="D131" s="10" t="str">
        <f t="shared" si="18"/>
        <v/>
      </c>
      <c r="E131" s="8" t="str">
        <f t="shared" si="19"/>
        <v/>
      </c>
      <c r="F131" s="28" t="str">
        <f t="shared" si="20"/>
        <v/>
      </c>
      <c r="G131" s="4"/>
      <c r="H131" s="8"/>
      <c r="I131" s="50"/>
      <c r="J131" s="25"/>
      <c r="K131" s="26" t="str">
        <f t="shared" si="21"/>
        <v/>
      </c>
      <c r="L131" s="51"/>
      <c r="M131" s="51"/>
      <c r="N131" s="4"/>
      <c r="O131" s="4"/>
      <c r="P131" s="28" t="str">
        <f>IF(A131="","",SUMIFS('CARGAS DE COMBUSTIBLE'!$N$2:$N$301,'CARGAS DE COMBUSTIBLE'!$AA$2:$AA$301,A131))</f>
        <v/>
      </c>
      <c r="Q131" s="28" t="str">
        <f t="shared" si="22"/>
        <v/>
      </c>
      <c r="R131" s="56" t="str">
        <f t="shared" si="23"/>
        <v/>
      </c>
      <c r="S131" s="4"/>
    </row>
    <row r="132" spans="1:19" x14ac:dyDescent="0.25">
      <c r="A132" s="8" t="str">
        <f t="shared" si="16"/>
        <v/>
      </c>
      <c r="B132" s="9"/>
      <c r="C132" s="8" t="str">
        <f t="shared" si="17"/>
        <v/>
      </c>
      <c r="D132" s="10" t="str">
        <f t="shared" si="18"/>
        <v/>
      </c>
      <c r="E132" s="8" t="str">
        <f t="shared" si="19"/>
        <v/>
      </c>
      <c r="F132" s="28" t="str">
        <f t="shared" si="20"/>
        <v/>
      </c>
      <c r="G132" s="4"/>
      <c r="H132" s="8"/>
      <c r="I132" s="50"/>
      <c r="J132" s="25"/>
      <c r="K132" s="26" t="str">
        <f t="shared" si="21"/>
        <v/>
      </c>
      <c r="L132" s="51"/>
      <c r="M132" s="51"/>
      <c r="N132" s="4"/>
      <c r="O132" s="4"/>
      <c r="P132" s="28" t="str">
        <f>IF(A132="","",SUMIFS('CARGAS DE COMBUSTIBLE'!$N$2:$N$301,'CARGAS DE COMBUSTIBLE'!$AA$2:$AA$301,A132))</f>
        <v/>
      </c>
      <c r="Q132" s="28" t="str">
        <f t="shared" si="22"/>
        <v/>
      </c>
      <c r="R132" s="56" t="str">
        <f t="shared" si="23"/>
        <v/>
      </c>
      <c r="S132" s="4"/>
    </row>
    <row r="133" spans="1:19" x14ac:dyDescent="0.25">
      <c r="A133" s="8" t="str">
        <f t="shared" si="16"/>
        <v/>
      </c>
      <c r="B133" s="9"/>
      <c r="C133" s="8" t="str">
        <f t="shared" si="17"/>
        <v/>
      </c>
      <c r="D133" s="10" t="str">
        <f t="shared" si="18"/>
        <v/>
      </c>
      <c r="E133" s="8" t="str">
        <f t="shared" si="19"/>
        <v/>
      </c>
      <c r="F133" s="28" t="str">
        <f t="shared" si="20"/>
        <v/>
      </c>
      <c r="G133" s="4"/>
      <c r="H133" s="8"/>
      <c r="I133" s="50"/>
      <c r="J133" s="25"/>
      <c r="K133" s="26" t="str">
        <f t="shared" si="21"/>
        <v/>
      </c>
      <c r="L133" s="51"/>
      <c r="M133" s="51"/>
      <c r="N133" s="4"/>
      <c r="O133" s="4"/>
      <c r="P133" s="28" t="str">
        <f>IF(A133="","",SUMIFS('CARGAS DE COMBUSTIBLE'!$N$2:$N$301,'CARGAS DE COMBUSTIBLE'!$AA$2:$AA$301,A133))</f>
        <v/>
      </c>
      <c r="Q133" s="28" t="str">
        <f t="shared" si="22"/>
        <v/>
      </c>
      <c r="R133" s="56" t="str">
        <f t="shared" si="23"/>
        <v/>
      </c>
      <c r="S133" s="4"/>
    </row>
    <row r="134" spans="1:19" x14ac:dyDescent="0.25">
      <c r="A134" s="8" t="str">
        <f t="shared" si="16"/>
        <v/>
      </c>
      <c r="B134" s="9"/>
      <c r="C134" s="8" t="str">
        <f t="shared" si="17"/>
        <v/>
      </c>
      <c r="D134" s="10" t="str">
        <f t="shared" si="18"/>
        <v/>
      </c>
      <c r="E134" s="8" t="str">
        <f t="shared" si="19"/>
        <v/>
      </c>
      <c r="F134" s="28" t="str">
        <f t="shared" si="20"/>
        <v/>
      </c>
      <c r="G134" s="4"/>
      <c r="H134" s="8"/>
      <c r="I134" s="50"/>
      <c r="J134" s="25"/>
      <c r="K134" s="26" t="str">
        <f t="shared" si="21"/>
        <v/>
      </c>
      <c r="L134" s="51"/>
      <c r="M134" s="51"/>
      <c r="N134" s="4"/>
      <c r="O134" s="4"/>
      <c r="P134" s="28" t="str">
        <f>IF(A134="","",SUMIFS('CARGAS DE COMBUSTIBLE'!$N$2:$N$301,'CARGAS DE COMBUSTIBLE'!$AA$2:$AA$301,A134))</f>
        <v/>
      </c>
      <c r="Q134" s="28" t="str">
        <f t="shared" si="22"/>
        <v/>
      </c>
      <c r="R134" s="56" t="str">
        <f t="shared" si="23"/>
        <v/>
      </c>
      <c r="S134" s="4"/>
    </row>
    <row r="135" spans="1:19" x14ac:dyDescent="0.25">
      <c r="A135" s="8" t="str">
        <f t="shared" si="16"/>
        <v/>
      </c>
      <c r="B135" s="9"/>
      <c r="C135" s="8" t="str">
        <f t="shared" si="17"/>
        <v/>
      </c>
      <c r="D135" s="10" t="str">
        <f t="shared" si="18"/>
        <v/>
      </c>
      <c r="E135" s="8" t="str">
        <f t="shared" si="19"/>
        <v/>
      </c>
      <c r="F135" s="28" t="str">
        <f t="shared" si="20"/>
        <v/>
      </c>
      <c r="G135" s="4"/>
      <c r="H135" s="8"/>
      <c r="I135" s="50"/>
      <c r="J135" s="25"/>
      <c r="K135" s="26" t="str">
        <f t="shared" si="21"/>
        <v/>
      </c>
      <c r="L135" s="51"/>
      <c r="M135" s="51"/>
      <c r="N135" s="4"/>
      <c r="O135" s="4"/>
      <c r="P135" s="28" t="str">
        <f>IF(A135="","",SUMIFS('CARGAS DE COMBUSTIBLE'!$N$2:$N$301,'CARGAS DE COMBUSTIBLE'!$AA$2:$AA$301,A135))</f>
        <v/>
      </c>
      <c r="Q135" s="28" t="str">
        <f t="shared" si="22"/>
        <v/>
      </c>
      <c r="R135" s="56" t="str">
        <f t="shared" si="23"/>
        <v/>
      </c>
      <c r="S135" s="4"/>
    </row>
    <row r="136" spans="1:19" x14ac:dyDescent="0.25">
      <c r="A136" s="8" t="str">
        <f t="shared" si="16"/>
        <v/>
      </c>
      <c r="B136" s="9"/>
      <c r="C136" s="8" t="str">
        <f t="shared" si="17"/>
        <v/>
      </c>
      <c r="D136" s="10" t="str">
        <f t="shared" si="18"/>
        <v/>
      </c>
      <c r="E136" s="8" t="str">
        <f t="shared" si="19"/>
        <v/>
      </c>
      <c r="F136" s="28" t="str">
        <f t="shared" si="20"/>
        <v/>
      </c>
      <c r="G136" s="4"/>
      <c r="H136" s="8"/>
      <c r="I136" s="50"/>
      <c r="J136" s="25"/>
      <c r="K136" s="26" t="str">
        <f t="shared" si="21"/>
        <v/>
      </c>
      <c r="L136" s="51"/>
      <c r="M136" s="51"/>
      <c r="N136" s="4"/>
      <c r="O136" s="4"/>
      <c r="P136" s="28" t="str">
        <f>IF(A136="","",SUMIFS('CARGAS DE COMBUSTIBLE'!$N$2:$N$301,'CARGAS DE COMBUSTIBLE'!$AA$2:$AA$301,A136))</f>
        <v/>
      </c>
      <c r="Q136" s="28" t="str">
        <f t="shared" si="22"/>
        <v/>
      </c>
      <c r="R136" s="56" t="str">
        <f t="shared" si="23"/>
        <v/>
      </c>
      <c r="S136" s="4"/>
    </row>
    <row r="137" spans="1:19" x14ac:dyDescent="0.25">
      <c r="A137" s="8" t="str">
        <f t="shared" si="16"/>
        <v/>
      </c>
      <c r="B137" s="9"/>
      <c r="C137" s="8" t="str">
        <f t="shared" si="17"/>
        <v/>
      </c>
      <c r="D137" s="10" t="str">
        <f t="shared" si="18"/>
        <v/>
      </c>
      <c r="E137" s="8" t="str">
        <f t="shared" si="19"/>
        <v/>
      </c>
      <c r="F137" s="28" t="str">
        <f t="shared" si="20"/>
        <v/>
      </c>
      <c r="G137" s="4"/>
      <c r="H137" s="8"/>
      <c r="I137" s="50"/>
      <c r="J137" s="25"/>
      <c r="K137" s="26" t="str">
        <f t="shared" si="21"/>
        <v/>
      </c>
      <c r="L137" s="51"/>
      <c r="M137" s="51"/>
      <c r="N137" s="4"/>
      <c r="O137" s="4"/>
      <c r="P137" s="28" t="str">
        <f>IF(A137="","",SUMIFS('CARGAS DE COMBUSTIBLE'!$N$2:$N$301,'CARGAS DE COMBUSTIBLE'!$AA$2:$AA$301,A137))</f>
        <v/>
      </c>
      <c r="Q137" s="28" t="str">
        <f t="shared" si="22"/>
        <v/>
      </c>
      <c r="R137" s="56" t="str">
        <f t="shared" si="23"/>
        <v/>
      </c>
      <c r="S137" s="4"/>
    </row>
    <row r="138" spans="1:19" x14ac:dyDescent="0.25">
      <c r="A138" s="8" t="str">
        <f t="shared" si="16"/>
        <v/>
      </c>
      <c r="B138" s="9"/>
      <c r="C138" s="8" t="str">
        <f t="shared" si="17"/>
        <v/>
      </c>
      <c r="D138" s="10" t="str">
        <f t="shared" si="18"/>
        <v/>
      </c>
      <c r="E138" s="8" t="str">
        <f t="shared" si="19"/>
        <v/>
      </c>
      <c r="F138" s="28" t="str">
        <f t="shared" si="20"/>
        <v/>
      </c>
      <c r="G138" s="4"/>
      <c r="H138" s="8"/>
      <c r="I138" s="50"/>
      <c r="J138" s="25"/>
      <c r="K138" s="26" t="str">
        <f t="shared" si="21"/>
        <v/>
      </c>
      <c r="L138" s="51"/>
      <c r="M138" s="51"/>
      <c r="N138" s="4"/>
      <c r="O138" s="4"/>
      <c r="P138" s="28" t="str">
        <f>IF(A138="","",SUMIFS('CARGAS DE COMBUSTIBLE'!$N$2:$N$301,'CARGAS DE COMBUSTIBLE'!$AA$2:$AA$301,A138))</f>
        <v/>
      </c>
      <c r="Q138" s="28" t="str">
        <f t="shared" si="22"/>
        <v/>
      </c>
      <c r="R138" s="56" t="str">
        <f t="shared" si="23"/>
        <v/>
      </c>
      <c r="S138" s="4"/>
    </row>
    <row r="139" spans="1:19" x14ac:dyDescent="0.25">
      <c r="A139" s="8" t="str">
        <f t="shared" si="16"/>
        <v/>
      </c>
      <c r="B139" s="9"/>
      <c r="C139" s="8" t="str">
        <f t="shared" si="17"/>
        <v/>
      </c>
      <c r="D139" s="10" t="str">
        <f t="shared" si="18"/>
        <v/>
      </c>
      <c r="E139" s="8" t="str">
        <f t="shared" si="19"/>
        <v/>
      </c>
      <c r="F139" s="28" t="str">
        <f t="shared" si="20"/>
        <v/>
      </c>
      <c r="G139" s="4"/>
      <c r="H139" s="8"/>
      <c r="I139" s="50"/>
      <c r="J139" s="25"/>
      <c r="K139" s="26" t="str">
        <f t="shared" si="21"/>
        <v/>
      </c>
      <c r="L139" s="51"/>
      <c r="M139" s="51"/>
      <c r="N139" s="4"/>
      <c r="O139" s="4"/>
      <c r="P139" s="28" t="str">
        <f>IF(A139="","",SUMIFS('CARGAS DE COMBUSTIBLE'!$N$2:$N$301,'CARGAS DE COMBUSTIBLE'!$AA$2:$AA$301,A139))</f>
        <v/>
      </c>
      <c r="Q139" s="28" t="str">
        <f t="shared" si="22"/>
        <v/>
      </c>
      <c r="R139" s="56" t="str">
        <f t="shared" si="23"/>
        <v/>
      </c>
      <c r="S139" s="4"/>
    </row>
    <row r="140" spans="1:19" x14ac:dyDescent="0.25">
      <c r="A140" s="8" t="str">
        <f t="shared" si="16"/>
        <v/>
      </c>
      <c r="B140" s="9"/>
      <c r="C140" s="8" t="str">
        <f t="shared" si="17"/>
        <v/>
      </c>
      <c r="D140" s="10" t="str">
        <f t="shared" si="18"/>
        <v/>
      </c>
      <c r="E140" s="8" t="str">
        <f t="shared" si="19"/>
        <v/>
      </c>
      <c r="F140" s="28" t="str">
        <f t="shared" si="20"/>
        <v/>
      </c>
      <c r="G140" s="4"/>
      <c r="H140" s="8"/>
      <c r="I140" s="50"/>
      <c r="J140" s="25"/>
      <c r="K140" s="26" t="str">
        <f t="shared" si="21"/>
        <v/>
      </c>
      <c r="L140" s="51"/>
      <c r="M140" s="51"/>
      <c r="N140" s="4"/>
      <c r="O140" s="4"/>
      <c r="P140" s="28" t="str">
        <f>IF(A140="","",SUMIFS('CARGAS DE COMBUSTIBLE'!$N$2:$N$301,'CARGAS DE COMBUSTIBLE'!$AA$2:$AA$301,A140))</f>
        <v/>
      </c>
      <c r="Q140" s="28" t="str">
        <f t="shared" si="22"/>
        <v/>
      </c>
      <c r="R140" s="56" t="str">
        <f t="shared" si="23"/>
        <v/>
      </c>
      <c r="S140" s="4"/>
    </row>
    <row r="141" spans="1:19" x14ac:dyDescent="0.25">
      <c r="A141" s="8" t="str">
        <f t="shared" si="16"/>
        <v/>
      </c>
      <c r="B141" s="9"/>
      <c r="C141" s="8" t="str">
        <f t="shared" si="17"/>
        <v/>
      </c>
      <c r="D141" s="10" t="str">
        <f t="shared" si="18"/>
        <v/>
      </c>
      <c r="E141" s="8" t="str">
        <f t="shared" si="19"/>
        <v/>
      </c>
      <c r="F141" s="28" t="str">
        <f t="shared" si="20"/>
        <v/>
      </c>
      <c r="G141" s="4"/>
      <c r="H141" s="8"/>
      <c r="I141" s="50"/>
      <c r="J141" s="25"/>
      <c r="K141" s="26" t="str">
        <f t="shared" si="21"/>
        <v/>
      </c>
      <c r="L141" s="51"/>
      <c r="M141" s="51"/>
      <c r="N141" s="4"/>
      <c r="O141" s="4"/>
      <c r="P141" s="28" t="str">
        <f>IF(A141="","",SUMIFS('CARGAS DE COMBUSTIBLE'!$N$2:$N$301,'CARGAS DE COMBUSTIBLE'!$AA$2:$AA$301,A141))</f>
        <v/>
      </c>
      <c r="Q141" s="28" t="str">
        <f t="shared" si="22"/>
        <v/>
      </c>
      <c r="R141" s="56" t="str">
        <f t="shared" si="23"/>
        <v/>
      </c>
      <c r="S141" s="4"/>
    </row>
    <row r="142" spans="1:19" x14ac:dyDescent="0.25">
      <c r="A142" s="8" t="str">
        <f t="shared" si="16"/>
        <v/>
      </c>
      <c r="B142" s="9"/>
      <c r="C142" s="8" t="str">
        <f t="shared" si="17"/>
        <v/>
      </c>
      <c r="D142" s="10" t="str">
        <f t="shared" si="18"/>
        <v/>
      </c>
      <c r="E142" s="8" t="str">
        <f t="shared" si="19"/>
        <v/>
      </c>
      <c r="F142" s="28" t="str">
        <f t="shared" si="20"/>
        <v/>
      </c>
      <c r="G142" s="4"/>
      <c r="H142" s="8"/>
      <c r="I142" s="50"/>
      <c r="J142" s="25"/>
      <c r="K142" s="26" t="str">
        <f t="shared" si="21"/>
        <v/>
      </c>
      <c r="L142" s="51"/>
      <c r="M142" s="51"/>
      <c r="N142" s="4"/>
      <c r="O142" s="4"/>
      <c r="P142" s="28" t="str">
        <f>IF(A142="","",SUMIFS('CARGAS DE COMBUSTIBLE'!$N$2:$N$301,'CARGAS DE COMBUSTIBLE'!$AA$2:$AA$301,A142))</f>
        <v/>
      </c>
      <c r="Q142" s="28" t="str">
        <f t="shared" si="22"/>
        <v/>
      </c>
      <c r="R142" s="56" t="str">
        <f t="shared" si="23"/>
        <v/>
      </c>
      <c r="S142" s="4"/>
    </row>
    <row r="143" spans="1:19" x14ac:dyDescent="0.25">
      <c r="A143" s="8" t="str">
        <f t="shared" si="16"/>
        <v/>
      </c>
      <c r="B143" s="9"/>
      <c r="C143" s="8" t="str">
        <f t="shared" si="17"/>
        <v/>
      </c>
      <c r="D143" s="10" t="str">
        <f t="shared" si="18"/>
        <v/>
      </c>
      <c r="E143" s="8" t="str">
        <f t="shared" si="19"/>
        <v/>
      </c>
      <c r="F143" s="28" t="str">
        <f t="shared" si="20"/>
        <v/>
      </c>
      <c r="G143" s="4"/>
      <c r="H143" s="8"/>
      <c r="I143" s="50"/>
      <c r="J143" s="25"/>
      <c r="K143" s="26" t="str">
        <f t="shared" si="21"/>
        <v/>
      </c>
      <c r="L143" s="51"/>
      <c r="M143" s="51"/>
      <c r="N143" s="4"/>
      <c r="O143" s="4"/>
      <c r="P143" s="28" t="str">
        <f>IF(A143="","",SUMIFS('CARGAS DE COMBUSTIBLE'!$N$2:$N$301,'CARGAS DE COMBUSTIBLE'!$AA$2:$AA$301,A143))</f>
        <v/>
      </c>
      <c r="Q143" s="28" t="str">
        <f t="shared" si="22"/>
        <v/>
      </c>
      <c r="R143" s="56" t="str">
        <f t="shared" si="23"/>
        <v/>
      </c>
      <c r="S143" s="4"/>
    </row>
    <row r="144" spans="1:19" x14ac:dyDescent="0.25">
      <c r="A144" s="8" t="str">
        <f t="shared" si="16"/>
        <v/>
      </c>
      <c r="B144" s="9"/>
      <c r="C144" s="8" t="str">
        <f t="shared" si="17"/>
        <v/>
      </c>
      <c r="D144" s="10" t="str">
        <f t="shared" si="18"/>
        <v/>
      </c>
      <c r="E144" s="8" t="str">
        <f t="shared" si="19"/>
        <v/>
      </c>
      <c r="F144" s="28" t="str">
        <f t="shared" si="20"/>
        <v/>
      </c>
      <c r="G144" s="4"/>
      <c r="H144" s="8"/>
      <c r="I144" s="50"/>
      <c r="J144" s="25"/>
      <c r="K144" s="26" t="str">
        <f t="shared" si="21"/>
        <v/>
      </c>
      <c r="L144" s="51"/>
      <c r="M144" s="51"/>
      <c r="N144" s="4"/>
      <c r="O144" s="4"/>
      <c r="P144" s="28" t="str">
        <f>IF(A144="","",SUMIFS('CARGAS DE COMBUSTIBLE'!$N$2:$N$301,'CARGAS DE COMBUSTIBLE'!$AA$2:$AA$301,A144))</f>
        <v/>
      </c>
      <c r="Q144" s="28" t="str">
        <f t="shared" si="22"/>
        <v/>
      </c>
      <c r="R144" s="56" t="str">
        <f t="shared" si="23"/>
        <v/>
      </c>
      <c r="S144" s="4"/>
    </row>
    <row r="145" spans="1:19" x14ac:dyDescent="0.25">
      <c r="A145" s="8" t="str">
        <f t="shared" si="16"/>
        <v/>
      </c>
      <c r="B145" s="9"/>
      <c r="C145" s="8" t="str">
        <f t="shared" si="17"/>
        <v/>
      </c>
      <c r="D145" s="10" t="str">
        <f t="shared" si="18"/>
        <v/>
      </c>
      <c r="E145" s="8" t="str">
        <f t="shared" si="19"/>
        <v/>
      </c>
      <c r="F145" s="28" t="str">
        <f t="shared" si="20"/>
        <v/>
      </c>
      <c r="G145" s="4"/>
      <c r="H145" s="8"/>
      <c r="I145" s="50"/>
      <c r="J145" s="25"/>
      <c r="K145" s="26" t="str">
        <f t="shared" si="21"/>
        <v/>
      </c>
      <c r="L145" s="51"/>
      <c r="M145" s="51"/>
      <c r="N145" s="4"/>
      <c r="O145" s="4"/>
      <c r="P145" s="28" t="str">
        <f>IF(A145="","",SUMIFS('CARGAS DE COMBUSTIBLE'!$N$2:$N$301,'CARGAS DE COMBUSTIBLE'!$AA$2:$AA$301,A145))</f>
        <v/>
      </c>
      <c r="Q145" s="28" t="str">
        <f t="shared" si="22"/>
        <v/>
      </c>
      <c r="R145" s="56" t="str">
        <f t="shared" si="23"/>
        <v/>
      </c>
      <c r="S145" s="4"/>
    </row>
    <row r="146" spans="1:19" x14ac:dyDescent="0.25">
      <c r="A146" s="8" t="str">
        <f t="shared" si="16"/>
        <v/>
      </c>
      <c r="B146" s="9"/>
      <c r="C146" s="8" t="str">
        <f t="shared" si="17"/>
        <v/>
      </c>
      <c r="D146" s="10" t="str">
        <f t="shared" si="18"/>
        <v/>
      </c>
      <c r="E146" s="8" t="str">
        <f t="shared" si="19"/>
        <v/>
      </c>
      <c r="F146" s="28" t="str">
        <f t="shared" si="20"/>
        <v/>
      </c>
      <c r="G146" s="4"/>
      <c r="H146" s="8"/>
      <c r="I146" s="50"/>
      <c r="J146" s="25"/>
      <c r="K146" s="26" t="str">
        <f t="shared" si="21"/>
        <v/>
      </c>
      <c r="L146" s="51"/>
      <c r="M146" s="51"/>
      <c r="N146" s="4"/>
      <c r="O146" s="4"/>
      <c r="P146" s="28" t="str">
        <f>IF(A146="","",SUMIFS('CARGAS DE COMBUSTIBLE'!$N$2:$N$301,'CARGAS DE COMBUSTIBLE'!$AA$2:$AA$301,A146))</f>
        <v/>
      </c>
      <c r="Q146" s="28" t="str">
        <f t="shared" si="22"/>
        <v/>
      </c>
      <c r="R146" s="56" t="str">
        <f t="shared" si="23"/>
        <v/>
      </c>
      <c r="S146" s="4"/>
    </row>
    <row r="147" spans="1:19" x14ac:dyDescent="0.25">
      <c r="A147" s="8" t="str">
        <f t="shared" si="16"/>
        <v/>
      </c>
      <c r="B147" s="9"/>
      <c r="C147" s="8" t="str">
        <f t="shared" si="17"/>
        <v/>
      </c>
      <c r="D147" s="10" t="str">
        <f t="shared" si="18"/>
        <v/>
      </c>
      <c r="E147" s="8" t="str">
        <f t="shared" si="19"/>
        <v/>
      </c>
      <c r="F147" s="28" t="str">
        <f t="shared" si="20"/>
        <v/>
      </c>
      <c r="G147" s="4"/>
      <c r="H147" s="8"/>
      <c r="I147" s="50"/>
      <c r="J147" s="25"/>
      <c r="K147" s="26" t="str">
        <f t="shared" si="21"/>
        <v/>
      </c>
      <c r="L147" s="51"/>
      <c r="M147" s="51"/>
      <c r="N147" s="4"/>
      <c r="O147" s="4"/>
      <c r="P147" s="28" t="str">
        <f>IF(A147="","",SUMIFS('CARGAS DE COMBUSTIBLE'!$N$2:$N$301,'CARGAS DE COMBUSTIBLE'!$AA$2:$AA$301,A147))</f>
        <v/>
      </c>
      <c r="Q147" s="28" t="str">
        <f t="shared" si="22"/>
        <v/>
      </c>
      <c r="R147" s="56" t="str">
        <f t="shared" si="23"/>
        <v/>
      </c>
      <c r="S147" s="4"/>
    </row>
    <row r="148" spans="1:19" x14ac:dyDescent="0.25">
      <c r="A148" s="8" t="str">
        <f t="shared" si="16"/>
        <v/>
      </c>
      <c r="B148" s="9"/>
      <c r="C148" s="8" t="str">
        <f t="shared" si="17"/>
        <v/>
      </c>
      <c r="D148" s="10" t="str">
        <f t="shared" si="18"/>
        <v/>
      </c>
      <c r="E148" s="8" t="str">
        <f t="shared" si="19"/>
        <v/>
      </c>
      <c r="F148" s="28" t="str">
        <f t="shared" si="20"/>
        <v/>
      </c>
      <c r="G148" s="4"/>
      <c r="H148" s="8"/>
      <c r="I148" s="50"/>
      <c r="J148" s="25"/>
      <c r="K148" s="26" t="str">
        <f t="shared" si="21"/>
        <v/>
      </c>
      <c r="L148" s="51"/>
      <c r="M148" s="51"/>
      <c r="N148" s="4"/>
      <c r="O148" s="4"/>
      <c r="P148" s="28" t="str">
        <f>IF(A148="","",SUMIFS('CARGAS DE COMBUSTIBLE'!$N$2:$N$301,'CARGAS DE COMBUSTIBLE'!$AA$2:$AA$301,A148))</f>
        <v/>
      </c>
      <c r="Q148" s="28" t="str">
        <f t="shared" si="22"/>
        <v/>
      </c>
      <c r="R148" s="56" t="str">
        <f t="shared" si="23"/>
        <v/>
      </c>
      <c r="S148" s="4"/>
    </row>
    <row r="149" spans="1:19" x14ac:dyDescent="0.25">
      <c r="A149" s="8" t="str">
        <f t="shared" si="16"/>
        <v/>
      </c>
      <c r="B149" s="9"/>
      <c r="C149" s="8" t="str">
        <f t="shared" si="17"/>
        <v/>
      </c>
      <c r="D149" s="10" t="str">
        <f t="shared" si="18"/>
        <v/>
      </c>
      <c r="E149" s="8" t="str">
        <f t="shared" si="19"/>
        <v/>
      </c>
      <c r="F149" s="28" t="str">
        <f t="shared" si="20"/>
        <v/>
      </c>
      <c r="G149" s="4"/>
      <c r="H149" s="8"/>
      <c r="I149" s="50"/>
      <c r="J149" s="25"/>
      <c r="K149" s="26" t="str">
        <f t="shared" si="21"/>
        <v/>
      </c>
      <c r="L149" s="51"/>
      <c r="M149" s="51"/>
      <c r="N149" s="4"/>
      <c r="O149" s="4"/>
      <c r="P149" s="28" t="str">
        <f>IF(A149="","",SUMIFS('CARGAS DE COMBUSTIBLE'!$N$2:$N$301,'CARGAS DE COMBUSTIBLE'!$AA$2:$AA$301,A149))</f>
        <v/>
      </c>
      <c r="Q149" s="28" t="str">
        <f t="shared" si="22"/>
        <v/>
      </c>
      <c r="R149" s="56" t="str">
        <f t="shared" si="23"/>
        <v/>
      </c>
      <c r="S149" s="4"/>
    </row>
    <row r="150" spans="1:19" x14ac:dyDescent="0.25">
      <c r="A150" s="8" t="str">
        <f t="shared" si="16"/>
        <v/>
      </c>
      <c r="B150" s="9"/>
      <c r="C150" s="8" t="str">
        <f t="shared" si="17"/>
        <v/>
      </c>
      <c r="D150" s="10" t="str">
        <f t="shared" si="18"/>
        <v/>
      </c>
      <c r="E150" s="8" t="str">
        <f t="shared" si="19"/>
        <v/>
      </c>
      <c r="F150" s="28" t="str">
        <f t="shared" si="20"/>
        <v/>
      </c>
      <c r="G150" s="4"/>
      <c r="H150" s="8"/>
      <c r="I150" s="50"/>
      <c r="J150" s="25"/>
      <c r="K150" s="26" t="str">
        <f t="shared" si="21"/>
        <v/>
      </c>
      <c r="L150" s="51"/>
      <c r="M150" s="51"/>
      <c r="N150" s="4"/>
      <c r="O150" s="4"/>
      <c r="P150" s="28" t="str">
        <f>IF(A150="","",SUMIFS('CARGAS DE COMBUSTIBLE'!$N$2:$N$301,'CARGAS DE COMBUSTIBLE'!$AA$2:$AA$301,A150))</f>
        <v/>
      </c>
      <c r="Q150" s="28" t="str">
        <f t="shared" si="22"/>
        <v/>
      </c>
      <c r="R150" s="56" t="str">
        <f t="shared" si="23"/>
        <v/>
      </c>
      <c r="S150" s="4"/>
    </row>
    <row r="151" spans="1:19" x14ac:dyDescent="0.25">
      <c r="A151" s="8" t="str">
        <f t="shared" si="16"/>
        <v/>
      </c>
      <c r="B151" s="9"/>
      <c r="C151" s="8" t="str">
        <f t="shared" si="17"/>
        <v/>
      </c>
      <c r="D151" s="10" t="str">
        <f t="shared" si="18"/>
        <v/>
      </c>
      <c r="E151" s="8" t="str">
        <f t="shared" si="19"/>
        <v/>
      </c>
      <c r="F151" s="28" t="str">
        <f t="shared" si="20"/>
        <v/>
      </c>
      <c r="G151" s="4"/>
      <c r="H151" s="8"/>
      <c r="I151" s="50"/>
      <c r="J151" s="25"/>
      <c r="K151" s="26" t="str">
        <f t="shared" si="21"/>
        <v/>
      </c>
      <c r="L151" s="51"/>
      <c r="M151" s="51"/>
      <c r="N151" s="4"/>
      <c r="O151" s="4"/>
      <c r="P151" s="28" t="str">
        <f>IF(A151="","",SUMIFS('CARGAS DE COMBUSTIBLE'!$N$2:$N$301,'CARGAS DE COMBUSTIBLE'!$AA$2:$AA$301,A151))</f>
        <v/>
      </c>
      <c r="Q151" s="28" t="str">
        <f t="shared" si="22"/>
        <v/>
      </c>
      <c r="R151" s="56" t="str">
        <f t="shared" si="23"/>
        <v/>
      </c>
      <c r="S151" s="4"/>
    </row>
    <row r="152" spans="1:19" x14ac:dyDescent="0.25">
      <c r="A152" s="8" t="str">
        <f t="shared" si="16"/>
        <v/>
      </c>
      <c r="B152" s="9"/>
      <c r="C152" s="8" t="str">
        <f t="shared" si="17"/>
        <v/>
      </c>
      <c r="D152" s="10" t="str">
        <f t="shared" si="18"/>
        <v/>
      </c>
      <c r="E152" s="8" t="str">
        <f t="shared" si="19"/>
        <v/>
      </c>
      <c r="F152" s="28" t="str">
        <f t="shared" si="20"/>
        <v/>
      </c>
      <c r="G152" s="4"/>
      <c r="H152" s="8"/>
      <c r="I152" s="50"/>
      <c r="J152" s="25"/>
      <c r="K152" s="26" t="str">
        <f t="shared" si="21"/>
        <v/>
      </c>
      <c r="L152" s="51"/>
      <c r="M152" s="51"/>
      <c r="N152" s="4"/>
      <c r="O152" s="4"/>
      <c r="P152" s="28" t="str">
        <f>IF(A152="","",SUMIFS('CARGAS DE COMBUSTIBLE'!$N$2:$N$301,'CARGAS DE COMBUSTIBLE'!$AA$2:$AA$301,A152))</f>
        <v/>
      </c>
      <c r="Q152" s="28" t="str">
        <f t="shared" si="22"/>
        <v/>
      </c>
      <c r="R152" s="56" t="str">
        <f t="shared" si="23"/>
        <v/>
      </c>
      <c r="S152" s="4"/>
    </row>
    <row r="153" spans="1:19" x14ac:dyDescent="0.25">
      <c r="A153" s="8" t="str">
        <f t="shared" si="16"/>
        <v/>
      </c>
      <c r="B153" s="9"/>
      <c r="C153" s="8" t="str">
        <f t="shared" si="17"/>
        <v/>
      </c>
      <c r="D153" s="10" t="str">
        <f t="shared" si="18"/>
        <v/>
      </c>
      <c r="E153" s="8" t="str">
        <f t="shared" si="19"/>
        <v/>
      </c>
      <c r="F153" s="28" t="str">
        <f t="shared" si="20"/>
        <v/>
      </c>
      <c r="G153" s="4"/>
      <c r="H153" s="8"/>
      <c r="I153" s="50"/>
      <c r="J153" s="25"/>
      <c r="K153" s="26" t="str">
        <f t="shared" si="21"/>
        <v/>
      </c>
      <c r="L153" s="51"/>
      <c r="M153" s="51"/>
      <c r="N153" s="4"/>
      <c r="O153" s="4"/>
      <c r="P153" s="28" t="str">
        <f>IF(A153="","",SUMIFS('CARGAS DE COMBUSTIBLE'!$N$2:$N$301,'CARGAS DE COMBUSTIBLE'!$AA$2:$AA$301,A153))</f>
        <v/>
      </c>
      <c r="Q153" s="28" t="str">
        <f t="shared" si="22"/>
        <v/>
      </c>
      <c r="R153" s="56" t="str">
        <f t="shared" si="23"/>
        <v/>
      </c>
      <c r="S153" s="4"/>
    </row>
    <row r="154" spans="1:19" x14ac:dyDescent="0.25">
      <c r="A154" s="8" t="str">
        <f t="shared" si="16"/>
        <v/>
      </c>
      <c r="B154" s="9"/>
      <c r="C154" s="8" t="str">
        <f t="shared" si="17"/>
        <v/>
      </c>
      <c r="D154" s="10" t="str">
        <f t="shared" si="18"/>
        <v/>
      </c>
      <c r="E154" s="8" t="str">
        <f t="shared" si="19"/>
        <v/>
      </c>
      <c r="F154" s="28" t="str">
        <f t="shared" si="20"/>
        <v/>
      </c>
      <c r="G154" s="4"/>
      <c r="H154" s="8"/>
      <c r="I154" s="50"/>
      <c r="J154" s="25"/>
      <c r="K154" s="26" t="str">
        <f t="shared" si="21"/>
        <v/>
      </c>
      <c r="L154" s="51"/>
      <c r="M154" s="51"/>
      <c r="N154" s="4"/>
      <c r="O154" s="4"/>
      <c r="P154" s="28" t="str">
        <f>IF(A154="","",SUMIFS('CARGAS DE COMBUSTIBLE'!$N$2:$N$301,'CARGAS DE COMBUSTIBLE'!$AA$2:$AA$301,A154))</f>
        <v/>
      </c>
      <c r="Q154" s="28" t="str">
        <f t="shared" si="22"/>
        <v/>
      </c>
      <c r="R154" s="56" t="str">
        <f t="shared" si="23"/>
        <v/>
      </c>
      <c r="S154" s="4"/>
    </row>
    <row r="155" spans="1:19" x14ac:dyDescent="0.25">
      <c r="A155" s="8" t="str">
        <f t="shared" si="16"/>
        <v/>
      </c>
      <c r="B155" s="9"/>
      <c r="C155" s="8" t="str">
        <f t="shared" si="17"/>
        <v/>
      </c>
      <c r="D155" s="10" t="str">
        <f t="shared" si="18"/>
        <v/>
      </c>
      <c r="E155" s="8" t="str">
        <f t="shared" si="19"/>
        <v/>
      </c>
      <c r="F155" s="28" t="str">
        <f t="shared" si="20"/>
        <v/>
      </c>
      <c r="G155" s="4"/>
      <c r="H155" s="8"/>
      <c r="I155" s="50"/>
      <c r="J155" s="25"/>
      <c r="K155" s="26" t="str">
        <f t="shared" si="21"/>
        <v/>
      </c>
      <c r="L155" s="51"/>
      <c r="M155" s="51"/>
      <c r="N155" s="4"/>
      <c r="O155" s="4"/>
      <c r="P155" s="28" t="str">
        <f>IF(A155="","",SUMIFS('CARGAS DE COMBUSTIBLE'!$N$2:$N$301,'CARGAS DE COMBUSTIBLE'!$AA$2:$AA$301,A155))</f>
        <v/>
      </c>
      <c r="Q155" s="28" t="str">
        <f t="shared" si="22"/>
        <v/>
      </c>
      <c r="R155" s="56" t="str">
        <f t="shared" si="23"/>
        <v/>
      </c>
      <c r="S155" s="4"/>
    </row>
    <row r="156" spans="1:19" x14ac:dyDescent="0.25">
      <c r="A156" s="8" t="str">
        <f t="shared" si="16"/>
        <v/>
      </c>
      <c r="B156" s="9"/>
      <c r="C156" s="8" t="str">
        <f t="shared" si="17"/>
        <v/>
      </c>
      <c r="D156" s="10" t="str">
        <f t="shared" si="18"/>
        <v/>
      </c>
      <c r="E156" s="8" t="str">
        <f t="shared" si="19"/>
        <v/>
      </c>
      <c r="F156" s="28" t="str">
        <f t="shared" si="20"/>
        <v/>
      </c>
      <c r="G156" s="4"/>
      <c r="H156" s="8"/>
      <c r="I156" s="50"/>
      <c r="J156" s="25"/>
      <c r="K156" s="26" t="str">
        <f t="shared" si="21"/>
        <v/>
      </c>
      <c r="L156" s="51"/>
      <c r="M156" s="51"/>
      <c r="N156" s="4"/>
      <c r="O156" s="4"/>
      <c r="P156" s="28" t="str">
        <f>IF(A156="","",SUMIFS('CARGAS DE COMBUSTIBLE'!$N$2:$N$301,'CARGAS DE COMBUSTIBLE'!$AA$2:$AA$301,A156))</f>
        <v/>
      </c>
      <c r="Q156" s="28" t="str">
        <f t="shared" si="22"/>
        <v/>
      </c>
      <c r="R156" s="56" t="str">
        <f t="shared" si="23"/>
        <v/>
      </c>
      <c r="S156" s="4"/>
    </row>
    <row r="157" spans="1:19" x14ac:dyDescent="0.25">
      <c r="A157" s="8" t="str">
        <f t="shared" si="16"/>
        <v/>
      </c>
      <c r="B157" s="9"/>
      <c r="C157" s="8" t="str">
        <f t="shared" si="17"/>
        <v/>
      </c>
      <c r="D157" s="10" t="str">
        <f t="shared" si="18"/>
        <v/>
      </c>
      <c r="E157" s="8" t="str">
        <f t="shared" si="19"/>
        <v/>
      </c>
      <c r="F157" s="28" t="str">
        <f t="shared" si="20"/>
        <v/>
      </c>
      <c r="G157" s="4"/>
      <c r="H157" s="8"/>
      <c r="I157" s="50"/>
      <c r="J157" s="25"/>
      <c r="K157" s="26" t="str">
        <f t="shared" si="21"/>
        <v/>
      </c>
      <c r="L157" s="51"/>
      <c r="M157" s="51"/>
      <c r="N157" s="4"/>
      <c r="O157" s="4"/>
      <c r="P157" s="28" t="str">
        <f>IF(A157="","",SUMIFS('CARGAS DE COMBUSTIBLE'!$N$2:$N$301,'CARGAS DE COMBUSTIBLE'!$AA$2:$AA$301,A157))</f>
        <v/>
      </c>
      <c r="Q157" s="28" t="str">
        <f t="shared" si="22"/>
        <v/>
      </c>
      <c r="R157" s="56" t="str">
        <f t="shared" si="23"/>
        <v/>
      </c>
      <c r="S157" s="4"/>
    </row>
    <row r="158" spans="1:19" x14ac:dyDescent="0.25">
      <c r="A158" s="8" t="str">
        <f t="shared" si="16"/>
        <v/>
      </c>
      <c r="B158" s="9"/>
      <c r="C158" s="8" t="str">
        <f t="shared" si="17"/>
        <v/>
      </c>
      <c r="D158" s="10" t="str">
        <f t="shared" si="18"/>
        <v/>
      </c>
      <c r="E158" s="8" t="str">
        <f t="shared" si="19"/>
        <v/>
      </c>
      <c r="F158" s="28" t="str">
        <f t="shared" si="20"/>
        <v/>
      </c>
      <c r="G158" s="4"/>
      <c r="H158" s="8"/>
      <c r="I158" s="50"/>
      <c r="J158" s="25"/>
      <c r="K158" s="26" t="str">
        <f t="shared" si="21"/>
        <v/>
      </c>
      <c r="L158" s="51"/>
      <c r="M158" s="51"/>
      <c r="N158" s="4"/>
      <c r="O158" s="4"/>
      <c r="P158" s="28" t="str">
        <f>IF(A158="","",SUMIFS('CARGAS DE COMBUSTIBLE'!$N$2:$N$301,'CARGAS DE COMBUSTIBLE'!$AA$2:$AA$301,A158))</f>
        <v/>
      </c>
      <c r="Q158" s="28" t="str">
        <f t="shared" si="22"/>
        <v/>
      </c>
      <c r="R158" s="56" t="str">
        <f t="shared" si="23"/>
        <v/>
      </c>
      <c r="S158" s="4"/>
    </row>
    <row r="159" spans="1:19" x14ac:dyDescent="0.25">
      <c r="A159" s="8" t="str">
        <f t="shared" si="16"/>
        <v/>
      </c>
      <c r="B159" s="9"/>
      <c r="C159" s="8" t="str">
        <f t="shared" si="17"/>
        <v/>
      </c>
      <c r="D159" s="10" t="str">
        <f t="shared" si="18"/>
        <v/>
      </c>
      <c r="E159" s="8" t="str">
        <f t="shared" si="19"/>
        <v/>
      </c>
      <c r="F159" s="28" t="str">
        <f t="shared" si="20"/>
        <v/>
      </c>
      <c r="G159" s="4"/>
      <c r="H159" s="8"/>
      <c r="I159" s="50"/>
      <c r="J159" s="25"/>
      <c r="K159" s="26" t="str">
        <f t="shared" si="21"/>
        <v/>
      </c>
      <c r="L159" s="51"/>
      <c r="M159" s="51"/>
      <c r="N159" s="4"/>
      <c r="O159" s="4"/>
      <c r="P159" s="28" t="str">
        <f>IF(A159="","",SUMIFS('CARGAS DE COMBUSTIBLE'!$N$2:$N$301,'CARGAS DE COMBUSTIBLE'!$AA$2:$AA$301,A159))</f>
        <v/>
      </c>
      <c r="Q159" s="28" t="str">
        <f t="shared" si="22"/>
        <v/>
      </c>
      <c r="R159" s="56" t="str">
        <f t="shared" si="23"/>
        <v/>
      </c>
      <c r="S159" s="4"/>
    </row>
    <row r="160" spans="1:19" x14ac:dyDescent="0.25">
      <c r="A160" s="8" t="str">
        <f t="shared" si="16"/>
        <v/>
      </c>
      <c r="B160" s="9"/>
      <c r="C160" s="8" t="str">
        <f t="shared" si="17"/>
        <v/>
      </c>
      <c r="D160" s="10" t="str">
        <f t="shared" si="18"/>
        <v/>
      </c>
      <c r="E160" s="8" t="str">
        <f t="shared" si="19"/>
        <v/>
      </c>
      <c r="F160" s="28" t="str">
        <f t="shared" si="20"/>
        <v/>
      </c>
      <c r="G160" s="4"/>
      <c r="H160" s="8"/>
      <c r="I160" s="50"/>
      <c r="J160" s="25"/>
      <c r="K160" s="26" t="str">
        <f t="shared" si="21"/>
        <v/>
      </c>
      <c r="L160" s="51"/>
      <c r="M160" s="51"/>
      <c r="N160" s="4"/>
      <c r="O160" s="4"/>
      <c r="P160" s="28" t="str">
        <f>IF(A160="","",SUMIFS('CARGAS DE COMBUSTIBLE'!$N$2:$N$301,'CARGAS DE COMBUSTIBLE'!$AA$2:$AA$301,A160))</f>
        <v/>
      </c>
      <c r="Q160" s="28" t="str">
        <f t="shared" si="22"/>
        <v/>
      </c>
      <c r="R160" s="56" t="str">
        <f t="shared" si="23"/>
        <v/>
      </c>
      <c r="S160" s="4"/>
    </row>
    <row r="161" spans="1:19" x14ac:dyDescent="0.25">
      <c r="A161" s="8" t="str">
        <f t="shared" si="16"/>
        <v/>
      </c>
      <c r="B161" s="9"/>
      <c r="C161" s="8" t="str">
        <f t="shared" si="17"/>
        <v/>
      </c>
      <c r="D161" s="10" t="str">
        <f t="shared" si="18"/>
        <v/>
      </c>
      <c r="E161" s="8" t="str">
        <f t="shared" si="19"/>
        <v/>
      </c>
      <c r="F161" s="28" t="str">
        <f t="shared" si="20"/>
        <v/>
      </c>
      <c r="G161" s="4"/>
      <c r="H161" s="8"/>
      <c r="I161" s="50"/>
      <c r="J161" s="25"/>
      <c r="K161" s="26" t="str">
        <f t="shared" si="21"/>
        <v/>
      </c>
      <c r="L161" s="51"/>
      <c r="M161" s="51"/>
      <c r="N161" s="4"/>
      <c r="O161" s="4"/>
      <c r="P161" s="28" t="str">
        <f>IF(A161="","",SUMIFS('CARGAS DE COMBUSTIBLE'!$N$2:$N$301,'CARGAS DE COMBUSTIBLE'!$AA$2:$AA$301,A161))</f>
        <v/>
      </c>
      <c r="Q161" s="28" t="str">
        <f t="shared" si="22"/>
        <v/>
      </c>
      <c r="R161" s="56" t="str">
        <f t="shared" si="23"/>
        <v/>
      </c>
      <c r="S161" s="4"/>
    </row>
    <row r="162" spans="1:19" x14ac:dyDescent="0.25">
      <c r="A162" s="8" t="str">
        <f t="shared" si="16"/>
        <v/>
      </c>
      <c r="B162" s="9"/>
      <c r="C162" s="8" t="str">
        <f t="shared" si="17"/>
        <v/>
      </c>
      <c r="D162" s="10" t="str">
        <f t="shared" si="18"/>
        <v/>
      </c>
      <c r="E162" s="8" t="str">
        <f t="shared" si="19"/>
        <v/>
      </c>
      <c r="F162" s="28" t="str">
        <f t="shared" si="20"/>
        <v/>
      </c>
      <c r="G162" s="4"/>
      <c r="H162" s="8"/>
      <c r="I162" s="50"/>
      <c r="J162" s="25"/>
      <c r="K162" s="26" t="str">
        <f t="shared" si="21"/>
        <v/>
      </c>
      <c r="L162" s="51"/>
      <c r="M162" s="51"/>
      <c r="N162" s="4"/>
      <c r="O162" s="4"/>
      <c r="P162" s="28" t="str">
        <f>IF(A162="","",SUMIFS('CARGAS DE COMBUSTIBLE'!$N$2:$N$301,'CARGAS DE COMBUSTIBLE'!$AA$2:$AA$301,A162))</f>
        <v/>
      </c>
      <c r="Q162" s="28" t="str">
        <f t="shared" si="22"/>
        <v/>
      </c>
      <c r="R162" s="56" t="str">
        <f t="shared" si="23"/>
        <v/>
      </c>
      <c r="S162" s="4"/>
    </row>
    <row r="163" spans="1:19" x14ac:dyDescent="0.25">
      <c r="A163" s="8" t="str">
        <f t="shared" si="16"/>
        <v/>
      </c>
      <c r="B163" s="9"/>
      <c r="C163" s="8" t="str">
        <f t="shared" si="17"/>
        <v/>
      </c>
      <c r="D163" s="10" t="str">
        <f t="shared" si="18"/>
        <v/>
      </c>
      <c r="E163" s="8" t="str">
        <f t="shared" si="19"/>
        <v/>
      </c>
      <c r="F163" s="28" t="str">
        <f t="shared" si="20"/>
        <v/>
      </c>
      <c r="G163" s="4"/>
      <c r="H163" s="8"/>
      <c r="I163" s="50"/>
      <c r="J163" s="25"/>
      <c r="K163" s="26" t="str">
        <f t="shared" si="21"/>
        <v/>
      </c>
      <c r="L163" s="51"/>
      <c r="M163" s="51"/>
      <c r="N163" s="4"/>
      <c r="O163" s="4"/>
      <c r="P163" s="28" t="str">
        <f>IF(A163="","",SUMIFS('CARGAS DE COMBUSTIBLE'!$N$2:$N$301,'CARGAS DE COMBUSTIBLE'!$AA$2:$AA$301,A163))</f>
        <v/>
      </c>
      <c r="Q163" s="28" t="str">
        <f t="shared" si="22"/>
        <v/>
      </c>
      <c r="R163" s="56" t="str">
        <f t="shared" si="23"/>
        <v/>
      </c>
      <c r="S163" s="4"/>
    </row>
    <row r="164" spans="1:19" x14ac:dyDescent="0.25">
      <c r="A164" s="8" t="str">
        <f t="shared" si="16"/>
        <v/>
      </c>
      <c r="B164" s="9"/>
      <c r="C164" s="8" t="str">
        <f t="shared" si="17"/>
        <v/>
      </c>
      <c r="D164" s="10" t="str">
        <f t="shared" si="18"/>
        <v/>
      </c>
      <c r="E164" s="8" t="str">
        <f t="shared" si="19"/>
        <v/>
      </c>
      <c r="F164" s="28" t="str">
        <f t="shared" si="20"/>
        <v/>
      </c>
      <c r="G164" s="4"/>
      <c r="H164" s="8"/>
      <c r="I164" s="50"/>
      <c r="J164" s="25"/>
      <c r="K164" s="26" t="str">
        <f t="shared" si="21"/>
        <v/>
      </c>
      <c r="L164" s="51"/>
      <c r="M164" s="51"/>
      <c r="N164" s="4"/>
      <c r="O164" s="4"/>
      <c r="P164" s="28" t="str">
        <f>IF(A164="","",SUMIFS('CARGAS DE COMBUSTIBLE'!$N$2:$N$301,'CARGAS DE COMBUSTIBLE'!$AA$2:$AA$301,A164))</f>
        <v/>
      </c>
      <c r="Q164" s="28" t="str">
        <f t="shared" si="22"/>
        <v/>
      </c>
      <c r="R164" s="56" t="str">
        <f t="shared" si="23"/>
        <v/>
      </c>
      <c r="S164" s="4"/>
    </row>
    <row r="165" spans="1:19" x14ac:dyDescent="0.25">
      <c r="A165" s="8" t="str">
        <f t="shared" si="16"/>
        <v/>
      </c>
      <c r="B165" s="9"/>
      <c r="C165" s="8" t="str">
        <f t="shared" si="17"/>
        <v/>
      </c>
      <c r="D165" s="10" t="str">
        <f t="shared" si="18"/>
        <v/>
      </c>
      <c r="E165" s="8" t="str">
        <f t="shared" si="19"/>
        <v/>
      </c>
      <c r="F165" s="28" t="str">
        <f t="shared" si="20"/>
        <v/>
      </c>
      <c r="G165" s="4"/>
      <c r="H165" s="8"/>
      <c r="I165" s="50"/>
      <c r="J165" s="25"/>
      <c r="K165" s="26" t="str">
        <f t="shared" si="21"/>
        <v/>
      </c>
      <c r="L165" s="51"/>
      <c r="M165" s="51"/>
      <c r="N165" s="4"/>
      <c r="O165" s="4"/>
      <c r="P165" s="28" t="str">
        <f>IF(A165="","",SUMIFS('CARGAS DE COMBUSTIBLE'!$N$2:$N$301,'CARGAS DE COMBUSTIBLE'!$AA$2:$AA$301,A165))</f>
        <v/>
      </c>
      <c r="Q165" s="28" t="str">
        <f t="shared" si="22"/>
        <v/>
      </c>
      <c r="R165" s="56" t="str">
        <f t="shared" si="23"/>
        <v/>
      </c>
      <c r="S165" s="4"/>
    </row>
    <row r="166" spans="1:19" x14ac:dyDescent="0.25">
      <c r="A166" s="8" t="str">
        <f t="shared" si="16"/>
        <v/>
      </c>
      <c r="B166" s="9"/>
      <c r="C166" s="8" t="str">
        <f t="shared" si="17"/>
        <v/>
      </c>
      <c r="D166" s="10" t="str">
        <f t="shared" si="18"/>
        <v/>
      </c>
      <c r="E166" s="8" t="str">
        <f t="shared" si="19"/>
        <v/>
      </c>
      <c r="F166" s="28" t="str">
        <f t="shared" si="20"/>
        <v/>
      </c>
      <c r="G166" s="4"/>
      <c r="H166" s="8"/>
      <c r="I166" s="50"/>
      <c r="J166" s="25"/>
      <c r="K166" s="26" t="str">
        <f t="shared" si="21"/>
        <v/>
      </c>
      <c r="L166" s="51"/>
      <c r="M166" s="51"/>
      <c r="N166" s="4"/>
      <c r="O166" s="4"/>
      <c r="P166" s="28" t="str">
        <f>IF(A166="","",SUMIFS('CARGAS DE COMBUSTIBLE'!$N$2:$N$301,'CARGAS DE COMBUSTIBLE'!$AA$2:$AA$301,A166))</f>
        <v/>
      </c>
      <c r="Q166" s="28" t="str">
        <f t="shared" si="22"/>
        <v/>
      </c>
      <c r="R166" s="56" t="str">
        <f t="shared" si="23"/>
        <v/>
      </c>
      <c r="S166" s="4"/>
    </row>
    <row r="167" spans="1:19" x14ac:dyDescent="0.25">
      <c r="A167" s="8" t="str">
        <f t="shared" si="16"/>
        <v/>
      </c>
      <c r="B167" s="9"/>
      <c r="C167" s="8" t="str">
        <f t="shared" si="17"/>
        <v/>
      </c>
      <c r="D167" s="10" t="str">
        <f t="shared" si="18"/>
        <v/>
      </c>
      <c r="E167" s="8" t="str">
        <f t="shared" si="19"/>
        <v/>
      </c>
      <c r="F167" s="28" t="str">
        <f t="shared" si="20"/>
        <v/>
      </c>
      <c r="G167" s="4"/>
      <c r="H167" s="8"/>
      <c r="I167" s="50"/>
      <c r="J167" s="25"/>
      <c r="K167" s="26" t="str">
        <f t="shared" si="21"/>
        <v/>
      </c>
      <c r="L167" s="51"/>
      <c r="M167" s="51"/>
      <c r="N167" s="4"/>
      <c r="O167" s="4"/>
      <c r="P167" s="28" t="str">
        <f>IF(A167="","",SUMIFS('CARGAS DE COMBUSTIBLE'!$N$2:$N$301,'CARGAS DE COMBUSTIBLE'!$AA$2:$AA$301,A167))</f>
        <v/>
      </c>
      <c r="Q167" s="28" t="str">
        <f t="shared" si="22"/>
        <v/>
      </c>
      <c r="R167" s="56" t="str">
        <f t="shared" si="23"/>
        <v/>
      </c>
      <c r="S167" s="4"/>
    </row>
    <row r="168" spans="1:19" x14ac:dyDescent="0.25">
      <c r="A168" s="8" t="str">
        <f t="shared" si="16"/>
        <v/>
      </c>
      <c r="B168" s="9"/>
      <c r="C168" s="8" t="str">
        <f t="shared" si="17"/>
        <v/>
      </c>
      <c r="D168" s="10" t="str">
        <f t="shared" si="18"/>
        <v/>
      </c>
      <c r="E168" s="8" t="str">
        <f t="shared" si="19"/>
        <v/>
      </c>
      <c r="F168" s="28" t="str">
        <f t="shared" si="20"/>
        <v/>
      </c>
      <c r="G168" s="4"/>
      <c r="H168" s="8"/>
      <c r="I168" s="50"/>
      <c r="J168" s="25"/>
      <c r="K168" s="26" t="str">
        <f t="shared" si="21"/>
        <v/>
      </c>
      <c r="L168" s="51"/>
      <c r="M168" s="51"/>
      <c r="N168" s="4"/>
      <c r="O168" s="4"/>
      <c r="P168" s="28" t="str">
        <f>IF(A168="","",SUMIFS('CARGAS DE COMBUSTIBLE'!$N$2:$N$301,'CARGAS DE COMBUSTIBLE'!$AA$2:$AA$301,A168))</f>
        <v/>
      </c>
      <c r="Q168" s="28" t="str">
        <f t="shared" si="22"/>
        <v/>
      </c>
      <c r="R168" s="56" t="str">
        <f t="shared" si="23"/>
        <v/>
      </c>
      <c r="S168" s="4"/>
    </row>
    <row r="169" spans="1:19" x14ac:dyDescent="0.25">
      <c r="A169" s="8" t="str">
        <f t="shared" si="16"/>
        <v/>
      </c>
      <c r="B169" s="9"/>
      <c r="C169" s="8" t="str">
        <f t="shared" si="17"/>
        <v/>
      </c>
      <c r="D169" s="10" t="str">
        <f t="shared" si="18"/>
        <v/>
      </c>
      <c r="E169" s="8" t="str">
        <f t="shared" si="19"/>
        <v/>
      </c>
      <c r="F169" s="28" t="str">
        <f t="shared" si="20"/>
        <v/>
      </c>
      <c r="G169" s="4"/>
      <c r="H169" s="8"/>
      <c r="I169" s="50"/>
      <c r="J169" s="25"/>
      <c r="K169" s="26" t="str">
        <f t="shared" si="21"/>
        <v/>
      </c>
      <c r="L169" s="51"/>
      <c r="M169" s="51"/>
      <c r="N169" s="4"/>
      <c r="O169" s="4"/>
      <c r="P169" s="28" t="str">
        <f>IF(A169="","",SUMIFS('CARGAS DE COMBUSTIBLE'!$N$2:$N$301,'CARGAS DE COMBUSTIBLE'!$AA$2:$AA$301,A169))</f>
        <v/>
      </c>
      <c r="Q169" s="28" t="str">
        <f t="shared" si="22"/>
        <v/>
      </c>
      <c r="R169" s="56" t="str">
        <f t="shared" si="23"/>
        <v/>
      </c>
      <c r="S169" s="4"/>
    </row>
    <row r="170" spans="1:19" x14ac:dyDescent="0.25">
      <c r="A170" s="8" t="str">
        <f t="shared" si="16"/>
        <v/>
      </c>
      <c r="B170" s="9"/>
      <c r="C170" s="8" t="str">
        <f t="shared" si="17"/>
        <v/>
      </c>
      <c r="D170" s="10" t="str">
        <f t="shared" si="18"/>
        <v/>
      </c>
      <c r="E170" s="8" t="str">
        <f t="shared" si="19"/>
        <v/>
      </c>
      <c r="F170" s="28" t="str">
        <f t="shared" si="20"/>
        <v/>
      </c>
      <c r="G170" s="4"/>
      <c r="H170" s="8"/>
      <c r="I170" s="50"/>
      <c r="J170" s="25"/>
      <c r="K170" s="26" t="str">
        <f t="shared" si="21"/>
        <v/>
      </c>
      <c r="L170" s="51"/>
      <c r="M170" s="51"/>
      <c r="N170" s="4"/>
      <c r="O170" s="4"/>
      <c r="P170" s="28" t="str">
        <f>IF(A170="","",SUMIFS('CARGAS DE COMBUSTIBLE'!$N$2:$N$301,'CARGAS DE COMBUSTIBLE'!$AA$2:$AA$301,A170))</f>
        <v/>
      </c>
      <c r="Q170" s="28" t="str">
        <f t="shared" si="22"/>
        <v/>
      </c>
      <c r="R170" s="56" t="str">
        <f t="shared" si="23"/>
        <v/>
      </c>
      <c r="S170" s="4"/>
    </row>
    <row r="171" spans="1:19" x14ac:dyDescent="0.25">
      <c r="A171" s="8" t="str">
        <f t="shared" si="16"/>
        <v/>
      </c>
      <c r="B171" s="9"/>
      <c r="C171" s="8" t="str">
        <f t="shared" si="17"/>
        <v/>
      </c>
      <c r="D171" s="10" t="str">
        <f t="shared" si="18"/>
        <v/>
      </c>
      <c r="E171" s="8" t="str">
        <f t="shared" si="19"/>
        <v/>
      </c>
      <c r="F171" s="28" t="str">
        <f t="shared" si="20"/>
        <v/>
      </c>
      <c r="G171" s="4"/>
      <c r="H171" s="8"/>
      <c r="I171" s="50"/>
      <c r="J171" s="25"/>
      <c r="K171" s="26" t="str">
        <f t="shared" si="21"/>
        <v/>
      </c>
      <c r="L171" s="51"/>
      <c r="M171" s="51"/>
      <c r="N171" s="4"/>
      <c r="O171" s="4"/>
      <c r="P171" s="28" t="str">
        <f>IF(A171="","",SUMIFS('CARGAS DE COMBUSTIBLE'!$N$2:$N$301,'CARGAS DE COMBUSTIBLE'!$AA$2:$AA$301,A171))</f>
        <v/>
      </c>
      <c r="Q171" s="28" t="str">
        <f t="shared" si="22"/>
        <v/>
      </c>
      <c r="R171" s="56" t="str">
        <f t="shared" si="23"/>
        <v/>
      </c>
      <c r="S171" s="4"/>
    </row>
    <row r="172" spans="1:19" x14ac:dyDescent="0.25">
      <c r="A172" s="8" t="str">
        <f t="shared" si="16"/>
        <v/>
      </c>
      <c r="B172" s="9"/>
      <c r="C172" s="8" t="str">
        <f t="shared" si="17"/>
        <v/>
      </c>
      <c r="D172" s="10" t="str">
        <f t="shared" si="18"/>
        <v/>
      </c>
      <c r="E172" s="8" t="str">
        <f t="shared" si="19"/>
        <v/>
      </c>
      <c r="F172" s="28" t="str">
        <f t="shared" si="20"/>
        <v/>
      </c>
      <c r="G172" s="4"/>
      <c r="H172" s="8"/>
      <c r="I172" s="50"/>
      <c r="J172" s="25"/>
      <c r="K172" s="26" t="str">
        <f t="shared" si="21"/>
        <v/>
      </c>
      <c r="L172" s="51"/>
      <c r="M172" s="51"/>
      <c r="N172" s="4"/>
      <c r="O172" s="4"/>
      <c r="P172" s="28" t="str">
        <f>IF(A172="","",SUMIFS('CARGAS DE COMBUSTIBLE'!$N$2:$N$301,'CARGAS DE COMBUSTIBLE'!$AA$2:$AA$301,A172))</f>
        <v/>
      </c>
      <c r="Q172" s="28" t="str">
        <f t="shared" si="22"/>
        <v/>
      </c>
      <c r="R172" s="56" t="str">
        <f t="shared" si="23"/>
        <v/>
      </c>
      <c r="S172" s="4"/>
    </row>
    <row r="173" spans="1:19" x14ac:dyDescent="0.25">
      <c r="A173" s="8" t="str">
        <f t="shared" si="16"/>
        <v/>
      </c>
      <c r="B173" s="9"/>
      <c r="C173" s="8" t="str">
        <f t="shared" si="17"/>
        <v/>
      </c>
      <c r="D173" s="10" t="str">
        <f t="shared" si="18"/>
        <v/>
      </c>
      <c r="E173" s="8" t="str">
        <f t="shared" si="19"/>
        <v/>
      </c>
      <c r="F173" s="28" t="str">
        <f t="shared" si="20"/>
        <v/>
      </c>
      <c r="G173" s="4"/>
      <c r="H173" s="8"/>
      <c r="I173" s="50"/>
      <c r="J173" s="25"/>
      <c r="K173" s="26" t="str">
        <f t="shared" si="21"/>
        <v/>
      </c>
      <c r="L173" s="51"/>
      <c r="M173" s="51"/>
      <c r="N173" s="4"/>
      <c r="O173" s="4"/>
      <c r="P173" s="28" t="str">
        <f>IF(A173="","",SUMIFS('CARGAS DE COMBUSTIBLE'!$N$2:$N$301,'CARGAS DE COMBUSTIBLE'!$AA$2:$AA$301,A173))</f>
        <v/>
      </c>
      <c r="Q173" s="28" t="str">
        <f t="shared" si="22"/>
        <v/>
      </c>
      <c r="R173" s="56" t="str">
        <f t="shared" si="23"/>
        <v/>
      </c>
      <c r="S173" s="4"/>
    </row>
    <row r="174" spans="1:19" x14ac:dyDescent="0.25">
      <c r="A174" s="8" t="str">
        <f t="shared" si="16"/>
        <v/>
      </c>
      <c r="B174" s="9"/>
      <c r="C174" s="8" t="str">
        <f t="shared" si="17"/>
        <v/>
      </c>
      <c r="D174" s="10" t="str">
        <f t="shared" si="18"/>
        <v/>
      </c>
      <c r="E174" s="8" t="str">
        <f t="shared" si="19"/>
        <v/>
      </c>
      <c r="F174" s="28" t="str">
        <f t="shared" si="20"/>
        <v/>
      </c>
      <c r="G174" s="4"/>
      <c r="H174" s="8"/>
      <c r="I174" s="50"/>
      <c r="J174" s="25"/>
      <c r="K174" s="26" t="str">
        <f t="shared" si="21"/>
        <v/>
      </c>
      <c r="L174" s="51"/>
      <c r="M174" s="51"/>
      <c r="N174" s="4"/>
      <c r="O174" s="4"/>
      <c r="P174" s="28" t="str">
        <f>IF(A174="","",SUMIFS('CARGAS DE COMBUSTIBLE'!$N$2:$N$301,'CARGAS DE COMBUSTIBLE'!$AA$2:$AA$301,A174))</f>
        <v/>
      </c>
      <c r="Q174" s="28" t="str">
        <f t="shared" si="22"/>
        <v/>
      </c>
      <c r="R174" s="56" t="str">
        <f t="shared" si="23"/>
        <v/>
      </c>
      <c r="S174" s="4"/>
    </row>
    <row r="175" spans="1:19" x14ac:dyDescent="0.25">
      <c r="A175" s="8" t="str">
        <f t="shared" si="16"/>
        <v/>
      </c>
      <c r="B175" s="9"/>
      <c r="C175" s="8" t="str">
        <f t="shared" si="17"/>
        <v/>
      </c>
      <c r="D175" s="10" t="str">
        <f t="shared" si="18"/>
        <v/>
      </c>
      <c r="E175" s="8" t="str">
        <f t="shared" si="19"/>
        <v/>
      </c>
      <c r="F175" s="28" t="str">
        <f t="shared" si="20"/>
        <v/>
      </c>
      <c r="G175" s="4"/>
      <c r="H175" s="8"/>
      <c r="I175" s="50"/>
      <c r="J175" s="25"/>
      <c r="K175" s="26" t="str">
        <f t="shared" si="21"/>
        <v/>
      </c>
      <c r="L175" s="51"/>
      <c r="M175" s="51"/>
      <c r="N175" s="4"/>
      <c r="O175" s="4"/>
      <c r="P175" s="28" t="str">
        <f>IF(A175="","",SUMIFS('CARGAS DE COMBUSTIBLE'!$N$2:$N$301,'CARGAS DE COMBUSTIBLE'!$AA$2:$AA$301,A175))</f>
        <v/>
      </c>
      <c r="Q175" s="28" t="str">
        <f t="shared" si="22"/>
        <v/>
      </c>
      <c r="R175" s="56" t="str">
        <f t="shared" si="23"/>
        <v/>
      </c>
      <c r="S175" s="4"/>
    </row>
    <row r="176" spans="1:19" x14ac:dyDescent="0.25">
      <c r="A176" s="8" t="str">
        <f t="shared" si="16"/>
        <v/>
      </c>
      <c r="B176" s="9"/>
      <c r="C176" s="8" t="str">
        <f t="shared" si="17"/>
        <v/>
      </c>
      <c r="D176" s="10" t="str">
        <f t="shared" si="18"/>
        <v/>
      </c>
      <c r="E176" s="8" t="str">
        <f t="shared" si="19"/>
        <v/>
      </c>
      <c r="F176" s="28" t="str">
        <f t="shared" si="20"/>
        <v/>
      </c>
      <c r="G176" s="4"/>
      <c r="H176" s="8"/>
      <c r="I176" s="50"/>
      <c r="J176" s="25"/>
      <c r="K176" s="26" t="str">
        <f t="shared" si="21"/>
        <v/>
      </c>
      <c r="L176" s="51"/>
      <c r="M176" s="51"/>
      <c r="N176" s="4"/>
      <c r="O176" s="4"/>
      <c r="P176" s="28" t="str">
        <f>IF(A176="","",SUMIFS('CARGAS DE COMBUSTIBLE'!$N$2:$N$301,'CARGAS DE COMBUSTIBLE'!$AA$2:$AA$301,A176))</f>
        <v/>
      </c>
      <c r="Q176" s="28" t="str">
        <f t="shared" si="22"/>
        <v/>
      </c>
      <c r="R176" s="56" t="str">
        <f t="shared" si="23"/>
        <v/>
      </c>
      <c r="S176" s="4"/>
    </row>
    <row r="177" spans="1:19" x14ac:dyDescent="0.25">
      <c r="A177" s="8" t="str">
        <f t="shared" si="16"/>
        <v/>
      </c>
      <c r="B177" s="9"/>
      <c r="C177" s="8" t="str">
        <f t="shared" si="17"/>
        <v/>
      </c>
      <c r="D177" s="10" t="str">
        <f t="shared" si="18"/>
        <v/>
      </c>
      <c r="E177" s="8" t="str">
        <f t="shared" si="19"/>
        <v/>
      </c>
      <c r="F177" s="28" t="str">
        <f t="shared" si="20"/>
        <v/>
      </c>
      <c r="G177" s="4"/>
      <c r="H177" s="8"/>
      <c r="I177" s="50"/>
      <c r="J177" s="25"/>
      <c r="K177" s="26" t="str">
        <f t="shared" si="21"/>
        <v/>
      </c>
      <c r="L177" s="51"/>
      <c r="M177" s="51"/>
      <c r="N177" s="4"/>
      <c r="O177" s="4"/>
      <c r="P177" s="28" t="str">
        <f>IF(A177="","",SUMIFS('CARGAS DE COMBUSTIBLE'!$N$2:$N$301,'CARGAS DE COMBUSTIBLE'!$AA$2:$AA$301,A177))</f>
        <v/>
      </c>
      <c r="Q177" s="28" t="str">
        <f t="shared" si="22"/>
        <v/>
      </c>
      <c r="R177" s="56" t="str">
        <f t="shared" si="23"/>
        <v/>
      </c>
      <c r="S177" s="4"/>
    </row>
    <row r="178" spans="1:19" x14ac:dyDescent="0.25">
      <c r="A178" s="8" t="str">
        <f t="shared" si="16"/>
        <v/>
      </c>
      <c r="B178" s="9"/>
      <c r="C178" s="8" t="str">
        <f t="shared" si="17"/>
        <v/>
      </c>
      <c r="D178" s="10" t="str">
        <f t="shared" si="18"/>
        <v/>
      </c>
      <c r="E178" s="8" t="str">
        <f t="shared" si="19"/>
        <v/>
      </c>
      <c r="F178" s="28" t="str">
        <f t="shared" si="20"/>
        <v/>
      </c>
      <c r="G178" s="4"/>
      <c r="H178" s="8"/>
      <c r="I178" s="50"/>
      <c r="J178" s="25"/>
      <c r="K178" s="26" t="str">
        <f t="shared" si="21"/>
        <v/>
      </c>
      <c r="L178" s="51"/>
      <c r="M178" s="51"/>
      <c r="N178" s="4"/>
      <c r="O178" s="4"/>
      <c r="P178" s="28" t="str">
        <f>IF(A178="","",SUMIFS('CARGAS DE COMBUSTIBLE'!$N$2:$N$301,'CARGAS DE COMBUSTIBLE'!$AA$2:$AA$301,A178))</f>
        <v/>
      </c>
      <c r="Q178" s="28" t="str">
        <f t="shared" si="22"/>
        <v/>
      </c>
      <c r="R178" s="56" t="str">
        <f t="shared" si="23"/>
        <v/>
      </c>
      <c r="S178" s="4"/>
    </row>
    <row r="179" spans="1:19" x14ac:dyDescent="0.25">
      <c r="A179" s="8" t="str">
        <f t="shared" si="16"/>
        <v/>
      </c>
      <c r="B179" s="9"/>
      <c r="C179" s="8" t="str">
        <f t="shared" si="17"/>
        <v/>
      </c>
      <c r="D179" s="10" t="str">
        <f t="shared" si="18"/>
        <v/>
      </c>
      <c r="E179" s="8" t="str">
        <f t="shared" si="19"/>
        <v/>
      </c>
      <c r="F179" s="28" t="str">
        <f t="shared" si="20"/>
        <v/>
      </c>
      <c r="G179" s="4"/>
      <c r="H179" s="8"/>
      <c r="I179" s="50"/>
      <c r="J179" s="25"/>
      <c r="K179" s="26" t="str">
        <f t="shared" si="21"/>
        <v/>
      </c>
      <c r="L179" s="51"/>
      <c r="M179" s="51"/>
      <c r="N179" s="4"/>
      <c r="O179" s="4"/>
      <c r="P179" s="28" t="str">
        <f>IF(A179="","",SUMIFS('CARGAS DE COMBUSTIBLE'!$N$2:$N$301,'CARGAS DE COMBUSTIBLE'!$AA$2:$AA$301,A179))</f>
        <v/>
      </c>
      <c r="Q179" s="28" t="str">
        <f t="shared" si="22"/>
        <v/>
      </c>
      <c r="R179" s="56" t="str">
        <f t="shared" si="23"/>
        <v/>
      </c>
      <c r="S179" s="4"/>
    </row>
    <row r="180" spans="1:19" x14ac:dyDescent="0.25">
      <c r="A180" s="8" t="str">
        <f t="shared" si="16"/>
        <v/>
      </c>
      <c r="B180" s="9"/>
      <c r="C180" s="8" t="str">
        <f t="shared" si="17"/>
        <v/>
      </c>
      <c r="D180" s="10" t="str">
        <f t="shared" si="18"/>
        <v/>
      </c>
      <c r="E180" s="8" t="str">
        <f t="shared" si="19"/>
        <v/>
      </c>
      <c r="F180" s="28" t="str">
        <f t="shared" si="20"/>
        <v/>
      </c>
      <c r="G180" s="4"/>
      <c r="H180" s="8"/>
      <c r="I180" s="50"/>
      <c r="J180" s="25"/>
      <c r="K180" s="26" t="str">
        <f t="shared" si="21"/>
        <v/>
      </c>
      <c r="L180" s="51"/>
      <c r="M180" s="51"/>
      <c r="N180" s="4"/>
      <c r="O180" s="4"/>
      <c r="P180" s="28" t="str">
        <f>IF(A180="","",SUMIFS('CARGAS DE COMBUSTIBLE'!$N$2:$N$301,'CARGAS DE COMBUSTIBLE'!$AA$2:$AA$301,A180))</f>
        <v/>
      </c>
      <c r="Q180" s="28" t="str">
        <f t="shared" si="22"/>
        <v/>
      </c>
      <c r="R180" s="56" t="str">
        <f t="shared" si="23"/>
        <v/>
      </c>
      <c r="S180" s="4"/>
    </row>
    <row r="181" spans="1:19" x14ac:dyDescent="0.25">
      <c r="A181" s="8" t="str">
        <f t="shared" si="16"/>
        <v/>
      </c>
      <c r="B181" s="9"/>
      <c r="C181" s="8" t="str">
        <f t="shared" si="17"/>
        <v/>
      </c>
      <c r="D181" s="10" t="str">
        <f t="shared" si="18"/>
        <v/>
      </c>
      <c r="E181" s="8" t="str">
        <f t="shared" si="19"/>
        <v/>
      </c>
      <c r="F181" s="28" t="str">
        <f t="shared" si="20"/>
        <v/>
      </c>
      <c r="G181" s="4"/>
      <c r="H181" s="8"/>
      <c r="I181" s="50"/>
      <c r="J181" s="25"/>
      <c r="K181" s="26" t="str">
        <f t="shared" si="21"/>
        <v/>
      </c>
      <c r="L181" s="51"/>
      <c r="M181" s="51"/>
      <c r="N181" s="4"/>
      <c r="O181" s="4"/>
      <c r="P181" s="28" t="str">
        <f>IF(A181="","",SUMIFS('CARGAS DE COMBUSTIBLE'!$N$2:$N$301,'CARGAS DE COMBUSTIBLE'!$AA$2:$AA$301,A181))</f>
        <v/>
      </c>
      <c r="Q181" s="28" t="str">
        <f t="shared" si="22"/>
        <v/>
      </c>
      <c r="R181" s="56" t="str">
        <f t="shared" si="23"/>
        <v/>
      </c>
      <c r="S181" s="4"/>
    </row>
    <row r="182" spans="1:19" x14ac:dyDescent="0.25">
      <c r="A182" s="8" t="str">
        <f t="shared" si="16"/>
        <v/>
      </c>
      <c r="B182" s="9"/>
      <c r="C182" s="8" t="str">
        <f t="shared" si="17"/>
        <v/>
      </c>
      <c r="D182" s="10" t="str">
        <f t="shared" si="18"/>
        <v/>
      </c>
      <c r="E182" s="8" t="str">
        <f t="shared" si="19"/>
        <v/>
      </c>
      <c r="F182" s="28" t="str">
        <f t="shared" si="20"/>
        <v/>
      </c>
      <c r="G182" s="4"/>
      <c r="H182" s="8"/>
      <c r="I182" s="50"/>
      <c r="J182" s="25"/>
      <c r="K182" s="26" t="str">
        <f t="shared" si="21"/>
        <v/>
      </c>
      <c r="L182" s="51"/>
      <c r="M182" s="51"/>
      <c r="N182" s="4"/>
      <c r="O182" s="4"/>
      <c r="P182" s="28" t="str">
        <f>IF(A182="","",SUMIFS('CARGAS DE COMBUSTIBLE'!$N$2:$N$301,'CARGAS DE COMBUSTIBLE'!$AA$2:$AA$301,A182))</f>
        <v/>
      </c>
      <c r="Q182" s="28" t="str">
        <f t="shared" si="22"/>
        <v/>
      </c>
      <c r="R182" s="56" t="str">
        <f t="shared" si="23"/>
        <v/>
      </c>
      <c r="S182" s="4"/>
    </row>
    <row r="183" spans="1:19" x14ac:dyDescent="0.25">
      <c r="A183" s="8" t="str">
        <f t="shared" si="16"/>
        <v/>
      </c>
      <c r="B183" s="9"/>
      <c r="C183" s="8" t="str">
        <f t="shared" si="17"/>
        <v/>
      </c>
      <c r="D183" s="10" t="str">
        <f t="shared" si="18"/>
        <v/>
      </c>
      <c r="E183" s="8" t="str">
        <f t="shared" si="19"/>
        <v/>
      </c>
      <c r="F183" s="28" t="str">
        <f t="shared" si="20"/>
        <v/>
      </c>
      <c r="G183" s="4"/>
      <c r="H183" s="8"/>
      <c r="I183" s="50"/>
      <c r="J183" s="25"/>
      <c r="K183" s="26" t="str">
        <f t="shared" si="21"/>
        <v/>
      </c>
      <c r="L183" s="51"/>
      <c r="M183" s="51"/>
      <c r="N183" s="4"/>
      <c r="O183" s="4"/>
      <c r="P183" s="28" t="str">
        <f>IF(A183="","",SUMIFS('CARGAS DE COMBUSTIBLE'!$N$2:$N$301,'CARGAS DE COMBUSTIBLE'!$AA$2:$AA$301,A183))</f>
        <v/>
      </c>
      <c r="Q183" s="28" t="str">
        <f t="shared" si="22"/>
        <v/>
      </c>
      <c r="R183" s="56" t="str">
        <f t="shared" si="23"/>
        <v/>
      </c>
      <c r="S183" s="4"/>
    </row>
    <row r="184" spans="1:19" x14ac:dyDescent="0.25">
      <c r="A184" s="8" t="str">
        <f t="shared" si="16"/>
        <v/>
      </c>
      <c r="B184" s="9"/>
      <c r="C184" s="8" t="str">
        <f t="shared" si="17"/>
        <v/>
      </c>
      <c r="D184" s="10" t="str">
        <f t="shared" si="18"/>
        <v/>
      </c>
      <c r="E184" s="8" t="str">
        <f t="shared" si="19"/>
        <v/>
      </c>
      <c r="F184" s="28" t="str">
        <f t="shared" si="20"/>
        <v/>
      </c>
      <c r="G184" s="4"/>
      <c r="H184" s="8"/>
      <c r="I184" s="50"/>
      <c r="J184" s="25"/>
      <c r="K184" s="26" t="str">
        <f t="shared" si="21"/>
        <v/>
      </c>
      <c r="L184" s="51"/>
      <c r="M184" s="51"/>
      <c r="N184" s="4"/>
      <c r="O184" s="4"/>
      <c r="P184" s="28" t="str">
        <f>IF(A184="","",SUMIFS('CARGAS DE COMBUSTIBLE'!$N$2:$N$301,'CARGAS DE COMBUSTIBLE'!$AA$2:$AA$301,A184))</f>
        <v/>
      </c>
      <c r="Q184" s="28" t="str">
        <f t="shared" si="22"/>
        <v/>
      </c>
      <c r="R184" s="56" t="str">
        <f t="shared" si="23"/>
        <v/>
      </c>
      <c r="S184" s="4"/>
    </row>
    <row r="185" spans="1:19" x14ac:dyDescent="0.25">
      <c r="A185" s="8" t="str">
        <f t="shared" si="16"/>
        <v/>
      </c>
      <c r="B185" s="9"/>
      <c r="C185" s="8" t="str">
        <f t="shared" si="17"/>
        <v/>
      </c>
      <c r="D185" s="10" t="str">
        <f t="shared" si="18"/>
        <v/>
      </c>
      <c r="E185" s="8" t="str">
        <f t="shared" si="19"/>
        <v/>
      </c>
      <c r="F185" s="28" t="str">
        <f t="shared" si="20"/>
        <v/>
      </c>
      <c r="G185" s="4"/>
      <c r="H185" s="8"/>
      <c r="I185" s="50"/>
      <c r="J185" s="25"/>
      <c r="K185" s="26" t="str">
        <f t="shared" si="21"/>
        <v/>
      </c>
      <c r="L185" s="51"/>
      <c r="M185" s="51"/>
      <c r="N185" s="4"/>
      <c r="O185" s="4"/>
      <c r="P185" s="28" t="str">
        <f>IF(A185="","",SUMIFS('CARGAS DE COMBUSTIBLE'!$N$2:$N$301,'CARGAS DE COMBUSTIBLE'!$AA$2:$AA$301,A185))</f>
        <v/>
      </c>
      <c r="Q185" s="28" t="str">
        <f t="shared" si="22"/>
        <v/>
      </c>
      <c r="R185" s="56" t="str">
        <f t="shared" si="23"/>
        <v/>
      </c>
      <c r="S185" s="4"/>
    </row>
    <row r="186" spans="1:19" x14ac:dyDescent="0.25">
      <c r="A186" s="8" t="str">
        <f t="shared" si="16"/>
        <v/>
      </c>
      <c r="B186" s="9"/>
      <c r="C186" s="8" t="str">
        <f t="shared" si="17"/>
        <v/>
      </c>
      <c r="D186" s="10" t="str">
        <f t="shared" si="18"/>
        <v/>
      </c>
      <c r="E186" s="8" t="str">
        <f t="shared" si="19"/>
        <v/>
      </c>
      <c r="F186" s="28" t="str">
        <f t="shared" si="20"/>
        <v/>
      </c>
      <c r="G186" s="4"/>
      <c r="H186" s="8"/>
      <c r="I186" s="50"/>
      <c r="J186" s="25"/>
      <c r="K186" s="26" t="str">
        <f t="shared" si="21"/>
        <v/>
      </c>
      <c r="L186" s="51"/>
      <c r="M186" s="51"/>
      <c r="N186" s="4"/>
      <c r="O186" s="4"/>
      <c r="P186" s="28" t="str">
        <f>IF(A186="","",SUMIFS('CARGAS DE COMBUSTIBLE'!$N$2:$N$301,'CARGAS DE COMBUSTIBLE'!$AA$2:$AA$301,A186))</f>
        <v/>
      </c>
      <c r="Q186" s="28" t="str">
        <f t="shared" si="22"/>
        <v/>
      </c>
      <c r="R186" s="56" t="str">
        <f t="shared" si="23"/>
        <v/>
      </c>
      <c r="S186" s="4"/>
    </row>
    <row r="187" spans="1:19" x14ac:dyDescent="0.25">
      <c r="A187" s="8" t="str">
        <f t="shared" si="16"/>
        <v/>
      </c>
      <c r="B187" s="9"/>
      <c r="C187" s="8" t="str">
        <f t="shared" si="17"/>
        <v/>
      </c>
      <c r="D187" s="10" t="str">
        <f t="shared" si="18"/>
        <v/>
      </c>
      <c r="E187" s="8" t="str">
        <f t="shared" si="19"/>
        <v/>
      </c>
      <c r="F187" s="28" t="str">
        <f t="shared" si="20"/>
        <v/>
      </c>
      <c r="G187" s="4"/>
      <c r="H187" s="8"/>
      <c r="I187" s="50"/>
      <c r="J187" s="25"/>
      <c r="K187" s="26" t="str">
        <f t="shared" si="21"/>
        <v/>
      </c>
      <c r="L187" s="51"/>
      <c r="M187" s="51"/>
      <c r="N187" s="4"/>
      <c r="O187" s="4"/>
      <c r="P187" s="28" t="str">
        <f>IF(A187="","",SUMIFS('CARGAS DE COMBUSTIBLE'!$N$2:$N$301,'CARGAS DE COMBUSTIBLE'!$AA$2:$AA$301,A187))</f>
        <v/>
      </c>
      <c r="Q187" s="28" t="str">
        <f t="shared" si="22"/>
        <v/>
      </c>
      <c r="R187" s="56" t="str">
        <f t="shared" si="23"/>
        <v/>
      </c>
      <c r="S187" s="4"/>
    </row>
    <row r="188" spans="1:19" x14ac:dyDescent="0.25">
      <c r="A188" s="8" t="str">
        <f t="shared" si="16"/>
        <v/>
      </c>
      <c r="B188" s="9"/>
      <c r="C188" s="8" t="str">
        <f t="shared" si="17"/>
        <v/>
      </c>
      <c r="D188" s="10" t="str">
        <f t="shared" si="18"/>
        <v/>
      </c>
      <c r="E188" s="8" t="str">
        <f t="shared" si="19"/>
        <v/>
      </c>
      <c r="F188" s="28" t="str">
        <f t="shared" si="20"/>
        <v/>
      </c>
      <c r="G188" s="4"/>
      <c r="H188" s="8"/>
      <c r="I188" s="50"/>
      <c r="J188" s="25"/>
      <c r="K188" s="26" t="str">
        <f t="shared" si="21"/>
        <v/>
      </c>
      <c r="L188" s="51"/>
      <c r="M188" s="51"/>
      <c r="N188" s="4"/>
      <c r="O188" s="4"/>
      <c r="P188" s="28" t="str">
        <f>IF(A188="","",SUMIFS('CARGAS DE COMBUSTIBLE'!$N$2:$N$301,'CARGAS DE COMBUSTIBLE'!$AA$2:$AA$301,A188))</f>
        <v/>
      </c>
      <c r="Q188" s="28" t="str">
        <f t="shared" si="22"/>
        <v/>
      </c>
      <c r="R188" s="56" t="str">
        <f t="shared" si="23"/>
        <v/>
      </c>
      <c r="S188" s="4"/>
    </row>
    <row r="189" spans="1:19" x14ac:dyDescent="0.25">
      <c r="A189" s="8" t="str">
        <f t="shared" si="16"/>
        <v/>
      </c>
      <c r="B189" s="9"/>
      <c r="C189" s="8" t="str">
        <f t="shared" si="17"/>
        <v/>
      </c>
      <c r="D189" s="10" t="str">
        <f t="shared" si="18"/>
        <v/>
      </c>
      <c r="E189" s="8" t="str">
        <f t="shared" si="19"/>
        <v/>
      </c>
      <c r="F189" s="28" t="str">
        <f t="shared" si="20"/>
        <v/>
      </c>
      <c r="G189" s="4"/>
      <c r="H189" s="8"/>
      <c r="I189" s="50"/>
      <c r="J189" s="25"/>
      <c r="K189" s="26" t="str">
        <f t="shared" si="21"/>
        <v/>
      </c>
      <c r="L189" s="51"/>
      <c r="M189" s="51"/>
      <c r="N189" s="4"/>
      <c r="O189" s="4"/>
      <c r="P189" s="28" t="str">
        <f>IF(A189="","",SUMIFS('CARGAS DE COMBUSTIBLE'!$N$2:$N$301,'CARGAS DE COMBUSTIBLE'!$AA$2:$AA$301,A189))</f>
        <v/>
      </c>
      <c r="Q189" s="28" t="str">
        <f t="shared" si="22"/>
        <v/>
      </c>
      <c r="R189" s="56" t="str">
        <f t="shared" si="23"/>
        <v/>
      </c>
      <c r="S189" s="4"/>
    </row>
    <row r="190" spans="1:19" x14ac:dyDescent="0.25">
      <c r="A190" s="8" t="str">
        <f t="shared" si="16"/>
        <v/>
      </c>
      <c r="B190" s="9"/>
      <c r="C190" s="8" t="str">
        <f t="shared" si="17"/>
        <v/>
      </c>
      <c r="D190" s="10" t="str">
        <f t="shared" si="18"/>
        <v/>
      </c>
      <c r="E190" s="8" t="str">
        <f t="shared" si="19"/>
        <v/>
      </c>
      <c r="F190" s="28" t="str">
        <f t="shared" si="20"/>
        <v/>
      </c>
      <c r="G190" s="4"/>
      <c r="H190" s="8"/>
      <c r="I190" s="50"/>
      <c r="J190" s="25"/>
      <c r="K190" s="26" t="str">
        <f t="shared" si="21"/>
        <v/>
      </c>
      <c r="L190" s="51"/>
      <c r="M190" s="51"/>
      <c r="N190" s="4"/>
      <c r="O190" s="4"/>
      <c r="P190" s="28" t="str">
        <f>IF(A190="","",SUMIFS('CARGAS DE COMBUSTIBLE'!$N$2:$N$301,'CARGAS DE COMBUSTIBLE'!$AA$2:$AA$301,A190))</f>
        <v/>
      </c>
      <c r="Q190" s="28" t="str">
        <f t="shared" si="22"/>
        <v/>
      </c>
      <c r="R190" s="56" t="str">
        <f t="shared" si="23"/>
        <v/>
      </c>
      <c r="S190" s="4"/>
    </row>
    <row r="191" spans="1:19" x14ac:dyDescent="0.25">
      <c r="A191" s="8" t="str">
        <f t="shared" si="16"/>
        <v/>
      </c>
      <c r="B191" s="9"/>
      <c r="C191" s="8" t="str">
        <f t="shared" si="17"/>
        <v/>
      </c>
      <c r="D191" s="10" t="str">
        <f t="shared" si="18"/>
        <v/>
      </c>
      <c r="E191" s="8" t="str">
        <f t="shared" si="19"/>
        <v/>
      </c>
      <c r="F191" s="28" t="str">
        <f t="shared" si="20"/>
        <v/>
      </c>
      <c r="G191" s="4"/>
      <c r="H191" s="8"/>
      <c r="I191" s="50"/>
      <c r="J191" s="25"/>
      <c r="K191" s="26" t="str">
        <f t="shared" si="21"/>
        <v/>
      </c>
      <c r="L191" s="51"/>
      <c r="M191" s="51"/>
      <c r="N191" s="4"/>
      <c r="O191" s="4"/>
      <c r="P191" s="28" t="str">
        <f>IF(A191="","",SUMIFS('CARGAS DE COMBUSTIBLE'!$N$2:$N$301,'CARGAS DE COMBUSTIBLE'!$AA$2:$AA$301,A191))</f>
        <v/>
      </c>
      <c r="Q191" s="28" t="str">
        <f t="shared" si="22"/>
        <v/>
      </c>
      <c r="R191" s="56" t="str">
        <f t="shared" si="23"/>
        <v/>
      </c>
      <c r="S191" s="4"/>
    </row>
    <row r="192" spans="1:19" x14ac:dyDescent="0.25">
      <c r="A192" s="8" t="str">
        <f t="shared" si="16"/>
        <v/>
      </c>
      <c r="B192" s="9"/>
      <c r="C192" s="8" t="str">
        <f t="shared" si="17"/>
        <v/>
      </c>
      <c r="D192" s="10" t="str">
        <f t="shared" si="18"/>
        <v/>
      </c>
      <c r="E192" s="8" t="str">
        <f t="shared" si="19"/>
        <v/>
      </c>
      <c r="F192" s="28" t="str">
        <f t="shared" si="20"/>
        <v/>
      </c>
      <c r="G192" s="4"/>
      <c r="H192" s="8"/>
      <c r="I192" s="50"/>
      <c r="J192" s="25"/>
      <c r="K192" s="26" t="str">
        <f t="shared" si="21"/>
        <v/>
      </c>
      <c r="L192" s="51"/>
      <c r="M192" s="51"/>
      <c r="N192" s="4"/>
      <c r="O192" s="4"/>
      <c r="P192" s="28" t="str">
        <f>IF(A192="","",SUMIFS('CARGAS DE COMBUSTIBLE'!$N$2:$N$301,'CARGAS DE COMBUSTIBLE'!$AA$2:$AA$301,A192))</f>
        <v/>
      </c>
      <c r="Q192" s="28" t="str">
        <f t="shared" si="22"/>
        <v/>
      </c>
      <c r="R192" s="56" t="str">
        <f t="shared" si="23"/>
        <v/>
      </c>
      <c r="S192" s="4"/>
    </row>
    <row r="193" spans="1:19" x14ac:dyDescent="0.25">
      <c r="A193" s="8" t="str">
        <f t="shared" si="16"/>
        <v/>
      </c>
      <c r="B193" s="9"/>
      <c r="C193" s="8" t="str">
        <f t="shared" si="17"/>
        <v/>
      </c>
      <c r="D193" s="10" t="str">
        <f t="shared" si="18"/>
        <v/>
      </c>
      <c r="E193" s="8" t="str">
        <f t="shared" si="19"/>
        <v/>
      </c>
      <c r="F193" s="28" t="str">
        <f t="shared" si="20"/>
        <v/>
      </c>
      <c r="G193" s="4"/>
      <c r="H193" s="8"/>
      <c r="I193" s="50"/>
      <c r="J193" s="25"/>
      <c r="K193" s="26" t="str">
        <f t="shared" si="21"/>
        <v/>
      </c>
      <c r="L193" s="51"/>
      <c r="M193" s="51"/>
      <c r="N193" s="4"/>
      <c r="O193" s="4"/>
      <c r="P193" s="28" t="str">
        <f>IF(A193="","",SUMIFS('CARGAS DE COMBUSTIBLE'!$N$2:$N$301,'CARGAS DE COMBUSTIBLE'!$AA$2:$AA$301,A193))</f>
        <v/>
      </c>
      <c r="Q193" s="28" t="str">
        <f t="shared" si="22"/>
        <v/>
      </c>
      <c r="R193" s="56" t="str">
        <f t="shared" si="23"/>
        <v/>
      </c>
      <c r="S193" s="4"/>
    </row>
    <row r="194" spans="1:19" x14ac:dyDescent="0.25">
      <c r="A194" s="8" t="str">
        <f t="shared" ref="A194:A257" si="24">IF(B194="","","BATAN-"&amp;TEXT(ROW()-1,"0000"))</f>
        <v/>
      </c>
      <c r="B194" s="9"/>
      <c r="C194" s="8" t="str">
        <f t="shared" ref="C194:C257" si="25">IF(B194="","",CHOOSE(MONTH(B194),"Enero","Febrero","Marzo","Abril","Mayo","Junio","Julio","Agosto","Septiembre","Octubre","Noviembre","Diciembre"))</f>
        <v/>
      </c>
      <c r="D194" s="10" t="str">
        <f t="shared" ref="D194:D257" si="26">IF(B194="","",YEAR(B194))</f>
        <v/>
      </c>
      <c r="E194" s="8" t="str">
        <f t="shared" ref="E194:E257" si="27">IF(B194="","","Batán 200 L")</f>
        <v/>
      </c>
      <c r="F194" s="28" t="str">
        <f t="shared" ref="F194:F257" si="28">IF(B194="","",200)</f>
        <v/>
      </c>
      <c r="G194" s="4"/>
      <c r="H194" s="8"/>
      <c r="I194" s="50"/>
      <c r="J194" s="25"/>
      <c r="K194" s="26" t="str">
        <f t="shared" ref="K194:K257" si="29">IF(OR(I194="",J194=""),"",I194*J194)</f>
        <v/>
      </c>
      <c r="L194" s="51"/>
      <c r="M194" s="51"/>
      <c r="N194" s="4"/>
      <c r="O194" s="4"/>
      <c r="P194" s="28" t="str">
        <f>IF(A194="","",SUMIFS('CARGAS DE COMBUSTIBLE'!$N$2:$N$301,'CARGAS DE COMBUSTIBLE'!$AA$2:$AA$301,A194))</f>
        <v/>
      </c>
      <c r="Q194" s="28" t="str">
        <f t="shared" ref="Q194:Q257" si="30">IF(A194="","",IF(I194="","",I194-P194))</f>
        <v/>
      </c>
      <c r="R194" s="56" t="str">
        <f t="shared" ref="R194:R257" si="31">IF(A194="","",IF(Q194&lt;0,"Excedido",IF(Q194=0,"Consumido","Disponible")))</f>
        <v/>
      </c>
      <c r="S194" s="4"/>
    </row>
    <row r="195" spans="1:19" x14ac:dyDescent="0.25">
      <c r="A195" s="8" t="str">
        <f t="shared" si="24"/>
        <v/>
      </c>
      <c r="B195" s="9"/>
      <c r="C195" s="8" t="str">
        <f t="shared" si="25"/>
        <v/>
      </c>
      <c r="D195" s="10" t="str">
        <f t="shared" si="26"/>
        <v/>
      </c>
      <c r="E195" s="8" t="str">
        <f t="shared" si="27"/>
        <v/>
      </c>
      <c r="F195" s="28" t="str">
        <f t="shared" si="28"/>
        <v/>
      </c>
      <c r="G195" s="4"/>
      <c r="H195" s="8"/>
      <c r="I195" s="50"/>
      <c r="J195" s="25"/>
      <c r="K195" s="26" t="str">
        <f t="shared" si="29"/>
        <v/>
      </c>
      <c r="L195" s="51"/>
      <c r="M195" s="51"/>
      <c r="N195" s="4"/>
      <c r="O195" s="4"/>
      <c r="P195" s="28" t="str">
        <f>IF(A195="","",SUMIFS('CARGAS DE COMBUSTIBLE'!$N$2:$N$301,'CARGAS DE COMBUSTIBLE'!$AA$2:$AA$301,A195))</f>
        <v/>
      </c>
      <c r="Q195" s="28" t="str">
        <f t="shared" si="30"/>
        <v/>
      </c>
      <c r="R195" s="56" t="str">
        <f t="shared" si="31"/>
        <v/>
      </c>
      <c r="S195" s="4"/>
    </row>
    <row r="196" spans="1:19" x14ac:dyDescent="0.25">
      <c r="A196" s="8" t="str">
        <f t="shared" si="24"/>
        <v/>
      </c>
      <c r="B196" s="9"/>
      <c r="C196" s="8" t="str">
        <f t="shared" si="25"/>
        <v/>
      </c>
      <c r="D196" s="10" t="str">
        <f t="shared" si="26"/>
        <v/>
      </c>
      <c r="E196" s="8" t="str">
        <f t="shared" si="27"/>
        <v/>
      </c>
      <c r="F196" s="28" t="str">
        <f t="shared" si="28"/>
        <v/>
      </c>
      <c r="G196" s="4"/>
      <c r="H196" s="8"/>
      <c r="I196" s="50"/>
      <c r="J196" s="25"/>
      <c r="K196" s="26" t="str">
        <f t="shared" si="29"/>
        <v/>
      </c>
      <c r="L196" s="51"/>
      <c r="M196" s="51"/>
      <c r="N196" s="4"/>
      <c r="O196" s="4"/>
      <c r="P196" s="28" t="str">
        <f>IF(A196="","",SUMIFS('CARGAS DE COMBUSTIBLE'!$N$2:$N$301,'CARGAS DE COMBUSTIBLE'!$AA$2:$AA$301,A196))</f>
        <v/>
      </c>
      <c r="Q196" s="28" t="str">
        <f t="shared" si="30"/>
        <v/>
      </c>
      <c r="R196" s="56" t="str">
        <f t="shared" si="31"/>
        <v/>
      </c>
      <c r="S196" s="4"/>
    </row>
    <row r="197" spans="1:19" x14ac:dyDescent="0.25">
      <c r="A197" s="8" t="str">
        <f t="shared" si="24"/>
        <v/>
      </c>
      <c r="B197" s="9"/>
      <c r="C197" s="8" t="str">
        <f t="shared" si="25"/>
        <v/>
      </c>
      <c r="D197" s="10" t="str">
        <f t="shared" si="26"/>
        <v/>
      </c>
      <c r="E197" s="8" t="str">
        <f t="shared" si="27"/>
        <v/>
      </c>
      <c r="F197" s="28" t="str">
        <f t="shared" si="28"/>
        <v/>
      </c>
      <c r="G197" s="4"/>
      <c r="H197" s="8"/>
      <c r="I197" s="50"/>
      <c r="J197" s="25"/>
      <c r="K197" s="26" t="str">
        <f t="shared" si="29"/>
        <v/>
      </c>
      <c r="L197" s="51"/>
      <c r="M197" s="51"/>
      <c r="N197" s="4"/>
      <c r="O197" s="4"/>
      <c r="P197" s="28" t="str">
        <f>IF(A197="","",SUMIFS('CARGAS DE COMBUSTIBLE'!$N$2:$N$301,'CARGAS DE COMBUSTIBLE'!$AA$2:$AA$301,A197))</f>
        <v/>
      </c>
      <c r="Q197" s="28" t="str">
        <f t="shared" si="30"/>
        <v/>
      </c>
      <c r="R197" s="56" t="str">
        <f t="shared" si="31"/>
        <v/>
      </c>
      <c r="S197" s="4"/>
    </row>
    <row r="198" spans="1:19" x14ac:dyDescent="0.25">
      <c r="A198" s="8" t="str">
        <f t="shared" si="24"/>
        <v/>
      </c>
      <c r="B198" s="9"/>
      <c r="C198" s="8" t="str">
        <f t="shared" si="25"/>
        <v/>
      </c>
      <c r="D198" s="10" t="str">
        <f t="shared" si="26"/>
        <v/>
      </c>
      <c r="E198" s="8" t="str">
        <f t="shared" si="27"/>
        <v/>
      </c>
      <c r="F198" s="28" t="str">
        <f t="shared" si="28"/>
        <v/>
      </c>
      <c r="G198" s="4"/>
      <c r="H198" s="8"/>
      <c r="I198" s="50"/>
      <c r="J198" s="25"/>
      <c r="K198" s="26" t="str">
        <f t="shared" si="29"/>
        <v/>
      </c>
      <c r="L198" s="51"/>
      <c r="M198" s="51"/>
      <c r="N198" s="4"/>
      <c r="O198" s="4"/>
      <c r="P198" s="28" t="str">
        <f>IF(A198="","",SUMIFS('CARGAS DE COMBUSTIBLE'!$N$2:$N$301,'CARGAS DE COMBUSTIBLE'!$AA$2:$AA$301,A198))</f>
        <v/>
      </c>
      <c r="Q198" s="28" t="str">
        <f t="shared" si="30"/>
        <v/>
      </c>
      <c r="R198" s="56" t="str">
        <f t="shared" si="31"/>
        <v/>
      </c>
      <c r="S198" s="4"/>
    </row>
    <row r="199" spans="1:19" x14ac:dyDescent="0.25">
      <c r="A199" s="8" t="str">
        <f t="shared" si="24"/>
        <v/>
      </c>
      <c r="B199" s="9"/>
      <c r="C199" s="8" t="str">
        <f t="shared" si="25"/>
        <v/>
      </c>
      <c r="D199" s="10" t="str">
        <f t="shared" si="26"/>
        <v/>
      </c>
      <c r="E199" s="8" t="str">
        <f t="shared" si="27"/>
        <v/>
      </c>
      <c r="F199" s="28" t="str">
        <f t="shared" si="28"/>
        <v/>
      </c>
      <c r="G199" s="4"/>
      <c r="H199" s="8"/>
      <c r="I199" s="50"/>
      <c r="J199" s="25"/>
      <c r="K199" s="26" t="str">
        <f t="shared" si="29"/>
        <v/>
      </c>
      <c r="L199" s="51"/>
      <c r="M199" s="51"/>
      <c r="N199" s="4"/>
      <c r="O199" s="4"/>
      <c r="P199" s="28" t="str">
        <f>IF(A199="","",SUMIFS('CARGAS DE COMBUSTIBLE'!$N$2:$N$301,'CARGAS DE COMBUSTIBLE'!$AA$2:$AA$301,A199))</f>
        <v/>
      </c>
      <c r="Q199" s="28" t="str">
        <f t="shared" si="30"/>
        <v/>
      </c>
      <c r="R199" s="56" t="str">
        <f t="shared" si="31"/>
        <v/>
      </c>
      <c r="S199" s="4"/>
    </row>
    <row r="200" spans="1:19" x14ac:dyDescent="0.25">
      <c r="A200" s="8" t="str">
        <f t="shared" si="24"/>
        <v/>
      </c>
      <c r="B200" s="9"/>
      <c r="C200" s="8" t="str">
        <f t="shared" si="25"/>
        <v/>
      </c>
      <c r="D200" s="10" t="str">
        <f t="shared" si="26"/>
        <v/>
      </c>
      <c r="E200" s="8" t="str">
        <f t="shared" si="27"/>
        <v/>
      </c>
      <c r="F200" s="28" t="str">
        <f t="shared" si="28"/>
        <v/>
      </c>
      <c r="G200" s="4"/>
      <c r="H200" s="8"/>
      <c r="I200" s="50"/>
      <c r="J200" s="25"/>
      <c r="K200" s="26" t="str">
        <f t="shared" si="29"/>
        <v/>
      </c>
      <c r="L200" s="51"/>
      <c r="M200" s="51"/>
      <c r="N200" s="4"/>
      <c r="O200" s="4"/>
      <c r="P200" s="28" t="str">
        <f>IF(A200="","",SUMIFS('CARGAS DE COMBUSTIBLE'!$N$2:$N$301,'CARGAS DE COMBUSTIBLE'!$AA$2:$AA$301,A200))</f>
        <v/>
      </c>
      <c r="Q200" s="28" t="str">
        <f t="shared" si="30"/>
        <v/>
      </c>
      <c r="R200" s="56" t="str">
        <f t="shared" si="31"/>
        <v/>
      </c>
      <c r="S200" s="4"/>
    </row>
    <row r="201" spans="1:19" x14ac:dyDescent="0.25">
      <c r="A201" s="8" t="str">
        <f t="shared" si="24"/>
        <v/>
      </c>
      <c r="B201" s="9"/>
      <c r="C201" s="8" t="str">
        <f t="shared" si="25"/>
        <v/>
      </c>
      <c r="D201" s="10" t="str">
        <f t="shared" si="26"/>
        <v/>
      </c>
      <c r="E201" s="8" t="str">
        <f t="shared" si="27"/>
        <v/>
      </c>
      <c r="F201" s="28" t="str">
        <f t="shared" si="28"/>
        <v/>
      </c>
      <c r="G201" s="4"/>
      <c r="H201" s="8"/>
      <c r="I201" s="50"/>
      <c r="J201" s="25"/>
      <c r="K201" s="26" t="str">
        <f t="shared" si="29"/>
        <v/>
      </c>
      <c r="L201" s="51"/>
      <c r="M201" s="51"/>
      <c r="N201" s="4"/>
      <c r="O201" s="4"/>
      <c r="P201" s="28" t="str">
        <f>IF(A201="","",SUMIFS('CARGAS DE COMBUSTIBLE'!$N$2:$N$301,'CARGAS DE COMBUSTIBLE'!$AA$2:$AA$301,A201))</f>
        <v/>
      </c>
      <c r="Q201" s="28" t="str">
        <f t="shared" si="30"/>
        <v/>
      </c>
      <c r="R201" s="56" t="str">
        <f t="shared" si="31"/>
        <v/>
      </c>
      <c r="S201" s="4"/>
    </row>
    <row r="202" spans="1:19" x14ac:dyDescent="0.25">
      <c r="A202" s="8" t="str">
        <f t="shared" si="24"/>
        <v/>
      </c>
      <c r="B202" s="9"/>
      <c r="C202" s="8" t="str">
        <f t="shared" si="25"/>
        <v/>
      </c>
      <c r="D202" s="10" t="str">
        <f t="shared" si="26"/>
        <v/>
      </c>
      <c r="E202" s="8" t="str">
        <f t="shared" si="27"/>
        <v/>
      </c>
      <c r="F202" s="28" t="str">
        <f t="shared" si="28"/>
        <v/>
      </c>
      <c r="G202" s="4"/>
      <c r="H202" s="8"/>
      <c r="I202" s="50"/>
      <c r="J202" s="25"/>
      <c r="K202" s="26" t="str">
        <f t="shared" si="29"/>
        <v/>
      </c>
      <c r="L202" s="51"/>
      <c r="M202" s="51"/>
      <c r="N202" s="4"/>
      <c r="O202" s="4"/>
      <c r="P202" s="28" t="str">
        <f>IF(A202="","",SUMIFS('CARGAS DE COMBUSTIBLE'!$N$2:$N$301,'CARGAS DE COMBUSTIBLE'!$AA$2:$AA$301,A202))</f>
        <v/>
      </c>
      <c r="Q202" s="28" t="str">
        <f t="shared" si="30"/>
        <v/>
      </c>
      <c r="R202" s="56" t="str">
        <f t="shared" si="31"/>
        <v/>
      </c>
      <c r="S202" s="4"/>
    </row>
    <row r="203" spans="1:19" x14ac:dyDescent="0.25">
      <c r="A203" s="8" t="str">
        <f t="shared" si="24"/>
        <v/>
      </c>
      <c r="B203" s="9"/>
      <c r="C203" s="8" t="str">
        <f t="shared" si="25"/>
        <v/>
      </c>
      <c r="D203" s="10" t="str">
        <f t="shared" si="26"/>
        <v/>
      </c>
      <c r="E203" s="8" t="str">
        <f t="shared" si="27"/>
        <v/>
      </c>
      <c r="F203" s="28" t="str">
        <f t="shared" si="28"/>
        <v/>
      </c>
      <c r="G203" s="4"/>
      <c r="H203" s="8"/>
      <c r="I203" s="50"/>
      <c r="J203" s="25"/>
      <c r="K203" s="26" t="str">
        <f t="shared" si="29"/>
        <v/>
      </c>
      <c r="L203" s="51"/>
      <c r="M203" s="51"/>
      <c r="N203" s="4"/>
      <c r="O203" s="4"/>
      <c r="P203" s="28" t="str">
        <f>IF(A203="","",SUMIFS('CARGAS DE COMBUSTIBLE'!$N$2:$N$301,'CARGAS DE COMBUSTIBLE'!$AA$2:$AA$301,A203))</f>
        <v/>
      </c>
      <c r="Q203" s="28" t="str">
        <f t="shared" si="30"/>
        <v/>
      </c>
      <c r="R203" s="56" t="str">
        <f t="shared" si="31"/>
        <v/>
      </c>
      <c r="S203" s="4"/>
    </row>
    <row r="204" spans="1:19" x14ac:dyDescent="0.25">
      <c r="A204" s="8" t="str">
        <f t="shared" si="24"/>
        <v/>
      </c>
      <c r="B204" s="9"/>
      <c r="C204" s="8" t="str">
        <f t="shared" si="25"/>
        <v/>
      </c>
      <c r="D204" s="10" t="str">
        <f t="shared" si="26"/>
        <v/>
      </c>
      <c r="E204" s="8" t="str">
        <f t="shared" si="27"/>
        <v/>
      </c>
      <c r="F204" s="28" t="str">
        <f t="shared" si="28"/>
        <v/>
      </c>
      <c r="G204" s="4"/>
      <c r="H204" s="8"/>
      <c r="I204" s="50"/>
      <c r="J204" s="25"/>
      <c r="K204" s="26" t="str">
        <f t="shared" si="29"/>
        <v/>
      </c>
      <c r="L204" s="51"/>
      <c r="M204" s="51"/>
      <c r="N204" s="4"/>
      <c r="O204" s="4"/>
      <c r="P204" s="28" t="str">
        <f>IF(A204="","",SUMIFS('CARGAS DE COMBUSTIBLE'!$N$2:$N$301,'CARGAS DE COMBUSTIBLE'!$AA$2:$AA$301,A204))</f>
        <v/>
      </c>
      <c r="Q204" s="28" t="str">
        <f t="shared" si="30"/>
        <v/>
      </c>
      <c r="R204" s="56" t="str">
        <f t="shared" si="31"/>
        <v/>
      </c>
      <c r="S204" s="4"/>
    </row>
    <row r="205" spans="1:19" x14ac:dyDescent="0.25">
      <c r="A205" s="8" t="str">
        <f t="shared" si="24"/>
        <v/>
      </c>
      <c r="B205" s="9"/>
      <c r="C205" s="8" t="str">
        <f t="shared" si="25"/>
        <v/>
      </c>
      <c r="D205" s="10" t="str">
        <f t="shared" si="26"/>
        <v/>
      </c>
      <c r="E205" s="8" t="str">
        <f t="shared" si="27"/>
        <v/>
      </c>
      <c r="F205" s="28" t="str">
        <f t="shared" si="28"/>
        <v/>
      </c>
      <c r="G205" s="4"/>
      <c r="H205" s="8"/>
      <c r="I205" s="50"/>
      <c r="J205" s="25"/>
      <c r="K205" s="26" t="str">
        <f t="shared" si="29"/>
        <v/>
      </c>
      <c r="L205" s="51"/>
      <c r="M205" s="51"/>
      <c r="N205" s="4"/>
      <c r="O205" s="4"/>
      <c r="P205" s="28" t="str">
        <f>IF(A205="","",SUMIFS('CARGAS DE COMBUSTIBLE'!$N$2:$N$301,'CARGAS DE COMBUSTIBLE'!$AA$2:$AA$301,A205))</f>
        <v/>
      </c>
      <c r="Q205" s="28" t="str">
        <f t="shared" si="30"/>
        <v/>
      </c>
      <c r="R205" s="56" t="str">
        <f t="shared" si="31"/>
        <v/>
      </c>
      <c r="S205" s="4"/>
    </row>
    <row r="206" spans="1:19" x14ac:dyDescent="0.25">
      <c r="A206" s="8" t="str">
        <f t="shared" si="24"/>
        <v/>
      </c>
      <c r="B206" s="9"/>
      <c r="C206" s="8" t="str">
        <f t="shared" si="25"/>
        <v/>
      </c>
      <c r="D206" s="10" t="str">
        <f t="shared" si="26"/>
        <v/>
      </c>
      <c r="E206" s="8" t="str">
        <f t="shared" si="27"/>
        <v/>
      </c>
      <c r="F206" s="28" t="str">
        <f t="shared" si="28"/>
        <v/>
      </c>
      <c r="G206" s="4"/>
      <c r="H206" s="8"/>
      <c r="I206" s="50"/>
      <c r="J206" s="25"/>
      <c r="K206" s="26" t="str">
        <f t="shared" si="29"/>
        <v/>
      </c>
      <c r="L206" s="51"/>
      <c r="M206" s="51"/>
      <c r="N206" s="4"/>
      <c r="O206" s="4"/>
      <c r="P206" s="28" t="str">
        <f>IF(A206="","",SUMIFS('CARGAS DE COMBUSTIBLE'!$N$2:$N$301,'CARGAS DE COMBUSTIBLE'!$AA$2:$AA$301,A206))</f>
        <v/>
      </c>
      <c r="Q206" s="28" t="str">
        <f t="shared" si="30"/>
        <v/>
      </c>
      <c r="R206" s="56" t="str">
        <f t="shared" si="31"/>
        <v/>
      </c>
      <c r="S206" s="4"/>
    </row>
    <row r="207" spans="1:19" x14ac:dyDescent="0.25">
      <c r="A207" s="8" t="str">
        <f t="shared" si="24"/>
        <v/>
      </c>
      <c r="B207" s="9"/>
      <c r="C207" s="8" t="str">
        <f t="shared" si="25"/>
        <v/>
      </c>
      <c r="D207" s="10" t="str">
        <f t="shared" si="26"/>
        <v/>
      </c>
      <c r="E207" s="8" t="str">
        <f t="shared" si="27"/>
        <v/>
      </c>
      <c r="F207" s="28" t="str">
        <f t="shared" si="28"/>
        <v/>
      </c>
      <c r="G207" s="4"/>
      <c r="H207" s="8"/>
      <c r="I207" s="50"/>
      <c r="J207" s="25"/>
      <c r="K207" s="26" t="str">
        <f t="shared" si="29"/>
        <v/>
      </c>
      <c r="L207" s="51"/>
      <c r="M207" s="51"/>
      <c r="N207" s="4"/>
      <c r="O207" s="4"/>
      <c r="P207" s="28" t="str">
        <f>IF(A207="","",SUMIFS('CARGAS DE COMBUSTIBLE'!$N$2:$N$301,'CARGAS DE COMBUSTIBLE'!$AA$2:$AA$301,A207))</f>
        <v/>
      </c>
      <c r="Q207" s="28" t="str">
        <f t="shared" si="30"/>
        <v/>
      </c>
      <c r="R207" s="56" t="str">
        <f t="shared" si="31"/>
        <v/>
      </c>
      <c r="S207" s="4"/>
    </row>
    <row r="208" spans="1:19" x14ac:dyDescent="0.25">
      <c r="A208" s="8" t="str">
        <f t="shared" si="24"/>
        <v/>
      </c>
      <c r="B208" s="9"/>
      <c r="C208" s="8" t="str">
        <f t="shared" si="25"/>
        <v/>
      </c>
      <c r="D208" s="10" t="str">
        <f t="shared" si="26"/>
        <v/>
      </c>
      <c r="E208" s="8" t="str">
        <f t="shared" si="27"/>
        <v/>
      </c>
      <c r="F208" s="28" t="str">
        <f t="shared" si="28"/>
        <v/>
      </c>
      <c r="G208" s="4"/>
      <c r="H208" s="8"/>
      <c r="I208" s="50"/>
      <c r="J208" s="25"/>
      <c r="K208" s="26" t="str">
        <f t="shared" si="29"/>
        <v/>
      </c>
      <c r="L208" s="51"/>
      <c r="M208" s="51"/>
      <c r="N208" s="4"/>
      <c r="O208" s="4"/>
      <c r="P208" s="28" t="str">
        <f>IF(A208="","",SUMIFS('CARGAS DE COMBUSTIBLE'!$N$2:$N$301,'CARGAS DE COMBUSTIBLE'!$AA$2:$AA$301,A208))</f>
        <v/>
      </c>
      <c r="Q208" s="28" t="str">
        <f t="shared" si="30"/>
        <v/>
      </c>
      <c r="R208" s="56" t="str">
        <f t="shared" si="31"/>
        <v/>
      </c>
      <c r="S208" s="4"/>
    </row>
    <row r="209" spans="1:19" x14ac:dyDescent="0.25">
      <c r="A209" s="8" t="str">
        <f t="shared" si="24"/>
        <v/>
      </c>
      <c r="B209" s="9"/>
      <c r="C209" s="8" t="str">
        <f t="shared" si="25"/>
        <v/>
      </c>
      <c r="D209" s="10" t="str">
        <f t="shared" si="26"/>
        <v/>
      </c>
      <c r="E209" s="8" t="str">
        <f t="shared" si="27"/>
        <v/>
      </c>
      <c r="F209" s="28" t="str">
        <f t="shared" si="28"/>
        <v/>
      </c>
      <c r="G209" s="4"/>
      <c r="H209" s="8"/>
      <c r="I209" s="50"/>
      <c r="J209" s="25"/>
      <c r="K209" s="26" t="str">
        <f t="shared" si="29"/>
        <v/>
      </c>
      <c r="L209" s="51"/>
      <c r="M209" s="51"/>
      <c r="N209" s="4"/>
      <c r="O209" s="4"/>
      <c r="P209" s="28" t="str">
        <f>IF(A209="","",SUMIFS('CARGAS DE COMBUSTIBLE'!$N$2:$N$301,'CARGAS DE COMBUSTIBLE'!$AA$2:$AA$301,A209))</f>
        <v/>
      </c>
      <c r="Q209" s="28" t="str">
        <f t="shared" si="30"/>
        <v/>
      </c>
      <c r="R209" s="56" t="str">
        <f t="shared" si="31"/>
        <v/>
      </c>
      <c r="S209" s="4"/>
    </row>
    <row r="210" spans="1:19" x14ac:dyDescent="0.25">
      <c r="A210" s="8" t="str">
        <f t="shared" si="24"/>
        <v/>
      </c>
      <c r="B210" s="9"/>
      <c r="C210" s="8" t="str">
        <f t="shared" si="25"/>
        <v/>
      </c>
      <c r="D210" s="10" t="str">
        <f t="shared" si="26"/>
        <v/>
      </c>
      <c r="E210" s="8" t="str">
        <f t="shared" si="27"/>
        <v/>
      </c>
      <c r="F210" s="28" t="str">
        <f t="shared" si="28"/>
        <v/>
      </c>
      <c r="G210" s="4"/>
      <c r="H210" s="8"/>
      <c r="I210" s="50"/>
      <c r="J210" s="25"/>
      <c r="K210" s="26" t="str">
        <f t="shared" si="29"/>
        <v/>
      </c>
      <c r="L210" s="51"/>
      <c r="M210" s="51"/>
      <c r="N210" s="4"/>
      <c r="O210" s="4"/>
      <c r="P210" s="28" t="str">
        <f>IF(A210="","",SUMIFS('CARGAS DE COMBUSTIBLE'!$N$2:$N$301,'CARGAS DE COMBUSTIBLE'!$AA$2:$AA$301,A210))</f>
        <v/>
      </c>
      <c r="Q210" s="28" t="str">
        <f t="shared" si="30"/>
        <v/>
      </c>
      <c r="R210" s="56" t="str">
        <f t="shared" si="31"/>
        <v/>
      </c>
      <c r="S210" s="4"/>
    </row>
    <row r="211" spans="1:19" x14ac:dyDescent="0.25">
      <c r="A211" s="8" t="str">
        <f t="shared" si="24"/>
        <v/>
      </c>
      <c r="B211" s="9"/>
      <c r="C211" s="8" t="str">
        <f t="shared" si="25"/>
        <v/>
      </c>
      <c r="D211" s="10" t="str">
        <f t="shared" si="26"/>
        <v/>
      </c>
      <c r="E211" s="8" t="str">
        <f t="shared" si="27"/>
        <v/>
      </c>
      <c r="F211" s="28" t="str">
        <f t="shared" si="28"/>
        <v/>
      </c>
      <c r="G211" s="4"/>
      <c r="H211" s="8"/>
      <c r="I211" s="50"/>
      <c r="J211" s="25"/>
      <c r="K211" s="26" t="str">
        <f t="shared" si="29"/>
        <v/>
      </c>
      <c r="L211" s="51"/>
      <c r="M211" s="51"/>
      <c r="N211" s="4"/>
      <c r="O211" s="4"/>
      <c r="P211" s="28" t="str">
        <f>IF(A211="","",SUMIFS('CARGAS DE COMBUSTIBLE'!$N$2:$N$301,'CARGAS DE COMBUSTIBLE'!$AA$2:$AA$301,A211))</f>
        <v/>
      </c>
      <c r="Q211" s="28" t="str">
        <f t="shared" si="30"/>
        <v/>
      </c>
      <c r="R211" s="56" t="str">
        <f t="shared" si="31"/>
        <v/>
      </c>
      <c r="S211" s="4"/>
    </row>
    <row r="212" spans="1:19" x14ac:dyDescent="0.25">
      <c r="A212" s="8" t="str">
        <f t="shared" si="24"/>
        <v/>
      </c>
      <c r="B212" s="9"/>
      <c r="C212" s="8" t="str">
        <f t="shared" si="25"/>
        <v/>
      </c>
      <c r="D212" s="10" t="str">
        <f t="shared" si="26"/>
        <v/>
      </c>
      <c r="E212" s="8" t="str">
        <f t="shared" si="27"/>
        <v/>
      </c>
      <c r="F212" s="28" t="str">
        <f t="shared" si="28"/>
        <v/>
      </c>
      <c r="G212" s="4"/>
      <c r="H212" s="8"/>
      <c r="I212" s="50"/>
      <c r="J212" s="25"/>
      <c r="K212" s="26" t="str">
        <f t="shared" si="29"/>
        <v/>
      </c>
      <c r="L212" s="51"/>
      <c r="M212" s="51"/>
      <c r="N212" s="4"/>
      <c r="O212" s="4"/>
      <c r="P212" s="28" t="str">
        <f>IF(A212="","",SUMIFS('CARGAS DE COMBUSTIBLE'!$N$2:$N$301,'CARGAS DE COMBUSTIBLE'!$AA$2:$AA$301,A212))</f>
        <v/>
      </c>
      <c r="Q212" s="28" t="str">
        <f t="shared" si="30"/>
        <v/>
      </c>
      <c r="R212" s="56" t="str">
        <f t="shared" si="31"/>
        <v/>
      </c>
      <c r="S212" s="4"/>
    </row>
    <row r="213" spans="1:19" x14ac:dyDescent="0.25">
      <c r="A213" s="8" t="str">
        <f t="shared" si="24"/>
        <v/>
      </c>
      <c r="B213" s="9"/>
      <c r="C213" s="8" t="str">
        <f t="shared" si="25"/>
        <v/>
      </c>
      <c r="D213" s="10" t="str">
        <f t="shared" si="26"/>
        <v/>
      </c>
      <c r="E213" s="8" t="str">
        <f t="shared" si="27"/>
        <v/>
      </c>
      <c r="F213" s="28" t="str">
        <f t="shared" si="28"/>
        <v/>
      </c>
      <c r="G213" s="4"/>
      <c r="H213" s="8"/>
      <c r="I213" s="50"/>
      <c r="J213" s="25"/>
      <c r="K213" s="26" t="str">
        <f t="shared" si="29"/>
        <v/>
      </c>
      <c r="L213" s="51"/>
      <c r="M213" s="51"/>
      <c r="N213" s="4"/>
      <c r="O213" s="4"/>
      <c r="P213" s="28" t="str">
        <f>IF(A213="","",SUMIFS('CARGAS DE COMBUSTIBLE'!$N$2:$N$301,'CARGAS DE COMBUSTIBLE'!$AA$2:$AA$301,A213))</f>
        <v/>
      </c>
      <c r="Q213" s="28" t="str">
        <f t="shared" si="30"/>
        <v/>
      </c>
      <c r="R213" s="56" t="str">
        <f t="shared" si="31"/>
        <v/>
      </c>
      <c r="S213" s="4"/>
    </row>
    <row r="214" spans="1:19" x14ac:dyDescent="0.25">
      <c r="A214" s="8" t="str">
        <f t="shared" si="24"/>
        <v/>
      </c>
      <c r="B214" s="9"/>
      <c r="C214" s="8" t="str">
        <f t="shared" si="25"/>
        <v/>
      </c>
      <c r="D214" s="10" t="str">
        <f t="shared" si="26"/>
        <v/>
      </c>
      <c r="E214" s="8" t="str">
        <f t="shared" si="27"/>
        <v/>
      </c>
      <c r="F214" s="28" t="str">
        <f t="shared" si="28"/>
        <v/>
      </c>
      <c r="G214" s="4"/>
      <c r="H214" s="8"/>
      <c r="I214" s="50"/>
      <c r="J214" s="25"/>
      <c r="K214" s="26" t="str">
        <f t="shared" si="29"/>
        <v/>
      </c>
      <c r="L214" s="51"/>
      <c r="M214" s="51"/>
      <c r="N214" s="4"/>
      <c r="O214" s="4"/>
      <c r="P214" s="28" t="str">
        <f>IF(A214="","",SUMIFS('CARGAS DE COMBUSTIBLE'!$N$2:$N$301,'CARGAS DE COMBUSTIBLE'!$AA$2:$AA$301,A214))</f>
        <v/>
      </c>
      <c r="Q214" s="28" t="str">
        <f t="shared" si="30"/>
        <v/>
      </c>
      <c r="R214" s="56" t="str">
        <f t="shared" si="31"/>
        <v/>
      </c>
      <c r="S214" s="4"/>
    </row>
    <row r="215" spans="1:19" x14ac:dyDescent="0.25">
      <c r="A215" s="8" t="str">
        <f t="shared" si="24"/>
        <v/>
      </c>
      <c r="B215" s="9"/>
      <c r="C215" s="8" t="str">
        <f t="shared" si="25"/>
        <v/>
      </c>
      <c r="D215" s="10" t="str">
        <f t="shared" si="26"/>
        <v/>
      </c>
      <c r="E215" s="8" t="str">
        <f t="shared" si="27"/>
        <v/>
      </c>
      <c r="F215" s="28" t="str">
        <f t="shared" si="28"/>
        <v/>
      </c>
      <c r="G215" s="4"/>
      <c r="H215" s="8"/>
      <c r="I215" s="50"/>
      <c r="J215" s="25"/>
      <c r="K215" s="26" t="str">
        <f t="shared" si="29"/>
        <v/>
      </c>
      <c r="L215" s="51"/>
      <c r="M215" s="51"/>
      <c r="N215" s="4"/>
      <c r="O215" s="4"/>
      <c r="P215" s="28" t="str">
        <f>IF(A215="","",SUMIFS('CARGAS DE COMBUSTIBLE'!$N$2:$N$301,'CARGAS DE COMBUSTIBLE'!$AA$2:$AA$301,A215))</f>
        <v/>
      </c>
      <c r="Q215" s="28" t="str">
        <f t="shared" si="30"/>
        <v/>
      </c>
      <c r="R215" s="56" t="str">
        <f t="shared" si="31"/>
        <v/>
      </c>
      <c r="S215" s="4"/>
    </row>
    <row r="216" spans="1:19" x14ac:dyDescent="0.25">
      <c r="A216" s="8" t="str">
        <f t="shared" si="24"/>
        <v/>
      </c>
      <c r="B216" s="9"/>
      <c r="C216" s="8" t="str">
        <f t="shared" si="25"/>
        <v/>
      </c>
      <c r="D216" s="10" t="str">
        <f t="shared" si="26"/>
        <v/>
      </c>
      <c r="E216" s="8" t="str">
        <f t="shared" si="27"/>
        <v/>
      </c>
      <c r="F216" s="28" t="str">
        <f t="shared" si="28"/>
        <v/>
      </c>
      <c r="G216" s="4"/>
      <c r="H216" s="8"/>
      <c r="I216" s="50"/>
      <c r="J216" s="25"/>
      <c r="K216" s="26" t="str">
        <f t="shared" si="29"/>
        <v/>
      </c>
      <c r="L216" s="51"/>
      <c r="M216" s="51"/>
      <c r="N216" s="4"/>
      <c r="O216" s="4"/>
      <c r="P216" s="28" t="str">
        <f>IF(A216="","",SUMIFS('CARGAS DE COMBUSTIBLE'!$N$2:$N$301,'CARGAS DE COMBUSTIBLE'!$AA$2:$AA$301,A216))</f>
        <v/>
      </c>
      <c r="Q216" s="28" t="str">
        <f t="shared" si="30"/>
        <v/>
      </c>
      <c r="R216" s="56" t="str">
        <f t="shared" si="31"/>
        <v/>
      </c>
      <c r="S216" s="4"/>
    </row>
    <row r="217" spans="1:19" x14ac:dyDescent="0.25">
      <c r="A217" s="8" t="str">
        <f t="shared" si="24"/>
        <v/>
      </c>
      <c r="B217" s="9"/>
      <c r="C217" s="8" t="str">
        <f t="shared" si="25"/>
        <v/>
      </c>
      <c r="D217" s="10" t="str">
        <f t="shared" si="26"/>
        <v/>
      </c>
      <c r="E217" s="8" t="str">
        <f t="shared" si="27"/>
        <v/>
      </c>
      <c r="F217" s="28" t="str">
        <f t="shared" si="28"/>
        <v/>
      </c>
      <c r="G217" s="4"/>
      <c r="H217" s="8"/>
      <c r="I217" s="50"/>
      <c r="J217" s="25"/>
      <c r="K217" s="26" t="str">
        <f t="shared" si="29"/>
        <v/>
      </c>
      <c r="L217" s="51"/>
      <c r="M217" s="51"/>
      <c r="N217" s="4"/>
      <c r="O217" s="4"/>
      <c r="P217" s="28" t="str">
        <f>IF(A217="","",SUMIFS('CARGAS DE COMBUSTIBLE'!$N$2:$N$301,'CARGAS DE COMBUSTIBLE'!$AA$2:$AA$301,A217))</f>
        <v/>
      </c>
      <c r="Q217" s="28" t="str">
        <f t="shared" si="30"/>
        <v/>
      </c>
      <c r="R217" s="56" t="str">
        <f t="shared" si="31"/>
        <v/>
      </c>
      <c r="S217" s="4"/>
    </row>
    <row r="218" spans="1:19" x14ac:dyDescent="0.25">
      <c r="A218" s="8" t="str">
        <f t="shared" si="24"/>
        <v/>
      </c>
      <c r="B218" s="9"/>
      <c r="C218" s="8" t="str">
        <f t="shared" si="25"/>
        <v/>
      </c>
      <c r="D218" s="10" t="str">
        <f t="shared" si="26"/>
        <v/>
      </c>
      <c r="E218" s="8" t="str">
        <f t="shared" si="27"/>
        <v/>
      </c>
      <c r="F218" s="28" t="str">
        <f t="shared" si="28"/>
        <v/>
      </c>
      <c r="G218" s="4"/>
      <c r="H218" s="8"/>
      <c r="I218" s="50"/>
      <c r="J218" s="25"/>
      <c r="K218" s="26" t="str">
        <f t="shared" si="29"/>
        <v/>
      </c>
      <c r="L218" s="51"/>
      <c r="M218" s="51"/>
      <c r="N218" s="4"/>
      <c r="O218" s="4"/>
      <c r="P218" s="28" t="str">
        <f>IF(A218="","",SUMIFS('CARGAS DE COMBUSTIBLE'!$N$2:$N$301,'CARGAS DE COMBUSTIBLE'!$AA$2:$AA$301,A218))</f>
        <v/>
      </c>
      <c r="Q218" s="28" t="str">
        <f t="shared" si="30"/>
        <v/>
      </c>
      <c r="R218" s="56" t="str">
        <f t="shared" si="31"/>
        <v/>
      </c>
      <c r="S218" s="4"/>
    </row>
    <row r="219" spans="1:19" x14ac:dyDescent="0.25">
      <c r="A219" s="8" t="str">
        <f t="shared" si="24"/>
        <v/>
      </c>
      <c r="B219" s="9"/>
      <c r="C219" s="8" t="str">
        <f t="shared" si="25"/>
        <v/>
      </c>
      <c r="D219" s="10" t="str">
        <f t="shared" si="26"/>
        <v/>
      </c>
      <c r="E219" s="8" t="str">
        <f t="shared" si="27"/>
        <v/>
      </c>
      <c r="F219" s="28" t="str">
        <f t="shared" si="28"/>
        <v/>
      </c>
      <c r="G219" s="4"/>
      <c r="H219" s="8"/>
      <c r="I219" s="50"/>
      <c r="J219" s="25"/>
      <c r="K219" s="26" t="str">
        <f t="shared" si="29"/>
        <v/>
      </c>
      <c r="L219" s="51"/>
      <c r="M219" s="51"/>
      <c r="N219" s="4"/>
      <c r="O219" s="4"/>
      <c r="P219" s="28" t="str">
        <f>IF(A219="","",SUMIFS('CARGAS DE COMBUSTIBLE'!$N$2:$N$301,'CARGAS DE COMBUSTIBLE'!$AA$2:$AA$301,A219))</f>
        <v/>
      </c>
      <c r="Q219" s="28" t="str">
        <f t="shared" si="30"/>
        <v/>
      </c>
      <c r="R219" s="56" t="str">
        <f t="shared" si="31"/>
        <v/>
      </c>
      <c r="S219" s="4"/>
    </row>
    <row r="220" spans="1:19" x14ac:dyDescent="0.25">
      <c r="A220" s="8" t="str">
        <f t="shared" si="24"/>
        <v/>
      </c>
      <c r="B220" s="9"/>
      <c r="C220" s="8" t="str">
        <f t="shared" si="25"/>
        <v/>
      </c>
      <c r="D220" s="10" t="str">
        <f t="shared" si="26"/>
        <v/>
      </c>
      <c r="E220" s="8" t="str">
        <f t="shared" si="27"/>
        <v/>
      </c>
      <c r="F220" s="28" t="str">
        <f t="shared" si="28"/>
        <v/>
      </c>
      <c r="G220" s="4"/>
      <c r="H220" s="8"/>
      <c r="I220" s="50"/>
      <c r="J220" s="25"/>
      <c r="K220" s="26" t="str">
        <f t="shared" si="29"/>
        <v/>
      </c>
      <c r="L220" s="51"/>
      <c r="M220" s="51"/>
      <c r="N220" s="4"/>
      <c r="O220" s="4"/>
      <c r="P220" s="28" t="str">
        <f>IF(A220="","",SUMIFS('CARGAS DE COMBUSTIBLE'!$N$2:$N$301,'CARGAS DE COMBUSTIBLE'!$AA$2:$AA$301,A220))</f>
        <v/>
      </c>
      <c r="Q220" s="28" t="str">
        <f t="shared" si="30"/>
        <v/>
      </c>
      <c r="R220" s="56" t="str">
        <f t="shared" si="31"/>
        <v/>
      </c>
      <c r="S220" s="4"/>
    </row>
    <row r="221" spans="1:19" x14ac:dyDescent="0.25">
      <c r="A221" s="8" t="str">
        <f t="shared" si="24"/>
        <v/>
      </c>
      <c r="B221" s="9"/>
      <c r="C221" s="8" t="str">
        <f t="shared" si="25"/>
        <v/>
      </c>
      <c r="D221" s="10" t="str">
        <f t="shared" si="26"/>
        <v/>
      </c>
      <c r="E221" s="8" t="str">
        <f t="shared" si="27"/>
        <v/>
      </c>
      <c r="F221" s="28" t="str">
        <f t="shared" si="28"/>
        <v/>
      </c>
      <c r="G221" s="4"/>
      <c r="H221" s="8"/>
      <c r="I221" s="50"/>
      <c r="J221" s="25"/>
      <c r="K221" s="26" t="str">
        <f t="shared" si="29"/>
        <v/>
      </c>
      <c r="L221" s="51"/>
      <c r="M221" s="51"/>
      <c r="N221" s="4"/>
      <c r="O221" s="4"/>
      <c r="P221" s="28" t="str">
        <f>IF(A221="","",SUMIFS('CARGAS DE COMBUSTIBLE'!$N$2:$N$301,'CARGAS DE COMBUSTIBLE'!$AA$2:$AA$301,A221))</f>
        <v/>
      </c>
      <c r="Q221" s="28" t="str">
        <f t="shared" si="30"/>
        <v/>
      </c>
      <c r="R221" s="56" t="str">
        <f t="shared" si="31"/>
        <v/>
      </c>
      <c r="S221" s="4"/>
    </row>
    <row r="222" spans="1:19" x14ac:dyDescent="0.25">
      <c r="A222" s="8" t="str">
        <f t="shared" si="24"/>
        <v/>
      </c>
      <c r="B222" s="9"/>
      <c r="C222" s="8" t="str">
        <f t="shared" si="25"/>
        <v/>
      </c>
      <c r="D222" s="10" t="str">
        <f t="shared" si="26"/>
        <v/>
      </c>
      <c r="E222" s="8" t="str">
        <f t="shared" si="27"/>
        <v/>
      </c>
      <c r="F222" s="28" t="str">
        <f t="shared" si="28"/>
        <v/>
      </c>
      <c r="G222" s="4"/>
      <c r="H222" s="8"/>
      <c r="I222" s="50"/>
      <c r="J222" s="25"/>
      <c r="K222" s="26" t="str">
        <f t="shared" si="29"/>
        <v/>
      </c>
      <c r="L222" s="51"/>
      <c r="M222" s="51"/>
      <c r="N222" s="4"/>
      <c r="O222" s="4"/>
      <c r="P222" s="28" t="str">
        <f>IF(A222="","",SUMIFS('CARGAS DE COMBUSTIBLE'!$N$2:$N$301,'CARGAS DE COMBUSTIBLE'!$AA$2:$AA$301,A222))</f>
        <v/>
      </c>
      <c r="Q222" s="28" t="str">
        <f t="shared" si="30"/>
        <v/>
      </c>
      <c r="R222" s="56" t="str">
        <f t="shared" si="31"/>
        <v/>
      </c>
      <c r="S222" s="4"/>
    </row>
    <row r="223" spans="1:19" x14ac:dyDescent="0.25">
      <c r="A223" s="8" t="str">
        <f t="shared" si="24"/>
        <v/>
      </c>
      <c r="B223" s="9"/>
      <c r="C223" s="8" t="str">
        <f t="shared" si="25"/>
        <v/>
      </c>
      <c r="D223" s="10" t="str">
        <f t="shared" si="26"/>
        <v/>
      </c>
      <c r="E223" s="8" t="str">
        <f t="shared" si="27"/>
        <v/>
      </c>
      <c r="F223" s="28" t="str">
        <f t="shared" si="28"/>
        <v/>
      </c>
      <c r="G223" s="4"/>
      <c r="H223" s="8"/>
      <c r="I223" s="50"/>
      <c r="J223" s="25"/>
      <c r="K223" s="26" t="str">
        <f t="shared" si="29"/>
        <v/>
      </c>
      <c r="L223" s="51"/>
      <c r="M223" s="51"/>
      <c r="N223" s="4"/>
      <c r="O223" s="4"/>
      <c r="P223" s="28" t="str">
        <f>IF(A223="","",SUMIFS('CARGAS DE COMBUSTIBLE'!$N$2:$N$301,'CARGAS DE COMBUSTIBLE'!$AA$2:$AA$301,A223))</f>
        <v/>
      </c>
      <c r="Q223" s="28" t="str">
        <f t="shared" si="30"/>
        <v/>
      </c>
      <c r="R223" s="56" t="str">
        <f t="shared" si="31"/>
        <v/>
      </c>
      <c r="S223" s="4"/>
    </row>
    <row r="224" spans="1:19" x14ac:dyDescent="0.25">
      <c r="A224" s="8" t="str">
        <f t="shared" si="24"/>
        <v/>
      </c>
      <c r="B224" s="9"/>
      <c r="C224" s="8" t="str">
        <f t="shared" si="25"/>
        <v/>
      </c>
      <c r="D224" s="10" t="str">
        <f t="shared" si="26"/>
        <v/>
      </c>
      <c r="E224" s="8" t="str">
        <f t="shared" si="27"/>
        <v/>
      </c>
      <c r="F224" s="28" t="str">
        <f t="shared" si="28"/>
        <v/>
      </c>
      <c r="G224" s="4"/>
      <c r="H224" s="8"/>
      <c r="I224" s="50"/>
      <c r="J224" s="25"/>
      <c r="K224" s="26" t="str">
        <f t="shared" si="29"/>
        <v/>
      </c>
      <c r="L224" s="51"/>
      <c r="M224" s="51"/>
      <c r="N224" s="4"/>
      <c r="O224" s="4"/>
      <c r="P224" s="28" t="str">
        <f>IF(A224="","",SUMIFS('CARGAS DE COMBUSTIBLE'!$N$2:$N$301,'CARGAS DE COMBUSTIBLE'!$AA$2:$AA$301,A224))</f>
        <v/>
      </c>
      <c r="Q224" s="28" t="str">
        <f t="shared" si="30"/>
        <v/>
      </c>
      <c r="R224" s="56" t="str">
        <f t="shared" si="31"/>
        <v/>
      </c>
      <c r="S224" s="4"/>
    </row>
    <row r="225" spans="1:19" x14ac:dyDescent="0.25">
      <c r="A225" s="8" t="str">
        <f t="shared" si="24"/>
        <v/>
      </c>
      <c r="B225" s="9"/>
      <c r="C225" s="8" t="str">
        <f t="shared" si="25"/>
        <v/>
      </c>
      <c r="D225" s="10" t="str">
        <f t="shared" si="26"/>
        <v/>
      </c>
      <c r="E225" s="8" t="str">
        <f t="shared" si="27"/>
        <v/>
      </c>
      <c r="F225" s="28" t="str">
        <f t="shared" si="28"/>
        <v/>
      </c>
      <c r="G225" s="4"/>
      <c r="H225" s="8"/>
      <c r="I225" s="50"/>
      <c r="J225" s="25"/>
      <c r="K225" s="26" t="str">
        <f t="shared" si="29"/>
        <v/>
      </c>
      <c r="L225" s="51"/>
      <c r="M225" s="51"/>
      <c r="N225" s="4"/>
      <c r="O225" s="4"/>
      <c r="P225" s="28" t="str">
        <f>IF(A225="","",SUMIFS('CARGAS DE COMBUSTIBLE'!$N$2:$N$301,'CARGAS DE COMBUSTIBLE'!$AA$2:$AA$301,A225))</f>
        <v/>
      </c>
      <c r="Q225" s="28" t="str">
        <f t="shared" si="30"/>
        <v/>
      </c>
      <c r="R225" s="56" t="str">
        <f t="shared" si="31"/>
        <v/>
      </c>
      <c r="S225" s="4"/>
    </row>
    <row r="226" spans="1:19" x14ac:dyDescent="0.25">
      <c r="A226" s="8" t="str">
        <f t="shared" si="24"/>
        <v/>
      </c>
      <c r="B226" s="9"/>
      <c r="C226" s="8" t="str">
        <f t="shared" si="25"/>
        <v/>
      </c>
      <c r="D226" s="10" t="str">
        <f t="shared" si="26"/>
        <v/>
      </c>
      <c r="E226" s="8" t="str">
        <f t="shared" si="27"/>
        <v/>
      </c>
      <c r="F226" s="28" t="str">
        <f t="shared" si="28"/>
        <v/>
      </c>
      <c r="G226" s="4"/>
      <c r="H226" s="8"/>
      <c r="I226" s="50"/>
      <c r="J226" s="25"/>
      <c r="K226" s="26" t="str">
        <f t="shared" si="29"/>
        <v/>
      </c>
      <c r="L226" s="51"/>
      <c r="M226" s="51"/>
      <c r="N226" s="4"/>
      <c r="O226" s="4"/>
      <c r="P226" s="28" t="str">
        <f>IF(A226="","",SUMIFS('CARGAS DE COMBUSTIBLE'!$N$2:$N$301,'CARGAS DE COMBUSTIBLE'!$AA$2:$AA$301,A226))</f>
        <v/>
      </c>
      <c r="Q226" s="28" t="str">
        <f t="shared" si="30"/>
        <v/>
      </c>
      <c r="R226" s="56" t="str">
        <f t="shared" si="31"/>
        <v/>
      </c>
      <c r="S226" s="4"/>
    </row>
    <row r="227" spans="1:19" x14ac:dyDescent="0.25">
      <c r="A227" s="8" t="str">
        <f t="shared" si="24"/>
        <v/>
      </c>
      <c r="B227" s="9"/>
      <c r="C227" s="8" t="str">
        <f t="shared" si="25"/>
        <v/>
      </c>
      <c r="D227" s="10" t="str">
        <f t="shared" si="26"/>
        <v/>
      </c>
      <c r="E227" s="8" t="str">
        <f t="shared" si="27"/>
        <v/>
      </c>
      <c r="F227" s="28" t="str">
        <f t="shared" si="28"/>
        <v/>
      </c>
      <c r="G227" s="4"/>
      <c r="H227" s="8"/>
      <c r="I227" s="50"/>
      <c r="J227" s="25"/>
      <c r="K227" s="26" t="str">
        <f t="shared" si="29"/>
        <v/>
      </c>
      <c r="L227" s="51"/>
      <c r="M227" s="51"/>
      <c r="N227" s="4"/>
      <c r="O227" s="4"/>
      <c r="P227" s="28" t="str">
        <f>IF(A227="","",SUMIFS('CARGAS DE COMBUSTIBLE'!$N$2:$N$301,'CARGAS DE COMBUSTIBLE'!$AA$2:$AA$301,A227))</f>
        <v/>
      </c>
      <c r="Q227" s="28" t="str">
        <f t="shared" si="30"/>
        <v/>
      </c>
      <c r="R227" s="56" t="str">
        <f t="shared" si="31"/>
        <v/>
      </c>
      <c r="S227" s="4"/>
    </row>
    <row r="228" spans="1:19" x14ac:dyDescent="0.25">
      <c r="A228" s="8" t="str">
        <f t="shared" si="24"/>
        <v/>
      </c>
      <c r="B228" s="9"/>
      <c r="C228" s="8" t="str">
        <f t="shared" si="25"/>
        <v/>
      </c>
      <c r="D228" s="10" t="str">
        <f t="shared" si="26"/>
        <v/>
      </c>
      <c r="E228" s="8" t="str">
        <f t="shared" si="27"/>
        <v/>
      </c>
      <c r="F228" s="28" t="str">
        <f t="shared" si="28"/>
        <v/>
      </c>
      <c r="G228" s="4"/>
      <c r="H228" s="8"/>
      <c r="I228" s="50"/>
      <c r="J228" s="25"/>
      <c r="K228" s="26" t="str">
        <f t="shared" si="29"/>
        <v/>
      </c>
      <c r="L228" s="51"/>
      <c r="M228" s="51"/>
      <c r="N228" s="4"/>
      <c r="O228" s="4"/>
      <c r="P228" s="28" t="str">
        <f>IF(A228="","",SUMIFS('CARGAS DE COMBUSTIBLE'!$N$2:$N$301,'CARGAS DE COMBUSTIBLE'!$AA$2:$AA$301,A228))</f>
        <v/>
      </c>
      <c r="Q228" s="28" t="str">
        <f t="shared" si="30"/>
        <v/>
      </c>
      <c r="R228" s="56" t="str">
        <f t="shared" si="31"/>
        <v/>
      </c>
      <c r="S228" s="4"/>
    </row>
    <row r="229" spans="1:19" x14ac:dyDescent="0.25">
      <c r="A229" s="8" t="str">
        <f t="shared" si="24"/>
        <v/>
      </c>
      <c r="B229" s="9"/>
      <c r="C229" s="8" t="str">
        <f t="shared" si="25"/>
        <v/>
      </c>
      <c r="D229" s="10" t="str">
        <f t="shared" si="26"/>
        <v/>
      </c>
      <c r="E229" s="8" t="str">
        <f t="shared" si="27"/>
        <v/>
      </c>
      <c r="F229" s="28" t="str">
        <f t="shared" si="28"/>
        <v/>
      </c>
      <c r="G229" s="4"/>
      <c r="H229" s="8"/>
      <c r="I229" s="50"/>
      <c r="J229" s="25"/>
      <c r="K229" s="26" t="str">
        <f t="shared" si="29"/>
        <v/>
      </c>
      <c r="L229" s="51"/>
      <c r="M229" s="51"/>
      <c r="N229" s="4"/>
      <c r="O229" s="4"/>
      <c r="P229" s="28" t="str">
        <f>IF(A229="","",SUMIFS('CARGAS DE COMBUSTIBLE'!$N$2:$N$301,'CARGAS DE COMBUSTIBLE'!$AA$2:$AA$301,A229))</f>
        <v/>
      </c>
      <c r="Q229" s="28" t="str">
        <f t="shared" si="30"/>
        <v/>
      </c>
      <c r="R229" s="56" t="str">
        <f t="shared" si="31"/>
        <v/>
      </c>
      <c r="S229" s="4"/>
    </row>
    <row r="230" spans="1:19" x14ac:dyDescent="0.25">
      <c r="A230" s="8" t="str">
        <f t="shared" si="24"/>
        <v/>
      </c>
      <c r="B230" s="9"/>
      <c r="C230" s="8" t="str">
        <f t="shared" si="25"/>
        <v/>
      </c>
      <c r="D230" s="10" t="str">
        <f t="shared" si="26"/>
        <v/>
      </c>
      <c r="E230" s="8" t="str">
        <f t="shared" si="27"/>
        <v/>
      </c>
      <c r="F230" s="28" t="str">
        <f t="shared" si="28"/>
        <v/>
      </c>
      <c r="G230" s="4"/>
      <c r="H230" s="8"/>
      <c r="I230" s="50"/>
      <c r="J230" s="25"/>
      <c r="K230" s="26" t="str">
        <f t="shared" si="29"/>
        <v/>
      </c>
      <c r="L230" s="51"/>
      <c r="M230" s="51"/>
      <c r="N230" s="4"/>
      <c r="O230" s="4"/>
      <c r="P230" s="28" t="str">
        <f>IF(A230="","",SUMIFS('CARGAS DE COMBUSTIBLE'!$N$2:$N$301,'CARGAS DE COMBUSTIBLE'!$AA$2:$AA$301,A230))</f>
        <v/>
      </c>
      <c r="Q230" s="28" t="str">
        <f t="shared" si="30"/>
        <v/>
      </c>
      <c r="R230" s="56" t="str">
        <f t="shared" si="31"/>
        <v/>
      </c>
      <c r="S230" s="4"/>
    </row>
    <row r="231" spans="1:19" x14ac:dyDescent="0.25">
      <c r="A231" s="8" t="str">
        <f t="shared" si="24"/>
        <v/>
      </c>
      <c r="B231" s="9"/>
      <c r="C231" s="8" t="str">
        <f t="shared" si="25"/>
        <v/>
      </c>
      <c r="D231" s="10" t="str">
        <f t="shared" si="26"/>
        <v/>
      </c>
      <c r="E231" s="8" t="str">
        <f t="shared" si="27"/>
        <v/>
      </c>
      <c r="F231" s="28" t="str">
        <f t="shared" si="28"/>
        <v/>
      </c>
      <c r="G231" s="4"/>
      <c r="H231" s="8"/>
      <c r="I231" s="50"/>
      <c r="J231" s="25"/>
      <c r="K231" s="26" t="str">
        <f t="shared" si="29"/>
        <v/>
      </c>
      <c r="L231" s="51"/>
      <c r="M231" s="51"/>
      <c r="N231" s="4"/>
      <c r="O231" s="4"/>
      <c r="P231" s="28" t="str">
        <f>IF(A231="","",SUMIFS('CARGAS DE COMBUSTIBLE'!$N$2:$N$301,'CARGAS DE COMBUSTIBLE'!$AA$2:$AA$301,A231))</f>
        <v/>
      </c>
      <c r="Q231" s="28" t="str">
        <f t="shared" si="30"/>
        <v/>
      </c>
      <c r="R231" s="56" t="str">
        <f t="shared" si="31"/>
        <v/>
      </c>
      <c r="S231" s="4"/>
    </row>
    <row r="232" spans="1:19" x14ac:dyDescent="0.25">
      <c r="A232" s="8" t="str">
        <f t="shared" si="24"/>
        <v/>
      </c>
      <c r="B232" s="9"/>
      <c r="C232" s="8" t="str">
        <f t="shared" si="25"/>
        <v/>
      </c>
      <c r="D232" s="10" t="str">
        <f t="shared" si="26"/>
        <v/>
      </c>
      <c r="E232" s="8" t="str">
        <f t="shared" si="27"/>
        <v/>
      </c>
      <c r="F232" s="28" t="str">
        <f t="shared" si="28"/>
        <v/>
      </c>
      <c r="G232" s="4"/>
      <c r="H232" s="8"/>
      <c r="I232" s="50"/>
      <c r="J232" s="25"/>
      <c r="K232" s="26" t="str">
        <f t="shared" si="29"/>
        <v/>
      </c>
      <c r="L232" s="51"/>
      <c r="M232" s="51"/>
      <c r="N232" s="4"/>
      <c r="O232" s="4"/>
      <c r="P232" s="28" t="str">
        <f>IF(A232="","",SUMIFS('CARGAS DE COMBUSTIBLE'!$N$2:$N$301,'CARGAS DE COMBUSTIBLE'!$AA$2:$AA$301,A232))</f>
        <v/>
      </c>
      <c r="Q232" s="28" t="str">
        <f t="shared" si="30"/>
        <v/>
      </c>
      <c r="R232" s="56" t="str">
        <f t="shared" si="31"/>
        <v/>
      </c>
      <c r="S232" s="4"/>
    </row>
    <row r="233" spans="1:19" x14ac:dyDescent="0.25">
      <c r="A233" s="8" t="str">
        <f t="shared" si="24"/>
        <v/>
      </c>
      <c r="B233" s="9"/>
      <c r="C233" s="8" t="str">
        <f t="shared" si="25"/>
        <v/>
      </c>
      <c r="D233" s="10" t="str">
        <f t="shared" si="26"/>
        <v/>
      </c>
      <c r="E233" s="8" t="str">
        <f t="shared" si="27"/>
        <v/>
      </c>
      <c r="F233" s="28" t="str">
        <f t="shared" si="28"/>
        <v/>
      </c>
      <c r="G233" s="4"/>
      <c r="H233" s="8"/>
      <c r="I233" s="50"/>
      <c r="J233" s="25"/>
      <c r="K233" s="26" t="str">
        <f t="shared" si="29"/>
        <v/>
      </c>
      <c r="L233" s="51"/>
      <c r="M233" s="51"/>
      <c r="N233" s="4"/>
      <c r="O233" s="4"/>
      <c r="P233" s="28" t="str">
        <f>IF(A233="","",SUMIFS('CARGAS DE COMBUSTIBLE'!$N$2:$N$301,'CARGAS DE COMBUSTIBLE'!$AA$2:$AA$301,A233))</f>
        <v/>
      </c>
      <c r="Q233" s="28" t="str">
        <f t="shared" si="30"/>
        <v/>
      </c>
      <c r="R233" s="56" t="str">
        <f t="shared" si="31"/>
        <v/>
      </c>
      <c r="S233" s="4"/>
    </row>
    <row r="234" spans="1:19" x14ac:dyDescent="0.25">
      <c r="A234" s="8" t="str">
        <f t="shared" si="24"/>
        <v/>
      </c>
      <c r="B234" s="9"/>
      <c r="C234" s="8" t="str">
        <f t="shared" si="25"/>
        <v/>
      </c>
      <c r="D234" s="10" t="str">
        <f t="shared" si="26"/>
        <v/>
      </c>
      <c r="E234" s="8" t="str">
        <f t="shared" si="27"/>
        <v/>
      </c>
      <c r="F234" s="28" t="str">
        <f t="shared" si="28"/>
        <v/>
      </c>
      <c r="G234" s="4"/>
      <c r="H234" s="8"/>
      <c r="I234" s="50"/>
      <c r="J234" s="25"/>
      <c r="K234" s="26" t="str">
        <f t="shared" si="29"/>
        <v/>
      </c>
      <c r="L234" s="51"/>
      <c r="M234" s="51"/>
      <c r="N234" s="4"/>
      <c r="O234" s="4"/>
      <c r="P234" s="28" t="str">
        <f>IF(A234="","",SUMIFS('CARGAS DE COMBUSTIBLE'!$N$2:$N$301,'CARGAS DE COMBUSTIBLE'!$AA$2:$AA$301,A234))</f>
        <v/>
      </c>
      <c r="Q234" s="28" t="str">
        <f t="shared" si="30"/>
        <v/>
      </c>
      <c r="R234" s="56" t="str">
        <f t="shared" si="31"/>
        <v/>
      </c>
      <c r="S234" s="4"/>
    </row>
    <row r="235" spans="1:19" x14ac:dyDescent="0.25">
      <c r="A235" s="8" t="str">
        <f t="shared" si="24"/>
        <v/>
      </c>
      <c r="B235" s="9"/>
      <c r="C235" s="8" t="str">
        <f t="shared" si="25"/>
        <v/>
      </c>
      <c r="D235" s="10" t="str">
        <f t="shared" si="26"/>
        <v/>
      </c>
      <c r="E235" s="8" t="str">
        <f t="shared" si="27"/>
        <v/>
      </c>
      <c r="F235" s="28" t="str">
        <f t="shared" si="28"/>
        <v/>
      </c>
      <c r="G235" s="4"/>
      <c r="H235" s="8"/>
      <c r="I235" s="50"/>
      <c r="J235" s="25"/>
      <c r="K235" s="26" t="str">
        <f t="shared" si="29"/>
        <v/>
      </c>
      <c r="L235" s="51"/>
      <c r="M235" s="51"/>
      <c r="N235" s="4"/>
      <c r="O235" s="4"/>
      <c r="P235" s="28" t="str">
        <f>IF(A235="","",SUMIFS('CARGAS DE COMBUSTIBLE'!$N$2:$N$301,'CARGAS DE COMBUSTIBLE'!$AA$2:$AA$301,A235))</f>
        <v/>
      </c>
      <c r="Q235" s="28" t="str">
        <f t="shared" si="30"/>
        <v/>
      </c>
      <c r="R235" s="56" t="str">
        <f t="shared" si="31"/>
        <v/>
      </c>
      <c r="S235" s="4"/>
    </row>
    <row r="236" spans="1:19" x14ac:dyDescent="0.25">
      <c r="A236" s="8" t="str">
        <f t="shared" si="24"/>
        <v/>
      </c>
      <c r="B236" s="9"/>
      <c r="C236" s="8" t="str">
        <f t="shared" si="25"/>
        <v/>
      </c>
      <c r="D236" s="10" t="str">
        <f t="shared" si="26"/>
        <v/>
      </c>
      <c r="E236" s="8" t="str">
        <f t="shared" si="27"/>
        <v/>
      </c>
      <c r="F236" s="28" t="str">
        <f t="shared" si="28"/>
        <v/>
      </c>
      <c r="G236" s="4"/>
      <c r="H236" s="8"/>
      <c r="I236" s="50"/>
      <c r="J236" s="25"/>
      <c r="K236" s="26" t="str">
        <f t="shared" si="29"/>
        <v/>
      </c>
      <c r="L236" s="51"/>
      <c r="M236" s="51"/>
      <c r="N236" s="4"/>
      <c r="O236" s="4"/>
      <c r="P236" s="28" t="str">
        <f>IF(A236="","",SUMIFS('CARGAS DE COMBUSTIBLE'!$N$2:$N$301,'CARGAS DE COMBUSTIBLE'!$AA$2:$AA$301,A236))</f>
        <v/>
      </c>
      <c r="Q236" s="28" t="str">
        <f t="shared" si="30"/>
        <v/>
      </c>
      <c r="R236" s="56" t="str">
        <f t="shared" si="31"/>
        <v/>
      </c>
      <c r="S236" s="4"/>
    </row>
    <row r="237" spans="1:19" x14ac:dyDescent="0.25">
      <c r="A237" s="8" t="str">
        <f t="shared" si="24"/>
        <v/>
      </c>
      <c r="B237" s="9"/>
      <c r="C237" s="8" t="str">
        <f t="shared" si="25"/>
        <v/>
      </c>
      <c r="D237" s="10" t="str">
        <f t="shared" si="26"/>
        <v/>
      </c>
      <c r="E237" s="8" t="str">
        <f t="shared" si="27"/>
        <v/>
      </c>
      <c r="F237" s="28" t="str">
        <f t="shared" si="28"/>
        <v/>
      </c>
      <c r="G237" s="4"/>
      <c r="H237" s="8"/>
      <c r="I237" s="50"/>
      <c r="J237" s="25"/>
      <c r="K237" s="26" t="str">
        <f t="shared" si="29"/>
        <v/>
      </c>
      <c r="L237" s="51"/>
      <c r="M237" s="51"/>
      <c r="N237" s="4"/>
      <c r="O237" s="4"/>
      <c r="P237" s="28" t="str">
        <f>IF(A237="","",SUMIFS('CARGAS DE COMBUSTIBLE'!$N$2:$N$301,'CARGAS DE COMBUSTIBLE'!$AA$2:$AA$301,A237))</f>
        <v/>
      </c>
      <c r="Q237" s="28" t="str">
        <f t="shared" si="30"/>
        <v/>
      </c>
      <c r="R237" s="56" t="str">
        <f t="shared" si="31"/>
        <v/>
      </c>
      <c r="S237" s="4"/>
    </row>
    <row r="238" spans="1:19" x14ac:dyDescent="0.25">
      <c r="A238" s="8" t="str">
        <f t="shared" si="24"/>
        <v/>
      </c>
      <c r="B238" s="9"/>
      <c r="C238" s="8" t="str">
        <f t="shared" si="25"/>
        <v/>
      </c>
      <c r="D238" s="10" t="str">
        <f t="shared" si="26"/>
        <v/>
      </c>
      <c r="E238" s="8" t="str">
        <f t="shared" si="27"/>
        <v/>
      </c>
      <c r="F238" s="28" t="str">
        <f t="shared" si="28"/>
        <v/>
      </c>
      <c r="G238" s="4"/>
      <c r="H238" s="8"/>
      <c r="I238" s="50"/>
      <c r="J238" s="25"/>
      <c r="K238" s="26" t="str">
        <f t="shared" si="29"/>
        <v/>
      </c>
      <c r="L238" s="51"/>
      <c r="M238" s="51"/>
      <c r="N238" s="4"/>
      <c r="O238" s="4"/>
      <c r="P238" s="28" t="str">
        <f>IF(A238="","",SUMIFS('CARGAS DE COMBUSTIBLE'!$N$2:$N$301,'CARGAS DE COMBUSTIBLE'!$AA$2:$AA$301,A238))</f>
        <v/>
      </c>
      <c r="Q238" s="28" t="str">
        <f t="shared" si="30"/>
        <v/>
      </c>
      <c r="R238" s="56" t="str">
        <f t="shared" si="31"/>
        <v/>
      </c>
      <c r="S238" s="4"/>
    </row>
    <row r="239" spans="1:19" x14ac:dyDescent="0.25">
      <c r="A239" s="8" t="str">
        <f t="shared" si="24"/>
        <v/>
      </c>
      <c r="B239" s="9"/>
      <c r="C239" s="8" t="str">
        <f t="shared" si="25"/>
        <v/>
      </c>
      <c r="D239" s="10" t="str">
        <f t="shared" si="26"/>
        <v/>
      </c>
      <c r="E239" s="8" t="str">
        <f t="shared" si="27"/>
        <v/>
      </c>
      <c r="F239" s="28" t="str">
        <f t="shared" si="28"/>
        <v/>
      </c>
      <c r="G239" s="4"/>
      <c r="H239" s="8"/>
      <c r="I239" s="50"/>
      <c r="J239" s="25"/>
      <c r="K239" s="26" t="str">
        <f t="shared" si="29"/>
        <v/>
      </c>
      <c r="L239" s="51"/>
      <c r="M239" s="51"/>
      <c r="N239" s="4"/>
      <c r="O239" s="4"/>
      <c r="P239" s="28" t="str">
        <f>IF(A239="","",SUMIFS('CARGAS DE COMBUSTIBLE'!$N$2:$N$301,'CARGAS DE COMBUSTIBLE'!$AA$2:$AA$301,A239))</f>
        <v/>
      </c>
      <c r="Q239" s="28" t="str">
        <f t="shared" si="30"/>
        <v/>
      </c>
      <c r="R239" s="56" t="str">
        <f t="shared" si="31"/>
        <v/>
      </c>
      <c r="S239" s="4"/>
    </row>
    <row r="240" spans="1:19" x14ac:dyDescent="0.25">
      <c r="A240" s="8" t="str">
        <f t="shared" si="24"/>
        <v/>
      </c>
      <c r="B240" s="9"/>
      <c r="C240" s="8" t="str">
        <f t="shared" si="25"/>
        <v/>
      </c>
      <c r="D240" s="10" t="str">
        <f t="shared" si="26"/>
        <v/>
      </c>
      <c r="E240" s="8" t="str">
        <f t="shared" si="27"/>
        <v/>
      </c>
      <c r="F240" s="28" t="str">
        <f t="shared" si="28"/>
        <v/>
      </c>
      <c r="G240" s="4"/>
      <c r="H240" s="8"/>
      <c r="I240" s="50"/>
      <c r="J240" s="25"/>
      <c r="K240" s="26" t="str">
        <f t="shared" si="29"/>
        <v/>
      </c>
      <c r="L240" s="51"/>
      <c r="M240" s="51"/>
      <c r="N240" s="4"/>
      <c r="O240" s="4"/>
      <c r="P240" s="28" t="str">
        <f>IF(A240="","",SUMIFS('CARGAS DE COMBUSTIBLE'!$N$2:$N$301,'CARGAS DE COMBUSTIBLE'!$AA$2:$AA$301,A240))</f>
        <v/>
      </c>
      <c r="Q240" s="28" t="str">
        <f t="shared" si="30"/>
        <v/>
      </c>
      <c r="R240" s="56" t="str">
        <f t="shared" si="31"/>
        <v/>
      </c>
      <c r="S240" s="4"/>
    </row>
    <row r="241" spans="1:19" x14ac:dyDescent="0.25">
      <c r="A241" s="8" t="str">
        <f t="shared" si="24"/>
        <v/>
      </c>
      <c r="B241" s="9"/>
      <c r="C241" s="8" t="str">
        <f t="shared" si="25"/>
        <v/>
      </c>
      <c r="D241" s="10" t="str">
        <f t="shared" si="26"/>
        <v/>
      </c>
      <c r="E241" s="8" t="str">
        <f t="shared" si="27"/>
        <v/>
      </c>
      <c r="F241" s="28" t="str">
        <f t="shared" si="28"/>
        <v/>
      </c>
      <c r="G241" s="4"/>
      <c r="H241" s="8"/>
      <c r="I241" s="50"/>
      <c r="J241" s="25"/>
      <c r="K241" s="26" t="str">
        <f t="shared" si="29"/>
        <v/>
      </c>
      <c r="L241" s="51"/>
      <c r="M241" s="51"/>
      <c r="N241" s="4"/>
      <c r="O241" s="4"/>
      <c r="P241" s="28" t="str">
        <f>IF(A241="","",SUMIFS('CARGAS DE COMBUSTIBLE'!$N$2:$N$301,'CARGAS DE COMBUSTIBLE'!$AA$2:$AA$301,A241))</f>
        <v/>
      </c>
      <c r="Q241" s="28" t="str">
        <f t="shared" si="30"/>
        <v/>
      </c>
      <c r="R241" s="56" t="str">
        <f t="shared" si="31"/>
        <v/>
      </c>
      <c r="S241" s="4"/>
    </row>
    <row r="242" spans="1:19" x14ac:dyDescent="0.25">
      <c r="A242" s="8" t="str">
        <f t="shared" si="24"/>
        <v/>
      </c>
      <c r="B242" s="9"/>
      <c r="C242" s="8" t="str">
        <f t="shared" si="25"/>
        <v/>
      </c>
      <c r="D242" s="10" t="str">
        <f t="shared" si="26"/>
        <v/>
      </c>
      <c r="E242" s="8" t="str">
        <f t="shared" si="27"/>
        <v/>
      </c>
      <c r="F242" s="28" t="str">
        <f t="shared" si="28"/>
        <v/>
      </c>
      <c r="G242" s="4"/>
      <c r="H242" s="8"/>
      <c r="I242" s="50"/>
      <c r="J242" s="25"/>
      <c r="K242" s="26" t="str">
        <f t="shared" si="29"/>
        <v/>
      </c>
      <c r="L242" s="51"/>
      <c r="M242" s="51"/>
      <c r="N242" s="4"/>
      <c r="O242" s="4"/>
      <c r="P242" s="28" t="str">
        <f>IF(A242="","",SUMIFS('CARGAS DE COMBUSTIBLE'!$N$2:$N$301,'CARGAS DE COMBUSTIBLE'!$AA$2:$AA$301,A242))</f>
        <v/>
      </c>
      <c r="Q242" s="28" t="str">
        <f t="shared" si="30"/>
        <v/>
      </c>
      <c r="R242" s="56" t="str">
        <f t="shared" si="31"/>
        <v/>
      </c>
      <c r="S242" s="4"/>
    </row>
    <row r="243" spans="1:19" x14ac:dyDescent="0.25">
      <c r="A243" s="8" t="str">
        <f t="shared" si="24"/>
        <v/>
      </c>
      <c r="B243" s="9"/>
      <c r="C243" s="8" t="str">
        <f t="shared" si="25"/>
        <v/>
      </c>
      <c r="D243" s="10" t="str">
        <f t="shared" si="26"/>
        <v/>
      </c>
      <c r="E243" s="8" t="str">
        <f t="shared" si="27"/>
        <v/>
      </c>
      <c r="F243" s="28" t="str">
        <f t="shared" si="28"/>
        <v/>
      </c>
      <c r="G243" s="4"/>
      <c r="H243" s="8"/>
      <c r="I243" s="50"/>
      <c r="J243" s="25"/>
      <c r="K243" s="26" t="str">
        <f t="shared" si="29"/>
        <v/>
      </c>
      <c r="L243" s="51"/>
      <c r="M243" s="51"/>
      <c r="N243" s="4"/>
      <c r="O243" s="4"/>
      <c r="P243" s="28" t="str">
        <f>IF(A243="","",SUMIFS('CARGAS DE COMBUSTIBLE'!$N$2:$N$301,'CARGAS DE COMBUSTIBLE'!$AA$2:$AA$301,A243))</f>
        <v/>
      </c>
      <c r="Q243" s="28" t="str">
        <f t="shared" si="30"/>
        <v/>
      </c>
      <c r="R243" s="56" t="str">
        <f t="shared" si="31"/>
        <v/>
      </c>
      <c r="S243" s="4"/>
    </row>
    <row r="244" spans="1:19" x14ac:dyDescent="0.25">
      <c r="A244" s="8" t="str">
        <f t="shared" si="24"/>
        <v/>
      </c>
      <c r="B244" s="9"/>
      <c r="C244" s="8" t="str">
        <f t="shared" si="25"/>
        <v/>
      </c>
      <c r="D244" s="10" t="str">
        <f t="shared" si="26"/>
        <v/>
      </c>
      <c r="E244" s="8" t="str">
        <f t="shared" si="27"/>
        <v/>
      </c>
      <c r="F244" s="28" t="str">
        <f t="shared" si="28"/>
        <v/>
      </c>
      <c r="G244" s="4"/>
      <c r="H244" s="8"/>
      <c r="I244" s="50"/>
      <c r="J244" s="25"/>
      <c r="K244" s="26" t="str">
        <f t="shared" si="29"/>
        <v/>
      </c>
      <c r="L244" s="51"/>
      <c r="M244" s="51"/>
      <c r="N244" s="4"/>
      <c r="O244" s="4"/>
      <c r="P244" s="28" t="str">
        <f>IF(A244="","",SUMIFS('CARGAS DE COMBUSTIBLE'!$N$2:$N$301,'CARGAS DE COMBUSTIBLE'!$AA$2:$AA$301,A244))</f>
        <v/>
      </c>
      <c r="Q244" s="28" t="str">
        <f t="shared" si="30"/>
        <v/>
      </c>
      <c r="R244" s="56" t="str">
        <f t="shared" si="31"/>
        <v/>
      </c>
      <c r="S244" s="4"/>
    </row>
    <row r="245" spans="1:19" x14ac:dyDescent="0.25">
      <c r="A245" s="8" t="str">
        <f t="shared" si="24"/>
        <v/>
      </c>
      <c r="B245" s="9"/>
      <c r="C245" s="8" t="str">
        <f t="shared" si="25"/>
        <v/>
      </c>
      <c r="D245" s="10" t="str">
        <f t="shared" si="26"/>
        <v/>
      </c>
      <c r="E245" s="8" t="str">
        <f t="shared" si="27"/>
        <v/>
      </c>
      <c r="F245" s="28" t="str">
        <f t="shared" si="28"/>
        <v/>
      </c>
      <c r="G245" s="4"/>
      <c r="H245" s="8"/>
      <c r="I245" s="50"/>
      <c r="J245" s="25"/>
      <c r="K245" s="26" t="str">
        <f t="shared" si="29"/>
        <v/>
      </c>
      <c r="L245" s="51"/>
      <c r="M245" s="51"/>
      <c r="N245" s="4"/>
      <c r="O245" s="4"/>
      <c r="P245" s="28" t="str">
        <f>IF(A245="","",SUMIFS('CARGAS DE COMBUSTIBLE'!$N$2:$N$301,'CARGAS DE COMBUSTIBLE'!$AA$2:$AA$301,A245))</f>
        <v/>
      </c>
      <c r="Q245" s="28" t="str">
        <f t="shared" si="30"/>
        <v/>
      </c>
      <c r="R245" s="56" t="str">
        <f t="shared" si="31"/>
        <v/>
      </c>
      <c r="S245" s="4"/>
    </row>
    <row r="246" spans="1:19" x14ac:dyDescent="0.25">
      <c r="A246" s="8" t="str">
        <f t="shared" si="24"/>
        <v/>
      </c>
      <c r="B246" s="9"/>
      <c r="C246" s="8" t="str">
        <f t="shared" si="25"/>
        <v/>
      </c>
      <c r="D246" s="10" t="str">
        <f t="shared" si="26"/>
        <v/>
      </c>
      <c r="E246" s="8" t="str">
        <f t="shared" si="27"/>
        <v/>
      </c>
      <c r="F246" s="28" t="str">
        <f t="shared" si="28"/>
        <v/>
      </c>
      <c r="G246" s="4"/>
      <c r="H246" s="8"/>
      <c r="I246" s="50"/>
      <c r="J246" s="25"/>
      <c r="K246" s="26" t="str">
        <f t="shared" si="29"/>
        <v/>
      </c>
      <c r="L246" s="51"/>
      <c r="M246" s="51"/>
      <c r="N246" s="4"/>
      <c r="O246" s="4"/>
      <c r="P246" s="28" t="str">
        <f>IF(A246="","",SUMIFS('CARGAS DE COMBUSTIBLE'!$N$2:$N$301,'CARGAS DE COMBUSTIBLE'!$AA$2:$AA$301,A246))</f>
        <v/>
      </c>
      <c r="Q246" s="28" t="str">
        <f t="shared" si="30"/>
        <v/>
      </c>
      <c r="R246" s="56" t="str">
        <f t="shared" si="31"/>
        <v/>
      </c>
      <c r="S246" s="4"/>
    </row>
    <row r="247" spans="1:19" x14ac:dyDescent="0.25">
      <c r="A247" s="8" t="str">
        <f t="shared" si="24"/>
        <v/>
      </c>
      <c r="B247" s="9"/>
      <c r="C247" s="8" t="str">
        <f t="shared" si="25"/>
        <v/>
      </c>
      <c r="D247" s="10" t="str">
        <f t="shared" si="26"/>
        <v/>
      </c>
      <c r="E247" s="8" t="str">
        <f t="shared" si="27"/>
        <v/>
      </c>
      <c r="F247" s="28" t="str">
        <f t="shared" si="28"/>
        <v/>
      </c>
      <c r="G247" s="4"/>
      <c r="H247" s="8"/>
      <c r="I247" s="50"/>
      <c r="J247" s="25"/>
      <c r="K247" s="26" t="str">
        <f t="shared" si="29"/>
        <v/>
      </c>
      <c r="L247" s="51"/>
      <c r="M247" s="51"/>
      <c r="N247" s="4"/>
      <c r="O247" s="4"/>
      <c r="P247" s="28" t="str">
        <f>IF(A247="","",SUMIFS('CARGAS DE COMBUSTIBLE'!$N$2:$N$301,'CARGAS DE COMBUSTIBLE'!$AA$2:$AA$301,A247))</f>
        <v/>
      </c>
      <c r="Q247" s="28" t="str">
        <f t="shared" si="30"/>
        <v/>
      </c>
      <c r="R247" s="56" t="str">
        <f t="shared" si="31"/>
        <v/>
      </c>
      <c r="S247" s="4"/>
    </row>
    <row r="248" spans="1:19" x14ac:dyDescent="0.25">
      <c r="A248" s="8" t="str">
        <f t="shared" si="24"/>
        <v/>
      </c>
      <c r="B248" s="9"/>
      <c r="C248" s="8" t="str">
        <f t="shared" si="25"/>
        <v/>
      </c>
      <c r="D248" s="10" t="str">
        <f t="shared" si="26"/>
        <v/>
      </c>
      <c r="E248" s="8" t="str">
        <f t="shared" si="27"/>
        <v/>
      </c>
      <c r="F248" s="28" t="str">
        <f t="shared" si="28"/>
        <v/>
      </c>
      <c r="G248" s="4"/>
      <c r="H248" s="8"/>
      <c r="I248" s="50"/>
      <c r="J248" s="25"/>
      <c r="K248" s="26" t="str">
        <f t="shared" si="29"/>
        <v/>
      </c>
      <c r="L248" s="51"/>
      <c r="M248" s="51"/>
      <c r="N248" s="4"/>
      <c r="O248" s="4"/>
      <c r="P248" s="28" t="str">
        <f>IF(A248="","",SUMIFS('CARGAS DE COMBUSTIBLE'!$N$2:$N$301,'CARGAS DE COMBUSTIBLE'!$AA$2:$AA$301,A248))</f>
        <v/>
      </c>
      <c r="Q248" s="28" t="str">
        <f t="shared" si="30"/>
        <v/>
      </c>
      <c r="R248" s="56" t="str">
        <f t="shared" si="31"/>
        <v/>
      </c>
      <c r="S248" s="4"/>
    </row>
    <row r="249" spans="1:19" x14ac:dyDescent="0.25">
      <c r="A249" s="8" t="str">
        <f t="shared" si="24"/>
        <v/>
      </c>
      <c r="B249" s="9"/>
      <c r="C249" s="8" t="str">
        <f t="shared" si="25"/>
        <v/>
      </c>
      <c r="D249" s="10" t="str">
        <f t="shared" si="26"/>
        <v/>
      </c>
      <c r="E249" s="8" t="str">
        <f t="shared" si="27"/>
        <v/>
      </c>
      <c r="F249" s="28" t="str">
        <f t="shared" si="28"/>
        <v/>
      </c>
      <c r="G249" s="4"/>
      <c r="H249" s="8"/>
      <c r="I249" s="50"/>
      <c r="J249" s="25"/>
      <c r="K249" s="26" t="str">
        <f t="shared" si="29"/>
        <v/>
      </c>
      <c r="L249" s="51"/>
      <c r="M249" s="51"/>
      <c r="N249" s="4"/>
      <c r="O249" s="4"/>
      <c r="P249" s="28" t="str">
        <f>IF(A249="","",SUMIFS('CARGAS DE COMBUSTIBLE'!$N$2:$N$301,'CARGAS DE COMBUSTIBLE'!$AA$2:$AA$301,A249))</f>
        <v/>
      </c>
      <c r="Q249" s="28" t="str">
        <f t="shared" si="30"/>
        <v/>
      </c>
      <c r="R249" s="56" t="str">
        <f t="shared" si="31"/>
        <v/>
      </c>
      <c r="S249" s="4"/>
    </row>
    <row r="250" spans="1:19" x14ac:dyDescent="0.25">
      <c r="A250" s="8" t="str">
        <f t="shared" si="24"/>
        <v/>
      </c>
      <c r="B250" s="9"/>
      <c r="C250" s="8" t="str">
        <f t="shared" si="25"/>
        <v/>
      </c>
      <c r="D250" s="10" t="str">
        <f t="shared" si="26"/>
        <v/>
      </c>
      <c r="E250" s="8" t="str">
        <f t="shared" si="27"/>
        <v/>
      </c>
      <c r="F250" s="28" t="str">
        <f t="shared" si="28"/>
        <v/>
      </c>
      <c r="G250" s="4"/>
      <c r="H250" s="8"/>
      <c r="I250" s="50"/>
      <c r="J250" s="25"/>
      <c r="K250" s="26" t="str">
        <f t="shared" si="29"/>
        <v/>
      </c>
      <c r="L250" s="51"/>
      <c r="M250" s="51"/>
      <c r="N250" s="4"/>
      <c r="O250" s="4"/>
      <c r="P250" s="28" t="str">
        <f>IF(A250="","",SUMIFS('CARGAS DE COMBUSTIBLE'!$N$2:$N$301,'CARGAS DE COMBUSTIBLE'!$AA$2:$AA$301,A250))</f>
        <v/>
      </c>
      <c r="Q250" s="28" t="str">
        <f t="shared" si="30"/>
        <v/>
      </c>
      <c r="R250" s="56" t="str">
        <f t="shared" si="31"/>
        <v/>
      </c>
      <c r="S250" s="4"/>
    </row>
    <row r="251" spans="1:19" x14ac:dyDescent="0.25">
      <c r="A251" s="8" t="str">
        <f t="shared" si="24"/>
        <v/>
      </c>
      <c r="B251" s="9"/>
      <c r="C251" s="8" t="str">
        <f t="shared" si="25"/>
        <v/>
      </c>
      <c r="D251" s="10" t="str">
        <f t="shared" si="26"/>
        <v/>
      </c>
      <c r="E251" s="8" t="str">
        <f t="shared" si="27"/>
        <v/>
      </c>
      <c r="F251" s="28" t="str">
        <f t="shared" si="28"/>
        <v/>
      </c>
      <c r="G251" s="4"/>
      <c r="H251" s="8"/>
      <c r="I251" s="50"/>
      <c r="J251" s="25"/>
      <c r="K251" s="26" t="str">
        <f t="shared" si="29"/>
        <v/>
      </c>
      <c r="L251" s="51"/>
      <c r="M251" s="51"/>
      <c r="N251" s="4"/>
      <c r="O251" s="4"/>
      <c r="P251" s="28" t="str">
        <f>IF(A251="","",SUMIFS('CARGAS DE COMBUSTIBLE'!$N$2:$N$301,'CARGAS DE COMBUSTIBLE'!$AA$2:$AA$301,A251))</f>
        <v/>
      </c>
      <c r="Q251" s="28" t="str">
        <f t="shared" si="30"/>
        <v/>
      </c>
      <c r="R251" s="56" t="str">
        <f t="shared" si="31"/>
        <v/>
      </c>
      <c r="S251" s="4"/>
    </row>
    <row r="252" spans="1:19" x14ac:dyDescent="0.25">
      <c r="A252" s="8" t="str">
        <f t="shared" si="24"/>
        <v/>
      </c>
      <c r="B252" s="9"/>
      <c r="C252" s="8" t="str">
        <f t="shared" si="25"/>
        <v/>
      </c>
      <c r="D252" s="10" t="str">
        <f t="shared" si="26"/>
        <v/>
      </c>
      <c r="E252" s="8" t="str">
        <f t="shared" si="27"/>
        <v/>
      </c>
      <c r="F252" s="28" t="str">
        <f t="shared" si="28"/>
        <v/>
      </c>
      <c r="G252" s="4"/>
      <c r="H252" s="8"/>
      <c r="I252" s="50"/>
      <c r="J252" s="25"/>
      <c r="K252" s="26" t="str">
        <f t="shared" si="29"/>
        <v/>
      </c>
      <c r="L252" s="51"/>
      <c r="M252" s="51"/>
      <c r="N252" s="4"/>
      <c r="O252" s="4"/>
      <c r="P252" s="28" t="str">
        <f>IF(A252="","",SUMIFS('CARGAS DE COMBUSTIBLE'!$N$2:$N$301,'CARGAS DE COMBUSTIBLE'!$AA$2:$AA$301,A252))</f>
        <v/>
      </c>
      <c r="Q252" s="28" t="str">
        <f t="shared" si="30"/>
        <v/>
      </c>
      <c r="R252" s="56" t="str">
        <f t="shared" si="31"/>
        <v/>
      </c>
      <c r="S252" s="4"/>
    </row>
    <row r="253" spans="1:19" x14ac:dyDescent="0.25">
      <c r="A253" s="8" t="str">
        <f t="shared" si="24"/>
        <v/>
      </c>
      <c r="B253" s="9"/>
      <c r="C253" s="8" t="str">
        <f t="shared" si="25"/>
        <v/>
      </c>
      <c r="D253" s="10" t="str">
        <f t="shared" si="26"/>
        <v/>
      </c>
      <c r="E253" s="8" t="str">
        <f t="shared" si="27"/>
        <v/>
      </c>
      <c r="F253" s="28" t="str">
        <f t="shared" si="28"/>
        <v/>
      </c>
      <c r="G253" s="4"/>
      <c r="H253" s="8"/>
      <c r="I253" s="50"/>
      <c r="J253" s="25"/>
      <c r="K253" s="26" t="str">
        <f t="shared" si="29"/>
        <v/>
      </c>
      <c r="L253" s="51"/>
      <c r="M253" s="51"/>
      <c r="N253" s="4"/>
      <c r="O253" s="4"/>
      <c r="P253" s="28" t="str">
        <f>IF(A253="","",SUMIFS('CARGAS DE COMBUSTIBLE'!$N$2:$N$301,'CARGAS DE COMBUSTIBLE'!$AA$2:$AA$301,A253))</f>
        <v/>
      </c>
      <c r="Q253" s="28" t="str">
        <f t="shared" si="30"/>
        <v/>
      </c>
      <c r="R253" s="56" t="str">
        <f t="shared" si="31"/>
        <v/>
      </c>
      <c r="S253" s="4"/>
    </row>
    <row r="254" spans="1:19" x14ac:dyDescent="0.25">
      <c r="A254" s="8" t="str">
        <f t="shared" si="24"/>
        <v/>
      </c>
      <c r="B254" s="9"/>
      <c r="C254" s="8" t="str">
        <f t="shared" si="25"/>
        <v/>
      </c>
      <c r="D254" s="10" t="str">
        <f t="shared" si="26"/>
        <v/>
      </c>
      <c r="E254" s="8" t="str">
        <f t="shared" si="27"/>
        <v/>
      </c>
      <c r="F254" s="28" t="str">
        <f t="shared" si="28"/>
        <v/>
      </c>
      <c r="G254" s="4"/>
      <c r="H254" s="8"/>
      <c r="I254" s="50"/>
      <c r="J254" s="25"/>
      <c r="K254" s="26" t="str">
        <f t="shared" si="29"/>
        <v/>
      </c>
      <c r="L254" s="51"/>
      <c r="M254" s="51"/>
      <c r="N254" s="4"/>
      <c r="O254" s="4"/>
      <c r="P254" s="28" t="str">
        <f>IF(A254="","",SUMIFS('CARGAS DE COMBUSTIBLE'!$N$2:$N$301,'CARGAS DE COMBUSTIBLE'!$AA$2:$AA$301,A254))</f>
        <v/>
      </c>
      <c r="Q254" s="28" t="str">
        <f t="shared" si="30"/>
        <v/>
      </c>
      <c r="R254" s="56" t="str">
        <f t="shared" si="31"/>
        <v/>
      </c>
      <c r="S254" s="4"/>
    </row>
    <row r="255" spans="1:19" x14ac:dyDescent="0.25">
      <c r="A255" s="8" t="str">
        <f t="shared" si="24"/>
        <v/>
      </c>
      <c r="B255" s="9"/>
      <c r="C255" s="8" t="str">
        <f t="shared" si="25"/>
        <v/>
      </c>
      <c r="D255" s="10" t="str">
        <f t="shared" si="26"/>
        <v/>
      </c>
      <c r="E255" s="8" t="str">
        <f t="shared" si="27"/>
        <v/>
      </c>
      <c r="F255" s="28" t="str">
        <f t="shared" si="28"/>
        <v/>
      </c>
      <c r="G255" s="4"/>
      <c r="H255" s="8"/>
      <c r="I255" s="50"/>
      <c r="J255" s="25"/>
      <c r="K255" s="26" t="str">
        <f t="shared" si="29"/>
        <v/>
      </c>
      <c r="L255" s="51"/>
      <c r="M255" s="51"/>
      <c r="N255" s="4"/>
      <c r="O255" s="4"/>
      <c r="P255" s="28" t="str">
        <f>IF(A255="","",SUMIFS('CARGAS DE COMBUSTIBLE'!$N$2:$N$301,'CARGAS DE COMBUSTIBLE'!$AA$2:$AA$301,A255))</f>
        <v/>
      </c>
      <c r="Q255" s="28" t="str">
        <f t="shared" si="30"/>
        <v/>
      </c>
      <c r="R255" s="56" t="str">
        <f t="shared" si="31"/>
        <v/>
      </c>
      <c r="S255" s="4"/>
    </row>
    <row r="256" spans="1:19" x14ac:dyDescent="0.25">
      <c r="A256" s="8" t="str">
        <f t="shared" si="24"/>
        <v/>
      </c>
      <c r="B256" s="9"/>
      <c r="C256" s="8" t="str">
        <f t="shared" si="25"/>
        <v/>
      </c>
      <c r="D256" s="10" t="str">
        <f t="shared" si="26"/>
        <v/>
      </c>
      <c r="E256" s="8" t="str">
        <f t="shared" si="27"/>
        <v/>
      </c>
      <c r="F256" s="28" t="str">
        <f t="shared" si="28"/>
        <v/>
      </c>
      <c r="G256" s="4"/>
      <c r="H256" s="8"/>
      <c r="I256" s="50"/>
      <c r="J256" s="25"/>
      <c r="K256" s="26" t="str">
        <f t="shared" si="29"/>
        <v/>
      </c>
      <c r="L256" s="51"/>
      <c r="M256" s="51"/>
      <c r="N256" s="4"/>
      <c r="O256" s="4"/>
      <c r="P256" s="28" t="str">
        <f>IF(A256="","",SUMIFS('CARGAS DE COMBUSTIBLE'!$N$2:$N$301,'CARGAS DE COMBUSTIBLE'!$AA$2:$AA$301,A256))</f>
        <v/>
      </c>
      <c r="Q256" s="28" t="str">
        <f t="shared" si="30"/>
        <v/>
      </c>
      <c r="R256" s="56" t="str">
        <f t="shared" si="31"/>
        <v/>
      </c>
      <c r="S256" s="4"/>
    </row>
    <row r="257" spans="1:19" x14ac:dyDescent="0.25">
      <c r="A257" s="8" t="str">
        <f t="shared" si="24"/>
        <v/>
      </c>
      <c r="B257" s="9"/>
      <c r="C257" s="8" t="str">
        <f t="shared" si="25"/>
        <v/>
      </c>
      <c r="D257" s="10" t="str">
        <f t="shared" si="26"/>
        <v/>
      </c>
      <c r="E257" s="8" t="str">
        <f t="shared" si="27"/>
        <v/>
      </c>
      <c r="F257" s="28" t="str">
        <f t="shared" si="28"/>
        <v/>
      </c>
      <c r="G257" s="4"/>
      <c r="H257" s="8"/>
      <c r="I257" s="50"/>
      <c r="J257" s="25"/>
      <c r="K257" s="26" t="str">
        <f t="shared" si="29"/>
        <v/>
      </c>
      <c r="L257" s="51"/>
      <c r="M257" s="51"/>
      <c r="N257" s="4"/>
      <c r="O257" s="4"/>
      <c r="P257" s="28" t="str">
        <f>IF(A257="","",SUMIFS('CARGAS DE COMBUSTIBLE'!$N$2:$N$301,'CARGAS DE COMBUSTIBLE'!$AA$2:$AA$301,A257))</f>
        <v/>
      </c>
      <c r="Q257" s="28" t="str">
        <f t="shared" si="30"/>
        <v/>
      </c>
      <c r="R257" s="56" t="str">
        <f t="shared" si="31"/>
        <v/>
      </c>
      <c r="S257" s="4"/>
    </row>
    <row r="258" spans="1:19" x14ac:dyDescent="0.25">
      <c r="A258" s="8" t="str">
        <f t="shared" ref="A258:A301" si="32">IF(B258="","","BATAN-"&amp;TEXT(ROW()-1,"0000"))</f>
        <v/>
      </c>
      <c r="B258" s="9"/>
      <c r="C258" s="8" t="str">
        <f t="shared" ref="C258:C301" si="33">IF(B258="","",CHOOSE(MONTH(B258),"Enero","Febrero","Marzo","Abril","Mayo","Junio","Julio","Agosto","Septiembre","Octubre","Noviembre","Diciembre"))</f>
        <v/>
      </c>
      <c r="D258" s="10" t="str">
        <f t="shared" ref="D258:D301" si="34">IF(B258="","",YEAR(B258))</f>
        <v/>
      </c>
      <c r="E258" s="8" t="str">
        <f t="shared" ref="E258:E301" si="35">IF(B258="","","Batán 200 L")</f>
        <v/>
      </c>
      <c r="F258" s="28" t="str">
        <f t="shared" ref="F258:F301" si="36">IF(B258="","",200)</f>
        <v/>
      </c>
      <c r="G258" s="4"/>
      <c r="H258" s="8"/>
      <c r="I258" s="50"/>
      <c r="J258" s="25"/>
      <c r="K258" s="26" t="str">
        <f t="shared" ref="K258:K301" si="37">IF(OR(I258="",J258=""),"",I258*J258)</f>
        <v/>
      </c>
      <c r="L258" s="51"/>
      <c r="M258" s="51"/>
      <c r="N258" s="4"/>
      <c r="O258" s="4"/>
      <c r="P258" s="28" t="str">
        <f>IF(A258="","",SUMIFS('CARGAS DE COMBUSTIBLE'!$N$2:$N$301,'CARGAS DE COMBUSTIBLE'!$AA$2:$AA$301,A258))</f>
        <v/>
      </c>
      <c r="Q258" s="28" t="str">
        <f t="shared" ref="Q258:Q301" si="38">IF(A258="","",IF(I258="","",I258-P258))</f>
        <v/>
      </c>
      <c r="R258" s="56" t="str">
        <f t="shared" ref="R258:R301" si="39">IF(A258="","",IF(Q258&lt;0,"Excedido",IF(Q258=0,"Consumido","Disponible")))</f>
        <v/>
      </c>
      <c r="S258" s="4"/>
    </row>
    <row r="259" spans="1:19" x14ac:dyDescent="0.25">
      <c r="A259" s="8" t="str">
        <f t="shared" si="32"/>
        <v/>
      </c>
      <c r="B259" s="9"/>
      <c r="C259" s="8" t="str">
        <f t="shared" si="33"/>
        <v/>
      </c>
      <c r="D259" s="10" t="str">
        <f t="shared" si="34"/>
        <v/>
      </c>
      <c r="E259" s="8" t="str">
        <f t="shared" si="35"/>
        <v/>
      </c>
      <c r="F259" s="28" t="str">
        <f t="shared" si="36"/>
        <v/>
      </c>
      <c r="G259" s="4"/>
      <c r="H259" s="8"/>
      <c r="I259" s="50"/>
      <c r="J259" s="25"/>
      <c r="K259" s="26" t="str">
        <f t="shared" si="37"/>
        <v/>
      </c>
      <c r="L259" s="51"/>
      <c r="M259" s="51"/>
      <c r="N259" s="4"/>
      <c r="O259" s="4"/>
      <c r="P259" s="28" t="str">
        <f>IF(A259="","",SUMIFS('CARGAS DE COMBUSTIBLE'!$N$2:$N$301,'CARGAS DE COMBUSTIBLE'!$AA$2:$AA$301,A259))</f>
        <v/>
      </c>
      <c r="Q259" s="28" t="str">
        <f t="shared" si="38"/>
        <v/>
      </c>
      <c r="R259" s="56" t="str">
        <f t="shared" si="39"/>
        <v/>
      </c>
      <c r="S259" s="4"/>
    </row>
    <row r="260" spans="1:19" x14ac:dyDescent="0.25">
      <c r="A260" s="8" t="str">
        <f t="shared" si="32"/>
        <v/>
      </c>
      <c r="B260" s="9"/>
      <c r="C260" s="8" t="str">
        <f t="shared" si="33"/>
        <v/>
      </c>
      <c r="D260" s="10" t="str">
        <f t="shared" si="34"/>
        <v/>
      </c>
      <c r="E260" s="8" t="str">
        <f t="shared" si="35"/>
        <v/>
      </c>
      <c r="F260" s="28" t="str">
        <f t="shared" si="36"/>
        <v/>
      </c>
      <c r="G260" s="4"/>
      <c r="H260" s="8"/>
      <c r="I260" s="50"/>
      <c r="J260" s="25"/>
      <c r="K260" s="26" t="str">
        <f t="shared" si="37"/>
        <v/>
      </c>
      <c r="L260" s="51"/>
      <c r="M260" s="51"/>
      <c r="N260" s="4"/>
      <c r="O260" s="4"/>
      <c r="P260" s="28" t="str">
        <f>IF(A260="","",SUMIFS('CARGAS DE COMBUSTIBLE'!$N$2:$N$301,'CARGAS DE COMBUSTIBLE'!$AA$2:$AA$301,A260))</f>
        <v/>
      </c>
      <c r="Q260" s="28" t="str">
        <f t="shared" si="38"/>
        <v/>
      </c>
      <c r="R260" s="56" t="str">
        <f t="shared" si="39"/>
        <v/>
      </c>
      <c r="S260" s="4"/>
    </row>
    <row r="261" spans="1:19" x14ac:dyDescent="0.25">
      <c r="A261" s="8" t="str">
        <f t="shared" si="32"/>
        <v/>
      </c>
      <c r="B261" s="9"/>
      <c r="C261" s="8" t="str">
        <f t="shared" si="33"/>
        <v/>
      </c>
      <c r="D261" s="10" t="str">
        <f t="shared" si="34"/>
        <v/>
      </c>
      <c r="E261" s="8" t="str">
        <f t="shared" si="35"/>
        <v/>
      </c>
      <c r="F261" s="28" t="str">
        <f t="shared" si="36"/>
        <v/>
      </c>
      <c r="G261" s="4"/>
      <c r="H261" s="8"/>
      <c r="I261" s="50"/>
      <c r="J261" s="25"/>
      <c r="K261" s="26" t="str">
        <f t="shared" si="37"/>
        <v/>
      </c>
      <c r="L261" s="51"/>
      <c r="M261" s="51"/>
      <c r="N261" s="4"/>
      <c r="O261" s="4"/>
      <c r="P261" s="28" t="str">
        <f>IF(A261="","",SUMIFS('CARGAS DE COMBUSTIBLE'!$N$2:$N$301,'CARGAS DE COMBUSTIBLE'!$AA$2:$AA$301,A261))</f>
        <v/>
      </c>
      <c r="Q261" s="28" t="str">
        <f t="shared" si="38"/>
        <v/>
      </c>
      <c r="R261" s="56" t="str">
        <f t="shared" si="39"/>
        <v/>
      </c>
      <c r="S261" s="4"/>
    </row>
    <row r="262" spans="1:19" x14ac:dyDescent="0.25">
      <c r="A262" s="8" t="str">
        <f t="shared" si="32"/>
        <v/>
      </c>
      <c r="B262" s="9"/>
      <c r="C262" s="8" t="str">
        <f t="shared" si="33"/>
        <v/>
      </c>
      <c r="D262" s="10" t="str">
        <f t="shared" si="34"/>
        <v/>
      </c>
      <c r="E262" s="8" t="str">
        <f t="shared" si="35"/>
        <v/>
      </c>
      <c r="F262" s="28" t="str">
        <f t="shared" si="36"/>
        <v/>
      </c>
      <c r="G262" s="4"/>
      <c r="H262" s="8"/>
      <c r="I262" s="50"/>
      <c r="J262" s="25"/>
      <c r="K262" s="26" t="str">
        <f t="shared" si="37"/>
        <v/>
      </c>
      <c r="L262" s="51"/>
      <c r="M262" s="51"/>
      <c r="N262" s="4"/>
      <c r="O262" s="4"/>
      <c r="P262" s="28" t="str">
        <f>IF(A262="","",SUMIFS('CARGAS DE COMBUSTIBLE'!$N$2:$N$301,'CARGAS DE COMBUSTIBLE'!$AA$2:$AA$301,A262))</f>
        <v/>
      </c>
      <c r="Q262" s="28" t="str">
        <f t="shared" si="38"/>
        <v/>
      </c>
      <c r="R262" s="56" t="str">
        <f t="shared" si="39"/>
        <v/>
      </c>
      <c r="S262" s="4"/>
    </row>
    <row r="263" spans="1:19" x14ac:dyDescent="0.25">
      <c r="A263" s="8" t="str">
        <f t="shared" si="32"/>
        <v/>
      </c>
      <c r="B263" s="9"/>
      <c r="C263" s="8" t="str">
        <f t="shared" si="33"/>
        <v/>
      </c>
      <c r="D263" s="10" t="str">
        <f t="shared" si="34"/>
        <v/>
      </c>
      <c r="E263" s="8" t="str">
        <f t="shared" si="35"/>
        <v/>
      </c>
      <c r="F263" s="28" t="str">
        <f t="shared" si="36"/>
        <v/>
      </c>
      <c r="G263" s="4"/>
      <c r="H263" s="8"/>
      <c r="I263" s="50"/>
      <c r="J263" s="25"/>
      <c r="K263" s="26" t="str">
        <f t="shared" si="37"/>
        <v/>
      </c>
      <c r="L263" s="51"/>
      <c r="M263" s="51"/>
      <c r="N263" s="4"/>
      <c r="O263" s="4"/>
      <c r="P263" s="28" t="str">
        <f>IF(A263="","",SUMIFS('CARGAS DE COMBUSTIBLE'!$N$2:$N$301,'CARGAS DE COMBUSTIBLE'!$AA$2:$AA$301,A263))</f>
        <v/>
      </c>
      <c r="Q263" s="28" t="str">
        <f t="shared" si="38"/>
        <v/>
      </c>
      <c r="R263" s="56" t="str">
        <f t="shared" si="39"/>
        <v/>
      </c>
      <c r="S263" s="4"/>
    </row>
    <row r="264" spans="1:19" x14ac:dyDescent="0.25">
      <c r="A264" s="8" t="str">
        <f t="shared" si="32"/>
        <v/>
      </c>
      <c r="B264" s="9"/>
      <c r="C264" s="8" t="str">
        <f t="shared" si="33"/>
        <v/>
      </c>
      <c r="D264" s="10" t="str">
        <f t="shared" si="34"/>
        <v/>
      </c>
      <c r="E264" s="8" t="str">
        <f t="shared" si="35"/>
        <v/>
      </c>
      <c r="F264" s="28" t="str">
        <f t="shared" si="36"/>
        <v/>
      </c>
      <c r="G264" s="4"/>
      <c r="H264" s="8"/>
      <c r="I264" s="50"/>
      <c r="J264" s="25"/>
      <c r="K264" s="26" t="str">
        <f t="shared" si="37"/>
        <v/>
      </c>
      <c r="L264" s="51"/>
      <c r="M264" s="51"/>
      <c r="N264" s="4"/>
      <c r="O264" s="4"/>
      <c r="P264" s="28" t="str">
        <f>IF(A264="","",SUMIFS('CARGAS DE COMBUSTIBLE'!$N$2:$N$301,'CARGAS DE COMBUSTIBLE'!$AA$2:$AA$301,A264))</f>
        <v/>
      </c>
      <c r="Q264" s="28" t="str">
        <f t="shared" si="38"/>
        <v/>
      </c>
      <c r="R264" s="56" t="str">
        <f t="shared" si="39"/>
        <v/>
      </c>
      <c r="S264" s="4"/>
    </row>
    <row r="265" spans="1:19" x14ac:dyDescent="0.25">
      <c r="A265" s="8" t="str">
        <f t="shared" si="32"/>
        <v/>
      </c>
      <c r="B265" s="9"/>
      <c r="C265" s="8" t="str">
        <f t="shared" si="33"/>
        <v/>
      </c>
      <c r="D265" s="10" t="str">
        <f t="shared" si="34"/>
        <v/>
      </c>
      <c r="E265" s="8" t="str">
        <f t="shared" si="35"/>
        <v/>
      </c>
      <c r="F265" s="28" t="str">
        <f t="shared" si="36"/>
        <v/>
      </c>
      <c r="G265" s="4"/>
      <c r="H265" s="8"/>
      <c r="I265" s="50"/>
      <c r="J265" s="25"/>
      <c r="K265" s="26" t="str">
        <f t="shared" si="37"/>
        <v/>
      </c>
      <c r="L265" s="51"/>
      <c r="M265" s="51"/>
      <c r="N265" s="4"/>
      <c r="O265" s="4"/>
      <c r="P265" s="28" t="str">
        <f>IF(A265="","",SUMIFS('CARGAS DE COMBUSTIBLE'!$N$2:$N$301,'CARGAS DE COMBUSTIBLE'!$AA$2:$AA$301,A265))</f>
        <v/>
      </c>
      <c r="Q265" s="28" t="str">
        <f t="shared" si="38"/>
        <v/>
      </c>
      <c r="R265" s="56" t="str">
        <f t="shared" si="39"/>
        <v/>
      </c>
      <c r="S265" s="4"/>
    </row>
    <row r="266" spans="1:19" x14ac:dyDescent="0.25">
      <c r="A266" s="8" t="str">
        <f t="shared" si="32"/>
        <v/>
      </c>
      <c r="B266" s="9"/>
      <c r="C266" s="8" t="str">
        <f t="shared" si="33"/>
        <v/>
      </c>
      <c r="D266" s="10" t="str">
        <f t="shared" si="34"/>
        <v/>
      </c>
      <c r="E266" s="8" t="str">
        <f t="shared" si="35"/>
        <v/>
      </c>
      <c r="F266" s="28" t="str">
        <f t="shared" si="36"/>
        <v/>
      </c>
      <c r="G266" s="4"/>
      <c r="H266" s="8"/>
      <c r="I266" s="50"/>
      <c r="J266" s="25"/>
      <c r="K266" s="26" t="str">
        <f t="shared" si="37"/>
        <v/>
      </c>
      <c r="L266" s="51"/>
      <c r="M266" s="51"/>
      <c r="N266" s="4"/>
      <c r="O266" s="4"/>
      <c r="P266" s="28" t="str">
        <f>IF(A266="","",SUMIFS('CARGAS DE COMBUSTIBLE'!$N$2:$N$301,'CARGAS DE COMBUSTIBLE'!$AA$2:$AA$301,A266))</f>
        <v/>
      </c>
      <c r="Q266" s="28" t="str">
        <f t="shared" si="38"/>
        <v/>
      </c>
      <c r="R266" s="56" t="str">
        <f t="shared" si="39"/>
        <v/>
      </c>
      <c r="S266" s="4"/>
    </row>
    <row r="267" spans="1:19" x14ac:dyDescent="0.25">
      <c r="A267" s="8" t="str">
        <f t="shared" si="32"/>
        <v/>
      </c>
      <c r="B267" s="9"/>
      <c r="C267" s="8" t="str">
        <f t="shared" si="33"/>
        <v/>
      </c>
      <c r="D267" s="10" t="str">
        <f t="shared" si="34"/>
        <v/>
      </c>
      <c r="E267" s="8" t="str">
        <f t="shared" si="35"/>
        <v/>
      </c>
      <c r="F267" s="28" t="str">
        <f t="shared" si="36"/>
        <v/>
      </c>
      <c r="G267" s="4"/>
      <c r="H267" s="8"/>
      <c r="I267" s="50"/>
      <c r="J267" s="25"/>
      <c r="K267" s="26" t="str">
        <f t="shared" si="37"/>
        <v/>
      </c>
      <c r="L267" s="51"/>
      <c r="M267" s="51"/>
      <c r="N267" s="4"/>
      <c r="O267" s="4"/>
      <c r="P267" s="28" t="str">
        <f>IF(A267="","",SUMIFS('CARGAS DE COMBUSTIBLE'!$N$2:$N$301,'CARGAS DE COMBUSTIBLE'!$AA$2:$AA$301,A267))</f>
        <v/>
      </c>
      <c r="Q267" s="28" t="str">
        <f t="shared" si="38"/>
        <v/>
      </c>
      <c r="R267" s="56" t="str">
        <f t="shared" si="39"/>
        <v/>
      </c>
      <c r="S267" s="4"/>
    </row>
    <row r="268" spans="1:19" x14ac:dyDescent="0.25">
      <c r="A268" s="8" t="str">
        <f t="shared" si="32"/>
        <v/>
      </c>
      <c r="B268" s="9"/>
      <c r="C268" s="8" t="str">
        <f t="shared" si="33"/>
        <v/>
      </c>
      <c r="D268" s="10" t="str">
        <f t="shared" si="34"/>
        <v/>
      </c>
      <c r="E268" s="8" t="str">
        <f t="shared" si="35"/>
        <v/>
      </c>
      <c r="F268" s="28" t="str">
        <f t="shared" si="36"/>
        <v/>
      </c>
      <c r="G268" s="4"/>
      <c r="H268" s="8"/>
      <c r="I268" s="50"/>
      <c r="J268" s="25"/>
      <c r="K268" s="26" t="str">
        <f t="shared" si="37"/>
        <v/>
      </c>
      <c r="L268" s="51"/>
      <c r="M268" s="51"/>
      <c r="N268" s="4"/>
      <c r="O268" s="4"/>
      <c r="P268" s="28" t="str">
        <f>IF(A268="","",SUMIFS('CARGAS DE COMBUSTIBLE'!$N$2:$N$301,'CARGAS DE COMBUSTIBLE'!$AA$2:$AA$301,A268))</f>
        <v/>
      </c>
      <c r="Q268" s="28" t="str">
        <f t="shared" si="38"/>
        <v/>
      </c>
      <c r="R268" s="56" t="str">
        <f t="shared" si="39"/>
        <v/>
      </c>
      <c r="S268" s="4"/>
    </row>
    <row r="269" spans="1:19" x14ac:dyDescent="0.25">
      <c r="A269" s="8" t="str">
        <f t="shared" si="32"/>
        <v/>
      </c>
      <c r="B269" s="9"/>
      <c r="C269" s="8" t="str">
        <f t="shared" si="33"/>
        <v/>
      </c>
      <c r="D269" s="10" t="str">
        <f t="shared" si="34"/>
        <v/>
      </c>
      <c r="E269" s="8" t="str">
        <f t="shared" si="35"/>
        <v/>
      </c>
      <c r="F269" s="28" t="str">
        <f t="shared" si="36"/>
        <v/>
      </c>
      <c r="G269" s="4"/>
      <c r="H269" s="8"/>
      <c r="I269" s="50"/>
      <c r="J269" s="25"/>
      <c r="K269" s="26" t="str">
        <f t="shared" si="37"/>
        <v/>
      </c>
      <c r="L269" s="51"/>
      <c r="M269" s="51"/>
      <c r="N269" s="4"/>
      <c r="O269" s="4"/>
      <c r="P269" s="28" t="str">
        <f>IF(A269="","",SUMIFS('CARGAS DE COMBUSTIBLE'!$N$2:$N$301,'CARGAS DE COMBUSTIBLE'!$AA$2:$AA$301,A269))</f>
        <v/>
      </c>
      <c r="Q269" s="28" t="str">
        <f t="shared" si="38"/>
        <v/>
      </c>
      <c r="R269" s="56" t="str">
        <f t="shared" si="39"/>
        <v/>
      </c>
      <c r="S269" s="4"/>
    </row>
    <row r="270" spans="1:19" x14ac:dyDescent="0.25">
      <c r="A270" s="8" t="str">
        <f t="shared" si="32"/>
        <v/>
      </c>
      <c r="B270" s="9"/>
      <c r="C270" s="8" t="str">
        <f t="shared" si="33"/>
        <v/>
      </c>
      <c r="D270" s="10" t="str">
        <f t="shared" si="34"/>
        <v/>
      </c>
      <c r="E270" s="8" t="str">
        <f t="shared" si="35"/>
        <v/>
      </c>
      <c r="F270" s="28" t="str">
        <f t="shared" si="36"/>
        <v/>
      </c>
      <c r="G270" s="4"/>
      <c r="H270" s="8"/>
      <c r="I270" s="50"/>
      <c r="J270" s="25"/>
      <c r="K270" s="26" t="str">
        <f t="shared" si="37"/>
        <v/>
      </c>
      <c r="L270" s="51"/>
      <c r="M270" s="51"/>
      <c r="N270" s="4"/>
      <c r="O270" s="4"/>
      <c r="P270" s="28" t="str">
        <f>IF(A270="","",SUMIFS('CARGAS DE COMBUSTIBLE'!$N$2:$N$301,'CARGAS DE COMBUSTIBLE'!$AA$2:$AA$301,A270))</f>
        <v/>
      </c>
      <c r="Q270" s="28" t="str">
        <f t="shared" si="38"/>
        <v/>
      </c>
      <c r="R270" s="56" t="str">
        <f t="shared" si="39"/>
        <v/>
      </c>
      <c r="S270" s="4"/>
    </row>
    <row r="271" spans="1:19" x14ac:dyDescent="0.25">
      <c r="A271" s="8" t="str">
        <f t="shared" si="32"/>
        <v/>
      </c>
      <c r="B271" s="9"/>
      <c r="C271" s="8" t="str">
        <f t="shared" si="33"/>
        <v/>
      </c>
      <c r="D271" s="10" t="str">
        <f t="shared" si="34"/>
        <v/>
      </c>
      <c r="E271" s="8" t="str">
        <f t="shared" si="35"/>
        <v/>
      </c>
      <c r="F271" s="28" t="str">
        <f t="shared" si="36"/>
        <v/>
      </c>
      <c r="G271" s="4"/>
      <c r="H271" s="8"/>
      <c r="I271" s="50"/>
      <c r="J271" s="25"/>
      <c r="K271" s="26" t="str">
        <f t="shared" si="37"/>
        <v/>
      </c>
      <c r="L271" s="51"/>
      <c r="M271" s="51"/>
      <c r="N271" s="4"/>
      <c r="O271" s="4"/>
      <c r="P271" s="28" t="str">
        <f>IF(A271="","",SUMIFS('CARGAS DE COMBUSTIBLE'!$N$2:$N$301,'CARGAS DE COMBUSTIBLE'!$AA$2:$AA$301,A271))</f>
        <v/>
      </c>
      <c r="Q271" s="28" t="str">
        <f t="shared" si="38"/>
        <v/>
      </c>
      <c r="R271" s="56" t="str">
        <f t="shared" si="39"/>
        <v/>
      </c>
      <c r="S271" s="4"/>
    </row>
    <row r="272" spans="1:19" x14ac:dyDescent="0.25">
      <c r="A272" s="8" t="str">
        <f t="shared" si="32"/>
        <v/>
      </c>
      <c r="B272" s="9"/>
      <c r="C272" s="8" t="str">
        <f t="shared" si="33"/>
        <v/>
      </c>
      <c r="D272" s="10" t="str">
        <f t="shared" si="34"/>
        <v/>
      </c>
      <c r="E272" s="8" t="str">
        <f t="shared" si="35"/>
        <v/>
      </c>
      <c r="F272" s="28" t="str">
        <f t="shared" si="36"/>
        <v/>
      </c>
      <c r="G272" s="4"/>
      <c r="H272" s="8"/>
      <c r="I272" s="50"/>
      <c r="J272" s="25"/>
      <c r="K272" s="26" t="str">
        <f t="shared" si="37"/>
        <v/>
      </c>
      <c r="L272" s="51"/>
      <c r="M272" s="51"/>
      <c r="N272" s="4"/>
      <c r="O272" s="4"/>
      <c r="P272" s="28" t="str">
        <f>IF(A272="","",SUMIFS('CARGAS DE COMBUSTIBLE'!$N$2:$N$301,'CARGAS DE COMBUSTIBLE'!$AA$2:$AA$301,A272))</f>
        <v/>
      </c>
      <c r="Q272" s="28" t="str">
        <f t="shared" si="38"/>
        <v/>
      </c>
      <c r="R272" s="56" t="str">
        <f t="shared" si="39"/>
        <v/>
      </c>
      <c r="S272" s="4"/>
    </row>
    <row r="273" spans="1:19" x14ac:dyDescent="0.25">
      <c r="A273" s="8" t="str">
        <f t="shared" si="32"/>
        <v/>
      </c>
      <c r="B273" s="9"/>
      <c r="C273" s="8" t="str">
        <f t="shared" si="33"/>
        <v/>
      </c>
      <c r="D273" s="10" t="str">
        <f t="shared" si="34"/>
        <v/>
      </c>
      <c r="E273" s="8" t="str">
        <f t="shared" si="35"/>
        <v/>
      </c>
      <c r="F273" s="28" t="str">
        <f t="shared" si="36"/>
        <v/>
      </c>
      <c r="G273" s="4"/>
      <c r="H273" s="8"/>
      <c r="I273" s="50"/>
      <c r="J273" s="25"/>
      <c r="K273" s="26" t="str">
        <f t="shared" si="37"/>
        <v/>
      </c>
      <c r="L273" s="51"/>
      <c r="M273" s="51"/>
      <c r="N273" s="4"/>
      <c r="O273" s="4"/>
      <c r="P273" s="28" t="str">
        <f>IF(A273="","",SUMIFS('CARGAS DE COMBUSTIBLE'!$N$2:$N$301,'CARGAS DE COMBUSTIBLE'!$AA$2:$AA$301,A273))</f>
        <v/>
      </c>
      <c r="Q273" s="28" t="str">
        <f t="shared" si="38"/>
        <v/>
      </c>
      <c r="R273" s="56" t="str">
        <f t="shared" si="39"/>
        <v/>
      </c>
      <c r="S273" s="4"/>
    </row>
    <row r="274" spans="1:19" x14ac:dyDescent="0.25">
      <c r="A274" s="8" t="str">
        <f t="shared" si="32"/>
        <v/>
      </c>
      <c r="B274" s="9"/>
      <c r="C274" s="8" t="str">
        <f t="shared" si="33"/>
        <v/>
      </c>
      <c r="D274" s="10" t="str">
        <f t="shared" si="34"/>
        <v/>
      </c>
      <c r="E274" s="8" t="str">
        <f t="shared" si="35"/>
        <v/>
      </c>
      <c r="F274" s="28" t="str">
        <f t="shared" si="36"/>
        <v/>
      </c>
      <c r="G274" s="4"/>
      <c r="H274" s="8"/>
      <c r="I274" s="50"/>
      <c r="J274" s="25"/>
      <c r="K274" s="26" t="str">
        <f t="shared" si="37"/>
        <v/>
      </c>
      <c r="L274" s="51"/>
      <c r="M274" s="51"/>
      <c r="N274" s="4"/>
      <c r="O274" s="4"/>
      <c r="P274" s="28" t="str">
        <f>IF(A274="","",SUMIFS('CARGAS DE COMBUSTIBLE'!$N$2:$N$301,'CARGAS DE COMBUSTIBLE'!$AA$2:$AA$301,A274))</f>
        <v/>
      </c>
      <c r="Q274" s="28" t="str">
        <f t="shared" si="38"/>
        <v/>
      </c>
      <c r="R274" s="56" t="str">
        <f t="shared" si="39"/>
        <v/>
      </c>
      <c r="S274" s="4"/>
    </row>
    <row r="275" spans="1:19" x14ac:dyDescent="0.25">
      <c r="A275" s="8" t="str">
        <f t="shared" si="32"/>
        <v/>
      </c>
      <c r="B275" s="9"/>
      <c r="C275" s="8" t="str">
        <f t="shared" si="33"/>
        <v/>
      </c>
      <c r="D275" s="10" t="str">
        <f t="shared" si="34"/>
        <v/>
      </c>
      <c r="E275" s="8" t="str">
        <f t="shared" si="35"/>
        <v/>
      </c>
      <c r="F275" s="28" t="str">
        <f t="shared" si="36"/>
        <v/>
      </c>
      <c r="G275" s="4"/>
      <c r="H275" s="8"/>
      <c r="I275" s="50"/>
      <c r="J275" s="25"/>
      <c r="K275" s="26" t="str">
        <f t="shared" si="37"/>
        <v/>
      </c>
      <c r="L275" s="51"/>
      <c r="M275" s="51"/>
      <c r="N275" s="4"/>
      <c r="O275" s="4"/>
      <c r="P275" s="28" t="str">
        <f>IF(A275="","",SUMIFS('CARGAS DE COMBUSTIBLE'!$N$2:$N$301,'CARGAS DE COMBUSTIBLE'!$AA$2:$AA$301,A275))</f>
        <v/>
      </c>
      <c r="Q275" s="28" t="str">
        <f t="shared" si="38"/>
        <v/>
      </c>
      <c r="R275" s="56" t="str">
        <f t="shared" si="39"/>
        <v/>
      </c>
      <c r="S275" s="4"/>
    </row>
    <row r="276" spans="1:19" x14ac:dyDescent="0.25">
      <c r="A276" s="8" t="str">
        <f t="shared" si="32"/>
        <v/>
      </c>
      <c r="B276" s="9"/>
      <c r="C276" s="8" t="str">
        <f t="shared" si="33"/>
        <v/>
      </c>
      <c r="D276" s="10" t="str">
        <f t="shared" si="34"/>
        <v/>
      </c>
      <c r="E276" s="8" t="str">
        <f t="shared" si="35"/>
        <v/>
      </c>
      <c r="F276" s="28" t="str">
        <f t="shared" si="36"/>
        <v/>
      </c>
      <c r="G276" s="4"/>
      <c r="H276" s="8"/>
      <c r="I276" s="50"/>
      <c r="J276" s="25"/>
      <c r="K276" s="26" t="str">
        <f t="shared" si="37"/>
        <v/>
      </c>
      <c r="L276" s="51"/>
      <c r="M276" s="51"/>
      <c r="N276" s="4"/>
      <c r="O276" s="4"/>
      <c r="P276" s="28" t="str">
        <f>IF(A276="","",SUMIFS('CARGAS DE COMBUSTIBLE'!$N$2:$N$301,'CARGAS DE COMBUSTIBLE'!$AA$2:$AA$301,A276))</f>
        <v/>
      </c>
      <c r="Q276" s="28" t="str">
        <f t="shared" si="38"/>
        <v/>
      </c>
      <c r="R276" s="56" t="str">
        <f t="shared" si="39"/>
        <v/>
      </c>
      <c r="S276" s="4"/>
    </row>
    <row r="277" spans="1:19" x14ac:dyDescent="0.25">
      <c r="A277" s="8" t="str">
        <f t="shared" si="32"/>
        <v/>
      </c>
      <c r="B277" s="9"/>
      <c r="C277" s="8" t="str">
        <f t="shared" si="33"/>
        <v/>
      </c>
      <c r="D277" s="10" t="str">
        <f t="shared" si="34"/>
        <v/>
      </c>
      <c r="E277" s="8" t="str">
        <f t="shared" si="35"/>
        <v/>
      </c>
      <c r="F277" s="28" t="str">
        <f t="shared" si="36"/>
        <v/>
      </c>
      <c r="G277" s="4"/>
      <c r="H277" s="8"/>
      <c r="I277" s="50"/>
      <c r="J277" s="25"/>
      <c r="K277" s="26" t="str">
        <f t="shared" si="37"/>
        <v/>
      </c>
      <c r="L277" s="51"/>
      <c r="M277" s="51"/>
      <c r="N277" s="4"/>
      <c r="O277" s="4"/>
      <c r="P277" s="28" t="str">
        <f>IF(A277="","",SUMIFS('CARGAS DE COMBUSTIBLE'!$N$2:$N$301,'CARGAS DE COMBUSTIBLE'!$AA$2:$AA$301,A277))</f>
        <v/>
      </c>
      <c r="Q277" s="28" t="str">
        <f t="shared" si="38"/>
        <v/>
      </c>
      <c r="R277" s="56" t="str">
        <f t="shared" si="39"/>
        <v/>
      </c>
      <c r="S277" s="4"/>
    </row>
    <row r="278" spans="1:19" x14ac:dyDescent="0.25">
      <c r="A278" s="8" t="str">
        <f t="shared" si="32"/>
        <v/>
      </c>
      <c r="B278" s="9"/>
      <c r="C278" s="8" t="str">
        <f t="shared" si="33"/>
        <v/>
      </c>
      <c r="D278" s="10" t="str">
        <f t="shared" si="34"/>
        <v/>
      </c>
      <c r="E278" s="8" t="str">
        <f t="shared" si="35"/>
        <v/>
      </c>
      <c r="F278" s="28" t="str">
        <f t="shared" si="36"/>
        <v/>
      </c>
      <c r="G278" s="4"/>
      <c r="H278" s="8"/>
      <c r="I278" s="50"/>
      <c r="J278" s="25"/>
      <c r="K278" s="26" t="str">
        <f t="shared" si="37"/>
        <v/>
      </c>
      <c r="L278" s="51"/>
      <c r="M278" s="51"/>
      <c r="N278" s="4"/>
      <c r="O278" s="4"/>
      <c r="P278" s="28" t="str">
        <f>IF(A278="","",SUMIFS('CARGAS DE COMBUSTIBLE'!$N$2:$N$301,'CARGAS DE COMBUSTIBLE'!$AA$2:$AA$301,A278))</f>
        <v/>
      </c>
      <c r="Q278" s="28" t="str">
        <f t="shared" si="38"/>
        <v/>
      </c>
      <c r="R278" s="56" t="str">
        <f t="shared" si="39"/>
        <v/>
      </c>
      <c r="S278" s="4"/>
    </row>
    <row r="279" spans="1:19" x14ac:dyDescent="0.25">
      <c r="A279" s="8" t="str">
        <f t="shared" si="32"/>
        <v/>
      </c>
      <c r="B279" s="9"/>
      <c r="C279" s="8" t="str">
        <f t="shared" si="33"/>
        <v/>
      </c>
      <c r="D279" s="10" t="str">
        <f t="shared" si="34"/>
        <v/>
      </c>
      <c r="E279" s="8" t="str">
        <f t="shared" si="35"/>
        <v/>
      </c>
      <c r="F279" s="28" t="str">
        <f t="shared" si="36"/>
        <v/>
      </c>
      <c r="G279" s="4"/>
      <c r="H279" s="8"/>
      <c r="I279" s="50"/>
      <c r="J279" s="25"/>
      <c r="K279" s="26" t="str">
        <f t="shared" si="37"/>
        <v/>
      </c>
      <c r="L279" s="51"/>
      <c r="M279" s="51"/>
      <c r="N279" s="4"/>
      <c r="O279" s="4"/>
      <c r="P279" s="28" t="str">
        <f>IF(A279="","",SUMIFS('CARGAS DE COMBUSTIBLE'!$N$2:$N$301,'CARGAS DE COMBUSTIBLE'!$AA$2:$AA$301,A279))</f>
        <v/>
      </c>
      <c r="Q279" s="28" t="str">
        <f t="shared" si="38"/>
        <v/>
      </c>
      <c r="R279" s="56" t="str">
        <f t="shared" si="39"/>
        <v/>
      </c>
      <c r="S279" s="4"/>
    </row>
    <row r="280" spans="1:19" x14ac:dyDescent="0.25">
      <c r="A280" s="8" t="str">
        <f t="shared" si="32"/>
        <v/>
      </c>
      <c r="B280" s="9"/>
      <c r="C280" s="8" t="str">
        <f t="shared" si="33"/>
        <v/>
      </c>
      <c r="D280" s="10" t="str">
        <f t="shared" si="34"/>
        <v/>
      </c>
      <c r="E280" s="8" t="str">
        <f t="shared" si="35"/>
        <v/>
      </c>
      <c r="F280" s="28" t="str">
        <f t="shared" si="36"/>
        <v/>
      </c>
      <c r="G280" s="4"/>
      <c r="H280" s="8"/>
      <c r="I280" s="50"/>
      <c r="J280" s="25"/>
      <c r="K280" s="26" t="str">
        <f t="shared" si="37"/>
        <v/>
      </c>
      <c r="L280" s="51"/>
      <c r="M280" s="51"/>
      <c r="N280" s="4"/>
      <c r="O280" s="4"/>
      <c r="P280" s="28" t="str">
        <f>IF(A280="","",SUMIFS('CARGAS DE COMBUSTIBLE'!$N$2:$N$301,'CARGAS DE COMBUSTIBLE'!$AA$2:$AA$301,A280))</f>
        <v/>
      </c>
      <c r="Q280" s="28" t="str">
        <f t="shared" si="38"/>
        <v/>
      </c>
      <c r="R280" s="56" t="str">
        <f t="shared" si="39"/>
        <v/>
      </c>
      <c r="S280" s="4"/>
    </row>
    <row r="281" spans="1:19" x14ac:dyDescent="0.25">
      <c r="A281" s="8" t="str">
        <f t="shared" si="32"/>
        <v/>
      </c>
      <c r="B281" s="9"/>
      <c r="C281" s="8" t="str">
        <f t="shared" si="33"/>
        <v/>
      </c>
      <c r="D281" s="10" t="str">
        <f t="shared" si="34"/>
        <v/>
      </c>
      <c r="E281" s="8" t="str">
        <f t="shared" si="35"/>
        <v/>
      </c>
      <c r="F281" s="28" t="str">
        <f t="shared" si="36"/>
        <v/>
      </c>
      <c r="G281" s="4"/>
      <c r="H281" s="8"/>
      <c r="I281" s="50"/>
      <c r="J281" s="25"/>
      <c r="K281" s="26" t="str">
        <f t="shared" si="37"/>
        <v/>
      </c>
      <c r="L281" s="51"/>
      <c r="M281" s="51"/>
      <c r="N281" s="4"/>
      <c r="O281" s="4"/>
      <c r="P281" s="28" t="str">
        <f>IF(A281="","",SUMIFS('CARGAS DE COMBUSTIBLE'!$N$2:$N$301,'CARGAS DE COMBUSTIBLE'!$AA$2:$AA$301,A281))</f>
        <v/>
      </c>
      <c r="Q281" s="28" t="str">
        <f t="shared" si="38"/>
        <v/>
      </c>
      <c r="R281" s="56" t="str">
        <f t="shared" si="39"/>
        <v/>
      </c>
      <c r="S281" s="4"/>
    </row>
    <row r="282" spans="1:19" x14ac:dyDescent="0.25">
      <c r="A282" s="8" t="str">
        <f t="shared" si="32"/>
        <v/>
      </c>
      <c r="B282" s="9"/>
      <c r="C282" s="8" t="str">
        <f t="shared" si="33"/>
        <v/>
      </c>
      <c r="D282" s="10" t="str">
        <f t="shared" si="34"/>
        <v/>
      </c>
      <c r="E282" s="8" t="str">
        <f t="shared" si="35"/>
        <v/>
      </c>
      <c r="F282" s="28" t="str">
        <f t="shared" si="36"/>
        <v/>
      </c>
      <c r="G282" s="4"/>
      <c r="H282" s="8"/>
      <c r="I282" s="50"/>
      <c r="J282" s="25"/>
      <c r="K282" s="26" t="str">
        <f t="shared" si="37"/>
        <v/>
      </c>
      <c r="L282" s="51"/>
      <c r="M282" s="51"/>
      <c r="N282" s="4"/>
      <c r="O282" s="4"/>
      <c r="P282" s="28" t="str">
        <f>IF(A282="","",SUMIFS('CARGAS DE COMBUSTIBLE'!$N$2:$N$301,'CARGAS DE COMBUSTIBLE'!$AA$2:$AA$301,A282))</f>
        <v/>
      </c>
      <c r="Q282" s="28" t="str">
        <f t="shared" si="38"/>
        <v/>
      </c>
      <c r="R282" s="56" t="str">
        <f t="shared" si="39"/>
        <v/>
      </c>
      <c r="S282" s="4"/>
    </row>
    <row r="283" spans="1:19" x14ac:dyDescent="0.25">
      <c r="A283" s="8" t="str">
        <f t="shared" si="32"/>
        <v/>
      </c>
      <c r="B283" s="9"/>
      <c r="C283" s="8" t="str">
        <f t="shared" si="33"/>
        <v/>
      </c>
      <c r="D283" s="10" t="str">
        <f t="shared" si="34"/>
        <v/>
      </c>
      <c r="E283" s="8" t="str">
        <f t="shared" si="35"/>
        <v/>
      </c>
      <c r="F283" s="28" t="str">
        <f t="shared" si="36"/>
        <v/>
      </c>
      <c r="G283" s="4"/>
      <c r="H283" s="8"/>
      <c r="I283" s="50"/>
      <c r="J283" s="25"/>
      <c r="K283" s="26" t="str">
        <f t="shared" si="37"/>
        <v/>
      </c>
      <c r="L283" s="51"/>
      <c r="M283" s="51"/>
      <c r="N283" s="4"/>
      <c r="O283" s="4"/>
      <c r="P283" s="28" t="str">
        <f>IF(A283="","",SUMIFS('CARGAS DE COMBUSTIBLE'!$N$2:$N$301,'CARGAS DE COMBUSTIBLE'!$AA$2:$AA$301,A283))</f>
        <v/>
      </c>
      <c r="Q283" s="28" t="str">
        <f t="shared" si="38"/>
        <v/>
      </c>
      <c r="R283" s="56" t="str">
        <f t="shared" si="39"/>
        <v/>
      </c>
      <c r="S283" s="4"/>
    </row>
    <row r="284" spans="1:19" x14ac:dyDescent="0.25">
      <c r="A284" s="8" t="str">
        <f t="shared" si="32"/>
        <v/>
      </c>
      <c r="B284" s="9"/>
      <c r="C284" s="8" t="str">
        <f t="shared" si="33"/>
        <v/>
      </c>
      <c r="D284" s="10" t="str">
        <f t="shared" si="34"/>
        <v/>
      </c>
      <c r="E284" s="8" t="str">
        <f t="shared" si="35"/>
        <v/>
      </c>
      <c r="F284" s="28" t="str">
        <f t="shared" si="36"/>
        <v/>
      </c>
      <c r="G284" s="4"/>
      <c r="H284" s="8"/>
      <c r="I284" s="50"/>
      <c r="J284" s="25"/>
      <c r="K284" s="26" t="str">
        <f t="shared" si="37"/>
        <v/>
      </c>
      <c r="L284" s="51"/>
      <c r="M284" s="51"/>
      <c r="N284" s="4"/>
      <c r="O284" s="4"/>
      <c r="P284" s="28" t="str">
        <f>IF(A284="","",SUMIFS('CARGAS DE COMBUSTIBLE'!$N$2:$N$301,'CARGAS DE COMBUSTIBLE'!$AA$2:$AA$301,A284))</f>
        <v/>
      </c>
      <c r="Q284" s="28" t="str">
        <f t="shared" si="38"/>
        <v/>
      </c>
      <c r="R284" s="56" t="str">
        <f t="shared" si="39"/>
        <v/>
      </c>
      <c r="S284" s="4"/>
    </row>
    <row r="285" spans="1:19" x14ac:dyDescent="0.25">
      <c r="A285" s="8" t="str">
        <f t="shared" si="32"/>
        <v/>
      </c>
      <c r="B285" s="9"/>
      <c r="C285" s="8" t="str">
        <f t="shared" si="33"/>
        <v/>
      </c>
      <c r="D285" s="10" t="str">
        <f t="shared" si="34"/>
        <v/>
      </c>
      <c r="E285" s="8" t="str">
        <f t="shared" si="35"/>
        <v/>
      </c>
      <c r="F285" s="28" t="str">
        <f t="shared" si="36"/>
        <v/>
      </c>
      <c r="G285" s="4"/>
      <c r="H285" s="8"/>
      <c r="I285" s="50"/>
      <c r="J285" s="25"/>
      <c r="K285" s="26" t="str">
        <f t="shared" si="37"/>
        <v/>
      </c>
      <c r="L285" s="51"/>
      <c r="M285" s="51"/>
      <c r="N285" s="4"/>
      <c r="O285" s="4"/>
      <c r="P285" s="28" t="str">
        <f>IF(A285="","",SUMIFS('CARGAS DE COMBUSTIBLE'!$N$2:$N$301,'CARGAS DE COMBUSTIBLE'!$AA$2:$AA$301,A285))</f>
        <v/>
      </c>
      <c r="Q285" s="28" t="str">
        <f t="shared" si="38"/>
        <v/>
      </c>
      <c r="R285" s="56" t="str">
        <f t="shared" si="39"/>
        <v/>
      </c>
      <c r="S285" s="4"/>
    </row>
    <row r="286" spans="1:19" x14ac:dyDescent="0.25">
      <c r="A286" s="8" t="str">
        <f t="shared" si="32"/>
        <v/>
      </c>
      <c r="B286" s="9"/>
      <c r="C286" s="8" t="str">
        <f t="shared" si="33"/>
        <v/>
      </c>
      <c r="D286" s="10" t="str">
        <f t="shared" si="34"/>
        <v/>
      </c>
      <c r="E286" s="8" t="str">
        <f t="shared" si="35"/>
        <v/>
      </c>
      <c r="F286" s="28" t="str">
        <f t="shared" si="36"/>
        <v/>
      </c>
      <c r="G286" s="4"/>
      <c r="H286" s="8"/>
      <c r="I286" s="50"/>
      <c r="J286" s="25"/>
      <c r="K286" s="26" t="str">
        <f t="shared" si="37"/>
        <v/>
      </c>
      <c r="L286" s="51"/>
      <c r="M286" s="51"/>
      <c r="N286" s="4"/>
      <c r="O286" s="4"/>
      <c r="P286" s="28" t="str">
        <f>IF(A286="","",SUMIFS('CARGAS DE COMBUSTIBLE'!$N$2:$N$301,'CARGAS DE COMBUSTIBLE'!$AA$2:$AA$301,A286))</f>
        <v/>
      </c>
      <c r="Q286" s="28" t="str">
        <f t="shared" si="38"/>
        <v/>
      </c>
      <c r="R286" s="56" t="str">
        <f t="shared" si="39"/>
        <v/>
      </c>
      <c r="S286" s="4"/>
    </row>
    <row r="287" spans="1:19" x14ac:dyDescent="0.25">
      <c r="A287" s="8" t="str">
        <f t="shared" si="32"/>
        <v/>
      </c>
      <c r="B287" s="9"/>
      <c r="C287" s="8" t="str">
        <f t="shared" si="33"/>
        <v/>
      </c>
      <c r="D287" s="10" t="str">
        <f t="shared" si="34"/>
        <v/>
      </c>
      <c r="E287" s="8" t="str">
        <f t="shared" si="35"/>
        <v/>
      </c>
      <c r="F287" s="28" t="str">
        <f t="shared" si="36"/>
        <v/>
      </c>
      <c r="G287" s="4"/>
      <c r="H287" s="8"/>
      <c r="I287" s="50"/>
      <c r="J287" s="25"/>
      <c r="K287" s="26" t="str">
        <f t="shared" si="37"/>
        <v/>
      </c>
      <c r="L287" s="51"/>
      <c r="M287" s="51"/>
      <c r="N287" s="4"/>
      <c r="O287" s="4"/>
      <c r="P287" s="28" t="str">
        <f>IF(A287="","",SUMIFS('CARGAS DE COMBUSTIBLE'!$N$2:$N$301,'CARGAS DE COMBUSTIBLE'!$AA$2:$AA$301,A287))</f>
        <v/>
      </c>
      <c r="Q287" s="28" t="str">
        <f t="shared" si="38"/>
        <v/>
      </c>
      <c r="R287" s="56" t="str">
        <f t="shared" si="39"/>
        <v/>
      </c>
      <c r="S287" s="4"/>
    </row>
    <row r="288" spans="1:19" x14ac:dyDescent="0.25">
      <c r="A288" s="8" t="str">
        <f t="shared" si="32"/>
        <v/>
      </c>
      <c r="B288" s="9"/>
      <c r="C288" s="8" t="str">
        <f t="shared" si="33"/>
        <v/>
      </c>
      <c r="D288" s="10" t="str">
        <f t="shared" si="34"/>
        <v/>
      </c>
      <c r="E288" s="8" t="str">
        <f t="shared" si="35"/>
        <v/>
      </c>
      <c r="F288" s="28" t="str">
        <f t="shared" si="36"/>
        <v/>
      </c>
      <c r="G288" s="4"/>
      <c r="H288" s="8"/>
      <c r="I288" s="50"/>
      <c r="J288" s="25"/>
      <c r="K288" s="26" t="str">
        <f t="shared" si="37"/>
        <v/>
      </c>
      <c r="L288" s="51"/>
      <c r="M288" s="51"/>
      <c r="N288" s="4"/>
      <c r="O288" s="4"/>
      <c r="P288" s="28" t="str">
        <f>IF(A288="","",SUMIFS('CARGAS DE COMBUSTIBLE'!$N$2:$N$301,'CARGAS DE COMBUSTIBLE'!$AA$2:$AA$301,A288))</f>
        <v/>
      </c>
      <c r="Q288" s="28" t="str">
        <f t="shared" si="38"/>
        <v/>
      </c>
      <c r="R288" s="56" t="str">
        <f t="shared" si="39"/>
        <v/>
      </c>
      <c r="S288" s="4"/>
    </row>
    <row r="289" spans="1:19" x14ac:dyDescent="0.25">
      <c r="A289" s="8" t="str">
        <f t="shared" si="32"/>
        <v/>
      </c>
      <c r="B289" s="9"/>
      <c r="C289" s="8" t="str">
        <f t="shared" si="33"/>
        <v/>
      </c>
      <c r="D289" s="10" t="str">
        <f t="shared" si="34"/>
        <v/>
      </c>
      <c r="E289" s="8" t="str">
        <f t="shared" si="35"/>
        <v/>
      </c>
      <c r="F289" s="28" t="str">
        <f t="shared" si="36"/>
        <v/>
      </c>
      <c r="G289" s="4"/>
      <c r="H289" s="8"/>
      <c r="I289" s="50"/>
      <c r="J289" s="25"/>
      <c r="K289" s="26" t="str">
        <f t="shared" si="37"/>
        <v/>
      </c>
      <c r="L289" s="51"/>
      <c r="M289" s="51"/>
      <c r="N289" s="4"/>
      <c r="O289" s="4"/>
      <c r="P289" s="28" t="str">
        <f>IF(A289="","",SUMIFS('CARGAS DE COMBUSTIBLE'!$N$2:$N$301,'CARGAS DE COMBUSTIBLE'!$AA$2:$AA$301,A289))</f>
        <v/>
      </c>
      <c r="Q289" s="28" t="str">
        <f t="shared" si="38"/>
        <v/>
      </c>
      <c r="R289" s="56" t="str">
        <f t="shared" si="39"/>
        <v/>
      </c>
      <c r="S289" s="4"/>
    </row>
    <row r="290" spans="1:19" x14ac:dyDescent="0.25">
      <c r="A290" s="8" t="str">
        <f t="shared" si="32"/>
        <v/>
      </c>
      <c r="B290" s="9"/>
      <c r="C290" s="8" t="str">
        <f t="shared" si="33"/>
        <v/>
      </c>
      <c r="D290" s="10" t="str">
        <f t="shared" si="34"/>
        <v/>
      </c>
      <c r="E290" s="8" t="str">
        <f t="shared" si="35"/>
        <v/>
      </c>
      <c r="F290" s="28" t="str">
        <f t="shared" si="36"/>
        <v/>
      </c>
      <c r="G290" s="4"/>
      <c r="H290" s="8"/>
      <c r="I290" s="50"/>
      <c r="J290" s="25"/>
      <c r="K290" s="26" t="str">
        <f t="shared" si="37"/>
        <v/>
      </c>
      <c r="L290" s="51"/>
      <c r="M290" s="51"/>
      <c r="N290" s="4"/>
      <c r="O290" s="4"/>
      <c r="P290" s="28" t="str">
        <f>IF(A290="","",SUMIFS('CARGAS DE COMBUSTIBLE'!$N$2:$N$301,'CARGAS DE COMBUSTIBLE'!$AA$2:$AA$301,A290))</f>
        <v/>
      </c>
      <c r="Q290" s="28" t="str">
        <f t="shared" si="38"/>
        <v/>
      </c>
      <c r="R290" s="56" t="str">
        <f t="shared" si="39"/>
        <v/>
      </c>
      <c r="S290" s="4"/>
    </row>
    <row r="291" spans="1:19" x14ac:dyDescent="0.25">
      <c r="A291" s="8" t="str">
        <f t="shared" si="32"/>
        <v/>
      </c>
      <c r="B291" s="9"/>
      <c r="C291" s="8" t="str">
        <f t="shared" si="33"/>
        <v/>
      </c>
      <c r="D291" s="10" t="str">
        <f t="shared" si="34"/>
        <v/>
      </c>
      <c r="E291" s="8" t="str">
        <f t="shared" si="35"/>
        <v/>
      </c>
      <c r="F291" s="28" t="str">
        <f t="shared" si="36"/>
        <v/>
      </c>
      <c r="G291" s="4"/>
      <c r="H291" s="8"/>
      <c r="I291" s="50"/>
      <c r="J291" s="25"/>
      <c r="K291" s="26" t="str">
        <f t="shared" si="37"/>
        <v/>
      </c>
      <c r="L291" s="51"/>
      <c r="M291" s="51"/>
      <c r="N291" s="4"/>
      <c r="O291" s="4"/>
      <c r="P291" s="28" t="str">
        <f>IF(A291="","",SUMIFS('CARGAS DE COMBUSTIBLE'!$N$2:$N$301,'CARGAS DE COMBUSTIBLE'!$AA$2:$AA$301,A291))</f>
        <v/>
      </c>
      <c r="Q291" s="28" t="str">
        <f t="shared" si="38"/>
        <v/>
      </c>
      <c r="R291" s="56" t="str">
        <f t="shared" si="39"/>
        <v/>
      </c>
      <c r="S291" s="4"/>
    </row>
    <row r="292" spans="1:19" x14ac:dyDescent="0.25">
      <c r="A292" s="8" t="str">
        <f t="shared" si="32"/>
        <v/>
      </c>
      <c r="B292" s="9"/>
      <c r="C292" s="8" t="str">
        <f t="shared" si="33"/>
        <v/>
      </c>
      <c r="D292" s="10" t="str">
        <f t="shared" si="34"/>
        <v/>
      </c>
      <c r="E292" s="8" t="str">
        <f t="shared" si="35"/>
        <v/>
      </c>
      <c r="F292" s="28" t="str">
        <f t="shared" si="36"/>
        <v/>
      </c>
      <c r="G292" s="4"/>
      <c r="H292" s="8"/>
      <c r="I292" s="50"/>
      <c r="J292" s="25"/>
      <c r="K292" s="26" t="str">
        <f t="shared" si="37"/>
        <v/>
      </c>
      <c r="L292" s="51"/>
      <c r="M292" s="51"/>
      <c r="N292" s="4"/>
      <c r="O292" s="4"/>
      <c r="P292" s="28" t="str">
        <f>IF(A292="","",SUMIFS('CARGAS DE COMBUSTIBLE'!$N$2:$N$301,'CARGAS DE COMBUSTIBLE'!$AA$2:$AA$301,A292))</f>
        <v/>
      </c>
      <c r="Q292" s="28" t="str">
        <f t="shared" si="38"/>
        <v/>
      </c>
      <c r="R292" s="56" t="str">
        <f t="shared" si="39"/>
        <v/>
      </c>
      <c r="S292" s="4"/>
    </row>
    <row r="293" spans="1:19" x14ac:dyDescent="0.25">
      <c r="A293" s="8" t="str">
        <f t="shared" si="32"/>
        <v/>
      </c>
      <c r="B293" s="9"/>
      <c r="C293" s="8" t="str">
        <f t="shared" si="33"/>
        <v/>
      </c>
      <c r="D293" s="10" t="str">
        <f t="shared" si="34"/>
        <v/>
      </c>
      <c r="E293" s="8" t="str">
        <f t="shared" si="35"/>
        <v/>
      </c>
      <c r="F293" s="28" t="str">
        <f t="shared" si="36"/>
        <v/>
      </c>
      <c r="G293" s="4"/>
      <c r="H293" s="8"/>
      <c r="I293" s="50"/>
      <c r="J293" s="25"/>
      <c r="K293" s="26" t="str">
        <f t="shared" si="37"/>
        <v/>
      </c>
      <c r="L293" s="51"/>
      <c r="M293" s="51"/>
      <c r="N293" s="4"/>
      <c r="O293" s="4"/>
      <c r="P293" s="28" t="str">
        <f>IF(A293="","",SUMIFS('CARGAS DE COMBUSTIBLE'!$N$2:$N$301,'CARGAS DE COMBUSTIBLE'!$AA$2:$AA$301,A293))</f>
        <v/>
      </c>
      <c r="Q293" s="28" t="str">
        <f t="shared" si="38"/>
        <v/>
      </c>
      <c r="R293" s="56" t="str">
        <f t="shared" si="39"/>
        <v/>
      </c>
      <c r="S293" s="4"/>
    </row>
    <row r="294" spans="1:19" x14ac:dyDescent="0.25">
      <c r="A294" s="8" t="str">
        <f t="shared" si="32"/>
        <v/>
      </c>
      <c r="B294" s="9"/>
      <c r="C294" s="8" t="str">
        <f t="shared" si="33"/>
        <v/>
      </c>
      <c r="D294" s="10" t="str">
        <f t="shared" si="34"/>
        <v/>
      </c>
      <c r="E294" s="8" t="str">
        <f t="shared" si="35"/>
        <v/>
      </c>
      <c r="F294" s="28" t="str">
        <f t="shared" si="36"/>
        <v/>
      </c>
      <c r="G294" s="4"/>
      <c r="H294" s="8"/>
      <c r="I294" s="50"/>
      <c r="J294" s="25"/>
      <c r="K294" s="26" t="str">
        <f t="shared" si="37"/>
        <v/>
      </c>
      <c r="L294" s="51"/>
      <c r="M294" s="51"/>
      <c r="N294" s="4"/>
      <c r="O294" s="4"/>
      <c r="P294" s="28" t="str">
        <f>IF(A294="","",SUMIFS('CARGAS DE COMBUSTIBLE'!$N$2:$N$301,'CARGAS DE COMBUSTIBLE'!$AA$2:$AA$301,A294))</f>
        <v/>
      </c>
      <c r="Q294" s="28" t="str">
        <f t="shared" si="38"/>
        <v/>
      </c>
      <c r="R294" s="56" t="str">
        <f t="shared" si="39"/>
        <v/>
      </c>
      <c r="S294" s="4"/>
    </row>
    <row r="295" spans="1:19" x14ac:dyDescent="0.25">
      <c r="A295" s="8" t="str">
        <f t="shared" si="32"/>
        <v/>
      </c>
      <c r="B295" s="9"/>
      <c r="C295" s="8" t="str">
        <f t="shared" si="33"/>
        <v/>
      </c>
      <c r="D295" s="10" t="str">
        <f t="shared" si="34"/>
        <v/>
      </c>
      <c r="E295" s="8" t="str">
        <f t="shared" si="35"/>
        <v/>
      </c>
      <c r="F295" s="28" t="str">
        <f t="shared" si="36"/>
        <v/>
      </c>
      <c r="G295" s="4"/>
      <c r="H295" s="8"/>
      <c r="I295" s="50"/>
      <c r="J295" s="25"/>
      <c r="K295" s="26" t="str">
        <f t="shared" si="37"/>
        <v/>
      </c>
      <c r="L295" s="51"/>
      <c r="M295" s="51"/>
      <c r="N295" s="4"/>
      <c r="O295" s="4"/>
      <c r="P295" s="28" t="str">
        <f>IF(A295="","",SUMIFS('CARGAS DE COMBUSTIBLE'!$N$2:$N$301,'CARGAS DE COMBUSTIBLE'!$AA$2:$AA$301,A295))</f>
        <v/>
      </c>
      <c r="Q295" s="28" t="str">
        <f t="shared" si="38"/>
        <v/>
      </c>
      <c r="R295" s="56" t="str">
        <f t="shared" si="39"/>
        <v/>
      </c>
      <c r="S295" s="4"/>
    </row>
    <row r="296" spans="1:19" x14ac:dyDescent="0.25">
      <c r="A296" s="8" t="str">
        <f t="shared" si="32"/>
        <v/>
      </c>
      <c r="B296" s="9"/>
      <c r="C296" s="8" t="str">
        <f t="shared" si="33"/>
        <v/>
      </c>
      <c r="D296" s="10" t="str">
        <f t="shared" si="34"/>
        <v/>
      </c>
      <c r="E296" s="8" t="str">
        <f t="shared" si="35"/>
        <v/>
      </c>
      <c r="F296" s="28" t="str">
        <f t="shared" si="36"/>
        <v/>
      </c>
      <c r="G296" s="4"/>
      <c r="H296" s="8"/>
      <c r="I296" s="50"/>
      <c r="J296" s="25"/>
      <c r="K296" s="26" t="str">
        <f t="shared" si="37"/>
        <v/>
      </c>
      <c r="L296" s="51"/>
      <c r="M296" s="51"/>
      <c r="N296" s="4"/>
      <c r="O296" s="4"/>
      <c r="P296" s="28" t="str">
        <f>IF(A296="","",SUMIFS('CARGAS DE COMBUSTIBLE'!$N$2:$N$301,'CARGAS DE COMBUSTIBLE'!$AA$2:$AA$301,A296))</f>
        <v/>
      </c>
      <c r="Q296" s="28" t="str">
        <f t="shared" si="38"/>
        <v/>
      </c>
      <c r="R296" s="56" t="str">
        <f t="shared" si="39"/>
        <v/>
      </c>
      <c r="S296" s="4"/>
    </row>
    <row r="297" spans="1:19" x14ac:dyDescent="0.25">
      <c r="A297" s="8" t="str">
        <f t="shared" si="32"/>
        <v/>
      </c>
      <c r="B297" s="9"/>
      <c r="C297" s="8" t="str">
        <f t="shared" si="33"/>
        <v/>
      </c>
      <c r="D297" s="10" t="str">
        <f t="shared" si="34"/>
        <v/>
      </c>
      <c r="E297" s="8" t="str">
        <f t="shared" si="35"/>
        <v/>
      </c>
      <c r="F297" s="28" t="str">
        <f t="shared" si="36"/>
        <v/>
      </c>
      <c r="G297" s="4"/>
      <c r="H297" s="8"/>
      <c r="I297" s="50"/>
      <c r="J297" s="25"/>
      <c r="K297" s="26" t="str">
        <f t="shared" si="37"/>
        <v/>
      </c>
      <c r="L297" s="51"/>
      <c r="M297" s="51"/>
      <c r="N297" s="4"/>
      <c r="O297" s="4"/>
      <c r="P297" s="28" t="str">
        <f>IF(A297="","",SUMIFS('CARGAS DE COMBUSTIBLE'!$N$2:$N$301,'CARGAS DE COMBUSTIBLE'!$AA$2:$AA$301,A297))</f>
        <v/>
      </c>
      <c r="Q297" s="28" t="str">
        <f t="shared" si="38"/>
        <v/>
      </c>
      <c r="R297" s="56" t="str">
        <f t="shared" si="39"/>
        <v/>
      </c>
      <c r="S297" s="4"/>
    </row>
    <row r="298" spans="1:19" x14ac:dyDescent="0.25">
      <c r="A298" s="8" t="str">
        <f t="shared" si="32"/>
        <v/>
      </c>
      <c r="B298" s="9"/>
      <c r="C298" s="8" t="str">
        <f t="shared" si="33"/>
        <v/>
      </c>
      <c r="D298" s="10" t="str">
        <f t="shared" si="34"/>
        <v/>
      </c>
      <c r="E298" s="8" t="str">
        <f t="shared" si="35"/>
        <v/>
      </c>
      <c r="F298" s="28" t="str">
        <f t="shared" si="36"/>
        <v/>
      </c>
      <c r="G298" s="4"/>
      <c r="H298" s="8"/>
      <c r="I298" s="50"/>
      <c r="J298" s="25"/>
      <c r="K298" s="26" t="str">
        <f t="shared" si="37"/>
        <v/>
      </c>
      <c r="L298" s="51"/>
      <c r="M298" s="51"/>
      <c r="N298" s="4"/>
      <c r="O298" s="4"/>
      <c r="P298" s="28" t="str">
        <f>IF(A298="","",SUMIFS('CARGAS DE COMBUSTIBLE'!$N$2:$N$301,'CARGAS DE COMBUSTIBLE'!$AA$2:$AA$301,A298))</f>
        <v/>
      </c>
      <c r="Q298" s="28" t="str">
        <f t="shared" si="38"/>
        <v/>
      </c>
      <c r="R298" s="56" t="str">
        <f t="shared" si="39"/>
        <v/>
      </c>
      <c r="S298" s="4"/>
    </row>
    <row r="299" spans="1:19" x14ac:dyDescent="0.25">
      <c r="A299" s="8" t="str">
        <f t="shared" si="32"/>
        <v/>
      </c>
      <c r="B299" s="9"/>
      <c r="C299" s="8" t="str">
        <f t="shared" si="33"/>
        <v/>
      </c>
      <c r="D299" s="10" t="str">
        <f t="shared" si="34"/>
        <v/>
      </c>
      <c r="E299" s="8" t="str">
        <f t="shared" si="35"/>
        <v/>
      </c>
      <c r="F299" s="28" t="str">
        <f t="shared" si="36"/>
        <v/>
      </c>
      <c r="G299" s="4"/>
      <c r="H299" s="8"/>
      <c r="I299" s="50"/>
      <c r="J299" s="25"/>
      <c r="K299" s="26" t="str">
        <f t="shared" si="37"/>
        <v/>
      </c>
      <c r="L299" s="51"/>
      <c r="M299" s="51"/>
      <c r="N299" s="4"/>
      <c r="O299" s="4"/>
      <c r="P299" s="28" t="str">
        <f>IF(A299="","",SUMIFS('CARGAS DE COMBUSTIBLE'!$N$2:$N$301,'CARGAS DE COMBUSTIBLE'!$AA$2:$AA$301,A299))</f>
        <v/>
      </c>
      <c r="Q299" s="28" t="str">
        <f t="shared" si="38"/>
        <v/>
      </c>
      <c r="R299" s="56" t="str">
        <f t="shared" si="39"/>
        <v/>
      </c>
      <c r="S299" s="4"/>
    </row>
    <row r="300" spans="1:19" x14ac:dyDescent="0.25">
      <c r="A300" s="8" t="str">
        <f t="shared" si="32"/>
        <v/>
      </c>
      <c r="B300" s="9"/>
      <c r="C300" s="8" t="str">
        <f t="shared" si="33"/>
        <v/>
      </c>
      <c r="D300" s="10" t="str">
        <f t="shared" si="34"/>
        <v/>
      </c>
      <c r="E300" s="8" t="str">
        <f t="shared" si="35"/>
        <v/>
      </c>
      <c r="F300" s="28" t="str">
        <f t="shared" si="36"/>
        <v/>
      </c>
      <c r="G300" s="4"/>
      <c r="H300" s="8"/>
      <c r="I300" s="50"/>
      <c r="J300" s="25"/>
      <c r="K300" s="26" t="str">
        <f t="shared" si="37"/>
        <v/>
      </c>
      <c r="L300" s="51"/>
      <c r="M300" s="51"/>
      <c r="N300" s="4"/>
      <c r="O300" s="4"/>
      <c r="P300" s="28" t="str">
        <f>IF(A300="","",SUMIFS('CARGAS DE COMBUSTIBLE'!$N$2:$N$301,'CARGAS DE COMBUSTIBLE'!$AA$2:$AA$301,A300))</f>
        <v/>
      </c>
      <c r="Q300" s="28" t="str">
        <f t="shared" si="38"/>
        <v/>
      </c>
      <c r="R300" s="56" t="str">
        <f t="shared" si="39"/>
        <v/>
      </c>
      <c r="S300" s="4"/>
    </row>
    <row r="301" spans="1:19" x14ac:dyDescent="0.25">
      <c r="A301" s="8" t="str">
        <f t="shared" si="32"/>
        <v/>
      </c>
      <c r="B301" s="9"/>
      <c r="C301" s="8" t="str">
        <f t="shared" si="33"/>
        <v/>
      </c>
      <c r="D301" s="10" t="str">
        <f t="shared" si="34"/>
        <v/>
      </c>
      <c r="E301" s="8" t="str">
        <f t="shared" si="35"/>
        <v/>
      </c>
      <c r="F301" s="28" t="str">
        <f t="shared" si="36"/>
        <v/>
      </c>
      <c r="G301" s="4"/>
      <c r="H301" s="8"/>
      <c r="I301" s="50"/>
      <c r="J301" s="25"/>
      <c r="K301" s="26" t="str">
        <f t="shared" si="37"/>
        <v/>
      </c>
      <c r="L301" s="51"/>
      <c r="M301" s="51"/>
      <c r="N301" s="4"/>
      <c r="O301" s="4"/>
      <c r="P301" s="28" t="str">
        <f>IF(A301="","",SUMIFS('CARGAS DE COMBUSTIBLE'!$N$2:$N$301,'CARGAS DE COMBUSTIBLE'!$AA$2:$AA$301,A301))</f>
        <v/>
      </c>
      <c r="Q301" s="28" t="str">
        <f t="shared" si="38"/>
        <v/>
      </c>
      <c r="R301" s="56" t="str">
        <f t="shared" si="39"/>
        <v/>
      </c>
      <c r="S301" s="4"/>
    </row>
  </sheetData>
  <autoFilter ref="A1:S301" xr:uid="{00000000-0001-0000-0500-000000000000}"/>
  <dataValidations count="7">
    <dataValidation type="date" operator="greaterThanOrEqual" allowBlank="1" sqref="B2:B301" xr:uid="{00000000-0002-0000-0500-000000000000}">
      <formula1>DATE(2024,1,1)</formula1>
    </dataValidation>
    <dataValidation type="list" allowBlank="1" sqref="G2:G301" xr:uid="{00000000-0002-0000-0500-000001000000}">
      <formula1>Lista_Proveedores</formula1>
    </dataValidation>
    <dataValidation type="list" allowBlank="1" sqref="H2:H301" xr:uid="{00000000-0002-0000-0500-000002000000}">
      <formula1>Lista_TipoCombustible</formula1>
    </dataValidation>
    <dataValidation type="list" allowBlank="1" sqref="N2:N301" xr:uid="{00000000-0002-0000-0500-000003000000}">
      <formula1>Lista_Responsables</formula1>
    </dataValidation>
    <dataValidation type="list" allowBlank="1" sqref="O2:O301" xr:uid="{00000000-0002-0000-0500-000004000000}">
      <formula1>Lista_Obras</formula1>
    </dataValidation>
    <dataValidation type="decimal" allowBlank="1" sqref="I2:I301" xr:uid="{00000000-0002-0000-0500-000005000000}">
      <formula1>0</formula1>
      <formula2>200</formula2>
    </dataValidation>
    <dataValidation type="decimal" operator="greaterThanOrEqual" allowBlank="1" sqref="J2:J301" xr:uid="{00000000-0002-0000-0500-000006000000}">
      <formula1>0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showGridLines="0" workbookViewId="0">
      <selection activeCell="H21" sqref="H21"/>
    </sheetView>
  </sheetViews>
  <sheetFormatPr baseColWidth="10" defaultColWidth="9.140625" defaultRowHeight="15" x14ac:dyDescent="0.25"/>
  <cols>
    <col min="1" max="1" width="16" customWidth="1"/>
    <col min="2" max="3" width="14" customWidth="1"/>
    <col min="4" max="4" width="16" customWidth="1"/>
    <col min="5" max="5" width="18" customWidth="1"/>
    <col min="6" max="7" width="16" customWidth="1"/>
    <col min="8" max="8" width="14" customWidth="1"/>
    <col min="9" max="9" width="28" customWidth="1"/>
    <col min="10" max="10" width="14" customWidth="1"/>
  </cols>
  <sheetData>
    <row r="1" spans="1:10" ht="26.1" customHeight="1" x14ac:dyDescent="0.4">
      <c r="A1" s="78" t="s">
        <v>169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25">
      <c r="A2" s="12" t="s">
        <v>170</v>
      </c>
      <c r="B2" s="10">
        <f>DASHBOARD!B3</f>
        <v>2026</v>
      </c>
    </row>
    <row r="3" spans="1:10" ht="28.9" customHeight="1" x14ac:dyDescent="0.25">
      <c r="A3" s="13" t="s">
        <v>135</v>
      </c>
      <c r="B3" s="13" t="s">
        <v>171</v>
      </c>
      <c r="C3" s="13" t="s">
        <v>172</v>
      </c>
      <c r="D3" s="13" t="s">
        <v>173</v>
      </c>
      <c r="E3" s="13" t="s">
        <v>174</v>
      </c>
      <c r="F3" s="13" t="s">
        <v>175</v>
      </c>
      <c r="G3" s="13" t="s">
        <v>176</v>
      </c>
      <c r="H3" s="13" t="s">
        <v>177</v>
      </c>
      <c r="I3" s="13" t="s">
        <v>178</v>
      </c>
      <c r="J3" s="13" t="s">
        <v>24</v>
      </c>
    </row>
    <row r="4" spans="1:10" x14ac:dyDescent="0.25">
      <c r="A4" s="14" t="s">
        <v>179</v>
      </c>
      <c r="B4" s="15">
        <f>COUNTIFS('CARGAS DE COMBUSTIBLE'!$D$2:$D$301,$B$2,'CARGAS DE COMBUSTIBLE'!$C$2:$C$301,$A4,'CARGAS DE COMBUSTIBLE'!$A$2:$A$301,"&lt;&gt;",'CARGAS DE COMBUSTIBLE'!$AA$2:$AA$301,"")+COUNTIFS('CONTROL DE BATAN'!$D$2:$D$301,$B$2,'CONTROL DE BATAN'!$C$2:$C$301,$A4,'CONTROL DE BATAN'!$A$2:$A$301,"&lt;&gt;")</f>
        <v>0</v>
      </c>
      <c r="C4" s="26">
        <f>SUMIFS('CARGAS DE COMBUSTIBLE'!$N$2:$N$301,'CARGAS DE COMBUSTIBLE'!$D$2:$D$301,$B$2,'CARGAS DE COMBUSTIBLE'!$C$2:$C$301,$A4,'CARGAS DE COMBUSTIBLE'!$AA$2:$AA$301,"")+SUMIFS('CONTROL DE BATAN'!$I$2:$I$301,'CONTROL DE BATAN'!$D$2:$D$301,$B$2,'CONTROL DE BATAN'!$C$2:$C$301,$A4)</f>
        <v>0</v>
      </c>
      <c r="D4" s="26">
        <f>SUMIFS('CARGAS DE COMBUSTIBLE'!$P$2:$P$301,'CARGAS DE COMBUSTIBLE'!$D$2:$D$301,$B$2,'CARGAS DE COMBUSTIBLE'!$C$2:$C$301,$A4,'CARGAS DE COMBUSTIBLE'!$AA$2:$AA$301,"")+SUMIFS('CONTROL DE BATAN'!$K$2:$K$301,'CONTROL DE BATAN'!$D$2:$D$301,$B$2,'CONTROL DE BATAN'!$C$2:$C$301,$A4)</f>
        <v>0</v>
      </c>
      <c r="E4" s="15">
        <f>COUNTIFS('CARGAS DE COMBUSTIBLE'!$D$2:$D$301,$B$2,'CARGAS DE COMBUSTIBLE'!$C$2:$C$301,$A4,'CARGAS DE COMBUSTIBLE'!$W$2:$W$301,"&lt;&gt;",'CARGAS DE COMBUSTIBLE'!$AA$2:$AA$301,"")+COUNTIFS('CONTROL DE BATAN'!$D$2:$D$301,$B$2,'CONTROL DE BATAN'!$C$2:$C$301,$A4,'CONTROL DE BATAN'!$L$2:$L$301,"&lt;&gt;")</f>
        <v>0</v>
      </c>
      <c r="F4" s="26" t="str">
        <f t="shared" ref="F4:F16" si="0">IF(B4=0,"",D4/B4)</f>
        <v/>
      </c>
      <c r="G4" s="25"/>
      <c r="H4" s="26" t="str">
        <f t="shared" ref="H4:H15" si="1">IF(G4="","",G4-D4)</f>
        <v/>
      </c>
      <c r="I4" s="16"/>
      <c r="J4" s="17" t="s">
        <v>180</v>
      </c>
    </row>
    <row r="5" spans="1:10" x14ac:dyDescent="0.25">
      <c r="A5" s="14" t="s">
        <v>181</v>
      </c>
      <c r="B5" s="15">
        <f>COUNTIFS('CARGAS DE COMBUSTIBLE'!$D$2:$D$301,$B$2,'CARGAS DE COMBUSTIBLE'!$C$2:$C$301,$A5,'CARGAS DE COMBUSTIBLE'!$A$2:$A$301,"&lt;&gt;",'CARGAS DE COMBUSTIBLE'!$AA$2:$AA$301,"")+COUNTIFS('CONTROL DE BATAN'!$D$2:$D$301,$B$2,'CONTROL DE BATAN'!$C$2:$C$301,$A5,'CONTROL DE BATAN'!$A$2:$A$301,"&lt;&gt;")</f>
        <v>0</v>
      </c>
      <c r="C5" s="26">
        <f>SUMIFS('CARGAS DE COMBUSTIBLE'!$N$2:$N$301,'CARGAS DE COMBUSTIBLE'!$D$2:$D$301,$B$2,'CARGAS DE COMBUSTIBLE'!$C$2:$C$301,$A5,'CARGAS DE COMBUSTIBLE'!$AA$2:$AA$301,"")+SUMIFS('CONTROL DE BATAN'!$I$2:$I$301,'CONTROL DE BATAN'!$D$2:$D$301,$B$2,'CONTROL DE BATAN'!$C$2:$C$301,$A5)</f>
        <v>0</v>
      </c>
      <c r="D5" s="26">
        <f>SUMIFS('CARGAS DE COMBUSTIBLE'!$P$2:$P$301,'CARGAS DE COMBUSTIBLE'!$D$2:$D$301,$B$2,'CARGAS DE COMBUSTIBLE'!$C$2:$C$301,$A5,'CARGAS DE COMBUSTIBLE'!$AA$2:$AA$301,"")+SUMIFS('CONTROL DE BATAN'!$K$2:$K$301,'CONTROL DE BATAN'!$D$2:$D$301,$B$2,'CONTROL DE BATAN'!$C$2:$C$301,$A5)</f>
        <v>0</v>
      </c>
      <c r="E5" s="15">
        <f>COUNTIFS('CARGAS DE COMBUSTIBLE'!$D$2:$D$301,$B$2,'CARGAS DE COMBUSTIBLE'!$C$2:$C$301,$A5,'CARGAS DE COMBUSTIBLE'!$W$2:$W$301,"&lt;&gt;",'CARGAS DE COMBUSTIBLE'!$AA$2:$AA$301,"")+COUNTIFS('CONTROL DE BATAN'!$D$2:$D$301,$B$2,'CONTROL DE BATAN'!$C$2:$C$301,$A5,'CONTROL DE BATAN'!$L$2:$L$301,"&lt;&gt;")</f>
        <v>0</v>
      </c>
      <c r="F5" s="26" t="str">
        <f t="shared" si="0"/>
        <v/>
      </c>
      <c r="G5" s="25"/>
      <c r="H5" s="26" t="str">
        <f t="shared" si="1"/>
        <v/>
      </c>
      <c r="I5" s="16"/>
      <c r="J5" s="17" t="s">
        <v>180</v>
      </c>
    </row>
    <row r="6" spans="1:10" x14ac:dyDescent="0.25">
      <c r="A6" s="14" t="s">
        <v>182</v>
      </c>
      <c r="B6" s="15">
        <f>COUNTIFS('CARGAS DE COMBUSTIBLE'!$D$2:$D$301,$B$2,'CARGAS DE COMBUSTIBLE'!$C$2:$C$301,$A6,'CARGAS DE COMBUSTIBLE'!$A$2:$A$301,"&lt;&gt;",'CARGAS DE COMBUSTIBLE'!$AA$2:$AA$301,"")+COUNTIFS('CONTROL DE BATAN'!$D$2:$D$301,$B$2,'CONTROL DE BATAN'!$C$2:$C$301,$A6,'CONTROL DE BATAN'!$A$2:$A$301,"&lt;&gt;")</f>
        <v>0</v>
      </c>
      <c r="C6" s="26">
        <f>SUMIFS('CARGAS DE COMBUSTIBLE'!$N$2:$N$301,'CARGAS DE COMBUSTIBLE'!$D$2:$D$301,$B$2,'CARGAS DE COMBUSTIBLE'!$C$2:$C$301,$A6,'CARGAS DE COMBUSTIBLE'!$AA$2:$AA$301,"")+SUMIFS('CONTROL DE BATAN'!$I$2:$I$301,'CONTROL DE BATAN'!$D$2:$D$301,$B$2,'CONTROL DE BATAN'!$C$2:$C$301,$A6)</f>
        <v>0</v>
      </c>
      <c r="D6" s="26">
        <f>SUMIFS('CARGAS DE COMBUSTIBLE'!$P$2:$P$301,'CARGAS DE COMBUSTIBLE'!$D$2:$D$301,$B$2,'CARGAS DE COMBUSTIBLE'!$C$2:$C$301,$A6,'CARGAS DE COMBUSTIBLE'!$AA$2:$AA$301,"")+SUMIFS('CONTROL DE BATAN'!$K$2:$K$301,'CONTROL DE BATAN'!$D$2:$D$301,$B$2,'CONTROL DE BATAN'!$C$2:$C$301,$A6)</f>
        <v>0</v>
      </c>
      <c r="E6" s="15">
        <f>COUNTIFS('CARGAS DE COMBUSTIBLE'!$D$2:$D$301,$B$2,'CARGAS DE COMBUSTIBLE'!$C$2:$C$301,$A6,'CARGAS DE COMBUSTIBLE'!$W$2:$W$301,"&lt;&gt;",'CARGAS DE COMBUSTIBLE'!$AA$2:$AA$301,"")+COUNTIFS('CONTROL DE BATAN'!$D$2:$D$301,$B$2,'CONTROL DE BATAN'!$C$2:$C$301,$A6,'CONTROL DE BATAN'!$L$2:$L$301,"&lt;&gt;")</f>
        <v>0</v>
      </c>
      <c r="F6" s="26" t="str">
        <f t="shared" si="0"/>
        <v/>
      </c>
      <c r="G6" s="25"/>
      <c r="H6" s="26" t="str">
        <f t="shared" si="1"/>
        <v/>
      </c>
      <c r="I6" s="16"/>
      <c r="J6" s="17" t="s">
        <v>180</v>
      </c>
    </row>
    <row r="7" spans="1:10" x14ac:dyDescent="0.25">
      <c r="A7" s="14" t="s">
        <v>183</v>
      </c>
      <c r="B7" s="15">
        <f>COUNTIFS('CARGAS DE COMBUSTIBLE'!$D$2:$D$301,$B$2,'CARGAS DE COMBUSTIBLE'!$C$2:$C$301,$A7,'CARGAS DE COMBUSTIBLE'!$A$2:$A$301,"&lt;&gt;",'CARGAS DE COMBUSTIBLE'!$AA$2:$AA$301,"")+COUNTIFS('CONTROL DE BATAN'!$D$2:$D$301,$B$2,'CONTROL DE BATAN'!$C$2:$C$301,$A7,'CONTROL DE BATAN'!$A$2:$A$301,"&lt;&gt;")</f>
        <v>0</v>
      </c>
      <c r="C7" s="26">
        <f>SUMIFS('CARGAS DE COMBUSTIBLE'!$N$2:$N$301,'CARGAS DE COMBUSTIBLE'!$D$2:$D$301,$B$2,'CARGAS DE COMBUSTIBLE'!$C$2:$C$301,$A7,'CARGAS DE COMBUSTIBLE'!$AA$2:$AA$301,"")+SUMIFS('CONTROL DE BATAN'!$I$2:$I$301,'CONTROL DE BATAN'!$D$2:$D$301,$B$2,'CONTROL DE BATAN'!$C$2:$C$301,$A7)</f>
        <v>0</v>
      </c>
      <c r="D7" s="26">
        <f>SUMIFS('CARGAS DE COMBUSTIBLE'!$P$2:$P$301,'CARGAS DE COMBUSTIBLE'!$D$2:$D$301,$B$2,'CARGAS DE COMBUSTIBLE'!$C$2:$C$301,$A7,'CARGAS DE COMBUSTIBLE'!$AA$2:$AA$301,"")+SUMIFS('CONTROL DE BATAN'!$K$2:$K$301,'CONTROL DE BATAN'!$D$2:$D$301,$B$2,'CONTROL DE BATAN'!$C$2:$C$301,$A7)</f>
        <v>0</v>
      </c>
      <c r="E7" s="15">
        <f>COUNTIFS('CARGAS DE COMBUSTIBLE'!$D$2:$D$301,$B$2,'CARGAS DE COMBUSTIBLE'!$C$2:$C$301,$A7,'CARGAS DE COMBUSTIBLE'!$W$2:$W$301,"&lt;&gt;",'CARGAS DE COMBUSTIBLE'!$AA$2:$AA$301,"")+COUNTIFS('CONTROL DE BATAN'!$D$2:$D$301,$B$2,'CONTROL DE BATAN'!$C$2:$C$301,$A7,'CONTROL DE BATAN'!$L$2:$L$301,"&lt;&gt;")</f>
        <v>0</v>
      </c>
      <c r="F7" s="26" t="str">
        <f t="shared" si="0"/>
        <v/>
      </c>
      <c r="G7" s="25">
        <v>656800</v>
      </c>
      <c r="H7" s="26">
        <f t="shared" si="1"/>
        <v>656800</v>
      </c>
      <c r="I7" s="16"/>
      <c r="J7" s="17" t="s">
        <v>180</v>
      </c>
    </row>
    <row r="8" spans="1:10" x14ac:dyDescent="0.25">
      <c r="A8" s="14" t="s">
        <v>184</v>
      </c>
      <c r="B8" s="15">
        <f>COUNTIFS('CARGAS DE COMBUSTIBLE'!$D$2:$D$301,$B$2,'CARGAS DE COMBUSTIBLE'!$C$2:$C$301,$A8,'CARGAS DE COMBUSTIBLE'!$A$2:$A$301,"&lt;&gt;",'CARGAS DE COMBUSTIBLE'!$AA$2:$AA$301,"")+COUNTIFS('CONTROL DE BATAN'!$D$2:$D$301,$B$2,'CONTROL DE BATAN'!$C$2:$C$301,$A8,'CONTROL DE BATAN'!$A$2:$A$301,"&lt;&gt;")</f>
        <v>5</v>
      </c>
      <c r="C8" s="26">
        <f>SUMIFS('CARGAS DE COMBUSTIBLE'!$N$2:$N$301,'CARGAS DE COMBUSTIBLE'!$D$2:$D$301,$B$2,'CARGAS DE COMBUSTIBLE'!$C$2:$C$301,$A8,'CARGAS DE COMBUSTIBLE'!$AA$2:$AA$301,"")+SUMIFS('CONTROL DE BATAN'!$I$2:$I$301,'CONTROL DE BATAN'!$D$2:$D$301,$B$2,'CONTROL DE BATAN'!$C$2:$C$301,$A8)</f>
        <v>539.65</v>
      </c>
      <c r="D8" s="26">
        <f>SUMIFS('CARGAS DE COMBUSTIBLE'!$P$2:$P$301,'CARGAS DE COMBUSTIBLE'!$D$2:$D$301,$B$2,'CARGAS DE COMBUSTIBLE'!$C$2:$C$301,$A8,'CARGAS DE COMBUSTIBLE'!$AA$2:$AA$301,"")+SUMIFS('CONTROL DE BATAN'!$K$2:$K$301,'CONTROL DE BATAN'!$D$2:$D$301,$B$2,'CONTROL DE BATAN'!$C$2:$C$301,$A8)</f>
        <v>0</v>
      </c>
      <c r="E8" s="15">
        <f>COUNTIFS('CARGAS DE COMBUSTIBLE'!$D$2:$D$301,$B$2,'CARGAS DE COMBUSTIBLE'!$C$2:$C$301,$A8,'CARGAS DE COMBUSTIBLE'!$W$2:$W$301,"&lt;&gt;",'CARGAS DE COMBUSTIBLE'!$AA$2:$AA$301,"")+COUNTIFS('CONTROL DE BATAN'!$D$2:$D$301,$B$2,'CONTROL DE BATAN'!$C$2:$C$301,$A8,'CONTROL DE BATAN'!$L$2:$L$301,"&lt;&gt;")</f>
        <v>3</v>
      </c>
      <c r="F8" s="26">
        <f t="shared" si="0"/>
        <v>0</v>
      </c>
      <c r="G8" s="25"/>
      <c r="H8" s="26" t="str">
        <f t="shared" si="1"/>
        <v/>
      </c>
      <c r="I8" s="16"/>
      <c r="J8" s="17"/>
    </row>
    <row r="9" spans="1:10" x14ac:dyDescent="0.25">
      <c r="A9" s="14" t="s">
        <v>185</v>
      </c>
      <c r="B9" s="15">
        <f>COUNTIFS('CARGAS DE COMBUSTIBLE'!$D$2:$D$301,$B$2,'CARGAS DE COMBUSTIBLE'!$C$2:$C$301,$A9,'CARGAS DE COMBUSTIBLE'!$A$2:$A$301,"&lt;&gt;",'CARGAS DE COMBUSTIBLE'!$AA$2:$AA$301,"")+COUNTIFS('CONTROL DE BATAN'!$D$2:$D$301,$B$2,'CONTROL DE BATAN'!$C$2:$C$301,$A9,'CONTROL DE BATAN'!$A$2:$A$301,"&lt;&gt;")</f>
        <v>0</v>
      </c>
      <c r="C9" s="26">
        <f>SUMIFS('CARGAS DE COMBUSTIBLE'!$N$2:$N$301,'CARGAS DE COMBUSTIBLE'!$D$2:$D$301,$B$2,'CARGAS DE COMBUSTIBLE'!$C$2:$C$301,$A9,'CARGAS DE COMBUSTIBLE'!$AA$2:$AA$301,"")+SUMIFS('CONTROL DE BATAN'!$I$2:$I$301,'CONTROL DE BATAN'!$D$2:$D$301,$B$2,'CONTROL DE BATAN'!$C$2:$C$301,$A9)</f>
        <v>0</v>
      </c>
      <c r="D9" s="26">
        <f>SUMIFS('CARGAS DE COMBUSTIBLE'!$P$2:$P$301,'CARGAS DE COMBUSTIBLE'!$D$2:$D$301,$B$2,'CARGAS DE COMBUSTIBLE'!$C$2:$C$301,$A9,'CARGAS DE COMBUSTIBLE'!$AA$2:$AA$301,"")+SUMIFS('CONTROL DE BATAN'!$K$2:$K$301,'CONTROL DE BATAN'!$D$2:$D$301,$B$2,'CONTROL DE BATAN'!$C$2:$C$301,$A9)</f>
        <v>0</v>
      </c>
      <c r="E9" s="15">
        <f>COUNTIFS('CARGAS DE COMBUSTIBLE'!$D$2:$D$301,$B$2,'CARGAS DE COMBUSTIBLE'!$C$2:$C$301,$A9,'CARGAS DE COMBUSTIBLE'!$W$2:$W$301,"&lt;&gt;",'CARGAS DE COMBUSTIBLE'!$AA$2:$AA$301,"")+COUNTIFS('CONTROL DE BATAN'!$D$2:$D$301,$B$2,'CONTROL DE BATAN'!$C$2:$C$301,$A9,'CONTROL DE BATAN'!$L$2:$L$301,"&lt;&gt;")</f>
        <v>0</v>
      </c>
      <c r="F9" s="26" t="str">
        <f t="shared" si="0"/>
        <v/>
      </c>
      <c r="G9" s="25"/>
      <c r="H9" s="26" t="str">
        <f t="shared" si="1"/>
        <v/>
      </c>
      <c r="I9" s="16"/>
      <c r="J9" s="17"/>
    </row>
    <row r="10" spans="1:10" x14ac:dyDescent="0.25">
      <c r="A10" s="14" t="s">
        <v>186</v>
      </c>
      <c r="B10" s="15">
        <f>COUNTIFS('CARGAS DE COMBUSTIBLE'!$D$2:$D$301,$B$2,'CARGAS DE COMBUSTIBLE'!$C$2:$C$301,$A10,'CARGAS DE COMBUSTIBLE'!$A$2:$A$301,"&lt;&gt;",'CARGAS DE COMBUSTIBLE'!$AA$2:$AA$301,"")+COUNTIFS('CONTROL DE BATAN'!$D$2:$D$301,$B$2,'CONTROL DE BATAN'!$C$2:$C$301,$A10,'CONTROL DE BATAN'!$A$2:$A$301,"&lt;&gt;")</f>
        <v>0</v>
      </c>
      <c r="C10" s="26">
        <f>SUMIFS('CARGAS DE COMBUSTIBLE'!$N$2:$N$301,'CARGAS DE COMBUSTIBLE'!$D$2:$D$301,$B$2,'CARGAS DE COMBUSTIBLE'!$C$2:$C$301,$A10,'CARGAS DE COMBUSTIBLE'!$AA$2:$AA$301,"")+SUMIFS('CONTROL DE BATAN'!$I$2:$I$301,'CONTROL DE BATAN'!$D$2:$D$301,$B$2,'CONTROL DE BATAN'!$C$2:$C$301,$A10)</f>
        <v>0</v>
      </c>
      <c r="D10" s="26">
        <f>SUMIFS('CARGAS DE COMBUSTIBLE'!$P$2:$P$301,'CARGAS DE COMBUSTIBLE'!$D$2:$D$301,$B$2,'CARGAS DE COMBUSTIBLE'!$C$2:$C$301,$A10,'CARGAS DE COMBUSTIBLE'!$AA$2:$AA$301,"")+SUMIFS('CONTROL DE BATAN'!$K$2:$K$301,'CONTROL DE BATAN'!$D$2:$D$301,$B$2,'CONTROL DE BATAN'!$C$2:$C$301,$A10)</f>
        <v>0</v>
      </c>
      <c r="E10" s="15">
        <f>COUNTIFS('CARGAS DE COMBUSTIBLE'!$D$2:$D$301,$B$2,'CARGAS DE COMBUSTIBLE'!$C$2:$C$301,$A10,'CARGAS DE COMBUSTIBLE'!$W$2:$W$301,"&lt;&gt;",'CARGAS DE COMBUSTIBLE'!$AA$2:$AA$301,"")+COUNTIFS('CONTROL DE BATAN'!$D$2:$D$301,$B$2,'CONTROL DE BATAN'!$C$2:$C$301,$A10,'CONTROL DE BATAN'!$L$2:$L$301,"&lt;&gt;")</f>
        <v>0</v>
      </c>
      <c r="F10" s="26" t="str">
        <f t="shared" si="0"/>
        <v/>
      </c>
      <c r="G10" s="25"/>
      <c r="H10" s="26" t="str">
        <f t="shared" si="1"/>
        <v/>
      </c>
      <c r="I10" s="16"/>
      <c r="J10" s="17"/>
    </row>
    <row r="11" spans="1:10" x14ac:dyDescent="0.25">
      <c r="A11" s="14" t="s">
        <v>187</v>
      </c>
      <c r="B11" s="15">
        <f>COUNTIFS('CARGAS DE COMBUSTIBLE'!$D$2:$D$301,$B$2,'CARGAS DE COMBUSTIBLE'!$C$2:$C$301,$A11,'CARGAS DE COMBUSTIBLE'!$A$2:$A$301,"&lt;&gt;",'CARGAS DE COMBUSTIBLE'!$AA$2:$AA$301,"")+COUNTIFS('CONTROL DE BATAN'!$D$2:$D$301,$B$2,'CONTROL DE BATAN'!$C$2:$C$301,$A11,'CONTROL DE BATAN'!$A$2:$A$301,"&lt;&gt;")</f>
        <v>0</v>
      </c>
      <c r="C11" s="26">
        <f>SUMIFS('CARGAS DE COMBUSTIBLE'!$N$2:$N$301,'CARGAS DE COMBUSTIBLE'!$D$2:$D$301,$B$2,'CARGAS DE COMBUSTIBLE'!$C$2:$C$301,$A11,'CARGAS DE COMBUSTIBLE'!$AA$2:$AA$301,"")+SUMIFS('CONTROL DE BATAN'!$I$2:$I$301,'CONTROL DE BATAN'!$D$2:$D$301,$B$2,'CONTROL DE BATAN'!$C$2:$C$301,$A11)</f>
        <v>0</v>
      </c>
      <c r="D11" s="26">
        <f>SUMIFS('CARGAS DE COMBUSTIBLE'!$P$2:$P$301,'CARGAS DE COMBUSTIBLE'!$D$2:$D$301,$B$2,'CARGAS DE COMBUSTIBLE'!$C$2:$C$301,$A11,'CARGAS DE COMBUSTIBLE'!$AA$2:$AA$301,"")+SUMIFS('CONTROL DE BATAN'!$K$2:$K$301,'CONTROL DE BATAN'!$D$2:$D$301,$B$2,'CONTROL DE BATAN'!$C$2:$C$301,$A11)</f>
        <v>0</v>
      </c>
      <c r="E11" s="15">
        <f>COUNTIFS('CARGAS DE COMBUSTIBLE'!$D$2:$D$301,$B$2,'CARGAS DE COMBUSTIBLE'!$C$2:$C$301,$A11,'CARGAS DE COMBUSTIBLE'!$W$2:$W$301,"&lt;&gt;",'CARGAS DE COMBUSTIBLE'!$AA$2:$AA$301,"")+COUNTIFS('CONTROL DE BATAN'!$D$2:$D$301,$B$2,'CONTROL DE BATAN'!$C$2:$C$301,$A11,'CONTROL DE BATAN'!$L$2:$L$301,"&lt;&gt;")</f>
        <v>0</v>
      </c>
      <c r="F11" s="26" t="str">
        <f t="shared" si="0"/>
        <v/>
      </c>
      <c r="G11" s="25"/>
      <c r="H11" s="26" t="str">
        <f t="shared" si="1"/>
        <v/>
      </c>
      <c r="I11" s="16"/>
      <c r="J11" s="17"/>
    </row>
    <row r="12" spans="1:10" x14ac:dyDescent="0.25">
      <c r="A12" s="14" t="s">
        <v>188</v>
      </c>
      <c r="B12" s="15">
        <f>COUNTIFS('CARGAS DE COMBUSTIBLE'!$D$2:$D$301,$B$2,'CARGAS DE COMBUSTIBLE'!$C$2:$C$301,$A12,'CARGAS DE COMBUSTIBLE'!$A$2:$A$301,"&lt;&gt;",'CARGAS DE COMBUSTIBLE'!$AA$2:$AA$301,"")+COUNTIFS('CONTROL DE BATAN'!$D$2:$D$301,$B$2,'CONTROL DE BATAN'!$C$2:$C$301,$A12,'CONTROL DE BATAN'!$A$2:$A$301,"&lt;&gt;")</f>
        <v>0</v>
      </c>
      <c r="C12" s="26">
        <f>SUMIFS('CARGAS DE COMBUSTIBLE'!$N$2:$N$301,'CARGAS DE COMBUSTIBLE'!$D$2:$D$301,$B$2,'CARGAS DE COMBUSTIBLE'!$C$2:$C$301,$A12,'CARGAS DE COMBUSTIBLE'!$AA$2:$AA$301,"")+SUMIFS('CONTROL DE BATAN'!$I$2:$I$301,'CONTROL DE BATAN'!$D$2:$D$301,$B$2,'CONTROL DE BATAN'!$C$2:$C$301,$A12)</f>
        <v>0</v>
      </c>
      <c r="D12" s="26">
        <f>SUMIFS('CARGAS DE COMBUSTIBLE'!$P$2:$P$301,'CARGAS DE COMBUSTIBLE'!$D$2:$D$301,$B$2,'CARGAS DE COMBUSTIBLE'!$C$2:$C$301,$A12,'CARGAS DE COMBUSTIBLE'!$AA$2:$AA$301,"")+SUMIFS('CONTROL DE BATAN'!$K$2:$K$301,'CONTROL DE BATAN'!$D$2:$D$301,$B$2,'CONTROL DE BATAN'!$C$2:$C$301,$A12)</f>
        <v>0</v>
      </c>
      <c r="E12" s="15">
        <f>COUNTIFS('CARGAS DE COMBUSTIBLE'!$D$2:$D$301,$B$2,'CARGAS DE COMBUSTIBLE'!$C$2:$C$301,$A12,'CARGAS DE COMBUSTIBLE'!$W$2:$W$301,"&lt;&gt;",'CARGAS DE COMBUSTIBLE'!$AA$2:$AA$301,"")+COUNTIFS('CONTROL DE BATAN'!$D$2:$D$301,$B$2,'CONTROL DE BATAN'!$C$2:$C$301,$A12,'CONTROL DE BATAN'!$L$2:$L$301,"&lt;&gt;")</f>
        <v>0</v>
      </c>
      <c r="F12" s="26" t="str">
        <f t="shared" si="0"/>
        <v/>
      </c>
      <c r="G12" s="25"/>
      <c r="H12" s="26" t="str">
        <f t="shared" si="1"/>
        <v/>
      </c>
      <c r="I12" s="16"/>
      <c r="J12" s="17"/>
    </row>
    <row r="13" spans="1:10" x14ac:dyDescent="0.25">
      <c r="A13" s="14" t="s">
        <v>189</v>
      </c>
      <c r="B13" s="15">
        <f>COUNTIFS('CARGAS DE COMBUSTIBLE'!$D$2:$D$301,$B$2,'CARGAS DE COMBUSTIBLE'!$C$2:$C$301,$A13,'CARGAS DE COMBUSTIBLE'!$A$2:$A$301,"&lt;&gt;",'CARGAS DE COMBUSTIBLE'!$AA$2:$AA$301,"")+COUNTIFS('CONTROL DE BATAN'!$D$2:$D$301,$B$2,'CONTROL DE BATAN'!$C$2:$C$301,$A13,'CONTROL DE BATAN'!$A$2:$A$301,"&lt;&gt;")</f>
        <v>0</v>
      </c>
      <c r="C13" s="26">
        <f>SUMIFS('CARGAS DE COMBUSTIBLE'!$N$2:$N$301,'CARGAS DE COMBUSTIBLE'!$D$2:$D$301,$B$2,'CARGAS DE COMBUSTIBLE'!$C$2:$C$301,$A13,'CARGAS DE COMBUSTIBLE'!$AA$2:$AA$301,"")+SUMIFS('CONTROL DE BATAN'!$I$2:$I$301,'CONTROL DE BATAN'!$D$2:$D$301,$B$2,'CONTROL DE BATAN'!$C$2:$C$301,$A13)</f>
        <v>0</v>
      </c>
      <c r="D13" s="26">
        <f>SUMIFS('CARGAS DE COMBUSTIBLE'!$P$2:$P$301,'CARGAS DE COMBUSTIBLE'!$D$2:$D$301,$B$2,'CARGAS DE COMBUSTIBLE'!$C$2:$C$301,$A13,'CARGAS DE COMBUSTIBLE'!$AA$2:$AA$301,"")+SUMIFS('CONTROL DE BATAN'!$K$2:$K$301,'CONTROL DE BATAN'!$D$2:$D$301,$B$2,'CONTROL DE BATAN'!$C$2:$C$301,$A13)</f>
        <v>0</v>
      </c>
      <c r="E13" s="15">
        <f>COUNTIFS('CARGAS DE COMBUSTIBLE'!$D$2:$D$301,$B$2,'CARGAS DE COMBUSTIBLE'!$C$2:$C$301,$A13,'CARGAS DE COMBUSTIBLE'!$W$2:$W$301,"&lt;&gt;",'CARGAS DE COMBUSTIBLE'!$AA$2:$AA$301,"")+COUNTIFS('CONTROL DE BATAN'!$D$2:$D$301,$B$2,'CONTROL DE BATAN'!$C$2:$C$301,$A13,'CONTROL DE BATAN'!$L$2:$L$301,"&lt;&gt;")</f>
        <v>0</v>
      </c>
      <c r="F13" s="26" t="str">
        <f t="shared" si="0"/>
        <v/>
      </c>
      <c r="G13" s="25"/>
      <c r="H13" s="26" t="str">
        <f t="shared" si="1"/>
        <v/>
      </c>
      <c r="I13" s="16"/>
      <c r="J13" s="17"/>
    </row>
    <row r="14" spans="1:10" x14ac:dyDescent="0.25">
      <c r="A14" s="14" t="s">
        <v>190</v>
      </c>
      <c r="B14" s="15">
        <f>COUNTIFS('CARGAS DE COMBUSTIBLE'!$D$2:$D$301,$B$2,'CARGAS DE COMBUSTIBLE'!$C$2:$C$301,$A14,'CARGAS DE COMBUSTIBLE'!$A$2:$A$301,"&lt;&gt;",'CARGAS DE COMBUSTIBLE'!$AA$2:$AA$301,"")+COUNTIFS('CONTROL DE BATAN'!$D$2:$D$301,$B$2,'CONTROL DE BATAN'!$C$2:$C$301,$A14,'CONTROL DE BATAN'!$A$2:$A$301,"&lt;&gt;")</f>
        <v>0</v>
      </c>
      <c r="C14" s="26">
        <f>SUMIFS('CARGAS DE COMBUSTIBLE'!$N$2:$N$301,'CARGAS DE COMBUSTIBLE'!$D$2:$D$301,$B$2,'CARGAS DE COMBUSTIBLE'!$C$2:$C$301,$A14,'CARGAS DE COMBUSTIBLE'!$AA$2:$AA$301,"")+SUMIFS('CONTROL DE BATAN'!$I$2:$I$301,'CONTROL DE BATAN'!$D$2:$D$301,$B$2,'CONTROL DE BATAN'!$C$2:$C$301,$A14)</f>
        <v>0</v>
      </c>
      <c r="D14" s="26">
        <f>SUMIFS('CARGAS DE COMBUSTIBLE'!$P$2:$P$301,'CARGAS DE COMBUSTIBLE'!$D$2:$D$301,$B$2,'CARGAS DE COMBUSTIBLE'!$C$2:$C$301,$A14,'CARGAS DE COMBUSTIBLE'!$AA$2:$AA$301,"")+SUMIFS('CONTROL DE BATAN'!$K$2:$K$301,'CONTROL DE BATAN'!$D$2:$D$301,$B$2,'CONTROL DE BATAN'!$C$2:$C$301,$A14)</f>
        <v>0</v>
      </c>
      <c r="E14" s="15">
        <f>COUNTIFS('CARGAS DE COMBUSTIBLE'!$D$2:$D$301,$B$2,'CARGAS DE COMBUSTIBLE'!$C$2:$C$301,$A14,'CARGAS DE COMBUSTIBLE'!$W$2:$W$301,"&lt;&gt;",'CARGAS DE COMBUSTIBLE'!$AA$2:$AA$301,"")+COUNTIFS('CONTROL DE BATAN'!$D$2:$D$301,$B$2,'CONTROL DE BATAN'!$C$2:$C$301,$A14,'CONTROL DE BATAN'!$L$2:$L$301,"&lt;&gt;")</f>
        <v>0</v>
      </c>
      <c r="F14" s="26" t="str">
        <f t="shared" si="0"/>
        <v/>
      </c>
      <c r="G14" s="25"/>
      <c r="H14" s="26" t="str">
        <f t="shared" si="1"/>
        <v/>
      </c>
      <c r="I14" s="16"/>
      <c r="J14" s="17"/>
    </row>
    <row r="15" spans="1:10" x14ac:dyDescent="0.25">
      <c r="A15" s="14" t="s">
        <v>191</v>
      </c>
      <c r="B15" s="15">
        <f>COUNTIFS('CARGAS DE COMBUSTIBLE'!$D$2:$D$301,$B$2,'CARGAS DE COMBUSTIBLE'!$C$2:$C$301,$A15,'CARGAS DE COMBUSTIBLE'!$A$2:$A$301,"&lt;&gt;",'CARGAS DE COMBUSTIBLE'!$AA$2:$AA$301,"")+COUNTIFS('CONTROL DE BATAN'!$D$2:$D$301,$B$2,'CONTROL DE BATAN'!$C$2:$C$301,$A15,'CONTROL DE BATAN'!$A$2:$A$301,"&lt;&gt;")</f>
        <v>0</v>
      </c>
      <c r="C15" s="26">
        <f>SUMIFS('CARGAS DE COMBUSTIBLE'!$N$2:$N$301,'CARGAS DE COMBUSTIBLE'!$D$2:$D$301,$B$2,'CARGAS DE COMBUSTIBLE'!$C$2:$C$301,$A15,'CARGAS DE COMBUSTIBLE'!$AA$2:$AA$301,"")+SUMIFS('CONTROL DE BATAN'!$I$2:$I$301,'CONTROL DE BATAN'!$D$2:$D$301,$B$2,'CONTROL DE BATAN'!$C$2:$C$301,$A15)</f>
        <v>0</v>
      </c>
      <c r="D15" s="26">
        <f>SUMIFS('CARGAS DE COMBUSTIBLE'!$P$2:$P$301,'CARGAS DE COMBUSTIBLE'!$D$2:$D$301,$B$2,'CARGAS DE COMBUSTIBLE'!$C$2:$C$301,$A15,'CARGAS DE COMBUSTIBLE'!$AA$2:$AA$301,"")+SUMIFS('CONTROL DE BATAN'!$K$2:$K$301,'CONTROL DE BATAN'!$D$2:$D$301,$B$2,'CONTROL DE BATAN'!$C$2:$C$301,$A15)</f>
        <v>0</v>
      </c>
      <c r="E15" s="15">
        <f>COUNTIFS('CARGAS DE COMBUSTIBLE'!$D$2:$D$301,$B$2,'CARGAS DE COMBUSTIBLE'!$C$2:$C$301,$A15,'CARGAS DE COMBUSTIBLE'!$W$2:$W$301,"&lt;&gt;",'CARGAS DE COMBUSTIBLE'!$AA$2:$AA$301,"")+COUNTIFS('CONTROL DE BATAN'!$D$2:$D$301,$B$2,'CONTROL DE BATAN'!$C$2:$C$301,$A15,'CONTROL DE BATAN'!$L$2:$L$301,"&lt;&gt;")</f>
        <v>0</v>
      </c>
      <c r="F15" s="26" t="str">
        <f t="shared" si="0"/>
        <v/>
      </c>
      <c r="G15" s="25"/>
      <c r="H15" s="26" t="str">
        <f t="shared" si="1"/>
        <v/>
      </c>
      <c r="I15" s="16"/>
      <c r="J15" s="17"/>
    </row>
    <row r="16" spans="1:10" x14ac:dyDescent="0.25">
      <c r="A16" s="18" t="s">
        <v>192</v>
      </c>
      <c r="B16" s="18">
        <f>SUM(B4:B15)</f>
        <v>5</v>
      </c>
      <c r="C16" s="29">
        <f>SUM(C4:C15)</f>
        <v>539.65</v>
      </c>
      <c r="D16" s="29">
        <f>SUM(D4:D15)</f>
        <v>0</v>
      </c>
      <c r="E16" s="18">
        <f>SUM(E4:E15)</f>
        <v>3</v>
      </c>
      <c r="F16" s="29">
        <f t="shared" si="0"/>
        <v>0</v>
      </c>
      <c r="G16" s="29">
        <f>SUM(G4:G15)</f>
        <v>656800</v>
      </c>
      <c r="H16" s="29">
        <f>SUM(H4:H15)</f>
        <v>656800</v>
      </c>
      <c r="I16" s="19"/>
      <c r="J16" s="19"/>
    </row>
  </sheetData>
  <mergeCells count="1">
    <mergeCell ref="A1:J1"/>
  </mergeCells>
  <conditionalFormatting sqref="H4:H15">
    <cfRule type="cellIs" dxfId="0" priority="1" operator="notEqual">
      <formula>0</formula>
    </cfRule>
  </conditionalFormatting>
  <dataValidations count="2">
    <dataValidation type="list" sqref="B2" xr:uid="{00000000-0002-0000-0600-000000000000}">
      <formula1>Lista_Anios</formula1>
    </dataValidation>
    <dataValidation type="list" allowBlank="1" sqref="J4:J15" xr:uid="{00000000-0002-0000-0600-000001000000}">
      <formula1>Lista_EstadoProveedor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"/>
  <sheetViews>
    <sheetView showGridLines="0" workbookViewId="0">
      <selection activeCell="F16" sqref="F16"/>
    </sheetView>
  </sheetViews>
  <sheetFormatPr baseColWidth="10" defaultColWidth="9.140625" defaultRowHeight="15" x14ac:dyDescent="0.25"/>
  <cols>
    <col min="1" max="1" width="15" customWidth="1"/>
    <col min="2" max="3" width="14" customWidth="1"/>
    <col min="4" max="4" width="10" customWidth="1"/>
    <col min="5" max="5" width="14" customWidth="1"/>
    <col min="6" max="6" width="24" customWidth="1"/>
    <col min="7" max="9" width="14" customWidth="1"/>
    <col min="10" max="10" width="10" customWidth="1"/>
    <col min="11" max="11" width="14" customWidth="1"/>
    <col min="12" max="12" width="24" customWidth="1"/>
    <col min="13" max="14" width="14" customWidth="1"/>
    <col min="15" max="15" width="10" customWidth="1"/>
    <col min="16" max="16" width="14" customWidth="1"/>
    <col min="17" max="17" width="20" customWidth="1"/>
    <col min="18" max="19" width="14" customWidth="1"/>
    <col min="20" max="20" width="10" customWidth="1"/>
    <col min="21" max="21" width="14" customWidth="1"/>
    <col min="22" max="22" width="20" customWidth="1"/>
    <col min="23" max="24" width="14" customWidth="1"/>
  </cols>
  <sheetData>
    <row r="1" spans="1:24" ht="21" customHeight="1" x14ac:dyDescent="0.35">
      <c r="A1" s="20" t="s">
        <v>193</v>
      </c>
      <c r="B1" s="12" t="s">
        <v>194</v>
      </c>
      <c r="C1" s="10">
        <f>DASHBOARD!B3</f>
        <v>2026</v>
      </c>
    </row>
    <row r="3" spans="1:24" ht="15.6" customHeight="1" x14ac:dyDescent="0.25">
      <c r="A3" s="21" t="s">
        <v>195</v>
      </c>
      <c r="F3" s="21" t="s">
        <v>196</v>
      </c>
      <c r="L3" s="21" t="s">
        <v>197</v>
      </c>
      <c r="Q3" s="21" t="s">
        <v>198</v>
      </c>
      <c r="V3" s="21" t="s">
        <v>199</v>
      </c>
    </row>
    <row r="4" spans="1:24" x14ac:dyDescent="0.25">
      <c r="A4" s="5" t="s">
        <v>135</v>
      </c>
      <c r="B4" s="5" t="s">
        <v>200</v>
      </c>
      <c r="C4" s="5" t="s">
        <v>201</v>
      </c>
      <c r="D4" s="5" t="s">
        <v>202</v>
      </c>
      <c r="F4" s="5" t="s">
        <v>203</v>
      </c>
      <c r="G4" s="5" t="s">
        <v>114</v>
      </c>
      <c r="H4" s="5" t="s">
        <v>200</v>
      </c>
      <c r="I4" s="5" t="s">
        <v>201</v>
      </c>
      <c r="J4" s="5" t="s">
        <v>202</v>
      </c>
      <c r="L4" s="5" t="s">
        <v>204</v>
      </c>
      <c r="M4" s="5" t="s">
        <v>200</v>
      </c>
      <c r="N4" s="5" t="s">
        <v>201</v>
      </c>
      <c r="O4" s="5" t="s">
        <v>202</v>
      </c>
      <c r="Q4" s="5" t="s">
        <v>138</v>
      </c>
      <c r="R4" s="5" t="s">
        <v>200</v>
      </c>
      <c r="S4" s="5" t="s">
        <v>201</v>
      </c>
      <c r="T4" s="5" t="s">
        <v>202</v>
      </c>
      <c r="V4" s="5" t="s">
        <v>20</v>
      </c>
      <c r="W4" s="5" t="s">
        <v>200</v>
      </c>
      <c r="X4" s="5" t="s">
        <v>201</v>
      </c>
    </row>
    <row r="5" spans="1:24" x14ac:dyDescent="0.25">
      <c r="A5" s="14" t="s">
        <v>179</v>
      </c>
      <c r="B5" s="11">
        <f>SUMIFS('CARGAS DE COMBUSTIBLE'!$N$2:$N$301,'CARGAS DE COMBUSTIBLE'!$D$2:$D$301,$C$1,'CARGAS DE COMBUSTIBLE'!$C$2:$C$301,$A5)</f>
        <v>0</v>
      </c>
      <c r="C5" s="26">
        <f>SUMIFS('CARGAS DE COMBUSTIBLE'!$P$2:$P$301,'CARGAS DE COMBUSTIBLE'!$D$2:$D$301,$C$1,'CARGAS DE COMBUSTIBLE'!$C$2:$C$301,$A5)</f>
        <v>0</v>
      </c>
      <c r="D5" s="15">
        <f>COUNTIFS('CARGAS DE COMBUSTIBLE'!$D$2:$D$301,$C$1,'CARGAS DE COMBUSTIBLE'!$C$2:$C$301,$A5,'CARGAS DE COMBUSTIBLE'!$A$2:$A$301,"&lt;&gt;")</f>
        <v>0</v>
      </c>
      <c r="F5" s="14" t="str">
        <f>IFERROR(INDEX('MAESTRO DE UNIDADES'!$C$2:$C$208,ROW()-4),"")</f>
        <v>Toyota Hilux 2.4</v>
      </c>
      <c r="G5" s="14" t="str">
        <f>IFERROR(INDEX('MAESTRO DE UNIDADES'!$A$2:$A$208,ROW()-4),"")</f>
        <v>C-001</v>
      </c>
      <c r="H5" s="26">
        <f>SUMIFS('CARGAS DE COMBUSTIBLE'!$N$2:$N$301,'CARGAS DE COMBUSTIBLE'!$D$2:$D$301,$C$1,'CARGAS DE COMBUSTIBLE'!$F$2:$F$301,$F5)</f>
        <v>90</v>
      </c>
      <c r="I5" s="26">
        <f>SUMIFS('CARGAS DE COMBUSTIBLE'!$P$2:$P$301,'CARGAS DE COMBUSTIBLE'!$D$2:$D$301,$C$1,'CARGAS DE COMBUSTIBLE'!$F$2:$F$301,$F5)</f>
        <v>0</v>
      </c>
      <c r="J5" s="15">
        <f>COUNTIFS('CARGAS DE COMBUSTIBLE'!$D$2:$D$301,$C$1,'CARGAS DE COMBUSTIBLE'!$F$2:$F$301,$F5,'CARGAS DE COMBUSTIBLE'!$A$2:$A$301,"&lt;&gt;")</f>
        <v>2</v>
      </c>
      <c r="L5" s="14" t="str">
        <f>IFERROR(INDEX('MAESTRO DE OBRAS'!$B$2:$B$200,ROW()-4),"")</f>
        <v xml:space="preserve">Barrio Don Jose </v>
      </c>
      <c r="M5" s="26">
        <f>SUMIFS('CARGAS DE COMBUSTIBLE'!$N$2:$N$301,'CARGAS DE COMBUSTIBLE'!$D$2:$D$301,$C$1,'CARGAS DE COMBUSTIBLE'!$K$2:$K$301,$L5)</f>
        <v>49.65</v>
      </c>
      <c r="N5" s="26">
        <f>SUMIFS('CARGAS DE COMBUSTIBLE'!$P$2:$P$301,'CARGAS DE COMBUSTIBLE'!$D$2:$D$301,$C$1,'CARGAS DE COMBUSTIBLE'!$K$2:$K$301,$L5)</f>
        <v>0</v>
      </c>
      <c r="O5" s="10">
        <f>COUNTIFS('CARGAS DE COMBUSTIBLE'!$D$2:$D$301,$C$1,'CARGAS DE COMBUSTIBLE'!$K$2:$K$301,$L5,'CARGAS DE COMBUSTIBLE'!$A$2:$A$301,"&lt;&gt;")</f>
        <v>1</v>
      </c>
      <c r="Q5" s="14" t="str">
        <f>IFERROR(INDEX('MAESTRO DE RESPONSABLES'!$A$2:$A$200,ROW()-4),"")</f>
        <v>Ariel Jofre</v>
      </c>
      <c r="R5" s="11">
        <f>SUMIFS('CARGAS DE COMBUSTIBLE'!$N$2:$N$301,'CARGAS DE COMBUSTIBLE'!$D$2:$D$301,$C$1,'CARGAS DE COMBUSTIBLE'!$J$2:$J$301,$Q5)</f>
        <v>0</v>
      </c>
      <c r="S5" s="26">
        <f>SUMIFS('CARGAS DE COMBUSTIBLE'!$P$2:$P$301,'CARGAS DE COMBUSTIBLE'!$D$2:$D$301,$C$1,'CARGAS DE COMBUSTIBLE'!$J$2:$J$301,$Q5)</f>
        <v>0</v>
      </c>
      <c r="T5" s="10">
        <f>COUNTIFS('CARGAS DE COMBUSTIBLE'!$D$2:$D$301,$C$1,'CARGAS DE COMBUSTIBLE'!$J$2:$J$301,$Q5,'CARGAS DE COMBUSTIBLE'!$A$2:$A$301,"&lt;&gt;")</f>
        <v>0</v>
      </c>
      <c r="V5" s="14" t="s">
        <v>168</v>
      </c>
      <c r="W5" s="26">
        <f>SUMIFS('CARGAS DE COMBUSTIBLE'!$N$2:$N$301,'CARGAS DE COMBUSTIBLE'!$D$2:$D$301,$C$1,'CARGAS DE COMBUSTIBLE'!$M$2:$M$301,$V5)</f>
        <v>0</v>
      </c>
      <c r="X5" s="26">
        <f>SUMIFS('CARGAS DE COMBUSTIBLE'!$P$2:$P$301,'CARGAS DE COMBUSTIBLE'!$D$2:$D$301,$C$1,'CARGAS DE COMBUSTIBLE'!$M$2:$M$301,$V5)</f>
        <v>0</v>
      </c>
    </row>
    <row r="6" spans="1:24" x14ac:dyDescent="0.25">
      <c r="A6" s="14" t="s">
        <v>181</v>
      </c>
      <c r="B6" s="11">
        <f>SUMIFS('CARGAS DE COMBUSTIBLE'!$N$2:$N$301,'CARGAS DE COMBUSTIBLE'!$D$2:$D$301,$C$1,'CARGAS DE COMBUSTIBLE'!$C$2:$C$301,$A6)</f>
        <v>0</v>
      </c>
      <c r="C6" s="26">
        <f>SUMIFS('CARGAS DE COMBUSTIBLE'!$P$2:$P$301,'CARGAS DE COMBUSTIBLE'!$D$2:$D$301,$C$1,'CARGAS DE COMBUSTIBLE'!$C$2:$C$301,$A6)</f>
        <v>0</v>
      </c>
      <c r="D6" s="15">
        <f>COUNTIFS('CARGAS DE COMBUSTIBLE'!$D$2:$D$301,$C$1,'CARGAS DE COMBUSTIBLE'!$C$2:$C$301,$A6,'CARGAS DE COMBUSTIBLE'!$A$2:$A$301,"&lt;&gt;")</f>
        <v>0</v>
      </c>
      <c r="F6" s="14" t="str">
        <f>IFERROR(INDEX('MAESTRO DE UNIDADES'!$C$2:$C$208,ROW()-4),"")</f>
        <v>Toyota Hilux 2.4</v>
      </c>
      <c r="G6" s="14" t="str">
        <f>IFERROR(INDEX('MAESTRO DE UNIDADES'!$A$2:$A$208,ROW()-4),"")</f>
        <v>C-002</v>
      </c>
      <c r="H6" s="26">
        <f>SUMIFS('CARGAS DE COMBUSTIBLE'!$N$2:$N$301,'CARGAS DE COMBUSTIBLE'!$D$2:$D$301,$C$1,'CARGAS DE COMBUSTIBLE'!$F$2:$F$301,$F6)</f>
        <v>90</v>
      </c>
      <c r="I6" s="26">
        <f>SUMIFS('CARGAS DE COMBUSTIBLE'!$P$2:$P$301,'CARGAS DE COMBUSTIBLE'!$D$2:$D$301,$C$1,'CARGAS DE COMBUSTIBLE'!$F$2:$F$301,$F6)</f>
        <v>0</v>
      </c>
      <c r="J6" s="15">
        <f>COUNTIFS('CARGAS DE COMBUSTIBLE'!$D$2:$D$301,$C$1,'CARGAS DE COMBUSTIBLE'!$F$2:$F$301,$F6,'CARGAS DE COMBUSTIBLE'!$A$2:$A$301,"&lt;&gt;")</f>
        <v>2</v>
      </c>
      <c r="L6" s="14" t="str">
        <f>IFERROR(INDEX('MAESTRO DE OBRAS'!$B$2:$B$200,ROW()-4),"")</f>
        <v xml:space="preserve">Escuela Stgo del Estero </v>
      </c>
      <c r="M6" s="26">
        <f>SUMIFS('CARGAS DE COMBUSTIBLE'!$N$2:$N$301,'CARGAS DE COMBUSTIBLE'!$D$2:$D$301,$C$1,'CARGAS DE COMBUSTIBLE'!$K$2:$K$301,$L6)</f>
        <v>0</v>
      </c>
      <c r="N6" s="26">
        <f>SUMIFS('CARGAS DE COMBUSTIBLE'!$P$2:$P$301,'CARGAS DE COMBUSTIBLE'!$D$2:$D$301,$C$1,'CARGAS DE COMBUSTIBLE'!$K$2:$K$301,$L6)</f>
        <v>0</v>
      </c>
      <c r="O6" s="10">
        <f>COUNTIFS('CARGAS DE COMBUSTIBLE'!$D$2:$D$301,$C$1,'CARGAS DE COMBUSTIBLE'!$K$2:$K$301,$L6,'CARGAS DE COMBUSTIBLE'!$A$2:$A$301,"&lt;&gt;")</f>
        <v>0</v>
      </c>
      <c r="Q6" s="14" t="str">
        <f>IFERROR(INDEX('MAESTRO DE RESPONSABLES'!$A$2:$A$200,ROW()-4),"")</f>
        <v xml:space="preserve">Bruno Guevara </v>
      </c>
      <c r="R6" s="11">
        <f>SUMIFS('CARGAS DE COMBUSTIBLE'!$N$2:$N$301,'CARGAS DE COMBUSTIBLE'!$D$2:$D$301,$C$1,'CARGAS DE COMBUSTIBLE'!$J$2:$J$301,$Q6)</f>
        <v>49.65</v>
      </c>
      <c r="S6" s="26">
        <f>SUMIFS('CARGAS DE COMBUSTIBLE'!$P$2:$P$301,'CARGAS DE COMBUSTIBLE'!$D$2:$D$301,$C$1,'CARGAS DE COMBUSTIBLE'!$J$2:$J$301,$Q6)</f>
        <v>0</v>
      </c>
      <c r="T6" s="10">
        <f>COUNTIFS('CARGAS DE COMBUSTIBLE'!$D$2:$D$301,$C$1,'CARGAS DE COMBUSTIBLE'!$J$2:$J$301,$Q6,'CARGAS DE COMBUSTIBLE'!$A$2:$A$301,"&lt;&gt;")</f>
        <v>1</v>
      </c>
      <c r="V6" s="14" t="s">
        <v>205</v>
      </c>
      <c r="W6" s="26">
        <f>SUMIFS('CARGAS DE COMBUSTIBLE'!$N$2:$N$301,'CARGAS DE COMBUSTIBLE'!$D$2:$D$301,$C$1,'CARGAS DE COMBUSTIBLE'!$M$2:$M$301,$V6)</f>
        <v>0</v>
      </c>
      <c r="X6" s="26">
        <f>SUMIFS('CARGAS DE COMBUSTIBLE'!$P$2:$P$301,'CARGAS DE COMBUSTIBLE'!$D$2:$D$301,$C$1,'CARGAS DE COMBUSTIBLE'!$M$2:$M$301,$V6)</f>
        <v>0</v>
      </c>
    </row>
    <row r="7" spans="1:24" x14ac:dyDescent="0.25">
      <c r="A7" s="14" t="s">
        <v>182</v>
      </c>
      <c r="B7" s="11">
        <f>SUMIFS('CARGAS DE COMBUSTIBLE'!$N$2:$N$301,'CARGAS DE COMBUSTIBLE'!$D$2:$D$301,$C$1,'CARGAS DE COMBUSTIBLE'!$C$2:$C$301,$A7)</f>
        <v>0</v>
      </c>
      <c r="C7" s="26">
        <f>SUMIFS('CARGAS DE COMBUSTIBLE'!$P$2:$P$301,'CARGAS DE COMBUSTIBLE'!$D$2:$D$301,$C$1,'CARGAS DE COMBUSTIBLE'!$C$2:$C$301,$A7)</f>
        <v>0</v>
      </c>
      <c r="D7" s="15">
        <f>COUNTIFS('CARGAS DE COMBUSTIBLE'!$D$2:$D$301,$C$1,'CARGAS DE COMBUSTIBLE'!$C$2:$C$301,$A7,'CARGAS DE COMBUSTIBLE'!$A$2:$A$301,"&lt;&gt;")</f>
        <v>0</v>
      </c>
      <c r="F7" s="14" t="str">
        <f>IFERROR(INDEX('MAESTRO DE UNIDADES'!$C$2:$C$208,ROW()-4),"")</f>
        <v>RAM 1500 5.7 V8 LARAMIE4X4</v>
      </c>
      <c r="G7" s="14" t="str">
        <f>IFERROR(INDEX('MAESTRO DE UNIDADES'!$A$2:$A$208,ROW()-4),"")</f>
        <v>C-003</v>
      </c>
      <c r="H7" s="26">
        <f>SUMIFS('CARGAS DE COMBUSTIBLE'!$N$2:$N$301,'CARGAS DE COMBUSTIBLE'!$D$2:$D$301,$C$1,'CARGAS DE COMBUSTIBLE'!$F$2:$F$301,$F7)</f>
        <v>0</v>
      </c>
      <c r="I7" s="26">
        <f>SUMIFS('CARGAS DE COMBUSTIBLE'!$P$2:$P$301,'CARGAS DE COMBUSTIBLE'!$D$2:$D$301,$C$1,'CARGAS DE COMBUSTIBLE'!$F$2:$F$301,$F7)</f>
        <v>0</v>
      </c>
      <c r="J7" s="15">
        <f>COUNTIFS('CARGAS DE COMBUSTIBLE'!$D$2:$D$301,$C$1,'CARGAS DE COMBUSTIBLE'!$F$2:$F$301,$F7,'CARGAS DE COMBUSTIBLE'!$A$2:$A$301,"&lt;&gt;")</f>
        <v>0</v>
      </c>
      <c r="L7" s="14" t="str">
        <f>IFERROR(INDEX('MAESTRO DE OBRAS'!$B$2:$B$200,ROW()-4),"")</f>
        <v xml:space="preserve">Mantenimiento Escuelas </v>
      </c>
      <c r="M7" s="26">
        <f>SUMIFS('CARGAS DE COMBUSTIBLE'!$N$2:$N$301,'CARGAS DE COMBUSTIBLE'!$D$2:$D$301,$C$1,'CARGAS DE COMBUSTIBLE'!$K$2:$K$301,$L7)</f>
        <v>0</v>
      </c>
      <c r="N7" s="26">
        <f>SUMIFS('CARGAS DE COMBUSTIBLE'!$P$2:$P$301,'CARGAS DE COMBUSTIBLE'!$D$2:$D$301,$C$1,'CARGAS DE COMBUSTIBLE'!$K$2:$K$301,$L7)</f>
        <v>0</v>
      </c>
      <c r="O7" s="10">
        <f>COUNTIFS('CARGAS DE COMBUSTIBLE'!$D$2:$D$301,$C$1,'CARGAS DE COMBUSTIBLE'!$K$2:$K$301,$L7,'CARGAS DE COMBUSTIBLE'!$A$2:$A$301,"&lt;&gt;")</f>
        <v>0</v>
      </c>
      <c r="Q7" s="14" t="str">
        <f>IFERROR(INDEX('MAESTRO DE RESPONSABLES'!$A$2:$A$200,ROW()-4),"")</f>
        <v xml:space="preserve">Enrico </v>
      </c>
      <c r="R7" s="11">
        <f>SUMIFS('CARGAS DE COMBUSTIBLE'!$N$2:$N$301,'CARGAS DE COMBUSTIBLE'!$D$2:$D$301,$C$1,'CARGAS DE COMBUSTIBLE'!$J$2:$J$301,$Q7)</f>
        <v>0</v>
      </c>
      <c r="S7" s="26">
        <f>SUMIFS('CARGAS DE COMBUSTIBLE'!$P$2:$P$301,'CARGAS DE COMBUSTIBLE'!$D$2:$D$301,$C$1,'CARGAS DE COMBUSTIBLE'!$J$2:$J$301,$Q7)</f>
        <v>0</v>
      </c>
      <c r="T7" s="10">
        <f>COUNTIFS('CARGAS DE COMBUSTIBLE'!$D$2:$D$301,$C$1,'CARGAS DE COMBUSTIBLE'!$J$2:$J$301,$Q7,'CARGAS DE COMBUSTIBLE'!$A$2:$A$301,"&lt;&gt;")</f>
        <v>0</v>
      </c>
      <c r="V7" s="14" t="s">
        <v>44</v>
      </c>
      <c r="W7" s="26">
        <f>SUMIFS('CARGAS DE COMBUSTIBLE'!$N$2:$N$301,'CARGAS DE COMBUSTIBLE'!$D$2:$D$301,$C$1,'CARGAS DE COMBUSTIBLE'!$M$2:$M$301,$V7)</f>
        <v>0</v>
      </c>
      <c r="X7" s="26">
        <f>SUMIFS('CARGAS DE COMBUSTIBLE'!$P$2:$P$301,'CARGAS DE COMBUSTIBLE'!$D$2:$D$301,$C$1,'CARGAS DE COMBUSTIBLE'!$M$2:$M$301,$V7)</f>
        <v>0</v>
      </c>
    </row>
    <row r="8" spans="1:24" x14ac:dyDescent="0.25">
      <c r="A8" s="14" t="s">
        <v>183</v>
      </c>
      <c r="B8" s="11">
        <f>SUMIFS('CARGAS DE COMBUSTIBLE'!$N$2:$N$301,'CARGAS DE COMBUSTIBLE'!$D$2:$D$301,$C$1,'CARGAS DE COMBUSTIBLE'!$C$2:$C$301,$A8)</f>
        <v>0</v>
      </c>
      <c r="C8" s="26">
        <f>SUMIFS('CARGAS DE COMBUSTIBLE'!$P$2:$P$301,'CARGAS DE COMBUSTIBLE'!$D$2:$D$301,$C$1,'CARGAS DE COMBUSTIBLE'!$C$2:$C$301,$A8)</f>
        <v>0</v>
      </c>
      <c r="D8" s="15">
        <f>COUNTIFS('CARGAS DE COMBUSTIBLE'!$D$2:$D$301,$C$1,'CARGAS DE COMBUSTIBLE'!$C$2:$C$301,$A8,'CARGAS DE COMBUSTIBLE'!$A$2:$A$301,"&lt;&gt;")</f>
        <v>0</v>
      </c>
      <c r="F8" s="14" t="str">
        <f>IFERROR(INDEX('MAESTRO DE UNIDADES'!$C$2:$C$208,ROW()-4),"")</f>
        <v>Peugeot Partner confort 1.6 HDI</v>
      </c>
      <c r="G8" s="14" t="str">
        <f>IFERROR(INDEX('MAESTRO DE UNIDADES'!$A$2:$A$208,ROW()-4),"")</f>
        <v>C-004</v>
      </c>
      <c r="H8" s="26">
        <f>SUMIFS('CARGAS DE COMBUSTIBLE'!$N$2:$N$301,'CARGAS DE COMBUSTIBLE'!$D$2:$D$301,$C$1,'CARGAS DE COMBUSTIBLE'!$F$2:$F$301,$F8)</f>
        <v>0</v>
      </c>
      <c r="I8" s="26">
        <f>SUMIFS('CARGAS DE COMBUSTIBLE'!$P$2:$P$301,'CARGAS DE COMBUSTIBLE'!$D$2:$D$301,$C$1,'CARGAS DE COMBUSTIBLE'!$F$2:$F$301,$F8)</f>
        <v>0</v>
      </c>
      <c r="J8" s="15">
        <f>COUNTIFS('CARGAS DE COMBUSTIBLE'!$D$2:$D$301,$C$1,'CARGAS DE COMBUSTIBLE'!$F$2:$F$301,$F8,'CARGAS DE COMBUSTIBLE'!$A$2:$A$301,"&lt;&gt;")</f>
        <v>0</v>
      </c>
      <c r="L8" s="14" t="str">
        <f>IFERROR(INDEX('MAESTRO DE OBRAS'!$B$2:$B$200,ROW()-4),"")</f>
        <v xml:space="preserve">Movimientos Internos </v>
      </c>
      <c r="M8" s="26">
        <f>SUMIFS('CARGAS DE COMBUSTIBLE'!$N$2:$N$301,'CARGAS DE COMBUSTIBLE'!$D$2:$D$301,$C$1,'CARGAS DE COMBUSTIBLE'!$K$2:$K$301,$L8)</f>
        <v>90</v>
      </c>
      <c r="N8" s="26">
        <f>SUMIFS('CARGAS DE COMBUSTIBLE'!$P$2:$P$301,'CARGAS DE COMBUSTIBLE'!$D$2:$D$301,$C$1,'CARGAS DE COMBUSTIBLE'!$K$2:$K$301,$L8)</f>
        <v>0</v>
      </c>
      <c r="O8" s="10">
        <f>COUNTIFS('CARGAS DE COMBUSTIBLE'!$D$2:$D$301,$C$1,'CARGAS DE COMBUSTIBLE'!$K$2:$K$301,$L8,'CARGAS DE COMBUSTIBLE'!$A$2:$A$301,"&lt;&gt;")</f>
        <v>2</v>
      </c>
      <c r="Q8" s="14" t="str">
        <f>IFERROR(INDEX('MAESTRO DE RESPONSABLES'!$A$2:$A$200,ROW()-4),"")</f>
        <v>Gustavo</v>
      </c>
      <c r="R8" s="11">
        <f>SUMIFS('CARGAS DE COMBUSTIBLE'!$N$2:$N$301,'CARGAS DE COMBUSTIBLE'!$D$2:$D$301,$C$1,'CARGAS DE COMBUSTIBLE'!$J$2:$J$301,$Q8)</f>
        <v>0</v>
      </c>
      <c r="S8" s="26">
        <f>SUMIFS('CARGAS DE COMBUSTIBLE'!$P$2:$P$301,'CARGAS DE COMBUSTIBLE'!$D$2:$D$301,$C$1,'CARGAS DE COMBUSTIBLE'!$J$2:$J$301,$Q8)</f>
        <v>0</v>
      </c>
      <c r="T8" s="10">
        <f>COUNTIFS('CARGAS DE COMBUSTIBLE'!$D$2:$D$301,$C$1,'CARGAS DE COMBUSTIBLE'!$J$2:$J$301,$Q8,'CARGAS DE COMBUSTIBLE'!$A$2:$A$301,"&lt;&gt;")</f>
        <v>0</v>
      </c>
      <c r="V8" s="14" t="s">
        <v>206</v>
      </c>
      <c r="W8" s="26">
        <f>SUMIFS('CARGAS DE COMBUSTIBLE'!$N$2:$N$301,'CARGAS DE COMBUSTIBLE'!$D$2:$D$301,$C$1,'CARGAS DE COMBUSTIBLE'!$M$2:$M$301,$V8)</f>
        <v>0</v>
      </c>
      <c r="X8" s="26">
        <f>SUMIFS('CARGAS DE COMBUSTIBLE'!$P$2:$P$301,'CARGAS DE COMBUSTIBLE'!$D$2:$D$301,$C$1,'CARGAS DE COMBUSTIBLE'!$M$2:$M$301,$V8)</f>
        <v>0</v>
      </c>
    </row>
    <row r="9" spans="1:24" x14ac:dyDescent="0.25">
      <c r="A9" s="14" t="s">
        <v>184</v>
      </c>
      <c r="B9" s="11">
        <f>SUMIFS('CARGAS DE COMBUSTIBLE'!$N$2:$N$301,'CARGAS DE COMBUSTIBLE'!$D$2:$D$301,$C$1,'CARGAS DE COMBUSTIBLE'!$C$2:$C$301,$A9)</f>
        <v>139.65</v>
      </c>
      <c r="C9" s="26">
        <f>SUMIFS('CARGAS DE COMBUSTIBLE'!$P$2:$P$301,'CARGAS DE COMBUSTIBLE'!$D$2:$D$301,$C$1,'CARGAS DE COMBUSTIBLE'!$C$2:$C$301,$A9)</f>
        <v>0</v>
      </c>
      <c r="D9" s="15">
        <f>COUNTIFS('CARGAS DE COMBUSTIBLE'!$D$2:$D$301,$C$1,'CARGAS DE COMBUSTIBLE'!$C$2:$C$301,$A9,'CARGAS DE COMBUSTIBLE'!$A$2:$A$301,"&lt;&gt;")</f>
        <v>3</v>
      </c>
      <c r="F9" s="14" t="str">
        <f>IFERROR(INDEX('MAESTRO DE UNIDADES'!$C$2:$C$208,ROW()-4),"")</f>
        <v>Toyota Hilux 4X4 C/S DX2.4 TDI 6M/T</v>
      </c>
      <c r="G9" s="14" t="str">
        <f>IFERROR(INDEX('MAESTRO DE UNIDADES'!$A$2:$A$208,ROW()-4),"")</f>
        <v>C-005</v>
      </c>
      <c r="H9" s="26">
        <f>SUMIFS('CARGAS DE COMBUSTIBLE'!$N$2:$N$301,'CARGAS DE COMBUSTIBLE'!$D$2:$D$301,$C$1,'CARGAS DE COMBUSTIBLE'!$F$2:$F$301,$F9)</f>
        <v>0</v>
      </c>
      <c r="I9" s="26">
        <f>SUMIFS('CARGAS DE COMBUSTIBLE'!$P$2:$P$301,'CARGAS DE COMBUSTIBLE'!$D$2:$D$301,$C$1,'CARGAS DE COMBUSTIBLE'!$F$2:$F$301,$F9)</f>
        <v>0</v>
      </c>
      <c r="J9" s="15">
        <f>COUNTIFS('CARGAS DE COMBUSTIBLE'!$D$2:$D$301,$C$1,'CARGAS DE COMBUSTIBLE'!$F$2:$F$301,$F9,'CARGAS DE COMBUSTIBLE'!$A$2:$A$301,"&lt;&gt;")</f>
        <v>0</v>
      </c>
      <c r="L9" s="14" t="str">
        <f>IFERROR(INDEX('MAESTRO DE OBRAS'!$B$2:$B$200,ROW()-4),"")</f>
        <v>Barrio ASEC</v>
      </c>
      <c r="M9" s="26">
        <f>SUMIFS('CARGAS DE COMBUSTIBLE'!$N$2:$N$301,'CARGAS DE COMBUSTIBLE'!$D$2:$D$301,$C$1,'CARGAS DE COMBUSTIBLE'!$K$2:$K$301,$L9)</f>
        <v>0</v>
      </c>
      <c r="N9" s="26">
        <f>SUMIFS('CARGAS DE COMBUSTIBLE'!$P$2:$P$301,'CARGAS DE COMBUSTIBLE'!$D$2:$D$301,$C$1,'CARGAS DE COMBUSTIBLE'!$K$2:$K$301,$L9)</f>
        <v>0</v>
      </c>
      <c r="O9" s="10">
        <f>COUNTIFS('CARGAS DE COMBUSTIBLE'!$D$2:$D$301,$C$1,'CARGAS DE COMBUSTIBLE'!$K$2:$K$301,$L9,'CARGAS DE COMBUSTIBLE'!$A$2:$A$301,"&lt;&gt;")</f>
        <v>0</v>
      </c>
      <c r="Q9" s="14" t="str">
        <f>IFERROR(INDEX('MAESTRO DE RESPONSABLES'!$A$2:$A$200,ROW()-4),"")</f>
        <v>Adolfo</v>
      </c>
      <c r="R9" s="11">
        <f>SUMIFS('CARGAS DE COMBUSTIBLE'!$N$2:$N$301,'CARGAS DE COMBUSTIBLE'!$D$2:$D$301,$C$1,'CARGAS DE COMBUSTIBLE'!$J$2:$J$301,$Q9)</f>
        <v>90</v>
      </c>
      <c r="S9" s="26">
        <f>SUMIFS('CARGAS DE COMBUSTIBLE'!$P$2:$P$301,'CARGAS DE COMBUSTIBLE'!$D$2:$D$301,$C$1,'CARGAS DE COMBUSTIBLE'!$J$2:$J$301,$Q9)</f>
        <v>0</v>
      </c>
      <c r="T9" s="10">
        <f>COUNTIFS('CARGAS DE COMBUSTIBLE'!$D$2:$D$301,$C$1,'CARGAS DE COMBUSTIBLE'!$J$2:$J$301,$Q9,'CARGAS DE COMBUSTIBLE'!$A$2:$A$301,"&lt;&gt;")</f>
        <v>2</v>
      </c>
    </row>
    <row r="10" spans="1:24" x14ac:dyDescent="0.25">
      <c r="A10" s="14" t="s">
        <v>185</v>
      </c>
      <c r="B10" s="11">
        <f>SUMIFS('CARGAS DE COMBUSTIBLE'!$N$2:$N$301,'CARGAS DE COMBUSTIBLE'!$D$2:$D$301,$C$1,'CARGAS DE COMBUSTIBLE'!$C$2:$C$301,$A10)</f>
        <v>0</v>
      </c>
      <c r="C10" s="26">
        <f>SUMIFS('CARGAS DE COMBUSTIBLE'!$P$2:$P$301,'CARGAS DE COMBUSTIBLE'!$D$2:$D$301,$C$1,'CARGAS DE COMBUSTIBLE'!$C$2:$C$301,$A10)</f>
        <v>0</v>
      </c>
      <c r="D10" s="15">
        <f>COUNTIFS('CARGAS DE COMBUSTIBLE'!$D$2:$D$301,$C$1,'CARGAS DE COMBUSTIBLE'!$C$2:$C$301,$A10,'CARGAS DE COMBUSTIBLE'!$A$2:$A$301,"&lt;&gt;")</f>
        <v>0</v>
      </c>
      <c r="F10" s="14" t="str">
        <f>IFERROR(INDEX('MAESTRO DE UNIDADES'!$C$2:$C$208,ROW()-4),"")</f>
        <v>Iveco Tector</v>
      </c>
      <c r="G10" s="14" t="str">
        <f>IFERROR(INDEX('MAESTRO DE UNIDADES'!$A$2:$A$208,ROW()-4),"")</f>
        <v>CM-001</v>
      </c>
      <c r="H10" s="26">
        <f>SUMIFS('CARGAS DE COMBUSTIBLE'!$N$2:$N$301,'CARGAS DE COMBUSTIBLE'!$D$2:$D$301,$C$1,'CARGAS DE COMBUSTIBLE'!$F$2:$F$301,$F10)</f>
        <v>49.65</v>
      </c>
      <c r="I10" s="26">
        <f>SUMIFS('CARGAS DE COMBUSTIBLE'!$P$2:$P$301,'CARGAS DE COMBUSTIBLE'!$D$2:$D$301,$C$1,'CARGAS DE COMBUSTIBLE'!$F$2:$F$301,$F10)</f>
        <v>0</v>
      </c>
      <c r="J10" s="15">
        <f>COUNTIFS('CARGAS DE COMBUSTIBLE'!$D$2:$D$301,$C$1,'CARGAS DE COMBUSTIBLE'!$F$2:$F$301,$F10,'CARGAS DE COMBUSTIBLE'!$A$2:$A$301,"&lt;&gt;")</f>
        <v>1</v>
      </c>
      <c r="L10" s="14" t="str">
        <f>IFERROR(INDEX('MAESTRO DE OBRAS'!$B$2:$B$200,ROW()-4),"")</f>
        <v xml:space="preserve">Barrio San Martin </v>
      </c>
      <c r="M10" s="26">
        <f>SUMIFS('CARGAS DE COMBUSTIBLE'!$N$2:$N$301,'CARGAS DE COMBUSTIBLE'!$D$2:$D$301,$C$1,'CARGAS DE COMBUSTIBLE'!$K$2:$K$301,$L10)</f>
        <v>0</v>
      </c>
      <c r="N10" s="26">
        <f>SUMIFS('CARGAS DE COMBUSTIBLE'!$P$2:$P$301,'CARGAS DE COMBUSTIBLE'!$D$2:$D$301,$C$1,'CARGAS DE COMBUSTIBLE'!$K$2:$K$301,$L10)</f>
        <v>0</v>
      </c>
      <c r="O10" s="10">
        <f>COUNTIFS('CARGAS DE COMBUSTIBLE'!$D$2:$D$301,$C$1,'CARGAS DE COMBUSTIBLE'!$K$2:$K$301,$L10,'CARGAS DE COMBUSTIBLE'!$A$2:$A$301,"&lt;&gt;")</f>
        <v>0</v>
      </c>
      <c r="Q10" s="14" t="str">
        <f>IFERROR(INDEX('MAESTRO DE RESPONSABLES'!$A$2:$A$200,ROW()-4),"")</f>
        <v>Daniel Pereyra</v>
      </c>
      <c r="R10" s="11">
        <f>SUMIFS('CARGAS DE COMBUSTIBLE'!$N$2:$N$301,'CARGAS DE COMBUSTIBLE'!$D$2:$D$301,$C$1,'CARGAS DE COMBUSTIBLE'!$J$2:$J$301,$Q10)</f>
        <v>0</v>
      </c>
      <c r="S10" s="26">
        <f>SUMIFS('CARGAS DE COMBUSTIBLE'!$P$2:$P$301,'CARGAS DE COMBUSTIBLE'!$D$2:$D$301,$C$1,'CARGAS DE COMBUSTIBLE'!$J$2:$J$301,$Q10)</f>
        <v>0</v>
      </c>
      <c r="T10" s="10">
        <f>COUNTIFS('CARGAS DE COMBUSTIBLE'!$D$2:$D$301,$C$1,'CARGAS DE COMBUSTIBLE'!$J$2:$J$301,$Q10,'CARGAS DE COMBUSTIBLE'!$A$2:$A$301,"&lt;&gt;")</f>
        <v>0</v>
      </c>
      <c r="V10" s="12" t="s">
        <v>207</v>
      </c>
      <c r="W10" s="15">
        <f>COUNTIF('CARGAS DE COMBUSTIBLE'!$Y$2:$Y$301,"&lt;&gt;OK")</f>
        <v>297</v>
      </c>
    </row>
    <row r="11" spans="1:24" x14ac:dyDescent="0.25">
      <c r="A11" s="14" t="s">
        <v>186</v>
      </c>
      <c r="B11" s="11">
        <f>SUMIFS('CARGAS DE COMBUSTIBLE'!$N$2:$N$301,'CARGAS DE COMBUSTIBLE'!$D$2:$D$301,$C$1,'CARGAS DE COMBUSTIBLE'!$C$2:$C$301,$A11)</f>
        <v>0</v>
      </c>
      <c r="C11" s="26">
        <f>SUMIFS('CARGAS DE COMBUSTIBLE'!$P$2:$P$301,'CARGAS DE COMBUSTIBLE'!$D$2:$D$301,$C$1,'CARGAS DE COMBUSTIBLE'!$C$2:$C$301,$A11)</f>
        <v>0</v>
      </c>
      <c r="D11" s="15">
        <f>COUNTIFS('CARGAS DE COMBUSTIBLE'!$D$2:$D$301,$C$1,'CARGAS DE COMBUSTIBLE'!$C$2:$C$301,$A11,'CARGAS DE COMBUSTIBLE'!$A$2:$A$301,"&lt;&gt;")</f>
        <v>0</v>
      </c>
      <c r="F11" s="14" t="str">
        <f>IFERROR(INDEX('MAESTRO DE UNIDADES'!$C$2:$C$208,ROW()-4),"")</f>
        <v>IVECO Daily 70c17 PASO 4350</v>
      </c>
      <c r="G11" s="14" t="str">
        <f>IFERROR(INDEX('MAESTRO DE UNIDADES'!$A$2:$A$208,ROW()-4),"")</f>
        <v>CM-002</v>
      </c>
      <c r="H11" s="26">
        <f>SUMIFS('CARGAS DE COMBUSTIBLE'!$N$2:$N$301,'CARGAS DE COMBUSTIBLE'!$D$2:$D$301,$C$1,'CARGAS DE COMBUSTIBLE'!$F$2:$F$301,$F11)</f>
        <v>0</v>
      </c>
      <c r="I11" s="26">
        <f>SUMIFS('CARGAS DE COMBUSTIBLE'!$P$2:$P$301,'CARGAS DE COMBUSTIBLE'!$D$2:$D$301,$C$1,'CARGAS DE COMBUSTIBLE'!$F$2:$F$301,$F11)</f>
        <v>0</v>
      </c>
      <c r="J11" s="15">
        <f>COUNTIFS('CARGAS DE COMBUSTIBLE'!$D$2:$D$301,$C$1,'CARGAS DE COMBUSTIBLE'!$F$2:$F$301,$F11,'CARGAS DE COMBUSTIBLE'!$A$2:$A$301,"&lt;&gt;")</f>
        <v>0</v>
      </c>
      <c r="Q11" s="14" t="str">
        <f>IFERROR(INDEX('MAESTRO DE RESPONSABLES'!$A$2:$A$200,ROW()-4),"")</f>
        <v>Martin</v>
      </c>
      <c r="R11" s="11">
        <f>SUMIFS('CARGAS DE COMBUSTIBLE'!$N$2:$N$301,'CARGAS DE COMBUSTIBLE'!$D$2:$D$301,$C$1,'CARGAS DE COMBUSTIBLE'!$J$2:$J$301,$Q11)</f>
        <v>0</v>
      </c>
      <c r="S11" s="26">
        <f>SUMIFS('CARGAS DE COMBUSTIBLE'!$P$2:$P$301,'CARGAS DE COMBUSTIBLE'!$D$2:$D$301,$C$1,'CARGAS DE COMBUSTIBLE'!$J$2:$J$301,$Q11)</f>
        <v>0</v>
      </c>
      <c r="T11" s="10">
        <f>COUNTIFS('CARGAS DE COMBUSTIBLE'!$D$2:$D$301,$C$1,'CARGAS DE COMBUSTIBLE'!$J$2:$J$301,$Q11,'CARGAS DE COMBUSTIBLE'!$A$2:$A$301,"&lt;&gt;")</f>
        <v>0</v>
      </c>
      <c r="V11" s="12" t="s">
        <v>208</v>
      </c>
      <c r="W11" s="30" t="str">
        <f>IF(C8=0,"",(C8-C7)/C7)</f>
        <v/>
      </c>
    </row>
    <row r="12" spans="1:24" x14ac:dyDescent="0.25">
      <c r="A12" s="14" t="s">
        <v>187</v>
      </c>
      <c r="B12" s="11">
        <f>SUMIFS('CARGAS DE COMBUSTIBLE'!$N$2:$N$301,'CARGAS DE COMBUSTIBLE'!$D$2:$D$301,$C$1,'CARGAS DE COMBUSTIBLE'!$C$2:$C$301,$A12)</f>
        <v>0</v>
      </c>
      <c r="C12" s="26">
        <f>SUMIFS('CARGAS DE COMBUSTIBLE'!$P$2:$P$301,'CARGAS DE COMBUSTIBLE'!$D$2:$D$301,$C$1,'CARGAS DE COMBUSTIBLE'!$C$2:$C$301,$A12)</f>
        <v>0</v>
      </c>
      <c r="D12" s="15">
        <f>COUNTIFS('CARGAS DE COMBUSTIBLE'!$D$2:$D$301,$C$1,'CARGAS DE COMBUSTIBLE'!$C$2:$C$301,$A12,'CARGAS DE COMBUSTIBLE'!$A$2:$A$301,"&lt;&gt;")</f>
        <v>0</v>
      </c>
      <c r="F12" s="14" t="str">
        <f>IFERROR(INDEX('MAESTRO DE UNIDADES'!$C$2:$C$208,ROW()-4),"")</f>
        <v>Motocompresor</v>
      </c>
      <c r="G12" s="14" t="str">
        <f>IFERROR(INDEX('MAESTRO DE UNIDADES'!$A$2:$A$208,ROW()-4),"")</f>
        <v>EP-001</v>
      </c>
      <c r="H12" s="26">
        <f>SUMIFS('CARGAS DE COMBUSTIBLE'!$N$2:$N$301,'CARGAS DE COMBUSTIBLE'!$D$2:$D$301,$C$1,'CARGAS DE COMBUSTIBLE'!$F$2:$F$301,$F12)</f>
        <v>0</v>
      </c>
      <c r="I12" s="26">
        <f>SUMIFS('CARGAS DE COMBUSTIBLE'!$P$2:$P$301,'CARGAS DE COMBUSTIBLE'!$D$2:$D$301,$C$1,'CARGAS DE COMBUSTIBLE'!$F$2:$F$301,$F12)</f>
        <v>0</v>
      </c>
      <c r="J12" s="15">
        <f>COUNTIFS('CARGAS DE COMBUSTIBLE'!$D$2:$D$301,$C$1,'CARGAS DE COMBUSTIBLE'!$F$2:$F$301,$F12,'CARGAS DE COMBUSTIBLE'!$A$2:$A$301,"&lt;&gt;")</f>
        <v>0</v>
      </c>
      <c r="Q12" s="14" t="str">
        <f>IFERROR(INDEX('MAESTRO DE RESPONSABLES'!$A$2:$A$200,ROW()-4),"")</f>
        <v>Daniel</v>
      </c>
      <c r="R12" s="11">
        <f>SUMIFS('CARGAS DE COMBUSTIBLE'!$N$2:$N$301,'CARGAS DE COMBUSTIBLE'!$D$2:$D$301,$C$1,'CARGAS DE COMBUSTIBLE'!$J$2:$J$301,$Q12)</f>
        <v>0</v>
      </c>
      <c r="S12" s="26">
        <f>SUMIFS('CARGAS DE COMBUSTIBLE'!$P$2:$P$301,'CARGAS DE COMBUSTIBLE'!$D$2:$D$301,$C$1,'CARGAS DE COMBUSTIBLE'!$J$2:$J$301,$Q12)</f>
        <v>0</v>
      </c>
      <c r="T12" s="10">
        <f>COUNTIFS('CARGAS DE COMBUSTIBLE'!$D$2:$D$301,$C$1,'CARGAS DE COMBUSTIBLE'!$J$2:$J$301,$Q12,'CARGAS DE COMBUSTIBLE'!$A$2:$A$301,"&lt;&gt;")</f>
        <v>0</v>
      </c>
      <c r="V12" s="12" t="s">
        <v>175</v>
      </c>
      <c r="W12" s="26">
        <f>IF(SUM(D5:D16)=0,"",SUM(C5:C16)/SUM(D5:D16))</f>
        <v>0</v>
      </c>
    </row>
    <row r="13" spans="1:24" x14ac:dyDescent="0.25">
      <c r="A13" s="14" t="s">
        <v>188</v>
      </c>
      <c r="B13" s="11">
        <f>SUMIFS('CARGAS DE COMBUSTIBLE'!$N$2:$N$301,'CARGAS DE COMBUSTIBLE'!$D$2:$D$301,$C$1,'CARGAS DE COMBUSTIBLE'!$C$2:$C$301,$A13)</f>
        <v>0</v>
      </c>
      <c r="C13" s="26">
        <f>SUMIFS('CARGAS DE COMBUSTIBLE'!$P$2:$P$301,'CARGAS DE COMBUSTIBLE'!$D$2:$D$301,$C$1,'CARGAS DE COMBUSTIBLE'!$C$2:$C$301,$A13)</f>
        <v>0</v>
      </c>
      <c r="D13" s="15">
        <f>COUNTIFS('CARGAS DE COMBUSTIBLE'!$D$2:$D$301,$C$1,'CARGAS DE COMBUSTIBLE'!$C$2:$C$301,$A13,'CARGAS DE COMBUSTIBLE'!$A$2:$A$301,"&lt;&gt;")</f>
        <v>0</v>
      </c>
      <c r="F13" s="14" t="str">
        <f>IFERROR(INDEX('MAESTRO DE UNIDADES'!$C$2:$C$208,ROW()-4),"")</f>
        <v>Motosoldador</v>
      </c>
      <c r="G13" s="14" t="str">
        <f>IFERROR(INDEX('MAESTRO DE UNIDADES'!$A$2:$A$208,ROW()-4),"")</f>
        <v>EP-002</v>
      </c>
      <c r="H13" s="26">
        <f>SUMIFS('CARGAS DE COMBUSTIBLE'!$N$2:$N$301,'CARGAS DE COMBUSTIBLE'!$D$2:$D$301,$C$1,'CARGAS DE COMBUSTIBLE'!$F$2:$F$301,$F13)</f>
        <v>0</v>
      </c>
      <c r="I13" s="26">
        <f>SUMIFS('CARGAS DE COMBUSTIBLE'!$P$2:$P$301,'CARGAS DE COMBUSTIBLE'!$D$2:$D$301,$C$1,'CARGAS DE COMBUSTIBLE'!$F$2:$F$301,$F13)</f>
        <v>0</v>
      </c>
      <c r="J13" s="15">
        <f>COUNTIFS('CARGAS DE COMBUSTIBLE'!$D$2:$D$301,$C$1,'CARGAS DE COMBUSTIBLE'!$F$2:$F$301,$F13,'CARGAS DE COMBUSTIBLE'!$A$2:$A$301,"&lt;&gt;")</f>
        <v>0</v>
      </c>
    </row>
    <row r="14" spans="1:24" x14ac:dyDescent="0.25">
      <c r="A14" s="14" t="s">
        <v>189</v>
      </c>
      <c r="B14" s="11">
        <f>SUMIFS('CARGAS DE COMBUSTIBLE'!$N$2:$N$301,'CARGAS DE COMBUSTIBLE'!$D$2:$D$301,$C$1,'CARGAS DE COMBUSTIBLE'!$C$2:$C$301,$A14)</f>
        <v>0</v>
      </c>
      <c r="C14" s="26">
        <f>SUMIFS('CARGAS DE COMBUSTIBLE'!$P$2:$P$301,'CARGAS DE COMBUSTIBLE'!$D$2:$D$301,$C$1,'CARGAS DE COMBUSTIBLE'!$C$2:$C$301,$A14)</f>
        <v>0</v>
      </c>
      <c r="D14" s="15">
        <f>COUNTIFS('CARGAS DE COMBUSTIBLE'!$D$2:$D$301,$C$1,'CARGAS DE COMBUSTIBLE'!$C$2:$C$301,$A14,'CARGAS DE COMBUSTIBLE'!$A$2:$A$301,"&lt;&gt;")</f>
        <v>0</v>
      </c>
      <c r="F14" s="14" t="str">
        <f>IFERROR(INDEX('MAESTRO DE UNIDADES'!$C$2:$C$208,ROW()-4),"")</f>
        <v>Montacarga</v>
      </c>
      <c r="G14" s="14" t="str">
        <f>IFERROR(INDEX('MAESTRO DE UNIDADES'!$A$2:$A$208,ROW()-4),"")</f>
        <v>EP-003</v>
      </c>
      <c r="H14" s="26">
        <f>SUMIFS('CARGAS DE COMBUSTIBLE'!$N$2:$N$301,'CARGAS DE COMBUSTIBLE'!$D$2:$D$301,$C$1,'CARGAS DE COMBUSTIBLE'!$F$2:$F$301,$F14)</f>
        <v>0</v>
      </c>
      <c r="I14" s="26">
        <f>SUMIFS('CARGAS DE COMBUSTIBLE'!$P$2:$P$301,'CARGAS DE COMBUSTIBLE'!$D$2:$D$301,$C$1,'CARGAS DE COMBUSTIBLE'!$F$2:$F$301,$F14)</f>
        <v>0</v>
      </c>
      <c r="J14" s="15">
        <f>COUNTIFS('CARGAS DE COMBUSTIBLE'!$D$2:$D$301,$C$1,'CARGAS DE COMBUSTIBLE'!$F$2:$F$301,$F14,'CARGAS DE COMBUSTIBLE'!$A$2:$A$301,"&lt;&gt;")</f>
        <v>0</v>
      </c>
    </row>
    <row r="15" spans="1:24" x14ac:dyDescent="0.25">
      <c r="A15" s="14" t="s">
        <v>190</v>
      </c>
      <c r="B15" s="11">
        <f>SUMIFS('CARGAS DE COMBUSTIBLE'!$N$2:$N$301,'CARGAS DE COMBUSTIBLE'!$D$2:$D$301,$C$1,'CARGAS DE COMBUSTIBLE'!$C$2:$C$301,$A15)</f>
        <v>0</v>
      </c>
      <c r="C15" s="26">
        <f>SUMIFS('CARGAS DE COMBUSTIBLE'!$P$2:$P$301,'CARGAS DE COMBUSTIBLE'!$D$2:$D$301,$C$1,'CARGAS DE COMBUSTIBLE'!$C$2:$C$301,$A15)</f>
        <v>0</v>
      </c>
      <c r="D15" s="15">
        <f>COUNTIFS('CARGAS DE COMBUSTIBLE'!$D$2:$D$301,$C$1,'CARGAS DE COMBUSTIBLE'!$C$2:$C$301,$A15,'CARGAS DE COMBUSTIBLE'!$A$2:$A$301,"&lt;&gt;")</f>
        <v>0</v>
      </c>
    </row>
    <row r="16" spans="1:24" x14ac:dyDescent="0.25">
      <c r="A16" s="14" t="s">
        <v>191</v>
      </c>
      <c r="B16" s="11">
        <f>SUMIFS('CARGAS DE COMBUSTIBLE'!$N$2:$N$301,'CARGAS DE COMBUSTIBLE'!$D$2:$D$301,$C$1,'CARGAS DE COMBUSTIBLE'!$C$2:$C$301,$A16)</f>
        <v>0</v>
      </c>
      <c r="C16" s="26">
        <f>SUMIFS('CARGAS DE COMBUSTIBLE'!$P$2:$P$301,'CARGAS DE COMBUSTIBLE'!$D$2:$D$301,$C$1,'CARGAS DE COMBUSTIBLE'!$C$2:$C$301,$A16)</f>
        <v>0</v>
      </c>
      <c r="D16" s="15">
        <f>COUNTIFS('CARGAS DE COMBUSTIBLE'!$D$2:$D$301,$C$1,'CARGAS DE COMBUSTIBLE'!$C$2:$C$301,$A16,'CARGAS DE COMBUSTIBLE'!$A$2:$A$301,"&lt;&gt;")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10"/>
  <sheetViews>
    <sheetView showGridLines="0" workbookViewId="0">
      <selection activeCell="M16" sqref="M16"/>
    </sheetView>
  </sheetViews>
  <sheetFormatPr baseColWidth="10" defaultColWidth="9.140625" defaultRowHeight="15" x14ac:dyDescent="0.25"/>
  <cols>
    <col min="1" max="2" width="16" customWidth="1"/>
    <col min="3" max="3" width="3" customWidth="1"/>
    <col min="4" max="15" width="14" customWidth="1"/>
    <col min="16" max="16" width="3" customWidth="1"/>
    <col min="24" max="24" width="13" hidden="1" customWidth="1"/>
  </cols>
  <sheetData>
    <row r="1" spans="1:24" ht="26.1" customHeight="1" x14ac:dyDescent="0.4">
      <c r="A1" s="78" t="s">
        <v>209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7"/>
    </row>
    <row r="2" spans="1:24" x14ac:dyDescent="0.25">
      <c r="N2" s="22">
        <f>IFERROR(MATCH(B4,Lista_Meses,0),"")</f>
        <v>4</v>
      </c>
      <c r="X2" s="22" t="e">
        <f>SUMPRODUCT(('CARGAS DE COMBUSTIBLE'!$P$2:$P$301)*--('CARGAS DE COMBUSTIBLE'!$D$2:$D$301=$B$3)*--((($B$4="Todos")+('CARGAS DE COMBUSTIBLE'!$C$2:$C$301=$B$4))&gt;0)*--((($B$5="Todos")+('CARGAS DE COMBUSTIBLE'!$F$2:$F$301=$B$5))&gt;0)*--((($B$6="Todos")+('CARGAS DE COMBUSTIBLE'!$K$2:$K$301=$B$6))&gt;0)*--((($B$7="Todos")+('CARGAS DE COMBUSTIBLE'!$J$2:$J$301=$B$7))&gt;0)*--((($B$8="Todos")+('CARGAS DE COMBUSTIBLE'!$M$2:$M$301=$B$8))&gt;0))</f>
        <v>#VALUE!</v>
      </c>
    </row>
    <row r="3" spans="1:24" ht="21.95" customHeight="1" x14ac:dyDescent="0.25">
      <c r="A3" s="23" t="s">
        <v>19</v>
      </c>
      <c r="B3" s="17">
        <v>2026</v>
      </c>
      <c r="D3" s="80" t="s">
        <v>210</v>
      </c>
      <c r="E3" s="66"/>
      <c r="F3" s="67"/>
      <c r="G3" s="80" t="s">
        <v>172</v>
      </c>
      <c r="H3" s="66"/>
      <c r="I3" s="67"/>
      <c r="J3" s="80" t="s">
        <v>211</v>
      </c>
      <c r="K3" s="66"/>
      <c r="L3" s="67"/>
      <c r="M3" s="80" t="s">
        <v>212</v>
      </c>
      <c r="N3" s="66"/>
      <c r="O3" s="67"/>
      <c r="X3" s="22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COMBUSTIBLE'!$K$2:$K$301=$B$6))&gt;0)*--((($B$7="Todos")+('CARGAS DE COMBUSTIBLE'!$J$2:$J$301=$B$7))&gt;0)*--((($B$8="Todos")+('CARGAS DE COMBUSTIBLE'!$M$2:$M$301=$B$8))&gt;0))</f>
        <v>0</v>
      </c>
    </row>
    <row r="4" spans="1:24" ht="27.95" customHeight="1" x14ac:dyDescent="0.25">
      <c r="A4" s="24" t="s">
        <v>135</v>
      </c>
      <c r="B4" s="17" t="s">
        <v>183</v>
      </c>
      <c r="D4" s="79" t="e">
        <f>X2</f>
        <v>#VALUE!</v>
      </c>
      <c r="E4" s="66"/>
      <c r="F4" s="67"/>
      <c r="G4" s="79">
        <f>X3</f>
        <v>0</v>
      </c>
      <c r="H4" s="66"/>
      <c r="I4" s="67"/>
      <c r="J4" s="82">
        <f>X4</f>
        <v>0</v>
      </c>
      <c r="K4" s="66"/>
      <c r="L4" s="67"/>
      <c r="M4" s="79" t="str">
        <f>X5</f>
        <v/>
      </c>
      <c r="N4" s="66"/>
      <c r="O4" s="67"/>
      <c r="X4" s="22">
        <f>SUMPRODUCT(--('CARGAS DE COMBUSTIBLE'!$A$2:$A$301&lt;&gt;"")*--('CARGAS DE COMBUSTIBLE'!$D$2:$D$301=$B$3)*--((($B$4="Todos")+('CARGAS DE COMBUSTIBLE'!$C$2:$C$301=$B$4))&gt;0)*--((($B$5="Todos")+('CARGAS DE COMBUSTIBLE'!$F$2:$F$301=$B$5))&gt;0)*--((($B$6="Todos")+('CARGAS DE COMBUSTIBLE'!$K$2:$K$301=$B$6))&gt;0)*--((($B$7="Todos")+('CARGAS DE COMBUSTIBLE'!$J$2:$J$301=$B$7))&gt;0)*--((($B$8="Todos")+('CARGAS DE COMBUSTIBLE'!$M$2:$M$301=$B$8))&gt;0))</f>
        <v>0</v>
      </c>
    </row>
    <row r="5" spans="1:24" ht="27.95" customHeight="1" x14ac:dyDescent="0.25">
      <c r="A5" s="24" t="s">
        <v>203</v>
      </c>
      <c r="B5" s="17" t="s">
        <v>213</v>
      </c>
      <c r="X5" s="22" t="str">
        <f>IF(X4=0,"",X2/X4)</f>
        <v/>
      </c>
    </row>
    <row r="6" spans="1:24" ht="21.95" customHeight="1" x14ac:dyDescent="0.25">
      <c r="A6" s="24" t="s">
        <v>204</v>
      </c>
      <c r="B6" s="17" t="s">
        <v>213</v>
      </c>
      <c r="D6" s="80" t="s">
        <v>214</v>
      </c>
      <c r="E6" s="66"/>
      <c r="F6" s="67"/>
      <c r="G6" s="80" t="s">
        <v>215</v>
      </c>
      <c r="H6" s="66"/>
      <c r="I6" s="67"/>
      <c r="J6" s="80" t="s">
        <v>216</v>
      </c>
      <c r="K6" s="66"/>
      <c r="L6" s="67"/>
      <c r="M6" s="80" t="s">
        <v>217</v>
      </c>
      <c r="N6" s="66"/>
      <c r="O6" s="67"/>
      <c r="X6" s="22" t="str">
        <f>IF(X4=0,"",X3/X4)</f>
        <v/>
      </c>
    </row>
    <row r="7" spans="1:24" ht="27.95" customHeight="1" x14ac:dyDescent="0.25">
      <c r="A7" s="24" t="s">
        <v>138</v>
      </c>
      <c r="B7" s="17" t="s">
        <v>213</v>
      </c>
      <c r="D7" s="79" t="str">
        <f>X6</f>
        <v/>
      </c>
      <c r="E7" s="66"/>
      <c r="F7" s="67"/>
      <c r="G7" s="83" t="str">
        <f>X7</f>
        <v/>
      </c>
      <c r="H7" s="66"/>
      <c r="I7" s="67"/>
      <c r="J7" s="83" t="str">
        <f>X8</f>
        <v/>
      </c>
      <c r="K7" s="66"/>
      <c r="L7" s="67"/>
      <c r="M7" s="83" t="str">
        <f>X9</f>
        <v/>
      </c>
      <c r="N7" s="66"/>
      <c r="O7" s="67"/>
      <c r="X7" s="22" t="str">
        <f>IF(MAX($B$90:$B$99)=0,"",INDEX($A$90:$A$99,MATCH(MAX($B$90:$B$99),$B$90:$B$99,0)))</f>
        <v/>
      </c>
    </row>
    <row r="8" spans="1:24" ht="27.95" customHeight="1" x14ac:dyDescent="0.25">
      <c r="A8" s="24" t="s">
        <v>218</v>
      </c>
      <c r="B8" s="17" t="s">
        <v>213</v>
      </c>
      <c r="X8" s="22" t="str">
        <f>IF(MAX($E$90:$E$95)=0,"",INDEX($D$90:$D$95,MATCH(MAX($E$90:$E$95),$E$90:$E$95,0)))</f>
        <v/>
      </c>
    </row>
    <row r="9" spans="1:24" ht="21.95" customHeight="1" x14ac:dyDescent="0.25">
      <c r="D9" s="80" t="s">
        <v>219</v>
      </c>
      <c r="E9" s="66"/>
      <c r="F9" s="67"/>
      <c r="G9" s="80" t="s">
        <v>220</v>
      </c>
      <c r="H9" s="66"/>
      <c r="I9" s="67"/>
      <c r="J9" s="80" t="s">
        <v>221</v>
      </c>
      <c r="K9" s="66"/>
      <c r="L9" s="67"/>
      <c r="X9" s="22" t="str">
        <f>IF(MAX($H$90:$H$97)=0,"",INDEX($G$90:$G$97,MATCH(MAX($H$90:$H$97),$H$90:$H$97,0)))</f>
        <v/>
      </c>
    </row>
    <row r="10" spans="1:24" ht="27.95" customHeight="1" x14ac:dyDescent="0.25">
      <c r="D10" s="79" t="e">
        <f>X10</f>
        <v>#VALUE!</v>
      </c>
      <c r="E10" s="66"/>
      <c r="F10" s="67"/>
      <c r="G10" s="79">
        <f>X11</f>
        <v>656800</v>
      </c>
      <c r="H10" s="66"/>
      <c r="I10" s="67"/>
      <c r="J10" s="82">
        <f>X12</f>
        <v>0</v>
      </c>
      <c r="K10" s="66"/>
      <c r="L10" s="67"/>
      <c r="X10" s="22" t="e">
        <f>IF(B4="Todos","",X2-SUMPRODUCT(('CARGAS DE COMBUSTIBLE'!$P$2:$P$301)*--('CARGAS DE COMBUSTIBLE'!$D$2:$D$301=IF(MATCH(B4,Lista_Meses,0)=1,B3-1,B3))*--('CARGAS DE COMBUSTIBLE'!$C$2:$C$301=CHOOSE(IF(MATCH(B4,Lista_Meses,0)=1,12,MATCH(B4,Lista_Meses,0)-1),"Enero","Febrero","Marzo","Abril","Mayo","Junio","Julio","Agosto","Septiembre","Octubre","Noviembre","Diciembre"))*--((($B$5="Todos")+('CARGAS DE COMBUSTIBLE'!$F$2:$F$301=$B$5))&gt;0)*--((($B$6="Todos")+('CARGAS DE COMBUSTIBLE'!$K$2:$K$301=$B$6))&gt;0)*--((($B$7="Todos")+('CARGAS DE COMBUSTIBLE'!$J$2:$J$301=$B$7))&gt;0)*--((($B$8="Todos")+('CARGAS DE COMBUSTIBLE'!$M$2:$M$301=$B$8))&gt;0)))</f>
        <v>#VALUE!</v>
      </c>
    </row>
    <row r="11" spans="1:24" x14ac:dyDescent="0.25">
      <c r="X11" s="22">
        <f>IF(B4="Todos","",IFERROR(INDEX('CONTROL MENSUAL PROVEEDOR'!$H$4:$H$15,MATCH(B4,'CONTROL MENSUAL PROVEEDOR'!$A$4:$A$15,0)),""))</f>
        <v>656800</v>
      </c>
    </row>
    <row r="12" spans="1:24" ht="15.6" customHeight="1" x14ac:dyDescent="0.25">
      <c r="A12" s="81" t="s">
        <v>195</v>
      </c>
      <c r="B12" s="66"/>
      <c r="C12" s="66"/>
      <c r="D12" s="66"/>
      <c r="E12" s="66"/>
      <c r="F12" s="66"/>
      <c r="G12" s="66"/>
      <c r="H12" s="67"/>
      <c r="I12" s="81" t="s">
        <v>222</v>
      </c>
      <c r="J12" s="66"/>
      <c r="K12" s="66"/>
      <c r="L12" s="66"/>
      <c r="M12" s="66"/>
      <c r="N12" s="66"/>
      <c r="O12" s="66"/>
      <c r="P12" s="67"/>
      <c r="X12" s="22">
        <f>SUMPRODUCT(--('CARGAS DE COMBUSTIBLE'!$Y$2:$Y$301&lt;&gt;"OK")*--('CARGAS DE COMBUSTIBLE'!$D$2:$D$301=$B$3)*--((($B$4="Todos")+('CARGAS DE COMBUSTIBLE'!$C$2:$C$301=$B$4))&gt;0)*--((($B$5="Todos")+('CARGAS DE COMBUSTIBLE'!$F$2:$F$301=$B$5))&gt;0)*--((($B$6="Todos")+('CARGAS DE COMBUSTIBLE'!$K$2:$K$301=$B$6))&gt;0)*--((($B$7="Todos")+('CARGAS DE COMBUSTIBLE'!$J$2:$J$301=$B$7))&gt;0)*--((($B$8="Todos")+('CARGAS DE COMBUSTIBLE'!$M$2:$M$301=$B$8))&gt;0))</f>
        <v>0</v>
      </c>
    </row>
    <row r="30" spans="1:16" ht="15.6" customHeight="1" x14ac:dyDescent="0.25">
      <c r="A30" s="81" t="s">
        <v>196</v>
      </c>
      <c r="B30" s="66"/>
      <c r="C30" s="66"/>
      <c r="D30" s="66"/>
      <c r="E30" s="66"/>
      <c r="F30" s="66"/>
      <c r="G30" s="66"/>
      <c r="H30" s="67"/>
      <c r="I30" s="81" t="s">
        <v>223</v>
      </c>
      <c r="J30" s="66"/>
      <c r="K30" s="66"/>
      <c r="L30" s="66"/>
      <c r="M30" s="66"/>
      <c r="N30" s="66"/>
      <c r="O30" s="66"/>
      <c r="P30" s="67"/>
    </row>
    <row r="48" spans="1:16" ht="15.6" customHeight="1" x14ac:dyDescent="0.25">
      <c r="A48" s="81" t="s">
        <v>198</v>
      </c>
      <c r="B48" s="66"/>
      <c r="C48" s="66"/>
      <c r="D48" s="66"/>
      <c r="E48" s="66"/>
      <c r="F48" s="66"/>
      <c r="G48" s="66"/>
      <c r="H48" s="67"/>
      <c r="I48" s="81" t="s">
        <v>224</v>
      </c>
      <c r="J48" s="66"/>
      <c r="K48" s="66"/>
      <c r="L48" s="66"/>
      <c r="M48" s="66"/>
      <c r="N48" s="66"/>
      <c r="O48" s="66"/>
      <c r="P48" s="67"/>
    </row>
    <row r="66" spans="1:16" ht="15.6" customHeight="1" x14ac:dyDescent="0.25">
      <c r="A66" s="81" t="s">
        <v>225</v>
      </c>
      <c r="B66" s="66"/>
      <c r="C66" s="66"/>
      <c r="D66" s="66"/>
      <c r="E66" s="66"/>
      <c r="F66" s="66"/>
      <c r="G66" s="66"/>
      <c r="H66" s="67"/>
      <c r="I66" s="81" t="s">
        <v>226</v>
      </c>
      <c r="J66" s="66"/>
      <c r="K66" s="66"/>
      <c r="L66" s="66"/>
      <c r="M66" s="66"/>
      <c r="N66" s="66"/>
      <c r="O66" s="66"/>
      <c r="P66" s="67"/>
    </row>
    <row r="90" spans="1:8" hidden="1" x14ac:dyDescent="0.25">
      <c r="A90" t="str">
        <f>IFERROR(INDEX('MAESTRO DE UNIDADES'!$C$2:$C$208,ROW()-89),"")</f>
        <v>Toyota Hilux 2.4</v>
      </c>
      <c r="B90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COMBUSTIBLE'!$F$2:$F$301=$A90)*--((($B$5="Todos")+($A90=$B$5))&gt;0))</f>
        <v>0</v>
      </c>
      <c r="D90" t="str">
        <f>IFERROR(INDEX('MAESTRO DE OBRAS'!$B$2:$B$200,ROW()-89),"")</f>
        <v xml:space="preserve">Barrio Don Jose </v>
      </c>
      <c r="E90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COMBUSTIBLE'!$K$2:$K$301=$D90)*--((($B$6="Todos")+($D90=$B$6))&gt;0))</f>
        <v>0</v>
      </c>
      <c r="G90" t="str">
        <f>IFERROR(INDEX('MAESTRO DE RESPONSABLES'!$A$2:$A$200,ROW()-89),"")</f>
        <v>Ariel Jofre</v>
      </c>
      <c r="H90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COMBUSTIBLE'!$J$2:$J$301=$G90)*--((($B$7="Todos")+($G90=$B$7))&gt;0))</f>
        <v>0</v>
      </c>
    </row>
    <row r="91" spans="1:8" hidden="1" x14ac:dyDescent="0.25">
      <c r="A91" t="str">
        <f>IFERROR(INDEX('MAESTRO DE UNIDADES'!$C$2:$C$208,ROW()-89),"")</f>
        <v>Toyota Hilux 2.4</v>
      </c>
      <c r="B91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COMBUSTIBLE'!$F$2:$F$301=$A91)*--((($B$5="Todos")+($A91=$B$5))&gt;0))</f>
        <v>0</v>
      </c>
      <c r="D91" t="str">
        <f>IFERROR(INDEX('MAESTRO DE OBRAS'!$B$2:$B$200,ROW()-89),"")</f>
        <v xml:space="preserve">Escuela Stgo del Estero </v>
      </c>
      <c r="E91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COMBUSTIBLE'!$K$2:$K$301=$D91)*--((($B$6="Todos")+($D91=$B$6))&gt;0))</f>
        <v>0</v>
      </c>
      <c r="G91" t="str">
        <f>IFERROR(INDEX('MAESTRO DE RESPONSABLES'!$A$2:$A$200,ROW()-89),"")</f>
        <v xml:space="preserve">Bruno Guevara </v>
      </c>
      <c r="H91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COMBUSTIBLE'!$J$2:$J$301=$G91)*--((($B$7="Todos")+($G91=$B$7))&gt;0))</f>
        <v>0</v>
      </c>
    </row>
    <row r="92" spans="1:8" hidden="1" x14ac:dyDescent="0.25">
      <c r="A92" t="str">
        <f>IFERROR(INDEX('MAESTRO DE UNIDADES'!$C$2:$C$208,ROW()-89),"")</f>
        <v>RAM 1500 5.7 V8 LARAMIE4X4</v>
      </c>
      <c r="B92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COMBUSTIBLE'!$F$2:$F$301=$A92)*--((($B$5="Todos")+($A92=$B$5))&gt;0))</f>
        <v>0</v>
      </c>
      <c r="D92" t="str">
        <f>IFERROR(INDEX('MAESTRO DE OBRAS'!$B$2:$B$200,ROW()-89),"")</f>
        <v xml:space="preserve">Mantenimiento Escuelas </v>
      </c>
      <c r="E92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COMBUSTIBLE'!$K$2:$K$301=$D92)*--((($B$6="Todos")+($D92=$B$6))&gt;0))</f>
        <v>0</v>
      </c>
      <c r="G92" t="str">
        <f>IFERROR(INDEX('MAESTRO DE RESPONSABLES'!$A$2:$A$200,ROW()-89),"")</f>
        <v xml:space="preserve">Enrico </v>
      </c>
      <c r="H92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COMBUSTIBLE'!$J$2:$J$301=$G92)*--((($B$7="Todos")+($G92=$B$7))&gt;0))</f>
        <v>0</v>
      </c>
    </row>
    <row r="93" spans="1:8" hidden="1" x14ac:dyDescent="0.25">
      <c r="A93" t="str">
        <f>IFERROR(INDEX('MAESTRO DE UNIDADES'!$C$2:$C$208,ROW()-89),"")</f>
        <v>Peugeot Partner confort 1.6 HDI</v>
      </c>
      <c r="B93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COMBUSTIBLE'!$F$2:$F$301=$A93)*--((($B$5="Todos")+($A93=$B$5))&gt;0))</f>
        <v>0</v>
      </c>
      <c r="D93" t="str">
        <f>IFERROR(INDEX('MAESTRO DE OBRAS'!$B$2:$B$200,ROW()-89),"")</f>
        <v xml:space="preserve">Movimientos Internos </v>
      </c>
      <c r="E93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COMBUSTIBLE'!$K$2:$K$301=$D93)*--((($B$6="Todos")+($D93=$B$6))&gt;0))</f>
        <v>0</v>
      </c>
      <c r="G93" t="str">
        <f>IFERROR(INDEX('MAESTRO DE RESPONSABLES'!$A$2:$A$200,ROW()-89),"")</f>
        <v>Gustavo</v>
      </c>
      <c r="H93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COMBUSTIBLE'!$J$2:$J$301=$G93)*--((($B$7="Todos")+($G93=$B$7))&gt;0))</f>
        <v>0</v>
      </c>
    </row>
    <row r="94" spans="1:8" hidden="1" x14ac:dyDescent="0.25">
      <c r="A94" t="str">
        <f>IFERROR(INDEX('MAESTRO DE UNIDADES'!$C$2:$C$208,ROW()-89),"")</f>
        <v>Toyota Hilux 4X4 C/S DX2.4 TDI 6M/T</v>
      </c>
      <c r="B94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COMBUSTIBLE'!$F$2:$F$301=$A94)*--((($B$5="Todos")+($A94=$B$5))&gt;0))</f>
        <v>0</v>
      </c>
      <c r="D94" t="str">
        <f>IFERROR(INDEX('MAESTRO DE OBRAS'!$B$2:$B$200,ROW()-89),"")</f>
        <v>Barrio ASEC</v>
      </c>
      <c r="E94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COMBUSTIBLE'!$K$2:$K$301=$D94)*--((($B$6="Todos")+($D94=$B$6))&gt;0))</f>
        <v>0</v>
      </c>
      <c r="G94" t="str">
        <f>IFERROR(INDEX('MAESTRO DE RESPONSABLES'!$A$2:$A$200,ROW()-89),"")</f>
        <v>Adolfo</v>
      </c>
      <c r="H94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COMBUSTIBLE'!$J$2:$J$301=$G94)*--((($B$7="Todos")+($G94=$B$7))&gt;0))</f>
        <v>0</v>
      </c>
    </row>
    <row r="95" spans="1:8" hidden="1" x14ac:dyDescent="0.25">
      <c r="A95" t="str">
        <f>IFERROR(INDEX('MAESTRO DE UNIDADES'!$C$2:$C$208,ROW()-89),"")</f>
        <v>Iveco Tector</v>
      </c>
      <c r="B95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COMBUSTIBLE'!$F$2:$F$301=$A95)*--((($B$5="Todos")+($A95=$B$5))&gt;0))</f>
        <v>0</v>
      </c>
      <c r="D95" t="str">
        <f>IFERROR(INDEX('MAESTRO DE OBRAS'!$B$2:$B$200,ROW()-89),"")</f>
        <v xml:space="preserve">Barrio San Martin </v>
      </c>
      <c r="E95">
        <f>SUMPRODUCT(('CARGAS DE COMBUSTIBLE'!$N$2:$N$301)*--('CARGAS DE COMBUSTIBLE'!$D$2:$D$301=$B$3)*--((($B$4="Todos")+('CARGAS DE COMBUSTIBLE'!$C$2:$C$301=$B$4))&gt;0)*--((($B$5="Todos")+('CARGAS DE COMBUSTIBLE'!$F$2:$F$301=$B$5))&gt;0)*--((($B$7="Todos")+('CARGAS DE COMBUSTIBLE'!$J$2:$J$301=$B$7))&gt;0)*--((($B$8="Todos")+('CARGAS DE COMBUSTIBLE'!$M$2:$M$301=$B$8))&gt;0)*--('CARGAS DE COMBUSTIBLE'!$K$2:$K$301=$D95)*--((($B$6="Todos")+($D95=$B$6))&gt;0))</f>
        <v>0</v>
      </c>
      <c r="G95" t="str">
        <f>IFERROR(INDEX('MAESTRO DE RESPONSABLES'!$A$2:$A$200,ROW()-89),"")</f>
        <v>Daniel Pereyra</v>
      </c>
      <c r="H95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COMBUSTIBLE'!$J$2:$J$301=$G95)*--((($B$7="Todos")+($G95=$B$7))&gt;0))</f>
        <v>0</v>
      </c>
    </row>
    <row r="96" spans="1:8" hidden="1" x14ac:dyDescent="0.25">
      <c r="A96" t="str">
        <f>IFERROR(INDEX('MAESTRO DE UNIDADES'!$C$2:$C$208,ROW()-89),"")</f>
        <v>IVECO Daily 70c17 PASO 4350</v>
      </c>
      <c r="B96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COMBUSTIBLE'!$F$2:$F$301=$A96)*--((($B$5="Todos")+($A96=$B$5))&gt;0))</f>
        <v>0</v>
      </c>
      <c r="G96" t="str">
        <f>IFERROR(INDEX('MAESTRO DE RESPONSABLES'!$A$2:$A$200,ROW()-89),"")</f>
        <v>Martin</v>
      </c>
      <c r="H96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COMBUSTIBLE'!$J$2:$J$301=$G96)*--((($B$7="Todos")+($G96=$B$7))&gt;0))</f>
        <v>0</v>
      </c>
    </row>
    <row r="97" spans="1:8" hidden="1" x14ac:dyDescent="0.25">
      <c r="A97" t="str">
        <f>IFERROR(INDEX('MAESTRO DE UNIDADES'!$C$2:$C$208,ROW()-89),"")</f>
        <v>Motocompresor</v>
      </c>
      <c r="B97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COMBUSTIBLE'!$F$2:$F$301=$A97)*--((($B$5="Todos")+($A97=$B$5))&gt;0))</f>
        <v>0</v>
      </c>
      <c r="G97" t="str">
        <f>IFERROR(INDEX('MAESTRO DE RESPONSABLES'!$A$2:$A$200,ROW()-89),"")</f>
        <v>Daniel</v>
      </c>
      <c r="H97">
        <f>SUMPRODUCT(('CARGAS DE COMBUSTIBLE'!$N$2:$N$301)*--('CARGAS DE COMBUSTIBLE'!$D$2:$D$301=$B$3)*--((($B$4="Todos")+('CARGAS DE COMBUSTIBLE'!$C$2:$C$301=$B$4))&gt;0)*--((($B$5="Todos")+('CARGAS DE COMBUSTIBLE'!$F$2:$F$301=$B$5))&gt;0)*--((($B$6="Todos")+('CARGAS DE COMBUSTIBLE'!$K$2:$K$301=$B$6))&gt;0)*--((($B$8="Todos")+('CARGAS DE COMBUSTIBLE'!$M$2:$M$301=$B$8))&gt;0)*--('CARGAS DE COMBUSTIBLE'!$J$2:$J$301=$G97)*--((($B$7="Todos")+($G97=$B$7))&gt;0))</f>
        <v>0</v>
      </c>
    </row>
    <row r="98" spans="1:8" hidden="1" x14ac:dyDescent="0.25">
      <c r="A98" t="str">
        <f>IFERROR(INDEX('MAESTRO DE UNIDADES'!$C$2:$C$208,ROW()-89),"")</f>
        <v>Motosoldador</v>
      </c>
      <c r="B98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COMBUSTIBLE'!$F$2:$F$301=$A98)*--((($B$5="Todos")+($A98=$B$5))&gt;0))</f>
        <v>0</v>
      </c>
    </row>
    <row r="99" spans="1:8" hidden="1" x14ac:dyDescent="0.25">
      <c r="A99" t="str">
        <f>IFERROR(INDEX('MAESTRO DE UNIDADES'!$C$2:$C$208,ROW()-89),"")</f>
        <v>Montacarga</v>
      </c>
      <c r="B99">
        <f>SUMPRODUCT(('CARGAS DE COMBUSTIBLE'!$N$2:$N$301)*--('CARGAS DE COMBUSTIBLE'!$D$2:$D$301=$B$3)*--((($B$4="Todos")+('CARGAS DE COMBUSTIBLE'!$C$2:$C$301=$B$4))&gt;0)*--((($B$6="Todos")+('CARGAS DE COMBUSTIBLE'!$K$2:$K$301=$B$6))&gt;0)*--((($B$7="Todos")+('CARGAS DE COMBUSTIBLE'!$J$2:$J$301=$B$7))&gt;0)*--((($B$8="Todos")+('CARGAS DE COMBUSTIBLE'!$M$2:$M$301=$B$8))&gt;0)*--('CARGAS DE COMBUSTIBLE'!$F$2:$F$301=$A99)*--((($B$5="Todos")+($A99=$B$5))&gt;0))</f>
        <v>0</v>
      </c>
    </row>
    <row r="100" spans="1:8" hidden="1" x14ac:dyDescent="0.25"/>
    <row r="101" spans="1:8" hidden="1" x14ac:dyDescent="0.25"/>
    <row r="102" spans="1:8" hidden="1" x14ac:dyDescent="0.25"/>
    <row r="103" spans="1:8" hidden="1" x14ac:dyDescent="0.25"/>
    <row r="104" spans="1:8" hidden="1" x14ac:dyDescent="0.25"/>
    <row r="105" spans="1:8" hidden="1" x14ac:dyDescent="0.25"/>
    <row r="106" spans="1:8" hidden="1" x14ac:dyDescent="0.25"/>
    <row r="107" spans="1:8" hidden="1" x14ac:dyDescent="0.25"/>
    <row r="108" spans="1:8" hidden="1" x14ac:dyDescent="0.25"/>
    <row r="109" spans="1:8" hidden="1" x14ac:dyDescent="0.25"/>
    <row r="110" spans="1:8" hidden="1" x14ac:dyDescent="0.25"/>
  </sheetData>
  <mergeCells count="31">
    <mergeCell ref="A66:H66"/>
    <mergeCell ref="D3:F3"/>
    <mergeCell ref="G4:I4"/>
    <mergeCell ref="I66:P66"/>
    <mergeCell ref="J3:L3"/>
    <mergeCell ref="A12:H12"/>
    <mergeCell ref="I12:P12"/>
    <mergeCell ref="G3:I3"/>
    <mergeCell ref="J4:L4"/>
    <mergeCell ref="D7:F7"/>
    <mergeCell ref="M6:O6"/>
    <mergeCell ref="J7:L7"/>
    <mergeCell ref="D4:F4"/>
    <mergeCell ref="M3:O3"/>
    <mergeCell ref="J6:L6"/>
    <mergeCell ref="A48:H48"/>
    <mergeCell ref="A1:P1"/>
    <mergeCell ref="M4:O4"/>
    <mergeCell ref="G9:I9"/>
    <mergeCell ref="D10:F10"/>
    <mergeCell ref="I48:P48"/>
    <mergeCell ref="J10:L10"/>
    <mergeCell ref="G7:I7"/>
    <mergeCell ref="J9:L9"/>
    <mergeCell ref="D6:F6"/>
    <mergeCell ref="A30:H30"/>
    <mergeCell ref="G10:I10"/>
    <mergeCell ref="G6:I6"/>
    <mergeCell ref="I30:P30"/>
    <mergeCell ref="M7:O7"/>
    <mergeCell ref="D9:F9"/>
  </mergeCells>
  <dataValidations count="6">
    <dataValidation type="list" sqref="B3" xr:uid="{00000000-0002-0000-0800-000000000000}">
      <formula1>Lista_Anios</formula1>
    </dataValidation>
    <dataValidation type="list" sqref="B4" xr:uid="{00000000-0002-0000-0800-000001000000}">
      <formula1>Lista_Meses_Dashboard</formula1>
    </dataValidation>
    <dataValidation type="list" sqref="B5" xr:uid="{00000000-0002-0000-0800-000002000000}">
      <formula1>Lista_Unidades_Dashboard</formula1>
    </dataValidation>
    <dataValidation type="list" sqref="B6" xr:uid="{00000000-0002-0000-0800-000003000000}">
      <formula1>Lista_Obras_Dash</formula1>
    </dataValidation>
    <dataValidation type="list" sqref="B7" xr:uid="{00000000-0002-0000-0800-000004000000}">
      <formula1>Lista_Responsables_Dash</formula1>
    </dataValidation>
    <dataValidation type="list" sqref="B8" xr:uid="{00000000-0002-0000-0800-000005000000}">
      <formula1>Lista_TipoCombustible_Dash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2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15" customWidth="1"/>
    <col min="2" max="2" width="15.28515625" customWidth="1"/>
    <col min="3" max="3" width="25.5703125" customWidth="1"/>
    <col min="4" max="4" width="23" customWidth="1"/>
    <col min="8" max="9" width="11" bestFit="1" customWidth="1"/>
  </cols>
  <sheetData>
    <row r="1" spans="1:13" x14ac:dyDescent="0.25">
      <c r="A1" t="s">
        <v>227</v>
      </c>
      <c r="B1" t="s">
        <v>228</v>
      </c>
      <c r="C1" t="s">
        <v>229</v>
      </c>
      <c r="K1" t="s">
        <v>230</v>
      </c>
    </row>
    <row r="2" spans="1:13" x14ac:dyDescent="0.25">
      <c r="B2" t="s">
        <v>213</v>
      </c>
      <c r="C2" t="s">
        <v>213</v>
      </c>
      <c r="D2" s="14" t="s">
        <v>168</v>
      </c>
      <c r="E2" t="s">
        <v>157</v>
      </c>
      <c r="F2" t="s">
        <v>231</v>
      </c>
      <c r="G2">
        <v>2025</v>
      </c>
      <c r="H2" t="s">
        <v>179</v>
      </c>
      <c r="I2" t="s">
        <v>213</v>
      </c>
      <c r="J2" t="s">
        <v>232</v>
      </c>
      <c r="K2" t="s">
        <v>213</v>
      </c>
      <c r="L2">
        <v>1</v>
      </c>
      <c r="M2" t="s">
        <v>179</v>
      </c>
    </row>
    <row r="3" spans="1:13" x14ac:dyDescent="0.25">
      <c r="A3" t="str">
        <f>IFERROR(INDEX('MAESTRO DE UNIDADES'!$A$2:$A$208,ROW()-2),"")</f>
        <v>C-001</v>
      </c>
      <c r="B3" t="str">
        <f>IFERROR(INDEX('MAESTRO DE RESPONSABLES'!$A$2:$A$200,ROW()-2),"")</f>
        <v>Ariel Jofre</v>
      </c>
      <c r="C3" t="str">
        <f>IFERROR(INDEX('MAESTRO DE OBRAS'!$B$2:$B$200,ROW()-2),"")</f>
        <v xml:space="preserve">Barrio Don Jose </v>
      </c>
      <c r="D3" s="14" t="s">
        <v>205</v>
      </c>
      <c r="E3" t="s">
        <v>233</v>
      </c>
      <c r="F3" t="s">
        <v>180</v>
      </c>
      <c r="G3">
        <v>2026</v>
      </c>
      <c r="H3" t="s">
        <v>181</v>
      </c>
      <c r="I3" t="s">
        <v>179</v>
      </c>
      <c r="J3" t="s">
        <v>234</v>
      </c>
      <c r="K3" t="str">
        <f>IFERROR(INDEX('MAESTRO DE UNIDADES'!$C$2:$C$208,ROW()-2),"")</f>
        <v>Toyota Hilux 2.4</v>
      </c>
      <c r="L3">
        <v>2</v>
      </c>
      <c r="M3" t="s">
        <v>181</v>
      </c>
    </row>
    <row r="4" spans="1:13" x14ac:dyDescent="0.25">
      <c r="A4" t="str">
        <f>IFERROR(INDEX('MAESTRO DE UNIDADES'!$A$2:$A$208,ROW()-2),"")</f>
        <v>C-002</v>
      </c>
      <c r="B4" t="str">
        <f>IFERROR(INDEX('MAESTRO DE RESPONSABLES'!$A$2:$A$200,ROW()-2),"")</f>
        <v xml:space="preserve">Bruno Guevara </v>
      </c>
      <c r="C4" t="str">
        <f>IFERROR(INDEX('MAESTRO DE OBRAS'!$B$2:$B$200,ROW()-2),"")</f>
        <v xml:space="preserve">Escuela Stgo del Estero </v>
      </c>
      <c r="D4" s="14" t="s">
        <v>44</v>
      </c>
      <c r="E4" t="s">
        <v>235</v>
      </c>
      <c r="F4" t="s">
        <v>236</v>
      </c>
      <c r="G4">
        <v>2027</v>
      </c>
      <c r="H4" t="s">
        <v>182</v>
      </c>
      <c r="I4" t="s">
        <v>181</v>
      </c>
      <c r="J4" t="s">
        <v>156</v>
      </c>
      <c r="K4" t="str">
        <f>IFERROR(INDEX('MAESTRO DE UNIDADES'!$C$2:$C$208,ROW()-2),"")</f>
        <v>Toyota Hilux 2.4</v>
      </c>
      <c r="L4">
        <v>3</v>
      </c>
      <c r="M4" t="s">
        <v>182</v>
      </c>
    </row>
    <row r="5" spans="1:13" x14ac:dyDescent="0.25">
      <c r="A5" t="str">
        <f>IFERROR(INDEX('MAESTRO DE UNIDADES'!$A$2:$A$208,ROW()-2),"")</f>
        <v>C-003</v>
      </c>
      <c r="B5" t="str">
        <f>IFERROR(INDEX('MAESTRO DE RESPONSABLES'!$A$2:$A$200,ROW()-2),"")</f>
        <v xml:space="preserve">Enrico </v>
      </c>
      <c r="C5" t="str">
        <f>IFERROR(INDEX('MAESTRO DE OBRAS'!$B$2:$B$200,ROW()-2),"")</f>
        <v xml:space="preserve">Mantenimiento Escuelas </v>
      </c>
      <c r="D5" s="14" t="s">
        <v>206</v>
      </c>
      <c r="E5" t="s">
        <v>237</v>
      </c>
      <c r="F5" t="s">
        <v>238</v>
      </c>
      <c r="G5">
        <v>2028</v>
      </c>
      <c r="H5" t="s">
        <v>183</v>
      </c>
      <c r="I5" t="s">
        <v>182</v>
      </c>
      <c r="J5" t="s">
        <v>239</v>
      </c>
      <c r="K5" t="str">
        <f>IFERROR(INDEX('MAESTRO DE UNIDADES'!$C$2:$C$208,ROW()-2),"")</f>
        <v>RAM 1500 5.7 V8 LARAMIE4X4</v>
      </c>
      <c r="L5">
        <v>4</v>
      </c>
      <c r="M5" t="s">
        <v>183</v>
      </c>
    </row>
    <row r="6" spans="1:13" x14ac:dyDescent="0.25">
      <c r="A6" t="str">
        <f>IFERROR(INDEX('MAESTRO DE UNIDADES'!$A$2:$A$208,ROW()-2),"")</f>
        <v>C-004</v>
      </c>
      <c r="B6" t="str">
        <f>IFERROR(INDEX('MAESTRO DE RESPONSABLES'!$A$2:$A$200,ROW()-2),"")</f>
        <v>Gustavo</v>
      </c>
      <c r="C6" t="str">
        <f>IFERROR(INDEX('MAESTRO DE OBRAS'!$B$2:$B$200,ROW()-2),"")</f>
        <v xml:space="preserve">Movimientos Internos </v>
      </c>
      <c r="H6" t="s">
        <v>184</v>
      </c>
      <c r="I6" t="s">
        <v>183</v>
      </c>
      <c r="J6" t="s">
        <v>158</v>
      </c>
      <c r="K6" t="str">
        <f>IFERROR(INDEX('MAESTRO DE UNIDADES'!$C$2:$C$208,ROW()-2),"")</f>
        <v>Peugeot Partner confort 1.6 HDI</v>
      </c>
      <c r="L6">
        <v>5</v>
      </c>
      <c r="M6" t="s">
        <v>184</v>
      </c>
    </row>
    <row r="7" spans="1:13" x14ac:dyDescent="0.25">
      <c r="A7" t="str">
        <f>IFERROR(INDEX('MAESTRO DE UNIDADES'!$A$2:$A$208,ROW()-2),"")</f>
        <v>C-005</v>
      </c>
      <c r="B7" t="str">
        <f>IFERROR(INDEX('MAESTRO DE RESPONSABLES'!$A$2:$A$200,ROW()-2),"")</f>
        <v>Adolfo</v>
      </c>
      <c r="C7" t="str">
        <f>IFERROR(INDEX('MAESTRO DE OBRAS'!$B$2:$B$200,ROW()-2),"")</f>
        <v>Barrio ASEC</v>
      </c>
      <c r="D7" t="s">
        <v>213</v>
      </c>
      <c r="H7" t="s">
        <v>185</v>
      </c>
      <c r="I7" t="s">
        <v>184</v>
      </c>
      <c r="K7" t="str">
        <f>IFERROR(INDEX('MAESTRO DE UNIDADES'!$C$2:$C$208,ROW()-2),"")</f>
        <v>Toyota Hilux 4X4 C/S DX2.4 TDI 6M/T</v>
      </c>
      <c r="L7">
        <v>6</v>
      </c>
      <c r="M7" t="s">
        <v>185</v>
      </c>
    </row>
    <row r="8" spans="1:13" x14ac:dyDescent="0.25">
      <c r="A8" t="str">
        <f>IFERROR(INDEX('MAESTRO DE UNIDADES'!$A$2:$A$208,ROW()-2),"")</f>
        <v>CM-001</v>
      </c>
      <c r="B8" t="str">
        <f>IFERROR(INDEX('MAESTRO DE RESPONSABLES'!$A$2:$A$200,ROW()-2),"")</f>
        <v>Daniel Pereyra</v>
      </c>
      <c r="C8" t="str">
        <f>IFERROR(INDEX('MAESTRO DE OBRAS'!$B$2:$B$200,ROW()-2),"")</f>
        <v xml:space="preserve">Barrio San Martin </v>
      </c>
      <c r="D8" s="14" t="s">
        <v>168</v>
      </c>
      <c r="H8" t="s">
        <v>186</v>
      </c>
      <c r="I8" t="s">
        <v>185</v>
      </c>
      <c r="K8" t="str">
        <f>IFERROR(INDEX('MAESTRO DE UNIDADES'!$C$2:$C$208,ROW()-2),"")</f>
        <v>Iveco Tector</v>
      </c>
      <c r="L8">
        <v>7</v>
      </c>
      <c r="M8" t="s">
        <v>186</v>
      </c>
    </row>
    <row r="9" spans="1:13" x14ac:dyDescent="0.25">
      <c r="A9" t="str">
        <f>IFERROR(INDEX('MAESTRO DE UNIDADES'!$A$2:$A$208,ROW()-2),"")</f>
        <v>CM-002</v>
      </c>
      <c r="B9" t="str">
        <f>IFERROR(INDEX('MAESTRO DE RESPONSABLES'!$A$2:$A$200,ROW()-2),"")</f>
        <v>Martin</v>
      </c>
      <c r="C9">
        <f>IFERROR(INDEX('MAESTRO DE OBRAS'!$B$2:$B$200,ROW()-2),"")</f>
        <v>0</v>
      </c>
      <c r="D9" s="14" t="s">
        <v>205</v>
      </c>
      <c r="H9" t="s">
        <v>187</v>
      </c>
      <c r="I9" t="s">
        <v>186</v>
      </c>
      <c r="K9" t="str">
        <f>IFERROR(INDEX('MAESTRO DE UNIDADES'!$C$2:$C$208,ROW()-2),"")</f>
        <v>IVECO Daily 70c17 PASO 4350</v>
      </c>
      <c r="L9">
        <v>8</v>
      </c>
      <c r="M9" t="s">
        <v>187</v>
      </c>
    </row>
    <row r="10" spans="1:13" x14ac:dyDescent="0.25">
      <c r="A10" t="str">
        <f>IFERROR(INDEX('MAESTRO DE UNIDADES'!$A$2:$A$208,ROW()-2),"")</f>
        <v>EP-001</v>
      </c>
      <c r="B10" t="str">
        <f>IFERROR(INDEX('MAESTRO DE RESPONSABLES'!$A$2:$A$200,ROW()-2),"")</f>
        <v>Daniel</v>
      </c>
      <c r="C10">
        <f>IFERROR(INDEX('MAESTRO DE OBRAS'!$B$2:$B$200,ROW()-2),"")</f>
        <v>0</v>
      </c>
      <c r="D10" s="14" t="s">
        <v>44</v>
      </c>
      <c r="H10" t="s">
        <v>188</v>
      </c>
      <c r="I10" t="s">
        <v>187</v>
      </c>
      <c r="K10" t="str">
        <f>IFERROR(INDEX('MAESTRO DE UNIDADES'!$C$2:$C$208,ROW()-2),"")</f>
        <v>Motocompresor</v>
      </c>
      <c r="L10">
        <v>9</v>
      </c>
      <c r="M10" t="s">
        <v>188</v>
      </c>
    </row>
    <row r="11" spans="1:13" x14ac:dyDescent="0.25">
      <c r="A11" t="str">
        <f>IFERROR(INDEX('MAESTRO DE UNIDADES'!$A$2:$A$208,ROW()-2),"")</f>
        <v>EP-002</v>
      </c>
      <c r="B11">
        <f>IFERROR(INDEX('MAESTRO DE RESPONSABLES'!$A$2:$A$200,ROW()-2),"")</f>
        <v>0</v>
      </c>
      <c r="C11">
        <f>IFERROR(INDEX('MAESTRO DE OBRAS'!$B$2:$B$200,ROW()-2),"")</f>
        <v>0</v>
      </c>
      <c r="D11" s="14" t="s">
        <v>206</v>
      </c>
      <c r="H11" t="s">
        <v>189</v>
      </c>
      <c r="I11" t="s">
        <v>188</v>
      </c>
      <c r="K11" t="str">
        <f>IFERROR(INDEX('MAESTRO DE UNIDADES'!$C$2:$C$208,ROW()-2),"")</f>
        <v>Motosoldador</v>
      </c>
      <c r="L11">
        <v>10</v>
      </c>
      <c r="M11" t="s">
        <v>189</v>
      </c>
    </row>
    <row r="12" spans="1:13" x14ac:dyDescent="0.25">
      <c r="A12" t="str">
        <f>IFERROR(INDEX('MAESTRO DE UNIDADES'!$A$2:$A$208,ROW()-2),"")</f>
        <v>EP-003</v>
      </c>
      <c r="B12">
        <f>IFERROR(INDEX('MAESTRO DE RESPONSABLES'!$A$2:$A$200,ROW()-2),"")</f>
        <v>0</v>
      </c>
      <c r="C12">
        <f>IFERROR(INDEX('MAESTRO DE OBRAS'!$B$2:$B$200,ROW()-2),"")</f>
        <v>0</v>
      </c>
      <c r="H12" t="s">
        <v>190</v>
      </c>
      <c r="I12" t="s">
        <v>189</v>
      </c>
      <c r="K12" t="str">
        <f>IFERROR(INDEX('MAESTRO DE UNIDADES'!$C$2:$C$208,ROW()-2),"")</f>
        <v>Montacarga</v>
      </c>
      <c r="L12">
        <v>11</v>
      </c>
      <c r="M12" t="s">
        <v>190</v>
      </c>
    </row>
    <row r="13" spans="1:13" x14ac:dyDescent="0.25">
      <c r="A13" t="str">
        <f>IFERROR(INDEX('MAESTRO DE UNIDADES'!$A$2:$A$208,ROW()-2),"")</f>
        <v>MC-001</v>
      </c>
      <c r="B13" t="str">
        <f>IFERROR(INDEX('MAESTRO DE RESPONSABLES'!$A$2:$A$200,ROW()-2),"")</f>
        <v>Nota:</v>
      </c>
      <c r="C13">
        <f>IFERROR(INDEX('MAESTRO DE OBRAS'!$B$2:$B$200,ROW()-2),"")</f>
        <v>0</v>
      </c>
      <c r="H13" t="s">
        <v>191</v>
      </c>
      <c r="I13" t="s">
        <v>190</v>
      </c>
      <c r="K13" t="str">
        <f>IFERROR(INDEX('MAESTRO DE UNIDADES'!$C$2:$C$208,ROW()-2),"")</f>
        <v>CAT</v>
      </c>
      <c r="L13">
        <v>12</v>
      </c>
      <c r="M13" t="s">
        <v>191</v>
      </c>
    </row>
    <row r="14" spans="1:13" x14ac:dyDescent="0.25">
      <c r="A14" t="str">
        <f>IFERROR(INDEX('MAESTRO DE UNIDADES'!$A$2:$A$208,ROW()-2),"")</f>
        <v>MC-002</v>
      </c>
      <c r="B14">
        <f>IFERROR(INDEX('MAESTRO DE RESPONSABLES'!$A$2:$A$200,ROW()-2),"")</f>
        <v>0</v>
      </c>
      <c r="C14">
        <f>IFERROR(INDEX('MAESTRO DE OBRAS'!$B$2:$B$200,ROW()-2),"")</f>
        <v>0</v>
      </c>
      <c r="I14" t="s">
        <v>191</v>
      </c>
      <c r="K14" t="str">
        <f>IFERROR(INDEX('MAESTRO DE UNIDADES'!$C$2:$C$208,ROW()-2),"")</f>
        <v>Longking</v>
      </c>
    </row>
    <row r="15" spans="1:13" x14ac:dyDescent="0.25">
      <c r="A15" t="str">
        <f>IFERROR(INDEX('MAESTRO DE UNIDADES'!$A$2:$A$208,ROW()-2),"")</f>
        <v>RP-001</v>
      </c>
      <c r="B15">
        <f>IFERROR(INDEX('MAESTRO DE RESPONSABLES'!$A$2:$A$200,ROW()-2),"")</f>
        <v>0</v>
      </c>
      <c r="C15">
        <f>IFERROR(INDEX('MAESTRO DE OBRAS'!$B$2:$B$200,ROW()-2),"")</f>
        <v>0</v>
      </c>
      <c r="K15" t="str">
        <f>IFERROR(INDEX('MAESTRO DE UNIDADES'!$C$2:$C$208,ROW()-2),"")</f>
        <v>Hidromek</v>
      </c>
    </row>
    <row r="16" spans="1:13" x14ac:dyDescent="0.25">
      <c r="A16" t="str">
        <f>IFERROR(INDEX('MAESTRO DE UNIDADES'!$A$2:$A$208,ROW()-2),"")</f>
        <v>RP-002</v>
      </c>
      <c r="B16">
        <f>IFERROR(INDEX('MAESTRO DE RESPONSABLES'!$A$2:$A$200,ROW()-2),"")</f>
        <v>0</v>
      </c>
      <c r="C16">
        <f>IFERROR(INDEX('MAESTRO DE OBRAS'!$B$2:$B$200,ROW()-2),"")</f>
        <v>0</v>
      </c>
      <c r="K16" t="str">
        <f>IFERROR(INDEX('MAESTRO DE UNIDADES'!$C$2:$C$208,ROW()-2),"")</f>
        <v>MAXION 750</v>
      </c>
    </row>
    <row r="17" spans="1:11" x14ac:dyDescent="0.25">
      <c r="A17" t="str">
        <f>IFERROR(INDEX('MAESTRO DE UNIDADES'!$A$2:$A$208,ROW()-2),"")</f>
        <v>BT-001</v>
      </c>
      <c r="B17">
        <f>IFERROR(INDEX('MAESTRO DE RESPONSABLES'!$A$2:$A$200,ROW()-2),"")</f>
        <v>0</v>
      </c>
      <c r="C17">
        <f>IFERROR(INDEX('MAESTRO DE OBRAS'!$B$2:$B$200,ROW()-2),"")</f>
        <v>0</v>
      </c>
      <c r="K17" t="str">
        <f>IFERROR(INDEX('MAESTRO DE UNIDADES'!$C$2:$C$208,ROW()-2),"")</f>
        <v>Batan de 200lts</v>
      </c>
    </row>
    <row r="18" spans="1:11" x14ac:dyDescent="0.25">
      <c r="A18" t="str">
        <f>IFERROR(INDEX('MAESTRO DE UNIDADES'!$A$2:$A$208,ROW()-2),"")</f>
        <v>C-006</v>
      </c>
      <c r="B18">
        <f>IFERROR(INDEX('MAESTRO DE RESPONSABLES'!$A$2:$A$200,ROW()-2),"")</f>
        <v>0</v>
      </c>
      <c r="C18">
        <f>IFERROR(INDEX('MAESTRO DE OBRAS'!$B$2:$B$200,ROW()-2),"")</f>
        <v>0</v>
      </c>
      <c r="K18" t="str">
        <f>IFERROR(INDEX('MAESTRO DE UNIDADES'!$C$2:$C$208,ROW()-2),"")</f>
        <v>Toyota Hilux 2.4</v>
      </c>
    </row>
    <row r="19" spans="1:11" x14ac:dyDescent="0.25">
      <c r="A19">
        <f>IFERROR(INDEX('MAESTRO DE UNIDADES'!$A$2:$A$208,ROW()-2),"")</f>
        <v>0</v>
      </c>
      <c r="B19">
        <f>IFERROR(INDEX('MAESTRO DE RESPONSABLES'!$A$2:$A$200,ROW()-2),"")</f>
        <v>0</v>
      </c>
      <c r="C19">
        <f>IFERROR(INDEX('MAESTRO DE OBRAS'!$B$2:$B$200,ROW()-2),"")</f>
        <v>0</v>
      </c>
      <c r="K19">
        <f>IFERROR(INDEX('MAESTRO DE UNIDADES'!$C$2:$C$208,ROW()-2),"")</f>
        <v>0</v>
      </c>
    </row>
    <row r="20" spans="1:11" x14ac:dyDescent="0.25">
      <c r="A20">
        <f>IFERROR(INDEX('MAESTRO DE UNIDADES'!$A$2:$A$208,ROW()-2),"")</f>
        <v>0</v>
      </c>
      <c r="B20">
        <f>IFERROR(INDEX('MAESTRO DE RESPONSABLES'!$A$2:$A$200,ROW()-2),"")</f>
        <v>0</v>
      </c>
      <c r="C20">
        <f>IFERROR(INDEX('MAESTRO DE OBRAS'!$B$2:$B$200,ROW()-2),"")</f>
        <v>0</v>
      </c>
      <c r="K20">
        <f>IFERROR(INDEX('MAESTRO DE UNIDADES'!$C$2:$C$208,ROW()-2),"")</f>
        <v>0</v>
      </c>
    </row>
    <row r="21" spans="1:11" x14ac:dyDescent="0.25">
      <c r="A21">
        <f>IFERROR(INDEX('MAESTRO DE UNIDADES'!$A$2:$A$208,ROW()-2),"")</f>
        <v>0</v>
      </c>
      <c r="B21">
        <f>IFERROR(INDEX('MAESTRO DE RESPONSABLES'!$A$2:$A$200,ROW()-2),"")</f>
        <v>0</v>
      </c>
      <c r="C21">
        <f>IFERROR(INDEX('MAESTRO DE OBRAS'!$B$2:$B$200,ROW()-2),"")</f>
        <v>0</v>
      </c>
      <c r="K21">
        <f>IFERROR(INDEX('MAESTRO DE UNIDADES'!$C$2:$C$208,ROW()-2),"")</f>
        <v>0</v>
      </c>
    </row>
    <row r="22" spans="1:11" x14ac:dyDescent="0.25">
      <c r="A22">
        <f>IFERROR(INDEX('MAESTRO DE UNIDADES'!$A$2:$A$208,ROW()-2),"")</f>
        <v>0</v>
      </c>
      <c r="B22">
        <f>IFERROR(INDEX('MAESTRO DE RESPONSABLES'!$A$2:$A$200,ROW()-2),"")</f>
        <v>0</v>
      </c>
      <c r="C22">
        <f>IFERROR(INDEX('MAESTRO DE OBRAS'!$B$2:$B$200,ROW()-2),"")</f>
        <v>0</v>
      </c>
      <c r="K22">
        <f>IFERROR(INDEX('MAESTRO DE UNIDADES'!$C$2:$C$208,ROW()-2),"")</f>
        <v>0</v>
      </c>
    </row>
    <row r="23" spans="1:11" x14ac:dyDescent="0.25">
      <c r="A23">
        <f>IFERROR(INDEX('MAESTRO DE UNIDADES'!$A$2:$A$208,ROW()-2),"")</f>
        <v>0</v>
      </c>
      <c r="B23">
        <f>IFERROR(INDEX('MAESTRO DE RESPONSABLES'!$A$2:$A$200,ROW()-2),"")</f>
        <v>0</v>
      </c>
      <c r="C23">
        <f>IFERROR(INDEX('MAESTRO DE OBRAS'!$B$2:$B$200,ROW()-2),"")</f>
        <v>0</v>
      </c>
      <c r="K23">
        <f>IFERROR(INDEX('MAESTRO DE UNIDADES'!$C$2:$C$208,ROW()-2),"")</f>
        <v>0</v>
      </c>
    </row>
    <row r="24" spans="1:11" x14ac:dyDescent="0.25">
      <c r="A24">
        <f>IFERROR(INDEX('MAESTRO DE UNIDADES'!$A$2:$A$208,ROW()-2),"")</f>
        <v>0</v>
      </c>
      <c r="B24">
        <f>IFERROR(INDEX('MAESTRO DE RESPONSABLES'!$A$2:$A$200,ROW()-2),"")</f>
        <v>0</v>
      </c>
      <c r="C24">
        <f>IFERROR(INDEX('MAESTRO DE OBRAS'!$B$2:$B$200,ROW()-2),"")</f>
        <v>0</v>
      </c>
      <c r="K24">
        <f>IFERROR(INDEX('MAESTRO DE UNIDADES'!$C$2:$C$208,ROW()-2),"")</f>
        <v>0</v>
      </c>
    </row>
    <row r="25" spans="1:11" x14ac:dyDescent="0.25">
      <c r="A25">
        <f>IFERROR(INDEX('MAESTRO DE UNIDADES'!$A$2:$A$208,ROW()-2),"")</f>
        <v>0</v>
      </c>
      <c r="B25">
        <f>IFERROR(INDEX('MAESTRO DE RESPONSABLES'!$A$2:$A$200,ROW()-2),"")</f>
        <v>0</v>
      </c>
      <c r="C25">
        <f>IFERROR(INDEX('MAESTRO DE OBRAS'!$B$2:$B$200,ROW()-2),"")</f>
        <v>0</v>
      </c>
      <c r="K25">
        <f>IFERROR(INDEX('MAESTRO DE UNIDADES'!$C$2:$C$208,ROW()-2),"")</f>
        <v>0</v>
      </c>
    </row>
    <row r="26" spans="1:11" x14ac:dyDescent="0.25">
      <c r="A26">
        <f>IFERROR(INDEX('MAESTRO DE UNIDADES'!$A$2:$A$208,ROW()-2),"")</f>
        <v>0</v>
      </c>
      <c r="B26">
        <f>IFERROR(INDEX('MAESTRO DE RESPONSABLES'!$A$2:$A$200,ROW()-2),"")</f>
        <v>0</v>
      </c>
      <c r="C26">
        <f>IFERROR(INDEX('MAESTRO DE OBRAS'!$B$2:$B$200,ROW()-2),"")</f>
        <v>0</v>
      </c>
      <c r="K26">
        <f>IFERROR(INDEX('MAESTRO DE UNIDADES'!$C$2:$C$208,ROW()-2),"")</f>
        <v>0</v>
      </c>
    </row>
    <row r="27" spans="1:11" x14ac:dyDescent="0.25">
      <c r="A27">
        <f>IFERROR(INDEX('MAESTRO DE UNIDADES'!$A$2:$A$208,ROW()-2),"")</f>
        <v>0</v>
      </c>
      <c r="B27">
        <f>IFERROR(INDEX('MAESTRO DE RESPONSABLES'!$A$2:$A$200,ROW()-2),"")</f>
        <v>0</v>
      </c>
      <c r="C27">
        <f>IFERROR(INDEX('MAESTRO DE OBRAS'!$B$2:$B$200,ROW()-2),"")</f>
        <v>0</v>
      </c>
      <c r="K27">
        <f>IFERROR(INDEX('MAESTRO DE UNIDADES'!$C$2:$C$208,ROW()-2),"")</f>
        <v>0</v>
      </c>
    </row>
    <row r="28" spans="1:11" x14ac:dyDescent="0.25">
      <c r="A28">
        <f>IFERROR(INDEX('MAESTRO DE UNIDADES'!$A$2:$A$208,ROW()-2),"")</f>
        <v>0</v>
      </c>
      <c r="B28">
        <f>IFERROR(INDEX('MAESTRO DE RESPONSABLES'!$A$2:$A$200,ROW()-2),"")</f>
        <v>0</v>
      </c>
      <c r="C28">
        <f>IFERROR(INDEX('MAESTRO DE OBRAS'!$B$2:$B$200,ROW()-2),"")</f>
        <v>0</v>
      </c>
      <c r="K28">
        <f>IFERROR(INDEX('MAESTRO DE UNIDADES'!$C$2:$C$208,ROW()-2),"")</f>
        <v>0</v>
      </c>
    </row>
    <row r="29" spans="1:11" x14ac:dyDescent="0.25">
      <c r="A29">
        <f>IFERROR(INDEX('MAESTRO DE UNIDADES'!$A$2:$A$208,ROW()-2),"")</f>
        <v>0</v>
      </c>
      <c r="B29">
        <f>IFERROR(INDEX('MAESTRO DE RESPONSABLES'!$A$2:$A$200,ROW()-2),"")</f>
        <v>0</v>
      </c>
      <c r="C29">
        <f>IFERROR(INDEX('MAESTRO DE OBRAS'!$B$2:$B$200,ROW()-2),"")</f>
        <v>0</v>
      </c>
      <c r="K29">
        <f>IFERROR(INDEX('MAESTRO DE UNIDADES'!$C$2:$C$208,ROW()-2),"")</f>
        <v>0</v>
      </c>
    </row>
    <row r="30" spans="1:11" x14ac:dyDescent="0.25">
      <c r="A30">
        <f>IFERROR(INDEX('MAESTRO DE UNIDADES'!$A$2:$A$208,ROW()-2),"")</f>
        <v>0</v>
      </c>
      <c r="B30">
        <f>IFERROR(INDEX('MAESTRO DE RESPONSABLES'!$A$2:$A$200,ROW()-2),"")</f>
        <v>0</v>
      </c>
      <c r="C30">
        <f>IFERROR(INDEX('MAESTRO DE OBRAS'!$B$2:$B$200,ROW()-2),"")</f>
        <v>0</v>
      </c>
      <c r="K30">
        <f>IFERROR(INDEX('MAESTRO DE UNIDADES'!$C$2:$C$208,ROW()-2),"")</f>
        <v>0</v>
      </c>
    </row>
    <row r="31" spans="1:11" x14ac:dyDescent="0.25">
      <c r="A31">
        <f>IFERROR(INDEX('MAESTRO DE UNIDADES'!$A$2:$A$208,ROW()-2),"")</f>
        <v>0</v>
      </c>
      <c r="B31">
        <f>IFERROR(INDEX('MAESTRO DE RESPONSABLES'!$A$2:$A$200,ROW()-2),"")</f>
        <v>0</v>
      </c>
      <c r="C31">
        <f>IFERROR(INDEX('MAESTRO DE OBRAS'!$B$2:$B$200,ROW()-2),"")</f>
        <v>0</v>
      </c>
      <c r="K31">
        <f>IFERROR(INDEX('MAESTRO DE UNIDADES'!$C$2:$C$208,ROW()-2),"")</f>
        <v>0</v>
      </c>
    </row>
    <row r="32" spans="1:11" x14ac:dyDescent="0.25">
      <c r="A32">
        <f>IFERROR(INDEX('MAESTRO DE UNIDADES'!$A$2:$A$208,ROW()-2),"")</f>
        <v>0</v>
      </c>
      <c r="B32">
        <f>IFERROR(INDEX('MAESTRO DE RESPONSABLES'!$A$2:$A$200,ROW()-2),"")</f>
        <v>0</v>
      </c>
      <c r="C32">
        <f>IFERROR(INDEX('MAESTRO DE OBRAS'!$B$2:$B$200,ROW()-2),"")</f>
        <v>0</v>
      </c>
      <c r="K32">
        <f>IFERROR(INDEX('MAESTRO DE UNIDADES'!$C$2:$C$208,ROW()-2),"")</f>
        <v>0</v>
      </c>
    </row>
    <row r="33" spans="1:11" x14ac:dyDescent="0.25">
      <c r="A33">
        <f>IFERROR(INDEX('MAESTRO DE UNIDADES'!$A$2:$A$208,ROW()-2),"")</f>
        <v>0</v>
      </c>
      <c r="B33">
        <f>IFERROR(INDEX('MAESTRO DE RESPONSABLES'!$A$2:$A$200,ROW()-2),"")</f>
        <v>0</v>
      </c>
      <c r="C33">
        <f>IFERROR(INDEX('MAESTRO DE OBRAS'!$B$2:$B$200,ROW()-2),"")</f>
        <v>0</v>
      </c>
      <c r="K33">
        <f>IFERROR(INDEX('MAESTRO DE UNIDADES'!$C$2:$C$208,ROW()-2),"")</f>
        <v>0</v>
      </c>
    </row>
    <row r="34" spans="1:11" x14ac:dyDescent="0.25">
      <c r="A34">
        <f>IFERROR(INDEX('MAESTRO DE UNIDADES'!$A$2:$A$208,ROW()-2),"")</f>
        <v>0</v>
      </c>
      <c r="B34">
        <f>IFERROR(INDEX('MAESTRO DE RESPONSABLES'!$A$2:$A$200,ROW()-2),"")</f>
        <v>0</v>
      </c>
      <c r="C34">
        <f>IFERROR(INDEX('MAESTRO DE OBRAS'!$B$2:$B$200,ROW()-2),"")</f>
        <v>0</v>
      </c>
      <c r="K34">
        <f>IFERROR(INDEX('MAESTRO DE UNIDADES'!$C$2:$C$208,ROW()-2),"")</f>
        <v>0</v>
      </c>
    </row>
    <row r="35" spans="1:11" x14ac:dyDescent="0.25">
      <c r="A35">
        <f>IFERROR(INDEX('MAESTRO DE UNIDADES'!$A$2:$A$208,ROW()-2),"")</f>
        <v>0</v>
      </c>
      <c r="B35">
        <f>IFERROR(INDEX('MAESTRO DE RESPONSABLES'!$A$2:$A$200,ROW()-2),"")</f>
        <v>0</v>
      </c>
      <c r="C35">
        <f>IFERROR(INDEX('MAESTRO DE OBRAS'!$B$2:$B$200,ROW()-2),"")</f>
        <v>0</v>
      </c>
      <c r="K35">
        <f>IFERROR(INDEX('MAESTRO DE UNIDADES'!$C$2:$C$208,ROW()-2),"")</f>
        <v>0</v>
      </c>
    </row>
    <row r="36" spans="1:11" x14ac:dyDescent="0.25">
      <c r="A36">
        <f>IFERROR(INDEX('MAESTRO DE UNIDADES'!$A$2:$A$208,ROW()-2),"")</f>
        <v>0</v>
      </c>
      <c r="B36">
        <f>IFERROR(INDEX('MAESTRO DE RESPONSABLES'!$A$2:$A$200,ROW()-2),"")</f>
        <v>0</v>
      </c>
      <c r="C36">
        <f>IFERROR(INDEX('MAESTRO DE OBRAS'!$B$2:$B$200,ROW()-2),"")</f>
        <v>0</v>
      </c>
      <c r="K36">
        <f>IFERROR(INDEX('MAESTRO DE UNIDADES'!$C$2:$C$208,ROW()-2),"")</f>
        <v>0</v>
      </c>
    </row>
    <row r="37" spans="1:11" x14ac:dyDescent="0.25">
      <c r="A37">
        <f>IFERROR(INDEX('MAESTRO DE UNIDADES'!$A$2:$A$208,ROW()-2),"")</f>
        <v>0</v>
      </c>
      <c r="B37">
        <f>IFERROR(INDEX('MAESTRO DE RESPONSABLES'!$A$2:$A$200,ROW()-2),"")</f>
        <v>0</v>
      </c>
      <c r="C37">
        <f>IFERROR(INDEX('MAESTRO DE OBRAS'!$B$2:$B$200,ROW()-2),"")</f>
        <v>0</v>
      </c>
      <c r="K37">
        <f>IFERROR(INDEX('MAESTRO DE UNIDADES'!$C$2:$C$208,ROW()-2),"")</f>
        <v>0</v>
      </c>
    </row>
    <row r="38" spans="1:11" x14ac:dyDescent="0.25">
      <c r="A38">
        <f>IFERROR(INDEX('MAESTRO DE UNIDADES'!$A$2:$A$208,ROW()-2),"")</f>
        <v>0</v>
      </c>
      <c r="B38">
        <f>IFERROR(INDEX('MAESTRO DE RESPONSABLES'!$A$2:$A$200,ROW()-2),"")</f>
        <v>0</v>
      </c>
      <c r="C38">
        <f>IFERROR(INDEX('MAESTRO DE OBRAS'!$B$2:$B$200,ROW()-2),"")</f>
        <v>0</v>
      </c>
      <c r="K38">
        <f>IFERROR(INDEX('MAESTRO DE UNIDADES'!$C$2:$C$208,ROW()-2),"")</f>
        <v>0</v>
      </c>
    </row>
    <row r="39" spans="1:11" x14ac:dyDescent="0.25">
      <c r="A39">
        <f>IFERROR(INDEX('MAESTRO DE UNIDADES'!$A$2:$A$208,ROW()-2),"")</f>
        <v>0</v>
      </c>
      <c r="B39">
        <f>IFERROR(INDEX('MAESTRO DE RESPONSABLES'!$A$2:$A$200,ROW()-2),"")</f>
        <v>0</v>
      </c>
      <c r="C39">
        <f>IFERROR(INDEX('MAESTRO DE OBRAS'!$B$2:$B$200,ROW()-2),"")</f>
        <v>0</v>
      </c>
      <c r="K39">
        <f>IFERROR(INDEX('MAESTRO DE UNIDADES'!$C$2:$C$208,ROW()-2),"")</f>
        <v>0</v>
      </c>
    </row>
    <row r="40" spans="1:11" x14ac:dyDescent="0.25">
      <c r="A40">
        <f>IFERROR(INDEX('MAESTRO DE UNIDADES'!$A$2:$A$208,ROW()-2),"")</f>
        <v>0</v>
      </c>
      <c r="B40">
        <f>IFERROR(INDEX('MAESTRO DE RESPONSABLES'!$A$2:$A$200,ROW()-2),"")</f>
        <v>0</v>
      </c>
      <c r="C40">
        <f>IFERROR(INDEX('MAESTRO DE OBRAS'!$B$2:$B$200,ROW()-2),"")</f>
        <v>0</v>
      </c>
      <c r="K40">
        <f>IFERROR(INDEX('MAESTRO DE UNIDADES'!$C$2:$C$208,ROW()-2),"")</f>
        <v>0</v>
      </c>
    </row>
    <row r="41" spans="1:11" x14ac:dyDescent="0.25">
      <c r="A41">
        <f>IFERROR(INDEX('MAESTRO DE UNIDADES'!$A$2:$A$208,ROW()-2),"")</f>
        <v>0</v>
      </c>
      <c r="B41">
        <f>IFERROR(INDEX('MAESTRO DE RESPONSABLES'!$A$2:$A$200,ROW()-2),"")</f>
        <v>0</v>
      </c>
      <c r="C41">
        <f>IFERROR(INDEX('MAESTRO DE OBRAS'!$B$2:$B$200,ROW()-2),"")</f>
        <v>0</v>
      </c>
      <c r="K41">
        <f>IFERROR(INDEX('MAESTRO DE UNIDADES'!$C$2:$C$208,ROW()-2),"")</f>
        <v>0</v>
      </c>
    </row>
    <row r="42" spans="1:11" x14ac:dyDescent="0.25">
      <c r="A42">
        <f>IFERROR(INDEX('MAESTRO DE UNIDADES'!$A$2:$A$208,ROW()-2),"")</f>
        <v>0</v>
      </c>
      <c r="B42">
        <f>IFERROR(INDEX('MAESTRO DE RESPONSABLES'!$A$2:$A$200,ROW()-2),"")</f>
        <v>0</v>
      </c>
      <c r="C42">
        <f>IFERROR(INDEX('MAESTRO DE OBRAS'!$B$2:$B$200,ROW()-2),"")</f>
        <v>0</v>
      </c>
      <c r="K42">
        <f>IFERROR(INDEX('MAESTRO DE UNIDADES'!$C$2:$C$208,ROW()-2),"")</f>
        <v>0</v>
      </c>
    </row>
    <row r="43" spans="1:11" x14ac:dyDescent="0.25">
      <c r="A43">
        <f>IFERROR(INDEX('MAESTRO DE UNIDADES'!$A$2:$A$208,ROW()-2),"")</f>
        <v>0</v>
      </c>
      <c r="B43">
        <f>IFERROR(INDEX('MAESTRO DE RESPONSABLES'!$A$2:$A$200,ROW()-2),"")</f>
        <v>0</v>
      </c>
      <c r="C43">
        <f>IFERROR(INDEX('MAESTRO DE OBRAS'!$B$2:$B$200,ROW()-2),"")</f>
        <v>0</v>
      </c>
      <c r="K43">
        <f>IFERROR(INDEX('MAESTRO DE UNIDADES'!$C$2:$C$208,ROW()-2),"")</f>
        <v>0</v>
      </c>
    </row>
    <row r="44" spans="1:11" x14ac:dyDescent="0.25">
      <c r="A44">
        <f>IFERROR(INDEX('MAESTRO DE UNIDADES'!$A$2:$A$208,ROW()-2),"")</f>
        <v>0</v>
      </c>
      <c r="B44">
        <f>IFERROR(INDEX('MAESTRO DE RESPONSABLES'!$A$2:$A$200,ROW()-2),"")</f>
        <v>0</v>
      </c>
      <c r="C44">
        <f>IFERROR(INDEX('MAESTRO DE OBRAS'!$B$2:$B$200,ROW()-2),"")</f>
        <v>0</v>
      </c>
      <c r="K44">
        <f>IFERROR(INDEX('MAESTRO DE UNIDADES'!$C$2:$C$208,ROW()-2),"")</f>
        <v>0</v>
      </c>
    </row>
    <row r="45" spans="1:11" x14ac:dyDescent="0.25">
      <c r="A45">
        <f>IFERROR(INDEX('MAESTRO DE UNIDADES'!$A$2:$A$208,ROW()-2),"")</f>
        <v>0</v>
      </c>
      <c r="B45">
        <f>IFERROR(INDEX('MAESTRO DE RESPONSABLES'!$A$2:$A$200,ROW()-2),"")</f>
        <v>0</v>
      </c>
      <c r="C45">
        <f>IFERROR(INDEX('MAESTRO DE OBRAS'!$B$2:$B$200,ROW()-2),"")</f>
        <v>0</v>
      </c>
      <c r="K45">
        <f>IFERROR(INDEX('MAESTRO DE UNIDADES'!$C$2:$C$208,ROW()-2),"")</f>
        <v>0</v>
      </c>
    </row>
    <row r="46" spans="1:11" x14ac:dyDescent="0.25">
      <c r="A46">
        <f>IFERROR(INDEX('MAESTRO DE UNIDADES'!$A$2:$A$208,ROW()-2),"")</f>
        <v>0</v>
      </c>
      <c r="B46">
        <f>IFERROR(INDEX('MAESTRO DE RESPONSABLES'!$A$2:$A$200,ROW()-2),"")</f>
        <v>0</v>
      </c>
      <c r="C46">
        <f>IFERROR(INDEX('MAESTRO DE OBRAS'!$B$2:$B$200,ROW()-2),"")</f>
        <v>0</v>
      </c>
      <c r="K46">
        <f>IFERROR(INDEX('MAESTRO DE UNIDADES'!$C$2:$C$208,ROW()-2),"")</f>
        <v>0</v>
      </c>
    </row>
    <row r="47" spans="1:11" x14ac:dyDescent="0.25">
      <c r="A47">
        <f>IFERROR(INDEX('MAESTRO DE UNIDADES'!$A$2:$A$208,ROW()-2),"")</f>
        <v>0</v>
      </c>
      <c r="B47">
        <f>IFERROR(INDEX('MAESTRO DE RESPONSABLES'!$A$2:$A$200,ROW()-2),"")</f>
        <v>0</v>
      </c>
      <c r="C47">
        <f>IFERROR(INDEX('MAESTRO DE OBRAS'!$B$2:$B$200,ROW()-2),"")</f>
        <v>0</v>
      </c>
      <c r="K47">
        <f>IFERROR(INDEX('MAESTRO DE UNIDADES'!$C$2:$C$208,ROW()-2),"")</f>
        <v>0</v>
      </c>
    </row>
    <row r="48" spans="1:11" x14ac:dyDescent="0.25">
      <c r="A48">
        <f>IFERROR(INDEX('MAESTRO DE UNIDADES'!$A$2:$A$208,ROW()-2),"")</f>
        <v>0</v>
      </c>
      <c r="B48">
        <f>IFERROR(INDEX('MAESTRO DE RESPONSABLES'!$A$2:$A$200,ROW()-2),"")</f>
        <v>0</v>
      </c>
      <c r="C48">
        <f>IFERROR(INDEX('MAESTRO DE OBRAS'!$B$2:$B$200,ROW()-2),"")</f>
        <v>0</v>
      </c>
      <c r="K48">
        <f>IFERROR(INDEX('MAESTRO DE UNIDADES'!$C$2:$C$208,ROW()-2),"")</f>
        <v>0</v>
      </c>
    </row>
    <row r="49" spans="1:11" x14ac:dyDescent="0.25">
      <c r="A49">
        <f>IFERROR(INDEX('MAESTRO DE UNIDADES'!$A$2:$A$208,ROW()-2),"")</f>
        <v>0</v>
      </c>
      <c r="B49">
        <f>IFERROR(INDEX('MAESTRO DE RESPONSABLES'!$A$2:$A$200,ROW()-2),"")</f>
        <v>0</v>
      </c>
      <c r="C49">
        <f>IFERROR(INDEX('MAESTRO DE OBRAS'!$B$2:$B$200,ROW()-2),"")</f>
        <v>0</v>
      </c>
      <c r="K49">
        <f>IFERROR(INDEX('MAESTRO DE UNIDADES'!$C$2:$C$208,ROW()-2),"")</f>
        <v>0</v>
      </c>
    </row>
    <row r="50" spans="1:11" x14ac:dyDescent="0.25">
      <c r="A50">
        <f>IFERROR(INDEX('MAESTRO DE UNIDADES'!$A$2:$A$208,ROW()-2),"")</f>
        <v>0</v>
      </c>
      <c r="B50">
        <f>IFERROR(INDEX('MAESTRO DE RESPONSABLES'!$A$2:$A$200,ROW()-2),"")</f>
        <v>0</v>
      </c>
      <c r="C50">
        <f>IFERROR(INDEX('MAESTRO DE OBRAS'!$B$2:$B$200,ROW()-2),"")</f>
        <v>0</v>
      </c>
      <c r="K50">
        <f>IFERROR(INDEX('MAESTRO DE UNIDADES'!$C$2:$C$208,ROW()-2),"")</f>
        <v>0</v>
      </c>
    </row>
    <row r="51" spans="1:11" x14ac:dyDescent="0.25">
      <c r="A51">
        <f>IFERROR(INDEX('MAESTRO DE UNIDADES'!$A$2:$A$208,ROW()-2),"")</f>
        <v>0</v>
      </c>
      <c r="B51">
        <f>IFERROR(INDEX('MAESTRO DE RESPONSABLES'!$A$2:$A$200,ROW()-2),"")</f>
        <v>0</v>
      </c>
      <c r="C51">
        <f>IFERROR(INDEX('MAESTRO DE OBRAS'!$B$2:$B$200,ROW()-2),"")</f>
        <v>0</v>
      </c>
      <c r="K51">
        <f>IFERROR(INDEX('MAESTRO DE UNIDADES'!$C$2:$C$208,ROW()-2),"")</f>
        <v>0</v>
      </c>
    </row>
    <row r="52" spans="1:11" x14ac:dyDescent="0.25">
      <c r="A52">
        <f>IFERROR(INDEX('MAESTRO DE UNIDADES'!$A$2:$A$208,ROW()-2),"")</f>
        <v>0</v>
      </c>
      <c r="B52">
        <f>IFERROR(INDEX('MAESTRO DE RESPONSABLES'!$A$2:$A$200,ROW()-2),"")</f>
        <v>0</v>
      </c>
      <c r="C52">
        <f>IFERROR(INDEX('MAESTRO DE OBRAS'!$B$2:$B$200,ROW()-2),"")</f>
        <v>0</v>
      </c>
      <c r="K52">
        <f>IFERROR(INDEX('MAESTRO DE UNIDADES'!$C$2:$C$208,ROW()-2),"")</f>
        <v>0</v>
      </c>
    </row>
    <row r="53" spans="1:11" x14ac:dyDescent="0.25">
      <c r="A53">
        <f>IFERROR(INDEX('MAESTRO DE UNIDADES'!$A$2:$A$208,ROW()-2),"")</f>
        <v>0</v>
      </c>
      <c r="B53">
        <f>IFERROR(INDEX('MAESTRO DE RESPONSABLES'!$A$2:$A$200,ROW()-2),"")</f>
        <v>0</v>
      </c>
      <c r="C53">
        <f>IFERROR(INDEX('MAESTRO DE OBRAS'!$B$2:$B$200,ROW()-2),"")</f>
        <v>0</v>
      </c>
      <c r="K53">
        <f>IFERROR(INDEX('MAESTRO DE UNIDADES'!$C$2:$C$208,ROW()-2),"")</f>
        <v>0</v>
      </c>
    </row>
    <row r="54" spans="1:11" x14ac:dyDescent="0.25">
      <c r="A54">
        <f>IFERROR(INDEX('MAESTRO DE UNIDADES'!$A$2:$A$208,ROW()-2),"")</f>
        <v>0</v>
      </c>
      <c r="B54">
        <f>IFERROR(INDEX('MAESTRO DE RESPONSABLES'!$A$2:$A$200,ROW()-2),"")</f>
        <v>0</v>
      </c>
      <c r="C54">
        <f>IFERROR(INDEX('MAESTRO DE OBRAS'!$B$2:$B$200,ROW()-2),"")</f>
        <v>0</v>
      </c>
      <c r="K54">
        <f>IFERROR(INDEX('MAESTRO DE UNIDADES'!$C$2:$C$208,ROW()-2),"")</f>
        <v>0</v>
      </c>
    </row>
    <row r="55" spans="1:11" x14ac:dyDescent="0.25">
      <c r="A55">
        <f>IFERROR(INDEX('MAESTRO DE UNIDADES'!$A$2:$A$208,ROW()-2),"")</f>
        <v>0</v>
      </c>
      <c r="B55">
        <f>IFERROR(INDEX('MAESTRO DE RESPONSABLES'!$A$2:$A$200,ROW()-2),"")</f>
        <v>0</v>
      </c>
      <c r="C55">
        <f>IFERROR(INDEX('MAESTRO DE OBRAS'!$B$2:$B$200,ROW()-2),"")</f>
        <v>0</v>
      </c>
      <c r="K55">
        <f>IFERROR(INDEX('MAESTRO DE UNIDADES'!$C$2:$C$208,ROW()-2),"")</f>
        <v>0</v>
      </c>
    </row>
    <row r="56" spans="1:11" x14ac:dyDescent="0.25">
      <c r="A56">
        <f>IFERROR(INDEX('MAESTRO DE UNIDADES'!$A$2:$A$208,ROW()-2),"")</f>
        <v>0</v>
      </c>
      <c r="B56">
        <f>IFERROR(INDEX('MAESTRO DE RESPONSABLES'!$A$2:$A$200,ROW()-2),"")</f>
        <v>0</v>
      </c>
      <c r="C56">
        <f>IFERROR(INDEX('MAESTRO DE OBRAS'!$B$2:$B$200,ROW()-2),"")</f>
        <v>0</v>
      </c>
      <c r="K56">
        <f>IFERROR(INDEX('MAESTRO DE UNIDADES'!$C$2:$C$208,ROW()-2),"")</f>
        <v>0</v>
      </c>
    </row>
    <row r="57" spans="1:11" x14ac:dyDescent="0.25">
      <c r="A57">
        <f>IFERROR(INDEX('MAESTRO DE UNIDADES'!$A$2:$A$208,ROW()-2),"")</f>
        <v>0</v>
      </c>
      <c r="B57">
        <f>IFERROR(INDEX('MAESTRO DE RESPONSABLES'!$A$2:$A$200,ROW()-2),"")</f>
        <v>0</v>
      </c>
      <c r="C57">
        <f>IFERROR(INDEX('MAESTRO DE OBRAS'!$B$2:$B$200,ROW()-2),"")</f>
        <v>0</v>
      </c>
      <c r="K57">
        <f>IFERROR(INDEX('MAESTRO DE UNIDADES'!$C$2:$C$208,ROW()-2),"")</f>
        <v>0</v>
      </c>
    </row>
    <row r="58" spans="1:11" x14ac:dyDescent="0.25">
      <c r="A58">
        <f>IFERROR(INDEX('MAESTRO DE UNIDADES'!$A$2:$A$208,ROW()-2),"")</f>
        <v>0</v>
      </c>
      <c r="B58">
        <f>IFERROR(INDEX('MAESTRO DE RESPONSABLES'!$A$2:$A$200,ROW()-2),"")</f>
        <v>0</v>
      </c>
      <c r="C58">
        <f>IFERROR(INDEX('MAESTRO DE OBRAS'!$B$2:$B$200,ROW()-2),"")</f>
        <v>0</v>
      </c>
      <c r="K58">
        <f>IFERROR(INDEX('MAESTRO DE UNIDADES'!$C$2:$C$208,ROW()-2),"")</f>
        <v>0</v>
      </c>
    </row>
    <row r="59" spans="1:11" x14ac:dyDescent="0.25">
      <c r="A59">
        <f>IFERROR(INDEX('MAESTRO DE UNIDADES'!$A$2:$A$208,ROW()-2),"")</f>
        <v>0</v>
      </c>
      <c r="B59">
        <f>IFERROR(INDEX('MAESTRO DE RESPONSABLES'!$A$2:$A$200,ROW()-2),"")</f>
        <v>0</v>
      </c>
      <c r="C59">
        <f>IFERROR(INDEX('MAESTRO DE OBRAS'!$B$2:$B$200,ROW()-2),"")</f>
        <v>0</v>
      </c>
      <c r="K59">
        <f>IFERROR(INDEX('MAESTRO DE UNIDADES'!$C$2:$C$208,ROW()-2),"")</f>
        <v>0</v>
      </c>
    </row>
    <row r="60" spans="1:11" x14ac:dyDescent="0.25">
      <c r="A60">
        <f>IFERROR(INDEX('MAESTRO DE UNIDADES'!$A$2:$A$208,ROW()-2),"")</f>
        <v>0</v>
      </c>
      <c r="B60">
        <f>IFERROR(INDEX('MAESTRO DE RESPONSABLES'!$A$2:$A$200,ROW()-2),"")</f>
        <v>0</v>
      </c>
      <c r="C60">
        <f>IFERROR(INDEX('MAESTRO DE OBRAS'!$B$2:$B$200,ROW()-2),"")</f>
        <v>0</v>
      </c>
      <c r="K60">
        <f>IFERROR(INDEX('MAESTRO DE UNIDADES'!$C$2:$C$208,ROW()-2),"")</f>
        <v>0</v>
      </c>
    </row>
    <row r="61" spans="1:11" x14ac:dyDescent="0.25">
      <c r="A61">
        <f>IFERROR(INDEX('MAESTRO DE UNIDADES'!$A$2:$A$208,ROW()-2),"")</f>
        <v>0</v>
      </c>
      <c r="B61">
        <f>IFERROR(INDEX('MAESTRO DE RESPONSABLES'!$A$2:$A$200,ROW()-2),"")</f>
        <v>0</v>
      </c>
      <c r="C61">
        <f>IFERROR(INDEX('MAESTRO DE OBRAS'!$B$2:$B$200,ROW()-2),"")</f>
        <v>0</v>
      </c>
      <c r="K61">
        <f>IFERROR(INDEX('MAESTRO DE UNIDADES'!$C$2:$C$208,ROW()-2),"")</f>
        <v>0</v>
      </c>
    </row>
    <row r="62" spans="1:11" x14ac:dyDescent="0.25">
      <c r="A62">
        <f>IFERROR(INDEX('MAESTRO DE UNIDADES'!$A$2:$A$208,ROW()-2),"")</f>
        <v>0</v>
      </c>
      <c r="B62">
        <f>IFERROR(INDEX('MAESTRO DE RESPONSABLES'!$A$2:$A$200,ROW()-2),"")</f>
        <v>0</v>
      </c>
      <c r="C62">
        <f>IFERROR(INDEX('MAESTRO DE OBRAS'!$B$2:$B$200,ROW()-2),"")</f>
        <v>0</v>
      </c>
      <c r="K62">
        <f>IFERROR(INDEX('MAESTRO DE UNIDADES'!$C$2:$C$208,ROW()-2),"")</f>
        <v>0</v>
      </c>
    </row>
    <row r="63" spans="1:11" x14ac:dyDescent="0.25">
      <c r="A63">
        <f>IFERROR(INDEX('MAESTRO DE UNIDADES'!$A$2:$A$208,ROW()-2),"")</f>
        <v>0</v>
      </c>
      <c r="B63">
        <f>IFERROR(INDEX('MAESTRO DE RESPONSABLES'!$A$2:$A$200,ROW()-2),"")</f>
        <v>0</v>
      </c>
      <c r="C63">
        <f>IFERROR(INDEX('MAESTRO DE OBRAS'!$B$2:$B$200,ROW()-2),"")</f>
        <v>0</v>
      </c>
      <c r="K63">
        <f>IFERROR(INDEX('MAESTRO DE UNIDADES'!$C$2:$C$208,ROW()-2),"")</f>
        <v>0</v>
      </c>
    </row>
    <row r="64" spans="1:11" x14ac:dyDescent="0.25">
      <c r="A64">
        <f>IFERROR(INDEX('MAESTRO DE UNIDADES'!$A$2:$A$208,ROW()-2),"")</f>
        <v>0</v>
      </c>
      <c r="B64">
        <f>IFERROR(INDEX('MAESTRO DE RESPONSABLES'!$A$2:$A$200,ROW()-2),"")</f>
        <v>0</v>
      </c>
      <c r="C64">
        <f>IFERROR(INDEX('MAESTRO DE OBRAS'!$B$2:$B$200,ROW()-2),"")</f>
        <v>0</v>
      </c>
      <c r="K64">
        <f>IFERROR(INDEX('MAESTRO DE UNIDADES'!$C$2:$C$208,ROW()-2),"")</f>
        <v>0</v>
      </c>
    </row>
    <row r="65" spans="1:11" x14ac:dyDescent="0.25">
      <c r="A65">
        <f>IFERROR(INDEX('MAESTRO DE UNIDADES'!$A$2:$A$208,ROW()-2),"")</f>
        <v>0</v>
      </c>
      <c r="B65">
        <f>IFERROR(INDEX('MAESTRO DE RESPONSABLES'!$A$2:$A$200,ROW()-2),"")</f>
        <v>0</v>
      </c>
      <c r="C65">
        <f>IFERROR(INDEX('MAESTRO DE OBRAS'!$B$2:$B$200,ROW()-2),"")</f>
        <v>0</v>
      </c>
      <c r="K65">
        <f>IFERROR(INDEX('MAESTRO DE UNIDADES'!$C$2:$C$208,ROW()-2),"")</f>
        <v>0</v>
      </c>
    </row>
    <row r="66" spans="1:11" x14ac:dyDescent="0.25">
      <c r="A66">
        <f>IFERROR(INDEX('MAESTRO DE UNIDADES'!$A$2:$A$208,ROW()-2),"")</f>
        <v>0</v>
      </c>
      <c r="B66">
        <f>IFERROR(INDEX('MAESTRO DE RESPONSABLES'!$A$2:$A$200,ROW()-2),"")</f>
        <v>0</v>
      </c>
      <c r="C66">
        <f>IFERROR(INDEX('MAESTRO DE OBRAS'!$B$2:$B$200,ROW()-2),"")</f>
        <v>0</v>
      </c>
      <c r="K66">
        <f>IFERROR(INDEX('MAESTRO DE UNIDADES'!$C$2:$C$208,ROW()-2),"")</f>
        <v>0</v>
      </c>
    </row>
    <row r="67" spans="1:11" x14ac:dyDescent="0.25">
      <c r="A67">
        <f>IFERROR(INDEX('MAESTRO DE UNIDADES'!$A$2:$A$208,ROW()-2),"")</f>
        <v>0</v>
      </c>
      <c r="B67">
        <f>IFERROR(INDEX('MAESTRO DE RESPONSABLES'!$A$2:$A$200,ROW()-2),"")</f>
        <v>0</v>
      </c>
      <c r="C67">
        <f>IFERROR(INDEX('MAESTRO DE OBRAS'!$B$2:$B$200,ROW()-2),"")</f>
        <v>0</v>
      </c>
      <c r="K67">
        <f>IFERROR(INDEX('MAESTRO DE UNIDADES'!$C$2:$C$208,ROW()-2),"")</f>
        <v>0</v>
      </c>
    </row>
    <row r="68" spans="1:11" x14ac:dyDescent="0.25">
      <c r="A68">
        <f>IFERROR(INDEX('MAESTRO DE UNIDADES'!$A$2:$A$208,ROW()-2),"")</f>
        <v>0</v>
      </c>
      <c r="B68">
        <f>IFERROR(INDEX('MAESTRO DE RESPONSABLES'!$A$2:$A$200,ROW()-2),"")</f>
        <v>0</v>
      </c>
      <c r="C68">
        <f>IFERROR(INDEX('MAESTRO DE OBRAS'!$B$2:$B$200,ROW()-2),"")</f>
        <v>0</v>
      </c>
      <c r="K68">
        <f>IFERROR(INDEX('MAESTRO DE UNIDADES'!$C$2:$C$208,ROW()-2),"")</f>
        <v>0</v>
      </c>
    </row>
    <row r="69" spans="1:11" x14ac:dyDescent="0.25">
      <c r="A69">
        <f>IFERROR(INDEX('MAESTRO DE UNIDADES'!$A$2:$A$208,ROW()-2),"")</f>
        <v>0</v>
      </c>
      <c r="B69">
        <f>IFERROR(INDEX('MAESTRO DE RESPONSABLES'!$A$2:$A$200,ROW()-2),"")</f>
        <v>0</v>
      </c>
      <c r="C69">
        <f>IFERROR(INDEX('MAESTRO DE OBRAS'!$B$2:$B$200,ROW()-2),"")</f>
        <v>0</v>
      </c>
      <c r="K69">
        <f>IFERROR(INDEX('MAESTRO DE UNIDADES'!$C$2:$C$208,ROW()-2),"")</f>
        <v>0</v>
      </c>
    </row>
    <row r="70" spans="1:11" x14ac:dyDescent="0.25">
      <c r="A70">
        <f>IFERROR(INDEX('MAESTRO DE UNIDADES'!$A$2:$A$208,ROW()-2),"")</f>
        <v>0</v>
      </c>
      <c r="B70">
        <f>IFERROR(INDEX('MAESTRO DE RESPONSABLES'!$A$2:$A$200,ROW()-2),"")</f>
        <v>0</v>
      </c>
      <c r="C70">
        <f>IFERROR(INDEX('MAESTRO DE OBRAS'!$B$2:$B$200,ROW()-2),"")</f>
        <v>0</v>
      </c>
      <c r="K70">
        <f>IFERROR(INDEX('MAESTRO DE UNIDADES'!$C$2:$C$208,ROW()-2),"")</f>
        <v>0</v>
      </c>
    </row>
    <row r="71" spans="1:11" x14ac:dyDescent="0.25">
      <c r="A71">
        <f>IFERROR(INDEX('MAESTRO DE UNIDADES'!$A$2:$A$208,ROW()-2),"")</f>
        <v>0</v>
      </c>
      <c r="B71">
        <f>IFERROR(INDEX('MAESTRO DE RESPONSABLES'!$A$2:$A$200,ROW()-2),"")</f>
        <v>0</v>
      </c>
      <c r="C71">
        <f>IFERROR(INDEX('MAESTRO DE OBRAS'!$B$2:$B$200,ROW()-2),"")</f>
        <v>0</v>
      </c>
      <c r="K71">
        <f>IFERROR(INDEX('MAESTRO DE UNIDADES'!$C$2:$C$208,ROW()-2),"")</f>
        <v>0</v>
      </c>
    </row>
    <row r="72" spans="1:11" x14ac:dyDescent="0.25">
      <c r="A72">
        <f>IFERROR(INDEX('MAESTRO DE UNIDADES'!$A$2:$A$208,ROW()-2),"")</f>
        <v>0</v>
      </c>
      <c r="B72">
        <f>IFERROR(INDEX('MAESTRO DE RESPONSABLES'!$A$2:$A$200,ROW()-2),"")</f>
        <v>0</v>
      </c>
      <c r="C72">
        <f>IFERROR(INDEX('MAESTRO DE OBRAS'!$B$2:$B$200,ROW()-2),"")</f>
        <v>0</v>
      </c>
      <c r="K72">
        <f>IFERROR(INDEX('MAESTRO DE UNIDADES'!$C$2:$C$208,ROW()-2),"")</f>
        <v>0</v>
      </c>
    </row>
    <row r="73" spans="1:11" x14ac:dyDescent="0.25">
      <c r="A73">
        <f>IFERROR(INDEX('MAESTRO DE UNIDADES'!$A$2:$A$208,ROW()-2),"")</f>
        <v>0</v>
      </c>
      <c r="B73">
        <f>IFERROR(INDEX('MAESTRO DE RESPONSABLES'!$A$2:$A$200,ROW()-2),"")</f>
        <v>0</v>
      </c>
      <c r="C73">
        <f>IFERROR(INDEX('MAESTRO DE OBRAS'!$B$2:$B$200,ROW()-2),"")</f>
        <v>0</v>
      </c>
      <c r="K73">
        <f>IFERROR(INDEX('MAESTRO DE UNIDADES'!$C$2:$C$208,ROW()-2),"")</f>
        <v>0</v>
      </c>
    </row>
    <row r="74" spans="1:11" x14ac:dyDescent="0.25">
      <c r="A74">
        <f>IFERROR(INDEX('MAESTRO DE UNIDADES'!$A$2:$A$208,ROW()-2),"")</f>
        <v>0</v>
      </c>
      <c r="B74">
        <f>IFERROR(INDEX('MAESTRO DE RESPONSABLES'!$A$2:$A$200,ROW()-2),"")</f>
        <v>0</v>
      </c>
      <c r="C74">
        <f>IFERROR(INDEX('MAESTRO DE OBRAS'!$B$2:$B$200,ROW()-2),"")</f>
        <v>0</v>
      </c>
      <c r="K74">
        <f>IFERROR(INDEX('MAESTRO DE UNIDADES'!$C$2:$C$208,ROW()-2),"")</f>
        <v>0</v>
      </c>
    </row>
    <row r="75" spans="1:11" x14ac:dyDescent="0.25">
      <c r="A75">
        <f>IFERROR(INDEX('MAESTRO DE UNIDADES'!$A$2:$A$208,ROW()-2),"")</f>
        <v>0</v>
      </c>
      <c r="B75">
        <f>IFERROR(INDEX('MAESTRO DE RESPONSABLES'!$A$2:$A$200,ROW()-2),"")</f>
        <v>0</v>
      </c>
      <c r="C75">
        <f>IFERROR(INDEX('MAESTRO DE OBRAS'!$B$2:$B$200,ROW()-2),"")</f>
        <v>0</v>
      </c>
      <c r="K75">
        <f>IFERROR(INDEX('MAESTRO DE UNIDADES'!$C$2:$C$208,ROW()-2),"")</f>
        <v>0</v>
      </c>
    </row>
    <row r="76" spans="1:11" x14ac:dyDescent="0.25">
      <c r="A76">
        <f>IFERROR(INDEX('MAESTRO DE UNIDADES'!$A$2:$A$208,ROW()-2),"")</f>
        <v>0</v>
      </c>
      <c r="B76">
        <f>IFERROR(INDEX('MAESTRO DE RESPONSABLES'!$A$2:$A$200,ROW()-2),"")</f>
        <v>0</v>
      </c>
      <c r="C76">
        <f>IFERROR(INDEX('MAESTRO DE OBRAS'!$B$2:$B$200,ROW()-2),"")</f>
        <v>0</v>
      </c>
      <c r="K76">
        <f>IFERROR(INDEX('MAESTRO DE UNIDADES'!$C$2:$C$208,ROW()-2),"")</f>
        <v>0</v>
      </c>
    </row>
    <row r="77" spans="1:11" x14ac:dyDescent="0.25">
      <c r="A77">
        <f>IFERROR(INDEX('MAESTRO DE UNIDADES'!$A$2:$A$208,ROW()-2),"")</f>
        <v>0</v>
      </c>
      <c r="B77">
        <f>IFERROR(INDEX('MAESTRO DE RESPONSABLES'!$A$2:$A$200,ROW()-2),"")</f>
        <v>0</v>
      </c>
      <c r="C77">
        <f>IFERROR(INDEX('MAESTRO DE OBRAS'!$B$2:$B$200,ROW()-2),"")</f>
        <v>0</v>
      </c>
      <c r="K77">
        <f>IFERROR(INDEX('MAESTRO DE UNIDADES'!$C$2:$C$208,ROW()-2),"")</f>
        <v>0</v>
      </c>
    </row>
    <row r="78" spans="1:11" x14ac:dyDescent="0.25">
      <c r="A78">
        <f>IFERROR(INDEX('MAESTRO DE UNIDADES'!$A$2:$A$208,ROW()-2),"")</f>
        <v>0</v>
      </c>
      <c r="B78">
        <f>IFERROR(INDEX('MAESTRO DE RESPONSABLES'!$A$2:$A$200,ROW()-2),"")</f>
        <v>0</v>
      </c>
      <c r="C78">
        <f>IFERROR(INDEX('MAESTRO DE OBRAS'!$B$2:$B$200,ROW()-2),"")</f>
        <v>0</v>
      </c>
      <c r="K78">
        <f>IFERROR(INDEX('MAESTRO DE UNIDADES'!$C$2:$C$208,ROW()-2),"")</f>
        <v>0</v>
      </c>
    </row>
    <row r="79" spans="1:11" x14ac:dyDescent="0.25">
      <c r="A79">
        <f>IFERROR(INDEX('MAESTRO DE UNIDADES'!$A$2:$A$208,ROW()-2),"")</f>
        <v>0</v>
      </c>
      <c r="B79">
        <f>IFERROR(INDEX('MAESTRO DE RESPONSABLES'!$A$2:$A$200,ROW()-2),"")</f>
        <v>0</v>
      </c>
      <c r="C79">
        <f>IFERROR(INDEX('MAESTRO DE OBRAS'!$B$2:$B$200,ROW()-2),"")</f>
        <v>0</v>
      </c>
      <c r="K79">
        <f>IFERROR(INDEX('MAESTRO DE UNIDADES'!$C$2:$C$208,ROW()-2),"")</f>
        <v>0</v>
      </c>
    </row>
    <row r="80" spans="1:11" x14ac:dyDescent="0.25">
      <c r="A80">
        <f>IFERROR(INDEX('MAESTRO DE UNIDADES'!$A$2:$A$208,ROW()-2),"")</f>
        <v>0</v>
      </c>
      <c r="B80">
        <f>IFERROR(INDEX('MAESTRO DE RESPONSABLES'!$A$2:$A$200,ROW()-2),"")</f>
        <v>0</v>
      </c>
      <c r="C80">
        <f>IFERROR(INDEX('MAESTRO DE OBRAS'!$B$2:$B$200,ROW()-2),"")</f>
        <v>0</v>
      </c>
      <c r="K80">
        <f>IFERROR(INDEX('MAESTRO DE UNIDADES'!$C$2:$C$208,ROW()-2),"")</f>
        <v>0</v>
      </c>
    </row>
    <row r="81" spans="1:11" x14ac:dyDescent="0.25">
      <c r="A81">
        <f>IFERROR(INDEX('MAESTRO DE UNIDADES'!$A$2:$A$208,ROW()-2),"")</f>
        <v>0</v>
      </c>
      <c r="B81">
        <f>IFERROR(INDEX('MAESTRO DE RESPONSABLES'!$A$2:$A$200,ROW()-2),"")</f>
        <v>0</v>
      </c>
      <c r="C81">
        <f>IFERROR(INDEX('MAESTRO DE OBRAS'!$B$2:$B$200,ROW()-2),"")</f>
        <v>0</v>
      </c>
      <c r="K81">
        <f>IFERROR(INDEX('MAESTRO DE UNIDADES'!$C$2:$C$208,ROW()-2),"")</f>
        <v>0</v>
      </c>
    </row>
    <row r="82" spans="1:11" x14ac:dyDescent="0.25">
      <c r="A82">
        <f>IFERROR(INDEX('MAESTRO DE UNIDADES'!$A$2:$A$208,ROW()-2),"")</f>
        <v>0</v>
      </c>
      <c r="B82">
        <f>IFERROR(INDEX('MAESTRO DE RESPONSABLES'!$A$2:$A$200,ROW()-2),"")</f>
        <v>0</v>
      </c>
      <c r="C82">
        <f>IFERROR(INDEX('MAESTRO DE OBRAS'!$B$2:$B$200,ROW()-2),"")</f>
        <v>0</v>
      </c>
      <c r="K82">
        <f>IFERROR(INDEX('MAESTRO DE UNIDADES'!$C$2:$C$208,ROW()-2),"")</f>
        <v>0</v>
      </c>
    </row>
    <row r="83" spans="1:11" x14ac:dyDescent="0.25">
      <c r="A83">
        <f>IFERROR(INDEX('MAESTRO DE UNIDADES'!$A$2:$A$208,ROW()-2),"")</f>
        <v>0</v>
      </c>
      <c r="B83">
        <f>IFERROR(INDEX('MAESTRO DE RESPONSABLES'!$A$2:$A$200,ROW()-2),"")</f>
        <v>0</v>
      </c>
      <c r="C83">
        <f>IFERROR(INDEX('MAESTRO DE OBRAS'!$B$2:$B$200,ROW()-2),"")</f>
        <v>0</v>
      </c>
      <c r="K83">
        <f>IFERROR(INDEX('MAESTRO DE UNIDADES'!$C$2:$C$208,ROW()-2),"")</f>
        <v>0</v>
      </c>
    </row>
    <row r="84" spans="1:11" x14ac:dyDescent="0.25">
      <c r="A84">
        <f>IFERROR(INDEX('MAESTRO DE UNIDADES'!$A$2:$A$208,ROW()-2),"")</f>
        <v>0</v>
      </c>
      <c r="B84">
        <f>IFERROR(INDEX('MAESTRO DE RESPONSABLES'!$A$2:$A$200,ROW()-2),"")</f>
        <v>0</v>
      </c>
      <c r="C84">
        <f>IFERROR(INDEX('MAESTRO DE OBRAS'!$B$2:$B$200,ROW()-2),"")</f>
        <v>0</v>
      </c>
      <c r="K84">
        <f>IFERROR(INDEX('MAESTRO DE UNIDADES'!$C$2:$C$208,ROW()-2),"")</f>
        <v>0</v>
      </c>
    </row>
    <row r="85" spans="1:11" x14ac:dyDescent="0.25">
      <c r="A85">
        <f>IFERROR(INDEX('MAESTRO DE UNIDADES'!$A$2:$A$208,ROW()-2),"")</f>
        <v>0</v>
      </c>
      <c r="B85">
        <f>IFERROR(INDEX('MAESTRO DE RESPONSABLES'!$A$2:$A$200,ROW()-2),"")</f>
        <v>0</v>
      </c>
      <c r="C85">
        <f>IFERROR(INDEX('MAESTRO DE OBRAS'!$B$2:$B$200,ROW()-2),"")</f>
        <v>0</v>
      </c>
      <c r="K85">
        <f>IFERROR(INDEX('MAESTRO DE UNIDADES'!$C$2:$C$208,ROW()-2),"")</f>
        <v>0</v>
      </c>
    </row>
    <row r="86" spans="1:11" x14ac:dyDescent="0.25">
      <c r="A86">
        <f>IFERROR(INDEX('MAESTRO DE UNIDADES'!$A$2:$A$208,ROW()-2),"")</f>
        <v>0</v>
      </c>
      <c r="B86">
        <f>IFERROR(INDEX('MAESTRO DE RESPONSABLES'!$A$2:$A$200,ROW()-2),"")</f>
        <v>0</v>
      </c>
      <c r="C86">
        <f>IFERROR(INDEX('MAESTRO DE OBRAS'!$B$2:$B$200,ROW()-2),"")</f>
        <v>0</v>
      </c>
      <c r="K86">
        <f>IFERROR(INDEX('MAESTRO DE UNIDADES'!$C$2:$C$208,ROW()-2),"")</f>
        <v>0</v>
      </c>
    </row>
    <row r="87" spans="1:11" x14ac:dyDescent="0.25">
      <c r="A87">
        <f>IFERROR(INDEX('MAESTRO DE UNIDADES'!$A$2:$A$208,ROW()-2),"")</f>
        <v>0</v>
      </c>
      <c r="B87">
        <f>IFERROR(INDEX('MAESTRO DE RESPONSABLES'!$A$2:$A$200,ROW()-2),"")</f>
        <v>0</v>
      </c>
      <c r="C87">
        <f>IFERROR(INDEX('MAESTRO DE OBRAS'!$B$2:$B$200,ROW()-2),"")</f>
        <v>0</v>
      </c>
      <c r="K87">
        <f>IFERROR(INDEX('MAESTRO DE UNIDADES'!$C$2:$C$208,ROW()-2),"")</f>
        <v>0</v>
      </c>
    </row>
    <row r="88" spans="1:11" x14ac:dyDescent="0.25">
      <c r="A88">
        <f>IFERROR(INDEX('MAESTRO DE UNIDADES'!$A$2:$A$208,ROW()-2),"")</f>
        <v>0</v>
      </c>
      <c r="B88">
        <f>IFERROR(INDEX('MAESTRO DE RESPONSABLES'!$A$2:$A$200,ROW()-2),"")</f>
        <v>0</v>
      </c>
      <c r="C88">
        <f>IFERROR(INDEX('MAESTRO DE OBRAS'!$B$2:$B$200,ROW()-2),"")</f>
        <v>0</v>
      </c>
      <c r="K88">
        <f>IFERROR(INDEX('MAESTRO DE UNIDADES'!$C$2:$C$208,ROW()-2),"")</f>
        <v>0</v>
      </c>
    </row>
    <row r="89" spans="1:11" x14ac:dyDescent="0.25">
      <c r="A89">
        <f>IFERROR(INDEX('MAESTRO DE UNIDADES'!$A$2:$A$208,ROW()-2),"")</f>
        <v>0</v>
      </c>
      <c r="B89">
        <f>IFERROR(INDEX('MAESTRO DE RESPONSABLES'!$A$2:$A$200,ROW()-2),"")</f>
        <v>0</v>
      </c>
      <c r="C89">
        <f>IFERROR(INDEX('MAESTRO DE OBRAS'!$B$2:$B$200,ROW()-2),"")</f>
        <v>0</v>
      </c>
      <c r="K89">
        <f>IFERROR(INDEX('MAESTRO DE UNIDADES'!$C$2:$C$208,ROW()-2),"")</f>
        <v>0</v>
      </c>
    </row>
    <row r="90" spans="1:11" x14ac:dyDescent="0.25">
      <c r="A90">
        <f>IFERROR(INDEX('MAESTRO DE UNIDADES'!$A$2:$A$208,ROW()-2),"")</f>
        <v>0</v>
      </c>
      <c r="B90">
        <f>IFERROR(INDEX('MAESTRO DE RESPONSABLES'!$A$2:$A$200,ROW()-2),"")</f>
        <v>0</v>
      </c>
      <c r="C90">
        <f>IFERROR(INDEX('MAESTRO DE OBRAS'!$B$2:$B$200,ROW()-2),"")</f>
        <v>0</v>
      </c>
      <c r="K90">
        <f>IFERROR(INDEX('MAESTRO DE UNIDADES'!$C$2:$C$208,ROW()-2),"")</f>
        <v>0</v>
      </c>
    </row>
    <row r="91" spans="1:11" x14ac:dyDescent="0.25">
      <c r="A91">
        <f>IFERROR(INDEX('MAESTRO DE UNIDADES'!$A$2:$A$208,ROW()-2),"")</f>
        <v>0</v>
      </c>
      <c r="B91">
        <f>IFERROR(INDEX('MAESTRO DE RESPONSABLES'!$A$2:$A$200,ROW()-2),"")</f>
        <v>0</v>
      </c>
      <c r="C91">
        <f>IFERROR(INDEX('MAESTRO DE OBRAS'!$B$2:$B$200,ROW()-2),"")</f>
        <v>0</v>
      </c>
      <c r="K91">
        <f>IFERROR(INDEX('MAESTRO DE UNIDADES'!$C$2:$C$208,ROW()-2),"")</f>
        <v>0</v>
      </c>
    </row>
    <row r="92" spans="1:11" x14ac:dyDescent="0.25">
      <c r="A92">
        <f>IFERROR(INDEX('MAESTRO DE UNIDADES'!$A$2:$A$208,ROW()-2),"")</f>
        <v>0</v>
      </c>
      <c r="B92">
        <f>IFERROR(INDEX('MAESTRO DE RESPONSABLES'!$A$2:$A$200,ROW()-2),"")</f>
        <v>0</v>
      </c>
      <c r="C92">
        <f>IFERROR(INDEX('MAESTRO DE OBRAS'!$B$2:$B$200,ROW()-2),"")</f>
        <v>0</v>
      </c>
      <c r="K92">
        <f>IFERROR(INDEX('MAESTRO DE UNIDADES'!$C$2:$C$208,ROW()-2),"")</f>
        <v>0</v>
      </c>
    </row>
    <row r="93" spans="1:11" x14ac:dyDescent="0.25">
      <c r="A93">
        <f>IFERROR(INDEX('MAESTRO DE UNIDADES'!$A$2:$A$208,ROW()-2),"")</f>
        <v>0</v>
      </c>
      <c r="B93">
        <f>IFERROR(INDEX('MAESTRO DE RESPONSABLES'!$A$2:$A$200,ROW()-2),"")</f>
        <v>0</v>
      </c>
      <c r="C93">
        <f>IFERROR(INDEX('MAESTRO DE OBRAS'!$B$2:$B$200,ROW()-2),"")</f>
        <v>0</v>
      </c>
      <c r="K93">
        <f>IFERROR(INDEX('MAESTRO DE UNIDADES'!$C$2:$C$208,ROW()-2),"")</f>
        <v>0</v>
      </c>
    </row>
    <row r="94" spans="1:11" x14ac:dyDescent="0.25">
      <c r="A94">
        <f>IFERROR(INDEX('MAESTRO DE UNIDADES'!$A$2:$A$208,ROW()-2),"")</f>
        <v>0</v>
      </c>
      <c r="B94">
        <f>IFERROR(INDEX('MAESTRO DE RESPONSABLES'!$A$2:$A$200,ROW()-2),"")</f>
        <v>0</v>
      </c>
      <c r="C94">
        <f>IFERROR(INDEX('MAESTRO DE OBRAS'!$B$2:$B$200,ROW()-2),"")</f>
        <v>0</v>
      </c>
      <c r="K94">
        <f>IFERROR(INDEX('MAESTRO DE UNIDADES'!$C$2:$C$208,ROW()-2),"")</f>
        <v>0</v>
      </c>
    </row>
    <row r="95" spans="1:11" x14ac:dyDescent="0.25">
      <c r="A95">
        <f>IFERROR(INDEX('MAESTRO DE UNIDADES'!$A$2:$A$208,ROW()-2),"")</f>
        <v>0</v>
      </c>
      <c r="B95">
        <f>IFERROR(INDEX('MAESTRO DE RESPONSABLES'!$A$2:$A$200,ROW()-2),"")</f>
        <v>0</v>
      </c>
      <c r="C95">
        <f>IFERROR(INDEX('MAESTRO DE OBRAS'!$B$2:$B$200,ROW()-2),"")</f>
        <v>0</v>
      </c>
      <c r="K95">
        <f>IFERROR(INDEX('MAESTRO DE UNIDADES'!$C$2:$C$208,ROW()-2),"")</f>
        <v>0</v>
      </c>
    </row>
    <row r="96" spans="1:11" x14ac:dyDescent="0.25">
      <c r="A96">
        <f>IFERROR(INDEX('MAESTRO DE UNIDADES'!$A$2:$A$208,ROW()-2),"")</f>
        <v>0</v>
      </c>
      <c r="B96">
        <f>IFERROR(INDEX('MAESTRO DE RESPONSABLES'!$A$2:$A$200,ROW()-2),"")</f>
        <v>0</v>
      </c>
      <c r="C96">
        <f>IFERROR(INDEX('MAESTRO DE OBRAS'!$B$2:$B$200,ROW()-2),"")</f>
        <v>0</v>
      </c>
      <c r="K96">
        <f>IFERROR(INDEX('MAESTRO DE UNIDADES'!$C$2:$C$208,ROW()-2),"")</f>
        <v>0</v>
      </c>
    </row>
    <row r="97" spans="1:11" x14ac:dyDescent="0.25">
      <c r="A97">
        <f>IFERROR(INDEX('MAESTRO DE UNIDADES'!$A$2:$A$208,ROW()-2),"")</f>
        <v>0</v>
      </c>
      <c r="B97">
        <f>IFERROR(INDEX('MAESTRO DE RESPONSABLES'!$A$2:$A$200,ROW()-2),"")</f>
        <v>0</v>
      </c>
      <c r="C97">
        <f>IFERROR(INDEX('MAESTRO DE OBRAS'!$B$2:$B$200,ROW()-2),"")</f>
        <v>0</v>
      </c>
      <c r="K97">
        <f>IFERROR(INDEX('MAESTRO DE UNIDADES'!$C$2:$C$208,ROW()-2),"")</f>
        <v>0</v>
      </c>
    </row>
    <row r="98" spans="1:11" x14ac:dyDescent="0.25">
      <c r="A98">
        <f>IFERROR(INDEX('MAESTRO DE UNIDADES'!$A$2:$A$208,ROW()-2),"")</f>
        <v>0</v>
      </c>
      <c r="B98">
        <f>IFERROR(INDEX('MAESTRO DE RESPONSABLES'!$A$2:$A$200,ROW()-2),"")</f>
        <v>0</v>
      </c>
      <c r="C98">
        <f>IFERROR(INDEX('MAESTRO DE OBRAS'!$B$2:$B$200,ROW()-2),"")</f>
        <v>0</v>
      </c>
      <c r="K98">
        <f>IFERROR(INDEX('MAESTRO DE UNIDADES'!$C$2:$C$208,ROW()-2),"")</f>
        <v>0</v>
      </c>
    </row>
    <row r="99" spans="1:11" x14ac:dyDescent="0.25">
      <c r="A99">
        <f>IFERROR(INDEX('MAESTRO DE UNIDADES'!$A$2:$A$208,ROW()-2),"")</f>
        <v>0</v>
      </c>
      <c r="B99">
        <f>IFERROR(INDEX('MAESTRO DE RESPONSABLES'!$A$2:$A$200,ROW()-2),"")</f>
        <v>0</v>
      </c>
      <c r="C99">
        <f>IFERROR(INDEX('MAESTRO DE OBRAS'!$B$2:$B$200,ROW()-2),"")</f>
        <v>0</v>
      </c>
      <c r="K99">
        <f>IFERROR(INDEX('MAESTRO DE UNIDADES'!$C$2:$C$208,ROW()-2),"")</f>
        <v>0</v>
      </c>
    </row>
    <row r="100" spans="1:11" x14ac:dyDescent="0.25">
      <c r="A100">
        <f>IFERROR(INDEX('MAESTRO DE UNIDADES'!$A$2:$A$208,ROW()-2),"")</f>
        <v>0</v>
      </c>
      <c r="B100">
        <f>IFERROR(INDEX('MAESTRO DE RESPONSABLES'!$A$2:$A$200,ROW()-2),"")</f>
        <v>0</v>
      </c>
      <c r="C100">
        <f>IFERROR(INDEX('MAESTRO DE OBRAS'!$B$2:$B$200,ROW()-2),"")</f>
        <v>0</v>
      </c>
      <c r="K100">
        <f>IFERROR(INDEX('MAESTRO DE UNIDADES'!$C$2:$C$208,ROW()-2),"")</f>
        <v>0</v>
      </c>
    </row>
    <row r="101" spans="1:11" x14ac:dyDescent="0.25">
      <c r="A101">
        <f>IFERROR(INDEX('MAESTRO DE UNIDADES'!$A$2:$A$208,ROW()-2),"")</f>
        <v>0</v>
      </c>
      <c r="B101">
        <f>IFERROR(INDEX('MAESTRO DE RESPONSABLES'!$A$2:$A$200,ROW()-2),"")</f>
        <v>0</v>
      </c>
      <c r="C101">
        <f>IFERROR(INDEX('MAESTRO DE OBRAS'!$B$2:$B$200,ROW()-2),"")</f>
        <v>0</v>
      </c>
      <c r="K101">
        <f>IFERROR(INDEX('MAESTRO DE UNIDADES'!$C$2:$C$208,ROW()-2),"")</f>
        <v>0</v>
      </c>
    </row>
    <row r="102" spans="1:11" x14ac:dyDescent="0.25">
      <c r="A102">
        <f>IFERROR(INDEX('MAESTRO DE UNIDADES'!$A$2:$A$208,ROW()-2),"")</f>
        <v>0</v>
      </c>
      <c r="B102">
        <f>IFERROR(INDEX('MAESTRO DE RESPONSABLES'!$A$2:$A$200,ROW()-2),"")</f>
        <v>0</v>
      </c>
      <c r="C102">
        <f>IFERROR(INDEX('MAESTRO DE OBRAS'!$B$2:$B$200,ROW()-2),"")</f>
        <v>0</v>
      </c>
      <c r="K102">
        <f>IFERROR(INDEX('MAESTRO DE UNIDADES'!$C$2:$C$208,ROW()-2),"")</f>
        <v>0</v>
      </c>
    </row>
    <row r="103" spans="1:11" x14ac:dyDescent="0.25">
      <c r="A103">
        <f>IFERROR(INDEX('MAESTRO DE UNIDADES'!$A$2:$A$208,ROW()-2),"")</f>
        <v>0</v>
      </c>
      <c r="B103">
        <f>IFERROR(INDEX('MAESTRO DE RESPONSABLES'!$A$2:$A$200,ROW()-2),"")</f>
        <v>0</v>
      </c>
      <c r="C103">
        <f>IFERROR(INDEX('MAESTRO DE OBRAS'!$B$2:$B$200,ROW()-2),"")</f>
        <v>0</v>
      </c>
      <c r="K103">
        <f>IFERROR(INDEX('MAESTRO DE UNIDADES'!$C$2:$C$208,ROW()-2),"")</f>
        <v>0</v>
      </c>
    </row>
    <row r="104" spans="1:11" x14ac:dyDescent="0.25">
      <c r="A104">
        <f>IFERROR(INDEX('MAESTRO DE UNIDADES'!$A$2:$A$208,ROW()-2),"")</f>
        <v>0</v>
      </c>
      <c r="B104">
        <f>IFERROR(INDEX('MAESTRO DE RESPONSABLES'!$A$2:$A$200,ROW()-2),"")</f>
        <v>0</v>
      </c>
      <c r="C104">
        <f>IFERROR(INDEX('MAESTRO DE OBRAS'!$B$2:$B$200,ROW()-2),"")</f>
        <v>0</v>
      </c>
      <c r="K104">
        <f>IFERROR(INDEX('MAESTRO DE UNIDADES'!$C$2:$C$208,ROW()-2),"")</f>
        <v>0</v>
      </c>
    </row>
    <row r="105" spans="1:11" x14ac:dyDescent="0.25">
      <c r="A105">
        <f>IFERROR(INDEX('MAESTRO DE UNIDADES'!$A$2:$A$208,ROW()-2),"")</f>
        <v>0</v>
      </c>
      <c r="B105">
        <f>IFERROR(INDEX('MAESTRO DE RESPONSABLES'!$A$2:$A$200,ROW()-2),"")</f>
        <v>0</v>
      </c>
      <c r="C105">
        <f>IFERROR(INDEX('MAESTRO DE OBRAS'!$B$2:$B$200,ROW()-2),"")</f>
        <v>0</v>
      </c>
      <c r="K105">
        <f>IFERROR(INDEX('MAESTRO DE UNIDADES'!$C$2:$C$208,ROW()-2),"")</f>
        <v>0</v>
      </c>
    </row>
    <row r="106" spans="1:11" x14ac:dyDescent="0.25">
      <c r="A106">
        <f>IFERROR(INDEX('MAESTRO DE UNIDADES'!$A$2:$A$208,ROW()-2),"")</f>
        <v>0</v>
      </c>
      <c r="B106">
        <f>IFERROR(INDEX('MAESTRO DE RESPONSABLES'!$A$2:$A$200,ROW()-2),"")</f>
        <v>0</v>
      </c>
      <c r="C106">
        <f>IFERROR(INDEX('MAESTRO DE OBRAS'!$B$2:$B$200,ROW()-2),"")</f>
        <v>0</v>
      </c>
      <c r="K106">
        <f>IFERROR(INDEX('MAESTRO DE UNIDADES'!$C$2:$C$208,ROW()-2),"")</f>
        <v>0</v>
      </c>
    </row>
    <row r="107" spans="1:11" x14ac:dyDescent="0.25">
      <c r="A107">
        <f>IFERROR(INDEX('MAESTRO DE UNIDADES'!$A$2:$A$208,ROW()-2),"")</f>
        <v>0</v>
      </c>
      <c r="B107">
        <f>IFERROR(INDEX('MAESTRO DE RESPONSABLES'!$A$2:$A$200,ROW()-2),"")</f>
        <v>0</v>
      </c>
      <c r="C107">
        <f>IFERROR(INDEX('MAESTRO DE OBRAS'!$B$2:$B$200,ROW()-2),"")</f>
        <v>0</v>
      </c>
      <c r="K107">
        <f>IFERROR(INDEX('MAESTRO DE UNIDADES'!$C$2:$C$208,ROW()-2),"")</f>
        <v>0</v>
      </c>
    </row>
    <row r="108" spans="1:11" x14ac:dyDescent="0.25">
      <c r="A108">
        <f>IFERROR(INDEX('MAESTRO DE UNIDADES'!$A$2:$A$208,ROW()-2),"")</f>
        <v>0</v>
      </c>
      <c r="B108">
        <f>IFERROR(INDEX('MAESTRO DE RESPONSABLES'!$A$2:$A$200,ROW()-2),"")</f>
        <v>0</v>
      </c>
      <c r="C108">
        <f>IFERROR(INDEX('MAESTRO DE OBRAS'!$B$2:$B$200,ROW()-2),"")</f>
        <v>0</v>
      </c>
      <c r="K108">
        <f>IFERROR(INDEX('MAESTRO DE UNIDADES'!$C$2:$C$208,ROW()-2),"")</f>
        <v>0</v>
      </c>
    </row>
    <row r="109" spans="1:11" x14ac:dyDescent="0.25">
      <c r="A109">
        <f>IFERROR(INDEX('MAESTRO DE UNIDADES'!$A$2:$A$208,ROW()-2),"")</f>
        <v>0</v>
      </c>
      <c r="B109">
        <f>IFERROR(INDEX('MAESTRO DE RESPONSABLES'!$A$2:$A$200,ROW()-2),"")</f>
        <v>0</v>
      </c>
      <c r="C109">
        <f>IFERROR(INDEX('MAESTRO DE OBRAS'!$B$2:$B$200,ROW()-2),"")</f>
        <v>0</v>
      </c>
      <c r="K109">
        <f>IFERROR(INDEX('MAESTRO DE UNIDADES'!$C$2:$C$208,ROW()-2),"")</f>
        <v>0</v>
      </c>
    </row>
    <row r="110" spans="1:11" x14ac:dyDescent="0.25">
      <c r="A110">
        <f>IFERROR(INDEX('MAESTRO DE UNIDADES'!$A$2:$A$208,ROW()-2),"")</f>
        <v>0</v>
      </c>
      <c r="B110">
        <f>IFERROR(INDEX('MAESTRO DE RESPONSABLES'!$A$2:$A$200,ROW()-2),"")</f>
        <v>0</v>
      </c>
      <c r="C110">
        <f>IFERROR(INDEX('MAESTRO DE OBRAS'!$B$2:$B$200,ROW()-2),"")</f>
        <v>0</v>
      </c>
      <c r="K110">
        <f>IFERROR(INDEX('MAESTRO DE UNIDADES'!$C$2:$C$208,ROW()-2),"")</f>
        <v>0</v>
      </c>
    </row>
    <row r="111" spans="1:11" x14ac:dyDescent="0.25">
      <c r="A111">
        <f>IFERROR(INDEX('MAESTRO DE UNIDADES'!$A$2:$A$208,ROW()-2),"")</f>
        <v>0</v>
      </c>
      <c r="B111">
        <f>IFERROR(INDEX('MAESTRO DE RESPONSABLES'!$A$2:$A$200,ROW()-2),"")</f>
        <v>0</v>
      </c>
      <c r="C111">
        <f>IFERROR(INDEX('MAESTRO DE OBRAS'!$B$2:$B$200,ROW()-2),"")</f>
        <v>0</v>
      </c>
      <c r="K111">
        <f>IFERROR(INDEX('MAESTRO DE UNIDADES'!$C$2:$C$208,ROW()-2),"")</f>
        <v>0</v>
      </c>
    </row>
    <row r="112" spans="1:11" x14ac:dyDescent="0.25">
      <c r="A112">
        <f>IFERROR(INDEX('MAESTRO DE UNIDADES'!$A$2:$A$208,ROW()-2),"")</f>
        <v>0</v>
      </c>
      <c r="B112">
        <f>IFERROR(INDEX('MAESTRO DE RESPONSABLES'!$A$2:$A$200,ROW()-2),"")</f>
        <v>0</v>
      </c>
      <c r="C112">
        <f>IFERROR(INDEX('MAESTRO DE OBRAS'!$B$2:$B$200,ROW()-2),"")</f>
        <v>0</v>
      </c>
      <c r="K112">
        <f>IFERROR(INDEX('MAESTRO DE UNIDADES'!$C$2:$C$208,ROW()-2),"")</f>
        <v>0</v>
      </c>
    </row>
    <row r="113" spans="1:11" x14ac:dyDescent="0.25">
      <c r="A113">
        <f>IFERROR(INDEX('MAESTRO DE UNIDADES'!$A$2:$A$208,ROW()-2),"")</f>
        <v>0</v>
      </c>
      <c r="B113">
        <f>IFERROR(INDEX('MAESTRO DE RESPONSABLES'!$A$2:$A$200,ROW()-2),"")</f>
        <v>0</v>
      </c>
      <c r="C113">
        <f>IFERROR(INDEX('MAESTRO DE OBRAS'!$B$2:$B$200,ROW()-2),"")</f>
        <v>0</v>
      </c>
      <c r="K113">
        <f>IFERROR(INDEX('MAESTRO DE UNIDADES'!$C$2:$C$208,ROW()-2),"")</f>
        <v>0</v>
      </c>
    </row>
    <row r="114" spans="1:11" x14ac:dyDescent="0.25">
      <c r="A114">
        <f>IFERROR(INDEX('MAESTRO DE UNIDADES'!$A$2:$A$208,ROW()-2),"")</f>
        <v>0</v>
      </c>
      <c r="B114">
        <f>IFERROR(INDEX('MAESTRO DE RESPONSABLES'!$A$2:$A$200,ROW()-2),"")</f>
        <v>0</v>
      </c>
      <c r="C114">
        <f>IFERROR(INDEX('MAESTRO DE OBRAS'!$B$2:$B$200,ROW()-2),"")</f>
        <v>0</v>
      </c>
      <c r="K114">
        <f>IFERROR(INDEX('MAESTRO DE UNIDADES'!$C$2:$C$208,ROW()-2),"")</f>
        <v>0</v>
      </c>
    </row>
    <row r="115" spans="1:11" x14ac:dyDescent="0.25">
      <c r="A115">
        <f>IFERROR(INDEX('MAESTRO DE UNIDADES'!$A$2:$A$208,ROW()-2),"")</f>
        <v>0</v>
      </c>
      <c r="B115">
        <f>IFERROR(INDEX('MAESTRO DE RESPONSABLES'!$A$2:$A$200,ROW()-2),"")</f>
        <v>0</v>
      </c>
      <c r="C115">
        <f>IFERROR(INDEX('MAESTRO DE OBRAS'!$B$2:$B$200,ROW()-2),"")</f>
        <v>0</v>
      </c>
      <c r="K115">
        <f>IFERROR(INDEX('MAESTRO DE UNIDADES'!$C$2:$C$208,ROW()-2),"")</f>
        <v>0</v>
      </c>
    </row>
    <row r="116" spans="1:11" x14ac:dyDescent="0.25">
      <c r="A116">
        <f>IFERROR(INDEX('MAESTRO DE UNIDADES'!$A$2:$A$208,ROW()-2),"")</f>
        <v>0</v>
      </c>
      <c r="B116">
        <f>IFERROR(INDEX('MAESTRO DE RESPONSABLES'!$A$2:$A$200,ROW()-2),"")</f>
        <v>0</v>
      </c>
      <c r="C116">
        <f>IFERROR(INDEX('MAESTRO DE OBRAS'!$B$2:$B$200,ROW()-2),"")</f>
        <v>0</v>
      </c>
      <c r="K116">
        <f>IFERROR(INDEX('MAESTRO DE UNIDADES'!$C$2:$C$208,ROW()-2),"")</f>
        <v>0</v>
      </c>
    </row>
    <row r="117" spans="1:11" x14ac:dyDescent="0.25">
      <c r="A117">
        <f>IFERROR(INDEX('MAESTRO DE UNIDADES'!$A$2:$A$208,ROW()-2),"")</f>
        <v>0</v>
      </c>
      <c r="B117">
        <f>IFERROR(INDEX('MAESTRO DE RESPONSABLES'!$A$2:$A$200,ROW()-2),"")</f>
        <v>0</v>
      </c>
      <c r="C117">
        <f>IFERROR(INDEX('MAESTRO DE OBRAS'!$B$2:$B$200,ROW()-2),"")</f>
        <v>0</v>
      </c>
      <c r="K117">
        <f>IFERROR(INDEX('MAESTRO DE UNIDADES'!$C$2:$C$208,ROW()-2),"")</f>
        <v>0</v>
      </c>
    </row>
    <row r="118" spans="1:11" x14ac:dyDescent="0.25">
      <c r="A118">
        <f>IFERROR(INDEX('MAESTRO DE UNIDADES'!$A$2:$A$208,ROW()-2),"")</f>
        <v>0</v>
      </c>
      <c r="B118">
        <f>IFERROR(INDEX('MAESTRO DE RESPONSABLES'!$A$2:$A$200,ROW()-2),"")</f>
        <v>0</v>
      </c>
      <c r="C118">
        <f>IFERROR(INDEX('MAESTRO DE OBRAS'!$B$2:$B$200,ROW()-2),"")</f>
        <v>0</v>
      </c>
      <c r="K118">
        <f>IFERROR(INDEX('MAESTRO DE UNIDADES'!$C$2:$C$208,ROW()-2),"")</f>
        <v>0</v>
      </c>
    </row>
    <row r="119" spans="1:11" x14ac:dyDescent="0.25">
      <c r="A119">
        <f>IFERROR(INDEX('MAESTRO DE UNIDADES'!$A$2:$A$208,ROW()-2),"")</f>
        <v>0</v>
      </c>
      <c r="B119">
        <f>IFERROR(INDEX('MAESTRO DE RESPONSABLES'!$A$2:$A$200,ROW()-2),"")</f>
        <v>0</v>
      </c>
      <c r="C119">
        <f>IFERROR(INDEX('MAESTRO DE OBRAS'!$B$2:$B$200,ROW()-2),"")</f>
        <v>0</v>
      </c>
      <c r="K119">
        <f>IFERROR(INDEX('MAESTRO DE UNIDADES'!$C$2:$C$208,ROW()-2),"")</f>
        <v>0</v>
      </c>
    </row>
    <row r="120" spans="1:11" x14ac:dyDescent="0.25">
      <c r="A120">
        <f>IFERROR(INDEX('MAESTRO DE UNIDADES'!$A$2:$A$208,ROW()-2),"")</f>
        <v>0</v>
      </c>
      <c r="B120">
        <f>IFERROR(INDEX('MAESTRO DE RESPONSABLES'!$A$2:$A$200,ROW()-2),"")</f>
        <v>0</v>
      </c>
      <c r="C120">
        <f>IFERROR(INDEX('MAESTRO DE OBRAS'!$B$2:$B$200,ROW()-2),"")</f>
        <v>0</v>
      </c>
      <c r="K120">
        <f>IFERROR(INDEX('MAESTRO DE UNIDADES'!$C$2:$C$208,ROW()-2),"")</f>
        <v>0</v>
      </c>
    </row>
    <row r="121" spans="1:11" x14ac:dyDescent="0.25">
      <c r="A121">
        <f>IFERROR(INDEX('MAESTRO DE UNIDADES'!$A$2:$A$208,ROW()-2),"")</f>
        <v>0</v>
      </c>
      <c r="B121">
        <f>IFERROR(INDEX('MAESTRO DE RESPONSABLES'!$A$2:$A$200,ROW()-2),"")</f>
        <v>0</v>
      </c>
      <c r="C121">
        <f>IFERROR(INDEX('MAESTRO DE OBRAS'!$B$2:$B$200,ROW()-2),"")</f>
        <v>0</v>
      </c>
      <c r="K121">
        <f>IFERROR(INDEX('MAESTRO DE UNIDADES'!$C$2:$C$208,ROW()-2),"")</f>
        <v>0</v>
      </c>
    </row>
    <row r="122" spans="1:11" x14ac:dyDescent="0.25">
      <c r="A122">
        <f>IFERROR(INDEX('MAESTRO DE UNIDADES'!$A$2:$A$208,ROW()-2),"")</f>
        <v>0</v>
      </c>
      <c r="B122">
        <f>IFERROR(INDEX('MAESTRO DE RESPONSABLES'!$A$2:$A$200,ROW()-2),"")</f>
        <v>0</v>
      </c>
      <c r="C122">
        <f>IFERROR(INDEX('MAESTRO DE OBRAS'!$B$2:$B$200,ROW()-2),"")</f>
        <v>0</v>
      </c>
      <c r="K122">
        <f>IFERROR(INDEX('MAESTRO DE UNIDADES'!$C$2:$C$208,ROW()-2),"")</f>
        <v>0</v>
      </c>
    </row>
    <row r="123" spans="1:11" x14ac:dyDescent="0.25">
      <c r="A123">
        <f>IFERROR(INDEX('MAESTRO DE UNIDADES'!$A$2:$A$208,ROW()-2),"")</f>
        <v>0</v>
      </c>
      <c r="B123">
        <f>IFERROR(INDEX('MAESTRO DE RESPONSABLES'!$A$2:$A$200,ROW()-2),"")</f>
        <v>0</v>
      </c>
      <c r="C123">
        <f>IFERROR(INDEX('MAESTRO DE OBRAS'!$B$2:$B$200,ROW()-2),"")</f>
        <v>0</v>
      </c>
      <c r="K123">
        <f>IFERROR(INDEX('MAESTRO DE UNIDADES'!$C$2:$C$208,ROW()-2),"")</f>
        <v>0</v>
      </c>
    </row>
    <row r="124" spans="1:11" x14ac:dyDescent="0.25">
      <c r="A124">
        <f>IFERROR(INDEX('MAESTRO DE UNIDADES'!$A$2:$A$208,ROW()-2),"")</f>
        <v>0</v>
      </c>
      <c r="B124">
        <f>IFERROR(INDEX('MAESTRO DE RESPONSABLES'!$A$2:$A$200,ROW()-2),"")</f>
        <v>0</v>
      </c>
      <c r="C124">
        <f>IFERROR(INDEX('MAESTRO DE OBRAS'!$B$2:$B$200,ROW()-2),"")</f>
        <v>0</v>
      </c>
      <c r="K124">
        <f>IFERROR(INDEX('MAESTRO DE UNIDADES'!$C$2:$C$208,ROW()-2),"")</f>
        <v>0</v>
      </c>
    </row>
    <row r="125" spans="1:11" x14ac:dyDescent="0.25">
      <c r="A125">
        <f>IFERROR(INDEX('MAESTRO DE UNIDADES'!$A$2:$A$208,ROW()-2),"")</f>
        <v>0</v>
      </c>
      <c r="B125">
        <f>IFERROR(INDEX('MAESTRO DE RESPONSABLES'!$A$2:$A$200,ROW()-2),"")</f>
        <v>0</v>
      </c>
      <c r="C125">
        <f>IFERROR(INDEX('MAESTRO DE OBRAS'!$B$2:$B$200,ROW()-2),"")</f>
        <v>0</v>
      </c>
      <c r="K125">
        <f>IFERROR(INDEX('MAESTRO DE UNIDADES'!$C$2:$C$208,ROW()-2),"")</f>
        <v>0</v>
      </c>
    </row>
    <row r="126" spans="1:11" x14ac:dyDescent="0.25">
      <c r="A126">
        <f>IFERROR(INDEX('MAESTRO DE UNIDADES'!$A$2:$A$208,ROW()-2),"")</f>
        <v>0</v>
      </c>
      <c r="B126">
        <f>IFERROR(INDEX('MAESTRO DE RESPONSABLES'!$A$2:$A$200,ROW()-2),"")</f>
        <v>0</v>
      </c>
      <c r="C126">
        <f>IFERROR(INDEX('MAESTRO DE OBRAS'!$B$2:$B$200,ROW()-2),"")</f>
        <v>0</v>
      </c>
      <c r="K126">
        <f>IFERROR(INDEX('MAESTRO DE UNIDADES'!$C$2:$C$208,ROW()-2),"")</f>
        <v>0</v>
      </c>
    </row>
    <row r="127" spans="1:11" x14ac:dyDescent="0.25">
      <c r="A127">
        <f>IFERROR(INDEX('MAESTRO DE UNIDADES'!$A$2:$A$208,ROW()-2),"")</f>
        <v>0</v>
      </c>
      <c r="B127">
        <f>IFERROR(INDEX('MAESTRO DE RESPONSABLES'!$A$2:$A$200,ROW()-2),"")</f>
        <v>0</v>
      </c>
      <c r="C127">
        <f>IFERROR(INDEX('MAESTRO DE OBRAS'!$B$2:$B$200,ROW()-2),"")</f>
        <v>0</v>
      </c>
      <c r="K127">
        <f>IFERROR(INDEX('MAESTRO DE UNIDADES'!$C$2:$C$208,ROW()-2),"")</f>
        <v>0</v>
      </c>
    </row>
    <row r="128" spans="1:11" x14ac:dyDescent="0.25">
      <c r="A128">
        <f>IFERROR(INDEX('MAESTRO DE UNIDADES'!$A$2:$A$208,ROW()-2),"")</f>
        <v>0</v>
      </c>
      <c r="B128">
        <f>IFERROR(INDEX('MAESTRO DE RESPONSABLES'!$A$2:$A$200,ROW()-2),"")</f>
        <v>0</v>
      </c>
      <c r="C128">
        <f>IFERROR(INDEX('MAESTRO DE OBRAS'!$B$2:$B$200,ROW()-2),"")</f>
        <v>0</v>
      </c>
      <c r="K128">
        <f>IFERROR(INDEX('MAESTRO DE UNIDADES'!$C$2:$C$208,ROW()-2),"")</f>
        <v>0</v>
      </c>
    </row>
    <row r="129" spans="1:11" x14ac:dyDescent="0.25">
      <c r="A129">
        <f>IFERROR(INDEX('MAESTRO DE UNIDADES'!$A$2:$A$208,ROW()-2),"")</f>
        <v>0</v>
      </c>
      <c r="B129">
        <f>IFERROR(INDEX('MAESTRO DE RESPONSABLES'!$A$2:$A$200,ROW()-2),"")</f>
        <v>0</v>
      </c>
      <c r="C129">
        <f>IFERROR(INDEX('MAESTRO DE OBRAS'!$B$2:$B$200,ROW()-2),"")</f>
        <v>0</v>
      </c>
      <c r="K129">
        <f>IFERROR(INDEX('MAESTRO DE UNIDADES'!$C$2:$C$208,ROW()-2),"")</f>
        <v>0</v>
      </c>
    </row>
    <row r="130" spans="1:11" x14ac:dyDescent="0.25">
      <c r="A130">
        <f>IFERROR(INDEX('MAESTRO DE UNIDADES'!$A$2:$A$208,ROW()-2),"")</f>
        <v>0</v>
      </c>
      <c r="B130">
        <f>IFERROR(INDEX('MAESTRO DE RESPONSABLES'!$A$2:$A$200,ROW()-2),"")</f>
        <v>0</v>
      </c>
      <c r="C130">
        <f>IFERROR(INDEX('MAESTRO DE OBRAS'!$B$2:$B$200,ROW()-2),"")</f>
        <v>0</v>
      </c>
      <c r="K130">
        <f>IFERROR(INDEX('MAESTRO DE UNIDADES'!$C$2:$C$208,ROW()-2),"")</f>
        <v>0</v>
      </c>
    </row>
    <row r="131" spans="1:11" x14ac:dyDescent="0.25">
      <c r="A131">
        <f>IFERROR(INDEX('MAESTRO DE UNIDADES'!$A$2:$A$208,ROW()-2),"")</f>
        <v>0</v>
      </c>
      <c r="B131">
        <f>IFERROR(INDEX('MAESTRO DE RESPONSABLES'!$A$2:$A$200,ROW()-2),"")</f>
        <v>0</v>
      </c>
      <c r="C131">
        <f>IFERROR(INDEX('MAESTRO DE OBRAS'!$B$2:$B$200,ROW()-2),"")</f>
        <v>0</v>
      </c>
      <c r="K131">
        <f>IFERROR(INDEX('MAESTRO DE UNIDADES'!$C$2:$C$208,ROW()-2),"")</f>
        <v>0</v>
      </c>
    </row>
    <row r="132" spans="1:11" x14ac:dyDescent="0.25">
      <c r="A132">
        <f>IFERROR(INDEX('MAESTRO DE UNIDADES'!$A$2:$A$208,ROW()-2),"")</f>
        <v>0</v>
      </c>
      <c r="B132">
        <f>IFERROR(INDEX('MAESTRO DE RESPONSABLES'!$A$2:$A$200,ROW()-2),"")</f>
        <v>0</v>
      </c>
      <c r="C132">
        <f>IFERROR(INDEX('MAESTRO DE OBRAS'!$B$2:$B$200,ROW()-2),"")</f>
        <v>0</v>
      </c>
      <c r="K132">
        <f>IFERROR(INDEX('MAESTRO DE UNIDADES'!$C$2:$C$208,ROW()-2),"")</f>
        <v>0</v>
      </c>
    </row>
    <row r="133" spans="1:11" x14ac:dyDescent="0.25">
      <c r="A133">
        <f>IFERROR(INDEX('MAESTRO DE UNIDADES'!$A$2:$A$208,ROW()-2),"")</f>
        <v>0</v>
      </c>
      <c r="B133">
        <f>IFERROR(INDEX('MAESTRO DE RESPONSABLES'!$A$2:$A$200,ROW()-2),"")</f>
        <v>0</v>
      </c>
      <c r="C133">
        <f>IFERROR(INDEX('MAESTRO DE OBRAS'!$B$2:$B$200,ROW()-2),"")</f>
        <v>0</v>
      </c>
      <c r="K133">
        <f>IFERROR(INDEX('MAESTRO DE UNIDADES'!$C$2:$C$208,ROW()-2),"")</f>
        <v>0</v>
      </c>
    </row>
    <row r="134" spans="1:11" x14ac:dyDescent="0.25">
      <c r="A134">
        <f>IFERROR(INDEX('MAESTRO DE UNIDADES'!$A$2:$A$208,ROW()-2),"")</f>
        <v>0</v>
      </c>
      <c r="B134">
        <f>IFERROR(INDEX('MAESTRO DE RESPONSABLES'!$A$2:$A$200,ROW()-2),"")</f>
        <v>0</v>
      </c>
      <c r="C134">
        <f>IFERROR(INDEX('MAESTRO DE OBRAS'!$B$2:$B$200,ROW()-2),"")</f>
        <v>0</v>
      </c>
      <c r="K134">
        <f>IFERROR(INDEX('MAESTRO DE UNIDADES'!$C$2:$C$208,ROW()-2),"")</f>
        <v>0</v>
      </c>
    </row>
    <row r="135" spans="1:11" x14ac:dyDescent="0.25">
      <c r="A135">
        <f>IFERROR(INDEX('MAESTRO DE UNIDADES'!$A$2:$A$208,ROW()-2),"")</f>
        <v>0</v>
      </c>
      <c r="B135">
        <f>IFERROR(INDEX('MAESTRO DE RESPONSABLES'!$A$2:$A$200,ROW()-2),"")</f>
        <v>0</v>
      </c>
      <c r="C135">
        <f>IFERROR(INDEX('MAESTRO DE OBRAS'!$B$2:$B$200,ROW()-2),"")</f>
        <v>0</v>
      </c>
      <c r="K135">
        <f>IFERROR(INDEX('MAESTRO DE UNIDADES'!$C$2:$C$208,ROW()-2),"")</f>
        <v>0</v>
      </c>
    </row>
    <row r="136" spans="1:11" x14ac:dyDescent="0.25">
      <c r="A136">
        <f>IFERROR(INDEX('MAESTRO DE UNIDADES'!$A$2:$A$208,ROW()-2),"")</f>
        <v>0</v>
      </c>
      <c r="B136">
        <f>IFERROR(INDEX('MAESTRO DE RESPONSABLES'!$A$2:$A$200,ROW()-2),"")</f>
        <v>0</v>
      </c>
      <c r="C136">
        <f>IFERROR(INDEX('MAESTRO DE OBRAS'!$B$2:$B$200,ROW()-2),"")</f>
        <v>0</v>
      </c>
      <c r="K136">
        <f>IFERROR(INDEX('MAESTRO DE UNIDADES'!$C$2:$C$208,ROW()-2),"")</f>
        <v>0</v>
      </c>
    </row>
    <row r="137" spans="1:11" x14ac:dyDescent="0.25">
      <c r="A137">
        <f>IFERROR(INDEX('MAESTRO DE UNIDADES'!$A$2:$A$208,ROW()-2),"")</f>
        <v>0</v>
      </c>
      <c r="B137">
        <f>IFERROR(INDEX('MAESTRO DE RESPONSABLES'!$A$2:$A$200,ROW()-2),"")</f>
        <v>0</v>
      </c>
      <c r="C137">
        <f>IFERROR(INDEX('MAESTRO DE OBRAS'!$B$2:$B$200,ROW()-2),"")</f>
        <v>0</v>
      </c>
      <c r="K137">
        <f>IFERROR(INDEX('MAESTRO DE UNIDADES'!$C$2:$C$208,ROW()-2),"")</f>
        <v>0</v>
      </c>
    </row>
    <row r="138" spans="1:11" x14ac:dyDescent="0.25">
      <c r="A138">
        <f>IFERROR(INDEX('MAESTRO DE UNIDADES'!$A$2:$A$208,ROW()-2),"")</f>
        <v>0</v>
      </c>
      <c r="B138">
        <f>IFERROR(INDEX('MAESTRO DE RESPONSABLES'!$A$2:$A$200,ROW()-2),"")</f>
        <v>0</v>
      </c>
      <c r="C138">
        <f>IFERROR(INDEX('MAESTRO DE OBRAS'!$B$2:$B$200,ROW()-2),"")</f>
        <v>0</v>
      </c>
      <c r="K138">
        <f>IFERROR(INDEX('MAESTRO DE UNIDADES'!$C$2:$C$208,ROW()-2),"")</f>
        <v>0</v>
      </c>
    </row>
    <row r="139" spans="1:11" x14ac:dyDescent="0.25">
      <c r="A139">
        <f>IFERROR(INDEX('MAESTRO DE UNIDADES'!$A$2:$A$208,ROW()-2),"")</f>
        <v>0</v>
      </c>
      <c r="B139">
        <f>IFERROR(INDEX('MAESTRO DE RESPONSABLES'!$A$2:$A$200,ROW()-2),"")</f>
        <v>0</v>
      </c>
      <c r="C139">
        <f>IFERROR(INDEX('MAESTRO DE OBRAS'!$B$2:$B$200,ROW()-2),"")</f>
        <v>0</v>
      </c>
      <c r="K139">
        <f>IFERROR(INDEX('MAESTRO DE UNIDADES'!$C$2:$C$208,ROW()-2),"")</f>
        <v>0</v>
      </c>
    </row>
    <row r="140" spans="1:11" x14ac:dyDescent="0.25">
      <c r="A140">
        <f>IFERROR(INDEX('MAESTRO DE UNIDADES'!$A$2:$A$208,ROW()-2),"")</f>
        <v>0</v>
      </c>
      <c r="B140">
        <f>IFERROR(INDEX('MAESTRO DE RESPONSABLES'!$A$2:$A$200,ROW()-2),"")</f>
        <v>0</v>
      </c>
      <c r="C140">
        <f>IFERROR(INDEX('MAESTRO DE OBRAS'!$B$2:$B$200,ROW()-2),"")</f>
        <v>0</v>
      </c>
      <c r="K140">
        <f>IFERROR(INDEX('MAESTRO DE UNIDADES'!$C$2:$C$208,ROW()-2),"")</f>
        <v>0</v>
      </c>
    </row>
    <row r="141" spans="1:11" x14ac:dyDescent="0.25">
      <c r="A141">
        <f>IFERROR(INDEX('MAESTRO DE UNIDADES'!$A$2:$A$208,ROW()-2),"")</f>
        <v>0</v>
      </c>
      <c r="B141">
        <f>IFERROR(INDEX('MAESTRO DE RESPONSABLES'!$A$2:$A$200,ROW()-2),"")</f>
        <v>0</v>
      </c>
      <c r="C141">
        <f>IFERROR(INDEX('MAESTRO DE OBRAS'!$B$2:$B$200,ROW()-2),"")</f>
        <v>0</v>
      </c>
      <c r="K141">
        <f>IFERROR(INDEX('MAESTRO DE UNIDADES'!$C$2:$C$208,ROW()-2),"")</f>
        <v>0</v>
      </c>
    </row>
    <row r="142" spans="1:11" x14ac:dyDescent="0.25">
      <c r="A142">
        <f>IFERROR(INDEX('MAESTRO DE UNIDADES'!$A$2:$A$208,ROW()-2),"")</f>
        <v>0</v>
      </c>
      <c r="B142">
        <f>IFERROR(INDEX('MAESTRO DE RESPONSABLES'!$A$2:$A$200,ROW()-2),"")</f>
        <v>0</v>
      </c>
      <c r="C142">
        <f>IFERROR(INDEX('MAESTRO DE OBRAS'!$B$2:$B$200,ROW()-2),"")</f>
        <v>0</v>
      </c>
      <c r="K142">
        <f>IFERROR(INDEX('MAESTRO DE UNIDADES'!$C$2:$C$208,ROW()-2),"")</f>
        <v>0</v>
      </c>
    </row>
    <row r="143" spans="1:11" x14ac:dyDescent="0.25">
      <c r="A143">
        <f>IFERROR(INDEX('MAESTRO DE UNIDADES'!$A$2:$A$208,ROW()-2),"")</f>
        <v>0</v>
      </c>
      <c r="B143">
        <f>IFERROR(INDEX('MAESTRO DE RESPONSABLES'!$A$2:$A$200,ROW()-2),"")</f>
        <v>0</v>
      </c>
      <c r="C143">
        <f>IFERROR(INDEX('MAESTRO DE OBRAS'!$B$2:$B$200,ROW()-2),"")</f>
        <v>0</v>
      </c>
      <c r="K143">
        <f>IFERROR(INDEX('MAESTRO DE UNIDADES'!$C$2:$C$208,ROW()-2),"")</f>
        <v>0</v>
      </c>
    </row>
    <row r="144" spans="1:11" x14ac:dyDescent="0.25">
      <c r="A144">
        <f>IFERROR(INDEX('MAESTRO DE UNIDADES'!$A$2:$A$208,ROW()-2),"")</f>
        <v>0</v>
      </c>
      <c r="B144">
        <f>IFERROR(INDEX('MAESTRO DE RESPONSABLES'!$A$2:$A$200,ROW()-2),"")</f>
        <v>0</v>
      </c>
      <c r="C144">
        <f>IFERROR(INDEX('MAESTRO DE OBRAS'!$B$2:$B$200,ROW()-2),"")</f>
        <v>0</v>
      </c>
      <c r="K144">
        <f>IFERROR(INDEX('MAESTRO DE UNIDADES'!$C$2:$C$208,ROW()-2),"")</f>
        <v>0</v>
      </c>
    </row>
    <row r="145" spans="1:11" x14ac:dyDescent="0.25">
      <c r="A145">
        <f>IFERROR(INDEX('MAESTRO DE UNIDADES'!$A$2:$A$208,ROW()-2),"")</f>
        <v>0</v>
      </c>
      <c r="B145">
        <f>IFERROR(INDEX('MAESTRO DE RESPONSABLES'!$A$2:$A$200,ROW()-2),"")</f>
        <v>0</v>
      </c>
      <c r="C145">
        <f>IFERROR(INDEX('MAESTRO DE OBRAS'!$B$2:$B$200,ROW()-2),"")</f>
        <v>0</v>
      </c>
      <c r="K145">
        <f>IFERROR(INDEX('MAESTRO DE UNIDADES'!$C$2:$C$208,ROW()-2),"")</f>
        <v>0</v>
      </c>
    </row>
    <row r="146" spans="1:11" x14ac:dyDescent="0.25">
      <c r="A146">
        <f>IFERROR(INDEX('MAESTRO DE UNIDADES'!$A$2:$A$208,ROW()-2),"")</f>
        <v>0</v>
      </c>
      <c r="B146">
        <f>IFERROR(INDEX('MAESTRO DE RESPONSABLES'!$A$2:$A$200,ROW()-2),"")</f>
        <v>0</v>
      </c>
      <c r="C146">
        <f>IFERROR(INDEX('MAESTRO DE OBRAS'!$B$2:$B$200,ROW()-2),"")</f>
        <v>0</v>
      </c>
      <c r="K146">
        <f>IFERROR(INDEX('MAESTRO DE UNIDADES'!$C$2:$C$208,ROW()-2),"")</f>
        <v>0</v>
      </c>
    </row>
    <row r="147" spans="1:11" x14ac:dyDescent="0.25">
      <c r="A147">
        <f>IFERROR(INDEX('MAESTRO DE UNIDADES'!$A$2:$A$208,ROW()-2),"")</f>
        <v>0</v>
      </c>
      <c r="B147">
        <f>IFERROR(INDEX('MAESTRO DE RESPONSABLES'!$A$2:$A$200,ROW()-2),"")</f>
        <v>0</v>
      </c>
      <c r="C147">
        <f>IFERROR(INDEX('MAESTRO DE OBRAS'!$B$2:$B$200,ROW()-2),"")</f>
        <v>0</v>
      </c>
      <c r="K147">
        <f>IFERROR(INDEX('MAESTRO DE UNIDADES'!$C$2:$C$208,ROW()-2),"")</f>
        <v>0</v>
      </c>
    </row>
    <row r="148" spans="1:11" x14ac:dyDescent="0.25">
      <c r="A148">
        <f>IFERROR(INDEX('MAESTRO DE UNIDADES'!$A$2:$A$208,ROW()-2),"")</f>
        <v>0</v>
      </c>
      <c r="B148">
        <f>IFERROR(INDEX('MAESTRO DE RESPONSABLES'!$A$2:$A$200,ROW()-2),"")</f>
        <v>0</v>
      </c>
      <c r="C148">
        <f>IFERROR(INDEX('MAESTRO DE OBRAS'!$B$2:$B$200,ROW()-2),"")</f>
        <v>0</v>
      </c>
      <c r="K148">
        <f>IFERROR(INDEX('MAESTRO DE UNIDADES'!$C$2:$C$208,ROW()-2),"")</f>
        <v>0</v>
      </c>
    </row>
    <row r="149" spans="1:11" x14ac:dyDescent="0.25">
      <c r="A149">
        <f>IFERROR(INDEX('MAESTRO DE UNIDADES'!$A$2:$A$208,ROW()-2),"")</f>
        <v>0</v>
      </c>
      <c r="B149">
        <f>IFERROR(INDEX('MAESTRO DE RESPONSABLES'!$A$2:$A$200,ROW()-2),"")</f>
        <v>0</v>
      </c>
      <c r="C149">
        <f>IFERROR(INDEX('MAESTRO DE OBRAS'!$B$2:$B$200,ROW()-2),"")</f>
        <v>0</v>
      </c>
      <c r="K149">
        <f>IFERROR(INDEX('MAESTRO DE UNIDADES'!$C$2:$C$208,ROW()-2),"")</f>
        <v>0</v>
      </c>
    </row>
    <row r="150" spans="1:11" x14ac:dyDescent="0.25">
      <c r="A150">
        <f>IFERROR(INDEX('MAESTRO DE UNIDADES'!$A$2:$A$208,ROW()-2),"")</f>
        <v>0</v>
      </c>
      <c r="B150">
        <f>IFERROR(INDEX('MAESTRO DE RESPONSABLES'!$A$2:$A$200,ROW()-2),"")</f>
        <v>0</v>
      </c>
      <c r="C150">
        <f>IFERROR(INDEX('MAESTRO DE OBRAS'!$B$2:$B$200,ROW()-2),"")</f>
        <v>0</v>
      </c>
      <c r="K150">
        <f>IFERROR(INDEX('MAESTRO DE UNIDADES'!$C$2:$C$208,ROW()-2),"")</f>
        <v>0</v>
      </c>
    </row>
    <row r="151" spans="1:11" x14ac:dyDescent="0.25">
      <c r="A151">
        <f>IFERROR(INDEX('MAESTRO DE UNIDADES'!$A$2:$A$208,ROW()-2),"")</f>
        <v>0</v>
      </c>
      <c r="B151">
        <f>IFERROR(INDEX('MAESTRO DE RESPONSABLES'!$A$2:$A$200,ROW()-2),"")</f>
        <v>0</v>
      </c>
      <c r="C151">
        <f>IFERROR(INDEX('MAESTRO DE OBRAS'!$B$2:$B$200,ROW()-2),"")</f>
        <v>0</v>
      </c>
      <c r="K151">
        <f>IFERROR(INDEX('MAESTRO DE UNIDADES'!$C$2:$C$208,ROW()-2),"")</f>
        <v>0</v>
      </c>
    </row>
    <row r="152" spans="1:11" x14ac:dyDescent="0.25">
      <c r="A152">
        <f>IFERROR(INDEX('MAESTRO DE UNIDADES'!$A$2:$A$208,ROW()-2),"")</f>
        <v>0</v>
      </c>
      <c r="B152">
        <f>IFERROR(INDEX('MAESTRO DE RESPONSABLES'!$A$2:$A$200,ROW()-2),"")</f>
        <v>0</v>
      </c>
      <c r="C152">
        <f>IFERROR(INDEX('MAESTRO DE OBRAS'!$B$2:$B$200,ROW()-2),"")</f>
        <v>0</v>
      </c>
      <c r="K152">
        <f>IFERROR(INDEX('MAESTRO DE UNIDADES'!$C$2:$C$208,ROW()-2),"")</f>
        <v>0</v>
      </c>
    </row>
    <row r="153" spans="1:11" x14ac:dyDescent="0.25">
      <c r="A153">
        <f>IFERROR(INDEX('MAESTRO DE UNIDADES'!$A$2:$A$208,ROW()-2),"")</f>
        <v>0</v>
      </c>
      <c r="B153">
        <f>IFERROR(INDEX('MAESTRO DE RESPONSABLES'!$A$2:$A$200,ROW()-2),"")</f>
        <v>0</v>
      </c>
      <c r="C153">
        <f>IFERROR(INDEX('MAESTRO DE OBRAS'!$B$2:$B$200,ROW()-2),"")</f>
        <v>0</v>
      </c>
      <c r="K153">
        <f>IFERROR(INDEX('MAESTRO DE UNIDADES'!$C$2:$C$208,ROW()-2),"")</f>
        <v>0</v>
      </c>
    </row>
    <row r="154" spans="1:11" x14ac:dyDescent="0.25">
      <c r="A154">
        <f>IFERROR(INDEX('MAESTRO DE UNIDADES'!$A$2:$A$208,ROW()-2),"")</f>
        <v>0</v>
      </c>
      <c r="B154">
        <f>IFERROR(INDEX('MAESTRO DE RESPONSABLES'!$A$2:$A$200,ROW()-2),"")</f>
        <v>0</v>
      </c>
      <c r="C154">
        <f>IFERROR(INDEX('MAESTRO DE OBRAS'!$B$2:$B$200,ROW()-2),"")</f>
        <v>0</v>
      </c>
      <c r="K154">
        <f>IFERROR(INDEX('MAESTRO DE UNIDADES'!$C$2:$C$208,ROW()-2),"")</f>
        <v>0</v>
      </c>
    </row>
    <row r="155" spans="1:11" x14ac:dyDescent="0.25">
      <c r="A155">
        <f>IFERROR(INDEX('MAESTRO DE UNIDADES'!$A$2:$A$208,ROW()-2),"")</f>
        <v>0</v>
      </c>
      <c r="B155">
        <f>IFERROR(INDEX('MAESTRO DE RESPONSABLES'!$A$2:$A$200,ROW()-2),"")</f>
        <v>0</v>
      </c>
      <c r="C155">
        <f>IFERROR(INDEX('MAESTRO DE OBRAS'!$B$2:$B$200,ROW()-2),"")</f>
        <v>0</v>
      </c>
      <c r="K155">
        <f>IFERROR(INDEX('MAESTRO DE UNIDADES'!$C$2:$C$208,ROW()-2),"")</f>
        <v>0</v>
      </c>
    </row>
    <row r="156" spans="1:11" x14ac:dyDescent="0.25">
      <c r="A156">
        <f>IFERROR(INDEX('MAESTRO DE UNIDADES'!$A$2:$A$208,ROW()-2),"")</f>
        <v>0</v>
      </c>
      <c r="B156">
        <f>IFERROR(INDEX('MAESTRO DE RESPONSABLES'!$A$2:$A$200,ROW()-2),"")</f>
        <v>0</v>
      </c>
      <c r="C156">
        <f>IFERROR(INDEX('MAESTRO DE OBRAS'!$B$2:$B$200,ROW()-2),"")</f>
        <v>0</v>
      </c>
      <c r="K156">
        <f>IFERROR(INDEX('MAESTRO DE UNIDADES'!$C$2:$C$208,ROW()-2),"")</f>
        <v>0</v>
      </c>
    </row>
    <row r="157" spans="1:11" x14ac:dyDescent="0.25">
      <c r="A157">
        <f>IFERROR(INDEX('MAESTRO DE UNIDADES'!$A$2:$A$208,ROW()-2),"")</f>
        <v>0</v>
      </c>
      <c r="B157">
        <f>IFERROR(INDEX('MAESTRO DE RESPONSABLES'!$A$2:$A$200,ROW()-2),"")</f>
        <v>0</v>
      </c>
      <c r="C157">
        <f>IFERROR(INDEX('MAESTRO DE OBRAS'!$B$2:$B$200,ROW()-2),"")</f>
        <v>0</v>
      </c>
      <c r="K157">
        <f>IFERROR(INDEX('MAESTRO DE UNIDADES'!$C$2:$C$208,ROW()-2),"")</f>
        <v>0</v>
      </c>
    </row>
    <row r="158" spans="1:11" x14ac:dyDescent="0.25">
      <c r="A158">
        <f>IFERROR(INDEX('MAESTRO DE UNIDADES'!$A$2:$A$208,ROW()-2),"")</f>
        <v>0</v>
      </c>
      <c r="B158">
        <f>IFERROR(INDEX('MAESTRO DE RESPONSABLES'!$A$2:$A$200,ROW()-2),"")</f>
        <v>0</v>
      </c>
      <c r="C158">
        <f>IFERROR(INDEX('MAESTRO DE OBRAS'!$B$2:$B$200,ROW()-2),"")</f>
        <v>0</v>
      </c>
      <c r="K158">
        <f>IFERROR(INDEX('MAESTRO DE UNIDADES'!$C$2:$C$208,ROW()-2),"")</f>
        <v>0</v>
      </c>
    </row>
    <row r="159" spans="1:11" x14ac:dyDescent="0.25">
      <c r="A159">
        <f>IFERROR(INDEX('MAESTRO DE UNIDADES'!$A$2:$A$208,ROW()-2),"")</f>
        <v>0</v>
      </c>
      <c r="B159">
        <f>IFERROR(INDEX('MAESTRO DE RESPONSABLES'!$A$2:$A$200,ROW()-2),"")</f>
        <v>0</v>
      </c>
      <c r="C159">
        <f>IFERROR(INDEX('MAESTRO DE OBRAS'!$B$2:$B$200,ROW()-2),"")</f>
        <v>0</v>
      </c>
      <c r="K159">
        <f>IFERROR(INDEX('MAESTRO DE UNIDADES'!$C$2:$C$208,ROW()-2),"")</f>
        <v>0</v>
      </c>
    </row>
    <row r="160" spans="1:11" x14ac:dyDescent="0.25">
      <c r="A160">
        <f>IFERROR(INDEX('MAESTRO DE UNIDADES'!$A$2:$A$208,ROW()-2),"")</f>
        <v>0</v>
      </c>
      <c r="B160">
        <f>IFERROR(INDEX('MAESTRO DE RESPONSABLES'!$A$2:$A$200,ROW()-2),"")</f>
        <v>0</v>
      </c>
      <c r="C160">
        <f>IFERROR(INDEX('MAESTRO DE OBRAS'!$B$2:$B$200,ROW()-2),"")</f>
        <v>0</v>
      </c>
      <c r="K160">
        <f>IFERROR(INDEX('MAESTRO DE UNIDADES'!$C$2:$C$208,ROW()-2),"")</f>
        <v>0</v>
      </c>
    </row>
    <row r="161" spans="1:11" x14ac:dyDescent="0.25">
      <c r="A161">
        <f>IFERROR(INDEX('MAESTRO DE UNIDADES'!$A$2:$A$208,ROW()-2),"")</f>
        <v>0</v>
      </c>
      <c r="B161">
        <f>IFERROR(INDEX('MAESTRO DE RESPONSABLES'!$A$2:$A$200,ROW()-2),"")</f>
        <v>0</v>
      </c>
      <c r="C161">
        <f>IFERROR(INDEX('MAESTRO DE OBRAS'!$B$2:$B$200,ROW()-2),"")</f>
        <v>0</v>
      </c>
      <c r="K161">
        <f>IFERROR(INDEX('MAESTRO DE UNIDADES'!$C$2:$C$208,ROW()-2),"")</f>
        <v>0</v>
      </c>
    </row>
    <row r="162" spans="1:11" x14ac:dyDescent="0.25">
      <c r="A162">
        <f>IFERROR(INDEX('MAESTRO DE UNIDADES'!$A$2:$A$208,ROW()-2),"")</f>
        <v>0</v>
      </c>
      <c r="B162">
        <f>IFERROR(INDEX('MAESTRO DE RESPONSABLES'!$A$2:$A$200,ROW()-2),"")</f>
        <v>0</v>
      </c>
      <c r="C162">
        <f>IFERROR(INDEX('MAESTRO DE OBRAS'!$B$2:$B$200,ROW()-2),"")</f>
        <v>0</v>
      </c>
      <c r="K162">
        <f>IFERROR(INDEX('MAESTRO DE UNIDADES'!$C$2:$C$208,ROW()-2),"")</f>
        <v>0</v>
      </c>
    </row>
    <row r="163" spans="1:11" x14ac:dyDescent="0.25">
      <c r="A163">
        <f>IFERROR(INDEX('MAESTRO DE UNIDADES'!$A$2:$A$208,ROW()-2),"")</f>
        <v>0</v>
      </c>
      <c r="B163">
        <f>IFERROR(INDEX('MAESTRO DE RESPONSABLES'!$A$2:$A$200,ROW()-2),"")</f>
        <v>0</v>
      </c>
      <c r="C163">
        <f>IFERROR(INDEX('MAESTRO DE OBRAS'!$B$2:$B$200,ROW()-2),"")</f>
        <v>0</v>
      </c>
      <c r="K163">
        <f>IFERROR(INDEX('MAESTRO DE UNIDADES'!$C$2:$C$208,ROW()-2),"")</f>
        <v>0</v>
      </c>
    </row>
    <row r="164" spans="1:11" x14ac:dyDescent="0.25">
      <c r="A164">
        <f>IFERROR(INDEX('MAESTRO DE UNIDADES'!$A$2:$A$208,ROW()-2),"")</f>
        <v>0</v>
      </c>
      <c r="B164">
        <f>IFERROR(INDEX('MAESTRO DE RESPONSABLES'!$A$2:$A$200,ROW()-2),"")</f>
        <v>0</v>
      </c>
      <c r="C164">
        <f>IFERROR(INDEX('MAESTRO DE OBRAS'!$B$2:$B$200,ROW()-2),"")</f>
        <v>0</v>
      </c>
      <c r="K164">
        <f>IFERROR(INDEX('MAESTRO DE UNIDADES'!$C$2:$C$208,ROW()-2),"")</f>
        <v>0</v>
      </c>
    </row>
    <row r="165" spans="1:11" x14ac:dyDescent="0.25">
      <c r="A165">
        <f>IFERROR(INDEX('MAESTRO DE UNIDADES'!$A$2:$A$208,ROW()-2),"")</f>
        <v>0</v>
      </c>
      <c r="B165">
        <f>IFERROR(INDEX('MAESTRO DE RESPONSABLES'!$A$2:$A$200,ROW()-2),"")</f>
        <v>0</v>
      </c>
      <c r="C165">
        <f>IFERROR(INDEX('MAESTRO DE OBRAS'!$B$2:$B$200,ROW()-2),"")</f>
        <v>0</v>
      </c>
      <c r="K165">
        <f>IFERROR(INDEX('MAESTRO DE UNIDADES'!$C$2:$C$208,ROW()-2),"")</f>
        <v>0</v>
      </c>
    </row>
    <row r="166" spans="1:11" x14ac:dyDescent="0.25">
      <c r="A166">
        <f>IFERROR(INDEX('MAESTRO DE UNIDADES'!$A$2:$A$208,ROW()-2),"")</f>
        <v>0</v>
      </c>
      <c r="B166">
        <f>IFERROR(INDEX('MAESTRO DE RESPONSABLES'!$A$2:$A$200,ROW()-2),"")</f>
        <v>0</v>
      </c>
      <c r="C166">
        <f>IFERROR(INDEX('MAESTRO DE OBRAS'!$B$2:$B$200,ROW()-2),"")</f>
        <v>0</v>
      </c>
      <c r="K166">
        <f>IFERROR(INDEX('MAESTRO DE UNIDADES'!$C$2:$C$208,ROW()-2),"")</f>
        <v>0</v>
      </c>
    </row>
    <row r="167" spans="1:11" x14ac:dyDescent="0.25">
      <c r="A167">
        <f>IFERROR(INDEX('MAESTRO DE UNIDADES'!$A$2:$A$208,ROW()-2),"")</f>
        <v>0</v>
      </c>
      <c r="B167">
        <f>IFERROR(INDEX('MAESTRO DE RESPONSABLES'!$A$2:$A$200,ROW()-2),"")</f>
        <v>0</v>
      </c>
      <c r="C167">
        <f>IFERROR(INDEX('MAESTRO DE OBRAS'!$B$2:$B$200,ROW()-2),"")</f>
        <v>0</v>
      </c>
      <c r="K167">
        <f>IFERROR(INDEX('MAESTRO DE UNIDADES'!$C$2:$C$208,ROW()-2),"")</f>
        <v>0</v>
      </c>
    </row>
    <row r="168" spans="1:11" x14ac:dyDescent="0.25">
      <c r="A168">
        <f>IFERROR(INDEX('MAESTRO DE UNIDADES'!$A$2:$A$208,ROW()-2),"")</f>
        <v>0</v>
      </c>
      <c r="B168">
        <f>IFERROR(INDEX('MAESTRO DE RESPONSABLES'!$A$2:$A$200,ROW()-2),"")</f>
        <v>0</v>
      </c>
      <c r="C168">
        <f>IFERROR(INDEX('MAESTRO DE OBRAS'!$B$2:$B$200,ROW()-2),"")</f>
        <v>0</v>
      </c>
      <c r="K168">
        <f>IFERROR(INDEX('MAESTRO DE UNIDADES'!$C$2:$C$208,ROW()-2),"")</f>
        <v>0</v>
      </c>
    </row>
    <row r="169" spans="1:11" x14ac:dyDescent="0.25">
      <c r="A169">
        <f>IFERROR(INDEX('MAESTRO DE UNIDADES'!$A$2:$A$208,ROW()-2),"")</f>
        <v>0</v>
      </c>
      <c r="B169">
        <f>IFERROR(INDEX('MAESTRO DE RESPONSABLES'!$A$2:$A$200,ROW()-2),"")</f>
        <v>0</v>
      </c>
      <c r="C169">
        <f>IFERROR(INDEX('MAESTRO DE OBRAS'!$B$2:$B$200,ROW()-2),"")</f>
        <v>0</v>
      </c>
      <c r="K169">
        <f>IFERROR(INDEX('MAESTRO DE UNIDADES'!$C$2:$C$208,ROW()-2),"")</f>
        <v>0</v>
      </c>
    </row>
    <row r="170" spans="1:11" x14ac:dyDescent="0.25">
      <c r="A170">
        <f>IFERROR(INDEX('MAESTRO DE UNIDADES'!$A$2:$A$208,ROW()-2),"")</f>
        <v>0</v>
      </c>
      <c r="B170">
        <f>IFERROR(INDEX('MAESTRO DE RESPONSABLES'!$A$2:$A$200,ROW()-2),"")</f>
        <v>0</v>
      </c>
      <c r="C170">
        <f>IFERROR(INDEX('MAESTRO DE OBRAS'!$B$2:$B$200,ROW()-2),"")</f>
        <v>0</v>
      </c>
      <c r="K170">
        <f>IFERROR(INDEX('MAESTRO DE UNIDADES'!$C$2:$C$208,ROW()-2),"")</f>
        <v>0</v>
      </c>
    </row>
    <row r="171" spans="1:11" x14ac:dyDescent="0.25">
      <c r="A171">
        <f>IFERROR(INDEX('MAESTRO DE UNIDADES'!$A$2:$A$208,ROW()-2),"")</f>
        <v>0</v>
      </c>
      <c r="B171">
        <f>IFERROR(INDEX('MAESTRO DE RESPONSABLES'!$A$2:$A$200,ROW()-2),"")</f>
        <v>0</v>
      </c>
      <c r="C171">
        <f>IFERROR(INDEX('MAESTRO DE OBRAS'!$B$2:$B$200,ROW()-2),"")</f>
        <v>0</v>
      </c>
      <c r="K171">
        <f>IFERROR(INDEX('MAESTRO DE UNIDADES'!$C$2:$C$208,ROW()-2),"")</f>
        <v>0</v>
      </c>
    </row>
    <row r="172" spans="1:11" x14ac:dyDescent="0.25">
      <c r="A172">
        <f>IFERROR(INDEX('MAESTRO DE UNIDADES'!$A$2:$A$208,ROW()-2),"")</f>
        <v>0</v>
      </c>
      <c r="B172">
        <f>IFERROR(INDEX('MAESTRO DE RESPONSABLES'!$A$2:$A$200,ROW()-2),"")</f>
        <v>0</v>
      </c>
      <c r="C172">
        <f>IFERROR(INDEX('MAESTRO DE OBRAS'!$B$2:$B$200,ROW()-2),"")</f>
        <v>0</v>
      </c>
      <c r="K172">
        <f>IFERROR(INDEX('MAESTRO DE UNIDADES'!$C$2:$C$208,ROW()-2),"")</f>
        <v>0</v>
      </c>
    </row>
    <row r="173" spans="1:11" x14ac:dyDescent="0.25">
      <c r="A173">
        <f>IFERROR(INDEX('MAESTRO DE UNIDADES'!$A$2:$A$208,ROW()-2),"")</f>
        <v>0</v>
      </c>
      <c r="B173">
        <f>IFERROR(INDEX('MAESTRO DE RESPONSABLES'!$A$2:$A$200,ROW()-2),"")</f>
        <v>0</v>
      </c>
      <c r="C173">
        <f>IFERROR(INDEX('MAESTRO DE OBRAS'!$B$2:$B$200,ROW()-2),"")</f>
        <v>0</v>
      </c>
      <c r="K173">
        <f>IFERROR(INDEX('MAESTRO DE UNIDADES'!$C$2:$C$208,ROW()-2),"")</f>
        <v>0</v>
      </c>
    </row>
    <row r="174" spans="1:11" x14ac:dyDescent="0.25">
      <c r="A174">
        <f>IFERROR(INDEX('MAESTRO DE UNIDADES'!$A$2:$A$208,ROW()-2),"")</f>
        <v>0</v>
      </c>
      <c r="B174">
        <f>IFERROR(INDEX('MAESTRO DE RESPONSABLES'!$A$2:$A$200,ROW()-2),"")</f>
        <v>0</v>
      </c>
      <c r="C174">
        <f>IFERROR(INDEX('MAESTRO DE OBRAS'!$B$2:$B$200,ROW()-2),"")</f>
        <v>0</v>
      </c>
      <c r="K174">
        <f>IFERROR(INDEX('MAESTRO DE UNIDADES'!$C$2:$C$208,ROW()-2),"")</f>
        <v>0</v>
      </c>
    </row>
    <row r="175" spans="1:11" x14ac:dyDescent="0.25">
      <c r="A175">
        <f>IFERROR(INDEX('MAESTRO DE UNIDADES'!$A$2:$A$208,ROW()-2),"")</f>
        <v>0</v>
      </c>
      <c r="B175">
        <f>IFERROR(INDEX('MAESTRO DE RESPONSABLES'!$A$2:$A$200,ROW()-2),"")</f>
        <v>0</v>
      </c>
      <c r="C175">
        <f>IFERROR(INDEX('MAESTRO DE OBRAS'!$B$2:$B$200,ROW()-2),"")</f>
        <v>0</v>
      </c>
      <c r="K175">
        <f>IFERROR(INDEX('MAESTRO DE UNIDADES'!$C$2:$C$208,ROW()-2),"")</f>
        <v>0</v>
      </c>
    </row>
    <row r="176" spans="1:11" x14ac:dyDescent="0.25">
      <c r="A176">
        <f>IFERROR(INDEX('MAESTRO DE UNIDADES'!$A$2:$A$208,ROW()-2),"")</f>
        <v>0</v>
      </c>
      <c r="B176">
        <f>IFERROR(INDEX('MAESTRO DE RESPONSABLES'!$A$2:$A$200,ROW()-2),"")</f>
        <v>0</v>
      </c>
      <c r="C176">
        <f>IFERROR(INDEX('MAESTRO DE OBRAS'!$B$2:$B$200,ROW()-2),"")</f>
        <v>0</v>
      </c>
      <c r="K176">
        <f>IFERROR(INDEX('MAESTRO DE UNIDADES'!$C$2:$C$208,ROW()-2),"")</f>
        <v>0</v>
      </c>
    </row>
    <row r="177" spans="1:11" x14ac:dyDescent="0.25">
      <c r="A177">
        <f>IFERROR(INDEX('MAESTRO DE UNIDADES'!$A$2:$A$208,ROW()-2),"")</f>
        <v>0</v>
      </c>
      <c r="B177">
        <f>IFERROR(INDEX('MAESTRO DE RESPONSABLES'!$A$2:$A$200,ROW()-2),"")</f>
        <v>0</v>
      </c>
      <c r="C177">
        <f>IFERROR(INDEX('MAESTRO DE OBRAS'!$B$2:$B$200,ROW()-2),"")</f>
        <v>0</v>
      </c>
      <c r="K177">
        <f>IFERROR(INDEX('MAESTRO DE UNIDADES'!$C$2:$C$208,ROW()-2),"")</f>
        <v>0</v>
      </c>
    </row>
    <row r="178" spans="1:11" x14ac:dyDescent="0.25">
      <c r="A178">
        <f>IFERROR(INDEX('MAESTRO DE UNIDADES'!$A$2:$A$208,ROW()-2),"")</f>
        <v>0</v>
      </c>
      <c r="B178">
        <f>IFERROR(INDEX('MAESTRO DE RESPONSABLES'!$A$2:$A$200,ROW()-2),"")</f>
        <v>0</v>
      </c>
      <c r="C178">
        <f>IFERROR(INDEX('MAESTRO DE OBRAS'!$B$2:$B$200,ROW()-2),"")</f>
        <v>0</v>
      </c>
      <c r="K178">
        <f>IFERROR(INDEX('MAESTRO DE UNIDADES'!$C$2:$C$208,ROW()-2),"")</f>
        <v>0</v>
      </c>
    </row>
    <row r="179" spans="1:11" x14ac:dyDescent="0.25">
      <c r="A179">
        <f>IFERROR(INDEX('MAESTRO DE UNIDADES'!$A$2:$A$208,ROW()-2),"")</f>
        <v>0</v>
      </c>
      <c r="B179">
        <f>IFERROR(INDEX('MAESTRO DE RESPONSABLES'!$A$2:$A$200,ROW()-2),"")</f>
        <v>0</v>
      </c>
      <c r="C179">
        <f>IFERROR(INDEX('MAESTRO DE OBRAS'!$B$2:$B$200,ROW()-2),"")</f>
        <v>0</v>
      </c>
      <c r="K179">
        <f>IFERROR(INDEX('MAESTRO DE UNIDADES'!$C$2:$C$208,ROW()-2),"")</f>
        <v>0</v>
      </c>
    </row>
    <row r="180" spans="1:11" x14ac:dyDescent="0.25">
      <c r="A180">
        <f>IFERROR(INDEX('MAESTRO DE UNIDADES'!$A$2:$A$208,ROW()-2),"")</f>
        <v>0</v>
      </c>
      <c r="B180">
        <f>IFERROR(INDEX('MAESTRO DE RESPONSABLES'!$A$2:$A$200,ROW()-2),"")</f>
        <v>0</v>
      </c>
      <c r="C180">
        <f>IFERROR(INDEX('MAESTRO DE OBRAS'!$B$2:$B$200,ROW()-2),"")</f>
        <v>0</v>
      </c>
      <c r="K180">
        <f>IFERROR(INDEX('MAESTRO DE UNIDADES'!$C$2:$C$208,ROW()-2),"")</f>
        <v>0</v>
      </c>
    </row>
    <row r="181" spans="1:11" x14ac:dyDescent="0.25">
      <c r="A181">
        <f>IFERROR(INDEX('MAESTRO DE UNIDADES'!$A$2:$A$208,ROW()-2),"")</f>
        <v>0</v>
      </c>
      <c r="B181">
        <f>IFERROR(INDEX('MAESTRO DE RESPONSABLES'!$A$2:$A$200,ROW()-2),"")</f>
        <v>0</v>
      </c>
      <c r="C181">
        <f>IFERROR(INDEX('MAESTRO DE OBRAS'!$B$2:$B$200,ROW()-2),"")</f>
        <v>0</v>
      </c>
      <c r="K181">
        <f>IFERROR(INDEX('MAESTRO DE UNIDADES'!$C$2:$C$208,ROW()-2),"")</f>
        <v>0</v>
      </c>
    </row>
    <row r="182" spans="1:11" x14ac:dyDescent="0.25">
      <c r="A182">
        <f>IFERROR(INDEX('MAESTRO DE UNIDADES'!$A$2:$A$208,ROW()-2),"")</f>
        <v>0</v>
      </c>
      <c r="B182">
        <f>IFERROR(INDEX('MAESTRO DE RESPONSABLES'!$A$2:$A$200,ROW()-2),"")</f>
        <v>0</v>
      </c>
      <c r="C182">
        <f>IFERROR(INDEX('MAESTRO DE OBRAS'!$B$2:$B$200,ROW()-2),"")</f>
        <v>0</v>
      </c>
      <c r="K182">
        <f>IFERROR(INDEX('MAESTRO DE UNIDADES'!$C$2:$C$208,ROW()-2),"")</f>
        <v>0</v>
      </c>
    </row>
    <row r="183" spans="1:11" x14ac:dyDescent="0.25">
      <c r="A183">
        <f>IFERROR(INDEX('MAESTRO DE UNIDADES'!$A$2:$A$208,ROW()-2),"")</f>
        <v>0</v>
      </c>
      <c r="B183">
        <f>IFERROR(INDEX('MAESTRO DE RESPONSABLES'!$A$2:$A$200,ROW()-2),"")</f>
        <v>0</v>
      </c>
      <c r="C183">
        <f>IFERROR(INDEX('MAESTRO DE OBRAS'!$B$2:$B$200,ROW()-2),"")</f>
        <v>0</v>
      </c>
      <c r="K183">
        <f>IFERROR(INDEX('MAESTRO DE UNIDADES'!$C$2:$C$208,ROW()-2),"")</f>
        <v>0</v>
      </c>
    </row>
    <row r="184" spans="1:11" x14ac:dyDescent="0.25">
      <c r="A184">
        <f>IFERROR(INDEX('MAESTRO DE UNIDADES'!$A$2:$A$208,ROW()-2),"")</f>
        <v>0</v>
      </c>
      <c r="B184">
        <f>IFERROR(INDEX('MAESTRO DE RESPONSABLES'!$A$2:$A$200,ROW()-2),"")</f>
        <v>0</v>
      </c>
      <c r="C184">
        <f>IFERROR(INDEX('MAESTRO DE OBRAS'!$B$2:$B$200,ROW()-2),"")</f>
        <v>0</v>
      </c>
      <c r="K184">
        <f>IFERROR(INDEX('MAESTRO DE UNIDADES'!$C$2:$C$208,ROW()-2),"")</f>
        <v>0</v>
      </c>
    </row>
    <row r="185" spans="1:11" x14ac:dyDescent="0.25">
      <c r="A185">
        <f>IFERROR(INDEX('MAESTRO DE UNIDADES'!$A$2:$A$208,ROW()-2),"")</f>
        <v>0</v>
      </c>
      <c r="B185">
        <f>IFERROR(INDEX('MAESTRO DE RESPONSABLES'!$A$2:$A$200,ROW()-2),"")</f>
        <v>0</v>
      </c>
      <c r="C185">
        <f>IFERROR(INDEX('MAESTRO DE OBRAS'!$B$2:$B$200,ROW()-2),"")</f>
        <v>0</v>
      </c>
      <c r="K185">
        <f>IFERROR(INDEX('MAESTRO DE UNIDADES'!$C$2:$C$208,ROW()-2),"")</f>
        <v>0</v>
      </c>
    </row>
    <row r="186" spans="1:11" x14ac:dyDescent="0.25">
      <c r="A186">
        <f>IFERROR(INDEX('MAESTRO DE UNIDADES'!$A$2:$A$208,ROW()-2),"")</f>
        <v>0</v>
      </c>
      <c r="B186">
        <f>IFERROR(INDEX('MAESTRO DE RESPONSABLES'!$A$2:$A$200,ROW()-2),"")</f>
        <v>0</v>
      </c>
      <c r="C186">
        <f>IFERROR(INDEX('MAESTRO DE OBRAS'!$B$2:$B$200,ROW()-2),"")</f>
        <v>0</v>
      </c>
      <c r="K186">
        <f>IFERROR(INDEX('MAESTRO DE UNIDADES'!$C$2:$C$208,ROW()-2),"")</f>
        <v>0</v>
      </c>
    </row>
    <row r="187" spans="1:11" x14ac:dyDescent="0.25">
      <c r="A187">
        <f>IFERROR(INDEX('MAESTRO DE UNIDADES'!$A$2:$A$208,ROW()-2),"")</f>
        <v>0</v>
      </c>
      <c r="B187">
        <f>IFERROR(INDEX('MAESTRO DE RESPONSABLES'!$A$2:$A$200,ROW()-2),"")</f>
        <v>0</v>
      </c>
      <c r="C187">
        <f>IFERROR(INDEX('MAESTRO DE OBRAS'!$B$2:$B$200,ROW()-2),"")</f>
        <v>0</v>
      </c>
      <c r="K187">
        <f>IFERROR(INDEX('MAESTRO DE UNIDADES'!$C$2:$C$208,ROW()-2),"")</f>
        <v>0</v>
      </c>
    </row>
    <row r="188" spans="1:11" x14ac:dyDescent="0.25">
      <c r="A188">
        <f>IFERROR(INDEX('MAESTRO DE UNIDADES'!$A$2:$A$208,ROW()-2),"")</f>
        <v>0</v>
      </c>
      <c r="B188">
        <f>IFERROR(INDEX('MAESTRO DE RESPONSABLES'!$A$2:$A$200,ROW()-2),"")</f>
        <v>0</v>
      </c>
      <c r="C188">
        <f>IFERROR(INDEX('MAESTRO DE OBRAS'!$B$2:$B$200,ROW()-2),"")</f>
        <v>0</v>
      </c>
      <c r="K188">
        <f>IFERROR(INDEX('MAESTRO DE UNIDADES'!$C$2:$C$208,ROW()-2),"")</f>
        <v>0</v>
      </c>
    </row>
    <row r="189" spans="1:11" x14ac:dyDescent="0.25">
      <c r="A189">
        <f>IFERROR(INDEX('MAESTRO DE UNIDADES'!$A$2:$A$208,ROW()-2),"")</f>
        <v>0</v>
      </c>
      <c r="B189">
        <f>IFERROR(INDEX('MAESTRO DE RESPONSABLES'!$A$2:$A$200,ROW()-2),"")</f>
        <v>0</v>
      </c>
      <c r="C189">
        <f>IFERROR(INDEX('MAESTRO DE OBRAS'!$B$2:$B$200,ROW()-2),"")</f>
        <v>0</v>
      </c>
      <c r="K189">
        <f>IFERROR(INDEX('MAESTRO DE UNIDADES'!$C$2:$C$208,ROW()-2),"")</f>
        <v>0</v>
      </c>
    </row>
    <row r="190" spans="1:11" x14ac:dyDescent="0.25">
      <c r="A190">
        <f>IFERROR(INDEX('MAESTRO DE UNIDADES'!$A$2:$A$208,ROW()-2),"")</f>
        <v>0</v>
      </c>
      <c r="B190">
        <f>IFERROR(INDEX('MAESTRO DE RESPONSABLES'!$A$2:$A$200,ROW()-2),"")</f>
        <v>0</v>
      </c>
      <c r="C190">
        <f>IFERROR(INDEX('MAESTRO DE OBRAS'!$B$2:$B$200,ROW()-2),"")</f>
        <v>0</v>
      </c>
      <c r="K190">
        <f>IFERROR(INDEX('MAESTRO DE UNIDADES'!$C$2:$C$208,ROW()-2),"")</f>
        <v>0</v>
      </c>
    </row>
    <row r="191" spans="1:11" x14ac:dyDescent="0.25">
      <c r="A191">
        <f>IFERROR(INDEX('MAESTRO DE UNIDADES'!$A$2:$A$208,ROW()-2),"")</f>
        <v>0</v>
      </c>
      <c r="B191">
        <f>IFERROR(INDEX('MAESTRO DE RESPONSABLES'!$A$2:$A$200,ROW()-2),"")</f>
        <v>0</v>
      </c>
      <c r="C191">
        <f>IFERROR(INDEX('MAESTRO DE OBRAS'!$B$2:$B$200,ROW()-2),"")</f>
        <v>0</v>
      </c>
      <c r="K191">
        <f>IFERROR(INDEX('MAESTRO DE UNIDADES'!$C$2:$C$208,ROW()-2),"")</f>
        <v>0</v>
      </c>
    </row>
    <row r="192" spans="1:11" x14ac:dyDescent="0.25">
      <c r="A192">
        <f>IFERROR(INDEX('MAESTRO DE UNIDADES'!$A$2:$A$208,ROW()-2),"")</f>
        <v>0</v>
      </c>
      <c r="B192">
        <f>IFERROR(INDEX('MAESTRO DE RESPONSABLES'!$A$2:$A$200,ROW()-2),"")</f>
        <v>0</v>
      </c>
      <c r="C192">
        <f>IFERROR(INDEX('MAESTRO DE OBRAS'!$B$2:$B$200,ROW()-2),"")</f>
        <v>0</v>
      </c>
      <c r="K192">
        <f>IFERROR(INDEX('MAESTRO DE UNIDADES'!$C$2:$C$208,ROW()-2),"")</f>
        <v>0</v>
      </c>
    </row>
    <row r="193" spans="1:11" x14ac:dyDescent="0.25">
      <c r="A193">
        <f>IFERROR(INDEX('MAESTRO DE UNIDADES'!$A$2:$A$208,ROW()-2),"")</f>
        <v>0</v>
      </c>
      <c r="B193">
        <f>IFERROR(INDEX('MAESTRO DE RESPONSABLES'!$A$2:$A$200,ROW()-2),"")</f>
        <v>0</v>
      </c>
      <c r="C193">
        <f>IFERROR(INDEX('MAESTRO DE OBRAS'!$B$2:$B$200,ROW()-2),"")</f>
        <v>0</v>
      </c>
      <c r="K193">
        <f>IFERROR(INDEX('MAESTRO DE UNIDADES'!$C$2:$C$208,ROW()-2),"")</f>
        <v>0</v>
      </c>
    </row>
    <row r="194" spans="1:11" x14ac:dyDescent="0.25">
      <c r="A194">
        <f>IFERROR(INDEX('MAESTRO DE UNIDADES'!$A$2:$A$208,ROW()-2),"")</f>
        <v>0</v>
      </c>
      <c r="B194">
        <f>IFERROR(INDEX('MAESTRO DE RESPONSABLES'!$A$2:$A$200,ROW()-2),"")</f>
        <v>0</v>
      </c>
      <c r="C194">
        <f>IFERROR(INDEX('MAESTRO DE OBRAS'!$B$2:$B$200,ROW()-2),"")</f>
        <v>0</v>
      </c>
      <c r="K194">
        <f>IFERROR(INDEX('MAESTRO DE UNIDADES'!$C$2:$C$208,ROW()-2),"")</f>
        <v>0</v>
      </c>
    </row>
    <row r="195" spans="1:11" x14ac:dyDescent="0.25">
      <c r="A195">
        <f>IFERROR(INDEX('MAESTRO DE UNIDADES'!$A$2:$A$208,ROW()-2),"")</f>
        <v>0</v>
      </c>
      <c r="B195">
        <f>IFERROR(INDEX('MAESTRO DE RESPONSABLES'!$A$2:$A$200,ROW()-2),"")</f>
        <v>0</v>
      </c>
      <c r="C195">
        <f>IFERROR(INDEX('MAESTRO DE OBRAS'!$B$2:$B$200,ROW()-2),"")</f>
        <v>0</v>
      </c>
      <c r="K195">
        <f>IFERROR(INDEX('MAESTRO DE UNIDADES'!$C$2:$C$208,ROW()-2),"")</f>
        <v>0</v>
      </c>
    </row>
    <row r="196" spans="1:11" x14ac:dyDescent="0.25">
      <c r="A196">
        <f>IFERROR(INDEX('MAESTRO DE UNIDADES'!$A$2:$A$208,ROW()-2),"")</f>
        <v>0</v>
      </c>
      <c r="B196">
        <f>IFERROR(INDEX('MAESTRO DE RESPONSABLES'!$A$2:$A$200,ROW()-2),"")</f>
        <v>0</v>
      </c>
      <c r="C196">
        <f>IFERROR(INDEX('MAESTRO DE OBRAS'!$B$2:$B$200,ROW()-2),"")</f>
        <v>0</v>
      </c>
      <c r="K196">
        <f>IFERROR(INDEX('MAESTRO DE UNIDADES'!$C$2:$C$208,ROW()-2),"")</f>
        <v>0</v>
      </c>
    </row>
    <row r="197" spans="1:11" x14ac:dyDescent="0.25">
      <c r="A197">
        <f>IFERROR(INDEX('MAESTRO DE UNIDADES'!$A$2:$A$208,ROW()-2),"")</f>
        <v>0</v>
      </c>
      <c r="B197">
        <f>IFERROR(INDEX('MAESTRO DE RESPONSABLES'!$A$2:$A$200,ROW()-2),"")</f>
        <v>0</v>
      </c>
      <c r="C197">
        <f>IFERROR(INDEX('MAESTRO DE OBRAS'!$B$2:$B$200,ROW()-2),"")</f>
        <v>0</v>
      </c>
      <c r="K197">
        <f>IFERROR(INDEX('MAESTRO DE UNIDADES'!$C$2:$C$208,ROW()-2),"")</f>
        <v>0</v>
      </c>
    </row>
    <row r="198" spans="1:11" x14ac:dyDescent="0.25">
      <c r="A198">
        <f>IFERROR(INDEX('MAESTRO DE UNIDADES'!$A$2:$A$208,ROW()-2),"")</f>
        <v>0</v>
      </c>
      <c r="B198">
        <f>IFERROR(INDEX('MAESTRO DE RESPONSABLES'!$A$2:$A$200,ROW()-2),"")</f>
        <v>0</v>
      </c>
      <c r="C198">
        <f>IFERROR(INDEX('MAESTRO DE OBRAS'!$B$2:$B$200,ROW()-2),"")</f>
        <v>0</v>
      </c>
      <c r="K198">
        <f>IFERROR(INDEX('MAESTRO DE UNIDADES'!$C$2:$C$208,ROW()-2),"")</f>
        <v>0</v>
      </c>
    </row>
    <row r="199" spans="1:11" x14ac:dyDescent="0.25">
      <c r="A199">
        <f>IFERROR(INDEX('MAESTRO DE UNIDADES'!$A$2:$A$208,ROW()-2),"")</f>
        <v>0</v>
      </c>
      <c r="B199">
        <f>IFERROR(INDEX('MAESTRO DE RESPONSABLES'!$A$2:$A$200,ROW()-2),"")</f>
        <v>0</v>
      </c>
      <c r="C199">
        <f>IFERROR(INDEX('MAESTRO DE OBRAS'!$B$2:$B$200,ROW()-2),"")</f>
        <v>0</v>
      </c>
      <c r="K199">
        <f>IFERROR(INDEX('MAESTRO DE UNIDADES'!$C$2:$C$208,ROW()-2),"")</f>
        <v>0</v>
      </c>
    </row>
    <row r="200" spans="1:11" x14ac:dyDescent="0.25">
      <c r="A200">
        <f>IFERROR(INDEX('MAESTRO DE UNIDADES'!$A$2:$A$208,ROW()-2),"")</f>
        <v>0</v>
      </c>
      <c r="B200">
        <f>IFERROR(INDEX('MAESTRO DE RESPONSABLES'!$A$2:$A$200,ROW()-2),"")</f>
        <v>0</v>
      </c>
      <c r="C200">
        <f>IFERROR(INDEX('MAESTRO DE OBRAS'!$B$2:$B$200,ROW()-2),"")</f>
        <v>0</v>
      </c>
      <c r="K200">
        <f>IFERROR(INDEX('MAESTRO DE UNIDADES'!$C$2:$C$208,ROW()-2),"")</f>
        <v>0</v>
      </c>
    </row>
    <row r="201" spans="1:11" x14ac:dyDescent="0.25">
      <c r="A201">
        <f>IFERROR(INDEX('MAESTRO DE UNIDADES'!$A$2:$A$208,ROW()-2),"")</f>
        <v>0</v>
      </c>
      <c r="B201">
        <f>IFERROR(INDEX('MAESTRO DE RESPONSABLES'!$A$2:$A$200,ROW()-2),"")</f>
        <v>0</v>
      </c>
      <c r="C201">
        <f>IFERROR(INDEX('MAESTRO DE OBRAS'!$B$2:$B$200,ROW()-2),"")</f>
        <v>0</v>
      </c>
      <c r="K201">
        <f>IFERROR(INDEX('MAESTRO DE UNIDADES'!$C$2:$C$208,ROW()-2),"")</f>
        <v>0</v>
      </c>
    </row>
    <row r="202" spans="1:11" x14ac:dyDescent="0.25">
      <c r="A202">
        <f>IFERROR(INDEX('MAESTRO DE UNIDADES'!$A$2:$A$208,ROW()-2),"")</f>
        <v>0</v>
      </c>
      <c r="B202" t="str">
        <f>IFERROR(INDEX('MAESTRO DE RESPONSABLES'!$A$2:$A$200,ROW()-2),"")</f>
        <v/>
      </c>
      <c r="C202" t="str">
        <f>IFERROR(INDEX('MAESTRO DE OBRAS'!$B$2:$B$200,ROW()-2),"")</f>
        <v/>
      </c>
      <c r="K202">
        <f>IFERROR(INDEX('MAESTRO DE UNIDADES'!$C$2:$C$208,ROW()-2),"")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15</vt:i4>
      </vt:variant>
    </vt:vector>
  </HeadingPairs>
  <TitlesOfParts>
    <vt:vector size="25" baseType="lpstr">
      <vt:lpstr>INICIO</vt:lpstr>
      <vt:lpstr>MAESTRO DE UNIDADES</vt:lpstr>
      <vt:lpstr>MAESTRO DE RESPONSABLES</vt:lpstr>
      <vt:lpstr>MAESTRO DE OBRAS</vt:lpstr>
      <vt:lpstr>CARGAS DE COMBUSTIBLE</vt:lpstr>
      <vt:lpstr>CONTROL DE BATAN</vt:lpstr>
      <vt:lpstr>CONTROL MENSUAL PROVEEDOR</vt:lpstr>
      <vt:lpstr>INDICADORES</vt:lpstr>
      <vt:lpstr>DASHBOARD</vt:lpstr>
      <vt:lpstr>LISTAS</vt:lpstr>
      <vt:lpstr>Lista_Anios</vt:lpstr>
      <vt:lpstr>Lista_Cargas_Batan</vt:lpstr>
      <vt:lpstr>Lista_Codigos</vt:lpstr>
      <vt:lpstr>Lista_EstadoProveedor</vt:lpstr>
      <vt:lpstr>Lista_Meses</vt:lpstr>
      <vt:lpstr>Lista_Meses_Dashboard</vt:lpstr>
      <vt:lpstr>Lista_MetodoPago</vt:lpstr>
      <vt:lpstr>Lista_Obras</vt:lpstr>
      <vt:lpstr>Lista_Obras_Dash</vt:lpstr>
      <vt:lpstr>Lista_Proveedores</vt:lpstr>
      <vt:lpstr>Lista_Responsables</vt:lpstr>
      <vt:lpstr>Lista_Responsables_Dash</vt:lpstr>
      <vt:lpstr>Lista_TipoCombustible</vt:lpstr>
      <vt:lpstr>Lista_TipoCombustible_Dash</vt:lpstr>
      <vt:lpstr>Lista_Unidades_Dashboard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</dc:creator>
  <cp:keywords/>
  <dc:description/>
  <cp:lastModifiedBy>Ecar Construcciones</cp:lastModifiedBy>
  <cp:revision/>
  <dcterms:created xsi:type="dcterms:W3CDTF">2026-04-17T10:53:32Z</dcterms:created>
  <dcterms:modified xsi:type="dcterms:W3CDTF">2026-05-18T13:06:08Z</dcterms:modified>
  <cp:category/>
  <cp:contentStatus/>
</cp:coreProperties>
</file>